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fuels\IMFPbFT\"/>
    </mc:Choice>
  </mc:AlternateContent>
  <xr:revisionPtr revIDLastSave="0" documentId="13_ncr:1_{7FD11152-2A62-4517-89B7-79F562A88C02}" xr6:coauthVersionLast="47" xr6:coauthVersionMax="47" xr10:uidLastSave="{00000000-0000-0000-0000-000000000000}"/>
  <bookViews>
    <workbookView xWindow="-90" yWindow="-90" windowWidth="19380" windowHeight="10260" firstSheet="11" activeTab="13" xr2:uid="{106CDCE2-F50B-410D-8636-4D6FB5F9C274}"/>
  </bookViews>
  <sheets>
    <sheet name="About" sheetId="1" r:id="rId1"/>
    <sheet name="AEO 2022 Table 13" sheetId="10" r:id="rId2"/>
    <sheet name="AEO 2023 Table 13" sheetId="19" r:id="rId3"/>
    <sheet name="AEO 2025 Table 13" sheetId="26" r:id="rId4"/>
    <sheet name="AEO 2022 Table 60" sheetId="8" r:id="rId5"/>
    <sheet name="AEO 2023 Table 60" sheetId="20" r:id="rId6"/>
    <sheet name="AEO 2025 Table 61" sheetId="25" r:id="rId7"/>
    <sheet name="Historical Monthly Gas Cons" sheetId="24" r:id="rId8"/>
    <sheet name="EIA Henry Hub Nat Gas Spot" sheetId="12" r:id="rId9"/>
    <sheet name="NG Sector Price Historicals" sheetId="22" r:id="rId10"/>
    <sheet name="NG Calcs" sheetId="23" r:id="rId11"/>
    <sheet name="Natural Gas Prices" sheetId="11" r:id="rId12"/>
    <sheet name="Pretax Fuel Prices" sheetId="5" r:id="rId13"/>
    <sheet name="Fuel Taxes" sheetId="4" r:id="rId14"/>
    <sheet name="BAU Fuel Use by Sector" sheetId="7" r:id="rId15"/>
    <sheet name="Fuel Price Data" sheetId="3" r:id="rId16"/>
    <sheet name="IMFPbFT" sheetId="2" r:id="rId17"/>
  </sheets>
  <externalReferences>
    <externalReference r:id="rId18"/>
    <externalReference r:id="rId19"/>
  </externalReferences>
  <definedNames>
    <definedName name="dollars_2020_2012">[1]About!$A$104</definedName>
    <definedName name="dollars_2021_2012">[1]About!$A$103</definedName>
    <definedName name="lignite_multiplier">'[1]Hard Coal and Lig Multipliers'!$N$15</definedName>
    <definedName name="nonlignite_multiplier" localSheetId="7">'[1]Hard Coal and Lig Multipliers'!$N$16</definedName>
    <definedName name="nonlignite_multiplier" localSheetId="10">'[1]Hard Coal and Lig Multipliers'!$N$16</definedName>
    <definedName name="nonlignite_multiplier" localSheetId="9">'[1]Hard Coal and Lig Multipliers'!$N$16</definedName>
    <definedName name="nonlignite_multiplier">'[2]Hard Coal and Lig Multipliers'!$N$15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 a="1"/>
  <c r="B4" i="2" s="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58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61" i="11"/>
  <c r="G32" i="23"/>
  <c r="E35" i="11" a="1"/>
  <c r="E35" i="11" s="1"/>
  <c r="C35" i="11" l="1"/>
  <c r="B3" i="2"/>
  <c r="B5" i="2"/>
  <c r="B9" i="2"/>
  <c r="B10" i="2"/>
  <c r="B11" i="2"/>
  <c r="B12" i="2"/>
  <c r="B13" i="2"/>
  <c r="B14" i="2"/>
  <c r="B17" i="2"/>
  <c r="B18" i="2"/>
  <c r="B19" i="2"/>
  <c r="B20" i="2"/>
  <c r="B21" i="2"/>
  <c r="B22" i="2"/>
  <c r="D92" i="11"/>
  <c r="D91" i="11"/>
  <c r="B143" i="3"/>
  <c r="B144" i="3"/>
  <c r="B145" i="3"/>
  <c r="B146" i="3"/>
  <c r="B147" i="3"/>
  <c r="B148" i="3"/>
  <c r="B149" i="3"/>
  <c r="B150" i="3"/>
  <c r="C144" i="3"/>
  <c r="C145" i="3"/>
  <c r="C146" i="3"/>
  <c r="C147" i="3"/>
  <c r="C148" i="3"/>
  <c r="C149" i="3"/>
  <c r="C150" i="3"/>
  <c r="C143" i="3"/>
  <c r="B123" i="3"/>
  <c r="B124" i="3"/>
  <c r="B125" i="3"/>
  <c r="B126" i="3"/>
  <c r="B127" i="3"/>
  <c r="B128" i="3"/>
  <c r="B129" i="3"/>
  <c r="B130" i="3"/>
  <c r="C124" i="3"/>
  <c r="C125" i="3"/>
  <c r="C126" i="3"/>
  <c r="C127" i="3"/>
  <c r="C128" i="3"/>
  <c r="C129" i="3"/>
  <c r="C130" i="3"/>
  <c r="C123" i="3"/>
  <c r="B113" i="3"/>
  <c r="B114" i="3"/>
  <c r="B115" i="3"/>
  <c r="B116" i="3"/>
  <c r="B117" i="3"/>
  <c r="B118" i="3"/>
  <c r="B119" i="3"/>
  <c r="B120" i="3"/>
  <c r="C114" i="3"/>
  <c r="C115" i="3"/>
  <c r="C116" i="3"/>
  <c r="C117" i="3"/>
  <c r="C118" i="3"/>
  <c r="C119" i="3"/>
  <c r="C120" i="3"/>
  <c r="C113" i="3"/>
  <c r="B103" i="3"/>
  <c r="B104" i="3"/>
  <c r="B105" i="3"/>
  <c r="B106" i="3"/>
  <c r="B107" i="3"/>
  <c r="B108" i="3"/>
  <c r="B109" i="3"/>
  <c r="B110" i="3"/>
  <c r="C104" i="3"/>
  <c r="C105" i="3"/>
  <c r="C106" i="3"/>
  <c r="C107" i="3"/>
  <c r="C108" i="3"/>
  <c r="C109" i="3"/>
  <c r="C110" i="3"/>
  <c r="C103" i="3"/>
  <c r="B93" i="3"/>
  <c r="B94" i="3"/>
  <c r="B95" i="3"/>
  <c r="B96" i="3"/>
  <c r="B97" i="3"/>
  <c r="B98" i="3"/>
  <c r="B99" i="3"/>
  <c r="B100" i="3"/>
  <c r="C94" i="3"/>
  <c r="C95" i="3"/>
  <c r="C96" i="3"/>
  <c r="C97" i="3"/>
  <c r="C98" i="3"/>
  <c r="C99" i="3"/>
  <c r="C100" i="3"/>
  <c r="C93" i="3"/>
  <c r="B83" i="3"/>
  <c r="B84" i="3"/>
  <c r="B85" i="3"/>
  <c r="B86" i="3"/>
  <c r="B87" i="3"/>
  <c r="B88" i="3"/>
  <c r="B89" i="3"/>
  <c r="B90" i="3"/>
  <c r="C84" i="3"/>
  <c r="C85" i="3"/>
  <c r="C86" i="3"/>
  <c r="C87" i="3"/>
  <c r="C88" i="3"/>
  <c r="C89" i="3"/>
  <c r="C90" i="3"/>
  <c r="C83" i="3"/>
  <c r="B73" i="3"/>
  <c r="B74" i="3"/>
  <c r="B75" i="3"/>
  <c r="B76" i="3"/>
  <c r="B77" i="3"/>
  <c r="B78" i="3"/>
  <c r="B79" i="3"/>
  <c r="B80" i="3"/>
  <c r="C74" i="3"/>
  <c r="C75" i="3"/>
  <c r="C76" i="3"/>
  <c r="C77" i="3"/>
  <c r="C78" i="3"/>
  <c r="C79" i="3"/>
  <c r="C80" i="3"/>
  <c r="C73" i="3"/>
  <c r="B63" i="3"/>
  <c r="B64" i="3"/>
  <c r="B65" i="3"/>
  <c r="B66" i="3"/>
  <c r="B67" i="3"/>
  <c r="B68" i="3"/>
  <c r="B69" i="3"/>
  <c r="B70" i="3"/>
  <c r="C64" i="3"/>
  <c r="C65" i="3"/>
  <c r="C66" i="3"/>
  <c r="C67" i="3"/>
  <c r="C68" i="3"/>
  <c r="C69" i="3"/>
  <c r="C70" i="3"/>
  <c r="C63" i="3"/>
  <c r="B53" i="3"/>
  <c r="B54" i="3"/>
  <c r="B55" i="3"/>
  <c r="B56" i="3"/>
  <c r="B57" i="3"/>
  <c r="B58" i="3"/>
  <c r="B59" i="3"/>
  <c r="B60" i="3"/>
  <c r="C54" i="3"/>
  <c r="C55" i="3"/>
  <c r="C56" i="3"/>
  <c r="C57" i="3"/>
  <c r="C58" i="3"/>
  <c r="C59" i="3"/>
  <c r="C60" i="3"/>
  <c r="C53" i="3"/>
  <c r="B43" i="3"/>
  <c r="B44" i="3"/>
  <c r="B45" i="3"/>
  <c r="B46" i="3"/>
  <c r="B47" i="3"/>
  <c r="B48" i="3"/>
  <c r="B49" i="3"/>
  <c r="B50" i="3"/>
  <c r="C44" i="3"/>
  <c r="C45" i="3"/>
  <c r="C46" i="3"/>
  <c r="C47" i="3"/>
  <c r="C48" i="3"/>
  <c r="C49" i="3"/>
  <c r="C50" i="3"/>
  <c r="C43" i="3"/>
  <c r="B33" i="3"/>
  <c r="B34" i="3"/>
  <c r="B35" i="3"/>
  <c r="B36" i="3"/>
  <c r="B37" i="3"/>
  <c r="B38" i="3"/>
  <c r="B39" i="3"/>
  <c r="B40" i="3"/>
  <c r="C34" i="3"/>
  <c r="C35" i="3"/>
  <c r="C36" i="3"/>
  <c r="C37" i="3"/>
  <c r="C38" i="3"/>
  <c r="C39" i="3"/>
  <c r="C40" i="3"/>
  <c r="C3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B24" i="3"/>
  <c r="B25" i="3"/>
  <c r="B26" i="3"/>
  <c r="B27" i="3"/>
  <c r="B28" i="3"/>
  <c r="B29" i="3"/>
  <c r="B30" i="3"/>
  <c r="B2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B14" i="3"/>
  <c r="B15" i="3"/>
  <c r="B16" i="3"/>
  <c r="B17" i="3"/>
  <c r="B18" i="3"/>
  <c r="B19" i="3"/>
  <c r="B20" i="3"/>
  <c r="B1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4" i="3"/>
  <c r="B5" i="3"/>
  <c r="B6" i="3"/>
  <c r="B7" i="3"/>
  <c r="B8" i="3"/>
  <c r="B9" i="3"/>
  <c r="B10" i="3"/>
  <c r="B3" i="3"/>
  <c r="C91" i="11" l="1"/>
  <c r="C90" i="11"/>
  <c r="E31" i="11"/>
  <c r="E32" i="11" s="1"/>
  <c r="E33" i="11" s="1"/>
  <c r="E34" i="11" s="1"/>
  <c r="E30" i="11"/>
  <c r="E29" i="11"/>
  <c r="E28" i="11"/>
  <c r="C24" i="11"/>
  <c r="D24" i="11"/>
  <c r="G24" i="11" s="1"/>
  <c r="E24" i="11"/>
  <c r="B3" i="23" a="1"/>
  <c r="B3" i="23" s="1"/>
  <c r="B4" i="23" a="1"/>
  <c r="B4" i="23" s="1"/>
  <c r="B5" i="23" a="1"/>
  <c r="B5" i="23" s="1"/>
  <c r="B6" i="23" a="1"/>
  <c r="B6" i="23"/>
  <c r="B7" i="23" a="1"/>
  <c r="B7" i="23" s="1"/>
  <c r="B8" i="23" a="1"/>
  <c r="B8" i="23" s="1"/>
  <c r="B9" i="23" a="1"/>
  <c r="B9" i="23" s="1"/>
  <c r="B10" i="23" a="1"/>
  <c r="B10" i="23" s="1"/>
  <c r="B11" i="23" a="1"/>
  <c r="B11" i="23" s="1"/>
  <c r="B12" i="23" a="1"/>
  <c r="B12" i="23" s="1"/>
  <c r="B13" i="23" a="1"/>
  <c r="B13" i="23" s="1"/>
  <c r="B2" i="23" a="1"/>
  <c r="B2" i="23" s="1"/>
  <c r="U104" i="22"/>
  <c r="V104" i="22"/>
  <c r="S104" i="22"/>
  <c r="D269" i="24"/>
  <c r="C269" i="24"/>
  <c r="D268" i="24"/>
  <c r="C268" i="24"/>
  <c r="D267" i="24"/>
  <c r="C267" i="24"/>
  <c r="D266" i="24"/>
  <c r="C266" i="24"/>
  <c r="D265" i="24"/>
  <c r="C265" i="24"/>
  <c r="D264" i="24"/>
  <c r="C264" i="24"/>
  <c r="D263" i="24"/>
  <c r="C263" i="24"/>
  <c r="D262" i="24"/>
  <c r="C262" i="24"/>
  <c r="D261" i="24"/>
  <c r="C261" i="24"/>
  <c r="D260" i="24"/>
  <c r="C260" i="24"/>
  <c r="D259" i="24"/>
  <c r="C259" i="24"/>
  <c r="D258" i="24"/>
  <c r="C258" i="24"/>
  <c r="D257" i="24"/>
  <c r="C257" i="24"/>
  <c r="D256" i="24"/>
  <c r="C256" i="24"/>
  <c r="D255" i="24"/>
  <c r="C255" i="24"/>
  <c r="D254" i="24"/>
  <c r="C254" i="24"/>
  <c r="D253" i="24"/>
  <c r="C253" i="24"/>
  <c r="D252" i="24"/>
  <c r="C252" i="24"/>
  <c r="D251" i="24"/>
  <c r="C251" i="24"/>
  <c r="D250" i="24"/>
  <c r="C250" i="24"/>
  <c r="D249" i="24"/>
  <c r="C249" i="24"/>
  <c r="D248" i="24"/>
  <c r="C248" i="24"/>
  <c r="D247" i="24"/>
  <c r="C247" i="24"/>
  <c r="D246" i="24"/>
  <c r="C246" i="24"/>
  <c r="D245" i="24"/>
  <c r="C245" i="24"/>
  <c r="D244" i="24"/>
  <c r="C244" i="24"/>
  <c r="D243" i="24"/>
  <c r="C243" i="24"/>
  <c r="D242" i="24"/>
  <c r="C242" i="24"/>
  <c r="D241" i="24"/>
  <c r="C241" i="24"/>
  <c r="D240" i="24"/>
  <c r="C240" i="24"/>
  <c r="D239" i="24"/>
  <c r="C239" i="24"/>
  <c r="D238" i="24"/>
  <c r="C238" i="24"/>
  <c r="D237" i="24"/>
  <c r="C237" i="24"/>
  <c r="D236" i="24"/>
  <c r="C236" i="24"/>
  <c r="D235" i="24"/>
  <c r="C235" i="24"/>
  <c r="D234" i="24"/>
  <c r="C234" i="24"/>
  <c r="D233" i="24"/>
  <c r="C233" i="24"/>
  <c r="D232" i="24"/>
  <c r="C232" i="24"/>
  <c r="D231" i="24"/>
  <c r="C231" i="24"/>
  <c r="D230" i="24"/>
  <c r="C230" i="24"/>
  <c r="D229" i="24"/>
  <c r="C229" i="24"/>
  <c r="D228" i="24"/>
  <c r="C228" i="24"/>
  <c r="D227" i="24"/>
  <c r="C227" i="24"/>
  <c r="D226" i="24"/>
  <c r="C226" i="24"/>
  <c r="D225" i="24"/>
  <c r="C225" i="24"/>
  <c r="D224" i="24"/>
  <c r="C224" i="24"/>
  <c r="D223" i="24"/>
  <c r="C223" i="24"/>
  <c r="D222" i="24"/>
  <c r="C222" i="24"/>
  <c r="D221" i="24"/>
  <c r="C221" i="24"/>
  <c r="D220" i="24"/>
  <c r="C220" i="24"/>
  <c r="D219" i="24"/>
  <c r="C219" i="24"/>
  <c r="D218" i="24"/>
  <c r="C218" i="24"/>
  <c r="D217" i="24"/>
  <c r="C217" i="24"/>
  <c r="D216" i="24"/>
  <c r="C216" i="24"/>
  <c r="D215" i="24"/>
  <c r="C215" i="24"/>
  <c r="D214" i="24"/>
  <c r="C214" i="24"/>
  <c r="D213" i="24"/>
  <c r="C213" i="24"/>
  <c r="D212" i="24"/>
  <c r="C212" i="24"/>
  <c r="D211" i="24"/>
  <c r="C211" i="24"/>
  <c r="D210" i="24"/>
  <c r="C210" i="24"/>
  <c r="D209" i="24"/>
  <c r="C209" i="24"/>
  <c r="D208" i="24"/>
  <c r="C208" i="24"/>
  <c r="D207" i="24"/>
  <c r="C207" i="24"/>
  <c r="D206" i="24"/>
  <c r="C206" i="24"/>
  <c r="D205" i="24"/>
  <c r="C205" i="24"/>
  <c r="D204" i="24"/>
  <c r="C204" i="24"/>
  <c r="D203" i="24"/>
  <c r="C203" i="24"/>
  <c r="D202" i="24"/>
  <c r="C202" i="24"/>
  <c r="D201" i="24"/>
  <c r="C201" i="24"/>
  <c r="D200" i="24"/>
  <c r="C200" i="24"/>
  <c r="D199" i="24"/>
  <c r="C199" i="24"/>
  <c r="D198" i="24"/>
  <c r="C198" i="24"/>
  <c r="D197" i="24"/>
  <c r="C197" i="24"/>
  <c r="D196" i="24"/>
  <c r="C196" i="24"/>
  <c r="D195" i="24"/>
  <c r="C195" i="24"/>
  <c r="D194" i="24"/>
  <c r="C194" i="24"/>
  <c r="D193" i="24"/>
  <c r="C193" i="24"/>
  <c r="D192" i="24"/>
  <c r="C192" i="24"/>
  <c r="D191" i="24"/>
  <c r="C191" i="24"/>
  <c r="D190" i="24"/>
  <c r="C190" i="24"/>
  <c r="D189" i="24"/>
  <c r="C189" i="24"/>
  <c r="D188" i="24"/>
  <c r="C188" i="24"/>
  <c r="D187" i="24"/>
  <c r="C187" i="24"/>
  <c r="D186" i="24"/>
  <c r="C186" i="24"/>
  <c r="D185" i="24"/>
  <c r="C185" i="24"/>
  <c r="D184" i="24"/>
  <c r="C184" i="24"/>
  <c r="D183" i="24"/>
  <c r="C183" i="24"/>
  <c r="D182" i="24"/>
  <c r="C182" i="24"/>
  <c r="D181" i="24"/>
  <c r="C181" i="24"/>
  <c r="D180" i="24"/>
  <c r="C180" i="24"/>
  <c r="D179" i="24"/>
  <c r="C179" i="24"/>
  <c r="D178" i="24"/>
  <c r="C178" i="24"/>
  <c r="D177" i="24"/>
  <c r="C177" i="24"/>
  <c r="D176" i="24"/>
  <c r="C176" i="24"/>
  <c r="D175" i="24"/>
  <c r="C175" i="24"/>
  <c r="D174" i="24"/>
  <c r="C174" i="24"/>
  <c r="D173" i="24"/>
  <c r="C173" i="24"/>
  <c r="D172" i="24"/>
  <c r="C172" i="24"/>
  <c r="D171" i="24"/>
  <c r="C171" i="24"/>
  <c r="D170" i="24"/>
  <c r="C170" i="24"/>
  <c r="D169" i="24"/>
  <c r="C169" i="24"/>
  <c r="D168" i="24"/>
  <c r="C168" i="24"/>
  <c r="D167" i="24"/>
  <c r="C167" i="24"/>
  <c r="D166" i="24"/>
  <c r="C166" i="24"/>
  <c r="D165" i="24"/>
  <c r="C165" i="24"/>
  <c r="D164" i="24"/>
  <c r="C164" i="24"/>
  <c r="D163" i="24"/>
  <c r="C163" i="24"/>
  <c r="D162" i="24"/>
  <c r="C162" i="24"/>
  <c r="D161" i="24"/>
  <c r="C161" i="24"/>
  <c r="D160" i="24"/>
  <c r="C160" i="24"/>
  <c r="D159" i="24"/>
  <c r="C159" i="24"/>
  <c r="D158" i="24"/>
  <c r="C158" i="24"/>
  <c r="D157" i="24"/>
  <c r="C157" i="24"/>
  <c r="D156" i="24"/>
  <c r="C156" i="24"/>
  <c r="D155" i="24"/>
  <c r="C155" i="24"/>
  <c r="D154" i="24"/>
  <c r="C154" i="24"/>
  <c r="D153" i="24"/>
  <c r="C153" i="24"/>
  <c r="D152" i="24"/>
  <c r="C152" i="24"/>
  <c r="D151" i="24"/>
  <c r="C151" i="24"/>
  <c r="D150" i="24"/>
  <c r="C150" i="24"/>
  <c r="D149" i="24"/>
  <c r="C149" i="24"/>
  <c r="D148" i="24"/>
  <c r="C148" i="24"/>
  <c r="D147" i="24"/>
  <c r="C147" i="24"/>
  <c r="D146" i="24"/>
  <c r="C146" i="24"/>
  <c r="D145" i="24"/>
  <c r="C145" i="24"/>
  <c r="D144" i="24"/>
  <c r="C144" i="24"/>
  <c r="D143" i="24"/>
  <c r="C143" i="24"/>
  <c r="D142" i="24"/>
  <c r="C142" i="24"/>
  <c r="D141" i="24"/>
  <c r="C141" i="24"/>
  <c r="D140" i="24"/>
  <c r="C140" i="24"/>
  <c r="D139" i="24"/>
  <c r="C139" i="24"/>
  <c r="D138" i="24"/>
  <c r="C138" i="24"/>
  <c r="D137" i="24"/>
  <c r="C137" i="24"/>
  <c r="D136" i="24"/>
  <c r="C136" i="24"/>
  <c r="D135" i="24"/>
  <c r="C135" i="24"/>
  <c r="D134" i="24"/>
  <c r="C134" i="24"/>
  <c r="D133" i="24"/>
  <c r="C133" i="24"/>
  <c r="D132" i="24"/>
  <c r="C132" i="24"/>
  <c r="D131" i="24"/>
  <c r="C131" i="24"/>
  <c r="D130" i="24"/>
  <c r="C130" i="24"/>
  <c r="D129" i="24"/>
  <c r="C129" i="24"/>
  <c r="D128" i="24"/>
  <c r="C128" i="24"/>
  <c r="D127" i="24"/>
  <c r="C127" i="24"/>
  <c r="D126" i="24"/>
  <c r="C126" i="24"/>
  <c r="D125" i="24"/>
  <c r="C125" i="24"/>
  <c r="D124" i="24"/>
  <c r="C124" i="24"/>
  <c r="D123" i="24"/>
  <c r="C123" i="24"/>
  <c r="D122" i="24"/>
  <c r="C122" i="24"/>
  <c r="D121" i="24"/>
  <c r="C121" i="24"/>
  <c r="D120" i="24"/>
  <c r="C120" i="24"/>
  <c r="D119" i="24"/>
  <c r="C119" i="24"/>
  <c r="D118" i="24"/>
  <c r="C118" i="24"/>
  <c r="D117" i="24"/>
  <c r="C117" i="24"/>
  <c r="D116" i="24"/>
  <c r="C116" i="24"/>
  <c r="D115" i="24"/>
  <c r="C115" i="24"/>
  <c r="D114" i="24"/>
  <c r="C114" i="24"/>
  <c r="D113" i="24"/>
  <c r="C113" i="24"/>
  <c r="D112" i="24"/>
  <c r="C112" i="24"/>
  <c r="D111" i="24"/>
  <c r="C111" i="24"/>
  <c r="D110" i="24"/>
  <c r="C110" i="24"/>
  <c r="D109" i="24"/>
  <c r="C109" i="24"/>
  <c r="D108" i="24"/>
  <c r="C108" i="24"/>
  <c r="D107" i="24"/>
  <c r="C107" i="24"/>
  <c r="D106" i="24"/>
  <c r="C106" i="24"/>
  <c r="D105" i="24"/>
  <c r="C105" i="24"/>
  <c r="D104" i="24"/>
  <c r="C104" i="24"/>
  <c r="D103" i="24"/>
  <c r="C103" i="24"/>
  <c r="D102" i="24"/>
  <c r="C102" i="24"/>
  <c r="D101" i="24"/>
  <c r="C101" i="24"/>
  <c r="D100" i="24"/>
  <c r="C100" i="24"/>
  <c r="D99" i="24"/>
  <c r="C99" i="24"/>
  <c r="D98" i="24"/>
  <c r="C98" i="24"/>
  <c r="D97" i="24"/>
  <c r="C97" i="24"/>
  <c r="D96" i="24"/>
  <c r="C96" i="24"/>
  <c r="D95" i="24"/>
  <c r="C95" i="24"/>
  <c r="D94" i="24"/>
  <c r="C94" i="24"/>
  <c r="D93" i="24"/>
  <c r="C93" i="24"/>
  <c r="D92" i="24"/>
  <c r="C92" i="24"/>
  <c r="D91" i="24"/>
  <c r="C91" i="24"/>
  <c r="D90" i="24"/>
  <c r="C90" i="24"/>
  <c r="D89" i="24"/>
  <c r="C89" i="24"/>
  <c r="D88" i="24"/>
  <c r="C88" i="24"/>
  <c r="D87" i="24"/>
  <c r="C87" i="24"/>
  <c r="D86" i="24"/>
  <c r="C86" i="24"/>
  <c r="D85" i="24"/>
  <c r="C85" i="24"/>
  <c r="D84" i="24"/>
  <c r="C84" i="24"/>
  <c r="D83" i="24"/>
  <c r="C83" i="24"/>
  <c r="D82" i="24"/>
  <c r="C82" i="24"/>
  <c r="D81" i="24"/>
  <c r="C81" i="24"/>
  <c r="D80" i="24"/>
  <c r="C80" i="24"/>
  <c r="D79" i="24"/>
  <c r="C79" i="24"/>
  <c r="D78" i="24"/>
  <c r="C78" i="24"/>
  <c r="D77" i="24"/>
  <c r="C77" i="24"/>
  <c r="D76" i="24"/>
  <c r="C76" i="24"/>
  <c r="D75" i="24"/>
  <c r="C75" i="24"/>
  <c r="D74" i="24"/>
  <c r="C74" i="24"/>
  <c r="D73" i="24"/>
  <c r="C73" i="24"/>
  <c r="D72" i="24"/>
  <c r="C72" i="24"/>
  <c r="D71" i="24"/>
  <c r="C71" i="24"/>
  <c r="D70" i="24"/>
  <c r="C70" i="24"/>
  <c r="D69" i="24"/>
  <c r="C69" i="24"/>
  <c r="D68" i="24"/>
  <c r="C68" i="24"/>
  <c r="D67" i="24"/>
  <c r="C67" i="24"/>
  <c r="D66" i="24"/>
  <c r="C66" i="24"/>
  <c r="D65" i="24"/>
  <c r="C65" i="24"/>
  <c r="D64" i="24"/>
  <c r="C64" i="24"/>
  <c r="D63" i="24"/>
  <c r="C63" i="24"/>
  <c r="D62" i="24"/>
  <c r="C62" i="24"/>
  <c r="D61" i="24"/>
  <c r="C61" i="24"/>
  <c r="D60" i="24"/>
  <c r="C60" i="24"/>
  <c r="D59" i="24"/>
  <c r="C59" i="24"/>
  <c r="D58" i="24"/>
  <c r="C58" i="24"/>
  <c r="D57" i="24"/>
  <c r="C57" i="24"/>
  <c r="D56" i="24"/>
  <c r="C56" i="24"/>
  <c r="D55" i="24"/>
  <c r="C55" i="24"/>
  <c r="D54" i="24"/>
  <c r="C54" i="24"/>
  <c r="D53" i="24"/>
  <c r="C53" i="24"/>
  <c r="D52" i="24"/>
  <c r="C52" i="24"/>
  <c r="D51" i="24"/>
  <c r="C51" i="24"/>
  <c r="D50" i="24"/>
  <c r="C50" i="24"/>
  <c r="D49" i="24"/>
  <c r="C49" i="24"/>
  <c r="D48" i="24"/>
  <c r="C48" i="24"/>
  <c r="D47" i="24"/>
  <c r="C47" i="24"/>
  <c r="D46" i="24"/>
  <c r="C46" i="24"/>
  <c r="D45" i="24"/>
  <c r="C45" i="24"/>
  <c r="D44" i="24"/>
  <c r="C44" i="24"/>
  <c r="D43" i="24"/>
  <c r="C43" i="24"/>
  <c r="D42" i="24"/>
  <c r="C42" i="24"/>
  <c r="D41" i="24"/>
  <c r="C41" i="24"/>
  <c r="D40" i="24"/>
  <c r="C40" i="24"/>
  <c r="D39" i="24"/>
  <c r="C39" i="24"/>
  <c r="D38" i="24"/>
  <c r="C38" i="24"/>
  <c r="D37" i="24"/>
  <c r="C37" i="24"/>
  <c r="D36" i="24"/>
  <c r="C36" i="24"/>
  <c r="D35" i="24"/>
  <c r="C35" i="24"/>
  <c r="D34" i="24"/>
  <c r="C34" i="24"/>
  <c r="D33" i="24"/>
  <c r="C33" i="24"/>
  <c r="D32" i="24"/>
  <c r="C32" i="24"/>
  <c r="D31" i="24"/>
  <c r="C31" i="24"/>
  <c r="D30" i="24"/>
  <c r="C30" i="24"/>
  <c r="D29" i="24"/>
  <c r="C29" i="24"/>
  <c r="D28" i="24"/>
  <c r="C28" i="24"/>
  <c r="D27" i="24"/>
  <c r="C27" i="24"/>
  <c r="D26" i="24"/>
  <c r="C26" i="24"/>
  <c r="D25" i="24"/>
  <c r="C25" i="24"/>
  <c r="D24" i="24"/>
  <c r="C24" i="24"/>
  <c r="D23" i="24"/>
  <c r="C23" i="24"/>
  <c r="D22" i="24"/>
  <c r="C22" i="24"/>
  <c r="D21" i="24"/>
  <c r="C21" i="24"/>
  <c r="D20" i="24"/>
  <c r="C20" i="24"/>
  <c r="D19" i="24"/>
  <c r="C19" i="24"/>
  <c r="D18" i="24"/>
  <c r="C18" i="24"/>
  <c r="D17" i="24"/>
  <c r="C17" i="24"/>
  <c r="D16" i="24"/>
  <c r="C16" i="24"/>
  <c r="D15" i="24"/>
  <c r="C15" i="24"/>
  <c r="D14" i="24"/>
  <c r="C14" i="24"/>
  <c r="D13" i="24"/>
  <c r="C13" i="24"/>
  <c r="D12" i="24"/>
  <c r="C12" i="24"/>
  <c r="D11" i="24"/>
  <c r="C11" i="24"/>
  <c r="D10" i="24"/>
  <c r="C10" i="24"/>
  <c r="D9" i="24"/>
  <c r="C9" i="24"/>
  <c r="D8" i="24"/>
  <c r="C8" i="24"/>
  <c r="D7" i="24"/>
  <c r="C7" i="24"/>
  <c r="D6" i="24"/>
  <c r="C6" i="24"/>
  <c r="D5" i="24"/>
  <c r="C5" i="24"/>
  <c r="D4" i="24"/>
  <c r="C4" i="24"/>
  <c r="F24" i="11" l="1"/>
  <c r="C60" i="11"/>
  <c r="D60" i="11"/>
  <c r="D59" i="11"/>
  <c r="C59" i="11"/>
  <c r="D58" i="11"/>
  <c r="C58" i="11"/>
  <c r="F58" i="11" l="1"/>
  <c r="E59" i="11"/>
  <c r="E58" i="11"/>
  <c r="F59" i="11"/>
  <c r="B29" i="1"/>
  <c r="E4" i="11" l="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V84" i="22"/>
  <c r="D4" i="11" s="1"/>
  <c r="V85" i="22"/>
  <c r="D5" i="11" s="1"/>
  <c r="V86" i="22"/>
  <c r="D6" i="11" s="1"/>
  <c r="V87" i="22"/>
  <c r="D7" i="11" s="1"/>
  <c r="V88" i="22"/>
  <c r="D8" i="11" s="1"/>
  <c r="V89" i="22"/>
  <c r="D9" i="11" s="1"/>
  <c r="V90" i="22"/>
  <c r="D10" i="11" s="1"/>
  <c r="V91" i="22"/>
  <c r="D11" i="11" s="1"/>
  <c r="V92" i="22"/>
  <c r="D12" i="11" s="1"/>
  <c r="V93" i="22"/>
  <c r="D13" i="11" s="1"/>
  <c r="V94" i="22"/>
  <c r="D14" i="11" s="1"/>
  <c r="V95" i="22"/>
  <c r="D15" i="11" s="1"/>
  <c r="V96" i="22"/>
  <c r="D16" i="11" s="1"/>
  <c r="V97" i="22"/>
  <c r="D17" i="11" s="1"/>
  <c r="V98" i="22"/>
  <c r="D18" i="11" s="1"/>
  <c r="V99" i="22"/>
  <c r="D19" i="11" s="1"/>
  <c r="V100" i="22"/>
  <c r="D20" i="11" s="1"/>
  <c r="V101" i="22"/>
  <c r="D21" i="11" s="1"/>
  <c r="V102" i="22"/>
  <c r="D22" i="11" s="1"/>
  <c r="V103" i="22"/>
  <c r="D23" i="11" s="1"/>
  <c r="V83" i="22"/>
  <c r="D3" i="11" s="1"/>
  <c r="U84" i="22"/>
  <c r="C4" i="11" s="1"/>
  <c r="U85" i="22"/>
  <c r="C5" i="11" s="1"/>
  <c r="U86" i="22"/>
  <c r="C6" i="11" s="1"/>
  <c r="U87" i="22"/>
  <c r="C7" i="11" s="1"/>
  <c r="U88" i="22"/>
  <c r="C8" i="11" s="1"/>
  <c r="U89" i="22"/>
  <c r="C9" i="11" s="1"/>
  <c r="U90" i="22"/>
  <c r="C10" i="11" s="1"/>
  <c r="U91" i="22"/>
  <c r="C11" i="11" s="1"/>
  <c r="U92" i="22"/>
  <c r="C12" i="11" s="1"/>
  <c r="U93" i="22"/>
  <c r="C13" i="11" s="1"/>
  <c r="U94" i="22"/>
  <c r="C14" i="11" s="1"/>
  <c r="U95" i="22"/>
  <c r="C15" i="11" s="1"/>
  <c r="U96" i="22"/>
  <c r="C16" i="11" s="1"/>
  <c r="U97" i="22"/>
  <c r="C17" i="11" s="1"/>
  <c r="U98" i="22"/>
  <c r="C18" i="11" s="1"/>
  <c r="U99" i="22"/>
  <c r="C19" i="11" s="1"/>
  <c r="U100" i="22"/>
  <c r="C20" i="11" s="1"/>
  <c r="U101" i="22"/>
  <c r="C21" i="11" s="1"/>
  <c r="U102" i="22"/>
  <c r="C22" i="11" s="1"/>
  <c r="U103" i="22"/>
  <c r="C23" i="11" s="1"/>
  <c r="U83" i="22"/>
  <c r="C3" i="11" s="1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36" i="22"/>
  <c r="S37" i="22"/>
  <c r="S38" i="22"/>
  <c r="S39" i="22"/>
  <c r="S40" i="22"/>
  <c r="S41" i="22"/>
  <c r="S42" i="22"/>
  <c r="S43" i="22"/>
  <c r="S44" i="22"/>
  <c r="S45" i="22"/>
  <c r="S46" i="22"/>
  <c r="S47" i="22"/>
  <c r="S48" i="22"/>
  <c r="S49" i="22"/>
  <c r="S50" i="22"/>
  <c r="S51" i="22"/>
  <c r="S52" i="22"/>
  <c r="S53" i="22"/>
  <c r="S54" i="22"/>
  <c r="S55" i="22"/>
  <c r="S56" i="22"/>
  <c r="S57" i="22"/>
  <c r="S58" i="22"/>
  <c r="S59" i="22"/>
  <c r="S60" i="22"/>
  <c r="S61" i="22"/>
  <c r="S62" i="22"/>
  <c r="S63" i="22"/>
  <c r="S64" i="22"/>
  <c r="S65" i="22"/>
  <c r="S66" i="22"/>
  <c r="S67" i="22"/>
  <c r="S68" i="22"/>
  <c r="S69" i="22"/>
  <c r="S70" i="22"/>
  <c r="S71" i="22"/>
  <c r="S72" i="22"/>
  <c r="S73" i="22"/>
  <c r="S74" i="22"/>
  <c r="S75" i="22"/>
  <c r="S76" i="22"/>
  <c r="S77" i="22"/>
  <c r="S78" i="22"/>
  <c r="S79" i="22"/>
  <c r="S80" i="22"/>
  <c r="S81" i="22"/>
  <c r="S82" i="22"/>
  <c r="S83" i="22"/>
  <c r="S84" i="22"/>
  <c r="S85" i="22"/>
  <c r="S86" i="22"/>
  <c r="S87" i="22"/>
  <c r="S88" i="22"/>
  <c r="S89" i="22"/>
  <c r="S90" i="22"/>
  <c r="S91" i="22"/>
  <c r="S92" i="22"/>
  <c r="S93" i="22"/>
  <c r="S94" i="22"/>
  <c r="S95" i="22"/>
  <c r="S96" i="22"/>
  <c r="S97" i="22"/>
  <c r="S98" i="22"/>
  <c r="S99" i="22"/>
  <c r="S100" i="22"/>
  <c r="S101" i="22"/>
  <c r="S102" i="22"/>
  <c r="S103" i="22"/>
  <c r="G23" i="11" l="1"/>
  <c r="F23" i="11"/>
  <c r="E32" i="23"/>
  <c r="F32" i="23"/>
  <c r="B32" i="23"/>
  <c r="C32" i="23" l="1"/>
  <c r="G9" i="11" l="1"/>
  <c r="F7" i="11"/>
  <c r="F15" i="11"/>
  <c r="F87" i="11"/>
  <c r="E60" i="11"/>
  <c r="F60" i="11"/>
  <c r="E61" i="11"/>
  <c r="F61" i="11"/>
  <c r="E62" i="11"/>
  <c r="F62" i="11"/>
  <c r="E63" i="11"/>
  <c r="F63" i="11"/>
  <c r="E64" i="11"/>
  <c r="F64" i="11"/>
  <c r="E65" i="11"/>
  <c r="F65" i="11"/>
  <c r="E66" i="11"/>
  <c r="F66" i="11"/>
  <c r="E67" i="11"/>
  <c r="F67" i="11"/>
  <c r="E68" i="11"/>
  <c r="F68" i="11"/>
  <c r="E69" i="11"/>
  <c r="F69" i="11"/>
  <c r="E70" i="11"/>
  <c r="F70" i="11"/>
  <c r="E71" i="11"/>
  <c r="F71" i="11"/>
  <c r="E72" i="11"/>
  <c r="F72" i="11"/>
  <c r="E73" i="11"/>
  <c r="F73" i="11"/>
  <c r="E74" i="11"/>
  <c r="F74" i="11"/>
  <c r="E75" i="11"/>
  <c r="F75" i="11"/>
  <c r="E76" i="11"/>
  <c r="F76" i="11"/>
  <c r="E77" i="11"/>
  <c r="F77" i="11"/>
  <c r="E78" i="11"/>
  <c r="F78" i="11"/>
  <c r="E79" i="11"/>
  <c r="F79" i="11"/>
  <c r="E80" i="11"/>
  <c r="F80" i="11"/>
  <c r="E81" i="11"/>
  <c r="F81" i="11"/>
  <c r="E82" i="11"/>
  <c r="F82" i="11"/>
  <c r="E83" i="11"/>
  <c r="F83" i="11"/>
  <c r="E84" i="11"/>
  <c r="F84" i="11"/>
  <c r="E85" i="11"/>
  <c r="F85" i="11"/>
  <c r="E86" i="11"/>
  <c r="F86" i="11"/>
  <c r="E87" i="11"/>
  <c r="E3" i="11"/>
  <c r="E25" i="11" s="1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C2" i="3"/>
  <c r="C1" i="2" s="1"/>
  <c r="D2" i="3"/>
  <c r="D1" i="2" s="1"/>
  <c r="E2" i="3"/>
  <c r="E1" i="2" s="1"/>
  <c r="F2" i="3"/>
  <c r="F1" i="2" s="1"/>
  <c r="G2" i="3"/>
  <c r="G1" i="2" s="1"/>
  <c r="H2" i="3"/>
  <c r="H1" i="2" s="1"/>
  <c r="I2" i="3"/>
  <c r="I1" i="2" s="1"/>
  <c r="J2" i="3"/>
  <c r="J1" i="2" s="1"/>
  <c r="K2" i="3"/>
  <c r="K1" i="2" s="1"/>
  <c r="L2" i="3"/>
  <c r="L1" i="2" s="1"/>
  <c r="M2" i="3"/>
  <c r="M1" i="2" s="1"/>
  <c r="N2" i="3"/>
  <c r="N1" i="2" s="1"/>
  <c r="O2" i="3"/>
  <c r="O1" i="2" s="1"/>
  <c r="P2" i="3"/>
  <c r="P1" i="2" s="1"/>
  <c r="Q2" i="3"/>
  <c r="Q1" i="2" s="1"/>
  <c r="R2" i="3"/>
  <c r="R1" i="2" s="1"/>
  <c r="S2" i="3"/>
  <c r="S1" i="2" s="1"/>
  <c r="T2" i="3"/>
  <c r="T1" i="2" s="1"/>
  <c r="U2" i="3"/>
  <c r="U1" i="2" s="1"/>
  <c r="V2" i="3"/>
  <c r="V1" i="2" s="1"/>
  <c r="W2" i="3"/>
  <c r="W1" i="2" s="1"/>
  <c r="X2" i="3"/>
  <c r="X1" i="2" s="1"/>
  <c r="Y2" i="3"/>
  <c r="Y1" i="2" s="1"/>
  <c r="Z2" i="3"/>
  <c r="Z1" i="2" s="1"/>
  <c r="AA2" i="3"/>
  <c r="AA1" i="2" s="1"/>
  <c r="AB2" i="3"/>
  <c r="AB1" i="2" s="1"/>
  <c r="AC2" i="3"/>
  <c r="AC1" i="2" s="1"/>
  <c r="AD2" i="3"/>
  <c r="AD1" i="2" s="1"/>
  <c r="AE2" i="3"/>
  <c r="AE1" i="2" s="1"/>
  <c r="B2" i="3"/>
  <c r="AK3" i="7"/>
  <c r="C99" i="11" l="1"/>
  <c r="D99" i="11" s="1"/>
  <c r="D90" i="11"/>
  <c r="F18" i="11"/>
  <c r="F10" i="11"/>
  <c r="G13" i="11"/>
  <c r="G5" i="11"/>
  <c r="F9" i="11"/>
  <c r="G18" i="11"/>
  <c r="G20" i="11"/>
  <c r="G12" i="11"/>
  <c r="G4" i="11"/>
  <c r="G10" i="11"/>
  <c r="F16" i="11"/>
  <c r="F8" i="11"/>
  <c r="F17" i="11"/>
  <c r="F3" i="11"/>
  <c r="G3" i="11"/>
  <c r="G7" i="11"/>
  <c r="G15" i="11"/>
  <c r="G8" i="11"/>
  <c r="G16" i="11"/>
  <c r="G17" i="11"/>
  <c r="G21" i="11"/>
  <c r="G11" i="11"/>
  <c r="G19" i="11"/>
  <c r="F4" i="11"/>
  <c r="F12" i="11"/>
  <c r="F20" i="11"/>
  <c r="F21" i="11"/>
  <c r="F13" i="11"/>
  <c r="F5" i="11"/>
  <c r="F6" i="11"/>
  <c r="F14" i="11"/>
  <c r="F22" i="11"/>
  <c r="G6" i="11"/>
  <c r="G14" i="11"/>
  <c r="G22" i="11"/>
  <c r="F11" i="11"/>
  <c r="F19" i="11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AL3" i="7"/>
  <c r="AL4" i="7"/>
  <c r="AL5" i="7"/>
  <c r="AL6" i="7"/>
  <c r="AL7" i="7"/>
  <c r="AK4" i="7"/>
  <c r="AK5" i="7"/>
  <c r="AK6" i="7"/>
  <c r="AK7" i="7"/>
  <c r="F25" i="11" l="1"/>
  <c r="G25" i="11"/>
  <c r="G21" i="2"/>
  <c r="AD21" i="2"/>
  <c r="V21" i="2"/>
  <c r="N21" i="2"/>
  <c r="F21" i="2"/>
  <c r="AC21" i="2"/>
  <c r="U21" i="2"/>
  <c r="M21" i="2"/>
  <c r="E21" i="2"/>
  <c r="AB21" i="2"/>
  <c r="T21" i="2"/>
  <c r="L21" i="2"/>
  <c r="D21" i="2"/>
  <c r="AA21" i="2"/>
  <c r="S21" i="2"/>
  <c r="K21" i="2"/>
  <c r="C21" i="2"/>
  <c r="Z21" i="2"/>
  <c r="R21" i="2"/>
  <c r="J21" i="2"/>
  <c r="Y21" i="2"/>
  <c r="Q21" i="2"/>
  <c r="I21" i="2"/>
  <c r="X21" i="2"/>
  <c r="P21" i="2"/>
  <c r="H21" i="2"/>
  <c r="AE21" i="2"/>
  <c r="W21" i="2"/>
  <c r="O21" i="2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C19" i="2"/>
  <c r="D113" i="3"/>
  <c r="D19" i="2" s="1"/>
  <c r="E113" i="3"/>
  <c r="E19" i="2" s="1"/>
  <c r="F113" i="3"/>
  <c r="F19" i="2" s="1"/>
  <c r="G113" i="3"/>
  <c r="G19" i="2" s="1"/>
  <c r="H113" i="3"/>
  <c r="H19" i="2" s="1"/>
  <c r="I113" i="3"/>
  <c r="I19" i="2" s="1"/>
  <c r="J113" i="3"/>
  <c r="J19" i="2" s="1"/>
  <c r="K113" i="3"/>
  <c r="K19" i="2" s="1"/>
  <c r="L113" i="3"/>
  <c r="L19" i="2" s="1"/>
  <c r="M113" i="3"/>
  <c r="M19" i="2" s="1"/>
  <c r="N113" i="3"/>
  <c r="N19" i="2" s="1"/>
  <c r="O113" i="3"/>
  <c r="O19" i="2" s="1"/>
  <c r="P113" i="3"/>
  <c r="P19" i="2" s="1"/>
  <c r="Q113" i="3"/>
  <c r="Q19" i="2" s="1"/>
  <c r="R113" i="3"/>
  <c r="R19" i="2" s="1"/>
  <c r="S113" i="3"/>
  <c r="S19" i="2" s="1"/>
  <c r="T113" i="3"/>
  <c r="T19" i="2" s="1"/>
  <c r="U113" i="3"/>
  <c r="U19" i="2" s="1"/>
  <c r="V113" i="3"/>
  <c r="V19" i="2" s="1"/>
  <c r="W113" i="3"/>
  <c r="W19" i="2" s="1"/>
  <c r="X113" i="3"/>
  <c r="X19" i="2" s="1"/>
  <c r="Y113" i="3"/>
  <c r="Y19" i="2" s="1"/>
  <c r="Z113" i="3"/>
  <c r="Z19" i="2" s="1"/>
  <c r="AA113" i="3"/>
  <c r="AA19" i="2" s="1"/>
  <c r="AB113" i="3"/>
  <c r="AB19" i="2" s="1"/>
  <c r="AC113" i="3"/>
  <c r="AC19" i="2" s="1"/>
  <c r="AD113" i="3"/>
  <c r="AD19" i="2" s="1"/>
  <c r="AE113" i="3"/>
  <c r="AE19" i="2" s="1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D51" i="11" l="1"/>
  <c r="D52" i="11"/>
  <c r="D47" i="11"/>
  <c r="D41" i="11"/>
  <c r="D35" i="11"/>
  <c r="D54" i="11"/>
  <c r="D37" i="11"/>
  <c r="D44" i="11"/>
  <c r="D42" i="11"/>
  <c r="D36" i="11"/>
  <c r="D50" i="11"/>
  <c r="C40" i="11"/>
  <c r="C43" i="11"/>
  <c r="C52" i="11"/>
  <c r="C38" i="11"/>
  <c r="C55" i="11"/>
  <c r="C47" i="11"/>
  <c r="C51" i="11"/>
  <c r="C50" i="11"/>
  <c r="C48" i="11"/>
  <c r="C45" i="11"/>
  <c r="C49" i="11"/>
  <c r="C53" i="11"/>
  <c r="C46" i="11"/>
  <c r="D43" i="11"/>
  <c r="D49" i="11"/>
  <c r="D53" i="11"/>
  <c r="C44" i="11"/>
  <c r="C36" i="11"/>
  <c r="C39" i="11"/>
  <c r="C42" i="11"/>
  <c r="D39" i="11"/>
  <c r="C41" i="11"/>
  <c r="D48" i="11"/>
  <c r="D40" i="11"/>
  <c r="D45" i="11"/>
  <c r="D55" i="11"/>
  <c r="C37" i="11"/>
  <c r="C54" i="11"/>
  <c r="D46" i="11"/>
  <c r="D38" i="11"/>
  <c r="V12" i="2"/>
  <c r="G10" i="2"/>
  <c r="F14" i="2"/>
  <c r="AD22" i="2"/>
  <c r="L9" i="2"/>
  <c r="D10" i="2"/>
  <c r="AC11" i="2"/>
  <c r="M11" i="2"/>
  <c r="T12" i="2"/>
  <c r="E12" i="2"/>
  <c r="AA13" i="2"/>
  <c r="AB13" i="2"/>
  <c r="D13" i="2"/>
  <c r="U13" i="2"/>
  <c r="M13" i="2"/>
  <c r="T14" i="2"/>
  <c r="AC14" i="2"/>
  <c r="E14" i="2"/>
  <c r="D9" i="2"/>
  <c r="L10" i="2"/>
  <c r="L11" i="2"/>
  <c r="T20" i="2"/>
  <c r="T22" i="2"/>
  <c r="L22" i="2"/>
  <c r="K9" i="2"/>
  <c r="X10" i="2"/>
  <c r="H12" i="2"/>
  <c r="H14" i="2"/>
  <c r="P20" i="2"/>
  <c r="X22" i="2"/>
  <c r="I20" i="2"/>
  <c r="N9" i="2"/>
  <c r="F10" i="2"/>
  <c r="F13" i="2"/>
  <c r="L20" i="2"/>
  <c r="U20" i="2"/>
  <c r="N20" i="2"/>
  <c r="V22" i="2"/>
  <c r="T9" i="2"/>
  <c r="AB10" i="2"/>
  <c r="T10" i="2"/>
  <c r="AB11" i="2"/>
  <c r="D11" i="2"/>
  <c r="L12" i="2"/>
  <c r="D12" i="2"/>
  <c r="T13" i="2"/>
  <c r="L14" i="2"/>
  <c r="AB20" i="2"/>
  <c r="D20" i="2"/>
  <c r="AB22" i="2"/>
  <c r="D22" i="2"/>
  <c r="AA9" i="2"/>
  <c r="S9" i="2"/>
  <c r="C9" i="2"/>
  <c r="AA10" i="2"/>
  <c r="S10" i="2"/>
  <c r="K10" i="2"/>
  <c r="C10" i="2"/>
  <c r="AA11" i="2"/>
  <c r="S11" i="2"/>
  <c r="K11" i="2"/>
  <c r="C11" i="2"/>
  <c r="AA12" i="2"/>
  <c r="S12" i="2"/>
  <c r="K12" i="2"/>
  <c r="C12" i="2"/>
  <c r="S13" i="2"/>
  <c r="K13" i="2"/>
  <c r="C13" i="2"/>
  <c r="AA14" i="2"/>
  <c r="S14" i="2"/>
  <c r="K14" i="2"/>
  <c r="C14" i="2"/>
  <c r="AA17" i="2"/>
  <c r="S17" i="2"/>
  <c r="K17" i="2"/>
  <c r="C17" i="2"/>
  <c r="AA18" i="2"/>
  <c r="S18" i="2"/>
  <c r="K18" i="2"/>
  <c r="C18" i="2"/>
  <c r="AA20" i="2"/>
  <c r="S20" i="2"/>
  <c r="K20" i="2"/>
  <c r="C20" i="2"/>
  <c r="AA22" i="2"/>
  <c r="S22" i="2"/>
  <c r="K22" i="2"/>
  <c r="C22" i="2"/>
  <c r="O9" i="2"/>
  <c r="Q9" i="2"/>
  <c r="AD10" i="2"/>
  <c r="I10" i="2"/>
  <c r="I11" i="2"/>
  <c r="J11" i="2"/>
  <c r="Q13" i="2"/>
  <c r="J13" i="2"/>
  <c r="G14" i="2"/>
  <c r="R14" i="2"/>
  <c r="R17" i="2"/>
  <c r="R18" i="2"/>
  <c r="V20" i="2"/>
  <c r="Y20" i="2"/>
  <c r="Z20" i="2"/>
  <c r="R20" i="2"/>
  <c r="J20" i="2"/>
  <c r="G22" i="2"/>
  <c r="Y22" i="2"/>
  <c r="Q22" i="2"/>
  <c r="I22" i="2"/>
  <c r="Z22" i="2"/>
  <c r="R22" i="2"/>
  <c r="J22" i="2"/>
  <c r="AE9" i="2"/>
  <c r="J9" i="2"/>
  <c r="J10" i="2"/>
  <c r="F11" i="2"/>
  <c r="Q11" i="2"/>
  <c r="Z11" i="2"/>
  <c r="G12" i="2"/>
  <c r="Q12" i="2"/>
  <c r="Z12" i="2"/>
  <c r="R12" i="2"/>
  <c r="R13" i="2"/>
  <c r="Z14" i="2"/>
  <c r="J14" i="2"/>
  <c r="Z17" i="2"/>
  <c r="Z18" i="2"/>
  <c r="Y9" i="2"/>
  <c r="AD11" i="2"/>
  <c r="R11" i="2"/>
  <c r="I12" i="2"/>
  <c r="J12" i="2"/>
  <c r="Z13" i="2"/>
  <c r="J17" i="2"/>
  <c r="J18" i="2"/>
  <c r="H9" i="2"/>
  <c r="W11" i="2"/>
  <c r="O11" i="2"/>
  <c r="H11" i="2"/>
  <c r="AE12" i="2"/>
  <c r="AE13" i="2"/>
  <c r="G13" i="2"/>
  <c r="H13" i="2"/>
  <c r="AE14" i="2"/>
  <c r="R10" i="2"/>
  <c r="Z9" i="2"/>
  <c r="Z10" i="2"/>
  <c r="Y10" i="2"/>
  <c r="Y11" i="2"/>
  <c r="Y12" i="2"/>
  <c r="Y13" i="2"/>
  <c r="I13" i="2"/>
  <c r="Y14" i="2"/>
  <c r="Q14" i="2"/>
  <c r="I14" i="2"/>
  <c r="Q20" i="2"/>
  <c r="X9" i="2"/>
  <c r="P9" i="2"/>
  <c r="W10" i="2"/>
  <c r="P10" i="2"/>
  <c r="H10" i="2"/>
  <c r="X11" i="2"/>
  <c r="P11" i="2"/>
  <c r="O12" i="2"/>
  <c r="X12" i="2"/>
  <c r="P12" i="2"/>
  <c r="O13" i="2"/>
  <c r="X13" i="2"/>
  <c r="P13" i="2"/>
  <c r="O14" i="2"/>
  <c r="X14" i="2"/>
  <c r="P14" i="2"/>
  <c r="X17" i="2"/>
  <c r="P17" i="2"/>
  <c r="H17" i="2"/>
  <c r="X18" i="2"/>
  <c r="P18" i="2"/>
  <c r="H18" i="2"/>
  <c r="X20" i="2"/>
  <c r="H20" i="2"/>
  <c r="W22" i="2"/>
  <c r="P22" i="2"/>
  <c r="H22" i="2"/>
  <c r="R9" i="2"/>
  <c r="W9" i="2"/>
  <c r="AE10" i="2"/>
  <c r="AE11" i="2"/>
  <c r="W12" i="2"/>
  <c r="W13" i="2"/>
  <c r="AE20" i="2"/>
  <c r="O20" i="2"/>
  <c r="AE22" i="2"/>
  <c r="F9" i="2"/>
  <c r="V10" i="2"/>
  <c r="N10" i="2"/>
  <c r="V11" i="2"/>
  <c r="N11" i="2"/>
  <c r="AD12" i="2"/>
  <c r="N12" i="2"/>
  <c r="F12" i="2"/>
  <c r="AD13" i="2"/>
  <c r="V13" i="2"/>
  <c r="N13" i="2"/>
  <c r="AD14" i="2"/>
  <c r="V14" i="2"/>
  <c r="N14" i="2"/>
  <c r="AD17" i="2"/>
  <c r="V17" i="2"/>
  <c r="N17" i="2"/>
  <c r="F17" i="2"/>
  <c r="AD18" i="2"/>
  <c r="V18" i="2"/>
  <c r="N18" i="2"/>
  <c r="F18" i="2"/>
  <c r="E20" i="2"/>
  <c r="AD20" i="2"/>
  <c r="F20" i="2"/>
  <c r="N22" i="2"/>
  <c r="F22" i="2"/>
  <c r="Q10" i="2"/>
  <c r="I9" i="2"/>
  <c r="G9" i="2"/>
  <c r="O10" i="2"/>
  <c r="G11" i="2"/>
  <c r="W14" i="2"/>
  <c r="W20" i="2"/>
  <c r="G20" i="2"/>
  <c r="O22" i="2"/>
  <c r="AD9" i="2"/>
  <c r="V9" i="2"/>
  <c r="AB9" i="2"/>
  <c r="AC9" i="2"/>
  <c r="U9" i="2"/>
  <c r="M9" i="2"/>
  <c r="E9" i="2"/>
  <c r="AC10" i="2"/>
  <c r="U10" i="2"/>
  <c r="M10" i="2"/>
  <c r="E10" i="2"/>
  <c r="T11" i="2"/>
  <c r="U11" i="2"/>
  <c r="E11" i="2"/>
  <c r="AB12" i="2"/>
  <c r="AC12" i="2"/>
  <c r="U12" i="2"/>
  <c r="M12" i="2"/>
  <c r="L13" i="2"/>
  <c r="AC13" i="2"/>
  <c r="E13" i="2"/>
  <c r="AB14" i="2"/>
  <c r="D14" i="2"/>
  <c r="U14" i="2"/>
  <c r="M14" i="2"/>
  <c r="AC20" i="2"/>
  <c r="M20" i="2"/>
  <c r="AC22" i="2"/>
  <c r="U22" i="2"/>
  <c r="M22" i="2"/>
  <c r="E22" i="2"/>
  <c r="Y17" i="2"/>
  <c r="Q17" i="2"/>
  <c r="I17" i="2"/>
  <c r="Y18" i="2"/>
  <c r="Q18" i="2"/>
  <c r="I18" i="2"/>
  <c r="AE17" i="2"/>
  <c r="W17" i="2"/>
  <c r="O17" i="2"/>
  <c r="G17" i="2"/>
  <c r="AE18" i="2"/>
  <c r="W18" i="2"/>
  <c r="O18" i="2"/>
  <c r="G18" i="2"/>
  <c r="U17" i="2"/>
  <c r="E17" i="2"/>
  <c r="U18" i="2"/>
  <c r="E18" i="2"/>
  <c r="AC17" i="2"/>
  <c r="M17" i="2"/>
  <c r="AC18" i="2"/>
  <c r="M18" i="2"/>
  <c r="AB17" i="2"/>
  <c r="T17" i="2"/>
  <c r="L17" i="2"/>
  <c r="D17" i="2"/>
  <c r="AB18" i="2"/>
  <c r="T18" i="2"/>
  <c r="L18" i="2"/>
  <c r="D18" i="2"/>
  <c r="C100" i="11" l="1"/>
  <c r="D100" i="11" s="1"/>
  <c r="C105" i="11"/>
  <c r="D105" i="11" s="1"/>
  <c r="C115" i="11"/>
  <c r="D115" i="11" s="1"/>
  <c r="C111" i="11"/>
  <c r="D111" i="11" s="1"/>
  <c r="C106" i="11"/>
  <c r="D106" i="11" s="1"/>
  <c r="C118" i="11"/>
  <c r="D118" i="11" s="1"/>
  <c r="C114" i="11"/>
  <c r="D114" i="11" s="1"/>
  <c r="C117" i="11"/>
  <c r="D117" i="11" s="1"/>
  <c r="C113" i="11"/>
  <c r="D113" i="11" s="1"/>
  <c r="C103" i="11"/>
  <c r="D103" i="11" s="1"/>
  <c r="C119" i="11"/>
  <c r="D119" i="11" s="1"/>
  <c r="C110" i="11"/>
  <c r="D110" i="11" s="1"/>
  <c r="C107" i="11"/>
  <c r="D107" i="11" s="1"/>
  <c r="C104" i="11"/>
  <c r="D104" i="11" s="1"/>
  <c r="C116" i="11"/>
  <c r="D116" i="11" s="1"/>
  <c r="C101" i="11"/>
  <c r="D101" i="11" s="1"/>
  <c r="C109" i="11"/>
  <c r="D109" i="11" s="1"/>
  <c r="C102" i="11"/>
  <c r="D102" i="11" s="1"/>
  <c r="C112" i="11"/>
  <c r="D112" i="11" s="1"/>
  <c r="C108" i="11"/>
  <c r="D108" i="11" s="1"/>
  <c r="Z5" i="2"/>
  <c r="R5" i="2"/>
  <c r="J5" i="2"/>
  <c r="Z3" i="2"/>
  <c r="J3" i="2"/>
  <c r="R3" i="2"/>
  <c r="I5" i="2"/>
  <c r="X3" i="2"/>
  <c r="H5" i="2"/>
  <c r="Y3" i="2"/>
  <c r="Q5" i="2"/>
  <c r="AE3" i="2"/>
  <c r="W3" i="2"/>
  <c r="O3" i="2"/>
  <c r="G3" i="2"/>
  <c r="AE5" i="2"/>
  <c r="W5" i="2"/>
  <c r="O5" i="2"/>
  <c r="G5" i="2"/>
  <c r="Y5" i="2"/>
  <c r="H3" i="2"/>
  <c r="P5" i="2"/>
  <c r="AD3" i="2"/>
  <c r="V3" i="2"/>
  <c r="N3" i="2"/>
  <c r="F3" i="2"/>
  <c r="AD5" i="2"/>
  <c r="V5" i="2"/>
  <c r="N5" i="2"/>
  <c r="F5" i="2"/>
  <c r="X5" i="2"/>
  <c r="AC3" i="2"/>
  <c r="U3" i="2"/>
  <c r="M3" i="2"/>
  <c r="E3" i="2"/>
  <c r="AC5" i="2"/>
  <c r="U5" i="2"/>
  <c r="M5" i="2"/>
  <c r="E5" i="2"/>
  <c r="I3" i="2"/>
  <c r="AB3" i="2"/>
  <c r="T3" i="2"/>
  <c r="L3" i="2"/>
  <c r="D3" i="2"/>
  <c r="AB5" i="2"/>
  <c r="T5" i="2"/>
  <c r="L5" i="2"/>
  <c r="D5" i="2"/>
  <c r="Q3" i="2"/>
  <c r="P3" i="2"/>
  <c r="AA3" i="2"/>
  <c r="S3" i="2"/>
  <c r="K3" i="2"/>
  <c r="C3" i="2"/>
  <c r="AA5" i="2"/>
  <c r="S5" i="2"/>
  <c r="K5" i="2"/>
  <c r="C5" i="2"/>
  <c r="D32" i="23" l="1"/>
  <c r="D30" i="11" l="1"/>
  <c r="C28" i="11"/>
  <c r="C29" i="11"/>
  <c r="D28" i="11"/>
  <c r="D29" i="11"/>
  <c r="C30" i="11"/>
  <c r="C94" i="11" l="1"/>
  <c r="D94" i="11" s="1"/>
  <c r="C93" i="11"/>
  <c r="D93" i="11" s="1"/>
  <c r="C31" i="11"/>
  <c r="D31" i="11"/>
  <c r="C92" i="11"/>
  <c r="C95" i="11" l="1"/>
  <c r="D95" i="11" s="1"/>
  <c r="D32" i="11"/>
  <c r="C32" i="11"/>
  <c r="C96" i="11" l="1"/>
  <c r="C33" i="11"/>
  <c r="D33" i="11"/>
  <c r="D96" i="11" l="1"/>
  <c r="C97" i="11"/>
  <c r="D97" i="11" s="1"/>
  <c r="C34" i="11"/>
  <c r="D34" i="11"/>
  <c r="C98" i="11" l="1"/>
  <c r="D98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<sst xmlns="http://schemas.openxmlformats.org/spreadsheetml/2006/main" count="2600" uniqueCount="1823">
  <si>
    <t>Source:</t>
  </si>
  <si>
    <t>Notes</t>
  </si>
  <si>
    <t>hard coal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</si>
  <si>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</si>
  <si>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</si>
  <si>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</si>
  <si>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</si>
  <si>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</si>
  <si>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</si>
  <si>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</si>
  <si>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</si>
  <si>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</si>
  <si>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hydro (is not a fuel)</t>
  </si>
  <si>
    <t>wind (is not a fuel)</t>
  </si>
  <si>
    <t>solar (is not a fuel)</t>
  </si>
  <si>
    <t>geothermal (is not a fuel)</t>
  </si>
  <si>
    <t>The prices in this variable should include export taxes, if any.  In other words, they should be</t>
  </si>
  <si>
    <t>the prices paid on the global market.  For more details on export taxes, see variable fuels/ETRbF.</t>
  </si>
  <si>
    <t>Nuclear here refers to nuclear fuel, i.e. uranium oxide, not electricity from nuclear plants.</t>
  </si>
  <si>
    <t>Electricity exports are handled separately (in the power sector), not in this variable.</t>
  </si>
  <si>
    <t>heat (energy carrier)</t>
  </si>
  <si>
    <t>electricity (energy carrier)</t>
  </si>
  <si>
    <t>Hard Coal</t>
  </si>
  <si>
    <t>Transportation Sector Price ($/BTU)</t>
  </si>
  <si>
    <t>Electricity Sector Price ($/BTU)</t>
  </si>
  <si>
    <t>Residential Buildings Sector Price ($/BTU)</t>
  </si>
  <si>
    <t>Commercial Buildings Sector Price ($/BTU)</t>
  </si>
  <si>
    <t>Industry Sector Price ($/BTU)</t>
  </si>
  <si>
    <t>District Heating Sector Price ($/BTU)</t>
  </si>
  <si>
    <t>LULUCF Sector Price ($/BTU)</t>
  </si>
  <si>
    <t>Year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</si>
  <si>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</si>
  <si>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</si>
  <si>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</si>
  <si>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</si>
  <si>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</si>
  <si>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</si>
  <si>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</si>
  <si>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</si>
  <si>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</si>
  <si>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IMFPbFT International Market Fuel Price by Fuel Type</t>
  </si>
  <si>
    <t>crude oil</t>
  </si>
  <si>
    <t>heavy fuel oil</t>
  </si>
  <si>
    <t>LPG propane or butane</t>
  </si>
  <si>
    <t>municipal solid waste</t>
  </si>
  <si>
    <t>hydrogen</t>
  </si>
  <si>
    <t>Crude Oil</t>
  </si>
  <si>
    <t>Heavy Fuel Oil</t>
  </si>
  <si>
    <t>LPG Propane or Butane</t>
  </si>
  <si>
    <t>Municipal Solid Waste</t>
  </si>
  <si>
    <t>Hydrogen</t>
  </si>
  <si>
    <t>International Market 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</si>
  <si>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</si>
  <si>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</si>
  <si>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</si>
  <si>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</si>
  <si>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</si>
  <si>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</si>
  <si>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</si>
  <si>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</si>
  <si>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Electricity Fuel Use</t>
  </si>
  <si>
    <t>Building Components Energy Use</t>
  </si>
  <si>
    <t>residential</t>
  </si>
  <si>
    <t>commercial</t>
  </si>
  <si>
    <t>Industrial Fuel Use</t>
  </si>
  <si>
    <t>Transportation</t>
  </si>
  <si>
    <t>For fuels that vary by sector, we take a weighted average based on the first year consumption in the model.</t>
  </si>
  <si>
    <t>Fuel Use by Sector (EPS output)</t>
  </si>
  <si>
    <t>We estimate this value based on the prices seen within the United States.</t>
  </si>
  <si>
    <t>see fuels/BFPaT and EPS outputs referenced in BAU Fuel Use by Sector tab</t>
  </si>
  <si>
    <t>Time</t>
  </si>
  <si>
    <t>Electricity Fuel Use[hard coal es,preexisting retiring]</t>
  </si>
  <si>
    <t>Electricity Fuel Use[hard coal es,preexisting nonretiring]</t>
  </si>
  <si>
    <t>Electricity Fuel Use[hard coal es,newly built]</t>
  </si>
  <si>
    <t>Electricity Fuel Use[natural gas nonpeaker es,preexisting retiring]</t>
  </si>
  <si>
    <t>Electricity Fuel Use[natural gas nonpeaker es,preexisting nonretiring]</t>
  </si>
  <si>
    <t>Electricity Fuel Use[natural gas nonpeaker es,newly built]</t>
  </si>
  <si>
    <t>Electricity Fuel Use[nuclear es,preexisting retiring]</t>
  </si>
  <si>
    <t>Electricity Fuel Use[nuclear es,preexisting nonretiring]</t>
  </si>
  <si>
    <t>Electricity Fuel Use[nuclear es,newly built]</t>
  </si>
  <si>
    <t>Electricity Fuel Use[hydro es,preexisting retiring]</t>
  </si>
  <si>
    <t>Electricity Fuel Use[hydro es,preexisting nonretiring]</t>
  </si>
  <si>
    <t>Electricity Fuel Use[hydro es,newly built]</t>
  </si>
  <si>
    <t>Electricity Fuel Use[onshore wind es,preexisting retiring]</t>
  </si>
  <si>
    <t>Electricity Fuel Use[onshore wind es,preexisting nonretiring]</t>
  </si>
  <si>
    <t>Electricity Fuel Use[onshore wind es,newly built]</t>
  </si>
  <si>
    <t>Electricity Fuel Use[solar PV es,preexisting retiring]</t>
  </si>
  <si>
    <t>Electricity Fuel Use[solar PV es,preexisting nonretiring]</t>
  </si>
  <si>
    <t>Electricity Fuel Use[solar PV es,newly built]</t>
  </si>
  <si>
    <t>Electricity Fuel Use[solar thermal es,preexisting retiring]</t>
  </si>
  <si>
    <t>Electricity Fuel Use[solar thermal es,preexisting nonretiring]</t>
  </si>
  <si>
    <t>Electricity Fuel Use[solar thermal es,newly built]</t>
  </si>
  <si>
    <t>Electricity Fuel Use[biomass es,preexisting retiring]</t>
  </si>
  <si>
    <t>Electricity Fuel Use[biomass es,preexisting nonretiring]</t>
  </si>
  <si>
    <t>Electricity Fuel Use[biomass es,newly built]</t>
  </si>
  <si>
    <t>Electricity Fuel Use[geothermal es,preexisting retiring]</t>
  </si>
  <si>
    <t>Electricity Fuel Use[geothermal es,preexisting nonretiring]</t>
  </si>
  <si>
    <t>Electricity Fuel Use[geothermal es,newly built]</t>
  </si>
  <si>
    <t>Electricity Fuel Use[petroleum es,preexisting retiring]</t>
  </si>
  <si>
    <t>Electricity Fuel Use[petroleum es,preexisting nonretiring]</t>
  </si>
  <si>
    <t>Electricity Fuel Use[petroleum es,newly built]</t>
  </si>
  <si>
    <t>Electricity Fuel Use[natural gas peaker es,preexisting retiring]</t>
  </si>
  <si>
    <t>Electricity Fuel Use[natural gas peaker es,preexisting nonretiring]</t>
  </si>
  <si>
    <t>Electricity Fuel Use[natural gas peaker es,newly built]</t>
  </si>
  <si>
    <t>Electricity Fuel Use[lignite es,preexisting retiring]</t>
  </si>
  <si>
    <t>Electricity Fuel Use[lignite es,preexisting nonretiring]</t>
  </si>
  <si>
    <t>Electricity Fuel Use[lignite es,newly built]</t>
  </si>
  <si>
    <t>Electricity Fuel Use[offshore wind es,preexisting retiring]</t>
  </si>
  <si>
    <t>Electricity Fuel Use[offshore wind es,preexisting nonretiring]</t>
  </si>
  <si>
    <t>Electricity Fuel Use[offshore wind es,newly built]</t>
  </si>
  <si>
    <t>Electricity Fuel Use[crude oil es,preexisting retiring]</t>
  </si>
  <si>
    <t>Electricity Fuel Use[crude oil es,preexisting nonretiring]</t>
  </si>
  <si>
    <t>Electricity Fuel Use[crude oil es,newly built]</t>
  </si>
  <si>
    <t>Electricity Fuel Use[heavy or residual fuel oil es,preexisting retiring]</t>
  </si>
  <si>
    <t>Electricity Fuel Use[heavy or residual fuel oil es,preexisting nonretiring]</t>
  </si>
  <si>
    <t>Electricity Fuel Use[heavy or residual fuel oil es,newly built]</t>
  </si>
  <si>
    <t>Electricity Fuel Use[municipal solid waste es,preexisting retiring]</t>
  </si>
  <si>
    <t>Electricity Fuel Use[municipal solid waste es,preexisting nonretiring]</t>
  </si>
  <si>
    <t>Electricity Fuel Use[municipal solid waste es,newly built]</t>
  </si>
  <si>
    <t>Industrial Fuel Use[electricity if,agriculture and forestry 01T03]</t>
  </si>
  <si>
    <t>Industrial Fuel Use[electricity if,coal mining 05]</t>
  </si>
  <si>
    <t>Industrial Fuel Use[electricity if,oil and gas extraction 06]</t>
  </si>
  <si>
    <t>Industrial Fuel Use[electricity if,other mining and quarrying 07T08]</t>
  </si>
  <si>
    <t>Industrial Fuel Use[electricity if,food beverage and tobacco 10T12]</t>
  </si>
  <si>
    <t>Industrial Fuel Use[electricity if,textiles apparel and leather 13T15]</t>
  </si>
  <si>
    <t>Industrial Fuel Use[electricity if,wood products 16]</t>
  </si>
  <si>
    <t>Industrial Fuel Use[electricity if,pulp paper and printing 17T18]</t>
  </si>
  <si>
    <t>Industrial Fuel Use[electricity if,refined petroleum and coke 19]</t>
  </si>
  <si>
    <t>Industrial Fuel Use[electricity if,chemicals 20]</t>
  </si>
  <si>
    <t>Industrial Fuel Use[electricity if,rubber and plastic products 22]</t>
  </si>
  <si>
    <t>Industrial Fuel Use[electricity if,glass and glass products 231]</t>
  </si>
  <si>
    <t>Industrial Fuel Use[electricity if,cement and other nonmetallic minerals 239]</t>
  </si>
  <si>
    <t>Industrial Fuel Use[electricity if,iron and steel 241]</t>
  </si>
  <si>
    <t>Industrial Fuel Use[electricity if,other metals 242]</t>
  </si>
  <si>
    <t>Industrial Fuel Use[electricity if,metal products except machinery and vehicles 25]</t>
  </si>
  <si>
    <t>Industrial Fuel Use[electricity if,computers and electronics 26]</t>
  </si>
  <si>
    <t>Industrial Fuel Use[electricity if,appliances and electrical equipment 27]</t>
  </si>
  <si>
    <t>Industrial Fuel Use[electricity if,other machinery 28]</t>
  </si>
  <si>
    <t>Industrial Fuel Use[electricity if,road vehicles 29]</t>
  </si>
  <si>
    <t>Industrial Fuel Use[electricity if,nonroad vehicles 30]</t>
  </si>
  <si>
    <t>Industrial Fuel Use[electricity if,other manufacturing 31T33]</t>
  </si>
  <si>
    <t>Industrial Fuel Use[electricity if,energy pipelines and gas processing 352T353]</t>
  </si>
  <si>
    <t>Industrial Fuel Use[electricity if,water and waste 36T39]</t>
  </si>
  <si>
    <t>Industrial Fuel Use[electricity if,construction 41T43]</t>
  </si>
  <si>
    <t>Industrial Fuel Use[hard coal if,agriculture and forestry 01T03]</t>
  </si>
  <si>
    <t>Industrial Fuel Use[hard coal if,coal mining 05]</t>
  </si>
  <si>
    <t>Industrial Fuel Use[hard coal if,oil and gas extraction 06]</t>
  </si>
  <si>
    <t>Industrial Fuel Use[hard coal if,other mining and quarrying 07T08]</t>
  </si>
  <si>
    <t>Industrial Fuel Use[hard coal if,food beverage and tobacco 10T12]</t>
  </si>
  <si>
    <t>Industrial Fuel Use[hard coal if,textiles apparel and leather 13T15]</t>
  </si>
  <si>
    <t>Industrial Fuel Use[hard coal if,wood products 16]</t>
  </si>
  <si>
    <t>Industrial Fuel Use[hard coal if,pulp paper and printing 17T18]</t>
  </si>
  <si>
    <t>Industrial Fuel Use[hard coal if,refined petroleum and coke 19]</t>
  </si>
  <si>
    <t>Industrial Fuel Use[hard coal if,chemicals 20]</t>
  </si>
  <si>
    <t>Industrial Fuel Use[hard coal if,rubber and plastic products 22]</t>
  </si>
  <si>
    <t>Industrial Fuel Use[hard coal if,glass and glass products 231]</t>
  </si>
  <si>
    <t>Industrial Fuel Use[hard coal if,cement and other nonmetallic minerals 239]</t>
  </si>
  <si>
    <t>Industrial Fuel Use[hard coal if,iron and steel 241]</t>
  </si>
  <si>
    <t>Industrial Fuel Use[hard coal if,other metals 242]</t>
  </si>
  <si>
    <t>Industrial Fuel Use[hard coal if,metal products except machinery and vehicles 25]</t>
  </si>
  <si>
    <t>Industrial Fuel Use[hard coal if,computers and electronics 26]</t>
  </si>
  <si>
    <t>Industrial Fuel Use[hard coal if,appliances and electrical equipment 27]</t>
  </si>
  <si>
    <t>Industrial Fuel Use[hard coal if,other machinery 28]</t>
  </si>
  <si>
    <t>Industrial Fuel Use[hard coal if,road vehicles 29]</t>
  </si>
  <si>
    <t>Industrial Fuel Use[hard coal if,nonroad vehicles 30]</t>
  </si>
  <si>
    <t>Industrial Fuel Use[hard coal if,other manufacturing 31T33]</t>
  </si>
  <si>
    <t>Industrial Fuel Use[hard coal if,energy pipelines and gas processing 352T353]</t>
  </si>
  <si>
    <t>Industrial Fuel Use[hard coal if,water and waste 36T39]</t>
  </si>
  <si>
    <t>Industrial Fuel Use[hard coal if,construction 41T43]</t>
  </si>
  <si>
    <t>Industrial Fuel Use[natural gas if,agriculture and forestry 01T03]</t>
  </si>
  <si>
    <t>Industrial Fuel Use[natural gas if,coal mining 05]</t>
  </si>
  <si>
    <t>Industrial Fuel Use[natural gas if,oil and gas extraction 06]</t>
  </si>
  <si>
    <t>Industrial Fuel Use[natural gas if,other mining and quarrying 07T08]</t>
  </si>
  <si>
    <t>Industrial Fuel Use[natural gas if,food beverage and tobacco 10T12]</t>
  </si>
  <si>
    <t>Industrial Fuel Use[natural gas if,textiles apparel and leather 13T15]</t>
  </si>
  <si>
    <t>Industrial Fuel Use[natural gas if,wood products 16]</t>
  </si>
  <si>
    <t>Industrial Fuel Use[natural gas if,pulp paper and printing 17T18]</t>
  </si>
  <si>
    <t>Industrial Fuel Use[natural gas if,refined petroleum and coke 19]</t>
  </si>
  <si>
    <t>Industrial Fuel Use[natural gas if,chemicals 20]</t>
  </si>
  <si>
    <t>Industrial Fuel Use[natural gas if,rubber and plastic products 22]</t>
  </si>
  <si>
    <t>Industrial Fuel Use[natural gas if,glass and glass products 231]</t>
  </si>
  <si>
    <t>Industrial Fuel Use[natural gas if,cement and other nonmetallic minerals 239]</t>
  </si>
  <si>
    <t>Industrial Fuel Use[natural gas if,iron and steel 241]</t>
  </si>
  <si>
    <t>Industrial Fuel Use[natural gas if,other metals 242]</t>
  </si>
  <si>
    <t>Industrial Fuel Use[natural gas if,metal products except machinery and vehicles 25]</t>
  </si>
  <si>
    <t>Industrial Fuel Use[natural gas if,computers and electronics 26]</t>
  </si>
  <si>
    <t>Industrial Fuel Use[natural gas if,appliances and electrical equipment 27]</t>
  </si>
  <si>
    <t>Industrial Fuel Use[natural gas if,other machinery 28]</t>
  </si>
  <si>
    <t>Industrial Fuel Use[natural gas if,road vehicles 29]</t>
  </si>
  <si>
    <t>Industrial Fuel Use[natural gas if,nonroad vehicles 30]</t>
  </si>
  <si>
    <t>Industrial Fuel Use[natural gas if,other manufacturing 31T33]</t>
  </si>
  <si>
    <t>Industrial Fuel Use[natural gas if,energy pipelines and gas processing 352T353]</t>
  </si>
  <si>
    <t>Industrial Fuel Use[natural gas if,water and waste 36T39]</t>
  </si>
  <si>
    <t>Industrial Fuel Use[natural gas if,construction 41T43]</t>
  </si>
  <si>
    <t>Industrial Fuel Use[biomass if,agriculture and forestry 01T03]</t>
  </si>
  <si>
    <t>Industrial Fuel Use[biomass if,coal mining 05]</t>
  </si>
  <si>
    <t>Industrial Fuel Use[biomass if,oil and gas extraction 06]</t>
  </si>
  <si>
    <t>Industrial Fuel Use[biomass if,other mining and quarrying 07T08]</t>
  </si>
  <si>
    <t>Industrial Fuel Use[biomass if,food beverage and tobacco 10T12]</t>
  </si>
  <si>
    <t>Industrial Fuel Use[biomass if,textiles apparel and leather 13T15]</t>
  </si>
  <si>
    <t>Industrial Fuel Use[biomass if,wood products 16]</t>
  </si>
  <si>
    <t>Industrial Fuel Use[biomass if,pulp paper and printing 17T18]</t>
  </si>
  <si>
    <t>Industrial Fuel Use[biomass if,refined petroleum and coke 19]</t>
  </si>
  <si>
    <t>Industrial Fuel Use[biomass if,chemicals 20]</t>
  </si>
  <si>
    <t>Industrial Fuel Use[biomass if,rubber and plastic products 22]</t>
  </si>
  <si>
    <t>Industrial Fuel Use[biomass if,glass and glass products 231]</t>
  </si>
  <si>
    <t>Industrial Fuel Use[biomass if,cement and other nonmetallic minerals 239]</t>
  </si>
  <si>
    <t>Industrial Fuel Use[biomass if,iron and steel 241]</t>
  </si>
  <si>
    <t>Industrial Fuel Use[biomass if,other metals 242]</t>
  </si>
  <si>
    <t>Industrial Fuel Use[biomass if,metal products except machinery and vehicles 25]</t>
  </si>
  <si>
    <t>Industrial Fuel Use[biomass if,computers and electronics 26]</t>
  </si>
  <si>
    <t>Industrial Fuel Use[biomass if,appliances and electrical equipment 27]</t>
  </si>
  <si>
    <t>Industrial Fuel Use[biomass if,other machinery 28]</t>
  </si>
  <si>
    <t>Industrial Fuel Use[biomass if,road vehicles 29]</t>
  </si>
  <si>
    <t>Industrial Fuel Use[biomass if,nonroad vehicles 30]</t>
  </si>
  <si>
    <t>Industrial Fuel Use[biomass if,other manufacturing 31T33]</t>
  </si>
  <si>
    <t>Industrial Fuel Use[biomass if,energy pipelines and gas processing 352T353]</t>
  </si>
  <si>
    <t>Industrial Fuel Use[biomass if,water and waste 36T39]</t>
  </si>
  <si>
    <t>Industrial Fuel Use[biomass if,construction 41T43]</t>
  </si>
  <si>
    <t>Industrial Fuel Use[petroleum diesel if,agriculture and forestry 01T03]</t>
  </si>
  <si>
    <t>Industrial Fuel Use[petroleum diesel if,coal mining 05]</t>
  </si>
  <si>
    <t>Industrial Fuel Use[petroleum diesel if,oil and gas extraction 06]</t>
  </si>
  <si>
    <t>Industrial Fuel Use[petroleum diesel if,other mining and quarrying 07T08]</t>
  </si>
  <si>
    <t>Industrial Fuel Use[petroleum diesel if,food beverage and tobacco 10T12]</t>
  </si>
  <si>
    <t>Industrial Fuel Use[petroleum diesel if,textiles apparel and leather 13T15]</t>
  </si>
  <si>
    <t>Industrial Fuel Use[petroleum diesel if,wood products 16]</t>
  </si>
  <si>
    <t>Industrial Fuel Use[petroleum diesel if,pulp paper and printing 17T18]</t>
  </si>
  <si>
    <t>Industrial Fuel Use[petroleum diesel if,refined petroleum and coke 19]</t>
  </si>
  <si>
    <t>Industrial Fuel Use[petroleum diesel if,chemicals 20]</t>
  </si>
  <si>
    <t>Industrial Fuel Use[petroleum diesel if,rubber and plastic products 22]</t>
  </si>
  <si>
    <t>Industrial Fuel Use[petroleum diesel if,glass and glass products 231]</t>
  </si>
  <si>
    <t>Industrial Fuel Use[petroleum diesel if,cement and other nonmetallic minerals 239]</t>
  </si>
  <si>
    <t>Industrial Fuel Use[petroleum diesel if,iron and steel 241]</t>
  </si>
  <si>
    <t>Industrial Fuel Use[petroleum diesel if,other metals 242]</t>
  </si>
  <si>
    <t>Industrial Fuel Use[petroleum diesel if,metal products except machinery and vehicles 25]</t>
  </si>
  <si>
    <t>Industrial Fuel Use[petroleum diesel if,computers and electronics 26]</t>
  </si>
  <si>
    <t>Industrial Fuel Use[petroleum diesel if,appliances and electrical equipment 27]</t>
  </si>
  <si>
    <t>Industrial Fuel Use[petroleum diesel if,other machinery 28]</t>
  </si>
  <si>
    <t>Industrial Fuel Use[petroleum diesel if,road vehicles 29]</t>
  </si>
  <si>
    <t>Industrial Fuel Use[petroleum diesel if,nonroad vehicles 30]</t>
  </si>
  <si>
    <t>Industrial Fuel Use[petroleum diesel if,other manufacturing 31T33]</t>
  </si>
  <si>
    <t>Industrial Fuel Use[petroleum diesel if,energy pipelines and gas processing 352T353]</t>
  </si>
  <si>
    <t>Industrial Fuel Use[petroleum diesel if,water and waste 36T39]</t>
  </si>
  <si>
    <t>Industrial Fuel Use[petroleum diesel if,construction 41T43]</t>
  </si>
  <si>
    <t>Industrial Fuel Use[heat if,agriculture and forestry 01T03]</t>
  </si>
  <si>
    <t>Industrial Fuel Use[heat if,coal mining 05]</t>
  </si>
  <si>
    <t>Industrial Fuel Use[heat if,oil and gas extraction 06]</t>
  </si>
  <si>
    <t>Industrial Fuel Use[heat if,other mining and quarrying 07T08]</t>
  </si>
  <si>
    <t>Industrial Fuel Use[heat if,food beverage and tobacco 10T12]</t>
  </si>
  <si>
    <t>Industrial Fuel Use[heat if,textiles apparel and leather 13T15]</t>
  </si>
  <si>
    <t>Industrial Fuel Use[heat if,wood products 16]</t>
  </si>
  <si>
    <t>Industrial Fuel Use[heat if,pulp paper and printing 17T18]</t>
  </si>
  <si>
    <t>Industrial Fuel Use[heat if,refined petroleum and coke 19]</t>
  </si>
  <si>
    <t>Industrial Fuel Use[heat if,chemicals 20]</t>
  </si>
  <si>
    <t>Industrial Fuel Use[heat if,rubber and plastic products 22]</t>
  </si>
  <si>
    <t>Industrial Fuel Use[heat if,glass and glass products 231]</t>
  </si>
  <si>
    <t>Industrial Fuel Use[heat if,cement and other nonmetallic minerals 239]</t>
  </si>
  <si>
    <t>Industrial Fuel Use[heat if,iron and steel 241]</t>
  </si>
  <si>
    <t>Industrial Fuel Use[heat if,other metals 242]</t>
  </si>
  <si>
    <t>Industrial Fuel Use[heat if,metal products except machinery and vehicles 25]</t>
  </si>
  <si>
    <t>Industrial Fuel Use[heat if,computers and electronics 26]</t>
  </si>
  <si>
    <t>Industrial Fuel Use[heat if,appliances and electrical equipment 27]</t>
  </si>
  <si>
    <t>Industrial Fuel Use[heat if,other machinery 28]</t>
  </si>
  <si>
    <t>Industrial Fuel Use[heat if,road vehicles 29]</t>
  </si>
  <si>
    <t>Industrial Fuel Use[heat if,nonroad vehicles 30]</t>
  </si>
  <si>
    <t>Industrial Fuel Use[heat if,other manufacturing 31T33]</t>
  </si>
  <si>
    <t>Industrial Fuel Use[heat if,energy pipelines and gas processing 352T353]</t>
  </si>
  <si>
    <t>Industrial Fuel Use[heat if,water and waste 36T39]</t>
  </si>
  <si>
    <t>Industrial Fuel Use[heat if,construction 41T43]</t>
  </si>
  <si>
    <t>Industrial Fuel Use[crude oil if,agriculture and forestry 01T03]</t>
  </si>
  <si>
    <t>Industrial Fuel Use[crude oil if,coal mining 05]</t>
  </si>
  <si>
    <t>Industrial Fuel Use[crude oil if,oil and gas extraction 06]</t>
  </si>
  <si>
    <t>Industrial Fuel Use[crude oil if,other mining and quarrying 07T08]</t>
  </si>
  <si>
    <t>Industrial Fuel Use[crude oil if,food beverage and tobacco 10T12]</t>
  </si>
  <si>
    <t>Industrial Fuel Use[crude oil if,textiles apparel and leather 13T15]</t>
  </si>
  <si>
    <t>Industrial Fuel Use[crude oil if,wood products 16]</t>
  </si>
  <si>
    <t>Industrial Fuel Use[crude oil if,pulp paper and printing 17T18]</t>
  </si>
  <si>
    <t>Industrial Fuel Use[crude oil if,refined petroleum and coke 19]</t>
  </si>
  <si>
    <t>Industrial Fuel Use[crude oil if,chemicals 20]</t>
  </si>
  <si>
    <t>Industrial Fuel Use[crude oil if,rubber and plastic products 22]</t>
  </si>
  <si>
    <t>Industrial Fuel Use[crude oil if,glass and glass products 231]</t>
  </si>
  <si>
    <t>Industrial Fuel Use[crude oil if,cement and other nonmetallic minerals 239]</t>
  </si>
  <si>
    <t>Industrial Fuel Use[crude oil if,iron and steel 241]</t>
  </si>
  <si>
    <t>Industrial Fuel Use[crude oil if,other metals 242]</t>
  </si>
  <si>
    <t>Industrial Fuel Use[crude oil if,metal products except machinery and vehicles 25]</t>
  </si>
  <si>
    <t>Industrial Fuel Use[crude oil if,computers and electronics 26]</t>
  </si>
  <si>
    <t>Industrial Fuel Use[crude oil if,appliances and electrical equipment 27]</t>
  </si>
  <si>
    <t>Industrial Fuel Use[crude oil if,other machinery 28]</t>
  </si>
  <si>
    <t>Industrial Fuel Use[crude oil if,road vehicles 29]</t>
  </si>
  <si>
    <t>Industrial Fuel Use[crude oil if,nonroad vehicles 30]</t>
  </si>
  <si>
    <t>Industrial Fuel Use[crude oil if,other manufacturing 31T33]</t>
  </si>
  <si>
    <t>Industrial Fuel Use[crude oil if,energy pipelines and gas processing 352T353]</t>
  </si>
  <si>
    <t>Industrial Fuel Use[crude oil if,water and waste 36T39]</t>
  </si>
  <si>
    <t>Industrial Fuel Use[crude oil if,construction 41T43]</t>
  </si>
  <si>
    <t>Industrial Fuel Use[heavy or residual fuel oil if,agriculture and forestry 01T03]</t>
  </si>
  <si>
    <t>Industrial Fuel Use[heavy or residual fuel oil if,coal mining 05]</t>
  </si>
  <si>
    <t>Industrial Fuel Use[heavy or residual fuel oil if,oil and gas extraction 06]</t>
  </si>
  <si>
    <t>Industrial Fuel Use[heavy or residual fuel oil if,other mining and quarrying 07T08]</t>
  </si>
  <si>
    <t>Industrial Fuel Use[heavy or residual fuel oil if,food beverage and tobacco 10T12]</t>
  </si>
  <si>
    <t>Industrial Fuel Use[heavy or residual fuel oil if,textiles apparel and leather 13T15]</t>
  </si>
  <si>
    <t>Industrial Fuel Use[heavy or residual fuel oil if,wood products 16]</t>
  </si>
  <si>
    <t>Industrial Fuel Use[heavy or residual fuel oil if,pulp paper and printing 17T18]</t>
  </si>
  <si>
    <t>Industrial Fuel Use[heavy or residual fuel oil if,refined petroleum and coke 19]</t>
  </si>
  <si>
    <t>Industrial Fuel Use[heavy or residual fuel oil if,chemicals 20]</t>
  </si>
  <si>
    <t>Industrial Fuel Use[heavy or residual fuel oil if,rubber and plastic products 22]</t>
  </si>
  <si>
    <t>Industrial Fuel Use[heavy or residual fuel oil if,glass and glass products 231]</t>
  </si>
  <si>
    <t>Industrial Fuel Use[heavy or residual fuel oil if,cement and other nonmetallic minerals 239]</t>
  </si>
  <si>
    <t>Industrial Fuel Use[heavy or residual fuel oil if,iron and steel 241]</t>
  </si>
  <si>
    <t>Industrial Fuel Use[heavy or residual fuel oil if,other metals 242]</t>
  </si>
  <si>
    <t>Industrial Fuel Use[heavy or residual fuel oil if,metal products except machinery and vehicles 25]</t>
  </si>
  <si>
    <t>Industrial Fuel Use[heavy or residual fuel oil if,computers and electronics 26]</t>
  </si>
  <si>
    <t>Industrial Fuel Use[heavy or residual fuel oil if,appliances and electrical equipment 27]</t>
  </si>
  <si>
    <t>Industrial Fuel Use[heavy or residual fuel oil if,other machinery 28]</t>
  </si>
  <si>
    <t>Industrial Fuel Use[heavy or residual fuel oil if,road vehicles 29]</t>
  </si>
  <si>
    <t>Industrial Fuel Use[heavy or residual fuel oil if,nonroad vehicles 30]</t>
  </si>
  <si>
    <t>Industrial Fuel Use[heavy or residual fuel oil if,other manufacturing 31T33]</t>
  </si>
  <si>
    <t>Industrial Fuel Use[heavy or residual fuel oil if,energy pipelines and gas processing 352T353]</t>
  </si>
  <si>
    <t>Industrial Fuel Use[heavy or residual fuel oil if,water and waste 36T39]</t>
  </si>
  <si>
    <t>Industrial Fuel Use[heavy or residual fuel oil if,construction 41T43]</t>
  </si>
  <si>
    <t>Industrial Fuel Use[LPG propane or butane if,agriculture and forestry 01T03]</t>
  </si>
  <si>
    <t>Industrial Fuel Use[LPG propane or butane if,coal mining 05]</t>
  </si>
  <si>
    <t>Industrial Fuel Use[LPG propane or butane if,oil and gas extraction 06]</t>
  </si>
  <si>
    <t>Industrial Fuel Use[LPG propane or butane if,other mining and quarrying 07T08]</t>
  </si>
  <si>
    <t>Industrial Fuel Use[LPG propane or butane if,food beverage and tobacco 10T12]</t>
  </si>
  <si>
    <t>Industrial Fuel Use[LPG propane or butane if,textiles apparel and leather 13T15]</t>
  </si>
  <si>
    <t>Industrial Fuel Use[LPG propane or butane if,wood products 16]</t>
  </si>
  <si>
    <t>Industrial Fuel Use[LPG propane or butane if,pulp paper and printing 17T18]</t>
  </si>
  <si>
    <t>Industrial Fuel Use[LPG propane or butane if,refined petroleum and coke 19]</t>
  </si>
  <si>
    <t>Industrial Fuel Use[LPG propane or butane if,chemicals 20]</t>
  </si>
  <si>
    <t>Industrial Fuel Use[LPG propane or butane if,rubber and plastic products 22]</t>
  </si>
  <si>
    <t>Industrial Fuel Use[LPG propane or butane if,glass and glass products 231]</t>
  </si>
  <si>
    <t>Industrial Fuel Use[LPG propane or butane if,cement and other nonmetallic minerals 239]</t>
  </si>
  <si>
    <t>Industrial Fuel Use[LPG propane or butane if,iron and steel 241]</t>
  </si>
  <si>
    <t>Industrial Fuel Use[LPG propane or butane if,other metals 242]</t>
  </si>
  <si>
    <t>Industrial Fuel Use[LPG propane or butane if,metal products except machinery and vehicles 25]</t>
  </si>
  <si>
    <t>Industrial Fuel Use[LPG propane or butane if,computers and electronics 26]</t>
  </si>
  <si>
    <t>Industrial Fuel Use[LPG propane or butane if,appliances and electrical equipment 27]</t>
  </si>
  <si>
    <t>Industrial Fuel Use[LPG propane or butane if,other machinery 28]</t>
  </si>
  <si>
    <t>Industrial Fuel Use[LPG propane or butane if,road vehicles 29]</t>
  </si>
  <si>
    <t>Industrial Fuel Use[LPG propane or butane if,nonroad vehicles 30]</t>
  </si>
  <si>
    <t>Industrial Fuel Use[LPG propane or butane if,other manufacturing 31T33]</t>
  </si>
  <si>
    <t>Industrial Fuel Use[LPG propane or butane if,energy pipelines and gas processing 352T353]</t>
  </si>
  <si>
    <t>Industrial Fuel Use[LPG propane or butane if,water and waste 36T39]</t>
  </si>
  <si>
    <t>Industrial Fuel Use[LPG propane or butane if,construction 41T43]</t>
  </si>
  <si>
    <t>Industrial Fuel Use[hydrogen if,agriculture and forestry 01T03]</t>
  </si>
  <si>
    <t>Industrial Fuel Use[hydrogen if,coal mining 05]</t>
  </si>
  <si>
    <t>Industrial Fuel Use[hydrogen if,oil and gas extraction 06]</t>
  </si>
  <si>
    <t>Industrial Fuel Use[hydrogen if,other mining and quarrying 07T08]</t>
  </si>
  <si>
    <t>Industrial Fuel Use[hydrogen if,food beverage and tobacco 10T12]</t>
  </si>
  <si>
    <t>Industrial Fuel Use[hydrogen if,textiles apparel and leather 13T15]</t>
  </si>
  <si>
    <t>Industrial Fuel Use[hydrogen if,wood products 16]</t>
  </si>
  <si>
    <t>Industrial Fuel Use[hydrogen if,pulp paper and printing 17T18]</t>
  </si>
  <si>
    <t>Industrial Fuel Use[hydrogen if,refined petroleum and coke 19]</t>
  </si>
  <si>
    <t>Industrial Fuel Use[hydrogen if,chemicals 20]</t>
  </si>
  <si>
    <t>Industrial Fuel Use[hydrogen if,rubber and plastic products 22]</t>
  </si>
  <si>
    <t>Industrial Fuel Use[hydrogen if,glass and glass products 231]</t>
  </si>
  <si>
    <t>Industrial Fuel Use[hydrogen if,cement and other nonmetallic minerals 239]</t>
  </si>
  <si>
    <t>Industrial Fuel Use[hydrogen if,iron and steel 241]</t>
  </si>
  <si>
    <t>Industrial Fuel Use[hydrogen if,other metals 242]</t>
  </si>
  <si>
    <t>Industrial Fuel Use[hydrogen if,metal products except machinery and vehicles 25]</t>
  </si>
  <si>
    <t>Industrial Fuel Use[hydrogen if,computers and electronics 26]</t>
  </si>
  <si>
    <t>Industrial Fuel Use[hydrogen if,appliances and electrical equipment 27]</t>
  </si>
  <si>
    <t>Industrial Fuel Use[hydrogen if,other machinery 28]</t>
  </si>
  <si>
    <t>Industrial Fuel Use[hydrogen if,road vehicles 29]</t>
  </si>
  <si>
    <t>Industrial Fuel Use[hydrogen if,nonroad vehicles 30]</t>
  </si>
  <si>
    <t>Industrial Fuel Use[hydrogen if,other manufacturing 31T33]</t>
  </si>
  <si>
    <t>Industrial Fuel Use[hydrogen if,energy pipelines and gas processing 352T353]</t>
  </si>
  <si>
    <t>Industrial Fuel Use[hydrogen if,water and waste 36T39]</t>
  </si>
  <si>
    <t>Industrial Fuel Use[hydrogen if,construction 41T43]</t>
  </si>
  <si>
    <t>Transportation Sector Fuel Used[LDVs,passenger,battery electric vehicle,electricity tf]</t>
  </si>
  <si>
    <t>Transportation Sector Fuel Used[LDVs,passenger,battery electric vehicle,natural gas tf]</t>
  </si>
  <si>
    <t>Transportation Sector Fuel Used[LDVs,passenger,battery electric vehicle,petroleum gasoline tf]</t>
  </si>
  <si>
    <t>Transportation Sector Fuel Used[LDVs,passenger,battery electric vehicle,petroleum diesel tf]</t>
  </si>
  <si>
    <t>Transportation Sector Fuel Used[LDVs,passenger,battery electric vehicle,biofuel gasoline tf]</t>
  </si>
  <si>
    <t>Transportation Sector Fuel Used[LDVs,passenger,battery electric vehicle,biofuel diesel tf]</t>
  </si>
  <si>
    <t>Transportation Sector Fuel Used[LDVs,passenger,battery electric vehicle,jet fuel tf]</t>
  </si>
  <si>
    <t>Transportation Sector Fuel Used[LDVs,passenger,battery electric vehicle,heavy or residual fuel oil tf]</t>
  </si>
  <si>
    <t>Transportation Sector Fuel Used[LDVs,passenger,battery electric vehicle,LPG propane or butane tf]</t>
  </si>
  <si>
    <t>Transportation Sector Fuel Used[LDVs,passenger,battery electric vehicle,hydrogen tf]</t>
  </si>
  <si>
    <t>Transportation Sector Fuel Used[LDVs,passenger,natural gas vehicle,electricity tf]</t>
  </si>
  <si>
    <t>Transportation Sector Fuel Used[LDVs,passenger,natural gas vehicle,natural gas tf]</t>
  </si>
  <si>
    <t>Transportation Sector Fuel Used[LDVs,passenger,natural gas vehicle,petroleum gasoline tf]</t>
  </si>
  <si>
    <t>Transportation Sector Fuel Used[LDVs,passenger,natural gas vehicle,petroleum diesel tf]</t>
  </si>
  <si>
    <t>Transportation Sector Fuel Used[LDVs,passenger,natural gas vehicle,biofuel gasoline tf]</t>
  </si>
  <si>
    <t>Transportation Sector Fuel Used[LDVs,passenger,natural gas vehicle,biofuel diesel tf]</t>
  </si>
  <si>
    <t>Transportation Sector Fuel Used[LDVs,passenger,natural gas vehicle,jet fuel tf]</t>
  </si>
  <si>
    <t>Transportation Sector Fuel Used[LDVs,passenger,natural gas vehicle,heavy or residual fuel oil tf]</t>
  </si>
  <si>
    <t>Transportation Sector Fuel Used[LDVs,passenger,natural gas vehicle,LPG propane or butane tf]</t>
  </si>
  <si>
    <t>Transportation Sector Fuel Used[LDVs,passenger,natural gas vehicle,hydrogen tf]</t>
  </si>
  <si>
    <t>Transportation Sector Fuel Used[LDVs,passenger,gasoline vehicle,electricity tf]</t>
  </si>
  <si>
    <t>Transportation Sector Fuel Used[LDVs,passenger,gasoline vehicle,natural gas tf]</t>
  </si>
  <si>
    <t>Transportation Sector Fuel Used[LDVs,passenger,gasoline vehicle,petroleum gasoline tf]</t>
  </si>
  <si>
    <t>Transportation Sector Fuel Used[LDVs,passenger,gasoline vehicle,petroleum diesel tf]</t>
  </si>
  <si>
    <t>Transportation Sector Fuel Used[LDVs,passenger,gasoline vehicle,biofuel gasoline tf]</t>
  </si>
  <si>
    <t>Transportation Sector Fuel Used[LDVs,passenger,gasoline vehicle,biofuel diesel tf]</t>
  </si>
  <si>
    <t>Transportation Sector Fuel Used[LDVs,passenger,gasoline vehicle,jet fuel tf]</t>
  </si>
  <si>
    <t>Transportation Sector Fuel Used[LDVs,passenger,gasoline vehicle,heavy or residual fuel oil tf]</t>
  </si>
  <si>
    <t>Transportation Sector Fuel Used[LDVs,passenger,gasoline vehicle,LPG propane or butane tf]</t>
  </si>
  <si>
    <t>Transportation Sector Fuel Used[LDVs,passenger,gasoline vehicle,hydrogen tf]</t>
  </si>
  <si>
    <t>Transportation Sector Fuel Used[LDVs,passenger,diesel vehicle,electricity tf]</t>
  </si>
  <si>
    <t>Transportation Sector Fuel Used[LDVs,passenger,diesel vehicle,natural gas tf]</t>
  </si>
  <si>
    <t>Transportation Sector Fuel Used[LDVs,passenger,diesel vehicle,petroleum gasoline tf]</t>
  </si>
  <si>
    <t>Transportation Sector Fuel Used[LDVs,passenger,diesel vehicle,petroleum diesel tf]</t>
  </si>
  <si>
    <t>Transportation Sector Fuel Used[LDVs,passenger,diesel vehicle,biofuel gasoline tf]</t>
  </si>
  <si>
    <t>Transportation Sector Fuel Used[LDVs,passenger,diesel vehicle,biofuel diesel tf]</t>
  </si>
  <si>
    <t>Transportation Sector Fuel Used[LDVs,passenger,diesel vehicle,jet fuel tf]</t>
  </si>
  <si>
    <t>Transportation Sector Fuel Used[LDVs,passenger,diesel vehicle,heavy or residual fuel oil tf]</t>
  </si>
  <si>
    <t>Transportation Sector Fuel Used[LDVs,passenger,diesel vehicle,LPG propane or butane tf]</t>
  </si>
  <si>
    <t>Transportation Sector Fuel Used[LDVs,passenger,diesel vehicle,hydrogen tf]</t>
  </si>
  <si>
    <t>Transportation Sector Fuel Used[LDVs,passenger,plugin hybrid vehicle,electricity tf]</t>
  </si>
  <si>
    <t>Transportation Sector Fuel Used[LDVs,passenger,plugin hybrid vehicle,natural gas tf]</t>
  </si>
  <si>
    <t>Transportation Sector Fuel Used[LDVs,passenger,plugin hybrid vehicle,petroleum gasoline tf]</t>
  </si>
  <si>
    <t>Transportation Sector Fuel Used[LDVs,passenger,plugin hybrid vehicle,petroleum diesel tf]</t>
  </si>
  <si>
    <t>Transportation Sector Fuel Used[LDVs,passenger,plugin hybrid vehicle,biofuel gasoline tf]</t>
  </si>
  <si>
    <t>Transportation Sector Fuel Used[LDVs,passenger,plugin hybrid vehicle,biofuel diesel tf]</t>
  </si>
  <si>
    <t>Transportation Sector Fuel Used[LDVs,passenger,plugin hybrid vehicle,jet fuel tf]</t>
  </si>
  <si>
    <t>Transportation Sector Fuel Used[LDVs,passenger,plugin hybrid vehicle,heavy or residual fuel oil tf]</t>
  </si>
  <si>
    <t>Transportation Sector Fuel Used[LDVs,passenger,plugin hybrid vehicle,LPG propane or butane tf]</t>
  </si>
  <si>
    <t>Transportation Sector Fuel Used[LDVs,passenger,plugin hybrid vehicle,hydrogen tf]</t>
  </si>
  <si>
    <t>Transportation Sector Fuel Used[LDVs,passenger,LPG vehicle,electricity tf]</t>
  </si>
  <si>
    <t>Transportation Sector Fuel Used[LDVs,passenger,LPG vehicle,natural gas tf]</t>
  </si>
  <si>
    <t>Transportation Sector Fuel Used[LDVs,passenger,LPG vehicle,petroleum gasoline tf]</t>
  </si>
  <si>
    <t>Transportation Sector Fuel Used[LDVs,passenger,LPG vehicle,petroleum diesel tf]</t>
  </si>
  <si>
    <t>Transportation Sector Fuel Used[LDVs,passenger,LPG vehicle,biofuel gasoline tf]</t>
  </si>
  <si>
    <t>Transportation Sector Fuel Used[LDVs,passenger,LPG vehicle,biofuel diesel tf]</t>
  </si>
  <si>
    <t>Transportation Sector Fuel Used[LDVs,passenger,LPG vehicle,jet fuel tf]</t>
  </si>
  <si>
    <t>Transportation Sector Fuel Used[LDVs,passenger,LPG vehicle,heavy or residual fuel oil tf]</t>
  </si>
  <si>
    <t>Transportation Sector Fuel Used[LDVs,passenger,LPG vehicle,LPG propane or butane tf]</t>
  </si>
  <si>
    <t>Transportation Sector Fuel Used[LDVs,passenger,LPG vehicle,hydrogen tf]</t>
  </si>
  <si>
    <t>Transportation Sector Fuel Used[LDVs,passenger,hydrogen vehicle,electricity tf]</t>
  </si>
  <si>
    <t>Transportation Sector Fuel Used[LDVs,passenger,hydrogen vehicle,natural gas tf]</t>
  </si>
  <si>
    <t>Transportation Sector Fuel Used[LDVs,passenger,hydrogen vehicle,petroleum gasoline tf]</t>
  </si>
  <si>
    <t>Transportation Sector Fuel Used[LDVs,passenger,hydrogen vehicle,petroleum diesel tf]</t>
  </si>
  <si>
    <t>Transportation Sector Fuel Used[LDVs,passenger,hydrogen vehicle,biofuel gasoline tf]</t>
  </si>
  <si>
    <t>Transportation Sector Fuel Used[LDVs,passenger,hydrogen vehicle,biofuel diesel tf]</t>
  </si>
  <si>
    <t>Transportation Sector Fuel Used[LDVs,passenger,hydrogen vehicle,jet fuel tf]</t>
  </si>
  <si>
    <t>Transportation Sector Fuel Used[LDVs,passenger,hydrogen vehicle,heavy or residual fuel oil tf]</t>
  </si>
  <si>
    <t>Transportation Sector Fuel Used[LDVs,passenger,hydrogen vehicle,LPG propane or butane tf]</t>
  </si>
  <si>
    <t>Transportation Sector Fuel Used[LDVs,passenger,hydrogen vehicle,hydrogen tf]</t>
  </si>
  <si>
    <t>Transportation Sector Fuel Used[LDVs,freight,battery electric vehicle,electricity tf]</t>
  </si>
  <si>
    <t>Transportation Sector Fuel Used[LDVs,freight,battery electric vehicle,natural gas tf]</t>
  </si>
  <si>
    <t>Transportation Sector Fuel Used[LDVs,freight,battery electric vehicle,petroleum gasoline tf]</t>
  </si>
  <si>
    <t>Transportation Sector Fuel Used[LDVs,freight,battery electric vehicle,petroleum diesel tf]</t>
  </si>
  <si>
    <t>Transportation Sector Fuel Used[LDVs,freight,battery electric vehicle,biofuel gasoline tf]</t>
  </si>
  <si>
    <t>Transportation Sector Fuel Used[LDVs,freight,battery electric vehicle,biofuel diesel tf]</t>
  </si>
  <si>
    <t>Transportation Sector Fuel Used[LDVs,freight,battery electric vehicle,jet fuel tf]</t>
  </si>
  <si>
    <t>Transportation Sector Fuel Used[LDVs,freight,battery electric vehicle,heavy or residual fuel oil tf]</t>
  </si>
  <si>
    <t>Transportation Sector Fuel Used[LDVs,freight,battery electric vehicle,LPG propane or butane tf]</t>
  </si>
  <si>
    <t>Transportation Sector Fuel Used[LDVs,freight,battery electric vehicle,hydrogen tf]</t>
  </si>
  <si>
    <t>Transportation Sector Fuel Used[LDVs,freight,natural gas vehicle,electricity tf]</t>
  </si>
  <si>
    <t>Transportation Sector Fuel Used[LDVs,freight,natural gas vehicle,natural gas tf]</t>
  </si>
  <si>
    <t>Transportation Sector Fuel Used[LDVs,freight,natural gas vehicle,petroleum gasoline tf]</t>
  </si>
  <si>
    <t>Transportation Sector Fuel Used[LDVs,freight,natural gas vehicle,petroleum diesel tf]</t>
  </si>
  <si>
    <t>Transportation Sector Fuel Used[LDVs,freight,natural gas vehicle,biofuel gasoline tf]</t>
  </si>
  <si>
    <t>Transportation Sector Fuel Used[LDVs,freight,natural gas vehicle,biofuel diesel tf]</t>
  </si>
  <si>
    <t>Transportation Sector Fuel Used[LDVs,freight,natural gas vehicle,jet fuel tf]</t>
  </si>
  <si>
    <t>Transportation Sector Fuel Used[LDVs,freight,natural gas vehicle,heavy or residual fuel oil tf]</t>
  </si>
  <si>
    <t>Transportation Sector Fuel Used[LDVs,freight,natural gas vehicle,LPG propane or butane tf]</t>
  </si>
  <si>
    <t>Transportation Sector Fuel Used[LDVs,freight,natural gas vehicle,hydrogen tf]</t>
  </si>
  <si>
    <t>Transportation Sector Fuel Used[LDVs,freight,gasoline vehicle,electricity tf]</t>
  </si>
  <si>
    <t>Transportation Sector Fuel Used[LDVs,freight,gasoline vehicle,natural gas tf]</t>
  </si>
  <si>
    <t>Transportation Sector Fuel Used[LDVs,freight,gasoline vehicle,petroleum gasoline tf]</t>
  </si>
  <si>
    <t>Transportation Sector Fuel Used[LDVs,freight,gasoline vehicle,petroleum diesel tf]</t>
  </si>
  <si>
    <t>Transportation Sector Fuel Used[LDVs,freight,gasoline vehicle,biofuel gasoline tf]</t>
  </si>
  <si>
    <t>Transportation Sector Fuel Used[LDVs,freight,gasoline vehicle,biofuel diesel tf]</t>
  </si>
  <si>
    <t>Transportation Sector Fuel Used[LDVs,freight,gasoline vehicle,jet fuel tf]</t>
  </si>
  <si>
    <t>Transportation Sector Fuel Used[LDVs,freight,gasoline vehicle,heavy or residual fuel oil tf]</t>
  </si>
  <si>
    <t>Transportation Sector Fuel Used[LDVs,freight,gasoline vehicle,LPG propane or butane tf]</t>
  </si>
  <si>
    <t>Transportation Sector Fuel Used[LDVs,freight,gasoline vehicle,hydrogen tf]</t>
  </si>
  <si>
    <t>Transportation Sector Fuel Used[LDVs,freight,diesel vehicle,electricity tf]</t>
  </si>
  <si>
    <t>Transportation Sector Fuel Used[LDVs,freight,diesel vehicle,natural gas tf]</t>
  </si>
  <si>
    <t>Transportation Sector Fuel Used[LDVs,freight,diesel vehicle,petroleum gasoline tf]</t>
  </si>
  <si>
    <t>Transportation Sector Fuel Used[LDVs,freight,diesel vehicle,petroleum diesel tf]</t>
  </si>
  <si>
    <t>Transportation Sector Fuel Used[LDVs,freight,diesel vehicle,biofuel gasoline tf]</t>
  </si>
  <si>
    <t>Transportation Sector Fuel Used[LDVs,freight,diesel vehicle,biofuel diesel tf]</t>
  </si>
  <si>
    <t>Transportation Sector Fuel Used[LDVs,freight,diesel vehicle,jet fuel tf]</t>
  </si>
  <si>
    <t>Transportation Sector Fuel Used[LDVs,freight,diesel vehicle,heavy or residual fuel oil tf]</t>
  </si>
  <si>
    <t>Transportation Sector Fuel Used[LDVs,freight,diesel vehicle,LPG propane or butane tf]</t>
  </si>
  <si>
    <t>Transportation Sector Fuel Used[LDVs,freight,diesel vehicle,hydrogen tf]</t>
  </si>
  <si>
    <t>Transportation Sector Fuel Used[LDVs,freight,plugin hybrid vehicle,electricity tf]</t>
  </si>
  <si>
    <t>Transportation Sector Fuel Used[LDVs,freight,plugin hybrid vehicle,natural gas tf]</t>
  </si>
  <si>
    <t>Transportation Sector Fuel Used[LDVs,freight,plugin hybrid vehicle,petroleum gasoline tf]</t>
  </si>
  <si>
    <t>Transportation Sector Fuel Used[LDVs,freight,plugin hybrid vehicle,petroleum diesel tf]</t>
  </si>
  <si>
    <t>Transportation Sector Fuel Used[LDVs,freight,plugin hybrid vehicle,biofuel gasoline tf]</t>
  </si>
  <si>
    <t>Transportation Sector Fuel Used[LDVs,freight,plugin hybrid vehicle,biofuel diesel tf]</t>
  </si>
  <si>
    <t>Transportation Sector Fuel Used[LDVs,freight,plugin hybrid vehicle,jet fuel tf]</t>
  </si>
  <si>
    <t>Transportation Sector Fuel Used[LDVs,freight,plugin hybrid vehicle,heavy or residual fuel oil tf]</t>
  </si>
  <si>
    <t>Transportation Sector Fuel Used[LDVs,freight,plugin hybrid vehicle,LPG propane or butane tf]</t>
  </si>
  <si>
    <t>Transportation Sector Fuel Used[LDVs,freight,plugin hybrid vehicle,hydrogen tf]</t>
  </si>
  <si>
    <t>Transportation Sector Fuel Used[LDVs,freight,LPG vehicle,electricity tf]</t>
  </si>
  <si>
    <t>Transportation Sector Fuel Used[LDVs,freight,LPG vehicle,natural gas tf]</t>
  </si>
  <si>
    <t>Transportation Sector Fuel Used[LDVs,freight,LPG vehicle,petroleum gasoline tf]</t>
  </si>
  <si>
    <t>Transportation Sector Fuel Used[LDVs,freight,LPG vehicle,petroleum diesel tf]</t>
  </si>
  <si>
    <t>Transportation Sector Fuel Used[LDVs,freight,LPG vehicle,biofuel gasoline tf]</t>
  </si>
  <si>
    <t>Transportation Sector Fuel Used[LDVs,freight,LPG vehicle,biofuel diesel tf]</t>
  </si>
  <si>
    <t>Transportation Sector Fuel Used[LDVs,freight,LPG vehicle,jet fuel tf]</t>
  </si>
  <si>
    <t>Transportation Sector Fuel Used[LDVs,freight,LPG vehicle,heavy or residual fuel oil tf]</t>
  </si>
  <si>
    <t>Transportation Sector Fuel Used[LDVs,freight,LPG vehicle,LPG propane or butane tf]</t>
  </si>
  <si>
    <t>Transportation Sector Fuel Used[LDVs,freight,LPG vehicle,hydrogen tf]</t>
  </si>
  <si>
    <t>Transportation Sector Fuel Used[LDVs,freight,hydrogen vehicle,electricity tf]</t>
  </si>
  <si>
    <t>Transportation Sector Fuel Used[LDVs,freight,hydrogen vehicle,natural gas tf]</t>
  </si>
  <si>
    <t>Transportation Sector Fuel Used[LDVs,freight,hydrogen vehicle,petroleum gasoline tf]</t>
  </si>
  <si>
    <t>Transportation Sector Fuel Used[LDVs,freight,hydrogen vehicle,petroleum diesel tf]</t>
  </si>
  <si>
    <t>Transportation Sector Fuel Used[LDVs,freight,hydrogen vehicle,biofuel gasoline tf]</t>
  </si>
  <si>
    <t>Transportation Sector Fuel Used[LDVs,freight,hydrogen vehicle,biofuel diesel tf]</t>
  </si>
  <si>
    <t>Transportation Sector Fuel Used[LDVs,freight,hydrogen vehicle,jet fuel tf]</t>
  </si>
  <si>
    <t>Transportation Sector Fuel Used[LDVs,freight,hydrogen vehicle,heavy or residual fuel oil tf]</t>
  </si>
  <si>
    <t>Transportation Sector Fuel Used[LDVs,freight,hydrogen vehicle,LPG propane or butane tf]</t>
  </si>
  <si>
    <t>Transportation Sector Fuel Used[LDVs,freight,hydrogen vehicle,hydrogen tf]</t>
  </si>
  <si>
    <t>Transportation Sector Fuel Used[HDVs,passenger,battery electric vehicle,electricity tf]</t>
  </si>
  <si>
    <t>Transportation Sector Fuel Used[HDVs,passenger,battery electric vehicle,natural gas tf]</t>
  </si>
  <si>
    <t>Transportation Sector Fuel Used[HDVs,passenger,battery electric vehicle,petroleum gasoline tf]</t>
  </si>
  <si>
    <t>Transportation Sector Fuel Used[HDVs,passenger,battery electric vehicle,petroleum diesel tf]</t>
  </si>
  <si>
    <t>Transportation Sector Fuel Used[HDVs,passenger,battery electric vehicle,biofuel gasoline tf]</t>
  </si>
  <si>
    <t>Transportation Sector Fuel Used[HDVs,passenger,battery electric vehicle,biofuel diesel tf]</t>
  </si>
  <si>
    <t>Transportation Sector Fuel Used[HDVs,passenger,battery electric vehicle,jet fuel tf]</t>
  </si>
  <si>
    <t>Transportation Sector Fuel Used[HDVs,passenger,battery electric vehicle,heavy or residual fuel oil tf]</t>
  </si>
  <si>
    <t>Transportation Sector Fuel Used[HDVs,passenger,battery electric vehicle,LPG propane or butane tf]</t>
  </si>
  <si>
    <t>Transportation Sector Fuel Used[HDVs,passenger,battery electric vehicle,hydrogen tf]</t>
  </si>
  <si>
    <t>Transportation Sector Fuel Used[HDVs,passenger,natural gas vehicle,electricity tf]</t>
  </si>
  <si>
    <t>Transportation Sector Fuel Used[HDVs,passenger,natural gas vehicle,natural gas tf]</t>
  </si>
  <si>
    <t>Transportation Sector Fuel Used[HDVs,passenger,natural gas vehicle,petroleum gasoline tf]</t>
  </si>
  <si>
    <t>Transportation Sector Fuel Used[HDVs,passenger,natural gas vehicle,petroleum diesel tf]</t>
  </si>
  <si>
    <t>Transportation Sector Fuel Used[HDVs,passenger,natural gas vehicle,biofuel gasoline tf]</t>
  </si>
  <si>
    <t>Transportation Sector Fuel Used[HDVs,passenger,natural gas vehicle,biofuel diesel tf]</t>
  </si>
  <si>
    <t>Transportation Sector Fuel Used[HDVs,passenger,natural gas vehicle,jet fuel tf]</t>
  </si>
  <si>
    <t>Transportation Sector Fuel Used[HDVs,passenger,natural gas vehicle,heavy or residual fuel oil tf]</t>
  </si>
  <si>
    <t>Transportation Sector Fuel Used[HDVs,passenger,natural gas vehicle,LPG propane or butane tf]</t>
  </si>
  <si>
    <t>Transportation Sector Fuel Used[HDVs,passenger,natural gas vehicle,hydrogen tf]</t>
  </si>
  <si>
    <t>Transportation Sector Fuel Used[HDVs,passenger,gasoline vehicle,electricity tf]</t>
  </si>
  <si>
    <t>Transportation Sector Fuel Used[HDVs,passenger,gasoline vehicle,natural gas tf]</t>
  </si>
  <si>
    <t>Transportation Sector Fuel Used[HDVs,passenger,gasoline vehicle,petroleum gasoline tf]</t>
  </si>
  <si>
    <t>Transportation Sector Fuel Used[HDVs,passenger,gasoline vehicle,petroleum diesel tf]</t>
  </si>
  <si>
    <t>Transportation Sector Fuel Used[HDVs,passenger,gasoline vehicle,biofuel gasoline tf]</t>
  </si>
  <si>
    <t>Transportation Sector Fuel Used[HDVs,passenger,gasoline vehicle,biofuel diesel tf]</t>
  </si>
  <si>
    <t>Transportation Sector Fuel Used[HDVs,passenger,gasoline vehicle,jet fuel tf]</t>
  </si>
  <si>
    <t>Transportation Sector Fuel Used[HDVs,passenger,gasoline vehicle,heavy or residual fuel oil tf]</t>
  </si>
  <si>
    <t>Transportation Sector Fuel Used[HDVs,passenger,gasoline vehicle,LPG propane or butane tf]</t>
  </si>
  <si>
    <t>Transportation Sector Fuel Used[HDVs,passenger,gasoline vehicle,hydrogen tf]</t>
  </si>
  <si>
    <t>Transportation Sector Fuel Used[HDVs,passenger,diesel vehicle,electricity tf]</t>
  </si>
  <si>
    <t>Transportation Sector Fuel Used[HDVs,passenger,diesel vehicle,natural gas tf]</t>
  </si>
  <si>
    <t>Transportation Sector Fuel Used[HDVs,passenger,diesel vehicle,petroleum gasoline tf]</t>
  </si>
  <si>
    <t>Transportation Sector Fuel Used[HDVs,passenger,diesel vehicle,petroleum diesel tf]</t>
  </si>
  <si>
    <t>Transportation Sector Fuel Used[HDVs,passenger,diesel vehicle,biofuel gasoline tf]</t>
  </si>
  <si>
    <t>Transportation Sector Fuel Used[HDVs,passenger,diesel vehicle,biofuel diesel tf]</t>
  </si>
  <si>
    <t>Transportation Sector Fuel Used[HDVs,passenger,diesel vehicle,jet fuel tf]</t>
  </si>
  <si>
    <t>Transportation Sector Fuel Used[HDVs,passenger,diesel vehicle,heavy or residual fuel oil tf]</t>
  </si>
  <si>
    <t>Transportation Sector Fuel Used[HDVs,passenger,diesel vehicle,LPG propane or butane tf]</t>
  </si>
  <si>
    <t>Transportation Sector Fuel Used[HDVs,passenger,diesel vehicle,hydrogen tf]</t>
  </si>
  <si>
    <t>Transportation Sector Fuel Used[HDVs,passenger,plugin hybrid vehicle,electricity tf]</t>
  </si>
  <si>
    <t>Transportation Sector Fuel Used[HDVs,passenger,plugin hybrid vehicle,natural gas tf]</t>
  </si>
  <si>
    <t>Transportation Sector Fuel Used[HDVs,passenger,plugin hybrid vehicle,petroleum gasoline tf]</t>
  </si>
  <si>
    <t>Transportation Sector Fuel Used[HDVs,passenger,plugin hybrid vehicle,petroleum diesel tf]</t>
  </si>
  <si>
    <t>Transportation Sector Fuel Used[HDVs,passenger,plugin hybrid vehicle,biofuel gasoline tf]</t>
  </si>
  <si>
    <t>Transportation Sector Fuel Used[HDVs,passenger,plugin hybrid vehicle,biofuel diesel tf]</t>
  </si>
  <si>
    <t>Transportation Sector Fuel Used[HDVs,passenger,plugin hybrid vehicle,jet fuel tf]</t>
  </si>
  <si>
    <t>Transportation Sector Fuel Used[HDVs,passenger,plugin hybrid vehicle,heavy or residual fuel oil tf]</t>
  </si>
  <si>
    <t>Transportation Sector Fuel Used[HDVs,passenger,plugin hybrid vehicle,LPG propane or butane tf]</t>
  </si>
  <si>
    <t>Transportation Sector Fuel Used[HDVs,passenger,plugin hybrid vehicle,hydrogen tf]</t>
  </si>
  <si>
    <t>Transportation Sector Fuel Used[HDVs,passenger,LPG vehicle,electricity tf]</t>
  </si>
  <si>
    <t>Transportation Sector Fuel Used[HDVs,passenger,LPG vehicle,natural gas tf]</t>
  </si>
  <si>
    <t>Transportation Sector Fuel Used[HDVs,passenger,LPG vehicle,petroleum gasoline tf]</t>
  </si>
  <si>
    <t>Transportation Sector Fuel Used[HDVs,passenger,LPG vehicle,petroleum diesel tf]</t>
  </si>
  <si>
    <t>Transportation Sector Fuel Used[HDVs,passenger,LPG vehicle,biofuel gasoline tf]</t>
  </si>
  <si>
    <t>Transportation Sector Fuel Used[HDVs,passenger,LPG vehicle,biofuel diesel tf]</t>
  </si>
  <si>
    <t>Transportation Sector Fuel Used[HDVs,passenger,LPG vehicle,jet fuel tf]</t>
  </si>
  <si>
    <t>Transportation Sector Fuel Used[HDVs,passenger,LPG vehicle,heavy or residual fuel oil tf]</t>
  </si>
  <si>
    <t>Transportation Sector Fuel Used[HDVs,passenger,LPG vehicle,LPG propane or butane tf]</t>
  </si>
  <si>
    <t>Transportation Sector Fuel Used[HDVs,passenger,LPG vehicle,hydrogen tf]</t>
  </si>
  <si>
    <t>Transportation Sector Fuel Used[HDVs,passenger,hydrogen vehicle,electricity tf]</t>
  </si>
  <si>
    <t>Transportation Sector Fuel Used[HDVs,passenger,hydrogen vehicle,natural gas tf]</t>
  </si>
  <si>
    <t>Transportation Sector Fuel Used[HDVs,passenger,hydrogen vehicle,petroleum gasoline tf]</t>
  </si>
  <si>
    <t>Transportation Sector Fuel Used[HDVs,passenger,hydrogen vehicle,petroleum diesel tf]</t>
  </si>
  <si>
    <t>Transportation Sector Fuel Used[HDVs,passenger,hydrogen vehicle,biofuel gasoline tf]</t>
  </si>
  <si>
    <t>Transportation Sector Fuel Used[HDVs,passenger,hydrogen vehicle,biofuel diesel tf]</t>
  </si>
  <si>
    <t>Transportation Sector Fuel Used[HDVs,passenger,hydrogen vehicle,jet fuel tf]</t>
  </si>
  <si>
    <t>Transportation Sector Fuel Used[HDVs,passenger,hydrogen vehicle,heavy or residual fuel oil tf]</t>
  </si>
  <si>
    <t>Transportation Sector Fuel Used[HDVs,passenger,hydrogen vehicle,LPG propane or butane tf]</t>
  </si>
  <si>
    <t>Transportation Sector Fuel Used[HDVs,passenger,hydrogen vehicle,hydrogen tf]</t>
  </si>
  <si>
    <t>Transportation Sector Fuel Used[HDVs,freight,battery electric vehicle,electricity tf]</t>
  </si>
  <si>
    <t>Transportation Sector Fuel Used[HDVs,freight,battery electric vehicle,natural gas tf]</t>
  </si>
  <si>
    <t>Transportation Sector Fuel Used[HDVs,freight,battery electric vehicle,petroleum gasoline tf]</t>
  </si>
  <si>
    <t>Transportation Sector Fuel Used[HDVs,freight,battery electric vehicle,petroleum diesel tf]</t>
  </si>
  <si>
    <t>Transportation Sector Fuel Used[HDVs,freight,battery electric vehicle,biofuel gasoline tf]</t>
  </si>
  <si>
    <t>Transportation Sector Fuel Used[HDVs,freight,battery electric vehicle,biofuel diesel tf]</t>
  </si>
  <si>
    <t>Transportation Sector Fuel Used[HDVs,freight,battery electric vehicle,jet fuel tf]</t>
  </si>
  <si>
    <t>Transportation Sector Fuel Used[HDVs,freight,battery electric vehicle,heavy or residual fuel oil tf]</t>
  </si>
  <si>
    <t>Transportation Sector Fuel Used[HDVs,freight,battery electric vehicle,LPG propane or butane tf]</t>
  </si>
  <si>
    <t>Transportation Sector Fuel Used[HDVs,freight,battery electric vehicle,hydrogen tf]</t>
  </si>
  <si>
    <t>Transportation Sector Fuel Used[HDVs,freight,natural gas vehicle,electricity tf]</t>
  </si>
  <si>
    <t>Transportation Sector Fuel Used[HDVs,freight,natural gas vehicle,natural gas tf]</t>
  </si>
  <si>
    <t>Transportation Sector Fuel Used[HDVs,freight,natural gas vehicle,petroleum gasoline tf]</t>
  </si>
  <si>
    <t>Transportation Sector Fuel Used[HDVs,freight,natural gas vehicle,petroleum diesel tf]</t>
  </si>
  <si>
    <t>Transportation Sector Fuel Used[HDVs,freight,natural gas vehicle,biofuel gasoline tf]</t>
  </si>
  <si>
    <t>Transportation Sector Fuel Used[HDVs,freight,natural gas vehicle,biofuel diesel tf]</t>
  </si>
  <si>
    <t>Transportation Sector Fuel Used[HDVs,freight,natural gas vehicle,jet fuel tf]</t>
  </si>
  <si>
    <t>Transportation Sector Fuel Used[HDVs,freight,natural gas vehicle,heavy or residual fuel oil tf]</t>
  </si>
  <si>
    <t>Transportation Sector Fuel Used[HDVs,freight,natural gas vehicle,LPG propane or butane tf]</t>
  </si>
  <si>
    <t>Transportation Sector Fuel Used[HDVs,freight,natural gas vehicle,hydrogen tf]</t>
  </si>
  <si>
    <t>Transportation Sector Fuel Used[HDVs,freight,gasoline vehicle,electricity tf]</t>
  </si>
  <si>
    <t>Transportation Sector Fuel Used[HDVs,freight,gasoline vehicle,natural gas tf]</t>
  </si>
  <si>
    <t>Transportation Sector Fuel Used[HDVs,freight,gasoline vehicle,petroleum gasoline tf]</t>
  </si>
  <si>
    <t>Transportation Sector Fuel Used[HDVs,freight,gasoline vehicle,petroleum diesel tf]</t>
  </si>
  <si>
    <t>Transportation Sector Fuel Used[HDVs,freight,gasoline vehicle,biofuel gasoline tf]</t>
  </si>
  <si>
    <t>Transportation Sector Fuel Used[HDVs,freight,gasoline vehicle,biofuel diesel tf]</t>
  </si>
  <si>
    <t>Transportation Sector Fuel Used[HDVs,freight,gasoline vehicle,jet fuel tf]</t>
  </si>
  <si>
    <t>Transportation Sector Fuel Used[HDVs,freight,gasoline vehicle,heavy or residual fuel oil tf]</t>
  </si>
  <si>
    <t>Transportation Sector Fuel Used[HDVs,freight,gasoline vehicle,LPG propane or butane tf]</t>
  </si>
  <si>
    <t>Transportation Sector Fuel Used[HDVs,freight,gasoline vehicle,hydrogen tf]</t>
  </si>
  <si>
    <t>Transportation Sector Fuel Used[HDVs,freight,diesel vehicle,electricity tf]</t>
  </si>
  <si>
    <t>Transportation Sector Fuel Used[HDVs,freight,diesel vehicle,natural gas tf]</t>
  </si>
  <si>
    <t>Transportation Sector Fuel Used[HDVs,freight,diesel vehicle,petroleum gasoline tf]</t>
  </si>
  <si>
    <t>Transportation Sector Fuel Used[HDVs,freight,diesel vehicle,petroleum diesel tf]</t>
  </si>
  <si>
    <t>Transportation Sector Fuel Used[HDVs,freight,diesel vehicle,biofuel gasoline tf]</t>
  </si>
  <si>
    <t>Transportation Sector Fuel Used[HDVs,freight,diesel vehicle,biofuel diesel tf]</t>
  </si>
  <si>
    <t>Transportation Sector Fuel Used[HDVs,freight,diesel vehicle,jet fuel tf]</t>
  </si>
  <si>
    <t>Transportation Sector Fuel Used[HDVs,freight,diesel vehicle,heavy or residual fuel oil tf]</t>
  </si>
  <si>
    <t>Transportation Sector Fuel Used[HDVs,freight,diesel vehicle,LPG propane or butane tf]</t>
  </si>
  <si>
    <t>Transportation Sector Fuel Used[HDVs,freight,diesel vehicle,hydrogen tf]</t>
  </si>
  <si>
    <t>Transportation Sector Fuel Used[HDVs,freight,plugin hybrid vehicle,electricity tf]</t>
  </si>
  <si>
    <t>Transportation Sector Fuel Used[HDVs,freight,plugin hybrid vehicle,natural gas tf]</t>
  </si>
  <si>
    <t>Transportation Sector Fuel Used[HDVs,freight,plugin hybrid vehicle,petroleum gasoline tf]</t>
  </si>
  <si>
    <t>Transportation Sector Fuel Used[HDVs,freight,plugin hybrid vehicle,petroleum diesel tf]</t>
  </si>
  <si>
    <t>Transportation Sector Fuel Used[HDVs,freight,plugin hybrid vehicle,biofuel gasoline tf]</t>
  </si>
  <si>
    <t>Transportation Sector Fuel Used[HDVs,freight,plugin hybrid vehicle,biofuel diesel tf]</t>
  </si>
  <si>
    <t>Transportation Sector Fuel Used[HDVs,freight,plugin hybrid vehicle,jet fuel tf]</t>
  </si>
  <si>
    <t>Transportation Sector Fuel Used[HDVs,freight,plugin hybrid vehicle,heavy or residual fuel oil tf]</t>
  </si>
  <si>
    <t>Transportation Sector Fuel Used[HDVs,freight,plugin hybrid vehicle,LPG propane or butane tf]</t>
  </si>
  <si>
    <t>Transportation Sector Fuel Used[HDVs,freight,plugin hybrid vehicle,hydrogen tf]</t>
  </si>
  <si>
    <t>Transportation Sector Fuel Used[HDVs,freight,LPG vehicle,electricity tf]</t>
  </si>
  <si>
    <t>Transportation Sector Fuel Used[HDVs,freight,LPG vehicle,natural gas tf]</t>
  </si>
  <si>
    <t>Transportation Sector Fuel Used[HDVs,freight,LPG vehicle,petroleum gasoline tf]</t>
  </si>
  <si>
    <t>Transportation Sector Fuel Used[HDVs,freight,LPG vehicle,petroleum diesel tf]</t>
  </si>
  <si>
    <t>Transportation Sector Fuel Used[HDVs,freight,LPG vehicle,biofuel gasoline tf]</t>
  </si>
  <si>
    <t>Transportation Sector Fuel Used[HDVs,freight,LPG vehicle,biofuel diesel tf]</t>
  </si>
  <si>
    <t>Transportation Sector Fuel Used[HDVs,freight,LPG vehicle,jet fuel tf]</t>
  </si>
  <si>
    <t>Transportation Sector Fuel Used[HDVs,freight,LPG vehicle,heavy or residual fuel oil tf]</t>
  </si>
  <si>
    <t>Transportation Sector Fuel Used[HDVs,freight,LPG vehicle,LPG propane or butane tf]</t>
  </si>
  <si>
    <t>Transportation Sector Fuel Used[HDVs,freight,LPG vehicle,hydrogen tf]</t>
  </si>
  <si>
    <t>Transportation Sector Fuel Used[HDVs,freight,hydrogen vehicle,electricity tf]</t>
  </si>
  <si>
    <t>Transportation Sector Fuel Used[HDVs,freight,hydrogen vehicle,natural gas tf]</t>
  </si>
  <si>
    <t>Transportation Sector Fuel Used[HDVs,freight,hydrogen vehicle,petroleum gasoline tf]</t>
  </si>
  <si>
    <t>Transportation Sector Fuel Used[HDVs,freight,hydrogen vehicle,petroleum diesel tf]</t>
  </si>
  <si>
    <t>Transportation Sector Fuel Used[HDVs,freight,hydrogen vehicle,biofuel gasoline tf]</t>
  </si>
  <si>
    <t>Transportation Sector Fuel Used[HDVs,freight,hydrogen vehicle,biofuel diesel tf]</t>
  </si>
  <si>
    <t>Transportation Sector Fuel Used[HDVs,freight,hydrogen vehicle,jet fuel tf]</t>
  </si>
  <si>
    <t>Transportation Sector Fuel Used[HDVs,freight,hydrogen vehicle,heavy or residual fuel oil tf]</t>
  </si>
  <si>
    <t>Transportation Sector Fuel Used[HDVs,freight,hydrogen vehicle,LPG propane or butane tf]</t>
  </si>
  <si>
    <t>Transportation Sector Fuel Used[HDVs,freight,hydrogen vehicle,hydrogen tf]</t>
  </si>
  <si>
    <t>Transportation Sector Fuel Used[aircraft,passenger,battery electric vehicle,electricity tf]</t>
  </si>
  <si>
    <t>Transportation Sector Fuel Used[aircraft,passenger,battery electric vehicle,natural gas tf]</t>
  </si>
  <si>
    <t>Transportation Sector Fuel Used[aircraft,passenger,battery electric vehicle,petroleum gasoline tf]</t>
  </si>
  <si>
    <t>Transportation Sector Fuel Used[aircraft,passenger,battery electric vehicle,petroleum diesel tf]</t>
  </si>
  <si>
    <t>Transportation Sector Fuel Used[aircraft,passenger,battery electric vehicle,biofuel gasoline tf]</t>
  </si>
  <si>
    <t>Transportation Sector Fuel Used[aircraft,passenger,battery electric vehicle,biofuel diesel tf]</t>
  </si>
  <si>
    <t>Transportation Sector Fuel Used[aircraft,passenger,battery electric vehicle,jet fuel tf]</t>
  </si>
  <si>
    <t>Transportation Sector Fuel Used[aircraft,passenger,battery electric vehicle,heavy or residual fuel oil tf]</t>
  </si>
  <si>
    <t>Transportation Sector Fuel Used[aircraft,passenger,battery electric vehicle,LPG propane or butane tf]</t>
  </si>
  <si>
    <t>Transportation Sector Fuel Used[aircraft,passenger,battery electric vehicle,hydrogen tf]</t>
  </si>
  <si>
    <t>Transportation Sector Fuel Used[aircraft,passenger,natural gas vehicle,electricity tf]</t>
  </si>
  <si>
    <t>Transportation Sector Fuel Used[aircraft,passenger,natural gas vehicle,natural gas tf]</t>
  </si>
  <si>
    <t>Transportation Sector Fuel Used[aircraft,passenger,natural gas vehicle,petroleum gasoline tf]</t>
  </si>
  <si>
    <t>Transportation Sector Fuel Used[aircraft,passenger,natural gas vehicle,petroleum diesel tf]</t>
  </si>
  <si>
    <t>Transportation Sector Fuel Used[aircraft,passenger,natural gas vehicle,biofuel gasoline tf]</t>
  </si>
  <si>
    <t>Transportation Sector Fuel Used[aircraft,passenger,natural gas vehicle,biofuel diesel tf]</t>
  </si>
  <si>
    <t>Transportation Sector Fuel Used[aircraft,passenger,natural gas vehicle,jet fuel tf]</t>
  </si>
  <si>
    <t>Transportation Sector Fuel Used[aircraft,passenger,natural gas vehicle,heavy or residual fuel oil tf]</t>
  </si>
  <si>
    <t>Transportation Sector Fuel Used[aircraft,passenger,natural gas vehicle,LPG propane or butane tf]</t>
  </si>
  <si>
    <t>Transportation Sector Fuel Used[aircraft,passenger,natural gas vehicle,hydrogen tf]</t>
  </si>
  <si>
    <t>Transportation Sector Fuel Used[aircraft,passenger,gasoline vehicle,electricity tf]</t>
  </si>
  <si>
    <t>Transportation Sector Fuel Used[aircraft,passenger,gasoline vehicle,natural gas tf]</t>
  </si>
  <si>
    <t>Transportation Sector Fuel Used[aircraft,passenger,gasoline vehicle,petroleum gasoline tf]</t>
  </si>
  <si>
    <t>Transportation Sector Fuel Used[aircraft,passenger,gasoline vehicle,petroleum diesel tf]</t>
  </si>
  <si>
    <t>Transportation Sector Fuel Used[aircraft,passenger,gasoline vehicle,biofuel gasoline tf]</t>
  </si>
  <si>
    <t>Transportation Sector Fuel Used[aircraft,passenger,gasoline vehicle,biofuel diesel tf]</t>
  </si>
  <si>
    <t>Transportation Sector Fuel Used[aircraft,passenger,gasoline vehicle,jet fuel tf]</t>
  </si>
  <si>
    <t>Transportation Sector Fuel Used[aircraft,passenger,gasoline vehicle,heavy or residual fuel oil tf]</t>
  </si>
  <si>
    <t>Transportation Sector Fuel Used[aircraft,passenger,gasoline vehicle,LPG propane or butane tf]</t>
  </si>
  <si>
    <t>Transportation Sector Fuel Used[aircraft,passenger,gasoline vehicle,hydrogen tf]</t>
  </si>
  <si>
    <t>Transportation Sector Fuel Used[aircraft,passenger,diesel vehicle,electricity tf]</t>
  </si>
  <si>
    <t>Transportation Sector Fuel Used[aircraft,passenger,diesel vehicle,natural gas tf]</t>
  </si>
  <si>
    <t>Transportation Sector Fuel Used[aircraft,passenger,diesel vehicle,petroleum gasoline tf]</t>
  </si>
  <si>
    <t>Transportation Sector Fuel Used[aircraft,passenger,diesel vehicle,petroleum diesel tf]</t>
  </si>
  <si>
    <t>Transportation Sector Fuel Used[aircraft,passenger,diesel vehicle,biofuel gasoline tf]</t>
  </si>
  <si>
    <t>Transportation Sector Fuel Used[aircraft,passenger,diesel vehicle,biofuel diesel tf]</t>
  </si>
  <si>
    <t>Transportation Sector Fuel Used[aircraft,passenger,diesel vehicle,jet fuel tf]</t>
  </si>
  <si>
    <t>Transportation Sector Fuel Used[aircraft,passenger,diesel vehicle,heavy or residual fuel oil tf]</t>
  </si>
  <si>
    <t>Transportation Sector Fuel Used[aircraft,passenger,diesel vehicle,LPG propane or butane tf]</t>
  </si>
  <si>
    <t>Transportation Sector Fuel Used[aircraft,passenger,diesel vehicle,hydrogen tf]</t>
  </si>
  <si>
    <t>Transportation Sector Fuel Used[aircraft,passenger,plugin hybrid vehicle,electricity tf]</t>
  </si>
  <si>
    <t>Transportation Sector Fuel Used[aircraft,passenger,plugin hybrid vehicle,natural gas tf]</t>
  </si>
  <si>
    <t>Transportation Sector Fuel Used[aircraft,passenger,plugin hybrid vehicle,petroleum gasoline tf]</t>
  </si>
  <si>
    <t>Transportation Sector Fuel Used[aircraft,passenger,plugin hybrid vehicle,petroleum diesel tf]</t>
  </si>
  <si>
    <t>Transportation Sector Fuel Used[aircraft,passenger,plugin hybrid vehicle,biofuel gasoline tf]</t>
  </si>
  <si>
    <t>Transportation Sector Fuel Used[aircraft,passenger,plugin hybrid vehicle,biofuel diesel tf]</t>
  </si>
  <si>
    <t>Transportation Sector Fuel Used[aircraft,passenger,plugin hybrid vehicle,jet fuel tf]</t>
  </si>
  <si>
    <t>Transportation Sector Fuel Used[aircraft,passenger,plugin hybrid vehicle,heavy or residual fuel oil tf]</t>
  </si>
  <si>
    <t>Transportation Sector Fuel Used[aircraft,passenger,plugin hybrid vehicle,LPG propane or butane tf]</t>
  </si>
  <si>
    <t>Transportation Sector Fuel Used[aircraft,passenger,plugin hybrid vehicle,hydrogen tf]</t>
  </si>
  <si>
    <t>Transportation Sector Fuel Used[aircraft,passenger,LPG vehicle,electricity tf]</t>
  </si>
  <si>
    <t>Transportation Sector Fuel Used[aircraft,passenger,LPG vehicle,natural gas tf]</t>
  </si>
  <si>
    <t>Transportation Sector Fuel Used[aircraft,passenger,LPG vehicle,petroleum gasoline tf]</t>
  </si>
  <si>
    <t>Transportation Sector Fuel Used[aircraft,passenger,LPG vehicle,petroleum diesel tf]</t>
  </si>
  <si>
    <t>Transportation Sector Fuel Used[aircraft,passenger,LPG vehicle,biofuel gasoline tf]</t>
  </si>
  <si>
    <t>Transportation Sector Fuel Used[aircraft,passenger,LPG vehicle,biofuel diesel tf]</t>
  </si>
  <si>
    <t>Transportation Sector Fuel Used[aircraft,passenger,LPG vehicle,jet fuel tf]</t>
  </si>
  <si>
    <t>Transportation Sector Fuel Used[aircraft,passenger,LPG vehicle,heavy or residual fuel oil tf]</t>
  </si>
  <si>
    <t>Transportation Sector Fuel Used[aircraft,passenger,LPG vehicle,LPG propane or butane tf]</t>
  </si>
  <si>
    <t>Transportation Sector Fuel Used[aircraft,passenger,LPG vehicle,hydrogen tf]</t>
  </si>
  <si>
    <t>Transportation Sector Fuel Used[aircraft,passenger,hydrogen vehicle,electricity tf]</t>
  </si>
  <si>
    <t>Transportation Sector Fuel Used[aircraft,passenger,hydrogen vehicle,natural gas tf]</t>
  </si>
  <si>
    <t>Transportation Sector Fuel Used[aircraft,passenger,hydrogen vehicle,petroleum gasoline tf]</t>
  </si>
  <si>
    <t>Transportation Sector Fuel Used[aircraft,passenger,hydrogen vehicle,petroleum diesel tf]</t>
  </si>
  <si>
    <t>Transportation Sector Fuel Used[aircraft,passenger,hydrogen vehicle,biofuel gasoline tf]</t>
  </si>
  <si>
    <t>Transportation Sector Fuel Used[aircraft,passenger,hydrogen vehicle,biofuel diesel tf]</t>
  </si>
  <si>
    <t>Transportation Sector Fuel Used[aircraft,passenger,hydrogen vehicle,jet fuel tf]</t>
  </si>
  <si>
    <t>Transportation Sector Fuel Used[aircraft,passenger,hydrogen vehicle,heavy or residual fuel oil tf]</t>
  </si>
  <si>
    <t>Transportation Sector Fuel Used[aircraft,passenger,hydrogen vehicle,LPG propane or butane tf]</t>
  </si>
  <si>
    <t>Transportation Sector Fuel Used[aircraft,passenger,hydrogen vehicle,hydrogen tf]</t>
  </si>
  <si>
    <t>Transportation Sector Fuel Used[aircraft,freight,battery electric vehicle,electricity tf]</t>
  </si>
  <si>
    <t>Transportation Sector Fuel Used[aircraft,freight,battery electric vehicle,natural gas tf]</t>
  </si>
  <si>
    <t>Transportation Sector Fuel Used[aircraft,freight,battery electric vehicle,petroleum gasoline tf]</t>
  </si>
  <si>
    <t>Transportation Sector Fuel Used[aircraft,freight,battery electric vehicle,petroleum diesel tf]</t>
  </si>
  <si>
    <t>Transportation Sector Fuel Used[aircraft,freight,battery electric vehicle,biofuel gasoline tf]</t>
  </si>
  <si>
    <t>Transportation Sector Fuel Used[aircraft,freight,battery electric vehicle,biofuel diesel tf]</t>
  </si>
  <si>
    <t>Transportation Sector Fuel Used[aircraft,freight,battery electric vehicle,jet fuel tf]</t>
  </si>
  <si>
    <t>Transportation Sector Fuel Used[aircraft,freight,battery electric vehicle,heavy or residual fuel oil tf]</t>
  </si>
  <si>
    <t>Transportation Sector Fuel Used[aircraft,freight,battery electric vehicle,LPG propane or butane tf]</t>
  </si>
  <si>
    <t>Transportation Sector Fuel Used[aircraft,freight,battery electric vehicle,hydrogen tf]</t>
  </si>
  <si>
    <t>Transportation Sector Fuel Used[aircraft,freight,natural gas vehicle,electricity tf]</t>
  </si>
  <si>
    <t>Transportation Sector Fuel Used[aircraft,freight,natural gas vehicle,natural gas tf]</t>
  </si>
  <si>
    <t>Transportation Sector Fuel Used[aircraft,freight,natural gas vehicle,petroleum gasoline tf]</t>
  </si>
  <si>
    <t>Transportation Sector Fuel Used[aircraft,freight,natural gas vehicle,petroleum diesel tf]</t>
  </si>
  <si>
    <t>Transportation Sector Fuel Used[aircraft,freight,natural gas vehicle,biofuel gasoline tf]</t>
  </si>
  <si>
    <t>Transportation Sector Fuel Used[aircraft,freight,natural gas vehicle,biofuel diesel tf]</t>
  </si>
  <si>
    <t>Transportation Sector Fuel Used[aircraft,freight,natural gas vehicle,jet fuel tf]</t>
  </si>
  <si>
    <t>Transportation Sector Fuel Used[aircraft,freight,natural gas vehicle,heavy or residual fuel oil tf]</t>
  </si>
  <si>
    <t>Transportation Sector Fuel Used[aircraft,freight,natural gas vehicle,LPG propane or butane tf]</t>
  </si>
  <si>
    <t>Transportation Sector Fuel Used[aircraft,freight,natural gas vehicle,hydrogen tf]</t>
  </si>
  <si>
    <t>Transportation Sector Fuel Used[aircraft,freight,gasoline vehicle,electricity tf]</t>
  </si>
  <si>
    <t>Transportation Sector Fuel Used[aircraft,freight,gasoline vehicle,natural gas tf]</t>
  </si>
  <si>
    <t>Transportation Sector Fuel Used[aircraft,freight,gasoline vehicle,petroleum gasoline tf]</t>
  </si>
  <si>
    <t>Transportation Sector Fuel Used[aircraft,freight,gasoline vehicle,petroleum diesel tf]</t>
  </si>
  <si>
    <t>Transportation Sector Fuel Used[aircraft,freight,gasoline vehicle,biofuel gasoline tf]</t>
  </si>
  <si>
    <t>Transportation Sector Fuel Used[aircraft,freight,gasoline vehicle,biofuel diesel tf]</t>
  </si>
  <si>
    <t>Transportation Sector Fuel Used[aircraft,freight,gasoline vehicle,jet fuel tf]</t>
  </si>
  <si>
    <t>Transportation Sector Fuel Used[aircraft,freight,gasoline vehicle,heavy or residual fuel oil tf]</t>
  </si>
  <si>
    <t>Transportation Sector Fuel Used[aircraft,freight,gasoline vehicle,LPG propane or butane tf]</t>
  </si>
  <si>
    <t>Transportation Sector Fuel Used[aircraft,freight,gasoline vehicle,hydrogen tf]</t>
  </si>
  <si>
    <t>Transportation Sector Fuel Used[aircraft,freight,diesel vehicle,electricity tf]</t>
  </si>
  <si>
    <t>Transportation Sector Fuel Used[aircraft,freight,diesel vehicle,natural gas tf]</t>
  </si>
  <si>
    <t>Transportation Sector Fuel Used[aircraft,freight,diesel vehicle,petroleum gasoline tf]</t>
  </si>
  <si>
    <t>Transportation Sector Fuel Used[aircraft,freight,diesel vehicle,petroleum diesel tf]</t>
  </si>
  <si>
    <t>Transportation Sector Fuel Used[aircraft,freight,diesel vehicle,biofuel gasoline tf]</t>
  </si>
  <si>
    <t>Transportation Sector Fuel Used[aircraft,freight,diesel vehicle,biofuel diesel tf]</t>
  </si>
  <si>
    <t>Transportation Sector Fuel Used[aircraft,freight,diesel vehicle,jet fuel tf]</t>
  </si>
  <si>
    <t>Transportation Sector Fuel Used[aircraft,freight,diesel vehicle,heavy or residual fuel oil tf]</t>
  </si>
  <si>
    <t>Transportation Sector Fuel Used[aircraft,freight,diesel vehicle,LPG propane or butane tf]</t>
  </si>
  <si>
    <t>Transportation Sector Fuel Used[aircraft,freight,diesel vehicle,hydrogen tf]</t>
  </si>
  <si>
    <t>Transportation Sector Fuel Used[aircraft,freight,plugin hybrid vehicle,electricity tf]</t>
  </si>
  <si>
    <t>Transportation Sector Fuel Used[aircraft,freight,plugin hybrid vehicle,natural gas tf]</t>
  </si>
  <si>
    <t>Transportation Sector Fuel Used[aircraft,freight,plugin hybrid vehicle,petroleum gasoline tf]</t>
  </si>
  <si>
    <t>Transportation Sector Fuel Used[aircraft,freight,plugin hybrid vehicle,petroleum diesel tf]</t>
  </si>
  <si>
    <t>Transportation Sector Fuel Used[aircraft,freight,plugin hybrid vehicle,biofuel gasoline tf]</t>
  </si>
  <si>
    <t>Transportation Sector Fuel Used[aircraft,freight,plugin hybrid vehicle,biofuel diesel tf]</t>
  </si>
  <si>
    <t>Transportation Sector Fuel Used[aircraft,freight,plugin hybrid vehicle,jet fuel tf]</t>
  </si>
  <si>
    <t>Transportation Sector Fuel Used[aircraft,freight,plugin hybrid vehicle,heavy or residual fuel oil tf]</t>
  </si>
  <si>
    <t>Transportation Sector Fuel Used[aircraft,freight,plugin hybrid vehicle,LPG propane or butane tf]</t>
  </si>
  <si>
    <t>Transportation Sector Fuel Used[aircraft,freight,plugin hybrid vehicle,hydrogen tf]</t>
  </si>
  <si>
    <t>Transportation Sector Fuel Used[aircraft,freight,LPG vehicle,electricity tf]</t>
  </si>
  <si>
    <t>Transportation Sector Fuel Used[aircraft,freight,LPG vehicle,natural gas tf]</t>
  </si>
  <si>
    <t>Transportation Sector Fuel Used[aircraft,freight,LPG vehicle,petroleum gasoline tf]</t>
  </si>
  <si>
    <t>Transportation Sector Fuel Used[aircraft,freight,LPG vehicle,petroleum diesel tf]</t>
  </si>
  <si>
    <t>Transportation Sector Fuel Used[aircraft,freight,LPG vehicle,biofuel gasoline tf]</t>
  </si>
  <si>
    <t>Transportation Sector Fuel Used[aircraft,freight,LPG vehicle,biofuel diesel tf]</t>
  </si>
  <si>
    <t>Transportation Sector Fuel Used[aircraft,freight,LPG vehicle,jet fuel tf]</t>
  </si>
  <si>
    <t>Transportation Sector Fuel Used[aircraft,freight,LPG vehicle,heavy or residual fuel oil tf]</t>
  </si>
  <si>
    <t>Transportation Sector Fuel Used[aircraft,freight,LPG vehicle,LPG propane or butane tf]</t>
  </si>
  <si>
    <t>Transportation Sector Fuel Used[aircraft,freight,LPG vehicle,hydrogen tf]</t>
  </si>
  <si>
    <t>Transportation Sector Fuel Used[aircraft,freight,hydrogen vehicle,electricity tf]</t>
  </si>
  <si>
    <t>Transportation Sector Fuel Used[aircraft,freight,hydrogen vehicle,natural gas tf]</t>
  </si>
  <si>
    <t>Transportation Sector Fuel Used[aircraft,freight,hydrogen vehicle,petroleum gasoline tf]</t>
  </si>
  <si>
    <t>Transportation Sector Fuel Used[aircraft,freight,hydrogen vehicle,petroleum diesel tf]</t>
  </si>
  <si>
    <t>Transportation Sector Fuel Used[aircraft,freight,hydrogen vehicle,biofuel gasoline tf]</t>
  </si>
  <si>
    <t>Transportation Sector Fuel Used[aircraft,freight,hydrogen vehicle,biofuel diesel tf]</t>
  </si>
  <si>
    <t>Transportation Sector Fuel Used[aircraft,freight,hydrogen vehicle,jet fuel tf]</t>
  </si>
  <si>
    <t>Transportation Sector Fuel Used[aircraft,freight,hydrogen vehicle,heavy or residual fuel oil tf]</t>
  </si>
  <si>
    <t>Transportation Sector Fuel Used[aircraft,freight,hydrogen vehicle,LPG propane or butane tf]</t>
  </si>
  <si>
    <t>Transportation Sector Fuel Used[aircraft,freight,hydrogen vehicle,hydrogen tf]</t>
  </si>
  <si>
    <t>Transportation Sector Fuel Used[rail,passenger,battery electric vehicle,electricity tf]</t>
  </si>
  <si>
    <t>Transportation Sector Fuel Used[rail,passenger,battery electric vehicle,natural gas tf]</t>
  </si>
  <si>
    <t>Transportation Sector Fuel Used[rail,passenger,battery electric vehicle,petroleum gasoline tf]</t>
  </si>
  <si>
    <t>Transportation Sector Fuel Used[rail,passenger,battery electric vehicle,petroleum diesel tf]</t>
  </si>
  <si>
    <t>Transportation Sector Fuel Used[rail,passenger,battery electric vehicle,biofuel gasoline tf]</t>
  </si>
  <si>
    <t>Transportation Sector Fuel Used[rail,passenger,battery electric vehicle,biofuel diesel tf]</t>
  </si>
  <si>
    <t>Transportation Sector Fuel Used[rail,passenger,battery electric vehicle,jet fuel tf]</t>
  </si>
  <si>
    <t>Transportation Sector Fuel Used[rail,passenger,battery electric vehicle,heavy or residual fuel oil tf]</t>
  </si>
  <si>
    <t>Transportation Sector Fuel Used[rail,passenger,battery electric vehicle,LPG propane or butane tf]</t>
  </si>
  <si>
    <t>Transportation Sector Fuel Used[rail,passenger,battery electric vehicle,hydrogen tf]</t>
  </si>
  <si>
    <t>Transportation Sector Fuel Used[rail,passenger,natural gas vehicle,electricity tf]</t>
  </si>
  <si>
    <t>Transportation Sector Fuel Used[rail,passenger,natural gas vehicle,natural gas tf]</t>
  </si>
  <si>
    <t>Transportation Sector Fuel Used[rail,passenger,natural gas vehicle,petroleum gasoline tf]</t>
  </si>
  <si>
    <t>Transportation Sector Fuel Used[rail,passenger,natural gas vehicle,petroleum diesel tf]</t>
  </si>
  <si>
    <t>Transportation Sector Fuel Used[rail,passenger,natural gas vehicle,biofuel gasoline tf]</t>
  </si>
  <si>
    <t>Transportation Sector Fuel Used[rail,passenger,natural gas vehicle,biofuel diesel tf]</t>
  </si>
  <si>
    <t>Transportation Sector Fuel Used[rail,passenger,natural gas vehicle,jet fuel tf]</t>
  </si>
  <si>
    <t>Transportation Sector Fuel Used[rail,passenger,natural gas vehicle,heavy or residual fuel oil tf]</t>
  </si>
  <si>
    <t>Transportation Sector Fuel Used[rail,passenger,natural gas vehicle,LPG propane or butane tf]</t>
  </si>
  <si>
    <t>Transportation Sector Fuel Used[rail,passenger,natural gas vehicle,hydrogen tf]</t>
  </si>
  <si>
    <t>Transportation Sector Fuel Used[rail,passenger,gasoline vehicle,electricity tf]</t>
  </si>
  <si>
    <t>Transportation Sector Fuel Used[rail,passenger,gasoline vehicle,natural gas tf]</t>
  </si>
  <si>
    <t>Transportation Sector Fuel Used[rail,passenger,gasoline vehicle,petroleum gasoline tf]</t>
  </si>
  <si>
    <t>Transportation Sector Fuel Used[rail,passenger,gasoline vehicle,petroleum diesel tf]</t>
  </si>
  <si>
    <t>Transportation Sector Fuel Used[rail,passenger,gasoline vehicle,biofuel gasoline tf]</t>
  </si>
  <si>
    <t>Transportation Sector Fuel Used[rail,passenger,gasoline vehicle,biofuel diesel tf]</t>
  </si>
  <si>
    <t>Transportation Sector Fuel Used[rail,passenger,gasoline vehicle,jet fuel tf]</t>
  </si>
  <si>
    <t>Transportation Sector Fuel Used[rail,passenger,gasoline vehicle,heavy or residual fuel oil tf]</t>
  </si>
  <si>
    <t>Transportation Sector Fuel Used[rail,passenger,gasoline vehicle,LPG propane or butane tf]</t>
  </si>
  <si>
    <t>Transportation Sector Fuel Used[rail,passenger,gasoline vehicle,hydrogen tf]</t>
  </si>
  <si>
    <t>Transportation Sector Fuel Used[rail,passenger,diesel vehicle,electricity tf]</t>
  </si>
  <si>
    <t>Transportation Sector Fuel Used[rail,passenger,diesel vehicle,natural gas tf]</t>
  </si>
  <si>
    <t>Transportation Sector Fuel Used[rail,passenger,diesel vehicle,petroleum gasoline tf]</t>
  </si>
  <si>
    <t>Transportation Sector Fuel Used[rail,passenger,diesel vehicle,petroleum diesel tf]</t>
  </si>
  <si>
    <t>Transportation Sector Fuel Used[rail,passenger,diesel vehicle,biofuel gasoline tf]</t>
  </si>
  <si>
    <t>Transportation Sector Fuel Used[rail,passenger,diesel vehicle,biofuel diesel tf]</t>
  </si>
  <si>
    <t>Transportation Sector Fuel Used[rail,passenger,diesel vehicle,jet fuel tf]</t>
  </si>
  <si>
    <t>Transportation Sector Fuel Used[rail,passenger,diesel vehicle,heavy or residual fuel oil tf]</t>
  </si>
  <si>
    <t>Transportation Sector Fuel Used[rail,passenger,diesel vehicle,LPG propane or butane tf]</t>
  </si>
  <si>
    <t>Transportation Sector Fuel Used[rail,passenger,diesel vehicle,hydrogen tf]</t>
  </si>
  <si>
    <t>Transportation Sector Fuel Used[rail,passenger,plugin hybrid vehicle,electricity tf]</t>
  </si>
  <si>
    <t>Transportation Sector Fuel Used[rail,passenger,plugin hybrid vehicle,natural gas tf]</t>
  </si>
  <si>
    <t>Transportation Sector Fuel Used[rail,passenger,plugin hybrid vehicle,petroleum gasoline tf]</t>
  </si>
  <si>
    <t>Transportation Sector Fuel Used[rail,passenger,plugin hybrid vehicle,petroleum diesel tf]</t>
  </si>
  <si>
    <t>Transportation Sector Fuel Used[rail,passenger,plugin hybrid vehicle,biofuel gasoline tf]</t>
  </si>
  <si>
    <t>Transportation Sector Fuel Used[rail,passenger,plugin hybrid vehicle,biofuel diesel tf]</t>
  </si>
  <si>
    <t>Transportation Sector Fuel Used[rail,passenger,plugin hybrid vehicle,jet fuel tf]</t>
  </si>
  <si>
    <t>Transportation Sector Fuel Used[rail,passenger,plugin hybrid vehicle,heavy or residual fuel oil tf]</t>
  </si>
  <si>
    <t>Transportation Sector Fuel Used[rail,passenger,plugin hybrid vehicle,LPG propane or butane tf]</t>
  </si>
  <si>
    <t>Transportation Sector Fuel Used[rail,passenger,plugin hybrid vehicle,hydrogen tf]</t>
  </si>
  <si>
    <t>Transportation Sector Fuel Used[rail,passenger,LPG vehicle,electricity tf]</t>
  </si>
  <si>
    <t>Transportation Sector Fuel Used[rail,passenger,LPG vehicle,natural gas tf]</t>
  </si>
  <si>
    <t>Transportation Sector Fuel Used[rail,passenger,LPG vehicle,petroleum gasoline tf]</t>
  </si>
  <si>
    <t>Transportation Sector Fuel Used[rail,passenger,LPG vehicle,petroleum diesel tf]</t>
  </si>
  <si>
    <t>Transportation Sector Fuel Used[rail,passenger,LPG vehicle,biofuel gasoline tf]</t>
  </si>
  <si>
    <t>Transportation Sector Fuel Used[rail,passenger,LPG vehicle,biofuel diesel tf]</t>
  </si>
  <si>
    <t>Transportation Sector Fuel Used[rail,passenger,LPG vehicle,jet fuel tf]</t>
  </si>
  <si>
    <t>Transportation Sector Fuel Used[rail,passenger,LPG vehicle,heavy or residual fuel oil tf]</t>
  </si>
  <si>
    <t>Transportation Sector Fuel Used[rail,passenger,LPG vehicle,LPG propane or butane tf]</t>
  </si>
  <si>
    <t>Transportation Sector Fuel Used[rail,passenger,LPG vehicle,hydrogen tf]</t>
  </si>
  <si>
    <t>Transportation Sector Fuel Used[rail,passenger,hydrogen vehicle,electricity tf]</t>
  </si>
  <si>
    <t>Transportation Sector Fuel Used[rail,passenger,hydrogen vehicle,natural gas tf]</t>
  </si>
  <si>
    <t>Transportation Sector Fuel Used[rail,passenger,hydrogen vehicle,petroleum gasoline tf]</t>
  </si>
  <si>
    <t>Transportation Sector Fuel Used[rail,passenger,hydrogen vehicle,petroleum diesel tf]</t>
  </si>
  <si>
    <t>Transportation Sector Fuel Used[rail,passenger,hydrogen vehicle,biofuel gasoline tf]</t>
  </si>
  <si>
    <t>Transportation Sector Fuel Used[rail,passenger,hydrogen vehicle,biofuel diesel tf]</t>
  </si>
  <si>
    <t>Transportation Sector Fuel Used[rail,passenger,hydrogen vehicle,jet fuel tf]</t>
  </si>
  <si>
    <t>Transportation Sector Fuel Used[rail,passenger,hydrogen vehicle,heavy or residual fuel oil tf]</t>
  </si>
  <si>
    <t>Transportation Sector Fuel Used[rail,passenger,hydrogen vehicle,LPG propane or butane tf]</t>
  </si>
  <si>
    <t>Transportation Sector Fuel Used[rail,passenger,hydrogen vehicle,hydrogen tf]</t>
  </si>
  <si>
    <t>Transportation Sector Fuel Used[rail,freight,battery electric vehicle,electricity tf]</t>
  </si>
  <si>
    <t>Transportation Sector Fuel Used[rail,freight,battery electric vehicle,natural gas tf]</t>
  </si>
  <si>
    <t>Transportation Sector Fuel Used[rail,freight,battery electric vehicle,petroleum gasoline tf]</t>
  </si>
  <si>
    <t>Transportation Sector Fuel Used[rail,freight,battery electric vehicle,petroleum diesel tf]</t>
  </si>
  <si>
    <t>Transportation Sector Fuel Used[rail,freight,battery electric vehicle,biofuel gasoline tf]</t>
  </si>
  <si>
    <t>Transportation Sector Fuel Used[rail,freight,battery electric vehicle,biofuel diesel tf]</t>
  </si>
  <si>
    <t>Transportation Sector Fuel Used[rail,freight,battery electric vehicle,jet fuel tf]</t>
  </si>
  <si>
    <t>Transportation Sector Fuel Used[rail,freight,battery electric vehicle,heavy or residual fuel oil tf]</t>
  </si>
  <si>
    <t>Transportation Sector Fuel Used[rail,freight,battery electric vehicle,LPG propane or butane tf]</t>
  </si>
  <si>
    <t>Transportation Sector Fuel Used[rail,freight,battery electric vehicle,hydrogen tf]</t>
  </si>
  <si>
    <t>Transportation Sector Fuel Used[rail,freight,natural gas vehicle,electricity tf]</t>
  </si>
  <si>
    <t>Transportation Sector Fuel Used[rail,freight,natural gas vehicle,natural gas tf]</t>
  </si>
  <si>
    <t>Transportation Sector Fuel Used[rail,freight,natural gas vehicle,petroleum gasoline tf]</t>
  </si>
  <si>
    <t>Transportation Sector Fuel Used[rail,freight,natural gas vehicle,petroleum diesel tf]</t>
  </si>
  <si>
    <t>Transportation Sector Fuel Used[rail,freight,natural gas vehicle,biofuel gasoline tf]</t>
  </si>
  <si>
    <t>Transportation Sector Fuel Used[rail,freight,natural gas vehicle,biofuel diesel tf]</t>
  </si>
  <si>
    <t>Transportation Sector Fuel Used[rail,freight,natural gas vehicle,jet fuel tf]</t>
  </si>
  <si>
    <t>Transportation Sector Fuel Used[rail,freight,natural gas vehicle,heavy or residual fuel oil tf]</t>
  </si>
  <si>
    <t>Transportation Sector Fuel Used[rail,freight,natural gas vehicle,LPG propane or butane tf]</t>
  </si>
  <si>
    <t>Transportation Sector Fuel Used[rail,freight,natural gas vehicle,hydrogen tf]</t>
  </si>
  <si>
    <t>Transportation Sector Fuel Used[rail,freight,gasoline vehicle,electricity tf]</t>
  </si>
  <si>
    <t>Transportation Sector Fuel Used[rail,freight,gasoline vehicle,natural gas tf]</t>
  </si>
  <si>
    <t>Transportation Sector Fuel Used[rail,freight,gasoline vehicle,petroleum gasoline tf]</t>
  </si>
  <si>
    <t>Transportation Sector Fuel Used[rail,freight,gasoline vehicle,petroleum diesel tf]</t>
  </si>
  <si>
    <t>Transportation Sector Fuel Used[rail,freight,gasoline vehicle,biofuel gasoline tf]</t>
  </si>
  <si>
    <t>Transportation Sector Fuel Used[rail,freight,gasoline vehicle,biofuel diesel tf]</t>
  </si>
  <si>
    <t>Transportation Sector Fuel Used[rail,freight,gasoline vehicle,jet fuel tf]</t>
  </si>
  <si>
    <t>Transportation Sector Fuel Used[rail,freight,gasoline vehicle,heavy or residual fuel oil tf]</t>
  </si>
  <si>
    <t>Transportation Sector Fuel Used[rail,freight,gasoline vehicle,LPG propane or butane tf]</t>
  </si>
  <si>
    <t>Transportation Sector Fuel Used[rail,freight,gasoline vehicle,hydrogen tf]</t>
  </si>
  <si>
    <t>Transportation Sector Fuel Used[rail,freight,diesel vehicle,electricity tf]</t>
  </si>
  <si>
    <t>Transportation Sector Fuel Used[rail,freight,diesel vehicle,natural gas tf]</t>
  </si>
  <si>
    <t>Transportation Sector Fuel Used[rail,freight,diesel vehicle,petroleum gasoline tf]</t>
  </si>
  <si>
    <t>Transportation Sector Fuel Used[rail,freight,diesel vehicle,petroleum diesel tf]</t>
  </si>
  <si>
    <t>Transportation Sector Fuel Used[rail,freight,diesel vehicle,biofuel gasoline tf]</t>
  </si>
  <si>
    <t>Transportation Sector Fuel Used[rail,freight,diesel vehicle,biofuel diesel tf]</t>
  </si>
  <si>
    <t>Transportation Sector Fuel Used[rail,freight,diesel vehicle,jet fuel tf]</t>
  </si>
  <si>
    <t>Transportation Sector Fuel Used[rail,freight,diesel vehicle,heavy or residual fuel oil tf]</t>
  </si>
  <si>
    <t>Transportation Sector Fuel Used[rail,freight,diesel vehicle,LPG propane or butane tf]</t>
  </si>
  <si>
    <t>Transportation Sector Fuel Used[rail,freight,diesel vehicle,hydrogen tf]</t>
  </si>
  <si>
    <t>Transportation Sector Fuel Used[rail,freight,plugin hybrid vehicle,electricity tf]</t>
  </si>
  <si>
    <t>Transportation Sector Fuel Used[rail,freight,plugin hybrid vehicle,natural gas tf]</t>
  </si>
  <si>
    <t>Transportation Sector Fuel Used[rail,freight,plugin hybrid vehicle,petroleum gasoline tf]</t>
  </si>
  <si>
    <t>Transportation Sector Fuel Used[rail,freight,plugin hybrid vehicle,petroleum diesel tf]</t>
  </si>
  <si>
    <t>Transportation Sector Fuel Used[rail,freight,plugin hybrid vehicle,biofuel gasoline tf]</t>
  </si>
  <si>
    <t>Transportation Sector Fuel Used[rail,freight,plugin hybrid vehicle,biofuel diesel tf]</t>
  </si>
  <si>
    <t>Transportation Sector Fuel Used[rail,freight,plugin hybrid vehicle,jet fuel tf]</t>
  </si>
  <si>
    <t>Transportation Sector Fuel Used[rail,freight,plugin hybrid vehicle,heavy or residual fuel oil tf]</t>
  </si>
  <si>
    <t>Transportation Sector Fuel Used[rail,freight,plugin hybrid vehicle,LPG propane or butane tf]</t>
  </si>
  <si>
    <t>Transportation Sector Fuel Used[rail,freight,plugin hybrid vehicle,hydrogen tf]</t>
  </si>
  <si>
    <t>Transportation Sector Fuel Used[rail,freight,LPG vehicle,electricity tf]</t>
  </si>
  <si>
    <t>Transportation Sector Fuel Used[rail,freight,LPG vehicle,natural gas tf]</t>
  </si>
  <si>
    <t>Transportation Sector Fuel Used[rail,freight,LPG vehicle,petroleum gasoline tf]</t>
  </si>
  <si>
    <t>Transportation Sector Fuel Used[rail,freight,LPG vehicle,petroleum diesel tf]</t>
  </si>
  <si>
    <t>Transportation Sector Fuel Used[rail,freight,LPG vehicle,biofuel gasoline tf]</t>
  </si>
  <si>
    <t>Transportation Sector Fuel Used[rail,freight,LPG vehicle,biofuel diesel tf]</t>
  </si>
  <si>
    <t>Transportation Sector Fuel Used[rail,freight,LPG vehicle,jet fuel tf]</t>
  </si>
  <si>
    <t>Transportation Sector Fuel Used[rail,freight,LPG vehicle,heavy or residual fuel oil tf]</t>
  </si>
  <si>
    <t>Transportation Sector Fuel Used[rail,freight,LPG vehicle,LPG propane or butane tf]</t>
  </si>
  <si>
    <t>Transportation Sector Fuel Used[rail,freight,LPG vehicle,hydrogen tf]</t>
  </si>
  <si>
    <t>Transportation Sector Fuel Used[rail,freight,hydrogen vehicle,electricity tf]</t>
  </si>
  <si>
    <t>Transportation Sector Fuel Used[rail,freight,hydrogen vehicle,natural gas tf]</t>
  </si>
  <si>
    <t>Transportation Sector Fuel Used[rail,freight,hydrogen vehicle,petroleum gasoline tf]</t>
  </si>
  <si>
    <t>Transportation Sector Fuel Used[rail,freight,hydrogen vehicle,petroleum diesel tf]</t>
  </si>
  <si>
    <t>Transportation Sector Fuel Used[rail,freight,hydrogen vehicle,biofuel gasoline tf]</t>
  </si>
  <si>
    <t>Transportation Sector Fuel Used[rail,freight,hydrogen vehicle,biofuel diesel tf]</t>
  </si>
  <si>
    <t>Transportation Sector Fuel Used[rail,freight,hydrogen vehicle,jet fuel tf]</t>
  </si>
  <si>
    <t>Transportation Sector Fuel Used[rail,freight,hydrogen vehicle,heavy or residual fuel oil tf]</t>
  </si>
  <si>
    <t>Transportation Sector Fuel Used[rail,freight,hydrogen vehicle,LPG propane or butane tf]</t>
  </si>
  <si>
    <t>Transportation Sector Fuel Used[rail,freight,hydrogen vehicle,hydrogen tf]</t>
  </si>
  <si>
    <t>Transportation Sector Fuel Used[ships,passenger,battery electric vehicle,electricity tf]</t>
  </si>
  <si>
    <t>Transportation Sector Fuel Used[ships,passenger,battery electric vehicle,natural gas tf]</t>
  </si>
  <si>
    <t>Transportation Sector Fuel Used[ships,passenger,battery electric vehicle,petroleum gasoline tf]</t>
  </si>
  <si>
    <t>Transportation Sector Fuel Used[ships,passenger,battery electric vehicle,petroleum diesel tf]</t>
  </si>
  <si>
    <t>Transportation Sector Fuel Used[ships,passenger,battery electric vehicle,biofuel gasoline tf]</t>
  </si>
  <si>
    <t>Transportation Sector Fuel Used[ships,passenger,battery electric vehicle,biofuel diesel tf]</t>
  </si>
  <si>
    <t>Transportation Sector Fuel Used[ships,passenger,battery electric vehicle,jet fuel tf]</t>
  </si>
  <si>
    <t>Transportation Sector Fuel Used[ships,passenger,battery electric vehicle,heavy or residual fuel oil tf]</t>
  </si>
  <si>
    <t>Transportation Sector Fuel Used[ships,passenger,battery electric vehicle,LPG propane or butane tf]</t>
  </si>
  <si>
    <t>Transportation Sector Fuel Used[ships,passenger,battery electric vehicle,hydrogen tf]</t>
  </si>
  <si>
    <t>Transportation Sector Fuel Used[ships,passenger,natural gas vehicle,electricity tf]</t>
  </si>
  <si>
    <t>Transportation Sector Fuel Used[ships,passenger,natural gas vehicle,natural gas tf]</t>
  </si>
  <si>
    <t>Transportation Sector Fuel Used[ships,passenger,natural gas vehicle,petroleum gasoline tf]</t>
  </si>
  <si>
    <t>Transportation Sector Fuel Used[ships,passenger,natural gas vehicle,petroleum diesel tf]</t>
  </si>
  <si>
    <t>Transportation Sector Fuel Used[ships,passenger,natural gas vehicle,biofuel gasoline tf]</t>
  </si>
  <si>
    <t>Transportation Sector Fuel Used[ships,passenger,natural gas vehicle,biofuel diesel tf]</t>
  </si>
  <si>
    <t>Transportation Sector Fuel Used[ships,passenger,natural gas vehicle,jet fuel tf]</t>
  </si>
  <si>
    <t>Transportation Sector Fuel Used[ships,passenger,natural gas vehicle,heavy or residual fuel oil tf]</t>
  </si>
  <si>
    <t>Transportation Sector Fuel Used[ships,passenger,natural gas vehicle,LPG propane or butane tf]</t>
  </si>
  <si>
    <t>Transportation Sector Fuel Used[ships,passenger,natural gas vehicle,hydrogen tf]</t>
  </si>
  <si>
    <t>Transportation Sector Fuel Used[ships,passenger,gasoline vehicle,electricity tf]</t>
  </si>
  <si>
    <t>Transportation Sector Fuel Used[ships,passenger,gasoline vehicle,natural gas tf]</t>
  </si>
  <si>
    <t>Transportation Sector Fuel Used[ships,passenger,gasoline vehicle,petroleum gasoline tf]</t>
  </si>
  <si>
    <t>Transportation Sector Fuel Used[ships,passenger,gasoline vehicle,petroleum diesel tf]</t>
  </si>
  <si>
    <t>Transportation Sector Fuel Used[ships,passenger,gasoline vehicle,biofuel gasoline tf]</t>
  </si>
  <si>
    <t>Transportation Sector Fuel Used[ships,passenger,gasoline vehicle,biofuel diesel tf]</t>
  </si>
  <si>
    <t>Transportation Sector Fuel Used[ships,passenger,gasoline vehicle,jet fuel tf]</t>
  </si>
  <si>
    <t>Transportation Sector Fuel Used[ships,passenger,gasoline vehicle,heavy or residual fuel oil tf]</t>
  </si>
  <si>
    <t>Transportation Sector Fuel Used[ships,passenger,gasoline vehicle,LPG propane or butane tf]</t>
  </si>
  <si>
    <t>Transportation Sector Fuel Used[ships,passenger,gasoline vehicle,hydrogen tf]</t>
  </si>
  <si>
    <t>Transportation Sector Fuel Used[ships,passenger,diesel vehicle,electricity tf]</t>
  </si>
  <si>
    <t>Transportation Sector Fuel Used[ships,passenger,diesel vehicle,natural gas tf]</t>
  </si>
  <si>
    <t>Transportation Sector Fuel Used[ships,passenger,diesel vehicle,petroleum gasoline tf]</t>
  </si>
  <si>
    <t>Transportation Sector Fuel Used[ships,passenger,diesel vehicle,petroleum diesel tf]</t>
  </si>
  <si>
    <t>Transportation Sector Fuel Used[ships,passenger,diesel vehicle,biofuel gasoline tf]</t>
  </si>
  <si>
    <t>Transportation Sector Fuel Used[ships,passenger,diesel vehicle,biofuel diesel tf]</t>
  </si>
  <si>
    <t>Transportation Sector Fuel Used[ships,passenger,diesel vehicle,jet fuel tf]</t>
  </si>
  <si>
    <t>Transportation Sector Fuel Used[ships,passenger,diesel vehicle,heavy or residual fuel oil tf]</t>
  </si>
  <si>
    <t>Transportation Sector Fuel Used[ships,passenger,diesel vehicle,LPG propane or butane tf]</t>
  </si>
  <si>
    <t>Transportation Sector Fuel Used[ships,passenger,diesel vehicle,hydrogen tf]</t>
  </si>
  <si>
    <t>Transportation Sector Fuel Used[ships,passenger,plugin hybrid vehicle,electricity tf]</t>
  </si>
  <si>
    <t>Transportation Sector Fuel Used[ships,passenger,plugin hybrid vehicle,natural gas tf]</t>
  </si>
  <si>
    <t>Transportation Sector Fuel Used[ships,passenger,plugin hybrid vehicle,petroleum gasoline tf]</t>
  </si>
  <si>
    <t>Transportation Sector Fuel Used[ships,passenger,plugin hybrid vehicle,petroleum diesel tf]</t>
  </si>
  <si>
    <t>Transportation Sector Fuel Used[ships,passenger,plugin hybrid vehicle,biofuel gasoline tf]</t>
  </si>
  <si>
    <t>Transportation Sector Fuel Used[ships,passenger,plugin hybrid vehicle,biofuel diesel tf]</t>
  </si>
  <si>
    <t>Transportation Sector Fuel Used[ships,passenger,plugin hybrid vehicle,jet fuel tf]</t>
  </si>
  <si>
    <t>Transportation Sector Fuel Used[ships,passenger,plugin hybrid vehicle,heavy or residual fuel oil tf]</t>
  </si>
  <si>
    <t>Transportation Sector Fuel Used[ships,passenger,plugin hybrid vehicle,LPG propane or butane tf]</t>
  </si>
  <si>
    <t>Transportation Sector Fuel Used[ships,passenger,plugin hybrid vehicle,hydrogen tf]</t>
  </si>
  <si>
    <t>Transportation Sector Fuel Used[ships,passenger,LPG vehicle,electricity tf]</t>
  </si>
  <si>
    <t>Transportation Sector Fuel Used[ships,passenger,LPG vehicle,natural gas tf]</t>
  </si>
  <si>
    <t>Transportation Sector Fuel Used[ships,passenger,LPG vehicle,petroleum gasoline tf]</t>
  </si>
  <si>
    <t>Transportation Sector Fuel Used[ships,passenger,LPG vehicle,petroleum diesel tf]</t>
  </si>
  <si>
    <t>Transportation Sector Fuel Used[ships,passenger,LPG vehicle,biofuel gasoline tf]</t>
  </si>
  <si>
    <t>Transportation Sector Fuel Used[ships,passenger,LPG vehicle,biofuel diesel tf]</t>
  </si>
  <si>
    <t>Transportation Sector Fuel Used[ships,passenger,LPG vehicle,jet fuel tf]</t>
  </si>
  <si>
    <t>Transportation Sector Fuel Used[ships,passenger,LPG vehicle,heavy or residual fuel oil tf]</t>
  </si>
  <si>
    <t>Transportation Sector Fuel Used[ships,passenger,LPG vehicle,LPG propane or butane tf]</t>
  </si>
  <si>
    <t>Transportation Sector Fuel Used[ships,passenger,LPG vehicle,hydrogen tf]</t>
  </si>
  <si>
    <t>Transportation Sector Fuel Used[ships,passenger,hydrogen vehicle,electricity tf]</t>
  </si>
  <si>
    <t>Transportation Sector Fuel Used[ships,passenger,hydrogen vehicle,natural gas tf]</t>
  </si>
  <si>
    <t>Transportation Sector Fuel Used[ships,passenger,hydrogen vehicle,petroleum gasoline tf]</t>
  </si>
  <si>
    <t>Transportation Sector Fuel Used[ships,passenger,hydrogen vehicle,petroleum diesel tf]</t>
  </si>
  <si>
    <t>Transportation Sector Fuel Used[ships,passenger,hydrogen vehicle,biofuel gasoline tf]</t>
  </si>
  <si>
    <t>Transportation Sector Fuel Used[ships,passenger,hydrogen vehicle,biofuel diesel tf]</t>
  </si>
  <si>
    <t>Transportation Sector Fuel Used[ships,passenger,hydrogen vehicle,jet fuel tf]</t>
  </si>
  <si>
    <t>Transportation Sector Fuel Used[ships,passenger,hydrogen vehicle,heavy or residual fuel oil tf]</t>
  </si>
  <si>
    <t>Transportation Sector Fuel Used[ships,passenger,hydrogen vehicle,LPG propane or butane tf]</t>
  </si>
  <si>
    <t>Transportation Sector Fuel Used[ships,passenger,hydrogen vehicle,hydrogen tf]</t>
  </si>
  <si>
    <t>Transportation Sector Fuel Used[ships,freight,battery electric vehicle,electricity tf]</t>
  </si>
  <si>
    <t>Transportation Sector Fuel Used[ships,freight,battery electric vehicle,natural gas tf]</t>
  </si>
  <si>
    <t>Transportation Sector Fuel Used[ships,freight,battery electric vehicle,petroleum gasoline tf]</t>
  </si>
  <si>
    <t>Transportation Sector Fuel Used[ships,freight,battery electric vehicle,petroleum diesel tf]</t>
  </si>
  <si>
    <t>Transportation Sector Fuel Used[ships,freight,battery electric vehicle,biofuel gasoline tf]</t>
  </si>
  <si>
    <t>Transportation Sector Fuel Used[ships,freight,battery electric vehicle,biofuel diesel tf]</t>
  </si>
  <si>
    <t>Transportation Sector Fuel Used[ships,freight,battery electric vehicle,jet fuel tf]</t>
  </si>
  <si>
    <t>Transportation Sector Fuel Used[ships,freight,battery electric vehicle,heavy or residual fuel oil tf]</t>
  </si>
  <si>
    <t>Transportation Sector Fuel Used[ships,freight,battery electric vehicle,LPG propane or butane tf]</t>
  </si>
  <si>
    <t>Transportation Sector Fuel Used[ships,freight,battery electric vehicle,hydrogen tf]</t>
  </si>
  <si>
    <t>Transportation Sector Fuel Used[ships,freight,natural gas vehicle,electricity tf]</t>
  </si>
  <si>
    <t>Transportation Sector Fuel Used[ships,freight,natural gas vehicle,natural gas tf]</t>
  </si>
  <si>
    <t>Transportation Sector Fuel Used[ships,freight,natural gas vehicle,petroleum gasoline tf]</t>
  </si>
  <si>
    <t>Transportation Sector Fuel Used[ships,freight,natural gas vehicle,petroleum diesel tf]</t>
  </si>
  <si>
    <t>Transportation Sector Fuel Used[ships,freight,natural gas vehicle,biofuel gasoline tf]</t>
  </si>
  <si>
    <t>Transportation Sector Fuel Used[ships,freight,natural gas vehicle,biofuel diesel tf]</t>
  </si>
  <si>
    <t>Transportation Sector Fuel Used[ships,freight,natural gas vehicle,jet fuel tf]</t>
  </si>
  <si>
    <t>Transportation Sector Fuel Used[ships,freight,natural gas vehicle,heavy or residual fuel oil tf]</t>
  </si>
  <si>
    <t>Transportation Sector Fuel Used[ships,freight,natural gas vehicle,LPG propane or butane tf]</t>
  </si>
  <si>
    <t>Transportation Sector Fuel Used[ships,freight,natural gas vehicle,hydrogen tf]</t>
  </si>
  <si>
    <t>Transportation Sector Fuel Used[ships,freight,gasoline vehicle,electricity tf]</t>
  </si>
  <si>
    <t>Transportation Sector Fuel Used[ships,freight,gasoline vehicle,natural gas tf]</t>
  </si>
  <si>
    <t>Transportation Sector Fuel Used[ships,freight,gasoline vehicle,petroleum gasoline tf]</t>
  </si>
  <si>
    <t>Transportation Sector Fuel Used[ships,freight,gasoline vehicle,petroleum diesel tf]</t>
  </si>
  <si>
    <t>Transportation Sector Fuel Used[ships,freight,gasoline vehicle,biofuel gasoline tf]</t>
  </si>
  <si>
    <t>Transportation Sector Fuel Used[ships,freight,gasoline vehicle,biofuel diesel tf]</t>
  </si>
  <si>
    <t>Transportation Sector Fuel Used[ships,freight,gasoline vehicle,jet fuel tf]</t>
  </si>
  <si>
    <t>Transportation Sector Fuel Used[ships,freight,gasoline vehicle,heavy or residual fuel oil tf]</t>
  </si>
  <si>
    <t>Transportation Sector Fuel Used[ships,freight,gasoline vehicle,LPG propane or butane tf]</t>
  </si>
  <si>
    <t>Transportation Sector Fuel Used[ships,freight,gasoline vehicle,hydrogen tf]</t>
  </si>
  <si>
    <t>Transportation Sector Fuel Used[ships,freight,diesel vehicle,electricity tf]</t>
  </si>
  <si>
    <t>Transportation Sector Fuel Used[ships,freight,diesel vehicle,natural gas tf]</t>
  </si>
  <si>
    <t>Transportation Sector Fuel Used[ships,freight,diesel vehicle,petroleum gasoline tf]</t>
  </si>
  <si>
    <t>Transportation Sector Fuel Used[ships,freight,diesel vehicle,petroleum diesel tf]</t>
  </si>
  <si>
    <t>Transportation Sector Fuel Used[ships,freight,diesel vehicle,biofuel gasoline tf]</t>
  </si>
  <si>
    <t>Transportation Sector Fuel Used[ships,freight,diesel vehicle,biofuel diesel tf]</t>
  </si>
  <si>
    <t>Transportation Sector Fuel Used[ships,freight,diesel vehicle,jet fuel tf]</t>
  </si>
  <si>
    <t>Transportation Sector Fuel Used[ships,freight,diesel vehicle,heavy or residual fuel oil tf]</t>
  </si>
  <si>
    <t>Transportation Sector Fuel Used[ships,freight,diesel vehicle,LPG propane or butane tf]</t>
  </si>
  <si>
    <t>Transportation Sector Fuel Used[ships,freight,diesel vehicle,hydrogen tf]</t>
  </si>
  <si>
    <t>Transportation Sector Fuel Used[ships,freight,plugin hybrid vehicle,electricity tf]</t>
  </si>
  <si>
    <t>Transportation Sector Fuel Used[ships,freight,plugin hybrid vehicle,natural gas tf]</t>
  </si>
  <si>
    <t>Transportation Sector Fuel Used[ships,freight,plugin hybrid vehicle,petroleum gasoline tf]</t>
  </si>
  <si>
    <t>Transportation Sector Fuel Used[ships,freight,plugin hybrid vehicle,petroleum diesel tf]</t>
  </si>
  <si>
    <t>Transportation Sector Fuel Used[ships,freight,plugin hybrid vehicle,biofuel gasoline tf]</t>
  </si>
  <si>
    <t>Transportation Sector Fuel Used[ships,freight,plugin hybrid vehicle,biofuel diesel tf]</t>
  </si>
  <si>
    <t>Transportation Sector Fuel Used[ships,freight,plugin hybrid vehicle,jet fuel tf]</t>
  </si>
  <si>
    <t>Transportation Sector Fuel Used[ships,freight,plugin hybrid vehicle,heavy or residual fuel oil tf]</t>
  </si>
  <si>
    <t>Transportation Sector Fuel Used[ships,freight,plugin hybrid vehicle,LPG propane or butane tf]</t>
  </si>
  <si>
    <t>Transportation Sector Fuel Used[ships,freight,plugin hybrid vehicle,hydrogen tf]</t>
  </si>
  <si>
    <t>Transportation Sector Fuel Used[ships,freight,LPG vehicle,electricity tf]</t>
  </si>
  <si>
    <t>Transportation Sector Fuel Used[ships,freight,LPG vehicle,natural gas tf]</t>
  </si>
  <si>
    <t>Transportation Sector Fuel Used[ships,freight,LPG vehicle,petroleum gasoline tf]</t>
  </si>
  <si>
    <t>Transportation Sector Fuel Used[ships,freight,LPG vehicle,petroleum diesel tf]</t>
  </si>
  <si>
    <t>Transportation Sector Fuel Used[ships,freight,LPG vehicle,biofuel gasoline tf]</t>
  </si>
  <si>
    <t>Transportation Sector Fuel Used[ships,freight,LPG vehicle,biofuel diesel tf]</t>
  </si>
  <si>
    <t>Transportation Sector Fuel Used[ships,freight,LPG vehicle,jet fuel tf]</t>
  </si>
  <si>
    <t>Transportation Sector Fuel Used[ships,freight,LPG vehicle,heavy or residual fuel oil tf]</t>
  </si>
  <si>
    <t>Transportation Sector Fuel Used[ships,freight,LPG vehicle,LPG propane or butane tf]</t>
  </si>
  <si>
    <t>Transportation Sector Fuel Used[ships,freight,LPG vehicle,hydrogen tf]</t>
  </si>
  <si>
    <t>Transportation Sector Fuel Used[ships,freight,hydrogen vehicle,electricity tf]</t>
  </si>
  <si>
    <t>Transportation Sector Fuel Used[ships,freight,hydrogen vehicle,natural gas tf]</t>
  </si>
  <si>
    <t>Transportation Sector Fuel Used[ships,freight,hydrogen vehicle,petroleum gasoline tf]</t>
  </si>
  <si>
    <t>Transportation Sector Fuel Used[ships,freight,hydrogen vehicle,petroleum diesel tf]</t>
  </si>
  <si>
    <t>Transportation Sector Fuel Used[ships,freight,hydrogen vehicle,biofuel gasoline tf]</t>
  </si>
  <si>
    <t>Transportation Sector Fuel Used[ships,freight,hydrogen vehicle,biofuel diesel tf]</t>
  </si>
  <si>
    <t>Transportation Sector Fuel Used[ships,freight,hydrogen vehicle,jet fuel tf]</t>
  </si>
  <si>
    <t>Transportation Sector Fuel Used[ships,freight,hydrogen vehicle,heavy or residual fuel oil tf]</t>
  </si>
  <si>
    <t>Transportation Sector Fuel Used[ships,freight,hydrogen vehicle,LPG propane or butane tf]</t>
  </si>
  <si>
    <t>Transportation Sector Fuel Used[ships,freight,hydrogen vehicle,hydrogen tf]</t>
  </si>
  <si>
    <t>Transportation Sector Fuel Used[motorbikes,passenger,battery electric vehicle,electricity tf]</t>
  </si>
  <si>
    <t>Transportation Sector Fuel Used[motorbikes,passenger,battery electric vehicle,natural gas tf]</t>
  </si>
  <si>
    <t>Transportation Sector Fuel Used[motorbikes,passenger,battery electric vehicle,petroleum gasoline tf]</t>
  </si>
  <si>
    <t>Transportation Sector Fuel Used[motorbikes,passenger,battery electric vehicle,petroleum diesel tf]</t>
  </si>
  <si>
    <t>Transportation Sector Fuel Used[motorbikes,passenger,battery electric vehicle,biofuel gasoline tf]</t>
  </si>
  <si>
    <t>Transportation Sector Fuel Used[motorbikes,passenger,battery electric vehicle,biofuel diesel tf]</t>
  </si>
  <si>
    <t>Transportation Sector Fuel Used[motorbikes,passenger,battery electric vehicle,jet fuel tf]</t>
  </si>
  <si>
    <t>Transportation Sector Fuel Used[motorbikes,passenger,battery electric vehicle,heavy or residual fuel oil tf]</t>
  </si>
  <si>
    <t>Transportation Sector Fuel Used[motorbikes,passenger,battery electric vehicle,LPG propane or butane tf]</t>
  </si>
  <si>
    <t>Transportation Sector Fuel Used[motorbikes,passenger,battery electric vehicle,hydrogen tf]</t>
  </si>
  <si>
    <t>Transportation Sector Fuel Used[motorbikes,passenger,natural gas vehicle,electricity tf]</t>
  </si>
  <si>
    <t>Transportation Sector Fuel Used[motorbikes,passenger,natural gas vehicle,natural gas tf]</t>
  </si>
  <si>
    <t>Transportation Sector Fuel Used[motorbikes,passenger,natural gas vehicle,petroleum gasoline tf]</t>
  </si>
  <si>
    <t>Transportation Sector Fuel Used[motorbikes,passenger,natural gas vehicle,petroleum diesel tf]</t>
  </si>
  <si>
    <t>Transportation Sector Fuel Used[motorbikes,passenger,natural gas vehicle,biofuel gasoline tf]</t>
  </si>
  <si>
    <t>Transportation Sector Fuel Used[motorbikes,passenger,natural gas vehicle,biofuel diesel tf]</t>
  </si>
  <si>
    <t>Transportation Sector Fuel Used[motorbikes,passenger,natural gas vehicle,jet fuel tf]</t>
  </si>
  <si>
    <t>Transportation Sector Fuel Used[motorbikes,passenger,natural gas vehicle,heavy or residual fuel oil tf]</t>
  </si>
  <si>
    <t>Transportation Sector Fuel Used[motorbikes,passenger,natural gas vehicle,LPG propane or butane tf]</t>
  </si>
  <si>
    <t>Transportation Sector Fuel Used[motorbikes,passenger,natural gas vehicle,hydrogen tf]</t>
  </si>
  <si>
    <t>Transportation Sector Fuel Used[motorbikes,passenger,gasoline vehicle,electricity tf]</t>
  </si>
  <si>
    <t>Transportation Sector Fuel Used[motorbikes,passenger,gasoline vehicle,natural gas tf]</t>
  </si>
  <si>
    <t>Transportation Sector Fuel Used[motorbikes,passenger,gasoline vehicle,petroleum gasoline tf]</t>
  </si>
  <si>
    <t>Transportation Sector Fuel Used[motorbikes,passenger,gasoline vehicle,petroleum diesel tf]</t>
  </si>
  <si>
    <t>Transportation Sector Fuel Used[motorbikes,passenger,gasoline vehicle,biofuel gasoline tf]</t>
  </si>
  <si>
    <t>Transportation Sector Fuel Used[motorbikes,passenger,gasoline vehicle,biofuel diesel tf]</t>
  </si>
  <si>
    <t>Transportation Sector Fuel Used[motorbikes,passenger,gasoline vehicle,jet fuel tf]</t>
  </si>
  <si>
    <t>Transportation Sector Fuel Used[motorbikes,passenger,gasoline vehicle,heavy or residual fuel oil tf]</t>
  </si>
  <si>
    <t>Transportation Sector Fuel Used[motorbikes,passenger,gasoline vehicle,LPG propane or butane tf]</t>
  </si>
  <si>
    <t>Transportation Sector Fuel Used[motorbikes,passenger,gasoline vehicle,hydrogen tf]</t>
  </si>
  <si>
    <t>Transportation Sector Fuel Used[motorbikes,passenger,diesel vehicle,electricity tf]</t>
  </si>
  <si>
    <t>Transportation Sector Fuel Used[motorbikes,passenger,diesel vehicle,natural gas tf]</t>
  </si>
  <si>
    <t>Transportation Sector Fuel Used[motorbikes,passenger,diesel vehicle,petroleum gasoline tf]</t>
  </si>
  <si>
    <t>Transportation Sector Fuel Used[motorbikes,passenger,diesel vehicle,petroleum diesel tf]</t>
  </si>
  <si>
    <t>Transportation Sector Fuel Used[motorbikes,passenger,diesel vehicle,biofuel gasoline tf]</t>
  </si>
  <si>
    <t>Transportation Sector Fuel Used[motorbikes,passenger,diesel vehicle,biofuel diesel tf]</t>
  </si>
  <si>
    <t>Transportation Sector Fuel Used[motorbikes,passenger,diesel vehicle,jet fuel tf]</t>
  </si>
  <si>
    <t>Transportation Sector Fuel Used[motorbikes,passenger,diesel vehicle,heavy or residual fuel oil tf]</t>
  </si>
  <si>
    <t>Transportation Sector Fuel Used[motorbikes,passenger,diesel vehicle,LPG propane or butane tf]</t>
  </si>
  <si>
    <t>Transportation Sector Fuel Used[motorbikes,passenger,diesel vehicle,hydrogen tf]</t>
  </si>
  <si>
    <t>Transportation Sector Fuel Used[motorbikes,passenger,plugin hybrid vehicle,electricity tf]</t>
  </si>
  <si>
    <t>Transportation Sector Fuel Used[motorbikes,passenger,plugin hybrid vehicle,natural gas tf]</t>
  </si>
  <si>
    <t>Transportation Sector Fuel Used[motorbikes,passenger,plugin hybrid vehicle,petroleum gasoline tf]</t>
  </si>
  <si>
    <t>Transportation Sector Fuel Used[motorbikes,passenger,plugin hybrid vehicle,petroleum diesel tf]</t>
  </si>
  <si>
    <t>Transportation Sector Fuel Used[motorbikes,passenger,plugin hybrid vehicle,biofuel gasoline tf]</t>
  </si>
  <si>
    <t>Transportation Sector Fuel Used[motorbikes,passenger,plugin hybrid vehicle,biofuel diesel tf]</t>
  </si>
  <si>
    <t>Transportation Sector Fuel Used[motorbikes,passenger,plugin hybrid vehicle,jet fuel tf]</t>
  </si>
  <si>
    <t>Transportation Sector Fuel Used[motorbikes,passenger,plugin hybrid vehicle,heavy or residual fuel oil tf]</t>
  </si>
  <si>
    <t>Transportation Sector Fuel Used[motorbikes,passenger,plugin hybrid vehicle,LPG propane or butane tf]</t>
  </si>
  <si>
    <t>Transportation Sector Fuel Used[motorbikes,passenger,plugin hybrid vehicle,hydrogen tf]</t>
  </si>
  <si>
    <t>Transportation Sector Fuel Used[motorbikes,passenger,LPG vehicle,electricity tf]</t>
  </si>
  <si>
    <t>Transportation Sector Fuel Used[motorbikes,passenger,LPG vehicle,natural gas tf]</t>
  </si>
  <si>
    <t>Transportation Sector Fuel Used[motorbikes,passenger,LPG vehicle,petroleum gasoline tf]</t>
  </si>
  <si>
    <t>Transportation Sector Fuel Used[motorbikes,passenger,LPG vehicle,petroleum diesel tf]</t>
  </si>
  <si>
    <t>Transportation Sector Fuel Used[motorbikes,passenger,LPG vehicle,biofuel gasoline tf]</t>
  </si>
  <si>
    <t>Transportation Sector Fuel Used[motorbikes,passenger,LPG vehicle,biofuel diesel tf]</t>
  </si>
  <si>
    <t>Transportation Sector Fuel Used[motorbikes,passenger,LPG vehicle,jet fuel tf]</t>
  </si>
  <si>
    <t>Transportation Sector Fuel Used[motorbikes,passenger,LPG vehicle,heavy or residual fuel oil tf]</t>
  </si>
  <si>
    <t>Transportation Sector Fuel Used[motorbikes,passenger,LPG vehicle,LPG propane or butane tf]</t>
  </si>
  <si>
    <t>Transportation Sector Fuel Used[motorbikes,passenger,LPG vehicle,hydrogen tf]</t>
  </si>
  <si>
    <t>Transportation Sector Fuel Used[motorbikes,passenger,hydrogen vehicle,electricity tf]</t>
  </si>
  <si>
    <t>Transportation Sector Fuel Used[motorbikes,passenger,hydrogen vehicle,natural gas tf]</t>
  </si>
  <si>
    <t>Transportation Sector Fuel Used[motorbikes,passenger,hydrogen vehicle,petroleum gasoline tf]</t>
  </si>
  <si>
    <t>Transportation Sector Fuel Used[motorbikes,passenger,hydrogen vehicle,petroleum diesel tf]</t>
  </si>
  <si>
    <t>Transportation Sector Fuel Used[motorbikes,passenger,hydrogen vehicle,biofuel gasoline tf]</t>
  </si>
  <si>
    <t>Transportation Sector Fuel Used[motorbikes,passenger,hydrogen vehicle,biofuel diesel tf]</t>
  </si>
  <si>
    <t>Transportation Sector Fuel Used[motorbikes,passenger,hydrogen vehicle,jet fuel tf]</t>
  </si>
  <si>
    <t>Transportation Sector Fuel Used[motorbikes,passenger,hydrogen vehicle,heavy or residual fuel oil tf]</t>
  </si>
  <si>
    <t>Transportation Sector Fuel Used[motorbikes,passenger,hydrogen vehicle,LPG propane or butane tf]</t>
  </si>
  <si>
    <t>Transportation Sector Fuel Used[motorbikes,passenger,hydrogen vehicle,hydrogen tf]</t>
  </si>
  <si>
    <t>Transportation Sector Fuel Used[motorbikes,freight,battery electric vehicle,electricity tf]</t>
  </si>
  <si>
    <t>Transportation Sector Fuel Used[motorbikes,freight,battery electric vehicle,natural gas tf]</t>
  </si>
  <si>
    <t>Transportation Sector Fuel Used[motorbikes,freight,battery electric vehicle,petroleum gasoline tf]</t>
  </si>
  <si>
    <t>Transportation Sector Fuel Used[motorbikes,freight,battery electric vehicle,petroleum diesel tf]</t>
  </si>
  <si>
    <t>Transportation Sector Fuel Used[motorbikes,freight,battery electric vehicle,biofuel gasoline tf]</t>
  </si>
  <si>
    <t>Transportation Sector Fuel Used[motorbikes,freight,battery electric vehicle,biofuel diesel tf]</t>
  </si>
  <si>
    <t>Transportation Sector Fuel Used[motorbikes,freight,battery electric vehicle,jet fuel tf]</t>
  </si>
  <si>
    <t>Transportation Sector Fuel Used[motorbikes,freight,battery electric vehicle,heavy or residual fuel oil tf]</t>
  </si>
  <si>
    <t>Transportation Sector Fuel Used[motorbikes,freight,battery electric vehicle,LPG propane or butane tf]</t>
  </si>
  <si>
    <t>Transportation Sector Fuel Used[motorbikes,freight,battery electric vehicle,hydrogen tf]</t>
  </si>
  <si>
    <t>Transportation Sector Fuel Used[motorbikes,freight,natural gas vehicle,electricity tf]</t>
  </si>
  <si>
    <t>Transportation Sector Fuel Used[motorbikes,freight,natural gas vehicle,natural gas tf]</t>
  </si>
  <si>
    <t>Transportation Sector Fuel Used[motorbikes,freight,natural gas vehicle,petroleum gasoline tf]</t>
  </si>
  <si>
    <t>Transportation Sector Fuel Used[motorbikes,freight,natural gas vehicle,petroleum diesel tf]</t>
  </si>
  <si>
    <t>Transportation Sector Fuel Used[motorbikes,freight,natural gas vehicle,biofuel gasoline tf]</t>
  </si>
  <si>
    <t>Transportation Sector Fuel Used[motorbikes,freight,natural gas vehicle,biofuel diesel tf]</t>
  </si>
  <si>
    <t>Transportation Sector Fuel Used[motorbikes,freight,natural gas vehicle,jet fuel tf]</t>
  </si>
  <si>
    <t>Transportation Sector Fuel Used[motorbikes,freight,natural gas vehicle,heavy or residual fuel oil tf]</t>
  </si>
  <si>
    <t>Transportation Sector Fuel Used[motorbikes,freight,natural gas vehicle,LPG propane or butane tf]</t>
  </si>
  <si>
    <t>Transportation Sector Fuel Used[motorbikes,freight,natural gas vehicle,hydrogen tf]</t>
  </si>
  <si>
    <t>Transportation Sector Fuel Used[motorbikes,freight,gasoline vehicle,electricity tf]</t>
  </si>
  <si>
    <t>Transportation Sector Fuel Used[motorbikes,freight,gasoline vehicle,natural gas tf]</t>
  </si>
  <si>
    <t>Transportation Sector Fuel Used[motorbikes,freight,gasoline vehicle,petroleum gasoline tf]</t>
  </si>
  <si>
    <t>Transportation Sector Fuel Used[motorbikes,freight,gasoline vehicle,petroleum diesel tf]</t>
  </si>
  <si>
    <t>Transportation Sector Fuel Used[motorbikes,freight,gasoline vehicle,biofuel gasoline tf]</t>
  </si>
  <si>
    <t>Transportation Sector Fuel Used[motorbikes,freight,gasoline vehicle,biofuel diesel tf]</t>
  </si>
  <si>
    <t>Transportation Sector Fuel Used[motorbikes,freight,gasoline vehicle,jet fuel tf]</t>
  </si>
  <si>
    <t>Transportation Sector Fuel Used[motorbikes,freight,gasoline vehicle,heavy or residual fuel oil tf]</t>
  </si>
  <si>
    <t>Transportation Sector Fuel Used[motorbikes,freight,gasoline vehicle,LPG propane or butane tf]</t>
  </si>
  <si>
    <t>Transportation Sector Fuel Used[motorbikes,freight,gasoline vehicle,hydrogen tf]</t>
  </si>
  <si>
    <t>Transportation Sector Fuel Used[motorbikes,freight,diesel vehicle,electricity tf]</t>
  </si>
  <si>
    <t>Transportation Sector Fuel Used[motorbikes,freight,diesel vehicle,natural gas tf]</t>
  </si>
  <si>
    <t>Transportation Sector Fuel Used[motorbikes,freight,diesel vehicle,petroleum gasoline tf]</t>
  </si>
  <si>
    <t>Transportation Sector Fuel Used[motorbikes,freight,diesel vehicle,petroleum diesel tf]</t>
  </si>
  <si>
    <t>Transportation Sector Fuel Used[motorbikes,freight,diesel vehicle,biofuel gasoline tf]</t>
  </si>
  <si>
    <t>Transportation Sector Fuel Used[motorbikes,freight,diesel vehicle,biofuel diesel tf]</t>
  </si>
  <si>
    <t>Transportation Sector Fuel Used[motorbikes,freight,diesel vehicle,jet fuel tf]</t>
  </si>
  <si>
    <t>Transportation Sector Fuel Used[motorbikes,freight,diesel vehicle,heavy or residual fuel oil tf]</t>
  </si>
  <si>
    <t>Transportation Sector Fuel Used[motorbikes,freight,diesel vehicle,LPG propane or butane tf]</t>
  </si>
  <si>
    <t>Transportation Sector Fuel Used[motorbikes,freight,diesel vehicle,hydrogen tf]</t>
  </si>
  <si>
    <t>Transportation Sector Fuel Used[motorbikes,freight,plugin hybrid vehicle,electricity tf]</t>
  </si>
  <si>
    <t>Transportation Sector Fuel Used[motorbikes,freight,plugin hybrid vehicle,natural gas tf]</t>
  </si>
  <si>
    <t>Transportation Sector Fuel Used[motorbikes,freight,plugin hybrid vehicle,petroleum gasoline tf]</t>
  </si>
  <si>
    <t>Transportation Sector Fuel Used[motorbikes,freight,plugin hybrid vehicle,petroleum diesel tf]</t>
  </si>
  <si>
    <t>Transportation Sector Fuel Used[motorbikes,freight,plugin hybrid vehicle,biofuel gasoline tf]</t>
  </si>
  <si>
    <t>Transportation Sector Fuel Used[motorbikes,freight,plugin hybrid vehicle,biofuel diesel tf]</t>
  </si>
  <si>
    <t>Transportation Sector Fuel Used[motorbikes,freight,plugin hybrid vehicle,jet fuel tf]</t>
  </si>
  <si>
    <t>Transportation Sector Fuel Used[motorbikes,freight,plugin hybrid vehicle,heavy or residual fuel oil tf]</t>
  </si>
  <si>
    <t>Transportation Sector Fuel Used[motorbikes,freight,plugin hybrid vehicle,LPG propane or butane tf]</t>
  </si>
  <si>
    <t>Transportation Sector Fuel Used[motorbikes,freight,plugin hybrid vehicle,hydrogen tf]</t>
  </si>
  <si>
    <t>Transportation Sector Fuel Used[motorbikes,freight,LPG vehicle,electricity tf]</t>
  </si>
  <si>
    <t>Transportation Sector Fuel Used[motorbikes,freight,LPG vehicle,natural gas tf]</t>
  </si>
  <si>
    <t>Transportation Sector Fuel Used[motorbikes,freight,LPG vehicle,petroleum gasoline tf]</t>
  </si>
  <si>
    <t>Transportation Sector Fuel Used[motorbikes,freight,LPG vehicle,petroleum diesel tf]</t>
  </si>
  <si>
    <t>Transportation Sector Fuel Used[motorbikes,freight,LPG vehicle,biofuel gasoline tf]</t>
  </si>
  <si>
    <t>Transportation Sector Fuel Used[motorbikes,freight,LPG vehicle,biofuel diesel tf]</t>
  </si>
  <si>
    <t>Transportation Sector Fuel Used[motorbikes,freight,LPG vehicle,jet fuel tf]</t>
  </si>
  <si>
    <t>Transportation Sector Fuel Used[motorbikes,freight,LPG vehicle,heavy or residual fuel oil tf]</t>
  </si>
  <si>
    <t>Transportation Sector Fuel Used[motorbikes,freight,LPG vehicle,LPG propane or butane tf]</t>
  </si>
  <si>
    <t>Transportation Sector Fuel Used[motorbikes,freight,LPG vehicle,hydrogen tf]</t>
  </si>
  <si>
    <t>Transportation Sector Fuel Used[motorbikes,freight,hydrogen vehicle,electricity tf]</t>
  </si>
  <si>
    <t>Transportation Sector Fuel Used[motorbikes,freight,hydrogen vehicle,natural gas tf]</t>
  </si>
  <si>
    <t>Transportation Sector Fuel Used[motorbikes,freight,hydrogen vehicle,petroleum gasoline tf]</t>
  </si>
  <si>
    <t>Transportation Sector Fuel Used[motorbikes,freight,hydrogen vehicle,petroleum diesel tf]</t>
  </si>
  <si>
    <t>Transportation Sector Fuel Used[motorbikes,freight,hydrogen vehicle,biofuel gasoline tf]</t>
  </si>
  <si>
    <t>Transportation Sector Fuel Used[motorbikes,freight,hydrogen vehicle,biofuel diesel tf]</t>
  </si>
  <si>
    <t>Transportation Sector Fuel Used[motorbikes,freight,hydrogen vehicle,jet fuel tf]</t>
  </si>
  <si>
    <t>Transportation Sector Fuel Used[motorbikes,freight,hydrogen vehicle,heavy or residual fuel oil tf]</t>
  </si>
  <si>
    <t>Transportation Sector Fuel Used[motorbikes,freight,hydrogen vehicle,LPG propane or butane tf]</t>
  </si>
  <si>
    <t>Transportation Sector Fuel Used[motorbikes,freight,hydrogen vehicle,hydrogen tf]</t>
  </si>
  <si>
    <t>Building Components Energy Use[urban residential,electricity bf,heating]</t>
  </si>
  <si>
    <t>Building Components Energy Use[urban residential,electricity bf,cooling and ventilation]</t>
  </si>
  <si>
    <t>Building Components Energy Use[urban residential,electricity bf,envelope]</t>
  </si>
  <si>
    <t>Building Components Energy Use[urban residential,electricity bf,lighting]</t>
  </si>
  <si>
    <t>Building Components Energy Use[urban residential,electricity bf,appliances]</t>
  </si>
  <si>
    <t>Building Components Energy Use[urban residential,electricity bf,other component]</t>
  </si>
  <si>
    <t>Building Components Energy Use[urban residential,hard coal bf,heating]</t>
  </si>
  <si>
    <t>Building Components Energy Use[urban residential,hard coal bf,cooling and ventilation]</t>
  </si>
  <si>
    <t>Building Components Energy Use[urban residential,hard coal bf,envelope]</t>
  </si>
  <si>
    <t>Building Components Energy Use[urban residential,hard coal bf,lighting]</t>
  </si>
  <si>
    <t>Building Components Energy Use[urban residential,hard coal bf,appliances]</t>
  </si>
  <si>
    <t>Building Components Energy Use[urban residential,hard coal bf,other component]</t>
  </si>
  <si>
    <t>Building Components Energy Use[urban residential,natural gas bf,heating]</t>
  </si>
  <si>
    <t>Building Components Energy Use[urban residential,natural gas bf,cooling and ventilation]</t>
  </si>
  <si>
    <t>Building Components Energy Use[urban residential,natural gas bf,envelope]</t>
  </si>
  <si>
    <t>Building Components Energy Use[urban residential,natural gas bf,lighting]</t>
  </si>
  <si>
    <t>Building Components Energy Use[urban residential,natural gas bf,appliances]</t>
  </si>
  <si>
    <t>Building Components Energy Use[urban residential,natural gas bf,other component]</t>
  </si>
  <si>
    <t>Building Components Energy Use[urban residential,petroleum diesel bf,heating]</t>
  </si>
  <si>
    <t>Building Components Energy Use[urban residential,petroleum diesel bf,cooling and ventilation]</t>
  </si>
  <si>
    <t>Building Components Energy Use[urban residential,petroleum diesel bf,envelope]</t>
  </si>
  <si>
    <t>Building Components Energy Use[urban residential,petroleum diesel bf,lighting]</t>
  </si>
  <si>
    <t>Building Components Energy Use[urban residential,petroleum diesel bf,appliances]</t>
  </si>
  <si>
    <t>Building Components Energy Use[urban residential,petroleum diesel bf,other component]</t>
  </si>
  <si>
    <t>Building Components Energy Use[urban residential,heat bf,heating]</t>
  </si>
  <si>
    <t>Building Components Energy Use[urban residential,heat bf,cooling and ventilation]</t>
  </si>
  <si>
    <t>Building Components Energy Use[urban residential,heat bf,envelope]</t>
  </si>
  <si>
    <t>Building Components Energy Use[urban residential,heat bf,lighting]</t>
  </si>
  <si>
    <t>Building Components Energy Use[urban residential,heat bf,appliances]</t>
  </si>
  <si>
    <t>Building Components Energy Use[urban residential,heat bf,other component]</t>
  </si>
  <si>
    <t>Building Components Energy Use[urban residential,biomass bf,heating]</t>
  </si>
  <si>
    <t>Building Components Energy Use[urban residential,biomass bf,cooling and ventilation]</t>
  </si>
  <si>
    <t>Building Components Energy Use[urban residential,biomass bf,envelope]</t>
  </si>
  <si>
    <t>Building Components Energy Use[urban residential,biomass bf,lighting]</t>
  </si>
  <si>
    <t>Building Components Energy Use[urban residential,biomass bf,appliances]</t>
  </si>
  <si>
    <t>Building Components Energy Use[urban residential,biomass bf,other component]</t>
  </si>
  <si>
    <t>Building Components Energy Use[urban residential,kerosene bf,heating]</t>
  </si>
  <si>
    <t>Building Components Energy Use[urban residential,kerosene bf,cooling and ventilation]</t>
  </si>
  <si>
    <t>Building Components Energy Use[urban residential,kerosene bf,envelope]</t>
  </si>
  <si>
    <t>Building Components Energy Use[urban residential,kerosene bf,lighting]</t>
  </si>
  <si>
    <t>Building Components Energy Use[urban residential,kerosene bf,appliances]</t>
  </si>
  <si>
    <t>Building Components Energy Use[urban residential,kerosene bf,other component]</t>
  </si>
  <si>
    <t>Building Components Energy Use[urban residential,heavy or residual fuel oil bf,heating]</t>
  </si>
  <si>
    <t>Building Components Energy Use[urban residential,heavy or residual fuel oil bf,cooling and ventilation]</t>
  </si>
  <si>
    <t>Building Components Energy Use[urban residential,heavy or residual fuel oil bf,envelope]</t>
  </si>
  <si>
    <t>Building Components Energy Use[urban residential,heavy or residual fuel oil bf,lighting]</t>
  </si>
  <si>
    <t>Building Components Energy Use[urban residential,heavy or residual fuel oil bf,appliances]</t>
  </si>
  <si>
    <t>Building Components Energy Use[urban residential,heavy or residual fuel oil bf,other component]</t>
  </si>
  <si>
    <t>Building Components Energy Use[urban residential,LPG propane or butane bf,heating]</t>
  </si>
  <si>
    <t>Building Components Energy Use[urban residential,LPG propane or butane bf,cooling and ventilation]</t>
  </si>
  <si>
    <t>Building Components Energy Use[urban residential,LPG propane or butane bf,envelope]</t>
  </si>
  <si>
    <t>Building Components Energy Use[urban residential,LPG propane or butane bf,lighting]</t>
  </si>
  <si>
    <t>Building Components Energy Use[urban residential,LPG propane or butane bf,appliances]</t>
  </si>
  <si>
    <t>Building Components Energy Use[urban residential,LPG propane or butane bf,other component]</t>
  </si>
  <si>
    <t>Building Components Energy Use[urban residential,hydrogen bf,heating]</t>
  </si>
  <si>
    <t>Building Components Energy Use[urban residential,hydrogen bf,cooling and ventilation]</t>
  </si>
  <si>
    <t>Building Components Energy Use[urban residential,hydrogen bf,envelope]</t>
  </si>
  <si>
    <t>Building Components Energy Use[urban residential,hydrogen bf,lighting]</t>
  </si>
  <si>
    <t>Building Components Energy Use[urban residential,hydrogen bf,appliances]</t>
  </si>
  <si>
    <t>Building Components Energy Use[urban residential,hydrogen bf,other component]</t>
  </si>
  <si>
    <t>Building Components Energy Use[rural residential,electricity bf,heating]</t>
  </si>
  <si>
    <t>Building Components Energy Use[rural residential,electricity bf,cooling and ventilation]</t>
  </si>
  <si>
    <t>Building Components Energy Use[rural residential,electricity bf,envelope]</t>
  </si>
  <si>
    <t>Building Components Energy Use[rural residential,electricity bf,lighting]</t>
  </si>
  <si>
    <t>Building Components Energy Use[rural residential,electricity bf,appliances]</t>
  </si>
  <si>
    <t>Building Components Energy Use[rural residential,electricity bf,other component]</t>
  </si>
  <si>
    <t>Building Components Energy Use[rural residential,hard coal bf,heating]</t>
  </si>
  <si>
    <t>Building Components Energy Use[rural residential,hard coal bf,cooling and ventilation]</t>
  </si>
  <si>
    <t>Building Components Energy Use[rural residential,hard coal bf,envelope]</t>
  </si>
  <si>
    <t>Building Components Energy Use[rural residential,hard coal bf,lighting]</t>
  </si>
  <si>
    <t>Building Components Energy Use[rural residential,hard coal bf,appliances]</t>
  </si>
  <si>
    <t>Building Components Energy Use[rural residential,hard coal bf,other component]</t>
  </si>
  <si>
    <t>Building Components Energy Use[rural residential,natural gas bf,heating]</t>
  </si>
  <si>
    <t>Building Components Energy Use[rural residential,natural gas bf,cooling and ventilation]</t>
  </si>
  <si>
    <t>Building Components Energy Use[rural residential,natural gas bf,envelope]</t>
  </si>
  <si>
    <t>Building Components Energy Use[rural residential,natural gas bf,lighting]</t>
  </si>
  <si>
    <t>Building Components Energy Use[rural residential,natural gas bf,appliances]</t>
  </si>
  <si>
    <t>Building Components Energy Use[rural residential,natural gas bf,other component]</t>
  </si>
  <si>
    <t>Building Components Energy Use[rural residential,petroleum diesel bf,heating]</t>
  </si>
  <si>
    <t>Building Components Energy Use[rural residential,petroleum diesel bf,cooling and ventilation]</t>
  </si>
  <si>
    <t>Building Components Energy Use[rural residential,petroleum diesel bf,envelope]</t>
  </si>
  <si>
    <t>Building Components Energy Use[rural residential,petroleum diesel bf,lighting]</t>
  </si>
  <si>
    <t>Building Components Energy Use[rural residential,petroleum diesel bf,appliances]</t>
  </si>
  <si>
    <t>Building Components Energy Use[rural residential,petroleum diesel bf,other component]</t>
  </si>
  <si>
    <t>Building Components Energy Use[rural residential,heat bf,heating]</t>
  </si>
  <si>
    <t>Building Components Energy Use[rural residential,heat bf,cooling and ventilation]</t>
  </si>
  <si>
    <t>Building Components Energy Use[rural residential,heat bf,envelope]</t>
  </si>
  <si>
    <t>Building Components Energy Use[rural residential,heat bf,lighting]</t>
  </si>
  <si>
    <t>Building Components Energy Use[rural residential,heat bf,appliances]</t>
  </si>
  <si>
    <t>Building Components Energy Use[rural residential,heat bf,other component]</t>
  </si>
  <si>
    <t>Building Components Energy Use[rural residential,biomass bf,heating]</t>
  </si>
  <si>
    <t>Building Components Energy Use[rural residential,biomass bf,cooling and ventilation]</t>
  </si>
  <si>
    <t>Building Components Energy Use[rural residential,biomass bf,envelope]</t>
  </si>
  <si>
    <t>Building Components Energy Use[rural residential,biomass bf,lighting]</t>
  </si>
  <si>
    <t>Building Components Energy Use[rural residential,biomass bf,appliances]</t>
  </si>
  <si>
    <t>Building Components Energy Use[rural residential,biomass bf,other component]</t>
  </si>
  <si>
    <t>Building Components Energy Use[rural residential,kerosene bf,heating]</t>
  </si>
  <si>
    <t>Building Components Energy Use[rural residential,kerosene bf,cooling and ventilation]</t>
  </si>
  <si>
    <t>Building Components Energy Use[rural residential,kerosene bf,envelope]</t>
  </si>
  <si>
    <t>Building Components Energy Use[rural residential,kerosene bf,lighting]</t>
  </si>
  <si>
    <t>Building Components Energy Use[rural residential,kerosene bf,appliances]</t>
  </si>
  <si>
    <t>Building Components Energy Use[rural residential,kerosene bf,other component]</t>
  </si>
  <si>
    <t>Building Components Energy Use[rural residential,heavy or residual fuel oil bf,heating]</t>
  </si>
  <si>
    <t>Building Components Energy Use[rural residential,heavy or residual fuel oil bf,cooling and ventilation]</t>
  </si>
  <si>
    <t>Building Components Energy Use[rural residential,heavy or residual fuel oil bf,envelope]</t>
  </si>
  <si>
    <t>Building Components Energy Use[rural residential,heavy or residual fuel oil bf,lighting]</t>
  </si>
  <si>
    <t>Building Components Energy Use[rural residential,heavy or residual fuel oil bf,appliances]</t>
  </si>
  <si>
    <t>Building Components Energy Use[rural residential,heavy or residual fuel oil bf,other component]</t>
  </si>
  <si>
    <t>Building Components Energy Use[rural residential,LPG propane or butane bf,heating]</t>
  </si>
  <si>
    <t>Building Components Energy Use[rural residential,LPG propane or butane bf,cooling and ventilation]</t>
  </si>
  <si>
    <t>Building Components Energy Use[rural residential,LPG propane or butane bf,envelope]</t>
  </si>
  <si>
    <t>Building Components Energy Use[rural residential,LPG propane or butane bf,lighting]</t>
  </si>
  <si>
    <t>Building Components Energy Use[rural residential,LPG propane or butane bf,appliances]</t>
  </si>
  <si>
    <t>Building Components Energy Use[rural residential,LPG propane or butane bf,other component]</t>
  </si>
  <si>
    <t>Building Components Energy Use[rural residential,hydrogen bf,heating]</t>
  </si>
  <si>
    <t>Building Components Energy Use[rural residential,hydrogen bf,cooling and ventilation]</t>
  </si>
  <si>
    <t>Building Components Energy Use[rural residential,hydrogen bf,envelope]</t>
  </si>
  <si>
    <t>Building Components Energy Use[rural residential,hydrogen bf,lighting]</t>
  </si>
  <si>
    <t>Building Components Energy Use[rural residential,hydrogen bf,appliances]</t>
  </si>
  <si>
    <t>Building Components Energy Use[rural residential,hydrogen bf,other component]</t>
  </si>
  <si>
    <t>Building Components Energy Use[commercial,electricity bf,heating]</t>
  </si>
  <si>
    <t>Building Components Energy Use[commercial,electricity bf,cooling and ventilation]</t>
  </si>
  <si>
    <t>Building Components Energy Use[commercial,electricity bf,envelope]</t>
  </si>
  <si>
    <t>Building Components Energy Use[commercial,electricity bf,lighting]</t>
  </si>
  <si>
    <t>Building Components Energy Use[commercial,electricity bf,appliances]</t>
  </si>
  <si>
    <t>Building Components Energy Use[commercial,electricity bf,other component]</t>
  </si>
  <si>
    <t>Building Components Energy Use[commercial,hard coal bf,heating]</t>
  </si>
  <si>
    <t>Building Components Energy Use[commercial,hard coal bf,cooling and ventilation]</t>
  </si>
  <si>
    <t>Building Components Energy Use[commercial,hard coal bf,envelope]</t>
  </si>
  <si>
    <t>Building Components Energy Use[commercial,hard coal bf,lighting]</t>
  </si>
  <si>
    <t>Building Components Energy Use[commercial,hard coal bf,appliances]</t>
  </si>
  <si>
    <t>Building Components Energy Use[commercial,hard coal bf,other component]</t>
  </si>
  <si>
    <t>Building Components Energy Use[commercial,natural gas bf,heating]</t>
  </si>
  <si>
    <t>Building Components Energy Use[commercial,natural gas bf,cooling and ventilation]</t>
  </si>
  <si>
    <t>Building Components Energy Use[commercial,natural gas bf,envelope]</t>
  </si>
  <si>
    <t>Building Components Energy Use[commercial,natural gas bf,lighting]</t>
  </si>
  <si>
    <t>Building Components Energy Use[commercial,natural gas bf,appliances]</t>
  </si>
  <si>
    <t>Building Components Energy Use[commercial,natural gas bf,other component]</t>
  </si>
  <si>
    <t>Building Components Energy Use[commercial,petroleum diesel bf,heating]</t>
  </si>
  <si>
    <t>Building Components Energy Use[commercial,petroleum diesel bf,cooling and ventilation]</t>
  </si>
  <si>
    <t>Building Components Energy Use[commercial,petroleum diesel bf,envelope]</t>
  </si>
  <si>
    <t>Building Components Energy Use[commercial,petroleum diesel bf,lighting]</t>
  </si>
  <si>
    <t>Building Components Energy Use[commercial,petroleum diesel bf,appliances]</t>
  </si>
  <si>
    <t>Building Components Energy Use[commercial,petroleum diesel bf,other component]</t>
  </si>
  <si>
    <t>Building Components Energy Use[commercial,heat bf,heating]</t>
  </si>
  <si>
    <t>Building Components Energy Use[commercial,heat bf,cooling and ventilation]</t>
  </si>
  <si>
    <t>Building Components Energy Use[commercial,heat bf,envelope]</t>
  </si>
  <si>
    <t>Building Components Energy Use[commercial,heat bf,lighting]</t>
  </si>
  <si>
    <t>Building Components Energy Use[commercial,heat bf,appliances]</t>
  </si>
  <si>
    <t>Building Components Energy Use[commercial,heat bf,other component]</t>
  </si>
  <si>
    <t>Building Components Energy Use[commercial,biomass bf,heating]</t>
  </si>
  <si>
    <t>Building Components Energy Use[commercial,biomass bf,cooling and ventilation]</t>
  </si>
  <si>
    <t>Building Components Energy Use[commercial,biomass bf,envelope]</t>
  </si>
  <si>
    <t>Building Components Energy Use[commercial,biomass bf,lighting]</t>
  </si>
  <si>
    <t>Building Components Energy Use[commercial,biomass bf,appliances]</t>
  </si>
  <si>
    <t>Building Components Energy Use[commercial,biomass bf,other component]</t>
  </si>
  <si>
    <t>Building Components Energy Use[commercial,kerosene bf,heating]</t>
  </si>
  <si>
    <t>Building Components Energy Use[commercial,kerosene bf,cooling and ventilation]</t>
  </si>
  <si>
    <t>Building Components Energy Use[commercial,kerosene bf,envelope]</t>
  </si>
  <si>
    <t>Building Components Energy Use[commercial,kerosene bf,lighting]</t>
  </si>
  <si>
    <t>Building Components Energy Use[commercial,kerosene bf,appliances]</t>
  </si>
  <si>
    <t>Building Components Energy Use[commercial,kerosene bf,other component]</t>
  </si>
  <si>
    <t>Building Components Energy Use[commercial,heavy or residual fuel oil bf,heating]</t>
  </si>
  <si>
    <t>Building Components Energy Use[commercial,heavy or residual fuel oil bf,cooling and ventilation]</t>
  </si>
  <si>
    <t>Building Components Energy Use[commercial,heavy or residual fuel oil bf,envelope]</t>
  </si>
  <si>
    <t>Building Components Energy Use[commercial,heavy or residual fuel oil bf,lighting]</t>
  </si>
  <si>
    <t>Building Components Energy Use[commercial,heavy or residual fuel oil bf,appliances]</t>
  </si>
  <si>
    <t>Building Components Energy Use[commercial,heavy or residual fuel oil bf,other component]</t>
  </si>
  <si>
    <t>Building Components Energy Use[commercial,LPG propane or butane bf,heating]</t>
  </si>
  <si>
    <t>Building Components Energy Use[commercial,LPG propane or butane bf,cooling and ventilation]</t>
  </si>
  <si>
    <t>Building Components Energy Use[commercial,LPG propane or butane bf,envelope]</t>
  </si>
  <si>
    <t>Building Components Energy Use[commercial,LPG propane or butane bf,lighting]</t>
  </si>
  <si>
    <t>Building Components Energy Use[commercial,LPG propane or butane bf,appliances]</t>
  </si>
  <si>
    <t>Building Components Energy Use[commercial,LPG propane or butane bf,other component]</t>
  </si>
  <si>
    <t>Building Components Energy Use[commercial,hydrogen bf,heating]</t>
  </si>
  <si>
    <t>Building Components Energy Use[commercial,hydrogen bf,cooling and ventilation]</t>
  </si>
  <si>
    <t>Building Components Energy Use[commercial,hydrogen bf,envelope]</t>
  </si>
  <si>
    <t>Building Components Energy Use[commercial,hydrogen bf,lighting]</t>
  </si>
  <si>
    <t>Building Components Energy Use[commercial,hydrogen bf,appliances]</t>
  </si>
  <si>
    <t>Building Components Energy Use[commercial,hydrogen bf,other component]</t>
  </si>
  <si>
    <t>Table 60.  Natural Gas Imports and Exports</t>
  </si>
  <si>
    <t>https://www.eia.gov/outlooks/aeo/data/browser/#/?id=76-AEO2021&amp;region=0-0&amp;cases=highogs&amp;start=2019&amp;end=2050&amp;f=A&amp;sourcekey=0</t>
  </si>
  <si>
    <t>Source: U.S. Energy Information Administration</t>
  </si>
  <si>
    <t>full name</t>
  </si>
  <si>
    <t>api key</t>
  </si>
  <si>
    <t>units</t>
  </si>
  <si>
    <t>Volumes (trillion cubic feet)</t>
  </si>
  <si>
    <t>Imports</t>
  </si>
  <si>
    <t>Tcf</t>
  </si>
  <si>
    <t>Pipeline Imports from Canada</t>
  </si>
  <si>
    <t>Pipeline Imports from Mexico</t>
  </si>
  <si>
    <t>- -</t>
  </si>
  <si>
    <t>Liquefied Natural Gas Imports</t>
  </si>
  <si>
    <t>Exports</t>
  </si>
  <si>
    <t>Pipeline Exports to Canada</t>
  </si>
  <si>
    <t>Pipeline Exports to Mexico</t>
  </si>
  <si>
    <t>Liquefied Natural Gas Exports</t>
  </si>
  <si>
    <t>Net Imports</t>
  </si>
  <si>
    <t>Canada</t>
  </si>
  <si>
    <t>Mexico</t>
  </si>
  <si>
    <t>Liquefied Natural Gas</t>
  </si>
  <si>
    <t>Back to Contents</t>
  </si>
  <si>
    <t>Data 1: U.S. Natural Gas Prices</t>
  </si>
  <si>
    <t>Sourcekey</t>
  </si>
  <si>
    <t>N9190US3</t>
  </si>
  <si>
    <t>N9100US3</t>
  </si>
  <si>
    <t>N9102US3</t>
  </si>
  <si>
    <t>N9103US3</t>
  </si>
  <si>
    <t>N9130US3</t>
  </si>
  <si>
    <t>N9132US3</t>
  </si>
  <si>
    <t>N9133US3</t>
  </si>
  <si>
    <t>N3050US3</t>
  </si>
  <si>
    <t>N3010US3</t>
  </si>
  <si>
    <t>NA1504_NUS_4</t>
  </si>
  <si>
    <t>N3020US3</t>
  </si>
  <si>
    <t>N3020US4</t>
  </si>
  <si>
    <t>N3035US3</t>
  </si>
  <si>
    <t>N3035US4</t>
  </si>
  <si>
    <t>N3045US3</t>
  </si>
  <si>
    <t>Date</t>
  </si>
  <si>
    <t>U.S. Natural Gas Wellhead Price (Dollars per Thousand Cubic Feet)</t>
  </si>
  <si>
    <t>Price of U.S. Natural Gas Imports (Dollars per Thousand Cubic Feet)</t>
  </si>
  <si>
    <t>U.S. Natural Gas Pipeline Imports Price (Dollars per Thousand Cubic Feet)</t>
  </si>
  <si>
    <t>Price of U.S. Natural Gas LNG Imports (Dollars per Thousand Cubic Feet)</t>
  </si>
  <si>
    <t>Price of U.S. Natural Gas Exports (Dollars per Thousand Cubic Feet)</t>
  </si>
  <si>
    <t>Price of U.S. Natural Gas Pipeline Exports (Dollars per Thousand Cubic Feet)</t>
  </si>
  <si>
    <t>Price of Liquefied U.S. Natural Gas Exports (Dollars per Thousand Cubic Feet)</t>
  </si>
  <si>
    <t>U.S. Natural Gas Citygate Price (Dollars per Thousand Cubic Feet)</t>
  </si>
  <si>
    <t>U.S. Price of Natural Gas Delivered to Residential Consumers (Dollars per Thousand Cubic Feet)</t>
  </si>
  <si>
    <t>U.S. Natural Gas % of Total Residential - Sales (%)</t>
  </si>
  <si>
    <t>U.S. Price of Natural Gas Sold to Commercial Consumers (Dollars per Thousand Cubic Feet)</t>
  </si>
  <si>
    <t>Percent of Commercial Natural Gas Deliveries in U.S. Total Represented by the Price (%)</t>
  </si>
  <si>
    <t>United States Natural Gas Industrial Price (Dollars per Thousand Cubic Feet)</t>
  </si>
  <si>
    <t>Percent of Industrial Natural Gas Deliveries in U.S. Total Represented by the Price (%)</t>
  </si>
  <si>
    <t>U.S. Natural Gas Electric Power Price (Dollars per Thousand Cubic Feet)</t>
  </si>
  <si>
    <t>nom $/Mcf</t>
  </si>
  <si>
    <t>Average</t>
  </si>
  <si>
    <t>Electric Power</t>
  </si>
  <si>
    <t>Industrial</t>
  </si>
  <si>
    <t>Commercial</t>
  </si>
  <si>
    <t>Residential</t>
  </si>
  <si>
    <t>(nominal dollars per thousand cubic feet)</t>
  </si>
  <si>
    <t>Delivered Prices</t>
  </si>
  <si>
    <t>nom $/MMBtu</t>
  </si>
  <si>
    <t>(nominal dollars per million Btu)</t>
  </si>
  <si>
    <t>Natural Gas Spot Price at Henry Hub</t>
  </si>
  <si>
    <t>Natural Gas Prices</t>
  </si>
  <si>
    <t>Discrepancy</t>
  </si>
  <si>
    <t>Pipeline and Distribution Fuel</t>
  </si>
  <si>
    <t xml:space="preserve"> and Ships</t>
  </si>
  <si>
    <t xml:space="preserve"> Trains</t>
  </si>
  <si>
    <t>Motor Vehicles</t>
  </si>
  <si>
    <t>Natural Gas to Liquids Production</t>
  </si>
  <si>
    <t>Natural Gas-to-Liquids Heat and Power</t>
  </si>
  <si>
    <t>Fuel Used to Liquefy Gas for Export</t>
  </si>
  <si>
    <t>Lease and Plant Fuel</t>
  </si>
  <si>
    <t>Other Industrial</t>
  </si>
  <si>
    <t>Consumption by Sector</t>
  </si>
  <si>
    <t>Total Supply</t>
  </si>
  <si>
    <t>Pipeline</t>
  </si>
  <si>
    <t>Supplemental Natural Gas</t>
  </si>
  <si>
    <t>Dry Gas Production</t>
  </si>
  <si>
    <t>Production</t>
  </si>
  <si>
    <t>https://www.eia.gov/outlooks/aeo/data/browser/#/?id=13-AEO2021&amp;cases=ref2021&amp;sourcekey=0</t>
  </si>
  <si>
    <t>Table 13.  Natural Gas Supply, Disposition, and Prices</t>
  </si>
  <si>
    <t>Natural Gas Price Source:</t>
  </si>
  <si>
    <t>AEO Table 60</t>
  </si>
  <si>
    <t>AEO Table 13</t>
  </si>
  <si>
    <t>https://www.eia.gov/dnav/ng/ng_pri_sum_dcu_nus_m.htm</t>
  </si>
  <si>
    <t>EIA Natural Gas Prices</t>
  </si>
  <si>
    <t>Historical</t>
  </si>
  <si>
    <t>LNG</t>
  </si>
  <si>
    <t>Henry Hub Prices</t>
  </si>
  <si>
    <t>Henry Hub Natural Gas Spot Price (Dollars per Million Btu)</t>
  </si>
  <si>
    <t>RNGWHHD</t>
  </si>
  <si>
    <t>Data 1: Henry Hub Natural Gas Spot Price (Dollars per Million Btu)</t>
  </si>
  <si>
    <t>https://www.eia.gov/dnav/ng/hist/rngwhhdA.htm</t>
  </si>
  <si>
    <t>Pipeline multiplier</t>
  </si>
  <si>
    <t>LNG multiplier</t>
  </si>
  <si>
    <t>Historical Data</t>
  </si>
  <si>
    <t>Forecast ($)</t>
  </si>
  <si>
    <t>Transposed</t>
  </si>
  <si>
    <t>Forecasted Volume (Tcf)</t>
  </si>
  <si>
    <t>% pipeline</t>
  </si>
  <si>
    <t>% lng</t>
  </si>
  <si>
    <t>Prices (</t>
  </si>
  <si>
    <t>Henry Hub Prices ($/mmbtu)</t>
  </si>
  <si>
    <t>mmbtu per thousand cubic feet</t>
  </si>
  <si>
    <t>dollars per million btu</t>
  </si>
  <si>
    <t>lng</t>
  </si>
  <si>
    <t>Converted to mmbtu</t>
  </si>
  <si>
    <t>U.S. Natural Gas Vehicle Fuel Price (Dollars per Thousand Cubic Feet)</t>
  </si>
  <si>
    <t>U.S. Natural Gas Pipeline and Distribution Use Price (Dollars per Thousand Cubic Feet)</t>
  </si>
  <si>
    <t>NA1570_NUS_3</t>
  </si>
  <si>
    <t>NA1480_NUS_3</t>
  </si>
  <si>
    <t>2020 to 2012 $</t>
  </si>
  <si>
    <t>$2012/btu</t>
  </si>
  <si>
    <t>Natural gas prices</t>
  </si>
  <si>
    <t xml:space="preserve">Estimated by creating an average multiplier for pipeline and lng gas compared to henry hub prices. </t>
  </si>
  <si>
    <t>Created weighted total natural gas export price based on forecasted export volumes of pipeline and lng (AEO 60).</t>
  </si>
  <si>
    <t>13-AEO2022.67.</t>
  </si>
  <si>
    <t>13-AEO2022.66.</t>
  </si>
  <si>
    <t>13-AEO2022.59.</t>
  </si>
  <si>
    <t>2021 $/Mcf</t>
  </si>
  <si>
    <t>13-AEO2022.34.</t>
  </si>
  <si>
    <t>(2021 dollars per thousand cubic feet)</t>
  </si>
  <si>
    <t>13-AEO2022.33.</t>
  </si>
  <si>
    <t>2021 $/MMBtu</t>
  </si>
  <si>
    <t>(2021 dollars per million Btu)</t>
  </si>
  <si>
    <t>13-AEO2022.30.</t>
  </si>
  <si>
    <t>13-AEO2022.28.</t>
  </si>
  <si>
    <t>13-AEO2022.2.</t>
  </si>
  <si>
    <t>Growth (2021-2050)</t>
  </si>
  <si>
    <t>Fri Jun 03 2022 14:36:16 GMT-0700 (Pacific Daylight Time)</t>
  </si>
  <si>
    <t>https://www.eia.gov/outlooks/aeo/data/browser/#/?id=13-AEO2022&amp;region=0-0&amp;cases=ref2022&amp;start=2020&amp;end=2050&amp;f=A&amp;sourcekey=0</t>
  </si>
  <si>
    <t>76-AEO2022.2.</t>
  </si>
  <si>
    <t>Fri Jun 03 2022 14:37:41 GMT-0700 (Pacific Daylight Time)</t>
  </si>
  <si>
    <t>https://www.eia.gov/outlooks/aeo/data/browser/#/?id=76-AEO2022&amp;region=0-0&amp;cases=ref2022&amp;start=2020&amp;end=2050&amp;f=A&amp;linechart=&amp;ctype=linechart&amp;sourcekey=0</t>
  </si>
  <si>
    <t>Annual Average</t>
  </si>
  <si>
    <t>Future Prices</t>
  </si>
  <si>
    <t>Historical Monthly Consumption Average</t>
  </si>
  <si>
    <t>2021 to 2012 $</t>
  </si>
  <si>
    <t>futures prices</t>
  </si>
  <si>
    <t>transition back to AEO22 ref</t>
  </si>
  <si>
    <t>Natural Gas Delivered to Consumers in the U.S. (MMcf)</t>
  </si>
  <si>
    <t>N3060US2</t>
  </si>
  <si>
    <t>Data 1: Natural Gas Delivered to Consumers in the U.S. (MMcf)</t>
  </si>
  <si>
    <t>from variable fuels/BFPaT:</t>
  </si>
  <si>
    <t>Use futures prices forecast of henry hub prices multiplied by pipeline and lng multiplier to get forecasted natural gas export prices for 2022-2025.</t>
  </si>
  <si>
    <t>Linearly interpolated between 2025 and 2030.</t>
  </si>
  <si>
    <t>Use AEO forecast of henry hub prices multiplied by pipeline and lng multiplier to get forecasted natural gas export prices for 2030-2050.</t>
  </si>
  <si>
    <t>13-AEO2022.10.lowmacro-d011222a</t>
  </si>
  <si>
    <t>Natural Gas: Production: Dry Gas Production: Low economic growth</t>
  </si>
  <si>
    <t>13-AEO2022.3.lowmacro-d011222a</t>
  </si>
  <si>
    <t>Natural Gas: Production: Supplemental Natural Gas: Low economic growth</t>
  </si>
  <si>
    <t>13-AEO2022.4.lowmacro-d011222a</t>
  </si>
  <si>
    <t>Natural Gas: Net Imports: Low economic growth</t>
  </si>
  <si>
    <t>13-AEO2022.6.lowmacro-d011222a</t>
  </si>
  <si>
    <t>Natural Gas: Net Imports: Pipeline: Low economic growth</t>
  </si>
  <si>
    <t>13-AEO2022.7.lowmacro-d011222a</t>
  </si>
  <si>
    <t>Natural Gas: Net Imports: Liquefied Natural Gas: Low economic growth</t>
  </si>
  <si>
    <t>13-AEO2022.8.lowmacro-d011222a</t>
  </si>
  <si>
    <t>Natural Gas: Total Supply: Low economic growth</t>
  </si>
  <si>
    <t>Natural Gas: Use by Sector: Total: Low economic growth</t>
  </si>
  <si>
    <t>13-AEO2022.12.lowmacro-d011222a</t>
  </si>
  <si>
    <t>Natural Gas: Use by Sector: Residential: Low economic growth</t>
  </si>
  <si>
    <t>13-AEO2022.13.lowmacro-d011222a</t>
  </si>
  <si>
    <t>Natural Gas: Use by Sector: Commercial: Low economic growth</t>
  </si>
  <si>
    <t>13-AEO2022.14.lowmacro-d011222a</t>
  </si>
  <si>
    <t>Natural Gas: Use by Sector: Industrial: Low economic growth</t>
  </si>
  <si>
    <t>13-AEO2022.15.lowmacro-d011222a</t>
  </si>
  <si>
    <t>Natural Gas: Use by Sector: Industrial: Other: Low economic growth</t>
  </si>
  <si>
    <t>13-AEO2022.16.lowmacro-d011222a</t>
  </si>
  <si>
    <t>Natural Gas: Use by Sector: Industrial: Lease and Plant Fuel: Low economic growth</t>
  </si>
  <si>
    <t>13-AEO2022.17.lowmacro-d011222a</t>
  </si>
  <si>
    <t>Natural Gas: Use by Sector: Industrial: Liquefaction for Export: Low economic growth</t>
  </si>
  <si>
    <t>13-AEO2022.18.lowmacro-d011222a</t>
  </si>
  <si>
    <t>Natural Gas: Use by Sector: Industrial: GTL Heat and Power: Low economic growth</t>
  </si>
  <si>
    <t>13-AEO2022.19.lowmacro-d011222a</t>
  </si>
  <si>
    <t>Natural Gas: Use by Sector: Industrial: GTL Liquids: Low economic growth</t>
  </si>
  <si>
    <t>13-AEO2022.20.lowmacro-d011222a</t>
  </si>
  <si>
    <t>Natural Gas: Use by Sector: Transportation: Low economic growth</t>
  </si>
  <si>
    <t>13-AEO2022.21.lowmacro-d011222a</t>
  </si>
  <si>
    <t>Natural Gas: Use by Sector: Transportation: Vehicles: Low economic growth</t>
  </si>
  <si>
    <t>13-AEO2022.22.lowmacro-d011222a</t>
  </si>
  <si>
    <t>Natural Gas: Use by Sector: Transportation: Pipeline Fuel: Low economic growth</t>
  </si>
  <si>
    <t>13-AEO2022.23.lowmacro-d011222a</t>
  </si>
  <si>
    <t>Natural Gas: Use by Sector: Electric Power: Low economic growth</t>
  </si>
  <si>
    <t>13-AEO2022.24.lowmacro-d011222a</t>
  </si>
  <si>
    <t>Natural Gas: Discrepancy: Low economic growth</t>
  </si>
  <si>
    <t>13-AEO2022.26.lowmacro-d011222a</t>
  </si>
  <si>
    <t>Natural Gas: Henry Hub Spot Price: Low economic growth</t>
  </si>
  <si>
    <t>13-AEO2022.31.lowmacro-d011222a</t>
  </si>
  <si>
    <t>Natural Gas: Delivered Prices: Residential: Low economic growth</t>
  </si>
  <si>
    <t>13-AEO2022.35.lowmacro-d011222a</t>
  </si>
  <si>
    <t>Natural Gas: Delivered Prices: Commercial: Low economic growth</t>
  </si>
  <si>
    <t>13-AEO2022.36.lowmacro-d011222a</t>
  </si>
  <si>
    <t>Natural Gas: Delivered Prices: Industrial: Low economic growth</t>
  </si>
  <si>
    <t>13-AEO2022.37.lowmacro-d011222a</t>
  </si>
  <si>
    <t>Natural Gas: Delivered Prices: Transportation: Low economic growth</t>
  </si>
  <si>
    <t>13-AEO2022.38.lowmacro-d011222a</t>
  </si>
  <si>
    <t>Natural Gas: Delivered Prices: Electric Power: Low economic growth</t>
  </si>
  <si>
    <t>13-AEO2022.39.lowmacro-d011222a</t>
  </si>
  <si>
    <t>Natural Gas: Delivered Prices: Average: Low economic growth</t>
  </si>
  <si>
    <t>13-AEO2022.40.lowmacro-d011222a</t>
  </si>
  <si>
    <t>13-AEO2022.60.lowmacro-d011222a</t>
  </si>
  <si>
    <t>13-AEO2022.68.lowmacro-d011222a</t>
  </si>
  <si>
    <t>13-AEO2022.69.lowmacro-d011222a</t>
  </si>
  <si>
    <t>13-AEO2022.70.lowmacro-d011222a</t>
  </si>
  <si>
    <t>13-AEO2022.71.lowmacro-d011222a</t>
  </si>
  <si>
    <t>13-AEO2022.72.lowmacro-d011222a</t>
  </si>
  <si>
    <t>13-AEO2022.73.lowmacro-d011222a</t>
  </si>
  <si>
    <t>Natural Gas: Volumes: Imports: Low economic growth</t>
  </si>
  <si>
    <t>76-AEO2022.3.lowmacro-d011222a</t>
  </si>
  <si>
    <t>Natural Gas: Volumes: Imports: Pipeline Imports from Canada: Low economic growth</t>
  </si>
  <si>
    <t>76-AEO2022.4.lowmacro-d011222a</t>
  </si>
  <si>
    <t>Natural Gas: Volumes: Imports: Pipeline Imports from Mexico: Low economic growth</t>
  </si>
  <si>
    <t>76-AEO2022.5.lowmacro-d011222a</t>
  </si>
  <si>
    <t>Natural Gas: Volumes: Imports: Liquefied Natural Gas Imports: Low economic growth</t>
  </si>
  <si>
    <t>76-AEO2022.6.lowmacro-d011222a</t>
  </si>
  <si>
    <t>Natural Gas: Volumes: Exports: Low economic growth</t>
  </si>
  <si>
    <t>76-AEO2022.7.lowmacro-d011222a</t>
  </si>
  <si>
    <t>Natural Gas: Volumes: Exports: Pipeline Exports to Canada: Low economic growth</t>
  </si>
  <si>
    <t>76-AEO2022.8.lowmacro-d011222a</t>
  </si>
  <si>
    <t>Natural Gas: Volumes: Exports: Pipeline Exports to Mexico: Low economic growth</t>
  </si>
  <si>
    <t>76-AEO2022.9.lowmacro-d011222a</t>
  </si>
  <si>
    <t>Natural Gas: Volumes: Exports: Liquefied Natural Gas Exports: Low economic growth</t>
  </si>
  <si>
    <t>76-AEO2022.10.lowmacro-d011222a</t>
  </si>
  <si>
    <t>Natural Gas: Volumes: Net Imports: Low economic growth</t>
  </si>
  <si>
    <t>76-AEO2022.11.lowmacro-d011222a</t>
  </si>
  <si>
    <t>Natural Gas: Volumes: Net Imports: Canada: Low economic growth</t>
  </si>
  <si>
    <t>76-AEO2022.12.lowmacro-d011222a</t>
  </si>
  <si>
    <t>Natural Gas: Volumes: Net Imports: Mexico: Low economic growth</t>
  </si>
  <si>
    <t>76-AEO2022.13.lowmacro-d011222a</t>
  </si>
  <si>
    <t>Natural Gas: Volumes: Net Imports: Liquefied Natural Gas: Low economic growth</t>
  </si>
  <si>
    <t>76-AEO2022.14.lowmacro-d011222a</t>
  </si>
  <si>
    <t xml:space="preserve"> </t>
  </si>
  <si>
    <t>https://www.eia.gov/outlooks/aeo/data/browser/#/?id=76-AEO2022&amp;region=0-0&amp;cases=lowmacro&amp;start=2020&amp;end=2050&amp;f=A&amp;sid=lowmacro-d011222a.10-114-AEO2022&amp;sourcekey=0</t>
  </si>
  <si>
    <t>Mon Apr 03 2023 13:21:21 GMT-0400 (Eastern Daylight Time)</t>
  </si>
  <si>
    <t>Growth (2022-2050)</t>
  </si>
  <si>
    <t>(2022 dollars per million Btu)</t>
  </si>
  <si>
    <t>2022 $/MMBtu</t>
  </si>
  <si>
    <t>(2022 dollars per thousand cubic feet)</t>
  </si>
  <si>
    <t>2022 $/Mcf</t>
  </si>
  <si>
    <t>Natural Gas: Volumes: Imports: Reference case</t>
  </si>
  <si>
    <t>AEO.2023.REF2023.SUP_IMP_NA_NA_NG_NA_NA_TRLCF.A</t>
  </si>
  <si>
    <t>Natural Gas: Volumes: Imports: Pipeline Imports from Canada: Reference case</t>
  </si>
  <si>
    <t>AEO.2023.REF2023.SUP_IMP_PIPL_CAN_NG_NA_NA_TRLCF.A</t>
  </si>
  <si>
    <t>Natural Gas: Volumes: Imports: Pipeline Imports from Mexico: Reference case</t>
  </si>
  <si>
    <t>AEO.2023.REF2023.SUP_IMP_PIPL_MEX_NG_NA_NA_TRLCF.A</t>
  </si>
  <si>
    <t>Natural Gas: Volumes: Imports: Liquefied Natural Gas Imports: Reference case</t>
  </si>
  <si>
    <t>AEO.2023.REF2023.SUP_IMP_LIQ_NA_NG_NA_NA_TRLCF.A</t>
  </si>
  <si>
    <t>Natural Gas: Volumes: Exports: Reference case</t>
  </si>
  <si>
    <t>AEO.2023.REF2023.SUP_EXPT_NA_NA_NG_NA_NA_TRLCF.A</t>
  </si>
  <si>
    <t>Natural Gas: Volumes: Exports: Pipeline Exports to Canada: Reference case</t>
  </si>
  <si>
    <t>AEO.2023.REF2023.SUP_EXPT_PIPL_TCAN_NG_NA_NA_TRLCF.A</t>
  </si>
  <si>
    <t>Natural Gas: Volumes: Exports: Pipeline Exports to Mexico: Reference case</t>
  </si>
  <si>
    <t>AEO.2023.REF2023.SUP_EXPT_PIPL_TMEX_NG_NA_NA_TRLCF.A</t>
  </si>
  <si>
    <t>Natural Gas: Volumes: Exports: Liquefied Natural Gas Exports: Reference case</t>
  </si>
  <si>
    <t>AEO.2023.REF2023.SUP_EXPT_LIQ_NA_NG_NA_NA_TRLCF.A</t>
  </si>
  <si>
    <t>Natural Gas: Volumes: Net Imports: Reference case</t>
  </si>
  <si>
    <t>AEO.2023.REF2023.SUP_NEI_NA_NA_NG_NA_NA_TRLCF.A</t>
  </si>
  <si>
    <t>Natural Gas: Volumes: Net Imports: Canada: Reference case</t>
  </si>
  <si>
    <t>AEO.2023.REF2023.SUP_NEI_NA_CAN_NG_NA_NA_TRLCF.A</t>
  </si>
  <si>
    <t>Natural Gas: Volumes: Net Imports: Mexico: Reference case</t>
  </si>
  <si>
    <t>AEO.2023.REF2023.SUP_NEI_NA_MEX_NG_NA_NA_TRLCF.A</t>
  </si>
  <si>
    <t>Natural Gas: Volumes: Net Imports: Liquefied Natural Gas: Reference case</t>
  </si>
  <si>
    <t>AEO.2023.REF2023.SUP_NEI_LIQ_NA_NG_NA_NA_TRLCF.A</t>
  </si>
  <si>
    <t>https://www.eia.gov/outlooks/aeo/data/browser/#/?id=13-AEO2023&amp;cases=ref2023&amp;sourcekey=0</t>
  </si>
  <si>
    <t>Thu Apr 13 2023 09:58:18 GMT-0400 (Eastern Daylight Time)</t>
  </si>
  <si>
    <t>Natural Gas: Production: Dry Gas Production: Reference case</t>
  </si>
  <si>
    <t>AEO.2023.REF2023.SUP_PRD_NA_NA_NG_DNG_USA_TRLCF.A</t>
  </si>
  <si>
    <t>Natural Gas: Production: Supplemental Natural Gas: Reference case</t>
  </si>
  <si>
    <t>AEO.2023.REF2023.SUP_PRD_NA_NA_NG_SPNG_USA_TRLCF.A</t>
  </si>
  <si>
    <t>Natural Gas: Net Imports: Reference case</t>
  </si>
  <si>
    <t>AEO.2023.REF2023.TRAD_NETIMP_NA_NA_NG_NA_USA_TRLCF.A</t>
  </si>
  <si>
    <t>Natural Gas: Net Imports: Pipeline: Reference case</t>
  </si>
  <si>
    <t>AEO.2023.REF2023.TRAD_NETIMP_NA_NA_NG_PIPL_USA_TRLCF.A</t>
  </si>
  <si>
    <t>Natural Gas: Net Imports: Liquefied Natural Gas: Reference case</t>
  </si>
  <si>
    <t>AEO.2023.REF2023.TRAD_NETIMP_NA_NA_NG_LNG_USA_TRLCF.A</t>
  </si>
  <si>
    <t>Natural Gas: Total Supply: Reference case</t>
  </si>
  <si>
    <t>AEO.2023.REF2023.SUP_NA_TOT_NA_NG_NA_USA_TRLCF.A</t>
  </si>
  <si>
    <t>Natural Gas: Use by Sector: Total: Reference case</t>
  </si>
  <si>
    <t>AEO.2023.REF2023.CNSM_NA_ALLS_NA_NG_TOT_USA_TRLCF.A</t>
  </si>
  <si>
    <t>Natural Gas: Use by Sector: Residential: Reference case</t>
  </si>
  <si>
    <t>AEO.2023.REF2023.CNSM_NA_RESD_NA_NG_NA_USA_TRLCF.A</t>
  </si>
  <si>
    <t>Natural Gas: Use by Sector: Commercial: Reference case</t>
  </si>
  <si>
    <t>AEO.2023.REF2023.CNSM_NA_COMM_NA_NG_NA_USA_TRLCF.A</t>
  </si>
  <si>
    <t>Natural Gas: Use by Sector: Industrial: Reference case</t>
  </si>
  <si>
    <t>AEO.2023.REF2023.CNSM_NA_IDAL_NA_NG_NA_USA_TRLCF.A</t>
  </si>
  <si>
    <t>Natural Gas: Use by Sector: Industrial: Other: Reference case</t>
  </si>
  <si>
    <t>AEO.2023.REF2023.CNSM_NA_IDAL_OTH_NG_NA_USA_TRLCF.A</t>
  </si>
  <si>
    <t>Natural Gas: Use by Sector: Industrial: Lease and Plant Fuel: Reference case</t>
  </si>
  <si>
    <t>AEO.2023.REF2023.CNSM_NA_LAP_NA_NG_LSAPFL_USA_TRLCF.A</t>
  </si>
  <si>
    <t>Natural Gas: Use by Sector: Industrial: GTL Heat and Power: Reference case</t>
  </si>
  <si>
    <t>AEO.2023.REF2023.CNSM_NA_IDAL_HAP_NG_FT_USA_TRLCF.A</t>
  </si>
  <si>
    <t>Natural Gas: Use by Sector: Industrial: GTL Liquids: Reference case</t>
  </si>
  <si>
    <t>AEO.2023.REF2023.CNSM_NA_IDAL_FSK_NG_FT_USA_TRLCF.A</t>
  </si>
  <si>
    <t>Natural Gas: Use by Sector: Transportation: Reference case</t>
  </si>
  <si>
    <t>AEO.2023.REF2023.CNSM_NA_TRN_NA_NG_NA_USA_TRLCF.A</t>
  </si>
  <si>
    <t>Natural Gas: Use by Sector: Transportation: Vehicles: Reference case</t>
  </si>
  <si>
    <t>AEO.2023.REF2023.CNSM_NA_MVF_NA_NG_NA_USA_TRLCF.A</t>
  </si>
  <si>
    <t>Natural Gas: Use by Sector: Transportation: Pipeline Fuel: Reference case</t>
  </si>
  <si>
    <t>AEO.2023.REF2023.CNSM_NA_PIPL_NA_NG_PFT_USA_TRLCF.A</t>
  </si>
  <si>
    <t>Natural Gas: Use by Sector: Transportation: Liquefaction for Export: Reference case</t>
  </si>
  <si>
    <t>AEO.2023.REF2023.CNSM_NA_LQFCT_NA_NG_LQFCT_USA_TRLCF.A</t>
  </si>
  <si>
    <t>Natural Gas: Use by Sector: Electric Power: Reference case</t>
  </si>
  <si>
    <t>AEO.2023.REF2023.CNSM_NA_ELEP_NA_NG_NA_USA_TRLCF.A</t>
  </si>
  <si>
    <t>Natural Gas: Discrepancy: Reference case</t>
  </si>
  <si>
    <t>AEO.2023.REF2023.UNC_DESCR_NA_NA_NG_NA_USA_TRLCF.A</t>
  </si>
  <si>
    <t>Natural Gas: Henry Hub Spot Price: Reference case</t>
  </si>
  <si>
    <t>AEO.2023.REF2023.PRCE_HHP_NA_NA_NG_NA_USA_Y13DLRPMMBTU.A</t>
  </si>
  <si>
    <t>Natural Gas: Delivered Prices: Residential: Reference case</t>
  </si>
  <si>
    <t>AEO.2023.REF2023.PRCE_NA_RESD_NA_NG_NA_USA_Y13DLRPMCF.A</t>
  </si>
  <si>
    <t>Natural Gas: Delivered Prices: Commercial: Reference case</t>
  </si>
  <si>
    <t>AEO.2023.REF2023.PRCE_NA_COMM_NA_NG_NA_USA_Y13DLRPMCF.A</t>
  </si>
  <si>
    <t>Natural Gas: Delivered Prices: Industrial: Reference case</t>
  </si>
  <si>
    <t>AEO.2023.REF2023.PRCE_NA_IDAL_NA_NG_NA_USA_Y13DLRPMCF.A</t>
  </si>
  <si>
    <t>Natural Gas: Delivered Prices: Transportation: Reference case</t>
  </si>
  <si>
    <t>AEO.2023.REF2023.PRCE_NA_TRN_NA_NG_NA_USA_Y13DLRPMCF.A</t>
  </si>
  <si>
    <t>Natural Gas: Delivered Prices: Electric Power: Reference case</t>
  </si>
  <si>
    <t>AEO.2023.REF2023.PRCE_NA_ELEP_NA_NG_NA_USA_Y13DLRPMCF.A</t>
  </si>
  <si>
    <t>Natural Gas: Delivered Prices: Average: Reference case</t>
  </si>
  <si>
    <t>AEO.2023.REF2023.PRCE_NA_NA_NA_NG_NA_USA_Y13DLRPMCF.A</t>
  </si>
  <si>
    <t>AEO.2023.REF2023.PRCE_HHP_NA_NA_NG_NA_USA_NDLRPMBTU.A</t>
  </si>
  <si>
    <t>AEO.2023.REF2023.PRCE_DELV_RESD_NA_NG_NA_USA_NDLRPMCF.A</t>
  </si>
  <si>
    <t>AEO.2023.REF2023.PRCE_DELV_COMM_NA_NG_NA_USA_NDLRPMCF.A</t>
  </si>
  <si>
    <t>AEO.2023.REF2023.PRCE_DELV_IDAL_NA_NG_NA_USA_NDLRPMCF.A</t>
  </si>
  <si>
    <t>AEO.2023.REF2023.PRCE_DELV_TRN_NA_NG_NA_USA_NDLRPMCF.A</t>
  </si>
  <si>
    <t>AEO.2023.REF2023.PRCE_DELV_ELEP_NA_NG_NA_USA_NDLRPMCF.A</t>
  </si>
  <si>
    <t>AEO.2023.REF2023.PRCE_DELV_AVG_NA_NG_NA_USA_NDLRPMCF.A</t>
  </si>
  <si>
    <t>AEO23 ref</t>
  </si>
  <si>
    <t>2022 to 2012 $</t>
  </si>
  <si>
    <t>Total Gas Prices ($2021/mmbtu for 2021, then $2022/mmbtu)</t>
  </si>
  <si>
    <t>AEO.2025.HIGHZTC.SUP_NEI_LIQ_NA_NG_NA_NA_TRLCF.A</t>
  </si>
  <si>
    <t>Natural Gas: Volumes: Net Imports: Liquefied Natural Gas: High Zero-Carbon Technology Cost</t>
  </si>
  <si>
    <t>AEO.2025.HIGHZTC.SUP_NEI_NA_MEX_NG_NA_NA_TRLCF.A</t>
  </si>
  <si>
    <t>Natural Gas: Volumes: Net Imports: Mexico: High Zero-Carbon Technology Cost</t>
  </si>
  <si>
    <t>AEO.2025.HIGHZTC.SUP_NEI_NA_CAN_NG_NA_NA_TRLCF.A</t>
  </si>
  <si>
    <t>Natural Gas: Volumes: Net Imports: Canada: High Zero-Carbon Technology Cost</t>
  </si>
  <si>
    <t>AEO.2025.HIGHZTC.SUP_NEI_NA_NA_NG_NA_NA_TRLCF.A</t>
  </si>
  <si>
    <t>Natural Gas: Volumes: Net Imports: High Zero-Carbon Technology Cost</t>
  </si>
  <si>
    <t>AEO.2025.HIGHZTC.SUP_EXPT_LIQ_NA_NG_NA_NA_TRLCF.A</t>
  </si>
  <si>
    <t>Natural Gas: Volumes: Exports: Liquefied Natural Gas Exports: High Zero-Carbon Technology Cost</t>
  </si>
  <si>
    <t>AEO.2025.HIGHZTC.SUP_EXPT_PIPL_TMEX_NG_NA_NA_TRLCF.A</t>
  </si>
  <si>
    <t>Natural Gas: Volumes: Exports: Pipeline Exports to Mexico: High Zero-Carbon Technology Cost</t>
  </si>
  <si>
    <t>AEO.2025.HIGHZTC.SUP_EXPT_PIPL_TCAN_NG_NA_NA_TRLCF.A</t>
  </si>
  <si>
    <t>Natural Gas: Volumes: Exports: Pipeline Exports to Canada: High Zero-Carbon Technology Cost</t>
  </si>
  <si>
    <t>AEO.2025.HIGHZTC.SUP_EXPT_NA_NA_NG_NA_NA_TRLCF.A</t>
  </si>
  <si>
    <t>Natural Gas: Volumes: Exports: High Zero-Carbon Technology Cost</t>
  </si>
  <si>
    <t>AEO.2025.HIGHZTC.SUP_IMP_LIQ_NA_NG_NA_NA_TRLCF.A</t>
  </si>
  <si>
    <t>Natural Gas: Volumes: Imports: Liquefied Natural Gas Imports: High Zero-Carbon Technology Cost</t>
  </si>
  <si>
    <t>AEO.2025.HIGHZTC.SUP_IMP_PIPL_MEX_NG_NA_NA_TRLCF.A</t>
  </si>
  <si>
    <t>Natural Gas: Volumes: Imports: Pipeline Imports from Mexico: High Zero-Carbon Technology Cost</t>
  </si>
  <si>
    <t>AEO.2025.HIGHZTC.SUP_IMP_PIPL_CAN_NG_NA_NA_TRLCF.A</t>
  </si>
  <si>
    <t>Natural Gas: Volumes: Imports: Pipeline Imports from Canada: High Zero-Carbon Technology Cost</t>
  </si>
  <si>
    <t>AEO.2025.HIGHZTC.SUP_IMP_NA_NA_NG_NA_NA_TRLCF.A</t>
  </si>
  <si>
    <t>Natural Gas: Volumes: Imports: High Zero-Carbon Technology Cost</t>
  </si>
  <si>
    <t>Growth (2024-2050)</t>
  </si>
  <si>
    <t>Tue Dec 02 2025 13:30:08 GMT-0800 (Pacific Standard Time)</t>
  </si>
  <si>
    <t>https://www.eia.gov/outlooks/aeo/data/browser/#/?id=76-AEO2025&amp;cases=highZTC&amp;sourcekey=0</t>
  </si>
  <si>
    <t>Table 61.  Natural Gas Imports and Exports</t>
  </si>
  <si>
    <t>AEO.2025.HIGHZTC.PRCE_DELV_AVG_NA_NG_NA_USA_NDLRPMCF.A</t>
  </si>
  <si>
    <t>Natural Gas: Delivered Prices: Average: High Zero-Carbon Technology Cost</t>
  </si>
  <si>
    <t>AEO.2025.HIGHZTC.PRCE_DELV_ELEP_NA_NG_NA_USA_NDLRPMCF.A</t>
  </si>
  <si>
    <t>Natural Gas: Delivered Prices: Electric Power: High Zero-Carbon Technology Cost</t>
  </si>
  <si>
    <t>AEO.2025.HIGHZTC.PRCE_DELV_TRN_NA_NG_NA_USA_NDLRPMCF.A</t>
  </si>
  <si>
    <t>Natural Gas: Delivered Prices: Transportation: High Zero-Carbon Technology Cost</t>
  </si>
  <si>
    <t>AEO.2025.HIGHZTC.PRCE_DELV_IDAL_NA_NG_NA_USA_NDLRPMCF.A</t>
  </si>
  <si>
    <t>Natural Gas: Delivered Prices: Industrial: High Zero-Carbon Technology Cost</t>
  </si>
  <si>
    <t>AEO.2025.HIGHZTC.PRCE_DELV_COMM_NA_NG_NA_USA_NDLRPMCF.A</t>
  </si>
  <si>
    <t>Natural Gas: Delivered Prices: Commercial: High Zero-Carbon Technology Cost</t>
  </si>
  <si>
    <t>AEO.2025.HIGHZTC.PRCE_DELV_RESD_NA_NG_NA_USA_NDLRPMCF.A</t>
  </si>
  <si>
    <t>Natural Gas: Delivered Prices: Residential: High Zero-Carbon Technology Cost</t>
  </si>
  <si>
    <t>AEO.2025.HIGHZTC.PRCE_HHP_NA_NA_NG_NA_USA_NDLRPMBTU.A</t>
  </si>
  <si>
    <t>Natural Gas: Henry Hub Spot Price: High Zero-Carbon Technology Cost</t>
  </si>
  <si>
    <t>(nominal dollars per MMBtu)</t>
  </si>
  <si>
    <t>2024 $/Mcf</t>
  </si>
  <si>
    <t>AEO.2025.HIGHZTC.PRCE_NA_NA_NA_NG_NA_USA_Y13DLRPMCF.A</t>
  </si>
  <si>
    <t>AEO.2025.HIGHZTC.PRCE_NA_ELEP_NA_NG_NA_USA_Y13DLRPMCF.A</t>
  </si>
  <si>
    <t>AEO.2025.HIGHZTC.PRCE_NA_TRN_NA_NG_NA_USA_Y13DLRPMCF.A</t>
  </si>
  <si>
    <t>AEO.2025.HIGHZTC.PRCE_NA_IDAL_NA_NG_NA_USA_Y13DLRPMCF.A</t>
  </si>
  <si>
    <t>AEO.2025.HIGHZTC.PRCE_NA_COMM_NA_NG_NA_USA_Y13DLRPMCF.A</t>
  </si>
  <si>
    <t>AEO.2025.HIGHZTC.PRCE_NA_RESD_NA_NG_NA_USA_Y13DLRPMCF.A</t>
  </si>
  <si>
    <t>(2024 dollars per thousand cubic feet)</t>
  </si>
  <si>
    <t>2024 $/MMBtu</t>
  </si>
  <si>
    <t>AEO.2025.HIGHZTC.PRCE_HHP_NA_NA_NG_NA_USA_Y13DLRPMMBTU.A</t>
  </si>
  <si>
    <t>(2024 dollars per MMBtu)</t>
  </si>
  <si>
    <t>AEO.2025.HIGHZTC.UNC_DESCR_NA_NA_NG_NA_USA_TRLCF.A</t>
  </si>
  <si>
    <t>Natural Gas: Discrepancy: High Zero-Carbon Technology Cost</t>
  </si>
  <si>
    <t>AEO.2025.HIGHZTC.CNSM_NA_ELEP_NA_NG_NA_USA_TRLCF.A</t>
  </si>
  <si>
    <t>Natural Gas: Use by Sector: Electric Power: High Zero-Carbon Technology Cost</t>
  </si>
  <si>
    <t>AEO.2025.HIGHZTC.CNSM_NA_LQFCT_NA_NG_LQFCT_USA_TRLCF.A</t>
  </si>
  <si>
    <t>Natural Gas: Use by Sector: Transportation: Liquefaction for Export: High Zero-Carbon Technology Cost</t>
  </si>
  <si>
    <t>AEO.2025.HIGHZTC.CNSM_NA_PIPL_NA_NG_PFT_USA_TRLCF.A</t>
  </si>
  <si>
    <t>Natural Gas: Use by Sector: Transportation: Pipeline Fuel: High Zero-Carbon Technology Cost</t>
  </si>
  <si>
    <t>AEO.2025.HIGHZTC.CNSM_NA_MVF_NA_NG_NA_USA_TRLCF.A</t>
  </si>
  <si>
    <t>Natural Gas: Use by Sector: Transportation: Vehicles: High Zero-Carbon Technology Cost</t>
  </si>
  <si>
    <t>AEO.2025.HIGHZTC.CNSM_NA_TRN_NA_NG_NA_USA_TRLCF.A</t>
  </si>
  <si>
    <t>Natural Gas: Use by Sector: Transportation: High Zero-Carbon Technology Cost</t>
  </si>
  <si>
    <t>AEO.2025.HIGHZTC.CNSM_NA_IDAL_FSK_NG_FT_USA_TRLCF.A</t>
  </si>
  <si>
    <t>Natural Gas: Use by Sector: Industrial: GTL Liquids: High Zero-Carbon Technology Cost</t>
  </si>
  <si>
    <t>Hydrogen Production Natural Gas Feedstock</t>
  </si>
  <si>
    <t>AEO.2025.HIGHZTC.CNSM_NA_LAP_NA_NG_LSAPFL_USA_TRLCF.A</t>
  </si>
  <si>
    <t>Natural Gas: Use by Sector: Industrial: Lease and Plant Fuel: High Zero-Carbon Technology Cost</t>
  </si>
  <si>
    <t>AEO.2025.HIGHZTC.CNSM_NA_IDAL_OTH_NG_NA_USA_TRLCF.A</t>
  </si>
  <si>
    <t>Natural Gas: Use by Sector: Industrial: Other: High Zero-Carbon Technology Cost</t>
  </si>
  <si>
    <t>AEO.2025.HIGHZTC.CNSM_NA_IDAL_NA_NG_NA_USA_TRLCF.A</t>
  </si>
  <si>
    <t>Natural Gas: Use by Sector: Industrial: High Zero-Carbon Technology Cost</t>
  </si>
  <si>
    <t>AEO.2025.HIGHZTC.CNSM_NA_COMM_NA_NG_NA_USA_TRLCF.A</t>
  </si>
  <si>
    <t>Natural Gas: Use by Sector: Commercial: High Zero-Carbon Technology Cost</t>
  </si>
  <si>
    <t>AEO.2025.HIGHZTC.CNSM_NA_RESD_NA_NG_NA_USA_TRLCF.A</t>
  </si>
  <si>
    <t>Natural Gas: Use by Sector: Residential: High Zero-Carbon Technology Cost</t>
  </si>
  <si>
    <t>AEO.2025.HIGHZTC.CNSM_NA_ALLS_NA_NG_TOT_USA_TRLCF.A</t>
  </si>
  <si>
    <t>Natural Gas: Use by Sector: Total: High Zero-Carbon Technology Cost</t>
  </si>
  <si>
    <t>AEO.2025.HIGHZTC.SUP_NA_TOT_NA_NG_NA_USA_TRLCF.A</t>
  </si>
  <si>
    <t>Natural Gas: Total Supply: High Zero-Carbon Technology Cost</t>
  </si>
  <si>
    <t>AEO.2025.HIGHZTC.TRAD_NETIMP_NA_NA_NG_LNG_USA_TRLCF.A</t>
  </si>
  <si>
    <t>Natural Gas: Net Imports: Liquefied Natural Gas: High Zero-Carbon Technology Cost</t>
  </si>
  <si>
    <t>AEO.2025.HIGHZTC.TRAD_NETIMP_NA_NA_NG_PIPL_USA_TRLCF.A</t>
  </si>
  <si>
    <t>Natural Gas: Net Imports: Pipeline: High Zero-Carbon Technology Cost</t>
  </si>
  <si>
    <t>AEO.2025.HIGHZTC.TRAD_NETIMP_NA_NA_NG_NA_USA_TRLCF.A</t>
  </si>
  <si>
    <t>Natural Gas: Net Imports: High Zero-Carbon Technology Cost</t>
  </si>
  <si>
    <t>AEO.2025.HIGHZTC.SUP_PRD_NA_NA_NG_RNG_USA_TRLCF.A</t>
  </si>
  <si>
    <t>Natural Gas: Production: Renewable Natural Gas: High Zero-Carbon Technology Cost</t>
  </si>
  <si>
    <t>Renewable Natural Gas</t>
  </si>
  <si>
    <t>AEO.2025.HIGHZTC.SUP_PRD_NA_NA_NG_SPNG_USA_TRLCF.A</t>
  </si>
  <si>
    <t>Natural Gas: Production: Supplemental Natural Gas: High Zero-Carbon Technology Cost</t>
  </si>
  <si>
    <t>AEO.2025.HIGHZTC.SUP_PRD_NA_NA_NG_DNG_USA_TRLCF.A</t>
  </si>
  <si>
    <t>Natural Gas: Production: Dry Gas Production: High Zero-Carbon Technology Cost</t>
  </si>
  <si>
    <t>Tue Dec 02 2025 13:20:31 GMT-0800 (Pacific Standard Time)</t>
  </si>
  <si>
    <t>https://www.eia.gov/outlooks/aeo/data/browser/#/?id=13-AEO2025&amp;cases=highZTC&amp;sourcekey=0</t>
  </si>
  <si>
    <t>2024 to 2012 $</t>
  </si>
  <si>
    <t>AEO 2025 High Zero-Carbon Technology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</si>
</sst>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"/>
    <numFmt numFmtId="165" formatCode="mmm\-yyyy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indexed="18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u/>
      <sz val="10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3" borderId="1" applyNumberFormat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8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1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 applyAlignment="1">
      <alignment wrapText="1"/>
    </xf>
    <xf numFmtId="10" fontId="0" fillId="0" borderId="0" xfId="0" applyNumberFormat="1"/>
    <xf numFmtId="0" fontId="0" fillId="4" borderId="0" xfId="0" applyFill="1"/>
    <xf numFmtId="10" fontId="0" fillId="4" borderId="0" xfId="0" applyNumberFormat="1" applyFill="1"/>
    <xf numFmtId="0" fontId="8" fillId="0" borderId="0" xfId="6"/>
    <xf numFmtId="164" fontId="8" fillId="0" borderId="0" xfId="6" applyNumberFormat="1"/>
    <xf numFmtId="0" fontId="9" fillId="0" borderId="0" xfId="6" applyFont="1" applyAlignment="1">
      <alignment horizontal="center" wrapText="1"/>
    </xf>
    <xf numFmtId="0" fontId="10" fillId="0" borderId="0" xfId="6" applyFont="1"/>
    <xf numFmtId="0" fontId="11" fillId="0" borderId="0" xfId="7" quotePrefix="1" applyAlignment="1" applyProtection="1">
      <alignment horizontal="left"/>
    </xf>
    <xf numFmtId="0" fontId="1" fillId="5" borderId="0" xfId="0" applyFont="1" applyFill="1"/>
    <xf numFmtId="0" fontId="0" fillId="5" borderId="0" xfId="0" applyFill="1"/>
    <xf numFmtId="0" fontId="0" fillId="6" borderId="0" xfId="0" applyFill="1"/>
    <xf numFmtId="2" fontId="0" fillId="0" borderId="0" xfId="0" applyNumberFormat="1"/>
    <xf numFmtId="9" fontId="0" fillId="0" borderId="0" xfId="2" applyFont="1" applyFill="1"/>
    <xf numFmtId="0" fontId="4" fillId="3" borderId="1" xfId="3" applyAlignment="1">
      <alignment wrapText="1"/>
    </xf>
    <xf numFmtId="43" fontId="0" fillId="0" borderId="0" xfId="1" applyFont="1"/>
    <xf numFmtId="11" fontId="0" fillId="7" borderId="0" xfId="0" applyNumberFormat="1" applyFill="1"/>
    <xf numFmtId="0" fontId="0" fillId="8" borderId="0" xfId="0" applyFill="1"/>
    <xf numFmtId="0" fontId="0" fillId="9" borderId="0" xfId="0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13" fillId="0" borderId="0" xfId="8" quotePrefix="1" applyAlignment="1" applyProtection="1">
      <alignment horizontal="left"/>
    </xf>
    <xf numFmtId="2" fontId="0" fillId="7" borderId="0" xfId="0" applyNumberFormat="1" applyFill="1"/>
    <xf numFmtId="0" fontId="0" fillId="7" borderId="0" xfId="0" applyFill="1"/>
    <xf numFmtId="2" fontId="0" fillId="9" borderId="0" xfId="0" applyNumberFormat="1" applyFill="1"/>
    <xf numFmtId="165" fontId="8" fillId="0" borderId="0" xfId="6" applyNumberFormat="1"/>
    <xf numFmtId="0" fontId="14" fillId="0" borderId="0" xfId="9"/>
    <xf numFmtId="164" fontId="0" fillId="0" borderId="0" xfId="0" applyNumberFormat="1"/>
    <xf numFmtId="0" fontId="0" fillId="0" borderId="0" xfId="0" applyAlignment="1">
      <alignment wrapText="1"/>
    </xf>
    <xf numFmtId="0" fontId="0" fillId="10" borderId="0" xfId="0" applyFill="1"/>
    <xf numFmtId="10" fontId="0" fillId="10" borderId="0" xfId="0" applyNumberFormat="1" applyFill="1"/>
    <xf numFmtId="2" fontId="0" fillId="11" borderId="0" xfId="0" applyNumberFormat="1" applyFill="1"/>
    <xf numFmtId="0" fontId="0" fillId="11" borderId="0" xfId="0" applyFill="1"/>
    <xf numFmtId="43" fontId="0" fillId="11" borderId="0" xfId="1" applyFont="1" applyFill="1"/>
    <xf numFmtId="9" fontId="0" fillId="0" borderId="0" xfId="0" applyNumberFormat="1"/>
    <xf numFmtId="9" fontId="0" fillId="0" borderId="0" xfId="2" applyFont="1"/>
  </cellXfs>
  <cellStyles count="10">
    <cellStyle name="Calculation" xfId="3" builtinId="22"/>
    <cellStyle name="Comma" xfId="1" builtinId="3"/>
    <cellStyle name="Hyperlink" xfId="9" builtinId="8"/>
    <cellStyle name="Hyperlink 2" xfId="4" xr:uid="{DE96E8A5-2855-44D9-A7E4-E9446A5F6F47}"/>
    <cellStyle name="Hyperlink 3" xfId="7" xr:uid="{60ADD6C5-5A79-4347-ACAE-2C02229580DD}"/>
    <cellStyle name="Hyperlink 4" xfId="8" xr:uid="{E1373530-24CE-4E07-BA5F-0B23D6EC5F5D}"/>
    <cellStyle name="Normal" xfId="0" builtinId="0"/>
    <cellStyle name="Normal 2" xfId="5" xr:uid="{B28DCEEB-DBE1-4D06-80A7-654670BAFA36}"/>
    <cellStyle name="Normal 3" xfId="6" xr:uid="{C35D72EE-2AC5-4787-8587-9F78517AA3B7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'Natural Gas Prices'!$C$2</c:f>
              <c:strCache>
                <c:ptCount val="1"/>
                <c:pt idx="0">
                  <c:v>Pipeline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Prices'!$B$28:$B$55)</c:f>
              <c:numCache>
                <c:formatCode>General</c:formatCode>
                <c:ptCount val="4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  <c:pt idx="24">
                  <c:v>2027</c:v>
                </c:pt>
                <c:pt idx="25">
                  <c:v>2028</c:v>
                </c:pt>
                <c:pt idx="26">
                  <c:v>2029</c:v>
                </c:pt>
                <c:pt idx="27">
                  <c:v>2030</c:v>
                </c:pt>
                <c:pt idx="28">
                  <c:v>2031</c:v>
                </c:pt>
                <c:pt idx="29">
                  <c:v>2032</c:v>
                </c:pt>
                <c:pt idx="30">
                  <c:v>2033</c:v>
                </c:pt>
                <c:pt idx="31">
                  <c:v>2034</c:v>
                </c:pt>
                <c:pt idx="32">
                  <c:v>2035</c:v>
                </c:pt>
                <c:pt idx="33">
                  <c:v>2036</c:v>
                </c:pt>
                <c:pt idx="34">
                  <c:v>2037</c:v>
                </c:pt>
                <c:pt idx="35">
                  <c:v>2038</c:v>
                </c:pt>
                <c:pt idx="36">
                  <c:v>2039</c:v>
                </c:pt>
                <c:pt idx="37">
                  <c:v>2040</c:v>
                </c:pt>
                <c:pt idx="38">
                  <c:v>2041</c:v>
                </c:pt>
                <c:pt idx="39">
                  <c:v>2042</c:v>
                </c:pt>
                <c:pt idx="40">
                  <c:v>2043</c:v>
                </c:pt>
                <c:pt idx="41">
                  <c:v>2044</c:v>
                </c:pt>
                <c:pt idx="42">
                  <c:v>2045</c:v>
                </c:pt>
                <c:pt idx="43">
                  <c:v>2046</c:v>
                </c:pt>
                <c:pt idx="44">
                  <c:v>2047</c:v>
                </c:pt>
                <c:pt idx="45">
                  <c:v>2048</c:v>
                </c:pt>
                <c:pt idx="46">
                  <c:v>2049</c:v>
                </c:pt>
                <c:pt idx="47">
                  <c:v>2050</c:v>
                </c:pt>
              </c:numCache>
            </c:numRef>
          </c:cat>
          <c:val>
            <c:numRef>
              <c:f>('Natural Gas Prices'!$C$3:$C$22,'Natural Gas Prices'!$C$28:$C$55)</c:f>
              <c:numCache>
                <c:formatCode>General</c:formatCode>
                <c:ptCount val="48"/>
                <c:pt idx="0">
                  <c:v>4.2931799999999996</c:v>
                </c:pt>
                <c:pt idx="1">
                  <c:v>3.4428399999999995</c:v>
                </c:pt>
                <c:pt idx="2">
                  <c:v>5.8694199999999999</c:v>
                </c:pt>
                <c:pt idx="3">
                  <c:v>6.4086599999999994</c:v>
                </c:pt>
                <c:pt idx="4">
                  <c:v>8.0574899999999996</c:v>
                </c:pt>
                <c:pt idx="5">
                  <c:v>7.1552999999999995</c:v>
                </c:pt>
                <c:pt idx="6">
                  <c:v>7.2175199999999995</c:v>
                </c:pt>
                <c:pt idx="7">
                  <c:v>8.9389399999999988</c:v>
                </c:pt>
                <c:pt idx="8">
                  <c:v>4.5005799999999994</c:v>
                </c:pt>
                <c:pt idx="9">
                  <c:v>4.9257499999999999</c:v>
                </c:pt>
                <c:pt idx="10">
                  <c:v>4.5109499999999993</c:v>
                </c:pt>
                <c:pt idx="11">
                  <c:v>3.1939599999999997</c:v>
                </c:pt>
                <c:pt idx="12">
                  <c:v>4.2102199999999996</c:v>
                </c:pt>
                <c:pt idx="13">
                  <c:v>5.5998000000000001</c:v>
                </c:pt>
                <c:pt idx="14">
                  <c:v>3.0591499999999998</c:v>
                </c:pt>
                <c:pt idx="15">
                  <c:v>2.7273099999999997</c:v>
                </c:pt>
                <c:pt idx="16">
                  <c:v>3.3184</c:v>
                </c:pt>
                <c:pt idx="17">
                  <c:v>3.4635799999999994</c:v>
                </c:pt>
                <c:pt idx="18">
                  <c:v>2.7376800000000001</c:v>
                </c:pt>
                <c:pt idx="19">
                  <c:v>2.1776999999999997</c:v>
                </c:pt>
                <c:pt idx="20" formatCode="0.00">
                  <c:v>3.0035660121452845</c:v>
                </c:pt>
                <c:pt idx="21" formatCode="0.00">
                  <c:v>3.9732273937935165</c:v>
                </c:pt>
                <c:pt idx="22" formatCode="0.00">
                  <c:v>4.6325889148354129</c:v>
                </c:pt>
                <c:pt idx="23" formatCode="0.00">
                  <c:v>4.7088522795314054</c:v>
                </c:pt>
                <c:pt idx="24" formatCode="0.00">
                  <c:v>4.400573956229282</c:v>
                </c:pt>
                <c:pt idx="25" formatCode="0.00">
                  <c:v>4.0922956329271587</c:v>
                </c:pt>
                <c:pt idx="26" formatCode="0.00">
                  <c:v>3.7840173096250354</c:v>
                </c:pt>
                <c:pt idx="27" formatCode="0.00">
                  <c:v>3.4757389863229111</c:v>
                </c:pt>
                <c:pt idx="28" formatCode="0.00">
                  <c:v>3.6525739783118554</c:v>
                </c:pt>
                <c:pt idx="29" formatCode="0.00">
                  <c:v>4.144396299781107</c:v>
                </c:pt>
                <c:pt idx="30" formatCode="0.00">
                  <c:v>4.5742687257764292</c:v>
                </c:pt>
                <c:pt idx="31" formatCode="0.00">
                  <c:v>4.8802534625615994</c:v>
                </c:pt>
                <c:pt idx="32" formatCode="0.00">
                  <c:v>4.9774898248696742</c:v>
                </c:pt>
                <c:pt idx="33" formatCode="0.00">
                  <c:v>4.9949592333269734</c:v>
                </c:pt>
                <c:pt idx="34" formatCode="0.00">
                  <c:v>4.9600853257327975</c:v>
                </c:pt>
                <c:pt idx="35" formatCode="0.00">
                  <c:v>4.9039684678330602</c:v>
                </c:pt>
                <c:pt idx="36" formatCode="0.00">
                  <c:v>4.8411384459805289</c:v>
                </c:pt>
                <c:pt idx="37" formatCode="0.00">
                  <c:v>4.8792303156464731</c:v>
                </c:pt>
                <c:pt idx="38" formatCode="0.00">
                  <c:v>4.975142087754751</c:v>
                </c:pt>
                <c:pt idx="39" formatCode="0.00">
                  <c:v>5.0682572582950174</c:v>
                </c:pt>
                <c:pt idx="40" formatCode="0.00">
                  <c:v>5.1832226663420808</c:v>
                </c:pt>
                <c:pt idx="41" formatCode="0.00">
                  <c:v>5.277225664366763</c:v>
                </c:pt>
                <c:pt idx="42" formatCode="0.00">
                  <c:v>5.332878255601786</c:v>
                </c:pt>
                <c:pt idx="43" formatCode="0.00">
                  <c:v>5.3662405461407117</c:v>
                </c:pt>
                <c:pt idx="44" formatCode="0.00">
                  <c:v>5.3769098781653284</c:v>
                </c:pt>
                <c:pt idx="45" formatCode="0.00">
                  <c:v>5.413035765533067</c:v>
                </c:pt>
                <c:pt idx="46" formatCode="0.00">
                  <c:v>5.5158147237103972</c:v>
                </c:pt>
                <c:pt idx="47" formatCode="0.00">
                  <c:v>5.6403878113378862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2-4B8A-A05A-AD4BC5B2EDF6}"/>
            </c:ext>
          </c:extLst>
        </c:ser>
        <c:ser>
          <c:idx val="1"/>
          <c:order val="1"/>
          <c:tx>
            <c:strRef>
              <c:f>'Natural Gas Prices'!$D$2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Prices'!$B$28:$B$55)</c:f>
              <c:numCache>
                <c:formatCode>General</c:formatCode>
                <c:ptCount val="4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  <c:pt idx="24">
                  <c:v>2027</c:v>
                </c:pt>
                <c:pt idx="25">
                  <c:v>2028</c:v>
                </c:pt>
                <c:pt idx="26">
                  <c:v>2029</c:v>
                </c:pt>
                <c:pt idx="27">
                  <c:v>2030</c:v>
                </c:pt>
                <c:pt idx="28">
                  <c:v>2031</c:v>
                </c:pt>
                <c:pt idx="29">
                  <c:v>2032</c:v>
                </c:pt>
                <c:pt idx="30">
                  <c:v>2033</c:v>
                </c:pt>
                <c:pt idx="31">
                  <c:v>2034</c:v>
                </c:pt>
                <c:pt idx="32">
                  <c:v>2035</c:v>
                </c:pt>
                <c:pt idx="33">
                  <c:v>2036</c:v>
                </c:pt>
                <c:pt idx="34">
                  <c:v>2037</c:v>
                </c:pt>
                <c:pt idx="35">
                  <c:v>2038</c:v>
                </c:pt>
                <c:pt idx="36">
                  <c:v>2039</c:v>
                </c:pt>
                <c:pt idx="37">
                  <c:v>2040</c:v>
                </c:pt>
                <c:pt idx="38">
                  <c:v>2041</c:v>
                </c:pt>
                <c:pt idx="39">
                  <c:v>2042</c:v>
                </c:pt>
                <c:pt idx="40">
                  <c:v>2043</c:v>
                </c:pt>
                <c:pt idx="41">
                  <c:v>2044</c:v>
                </c:pt>
                <c:pt idx="42">
                  <c:v>2045</c:v>
                </c:pt>
                <c:pt idx="43">
                  <c:v>2046</c:v>
                </c:pt>
                <c:pt idx="44">
                  <c:v>2047</c:v>
                </c:pt>
                <c:pt idx="45">
                  <c:v>2048</c:v>
                </c:pt>
                <c:pt idx="46">
                  <c:v>2049</c:v>
                </c:pt>
                <c:pt idx="47">
                  <c:v>2050</c:v>
                </c:pt>
              </c:numCache>
            </c:numRef>
          </c:cat>
          <c:val>
            <c:numRef>
              <c:f>('Natural Gas Prices'!$D$3:$D$22,'Natural Gas Prices'!$D$28:$D$55)</c:f>
              <c:numCache>
                <c:formatCode>General</c:formatCode>
                <c:ptCount val="48"/>
                <c:pt idx="0">
                  <c:v>4.5628000000000002</c:v>
                </c:pt>
                <c:pt idx="1">
                  <c:v>4.2309599999999996</c:v>
                </c:pt>
                <c:pt idx="2">
                  <c:v>4.6353899999999992</c:v>
                </c:pt>
                <c:pt idx="3">
                  <c:v>5.1435199999999996</c:v>
                </c:pt>
                <c:pt idx="4">
                  <c:v>6.0042299999999997</c:v>
                </c:pt>
                <c:pt idx="5">
                  <c:v>6.2427399999999995</c:v>
                </c:pt>
                <c:pt idx="6">
                  <c:v>6.4605100000000002</c:v>
                </c:pt>
                <c:pt idx="7">
                  <c:v>7.9745299999999997</c:v>
                </c:pt>
                <c:pt idx="8">
                  <c:v>8.710799999999999</c:v>
                </c:pt>
                <c:pt idx="9">
                  <c:v>9.8826099999999979</c:v>
                </c:pt>
                <c:pt idx="10">
                  <c:v>10.929979999999999</c:v>
                </c:pt>
                <c:pt idx="11">
                  <c:v>13.29434</c:v>
                </c:pt>
                <c:pt idx="12">
                  <c:v>13.854319999999998</c:v>
                </c:pt>
                <c:pt idx="13">
                  <c:v>16.239419999999999</c:v>
                </c:pt>
                <c:pt idx="14">
                  <c:v>11.324039999999998</c:v>
                </c:pt>
                <c:pt idx="15">
                  <c:v>4.8842699999999999</c:v>
                </c:pt>
                <c:pt idx="16">
                  <c:v>4.8635299999999999</c:v>
                </c:pt>
                <c:pt idx="17">
                  <c:v>5.3923999999999994</c:v>
                </c:pt>
                <c:pt idx="18">
                  <c:v>5.4027699999999994</c:v>
                </c:pt>
                <c:pt idx="19">
                  <c:v>5.848679999999999</c:v>
                </c:pt>
                <c:pt idx="20" formatCode="0.00">
                  <c:v>5.6624412602484986</c:v>
                </c:pt>
                <c:pt idx="21" formatCode="0.00">
                  <c:v>7.490485189934879</c:v>
                </c:pt>
                <c:pt idx="22" formatCode="0.00">
                  <c:v>8.7335395683206354</c:v>
                </c:pt>
                <c:pt idx="23" formatCode="0.00">
                  <c:v>8.8773142751703542</c:v>
                </c:pt>
                <c:pt idx="24" formatCode="0.00">
                  <c:v>8.2961358058283814</c:v>
                </c:pt>
                <c:pt idx="25" formatCode="0.00">
                  <c:v>7.7149573364864086</c:v>
                </c:pt>
                <c:pt idx="26" formatCode="0.00">
                  <c:v>7.1337788671444358</c:v>
                </c:pt>
                <c:pt idx="27" formatCode="0.00">
                  <c:v>6.5526003978024621</c:v>
                </c:pt>
                <c:pt idx="28" formatCode="0.00">
                  <c:v>6.8859767081099301</c:v>
                </c:pt>
                <c:pt idx="29" formatCode="0.00">
                  <c:v>7.8131795711525758</c:v>
                </c:pt>
                <c:pt idx="30" formatCode="0.00">
                  <c:v>8.6235920447777072</c:v>
                </c:pt>
                <c:pt idx="31" formatCode="0.00">
                  <c:v>9.2004465542416458</c:v>
                </c:pt>
                <c:pt idx="32" formatCode="0.00">
                  <c:v>9.3837603844365933</c:v>
                </c:pt>
                <c:pt idx="33" formatCode="0.00">
                  <c:v>9.4166944031466038</c:v>
                </c:pt>
                <c:pt idx="34" formatCode="0.00">
                  <c:v>9.3509487353407827</c:v>
                </c:pt>
                <c:pt idx="35" formatCode="0.00">
                  <c:v>9.245155018711257</c:v>
                </c:pt>
                <c:pt idx="36" formatCode="0.00">
                  <c:v>9.1267053802876354</c:v>
                </c:pt>
                <c:pt idx="37" formatCode="0.00">
                  <c:v>9.1985176772720418</c:v>
                </c:pt>
                <c:pt idx="38" formatCode="0.00">
                  <c:v>9.3793343377127965</c:v>
                </c:pt>
                <c:pt idx="39" formatCode="0.00">
                  <c:v>9.5548787344366382</c:v>
                </c:pt>
                <c:pt idx="40" formatCode="0.00">
                  <c:v>9.7716160617984009</c:v>
                </c:pt>
                <c:pt idx="41" formatCode="0.00">
                  <c:v>9.9488342259571567</c:v>
                </c:pt>
                <c:pt idx="42" formatCode="0.00">
                  <c:v>10.053752688735958</c:v>
                </c:pt>
                <c:pt idx="43" formatCode="0.00">
                  <c:v>10.116648596373786</c:v>
                </c:pt>
                <c:pt idx="44" formatCode="0.00">
                  <c:v>10.136762842450345</c:v>
                </c:pt>
                <c:pt idx="45" formatCode="0.00">
                  <c:v>10.204868791967357</c:v>
                </c:pt>
                <c:pt idx="46" formatCode="0.00">
                  <c:v>10.398631742778278</c:v>
                </c:pt>
                <c:pt idx="47" formatCode="0.00">
                  <c:v>10.63348184710298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02-4B8A-A05A-AD4BC5B2EDF6}"/>
            </c:ext>
          </c:extLst>
        </c:ser>
        <c:ser>
          <c:idx val="2"/>
          <c:order val="2"/>
          <c:tx>
            <c:strRef>
              <c:f>'Natural Gas Prices'!$E$2</c:f>
              <c:strCache>
                <c:ptCount val="1"/>
                <c:pt idx="0">
                  <c:v>Henry Hub Prices ($/mmbtu)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Prices'!$B$28:$B$55)</c:f>
              <c:numCache>
                <c:formatCode>General</c:formatCode>
                <c:ptCount val="4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  <c:pt idx="24">
                  <c:v>2027</c:v>
                </c:pt>
                <c:pt idx="25">
                  <c:v>2028</c:v>
                </c:pt>
                <c:pt idx="26">
                  <c:v>2029</c:v>
                </c:pt>
                <c:pt idx="27">
                  <c:v>2030</c:v>
                </c:pt>
                <c:pt idx="28">
                  <c:v>2031</c:v>
                </c:pt>
                <c:pt idx="29">
                  <c:v>2032</c:v>
                </c:pt>
                <c:pt idx="30">
                  <c:v>2033</c:v>
                </c:pt>
                <c:pt idx="31">
                  <c:v>2034</c:v>
                </c:pt>
                <c:pt idx="32">
                  <c:v>2035</c:v>
                </c:pt>
                <c:pt idx="33">
                  <c:v>2036</c:v>
                </c:pt>
                <c:pt idx="34">
                  <c:v>2037</c:v>
                </c:pt>
                <c:pt idx="35">
                  <c:v>2038</c:v>
                </c:pt>
                <c:pt idx="36">
                  <c:v>2039</c:v>
                </c:pt>
                <c:pt idx="37">
                  <c:v>2040</c:v>
                </c:pt>
                <c:pt idx="38">
                  <c:v>2041</c:v>
                </c:pt>
                <c:pt idx="39">
                  <c:v>2042</c:v>
                </c:pt>
                <c:pt idx="40">
                  <c:v>2043</c:v>
                </c:pt>
                <c:pt idx="41">
                  <c:v>2044</c:v>
                </c:pt>
                <c:pt idx="42">
                  <c:v>2045</c:v>
                </c:pt>
                <c:pt idx="43">
                  <c:v>2046</c:v>
                </c:pt>
                <c:pt idx="44">
                  <c:v>2047</c:v>
                </c:pt>
                <c:pt idx="45">
                  <c:v>2048</c:v>
                </c:pt>
                <c:pt idx="46">
                  <c:v>2049</c:v>
                </c:pt>
                <c:pt idx="47">
                  <c:v>2050</c:v>
                </c:pt>
              </c:numCache>
            </c:numRef>
          </c:cat>
          <c:val>
            <c:numRef>
              <c:f>('Natural Gas Prices'!$E$3:$E$22,'Natural Gas Prices'!$E$28:$E$55)</c:f>
              <c:numCache>
                <c:formatCode>General</c:formatCode>
                <c:ptCount val="48"/>
                <c:pt idx="0">
                  <c:v>3.96</c:v>
                </c:pt>
                <c:pt idx="1">
                  <c:v>3.38</c:v>
                </c:pt>
                <c:pt idx="2">
                  <c:v>5.47</c:v>
                </c:pt>
                <c:pt idx="3">
                  <c:v>5.89</c:v>
                </c:pt>
                <c:pt idx="4">
                  <c:v>8.69</c:v>
                </c:pt>
                <c:pt idx="5">
                  <c:v>6.73</c:v>
                </c:pt>
                <c:pt idx="6">
                  <c:v>6.97</c:v>
                </c:pt>
                <c:pt idx="7">
                  <c:v>8.86</c:v>
                </c:pt>
                <c:pt idx="8">
                  <c:v>3.94</c:v>
                </c:pt>
                <c:pt idx="9">
                  <c:v>4.37</c:v>
                </c:pt>
                <c:pt idx="10">
                  <c:v>4</c:v>
                </c:pt>
                <c:pt idx="11">
                  <c:v>2.75</c:v>
                </c:pt>
                <c:pt idx="12">
                  <c:v>3.73</c:v>
                </c:pt>
                <c:pt idx="13">
                  <c:v>4.37</c:v>
                </c:pt>
                <c:pt idx="14">
                  <c:v>2.62</c:v>
                </c:pt>
                <c:pt idx="15">
                  <c:v>2.52</c:v>
                </c:pt>
                <c:pt idx="16">
                  <c:v>2.99</c:v>
                </c:pt>
                <c:pt idx="17">
                  <c:v>3.15</c:v>
                </c:pt>
                <c:pt idx="18">
                  <c:v>2.56</c:v>
                </c:pt>
                <c:pt idx="19">
                  <c:v>2.0299999999999998</c:v>
                </c:pt>
                <c:pt idx="20" formatCode="0.00">
                  <c:v>2.7301224780125417</c:v>
                </c:pt>
                <c:pt idx="21" formatCode="0.00">
                  <c:v>3.611506247636342</c:v>
                </c:pt>
                <c:pt idx="22" formatCode="0.00">
                  <c:v>4.2108397407088916</c:v>
                </c:pt>
                <c:pt idx="23" formatCode="0.00">
                  <c:v>4.280160117009423</c:v>
                </c:pt>
                <c:pt idx="24" formatCode="0.00">
                  <c:v>3.9999473377570673</c:v>
                </c:pt>
                <c:pt idx="25" formatCode="0.00">
                  <c:v>3.7197345585047117</c:v>
                </c:pt>
                <c:pt idx="26" formatCode="0.00">
                  <c:v>3.439521779252356</c:v>
                </c:pt>
                <c:pt idx="27" formatCode="0.00">
                  <c:v>3.1593089999999999</c:v>
                </c:pt>
                <c:pt idx="28" formatCode="0.00">
                  <c:v>3.3200449999999999</c:v>
                </c:pt>
                <c:pt idx="29" formatCode="0.00">
                  <c:v>3.7670919999999999</c:v>
                </c:pt>
                <c:pt idx="30" formatCode="0.00">
                  <c:v>4.1578290000000004</c:v>
                </c:pt>
                <c:pt idx="31" formatCode="0.00">
                  <c:v>4.4359570000000001</c:v>
                </c:pt>
                <c:pt idx="32" formatCode="0.00">
                  <c:v>4.5243409999999997</c:v>
                </c:pt>
                <c:pt idx="33" formatCode="0.00">
                  <c:v>4.5402199999999997</c:v>
                </c:pt>
                <c:pt idx="34" formatCode="0.00">
                  <c:v>4.508521</c:v>
                </c:pt>
                <c:pt idx="35" formatCode="0.00">
                  <c:v>4.4575129999999996</c:v>
                </c:pt>
                <c:pt idx="36" formatCode="0.00">
                  <c:v>4.4004029999999998</c:v>
                </c:pt>
                <c:pt idx="37" formatCode="0.00">
                  <c:v>4.4350269999999998</c:v>
                </c:pt>
                <c:pt idx="38" formatCode="0.00">
                  <c:v>4.5222069999999999</c:v>
                </c:pt>
                <c:pt idx="39" formatCode="0.00">
                  <c:v>4.6068449999999999</c:v>
                </c:pt>
                <c:pt idx="40" formatCode="0.00">
                  <c:v>4.7113440000000004</c:v>
                </c:pt>
                <c:pt idx="41" formatCode="0.00">
                  <c:v>4.7967890000000004</c:v>
                </c:pt>
                <c:pt idx="42" formatCode="0.00">
                  <c:v>4.8473750000000004</c:v>
                </c:pt>
                <c:pt idx="43" formatCode="0.00">
                  <c:v>4.8776999999999999</c:v>
                </c:pt>
                <c:pt idx="44" formatCode="0.00">
                  <c:v>4.8873980000000001</c:v>
                </c:pt>
                <c:pt idx="45" formatCode="0.00">
                  <c:v>4.9202349999999999</c:v>
                </c:pt>
                <c:pt idx="46" formatCode="0.00">
                  <c:v>5.0136570000000003</c:v>
                </c:pt>
                <c:pt idx="47" formatCode="0.00">
                  <c:v>5.1268890000000003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02-4B8A-A05A-AD4BC5B2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465024"/>
        <c:axId val="573472928"/>
      </c:lineChart>
      <c:catAx>
        <c:axId val="5734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72928"/>
        <c:crosses val="autoZero"/>
        <c:auto val="1"/>
        <c:lblAlgn val="ctr"/>
        <c:lblOffset val="100"/>
        <c:noMultiLvlLbl val="0"/>
      </c:catAx>
      <c:valAx>
        <c:axId val="5734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24</xdr:row>
      <xdr:rowOff>33336</xdr:rowOff>
    </xdr:from>
    <xdr:to>
      <xdr:col>21</xdr:col>
      <xdr:colOff>419100</xdr:colOff>
      <xdr:row>45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7FA67F-37E3-41D4-B8BF-CC0611857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lley/Dropbox%20(Energy%20Innovation)/PC%20(2)/Documents/GitHub_Repositories/eps-us/InputData/fuels/BFPaT/BAU%20Fuel%20Prices%20and%20Tax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texas/InputData/fuels/BFPaT/BAU%20Fuel%20Prices%20and%20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2022 2"/>
      <sheetName val="AEO 2021 2"/>
      <sheetName val="Gas Futures"/>
      <sheetName val="Henry Hub Historicals"/>
      <sheetName val="NG Sector Price Historicals"/>
      <sheetName val="Historical Monthly Gas Cons"/>
      <sheetName val="NG Calcs"/>
      <sheetName val="AEO 2022 3"/>
      <sheetName val="AEO 2021 3"/>
      <sheetName val="AEO 2022 12"/>
      <sheetName val="AEO 2021 12"/>
      <sheetName val="AEO 2022 57"/>
      <sheetName val="AEO 2021 57"/>
      <sheetName val="AEO Table 57"/>
      <sheetName val="STEO"/>
      <sheetName val="Hard Coal and Lig Multipliers"/>
      <sheetName val="Hydrogen"/>
      <sheetName val="Other Fuels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geothermal"/>
      <sheetName val="BFPaT-pretax-lignite"/>
      <sheetName val="BFPaT-pretax-crude"/>
      <sheetName val="BFPaT-pretax-heavyfueloil"/>
      <sheetName val="BFPaT-pretax-lpgpropbut"/>
      <sheetName val="BFPaT-pretax-msw"/>
      <sheetName val="BFPaT-pretax-hydrogen"/>
      <sheetName val="Summary_pretax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geothermal"/>
      <sheetName val="BFPaT-fueltax-lignite"/>
      <sheetName val="BFPaT-fueltax-crude"/>
      <sheetName val="BFPaT-fueltax-heavyfueloil"/>
      <sheetName val="BFPaT-fueltax-lpgpropbut"/>
      <sheetName val="BFPaT-fueltax-msw"/>
      <sheetName val="BFPaT-fueltax-hydrogen"/>
      <sheetName val="Summary_tax"/>
    </sheetNames>
    <sheetDataSet>
      <sheetData sheetId="0">
        <row r="103">
          <cell r="A103">
            <v>0.84730412960844359</v>
          </cell>
        </row>
        <row r="104">
          <cell r="A104">
            <v>0.88711067149387013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5">
          <cell r="N15">
            <v>0.92062879123815489</v>
          </cell>
        </row>
        <row r="16">
          <cell r="N16">
            <v>1.0036394752510358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Residential Sector"/>
      <sheetName val="Commercial Sector"/>
      <sheetName val="Industrial Sector"/>
      <sheetName val="Transportation Sector"/>
      <sheetName val="Electric Power Sector"/>
      <sheetName val="AEO Table 2"/>
      <sheetName val="AEO Table 3"/>
      <sheetName val="TX Natural Gas Prices"/>
      <sheetName val="TX Propane Prices"/>
      <sheetName val="TX Electricity Prices"/>
      <sheetName val="TX Petroleum Gasoline Prices"/>
      <sheetName val="TX Petroleum Diesel Prices"/>
      <sheetName val="TX Coal Prices"/>
      <sheetName val="TX_Multipliers"/>
      <sheetName val="AEO Table 12"/>
      <sheetName val="Coal Adjustment"/>
      <sheetName val="Hard Coal and Lig Multipliers"/>
      <sheetName val="Hydrogen"/>
      <sheetName val="Other Fuels"/>
      <sheetName val="AEO Table 58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lignite"/>
      <sheetName val="BFPaT-pretax-geothermal"/>
      <sheetName val="BFPaT-pretax-crude"/>
      <sheetName val="BFPaT-pretax-heavyfueloil"/>
      <sheetName val="BFPaT-pretax-lpgpropbut"/>
      <sheetName val="BFPaT-pretax-msw"/>
      <sheetName val="BFPaT-pretax-hydrogen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lignite"/>
      <sheetName val="BFPaT-fueltax-geothermal"/>
      <sheetName val="BFPaT-fueltax-crude"/>
      <sheetName val="BFPaT-fueltax-heavyfueloil"/>
      <sheetName val="BFPaT-fueltax-lpgpropbut"/>
      <sheetName val="BFPaT-fueltax-msw"/>
      <sheetName val="BFPaT-fueltax-hydrog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5">
          <cell r="N15">
            <v>1.5381124263436692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dnav/ng/ng_pri_sum_dcu_nus_m.ht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B5" sqref="B5"/>
    </sheetView>
  </sheetViews>
  <sheetFormatPr defaultRowHeight="14.75" x14ac:dyDescent="0.75"/>
  <cols>
    <col min="1" max="1" width="47.1328125" customWidth="1"/>
    <col min="2" max="2" width="34.86328125" customWidth="1"/>
  </cols>
  <sheetData>
    <row r="1" spans="1:3" x14ac:dyDescent="0.75">
      <c r="A1" s="1" t="s">
        <v>40</v>
      </c>
    </row>
    <row r="3" spans="1:3" x14ac:dyDescent="0.75">
      <c r="A3" s="1" t="s">
        <v>0</v>
      </c>
      <c r="B3" s="7" t="s">
        <v>69</v>
      </c>
    </row>
    <row r="4" spans="1:3" x14ac:dyDescent="0.75">
      <c r="A4" s="1" t="s">
        <v>1474</v>
      </c>
      <c r="B4" s="7"/>
    </row>
    <row r="5" spans="1:3" x14ac:dyDescent="0.75">
      <c r="A5" s="1"/>
      <c r="B5" s="7" t="s">
        <v>1475</v>
      </c>
      <c r="C5" t="s">
        <v>1390</v>
      </c>
    </row>
    <row r="6" spans="1:3" x14ac:dyDescent="0.75">
      <c r="A6" s="1"/>
      <c r="B6" s="7" t="s">
        <v>1476</v>
      </c>
      <c r="C6" t="s">
        <v>1472</v>
      </c>
    </row>
    <row r="7" spans="1:3" x14ac:dyDescent="0.75">
      <c r="A7" s="1"/>
      <c r="B7" s="7" t="s">
        <v>1478</v>
      </c>
      <c r="C7" s="37" t="s">
        <v>1477</v>
      </c>
    </row>
    <row r="8" spans="1:3" x14ac:dyDescent="0.75">
      <c r="B8" s="2" t="s">
        <v>1481</v>
      </c>
      <c r="C8" t="s">
        <v>1485</v>
      </c>
    </row>
    <row r="9" spans="1:3" x14ac:dyDescent="0.75">
      <c r="A9" s="1" t="s">
        <v>1</v>
      </c>
    </row>
    <row r="10" spans="1:3" x14ac:dyDescent="0.75">
      <c r="A10" t="s">
        <v>16</v>
      </c>
    </row>
    <row r="11" spans="1:3" x14ac:dyDescent="0.75">
      <c r="A11" t="s">
        <v>17</v>
      </c>
    </row>
    <row r="13" spans="1:3" x14ac:dyDescent="0.75">
      <c r="A13" t="s">
        <v>19</v>
      </c>
    </row>
    <row r="15" spans="1:3" x14ac:dyDescent="0.75">
      <c r="A15" t="s">
        <v>18</v>
      </c>
    </row>
    <row r="17" spans="1:2" x14ac:dyDescent="0.75">
      <c r="A17" s="1" t="s">
        <v>68</v>
      </c>
    </row>
    <row r="18" spans="1:2" x14ac:dyDescent="0.75">
      <c r="A18" t="s">
        <v>66</v>
      </c>
    </row>
    <row r="20" spans="1:2" x14ac:dyDescent="0.75">
      <c r="A20" s="1" t="s">
        <v>1506</v>
      </c>
    </row>
    <row r="21" spans="1:2" x14ac:dyDescent="0.75">
      <c r="A21" t="s">
        <v>1507</v>
      </c>
    </row>
    <row r="22" spans="1:2" x14ac:dyDescent="0.75">
      <c r="A22" t="s">
        <v>1537</v>
      </c>
    </row>
    <row r="23" spans="1:2" x14ac:dyDescent="0.75">
      <c r="A23" t="s">
        <v>1538</v>
      </c>
    </row>
    <row r="24" spans="1:2" x14ac:dyDescent="0.75">
      <c r="A24" t="s">
        <v>1539</v>
      </c>
    </row>
    <row r="25" spans="1:2" x14ac:dyDescent="0.75">
      <c r="A25" t="s">
        <v>1508</v>
      </c>
    </row>
    <row r="27" spans="1:2" x14ac:dyDescent="0.75">
      <c r="A27" t="s">
        <v>1496</v>
      </c>
      <c r="B27">
        <v>1.0369999999999999</v>
      </c>
    </row>
    <row r="28" spans="1:2" x14ac:dyDescent="0.75">
      <c r="A28" t="s">
        <v>1504</v>
      </c>
      <c r="B28">
        <v>0.88700000000000001</v>
      </c>
    </row>
    <row r="29" spans="1:2" x14ac:dyDescent="0.75">
      <c r="A29" t="s">
        <v>1530</v>
      </c>
      <c r="B29">
        <f>0.847</f>
        <v>0.84699999999999998</v>
      </c>
    </row>
    <row r="30" spans="1:2" x14ac:dyDescent="0.75">
      <c r="A30" t="s">
        <v>1721</v>
      </c>
      <c r="B30">
        <v>0.78500000000000003</v>
      </c>
    </row>
    <row r="31" spans="1:2" x14ac:dyDescent="0.75">
      <c r="A31" t="s">
        <v>1821</v>
      </c>
      <c r="B31">
        <v>0.73191600598044548</v>
      </c>
    </row>
  </sheetData>
  <hyperlinks>
    <hyperlink ref="C7" r:id="rId1" xr:uid="{2E9A9492-D5E5-44D9-8F29-9FAEEC511061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411F-5BA3-4058-8D29-17C8A1D9A34E}">
  <dimension ref="A1:AL47"/>
  <sheetViews>
    <sheetView workbookViewId="0"/>
  </sheetViews>
  <sheetFormatPr defaultRowHeight="14.75" x14ac:dyDescent="0.75"/>
  <cols>
    <col min="1" max="1" width="44.26953125" customWidth="1"/>
  </cols>
  <sheetData>
    <row r="1" spans="1:36" x14ac:dyDescent="0.75">
      <c r="A1" t="s">
        <v>1473</v>
      </c>
    </row>
    <row r="2" spans="1:36" x14ac:dyDescent="0.75">
      <c r="A2" t="s">
        <v>1523</v>
      </c>
    </row>
    <row r="3" spans="1:36" x14ac:dyDescent="0.75">
      <c r="A3" t="s">
        <v>1522</v>
      </c>
    </row>
    <row r="4" spans="1:36" x14ac:dyDescent="0.75">
      <c r="A4" t="s">
        <v>1391</v>
      </c>
    </row>
    <row r="5" spans="1:36" x14ac:dyDescent="0.75">
      <c r="B5" t="s">
        <v>1392</v>
      </c>
      <c r="C5" t="s">
        <v>1393</v>
      </c>
      <c r="D5" t="s">
        <v>1394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1521</v>
      </c>
    </row>
    <row r="6" spans="1:36" x14ac:dyDescent="0.75">
      <c r="A6" t="s">
        <v>1471</v>
      </c>
      <c r="C6" t="s">
        <v>1520</v>
      </c>
    </row>
    <row r="7" spans="1:36" x14ac:dyDescent="0.75">
      <c r="A7" t="s">
        <v>1470</v>
      </c>
      <c r="B7" t="s">
        <v>1541</v>
      </c>
      <c r="C7" t="s">
        <v>1542</v>
      </c>
      <c r="D7" t="s">
        <v>1397</v>
      </c>
      <c r="F7">
        <v>34.409626000000003</v>
      </c>
      <c r="G7">
        <v>35.322707999999999</v>
      </c>
      <c r="H7">
        <v>35.604686999999998</v>
      </c>
      <c r="I7">
        <v>35.806705000000001</v>
      </c>
      <c r="J7">
        <v>35.905467999999999</v>
      </c>
      <c r="K7">
        <v>35.882885000000002</v>
      </c>
      <c r="L7">
        <v>35.810017000000002</v>
      </c>
      <c r="M7">
        <v>36.400112</v>
      </c>
      <c r="N7">
        <v>36.655968000000001</v>
      </c>
      <c r="O7">
        <v>36.721214000000003</v>
      </c>
      <c r="P7">
        <v>36.966468999999996</v>
      </c>
      <c r="Q7">
        <v>37.231819000000002</v>
      </c>
      <c r="R7">
        <v>37.474742999999997</v>
      </c>
      <c r="S7">
        <v>37.30827</v>
      </c>
      <c r="T7">
        <v>37.172085000000003</v>
      </c>
      <c r="U7">
        <v>37.122219000000001</v>
      </c>
      <c r="V7">
        <v>37.233500999999997</v>
      </c>
      <c r="W7">
        <v>37.447079000000002</v>
      </c>
      <c r="X7">
        <v>37.700321000000002</v>
      </c>
      <c r="Y7">
        <v>37.972594999999998</v>
      </c>
      <c r="Z7">
        <v>38.092804000000001</v>
      </c>
      <c r="AA7">
        <v>38.278564000000003</v>
      </c>
      <c r="AB7">
        <v>38.608809999999998</v>
      </c>
      <c r="AC7">
        <v>38.921222999999998</v>
      </c>
      <c r="AD7">
        <v>39.147613999999997</v>
      </c>
      <c r="AE7">
        <v>39.391460000000002</v>
      </c>
      <c r="AF7">
        <v>39.666964999999998</v>
      </c>
      <c r="AG7">
        <v>39.861117999999998</v>
      </c>
      <c r="AH7">
        <v>40.032657999999998</v>
      </c>
      <c r="AI7">
        <v>40.400123999999998</v>
      </c>
      <c r="AJ7" s="9">
        <v>6.0000000000000001E-3</v>
      </c>
    </row>
    <row r="8" spans="1:36" x14ac:dyDescent="0.75">
      <c r="A8" t="s">
        <v>1469</v>
      </c>
      <c r="B8" t="s">
        <v>1543</v>
      </c>
      <c r="C8" t="s">
        <v>1544</v>
      </c>
      <c r="D8" t="s">
        <v>1397</v>
      </c>
      <c r="F8">
        <v>5.953E-2</v>
      </c>
      <c r="G8">
        <v>6.3119999999999996E-2</v>
      </c>
      <c r="H8">
        <v>6.2992999999999993E-2</v>
      </c>
      <c r="I8">
        <v>6.2865000000000004E-2</v>
      </c>
      <c r="J8">
        <v>6.2738000000000002E-2</v>
      </c>
      <c r="K8">
        <v>6.2611E-2</v>
      </c>
      <c r="L8">
        <v>6.2482999999999997E-2</v>
      </c>
      <c r="M8">
        <v>6.2482999999999997E-2</v>
      </c>
      <c r="N8">
        <v>6.2482999999999997E-2</v>
      </c>
      <c r="O8">
        <v>6.2482999999999997E-2</v>
      </c>
      <c r="P8">
        <v>6.2482999999999997E-2</v>
      </c>
      <c r="Q8">
        <v>6.2482999999999997E-2</v>
      </c>
      <c r="R8">
        <v>6.2482999999999997E-2</v>
      </c>
      <c r="S8">
        <v>6.2482999999999997E-2</v>
      </c>
      <c r="T8">
        <v>6.2482999999999997E-2</v>
      </c>
      <c r="U8">
        <v>6.2482999999999997E-2</v>
      </c>
      <c r="V8">
        <v>6.2482999999999997E-2</v>
      </c>
      <c r="W8">
        <v>6.2482999999999997E-2</v>
      </c>
      <c r="X8">
        <v>6.2482999999999997E-2</v>
      </c>
      <c r="Y8">
        <v>6.2482999999999997E-2</v>
      </c>
      <c r="Z8">
        <v>6.2482999999999997E-2</v>
      </c>
      <c r="AA8">
        <v>6.2482999999999997E-2</v>
      </c>
      <c r="AB8">
        <v>6.2482999999999997E-2</v>
      </c>
      <c r="AC8">
        <v>6.2482999999999997E-2</v>
      </c>
      <c r="AD8">
        <v>6.2482999999999997E-2</v>
      </c>
      <c r="AE8">
        <v>6.2482999999999997E-2</v>
      </c>
      <c r="AF8">
        <v>6.2482999999999997E-2</v>
      </c>
      <c r="AG8">
        <v>6.2482999999999997E-2</v>
      </c>
      <c r="AH8">
        <v>6.2482999999999997E-2</v>
      </c>
      <c r="AI8">
        <v>6.2482999999999997E-2</v>
      </c>
      <c r="AJ8" s="9">
        <v>2E-3</v>
      </c>
    </row>
    <row r="9" spans="1:36" x14ac:dyDescent="0.75">
      <c r="A9" t="s">
        <v>1406</v>
      </c>
      <c r="B9" t="s">
        <v>1545</v>
      </c>
      <c r="C9" t="s">
        <v>1546</v>
      </c>
      <c r="D9" t="s">
        <v>1397</v>
      </c>
      <c r="F9">
        <v>-4.0188879999999996</v>
      </c>
      <c r="G9">
        <v>-5.0329220000000001</v>
      </c>
      <c r="H9">
        <v>-5.319394</v>
      </c>
      <c r="I9">
        <v>-5.505922</v>
      </c>
      <c r="J9">
        <v>-5.7956649999999996</v>
      </c>
      <c r="K9">
        <v>-5.8357029999999996</v>
      </c>
      <c r="L9">
        <v>-6.0070350000000001</v>
      </c>
      <c r="M9">
        <v>-6.3463459999999996</v>
      </c>
      <c r="N9">
        <v>-6.7262420000000001</v>
      </c>
      <c r="O9">
        <v>-7.0077360000000004</v>
      </c>
      <c r="P9">
        <v>-7.3725630000000004</v>
      </c>
      <c r="Q9">
        <v>-7.6343189999999996</v>
      </c>
      <c r="R9">
        <v>-7.7067889999999997</v>
      </c>
      <c r="S9">
        <v>-7.7878179999999997</v>
      </c>
      <c r="T9">
        <v>-7.8907959999999999</v>
      </c>
      <c r="U9">
        <v>-7.9182860000000002</v>
      </c>
      <c r="V9">
        <v>-7.8834210000000002</v>
      </c>
      <c r="W9">
        <v>-7.9086610000000004</v>
      </c>
      <c r="X9">
        <v>-7.9627610000000004</v>
      </c>
      <c r="Y9">
        <v>-8.0319929999999999</v>
      </c>
      <c r="Z9">
        <v>-8.0435140000000001</v>
      </c>
      <c r="AA9">
        <v>-8.0683089999999993</v>
      </c>
      <c r="AB9">
        <v>-8.1378730000000008</v>
      </c>
      <c r="AC9">
        <v>-8.2940170000000002</v>
      </c>
      <c r="AD9">
        <v>-8.3668099999999992</v>
      </c>
      <c r="AE9">
        <v>-8.3703780000000005</v>
      </c>
      <c r="AF9">
        <v>-8.386253</v>
      </c>
      <c r="AG9">
        <v>-8.3879400000000004</v>
      </c>
      <c r="AH9">
        <v>-8.3917699999999993</v>
      </c>
      <c r="AI9">
        <v>-8.4290870000000009</v>
      </c>
      <c r="AJ9" s="9">
        <v>2.5999999999999999E-2</v>
      </c>
    </row>
    <row r="10" spans="1:36" x14ac:dyDescent="0.75">
      <c r="A10" t="s">
        <v>1468</v>
      </c>
      <c r="B10" t="s">
        <v>1547</v>
      </c>
      <c r="C10" t="s">
        <v>1548</v>
      </c>
      <c r="D10" t="s">
        <v>1397</v>
      </c>
      <c r="F10">
        <v>-0.47681899999999999</v>
      </c>
      <c r="G10">
        <v>-0.91606600000000005</v>
      </c>
      <c r="H10">
        <v>-0.95944200000000002</v>
      </c>
      <c r="I10">
        <v>-1.0994470000000001</v>
      </c>
      <c r="J10">
        <v>-1.217244</v>
      </c>
      <c r="K10">
        <v>-1.2432049999999999</v>
      </c>
      <c r="L10">
        <v>-1.312514</v>
      </c>
      <c r="M10">
        <v>-1.4390499999999999</v>
      </c>
      <c r="N10">
        <v>-1.631721</v>
      </c>
      <c r="O10">
        <v>-1.7132149999999999</v>
      </c>
      <c r="P10">
        <v>-1.878042</v>
      </c>
      <c r="Q10">
        <v>-1.927022</v>
      </c>
      <c r="R10">
        <v>-1.9122680000000001</v>
      </c>
      <c r="S10">
        <v>-1.9932970000000001</v>
      </c>
      <c r="T10">
        <v>-2.0962749999999999</v>
      </c>
      <c r="U10">
        <v>-2.1109900000000001</v>
      </c>
      <c r="V10">
        <v>-2.0889009999999999</v>
      </c>
      <c r="W10">
        <v>-2.1141399999999999</v>
      </c>
      <c r="X10">
        <v>-2.1682399999999999</v>
      </c>
      <c r="Y10">
        <v>-2.2246959999999998</v>
      </c>
      <c r="Z10">
        <v>-2.2489940000000002</v>
      </c>
      <c r="AA10">
        <v>-2.2737880000000001</v>
      </c>
      <c r="AB10">
        <v>-2.3433519999999999</v>
      </c>
      <c r="AC10">
        <v>-2.4867210000000002</v>
      </c>
      <c r="AD10">
        <v>-2.572289</v>
      </c>
      <c r="AE10">
        <v>-2.5758559999999999</v>
      </c>
      <c r="AF10">
        <v>-2.5917330000000001</v>
      </c>
      <c r="AG10">
        <v>-2.5806439999999999</v>
      </c>
      <c r="AH10">
        <v>-2.5972499999999998</v>
      </c>
      <c r="AI10">
        <v>-2.634566</v>
      </c>
      <c r="AJ10" s="9">
        <v>6.0999999999999999E-2</v>
      </c>
    </row>
    <row r="11" spans="1:36" x14ac:dyDescent="0.75">
      <c r="A11" t="s">
        <v>1409</v>
      </c>
      <c r="B11" t="s">
        <v>1549</v>
      </c>
      <c r="C11" t="s">
        <v>1550</v>
      </c>
      <c r="D11" t="s">
        <v>1397</v>
      </c>
      <c r="F11">
        <v>-3.5420690000000001</v>
      </c>
      <c r="G11">
        <v>-4.1168550000000002</v>
      </c>
      <c r="H11">
        <v>-4.3599519999999998</v>
      </c>
      <c r="I11">
        <v>-4.4064740000000002</v>
      </c>
      <c r="J11">
        <v>-4.5784209999999996</v>
      </c>
      <c r="K11">
        <v>-4.5924990000000001</v>
      </c>
      <c r="L11">
        <v>-4.6945209999999999</v>
      </c>
      <c r="M11">
        <v>-4.9072969999999998</v>
      </c>
      <c r="N11">
        <v>-5.0945210000000003</v>
      </c>
      <c r="O11">
        <v>-5.2945209999999996</v>
      </c>
      <c r="P11">
        <v>-5.4945209999999998</v>
      </c>
      <c r="Q11">
        <v>-5.7072969999999996</v>
      </c>
      <c r="R11">
        <v>-5.7945209999999996</v>
      </c>
      <c r="S11">
        <v>-5.7945209999999996</v>
      </c>
      <c r="T11">
        <v>-5.7945209999999996</v>
      </c>
      <c r="U11">
        <v>-5.8072970000000002</v>
      </c>
      <c r="V11">
        <v>-5.7945209999999996</v>
      </c>
      <c r="W11">
        <v>-5.7945209999999996</v>
      </c>
      <c r="X11">
        <v>-5.7945209999999996</v>
      </c>
      <c r="Y11">
        <v>-5.8072970000000002</v>
      </c>
      <c r="Z11">
        <v>-5.7945209999999996</v>
      </c>
      <c r="AA11">
        <v>-5.7945209999999996</v>
      </c>
      <c r="AB11">
        <v>-5.7945209999999996</v>
      </c>
      <c r="AC11">
        <v>-5.8072970000000002</v>
      </c>
      <c r="AD11">
        <v>-5.7945209999999996</v>
      </c>
      <c r="AE11">
        <v>-5.7945209999999996</v>
      </c>
      <c r="AF11">
        <v>-5.7945209999999996</v>
      </c>
      <c r="AG11">
        <v>-5.8072970000000002</v>
      </c>
      <c r="AH11">
        <v>-5.7945209999999996</v>
      </c>
      <c r="AI11">
        <v>-5.7945209999999996</v>
      </c>
      <c r="AJ11" s="9">
        <v>1.7000000000000001E-2</v>
      </c>
    </row>
    <row r="12" spans="1:36" x14ac:dyDescent="0.75">
      <c r="A12" t="s">
        <v>1467</v>
      </c>
      <c r="B12" t="s">
        <v>1551</v>
      </c>
      <c r="C12" t="s">
        <v>1540</v>
      </c>
      <c r="D12" t="s">
        <v>1397</v>
      </c>
      <c r="F12">
        <v>30.450265999999999</v>
      </c>
      <c r="G12">
        <v>30.352909</v>
      </c>
      <c r="H12">
        <v>30.348286000000002</v>
      </c>
      <c r="I12">
        <v>30.363648999999999</v>
      </c>
      <c r="J12">
        <v>30.172539</v>
      </c>
      <c r="K12">
        <v>30.109793</v>
      </c>
      <c r="L12">
        <v>29.865466999999999</v>
      </c>
      <c r="M12">
        <v>30.116250999999998</v>
      </c>
      <c r="N12">
        <v>29.99221</v>
      </c>
      <c r="O12">
        <v>29.775963000000001</v>
      </c>
      <c r="P12">
        <v>29.656390999999999</v>
      </c>
      <c r="Q12">
        <v>29.659984999999999</v>
      </c>
      <c r="R12">
        <v>29.830438999999998</v>
      </c>
      <c r="S12">
        <v>29.582934999999999</v>
      </c>
      <c r="T12">
        <v>29.343772999999999</v>
      </c>
      <c r="U12">
        <v>29.266418000000002</v>
      </c>
      <c r="V12">
        <v>29.412565000000001</v>
      </c>
      <c r="W12">
        <v>29.600902999999999</v>
      </c>
      <c r="X12">
        <v>29.800045000000001</v>
      </c>
      <c r="Y12">
        <v>30.003086</v>
      </c>
      <c r="Z12">
        <v>30.111774</v>
      </c>
      <c r="AA12">
        <v>30.272739000000001</v>
      </c>
      <c r="AB12">
        <v>30.533422000000002</v>
      </c>
      <c r="AC12">
        <v>30.689689999999999</v>
      </c>
      <c r="AD12">
        <v>30.843288000000001</v>
      </c>
      <c r="AE12">
        <v>31.083569000000001</v>
      </c>
      <c r="AF12">
        <v>31.343197</v>
      </c>
      <c r="AG12">
        <v>31.535664000000001</v>
      </c>
      <c r="AH12">
        <v>31.703372999999999</v>
      </c>
      <c r="AI12">
        <v>32.033524</v>
      </c>
      <c r="AJ12" s="9">
        <v>2E-3</v>
      </c>
    </row>
    <row r="13" spans="1:36" x14ac:dyDescent="0.75">
      <c r="A13" t="s">
        <v>1466</v>
      </c>
      <c r="B13" t="s">
        <v>1552</v>
      </c>
      <c r="C13" t="s">
        <v>1553</v>
      </c>
      <c r="D13" t="s">
        <v>1397</v>
      </c>
      <c r="F13">
        <v>30.242594</v>
      </c>
      <c r="G13">
        <v>30.085173000000001</v>
      </c>
      <c r="H13">
        <v>30.064831000000002</v>
      </c>
      <c r="I13">
        <v>30.056604</v>
      </c>
      <c r="J13">
        <v>29.859272000000001</v>
      </c>
      <c r="K13">
        <v>29.777142999999999</v>
      </c>
      <c r="L13">
        <v>29.518978000000001</v>
      </c>
      <c r="M13">
        <v>29.768035999999999</v>
      </c>
      <c r="N13">
        <v>29.655114999999999</v>
      </c>
      <c r="O13">
        <v>29.446020000000001</v>
      </c>
      <c r="P13">
        <v>29.328666999999999</v>
      </c>
      <c r="Q13">
        <v>29.327214999999999</v>
      </c>
      <c r="R13">
        <v>29.514547</v>
      </c>
      <c r="S13">
        <v>29.269196000000001</v>
      </c>
      <c r="T13">
        <v>29.029827000000001</v>
      </c>
      <c r="U13">
        <v>28.959254999999999</v>
      </c>
      <c r="V13">
        <v>29.105549</v>
      </c>
      <c r="W13">
        <v>29.295653999999999</v>
      </c>
      <c r="X13">
        <v>29.500247999999999</v>
      </c>
      <c r="Y13">
        <v>29.703928000000001</v>
      </c>
      <c r="Z13">
        <v>29.806577999999998</v>
      </c>
      <c r="AA13">
        <v>29.968972999999998</v>
      </c>
      <c r="AB13">
        <v>30.229541999999999</v>
      </c>
      <c r="AC13">
        <v>30.386457</v>
      </c>
      <c r="AD13">
        <v>30.550422999999999</v>
      </c>
      <c r="AE13">
        <v>30.797487</v>
      </c>
      <c r="AF13">
        <v>31.028424999999999</v>
      </c>
      <c r="AG13">
        <v>31.221830000000001</v>
      </c>
      <c r="AH13">
        <v>31.388659000000001</v>
      </c>
      <c r="AI13">
        <v>31.717158999999999</v>
      </c>
      <c r="AJ13" s="9">
        <v>2E-3</v>
      </c>
    </row>
    <row r="14" spans="1:36" x14ac:dyDescent="0.75">
      <c r="A14" t="s">
        <v>1449</v>
      </c>
      <c r="B14" t="s">
        <v>1554</v>
      </c>
      <c r="C14" t="s">
        <v>1555</v>
      </c>
      <c r="D14" t="s">
        <v>1397</v>
      </c>
      <c r="F14">
        <v>4.8194189999999999</v>
      </c>
      <c r="G14">
        <v>4.87988</v>
      </c>
      <c r="H14">
        <v>4.8034359999999996</v>
      </c>
      <c r="I14">
        <v>4.8160449999999999</v>
      </c>
      <c r="J14">
        <v>4.8303010000000004</v>
      </c>
      <c r="K14">
        <v>4.8354929999999996</v>
      </c>
      <c r="L14">
        <v>4.8351280000000001</v>
      </c>
      <c r="M14">
        <v>4.8261839999999996</v>
      </c>
      <c r="N14">
        <v>4.8112589999999997</v>
      </c>
      <c r="O14">
        <v>4.7964659999999997</v>
      </c>
      <c r="P14">
        <v>4.782578</v>
      </c>
      <c r="Q14">
        <v>4.7657059999999998</v>
      </c>
      <c r="R14">
        <v>4.7489520000000001</v>
      </c>
      <c r="S14">
        <v>4.7354810000000001</v>
      </c>
      <c r="T14">
        <v>4.726693</v>
      </c>
      <c r="U14">
        <v>4.7201630000000003</v>
      </c>
      <c r="V14">
        <v>4.7127759999999999</v>
      </c>
      <c r="W14">
        <v>4.7047549999999996</v>
      </c>
      <c r="X14">
        <v>4.6962799999999998</v>
      </c>
      <c r="Y14">
        <v>4.6890780000000003</v>
      </c>
      <c r="Z14">
        <v>4.6804639999999997</v>
      </c>
      <c r="AA14">
        <v>4.6731369999999997</v>
      </c>
      <c r="AB14">
        <v>4.6678319999999998</v>
      </c>
      <c r="AC14">
        <v>4.6634570000000002</v>
      </c>
      <c r="AD14">
        <v>4.659014</v>
      </c>
      <c r="AE14">
        <v>4.6538830000000004</v>
      </c>
      <c r="AF14">
        <v>4.6478109999999999</v>
      </c>
      <c r="AG14">
        <v>4.6408500000000004</v>
      </c>
      <c r="AH14">
        <v>4.6324439999999996</v>
      </c>
      <c r="AI14">
        <v>4.6232009999999999</v>
      </c>
      <c r="AJ14" s="9">
        <v>-1E-3</v>
      </c>
    </row>
    <row r="15" spans="1:36" x14ac:dyDescent="0.75">
      <c r="A15" t="s">
        <v>1448</v>
      </c>
      <c r="B15" t="s">
        <v>1556</v>
      </c>
      <c r="C15" t="s">
        <v>1557</v>
      </c>
      <c r="D15" t="s">
        <v>1397</v>
      </c>
      <c r="F15">
        <v>3.3504839999999998</v>
      </c>
      <c r="G15">
        <v>3.4825870000000001</v>
      </c>
      <c r="H15">
        <v>3.4289239999999999</v>
      </c>
      <c r="I15">
        <v>3.434704</v>
      </c>
      <c r="J15">
        <v>3.4444880000000002</v>
      </c>
      <c r="K15">
        <v>3.443654</v>
      </c>
      <c r="L15">
        <v>3.4582109999999999</v>
      </c>
      <c r="M15">
        <v>3.4613610000000001</v>
      </c>
      <c r="N15">
        <v>3.4569040000000002</v>
      </c>
      <c r="O15">
        <v>3.4529619999999999</v>
      </c>
      <c r="P15">
        <v>3.4539520000000001</v>
      </c>
      <c r="Q15">
        <v>3.4515280000000002</v>
      </c>
      <c r="R15">
        <v>3.4483139999999999</v>
      </c>
      <c r="S15">
        <v>3.448515</v>
      </c>
      <c r="T15">
        <v>3.454259</v>
      </c>
      <c r="U15">
        <v>3.4626570000000001</v>
      </c>
      <c r="V15">
        <v>3.468118</v>
      </c>
      <c r="W15">
        <v>3.4705849999999998</v>
      </c>
      <c r="X15">
        <v>3.471409</v>
      </c>
      <c r="Y15">
        <v>3.472769</v>
      </c>
      <c r="Z15">
        <v>3.472588</v>
      </c>
      <c r="AA15">
        <v>3.4752960000000002</v>
      </c>
      <c r="AB15">
        <v>3.481176</v>
      </c>
      <c r="AC15">
        <v>3.4874290000000001</v>
      </c>
      <c r="AD15">
        <v>3.4937990000000001</v>
      </c>
      <c r="AE15">
        <v>3.4990220000000001</v>
      </c>
      <c r="AF15">
        <v>3.5028619999999999</v>
      </c>
      <c r="AG15">
        <v>3.5055320000000001</v>
      </c>
      <c r="AH15">
        <v>3.5059909999999999</v>
      </c>
      <c r="AI15">
        <v>3.505614</v>
      </c>
      <c r="AJ15" s="9">
        <v>2E-3</v>
      </c>
    </row>
    <row r="16" spans="1:36" x14ac:dyDescent="0.75">
      <c r="A16" t="s">
        <v>1447</v>
      </c>
      <c r="B16" t="s">
        <v>1558</v>
      </c>
      <c r="C16" t="s">
        <v>1559</v>
      </c>
      <c r="D16" t="s">
        <v>1397</v>
      </c>
      <c r="F16">
        <v>10.388059999999999</v>
      </c>
      <c r="G16">
        <v>10.575246</v>
      </c>
      <c r="H16">
        <v>10.486810999999999</v>
      </c>
      <c r="I16">
        <v>10.540606</v>
      </c>
      <c r="J16">
        <v>10.645498999999999</v>
      </c>
      <c r="K16">
        <v>10.709901</v>
      </c>
      <c r="L16">
        <v>10.719416000000001</v>
      </c>
      <c r="M16">
        <v>10.767504000000001</v>
      </c>
      <c r="N16">
        <v>10.779654000000001</v>
      </c>
      <c r="O16">
        <v>10.815272</v>
      </c>
      <c r="P16">
        <v>10.848523999999999</v>
      </c>
      <c r="Q16">
        <v>10.876146</v>
      </c>
      <c r="R16">
        <v>10.905524</v>
      </c>
      <c r="S16">
        <v>10.913145</v>
      </c>
      <c r="T16">
        <v>10.922623</v>
      </c>
      <c r="U16">
        <v>10.966374999999999</v>
      </c>
      <c r="V16">
        <v>10.982613000000001</v>
      </c>
      <c r="W16">
        <v>11.020459000000001</v>
      </c>
      <c r="X16">
        <v>11.064152</v>
      </c>
      <c r="Y16">
        <v>11.106756000000001</v>
      </c>
      <c r="Z16">
        <v>11.119011</v>
      </c>
      <c r="AA16">
        <v>11.164562999999999</v>
      </c>
      <c r="AB16">
        <v>11.248595999999999</v>
      </c>
      <c r="AC16">
        <v>11.297219999999999</v>
      </c>
      <c r="AD16">
        <v>11.350711</v>
      </c>
      <c r="AE16">
        <v>11.430659</v>
      </c>
      <c r="AF16">
        <v>11.497999999999999</v>
      </c>
      <c r="AG16">
        <v>11.531771000000001</v>
      </c>
      <c r="AH16">
        <v>11.566927</v>
      </c>
      <c r="AI16">
        <v>11.694829</v>
      </c>
      <c r="AJ16" s="9">
        <v>4.0000000000000001E-3</v>
      </c>
    </row>
    <row r="17" spans="1:38" x14ac:dyDescent="0.75">
      <c r="A17" t="s">
        <v>1465</v>
      </c>
      <c r="B17" t="s">
        <v>1560</v>
      </c>
      <c r="C17" t="s">
        <v>1561</v>
      </c>
      <c r="D17" t="s">
        <v>1397</v>
      </c>
      <c r="F17">
        <v>8.2577700000000007</v>
      </c>
      <c r="G17">
        <v>8.3280519999999996</v>
      </c>
      <c r="H17">
        <v>8.2096940000000007</v>
      </c>
      <c r="I17">
        <v>8.2352849999999993</v>
      </c>
      <c r="J17">
        <v>8.2954450000000008</v>
      </c>
      <c r="K17">
        <v>8.3544730000000005</v>
      </c>
      <c r="L17">
        <v>8.3557210000000008</v>
      </c>
      <c r="M17">
        <v>8.3492080000000009</v>
      </c>
      <c r="N17">
        <v>8.3322070000000004</v>
      </c>
      <c r="O17">
        <v>8.3282880000000006</v>
      </c>
      <c r="P17">
        <v>8.3294940000000004</v>
      </c>
      <c r="Q17">
        <v>8.3134490000000003</v>
      </c>
      <c r="R17">
        <v>8.3156890000000008</v>
      </c>
      <c r="S17">
        <v>8.3324529999999992</v>
      </c>
      <c r="T17">
        <v>8.3408320000000007</v>
      </c>
      <c r="U17">
        <v>8.3900539999999992</v>
      </c>
      <c r="V17">
        <v>8.4123169999999998</v>
      </c>
      <c r="W17">
        <v>8.4460379999999997</v>
      </c>
      <c r="X17">
        <v>8.4721460000000004</v>
      </c>
      <c r="Y17">
        <v>8.4965019999999996</v>
      </c>
      <c r="Z17">
        <v>8.5134129999999999</v>
      </c>
      <c r="AA17">
        <v>8.5515749999999997</v>
      </c>
      <c r="AB17">
        <v>8.6081380000000003</v>
      </c>
      <c r="AC17">
        <v>8.6420729999999999</v>
      </c>
      <c r="AD17">
        <v>8.6722210000000004</v>
      </c>
      <c r="AE17">
        <v>8.7376380000000005</v>
      </c>
      <c r="AF17">
        <v>8.7940869999999993</v>
      </c>
      <c r="AG17">
        <v>8.8144329999999993</v>
      </c>
      <c r="AH17">
        <v>8.8463670000000008</v>
      </c>
      <c r="AI17">
        <v>8.9321149999999996</v>
      </c>
      <c r="AJ17" s="9">
        <v>3.0000000000000001E-3</v>
      </c>
    </row>
    <row r="18" spans="1:38" x14ac:dyDescent="0.75">
      <c r="A18" t="s">
        <v>1464</v>
      </c>
      <c r="B18" t="s">
        <v>1562</v>
      </c>
      <c r="C18" t="s">
        <v>1563</v>
      </c>
      <c r="D18" t="s">
        <v>1397</v>
      </c>
      <c r="F18">
        <v>1.8403620000000001</v>
      </c>
      <c r="G18">
        <v>1.9073599999999999</v>
      </c>
      <c r="H18">
        <v>1.917754</v>
      </c>
      <c r="I18">
        <v>1.9423539999999999</v>
      </c>
      <c r="J18">
        <v>1.9733229999999999</v>
      </c>
      <c r="K18">
        <v>1.9777199999999999</v>
      </c>
      <c r="L18">
        <v>1.977887</v>
      </c>
      <c r="M18">
        <v>2.015253</v>
      </c>
      <c r="N18">
        <v>2.029239</v>
      </c>
      <c r="O18">
        <v>2.0525769999999999</v>
      </c>
      <c r="P18">
        <v>2.068422</v>
      </c>
      <c r="Q18">
        <v>2.0948560000000001</v>
      </c>
      <c r="R18">
        <v>2.1149269999999998</v>
      </c>
      <c r="S18">
        <v>2.105785</v>
      </c>
      <c r="T18">
        <v>2.1068829999999998</v>
      </c>
      <c r="U18">
        <v>2.1003790000000002</v>
      </c>
      <c r="V18">
        <v>2.0953870000000001</v>
      </c>
      <c r="W18">
        <v>2.099513</v>
      </c>
      <c r="X18">
        <v>2.1170979999999999</v>
      </c>
      <c r="Y18">
        <v>2.134312</v>
      </c>
      <c r="Z18">
        <v>2.1306889999999998</v>
      </c>
      <c r="AA18">
        <v>2.1380810000000001</v>
      </c>
      <c r="AB18">
        <v>2.1655500000000001</v>
      </c>
      <c r="AC18">
        <v>2.1792039999999999</v>
      </c>
      <c r="AD18">
        <v>2.2035819999999999</v>
      </c>
      <c r="AE18">
        <v>2.2181129999999998</v>
      </c>
      <c r="AF18">
        <v>2.2290049999999999</v>
      </c>
      <c r="AG18">
        <v>2.2413949999999998</v>
      </c>
      <c r="AH18">
        <v>2.2456520000000002</v>
      </c>
      <c r="AI18">
        <v>2.2878069999999999</v>
      </c>
      <c r="AJ18" s="9">
        <v>8.0000000000000002E-3</v>
      </c>
    </row>
    <row r="19" spans="1:38" x14ac:dyDescent="0.75">
      <c r="A19" t="s">
        <v>1463</v>
      </c>
      <c r="B19" t="s">
        <v>1564</v>
      </c>
      <c r="C19" t="s">
        <v>1565</v>
      </c>
      <c r="D19" t="s">
        <v>1397</v>
      </c>
      <c r="F19">
        <v>0.28992800000000002</v>
      </c>
      <c r="G19">
        <v>0.339835</v>
      </c>
      <c r="H19">
        <v>0.35936299999999999</v>
      </c>
      <c r="I19">
        <v>0.36296699999999998</v>
      </c>
      <c r="J19">
        <v>0.37673099999999998</v>
      </c>
      <c r="K19">
        <v>0.37770799999999999</v>
      </c>
      <c r="L19">
        <v>0.38580799999999998</v>
      </c>
      <c r="M19">
        <v>0.40304200000000001</v>
      </c>
      <c r="N19">
        <v>0.41820800000000002</v>
      </c>
      <c r="O19">
        <v>0.43440800000000002</v>
      </c>
      <c r="P19">
        <v>0.45060800000000001</v>
      </c>
      <c r="Q19">
        <v>0.46784199999999998</v>
      </c>
      <c r="R19">
        <v>0.474908</v>
      </c>
      <c r="S19">
        <v>0.474908</v>
      </c>
      <c r="T19">
        <v>0.474908</v>
      </c>
      <c r="U19">
        <v>0.47594199999999998</v>
      </c>
      <c r="V19">
        <v>0.474908</v>
      </c>
      <c r="W19">
        <v>0.474908</v>
      </c>
      <c r="X19">
        <v>0.474908</v>
      </c>
      <c r="Y19">
        <v>0.47594199999999998</v>
      </c>
      <c r="Z19">
        <v>0.474908</v>
      </c>
      <c r="AA19">
        <v>0.474908</v>
      </c>
      <c r="AB19">
        <v>0.474908</v>
      </c>
      <c r="AC19">
        <v>0.47594199999999998</v>
      </c>
      <c r="AD19">
        <v>0.474908</v>
      </c>
      <c r="AE19">
        <v>0.474908</v>
      </c>
      <c r="AF19">
        <v>0.474908</v>
      </c>
      <c r="AG19">
        <v>0.47594199999999998</v>
      </c>
      <c r="AH19">
        <v>0.474908</v>
      </c>
      <c r="AI19">
        <v>0.474908</v>
      </c>
      <c r="AJ19" s="9">
        <v>1.7000000000000001E-2</v>
      </c>
    </row>
    <row r="20" spans="1:38" x14ac:dyDescent="0.75">
      <c r="A20" t="s">
        <v>1462</v>
      </c>
      <c r="B20" t="s">
        <v>1566</v>
      </c>
      <c r="C20" t="s">
        <v>1567</v>
      </c>
      <c r="D20" t="s">
        <v>1397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1400</v>
      </c>
    </row>
    <row r="21" spans="1:38" x14ac:dyDescent="0.75">
      <c r="A21" t="s">
        <v>1461</v>
      </c>
      <c r="B21" t="s">
        <v>1568</v>
      </c>
      <c r="C21" t="s">
        <v>1569</v>
      </c>
      <c r="D21" t="s">
        <v>1397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1400</v>
      </c>
    </row>
    <row r="22" spans="1:38" x14ac:dyDescent="0.75">
      <c r="A22" t="s">
        <v>65</v>
      </c>
      <c r="B22" t="s">
        <v>1570</v>
      </c>
      <c r="C22" t="s">
        <v>1571</v>
      </c>
      <c r="D22" t="s">
        <v>1397</v>
      </c>
      <c r="F22">
        <v>0.82786999999999999</v>
      </c>
      <c r="G22">
        <v>0.77045600000000003</v>
      </c>
      <c r="H22">
        <v>0.76901600000000003</v>
      </c>
      <c r="I22">
        <v>0.75909099999999996</v>
      </c>
      <c r="J22">
        <v>0.75464600000000004</v>
      </c>
      <c r="K22">
        <v>0.75199499999999997</v>
      </c>
      <c r="L22">
        <v>0.74685199999999996</v>
      </c>
      <c r="M22">
        <v>0.75983500000000004</v>
      </c>
      <c r="N22">
        <v>0.76184799999999997</v>
      </c>
      <c r="O22">
        <v>0.76158800000000004</v>
      </c>
      <c r="P22">
        <v>0.76694700000000005</v>
      </c>
      <c r="Q22">
        <v>0.773339</v>
      </c>
      <c r="R22">
        <v>0.783053</v>
      </c>
      <c r="S22">
        <v>0.78149299999999999</v>
      </c>
      <c r="T22">
        <v>0.78630199999999995</v>
      </c>
      <c r="U22">
        <v>0.79482799999999998</v>
      </c>
      <c r="V22">
        <v>0.808952</v>
      </c>
      <c r="W22">
        <v>0.82450000000000001</v>
      </c>
      <c r="X22">
        <v>0.83774300000000002</v>
      </c>
      <c r="Y22">
        <v>0.85753599999999996</v>
      </c>
      <c r="Z22">
        <v>0.87035899999999999</v>
      </c>
      <c r="AA22">
        <v>0.88478299999999999</v>
      </c>
      <c r="AB22">
        <v>0.90146099999999996</v>
      </c>
      <c r="AC22">
        <v>0.92156300000000002</v>
      </c>
      <c r="AD22">
        <v>0.93029899999999999</v>
      </c>
      <c r="AE22">
        <v>0.94638900000000004</v>
      </c>
      <c r="AF22">
        <v>0.96484199999999998</v>
      </c>
      <c r="AG22">
        <v>0.98129500000000003</v>
      </c>
      <c r="AH22">
        <v>0.998166</v>
      </c>
      <c r="AI22">
        <v>1.0126869999999999</v>
      </c>
      <c r="AJ22" s="9">
        <v>7.0000000000000001E-3</v>
      </c>
    </row>
    <row r="23" spans="1:38" x14ac:dyDescent="0.75">
      <c r="A23" t="s">
        <v>1460</v>
      </c>
      <c r="B23" t="s">
        <v>1459</v>
      </c>
      <c r="C23" t="s">
        <v>1458</v>
      </c>
      <c r="D23" t="s">
        <v>1572</v>
      </c>
      <c r="E23" t="s">
        <v>1573</v>
      </c>
      <c r="F23" t="s">
        <v>1397</v>
      </c>
      <c r="H23">
        <v>0.10664</v>
      </c>
      <c r="I23">
        <v>9.6182000000000004E-2</v>
      </c>
      <c r="J23">
        <v>0.11329400000000001</v>
      </c>
      <c r="K23">
        <v>0.11966499999999999</v>
      </c>
      <c r="L23">
        <v>0.126026</v>
      </c>
      <c r="M23">
        <v>0.13594400000000001</v>
      </c>
      <c r="N23">
        <v>0.14696899999999999</v>
      </c>
      <c r="O23">
        <v>0.154949</v>
      </c>
      <c r="P23">
        <v>0.16269500000000001</v>
      </c>
      <c r="Q23">
        <v>0.171487</v>
      </c>
      <c r="R23">
        <v>0.180423</v>
      </c>
      <c r="S23">
        <v>0.18410699999999999</v>
      </c>
      <c r="T23">
        <v>0.19177900000000001</v>
      </c>
      <c r="U23">
        <v>0.19936599999999999</v>
      </c>
      <c r="V23">
        <v>0.206543</v>
      </c>
      <c r="W23">
        <v>0.21423700000000001</v>
      </c>
      <c r="X23">
        <v>0.22256600000000001</v>
      </c>
      <c r="Y23">
        <v>0.231628</v>
      </c>
      <c r="Z23">
        <v>0.23911199999999999</v>
      </c>
      <c r="AA23">
        <v>0.25351200000000002</v>
      </c>
      <c r="AB23">
        <v>0.26302700000000001</v>
      </c>
      <c r="AC23">
        <v>0.27200200000000002</v>
      </c>
      <c r="AD23">
        <v>0.28450199999999998</v>
      </c>
      <c r="AE23">
        <v>0.29765200000000003</v>
      </c>
      <c r="AF23">
        <v>0.30822699999999997</v>
      </c>
      <c r="AG23">
        <v>0.32111200000000001</v>
      </c>
      <c r="AH23">
        <v>0.331511</v>
      </c>
      <c r="AI23">
        <v>0.34002199999999999</v>
      </c>
      <c r="AJ23">
        <v>0.34979900000000003</v>
      </c>
      <c r="AK23">
        <v>0.40534399999999998</v>
      </c>
      <c r="AL23" s="9">
        <v>4.7E-2</v>
      </c>
    </row>
    <row r="24" spans="1:38" x14ac:dyDescent="0.75">
      <c r="A24" t="s">
        <v>1457</v>
      </c>
      <c r="B24" t="s">
        <v>1574</v>
      </c>
      <c r="C24" t="s">
        <v>1575</v>
      </c>
      <c r="D24" t="s">
        <v>1397</v>
      </c>
      <c r="F24">
        <v>0.72123000000000004</v>
      </c>
      <c r="G24">
        <v>0.67427400000000004</v>
      </c>
      <c r="H24">
        <v>0.65572200000000003</v>
      </c>
      <c r="I24">
        <v>0.63942600000000005</v>
      </c>
      <c r="J24">
        <v>0.62861999999999996</v>
      </c>
      <c r="K24">
        <v>0.61605100000000002</v>
      </c>
      <c r="L24">
        <v>0.59988300000000006</v>
      </c>
      <c r="M24">
        <v>0.60488600000000003</v>
      </c>
      <c r="N24">
        <v>0.59915300000000005</v>
      </c>
      <c r="O24">
        <v>0.59010099999999999</v>
      </c>
      <c r="P24">
        <v>0.58652400000000005</v>
      </c>
      <c r="Q24">
        <v>0.58923199999999998</v>
      </c>
      <c r="R24">
        <v>0.59127300000000005</v>
      </c>
      <c r="S24">
        <v>0.58212699999999995</v>
      </c>
      <c r="T24">
        <v>0.57976000000000005</v>
      </c>
      <c r="U24">
        <v>0.58059099999999997</v>
      </c>
      <c r="V24">
        <v>0.58638599999999996</v>
      </c>
      <c r="W24">
        <v>0.59287199999999995</v>
      </c>
      <c r="X24">
        <v>0.59863100000000002</v>
      </c>
      <c r="Y24">
        <v>0.60402400000000001</v>
      </c>
      <c r="Z24">
        <v>0.60733199999999998</v>
      </c>
      <c r="AA24">
        <v>0.61277999999999999</v>
      </c>
      <c r="AB24">
        <v>0.61695800000000001</v>
      </c>
      <c r="AC24">
        <v>0.62391099999999999</v>
      </c>
      <c r="AD24">
        <v>0.62207299999999999</v>
      </c>
      <c r="AE24">
        <v>0.62527699999999997</v>
      </c>
      <c r="AF24">
        <v>0.63333099999999998</v>
      </c>
      <c r="AG24">
        <v>0.64127299999999998</v>
      </c>
      <c r="AH24">
        <v>0.64836700000000003</v>
      </c>
      <c r="AI24">
        <v>0.65355099999999999</v>
      </c>
      <c r="AJ24" s="9">
        <v>-3.0000000000000001E-3</v>
      </c>
    </row>
    <row r="25" spans="1:38" x14ac:dyDescent="0.75">
      <c r="A25" t="s">
        <v>1446</v>
      </c>
      <c r="B25" t="s">
        <v>1576</v>
      </c>
      <c r="C25" t="s">
        <v>1577</v>
      </c>
      <c r="D25" t="s">
        <v>1397</v>
      </c>
      <c r="F25">
        <v>10.85676</v>
      </c>
      <c r="G25">
        <v>10.377003</v>
      </c>
      <c r="H25">
        <v>10.576644</v>
      </c>
      <c r="I25">
        <v>10.506159</v>
      </c>
      <c r="J25">
        <v>10.184333000000001</v>
      </c>
      <c r="K25">
        <v>10.036098000000001</v>
      </c>
      <c r="L25">
        <v>9.7593750000000004</v>
      </c>
      <c r="M25">
        <v>9.9531510000000001</v>
      </c>
      <c r="N25">
        <v>9.8454479999999993</v>
      </c>
      <c r="O25">
        <v>9.6197300000000006</v>
      </c>
      <c r="P25">
        <v>9.4766659999999998</v>
      </c>
      <c r="Q25">
        <v>9.4604970000000002</v>
      </c>
      <c r="R25">
        <v>9.6287029999999998</v>
      </c>
      <c r="S25">
        <v>9.3905619999999992</v>
      </c>
      <c r="T25">
        <v>9.1399519999999992</v>
      </c>
      <c r="U25">
        <v>9.015231</v>
      </c>
      <c r="V25">
        <v>9.1330899999999993</v>
      </c>
      <c r="W25">
        <v>9.2753519999999998</v>
      </c>
      <c r="X25">
        <v>9.4306640000000002</v>
      </c>
      <c r="Y25">
        <v>9.577788</v>
      </c>
      <c r="Z25">
        <v>9.6641560000000002</v>
      </c>
      <c r="AA25">
        <v>9.7711950000000005</v>
      </c>
      <c r="AB25">
        <v>9.9304769999999998</v>
      </c>
      <c r="AC25">
        <v>10.016788</v>
      </c>
      <c r="AD25">
        <v>10.116599000000001</v>
      </c>
      <c r="AE25">
        <v>10.267536</v>
      </c>
      <c r="AF25">
        <v>10.414911999999999</v>
      </c>
      <c r="AG25">
        <v>10.562379999999999</v>
      </c>
      <c r="AH25">
        <v>10.685131999999999</v>
      </c>
      <c r="AI25">
        <v>10.88083</v>
      </c>
      <c r="AJ25" s="9">
        <v>0</v>
      </c>
    </row>
    <row r="26" spans="1:38" x14ac:dyDescent="0.75">
      <c r="A26" t="s">
        <v>1456</v>
      </c>
      <c r="B26" t="s">
        <v>1578</v>
      </c>
      <c r="C26" t="s">
        <v>1579</v>
      </c>
      <c r="D26" t="s">
        <v>1397</v>
      </c>
      <c r="F26">
        <v>0.207672</v>
      </c>
      <c r="G26">
        <v>0.26773599999999997</v>
      </c>
      <c r="H26">
        <v>0.28345500000000001</v>
      </c>
      <c r="I26">
        <v>0.30704500000000001</v>
      </c>
      <c r="J26">
        <v>0.31326700000000002</v>
      </c>
      <c r="K26">
        <v>0.33264899999999997</v>
      </c>
      <c r="L26">
        <v>0.34648899999999999</v>
      </c>
      <c r="M26">
        <v>0.348215</v>
      </c>
      <c r="N26">
        <v>0.33709499999999998</v>
      </c>
      <c r="O26">
        <v>0.32994299999999999</v>
      </c>
      <c r="P26">
        <v>0.32772400000000002</v>
      </c>
      <c r="Q26">
        <v>0.33276899999999998</v>
      </c>
      <c r="R26">
        <v>0.31589099999999998</v>
      </c>
      <c r="S26">
        <v>0.31374000000000002</v>
      </c>
      <c r="T26">
        <v>0.313946</v>
      </c>
      <c r="U26">
        <v>0.30716300000000002</v>
      </c>
      <c r="V26">
        <v>0.30701600000000001</v>
      </c>
      <c r="W26">
        <v>0.30524800000000002</v>
      </c>
      <c r="X26">
        <v>0.29979699999999998</v>
      </c>
      <c r="Y26">
        <v>0.29915799999999998</v>
      </c>
      <c r="Z26">
        <v>0.305197</v>
      </c>
      <c r="AA26">
        <v>0.30376599999999998</v>
      </c>
      <c r="AB26">
        <v>0.30388100000000001</v>
      </c>
      <c r="AC26">
        <v>0.303232</v>
      </c>
      <c r="AD26">
        <v>0.29286600000000002</v>
      </c>
      <c r="AE26">
        <v>0.28608099999999997</v>
      </c>
      <c r="AF26">
        <v>0.314772</v>
      </c>
      <c r="AG26">
        <v>0.31383299999999997</v>
      </c>
      <c r="AH26">
        <v>0.31471399999999999</v>
      </c>
      <c r="AI26">
        <v>0.31636399999999998</v>
      </c>
      <c r="AJ26" t="s">
        <v>1400</v>
      </c>
    </row>
    <row r="27" spans="1:38" x14ac:dyDescent="0.75">
      <c r="A27" t="s">
        <v>1455</v>
      </c>
      <c r="C27" t="s">
        <v>1519</v>
      </c>
    </row>
    <row r="28" spans="1:38" s="10" customFormat="1" x14ac:dyDescent="0.75">
      <c r="A28" s="10" t="s">
        <v>1454</v>
      </c>
      <c r="C28" s="10" t="s">
        <v>1518</v>
      </c>
    </row>
    <row r="29" spans="1:38" s="10" customFormat="1" x14ac:dyDescent="0.75">
      <c r="A29" s="10" t="s">
        <v>1517</v>
      </c>
      <c r="B29" s="10" t="s">
        <v>1580</v>
      </c>
      <c r="C29" s="10" t="s">
        <v>1581</v>
      </c>
      <c r="D29" s="10" t="s">
        <v>1516</v>
      </c>
      <c r="F29" s="10">
        <v>4.115437</v>
      </c>
      <c r="G29" s="10">
        <v>3.8375569999999999</v>
      </c>
      <c r="H29" s="10">
        <v>3.4711470000000002</v>
      </c>
      <c r="I29" s="10">
        <v>3.1265849999999999</v>
      </c>
      <c r="J29" s="10">
        <v>2.9537409999999999</v>
      </c>
      <c r="K29" s="10">
        <v>2.9069660000000002</v>
      </c>
      <c r="L29" s="10">
        <v>2.9545490000000001</v>
      </c>
      <c r="M29" s="10">
        <v>3.1361569999999999</v>
      </c>
      <c r="N29" s="10">
        <v>3.2922310000000001</v>
      </c>
      <c r="O29" s="10">
        <v>3.3889710000000002</v>
      </c>
      <c r="P29" s="10">
        <v>3.4544480000000002</v>
      </c>
      <c r="Q29" s="10">
        <v>3.4918580000000001</v>
      </c>
      <c r="R29" s="10">
        <v>3.5932900000000001</v>
      </c>
      <c r="S29" s="10">
        <v>3.5941529999999999</v>
      </c>
      <c r="T29" s="10">
        <v>3.5243639999999998</v>
      </c>
      <c r="U29" s="10">
        <v>3.4853049999999999</v>
      </c>
      <c r="V29" s="10">
        <v>3.4869300000000001</v>
      </c>
      <c r="W29" s="10">
        <v>3.5182699999999998</v>
      </c>
      <c r="X29" s="10">
        <v>3.5456129999999999</v>
      </c>
      <c r="Y29" s="10">
        <v>3.577658</v>
      </c>
      <c r="Z29" s="10">
        <v>3.6346500000000002</v>
      </c>
      <c r="AA29" s="10">
        <v>3.6520290000000002</v>
      </c>
      <c r="AB29" s="10">
        <v>3.5895619999999999</v>
      </c>
      <c r="AC29" s="10">
        <v>3.5611259999999998</v>
      </c>
      <c r="AD29" s="10">
        <v>3.4696760000000002</v>
      </c>
      <c r="AE29" s="10">
        <v>3.4253659999999999</v>
      </c>
      <c r="AF29" s="10">
        <v>3.400315</v>
      </c>
      <c r="AG29" s="10">
        <v>3.3924319999999999</v>
      </c>
      <c r="AH29" s="10">
        <v>3.4035679999999999</v>
      </c>
      <c r="AI29" s="10">
        <v>3.4095119999999999</v>
      </c>
      <c r="AJ29" s="11">
        <v>-6.0000000000000001E-3</v>
      </c>
    </row>
    <row r="30" spans="1:38" x14ac:dyDescent="0.75">
      <c r="A30" t="s">
        <v>1451</v>
      </c>
      <c r="C30" t="s">
        <v>1515</v>
      </c>
    </row>
    <row r="31" spans="1:38" x14ac:dyDescent="0.75">
      <c r="A31" t="s">
        <v>1514</v>
      </c>
      <c r="C31" t="s">
        <v>1513</v>
      </c>
    </row>
    <row r="32" spans="1:38" x14ac:dyDescent="0.75">
      <c r="A32" t="s">
        <v>1449</v>
      </c>
      <c r="B32" t="s">
        <v>1582</v>
      </c>
      <c r="C32" t="s">
        <v>1583</v>
      </c>
      <c r="D32" t="s">
        <v>1512</v>
      </c>
      <c r="F32">
        <v>12.171644000000001</v>
      </c>
      <c r="G32">
        <v>12.625864999999999</v>
      </c>
      <c r="H32">
        <v>11.979865999999999</v>
      </c>
      <c r="I32">
        <v>11.480212999999999</v>
      </c>
      <c r="J32">
        <v>11.157558999999999</v>
      </c>
      <c r="K32">
        <v>10.968821</v>
      </c>
      <c r="L32">
        <v>10.837678</v>
      </c>
      <c r="M32">
        <v>10.981541</v>
      </c>
      <c r="N32">
        <v>11.152151</v>
      </c>
      <c r="O32">
        <v>11.246775</v>
      </c>
      <c r="P32">
        <v>11.342472000000001</v>
      </c>
      <c r="Q32">
        <v>11.688359999999999</v>
      </c>
      <c r="R32">
        <v>11.833169</v>
      </c>
      <c r="S32">
        <v>11.888336000000001</v>
      </c>
      <c r="T32">
        <v>11.888529999999999</v>
      </c>
      <c r="U32">
        <v>11.856069</v>
      </c>
      <c r="V32">
        <v>11.895705</v>
      </c>
      <c r="W32">
        <v>11.930014999999999</v>
      </c>
      <c r="X32">
        <v>11.970271</v>
      </c>
      <c r="Y32">
        <v>12.000363</v>
      </c>
      <c r="Z32">
        <v>12.084125999999999</v>
      </c>
      <c r="AA32">
        <v>12.079756</v>
      </c>
      <c r="AB32">
        <v>12.043774000000001</v>
      </c>
      <c r="AC32">
        <v>12.028834</v>
      </c>
      <c r="AD32">
        <v>11.998742</v>
      </c>
      <c r="AE32">
        <v>11.996384000000001</v>
      </c>
      <c r="AF32">
        <v>12.001075</v>
      </c>
      <c r="AG32">
        <v>12.006783</v>
      </c>
      <c r="AH32">
        <v>12.045881</v>
      </c>
      <c r="AI32">
        <v>12.069625</v>
      </c>
      <c r="AJ32" s="9">
        <v>0</v>
      </c>
    </row>
    <row r="33" spans="1:36" x14ac:dyDescent="0.75">
      <c r="A33" t="s">
        <v>1448</v>
      </c>
      <c r="B33" t="s">
        <v>1584</v>
      </c>
      <c r="C33" t="s">
        <v>1585</v>
      </c>
      <c r="D33" t="s">
        <v>1512</v>
      </c>
      <c r="F33">
        <v>8.7718389999999999</v>
      </c>
      <c r="G33">
        <v>9.1625669999999992</v>
      </c>
      <c r="H33">
        <v>8.8283839999999998</v>
      </c>
      <c r="I33">
        <v>8.4996670000000005</v>
      </c>
      <c r="J33">
        <v>8.3305900000000008</v>
      </c>
      <c r="K33">
        <v>8.2814259999999997</v>
      </c>
      <c r="L33">
        <v>8.2733539999999994</v>
      </c>
      <c r="M33">
        <v>8.3990840000000002</v>
      </c>
      <c r="N33">
        <v>8.5446329999999993</v>
      </c>
      <c r="O33">
        <v>8.6167649999999991</v>
      </c>
      <c r="P33">
        <v>8.6901229999999998</v>
      </c>
      <c r="Q33">
        <v>8.9053620000000002</v>
      </c>
      <c r="R33">
        <v>9.0087440000000001</v>
      </c>
      <c r="S33">
        <v>9.0377559999999999</v>
      </c>
      <c r="T33">
        <v>9.0094159999999999</v>
      </c>
      <c r="U33">
        <v>8.9635499999999997</v>
      </c>
      <c r="V33">
        <v>8.9891290000000001</v>
      </c>
      <c r="W33">
        <v>9.0116809999999994</v>
      </c>
      <c r="X33">
        <v>9.040559</v>
      </c>
      <c r="Y33">
        <v>9.060416</v>
      </c>
      <c r="Z33">
        <v>9.1320759999999996</v>
      </c>
      <c r="AA33">
        <v>9.1163790000000002</v>
      </c>
      <c r="AB33">
        <v>9.0693239999999999</v>
      </c>
      <c r="AC33">
        <v>9.0453329999999994</v>
      </c>
      <c r="AD33">
        <v>9.0070519999999998</v>
      </c>
      <c r="AE33">
        <v>8.9956340000000008</v>
      </c>
      <c r="AF33">
        <v>8.9924300000000006</v>
      </c>
      <c r="AG33">
        <v>8.9909730000000003</v>
      </c>
      <c r="AH33">
        <v>9.0222990000000003</v>
      </c>
      <c r="AI33">
        <v>9.0395420000000009</v>
      </c>
      <c r="AJ33" s="9">
        <v>1E-3</v>
      </c>
    </row>
    <row r="34" spans="1:36" x14ac:dyDescent="0.75">
      <c r="A34" t="s">
        <v>1447</v>
      </c>
      <c r="B34" t="s">
        <v>1586</v>
      </c>
      <c r="C34" t="s">
        <v>1587</v>
      </c>
      <c r="D34" t="s">
        <v>1512</v>
      </c>
      <c r="F34">
        <v>5.269056</v>
      </c>
      <c r="G34">
        <v>5.0323599999999997</v>
      </c>
      <c r="H34">
        <v>4.6879999999999997</v>
      </c>
      <c r="I34">
        <v>4.3174679999999999</v>
      </c>
      <c r="J34">
        <v>4.135796</v>
      </c>
      <c r="K34">
        <v>4.0794309999999996</v>
      </c>
      <c r="L34">
        <v>4.1113629999999999</v>
      </c>
      <c r="M34">
        <v>4.275023</v>
      </c>
      <c r="N34">
        <v>4.428134</v>
      </c>
      <c r="O34">
        <v>4.5177440000000004</v>
      </c>
      <c r="P34">
        <v>4.5773539999999997</v>
      </c>
      <c r="Q34">
        <v>4.5768800000000001</v>
      </c>
      <c r="R34">
        <v>4.6773660000000001</v>
      </c>
      <c r="S34">
        <v>4.6825469999999996</v>
      </c>
      <c r="T34">
        <v>4.6090109999999997</v>
      </c>
      <c r="U34">
        <v>4.5562690000000003</v>
      </c>
      <c r="V34">
        <v>4.5549059999999999</v>
      </c>
      <c r="W34">
        <v>4.5776630000000003</v>
      </c>
      <c r="X34">
        <v>4.5991119999999999</v>
      </c>
      <c r="Y34">
        <v>4.6223780000000003</v>
      </c>
      <c r="Z34">
        <v>4.6788650000000001</v>
      </c>
      <c r="AA34">
        <v>4.6864309999999998</v>
      </c>
      <c r="AB34">
        <v>4.6209639999999998</v>
      </c>
      <c r="AC34">
        <v>4.584721</v>
      </c>
      <c r="AD34">
        <v>4.5089540000000001</v>
      </c>
      <c r="AE34">
        <v>4.4777050000000003</v>
      </c>
      <c r="AF34">
        <v>4.4585059999999999</v>
      </c>
      <c r="AG34">
        <v>4.4528239999999997</v>
      </c>
      <c r="AH34">
        <v>4.4633039999999999</v>
      </c>
      <c r="AI34">
        <v>4.471565</v>
      </c>
      <c r="AJ34" s="9">
        <v>-6.0000000000000001E-3</v>
      </c>
    </row>
    <row r="35" spans="1:36" x14ac:dyDescent="0.75">
      <c r="A35" t="s">
        <v>65</v>
      </c>
      <c r="B35" t="s">
        <v>1588</v>
      </c>
      <c r="C35" t="s">
        <v>1589</v>
      </c>
      <c r="D35" t="s">
        <v>1512</v>
      </c>
      <c r="F35">
        <v>15.22551</v>
      </c>
      <c r="G35">
        <v>15.189867</v>
      </c>
      <c r="H35">
        <v>14.413707</v>
      </c>
      <c r="I35">
        <v>13.82573</v>
      </c>
      <c r="J35">
        <v>13.402384</v>
      </c>
      <c r="K35">
        <v>13.030856</v>
      </c>
      <c r="L35">
        <v>12.741631</v>
      </c>
      <c r="M35">
        <v>12.603173</v>
      </c>
      <c r="N35">
        <v>12.474068000000001</v>
      </c>
      <c r="O35">
        <v>12.308930999999999</v>
      </c>
      <c r="P35">
        <v>12.141323</v>
      </c>
      <c r="Q35">
        <v>12.813326999999999</v>
      </c>
      <c r="R35">
        <v>12.722208</v>
      </c>
      <c r="S35">
        <v>12.575328000000001</v>
      </c>
      <c r="T35">
        <v>12.466469999999999</v>
      </c>
      <c r="U35">
        <v>12.278451</v>
      </c>
      <c r="V35">
        <v>12.158415</v>
      </c>
      <c r="W35">
        <v>12.07103</v>
      </c>
      <c r="X35">
        <v>11.987043999999999</v>
      </c>
      <c r="Y35">
        <v>11.964777</v>
      </c>
      <c r="Z35">
        <v>11.952209</v>
      </c>
      <c r="AA35">
        <v>11.886301</v>
      </c>
      <c r="AB35">
        <v>11.783961</v>
      </c>
      <c r="AC35">
        <v>11.709951999999999</v>
      </c>
      <c r="AD35">
        <v>11.603604000000001</v>
      </c>
      <c r="AE35">
        <v>11.546721</v>
      </c>
      <c r="AF35">
        <v>11.496274</v>
      </c>
      <c r="AG35">
        <v>11.448224</v>
      </c>
      <c r="AH35">
        <v>11.422692</v>
      </c>
      <c r="AI35">
        <v>11.379571</v>
      </c>
      <c r="AJ35" s="9">
        <v>-0.01</v>
      </c>
    </row>
    <row r="36" spans="1:36" x14ac:dyDescent="0.75">
      <c r="A36" t="s">
        <v>1446</v>
      </c>
      <c r="B36" t="s">
        <v>1590</v>
      </c>
      <c r="C36" t="s">
        <v>1591</v>
      </c>
      <c r="D36" t="s">
        <v>1512</v>
      </c>
      <c r="F36">
        <v>5.3328569999999997</v>
      </c>
      <c r="G36">
        <v>4.1786479999999999</v>
      </c>
      <c r="H36">
        <v>3.8859050000000002</v>
      </c>
      <c r="I36">
        <v>3.547021</v>
      </c>
      <c r="J36">
        <v>3.377793</v>
      </c>
      <c r="K36">
        <v>3.3424209999999999</v>
      </c>
      <c r="L36">
        <v>3.3817219999999999</v>
      </c>
      <c r="M36">
        <v>3.5565630000000001</v>
      </c>
      <c r="N36">
        <v>3.6888589999999999</v>
      </c>
      <c r="O36">
        <v>3.7638340000000001</v>
      </c>
      <c r="P36">
        <v>3.8078729999999998</v>
      </c>
      <c r="Q36">
        <v>3.82572</v>
      </c>
      <c r="R36">
        <v>3.921008</v>
      </c>
      <c r="S36">
        <v>3.9041769999999998</v>
      </c>
      <c r="T36">
        <v>3.798467</v>
      </c>
      <c r="U36">
        <v>3.7502710000000001</v>
      </c>
      <c r="V36">
        <v>3.7447689999999998</v>
      </c>
      <c r="W36">
        <v>3.7679390000000001</v>
      </c>
      <c r="X36">
        <v>3.7935089999999998</v>
      </c>
      <c r="Y36">
        <v>3.8296790000000001</v>
      </c>
      <c r="Z36">
        <v>3.882215</v>
      </c>
      <c r="AA36">
        <v>3.8812389999999999</v>
      </c>
      <c r="AB36">
        <v>3.8030529999999998</v>
      </c>
      <c r="AC36">
        <v>3.7650030000000001</v>
      </c>
      <c r="AD36">
        <v>3.692361</v>
      </c>
      <c r="AE36">
        <v>3.6663199999999998</v>
      </c>
      <c r="AF36">
        <v>3.6504379999999998</v>
      </c>
      <c r="AG36">
        <v>3.6544240000000001</v>
      </c>
      <c r="AH36">
        <v>3.6603500000000002</v>
      </c>
      <c r="AI36">
        <v>3.687017</v>
      </c>
      <c r="AJ36" s="9">
        <v>-1.2999999999999999E-2</v>
      </c>
    </row>
    <row r="37" spans="1:36" x14ac:dyDescent="0.75">
      <c r="A37" t="s">
        <v>1445</v>
      </c>
      <c r="B37" t="s">
        <v>1592</v>
      </c>
      <c r="C37" t="s">
        <v>1593</v>
      </c>
      <c r="D37" t="s">
        <v>1512</v>
      </c>
      <c r="F37">
        <v>6.9759460000000004</v>
      </c>
      <c r="G37">
        <v>6.6352909999999996</v>
      </c>
      <c r="H37">
        <v>6.2298390000000001</v>
      </c>
      <c r="I37">
        <v>5.8627140000000004</v>
      </c>
      <c r="J37">
        <v>5.6907709999999998</v>
      </c>
      <c r="K37">
        <v>5.630795</v>
      </c>
      <c r="L37">
        <v>5.6567980000000002</v>
      </c>
      <c r="M37">
        <v>5.7990690000000003</v>
      </c>
      <c r="N37">
        <v>5.9535470000000004</v>
      </c>
      <c r="O37">
        <v>6.0531079999999999</v>
      </c>
      <c r="P37">
        <v>6.1257080000000004</v>
      </c>
      <c r="Q37">
        <v>6.2277050000000003</v>
      </c>
      <c r="R37">
        <v>6.3160069999999999</v>
      </c>
      <c r="S37">
        <v>6.3439779999999999</v>
      </c>
      <c r="T37">
        <v>6.3016649999999998</v>
      </c>
      <c r="U37">
        <v>6.2640909999999996</v>
      </c>
      <c r="V37">
        <v>6.2593949999999996</v>
      </c>
      <c r="W37">
        <v>6.2681370000000003</v>
      </c>
      <c r="X37">
        <v>6.2780110000000002</v>
      </c>
      <c r="Y37">
        <v>6.2927070000000001</v>
      </c>
      <c r="Z37">
        <v>6.3449989999999996</v>
      </c>
      <c r="AA37">
        <v>6.332001</v>
      </c>
      <c r="AB37">
        <v>6.253158</v>
      </c>
      <c r="AC37">
        <v>6.2136670000000001</v>
      </c>
      <c r="AD37">
        <v>6.1424620000000001</v>
      </c>
      <c r="AE37">
        <v>6.1050120000000003</v>
      </c>
      <c r="AF37">
        <v>6.0776450000000004</v>
      </c>
      <c r="AG37">
        <v>6.0640499999999999</v>
      </c>
      <c r="AH37">
        <v>6.0674970000000004</v>
      </c>
      <c r="AI37">
        <v>6.0641800000000003</v>
      </c>
      <c r="AJ37" s="9">
        <v>-5.0000000000000001E-3</v>
      </c>
    </row>
    <row r="38" spans="1:36" x14ac:dyDescent="0.75">
      <c r="A38" t="s">
        <v>1454</v>
      </c>
      <c r="C38" t="s">
        <v>1511</v>
      </c>
    </row>
    <row r="39" spans="1:36" x14ac:dyDescent="0.75">
      <c r="A39" t="s">
        <v>1453</v>
      </c>
      <c r="B39" t="s">
        <v>1580</v>
      </c>
      <c r="C39" t="s">
        <v>1594</v>
      </c>
      <c r="D39" t="s">
        <v>1452</v>
      </c>
      <c r="F39">
        <v>4.115437</v>
      </c>
      <c r="G39">
        <v>3.9611290000000001</v>
      </c>
      <c r="H39">
        <v>3.67353</v>
      </c>
      <c r="I39">
        <v>3.4075790000000001</v>
      </c>
      <c r="J39">
        <v>3.3212229999999998</v>
      </c>
      <c r="K39">
        <v>3.3800460000000001</v>
      </c>
      <c r="L39">
        <v>3.55681</v>
      </c>
      <c r="M39">
        <v>3.9095469999999999</v>
      </c>
      <c r="N39">
        <v>4.247153</v>
      </c>
      <c r="O39">
        <v>4.519075</v>
      </c>
      <c r="P39">
        <v>4.7598940000000001</v>
      </c>
      <c r="Q39">
        <v>4.9673059999999998</v>
      </c>
      <c r="R39">
        <v>5.2783959999999999</v>
      </c>
      <c r="S39">
        <v>5.4561140000000004</v>
      </c>
      <c r="T39">
        <v>5.5328049999999998</v>
      </c>
      <c r="U39">
        <v>5.6597249999999999</v>
      </c>
      <c r="V39">
        <v>5.8587119999999997</v>
      </c>
      <c r="W39">
        <v>6.1161620000000001</v>
      </c>
      <c r="X39">
        <v>6.3736819999999996</v>
      </c>
      <c r="Y39">
        <v>6.6530069999999997</v>
      </c>
      <c r="Z39">
        <v>6.9911810000000001</v>
      </c>
      <c r="AA39">
        <v>7.266311</v>
      </c>
      <c r="AB39">
        <v>7.3853030000000004</v>
      </c>
      <c r="AC39">
        <v>7.5735729999999997</v>
      </c>
      <c r="AD39">
        <v>7.6262499999999998</v>
      </c>
      <c r="AE39">
        <v>7.7810519999999999</v>
      </c>
      <c r="AF39">
        <v>7.9827640000000004</v>
      </c>
      <c r="AG39">
        <v>8.2286110000000008</v>
      </c>
      <c r="AH39">
        <v>8.5252770000000009</v>
      </c>
      <c r="AI39">
        <v>8.8140680000000007</v>
      </c>
      <c r="AJ39" s="9">
        <v>2.7E-2</v>
      </c>
    </row>
    <row r="40" spans="1:36" x14ac:dyDescent="0.75">
      <c r="A40" t="s">
        <v>1451</v>
      </c>
      <c r="C40" t="s">
        <v>1510</v>
      </c>
    </row>
    <row r="41" spans="1:36" x14ac:dyDescent="0.75">
      <c r="A41" t="s">
        <v>1450</v>
      </c>
      <c r="C41" t="s">
        <v>1509</v>
      </c>
    </row>
    <row r="42" spans="1:36" x14ac:dyDescent="0.75">
      <c r="A42" t="s">
        <v>1449</v>
      </c>
      <c r="B42" t="s">
        <v>1582</v>
      </c>
      <c r="C42" t="s">
        <v>1595</v>
      </c>
      <c r="D42" t="s">
        <v>1444</v>
      </c>
      <c r="F42">
        <v>12.171644000000001</v>
      </c>
      <c r="G42">
        <v>13.032427</v>
      </c>
      <c r="H42">
        <v>12.678345</v>
      </c>
      <c r="I42">
        <v>12.511969000000001</v>
      </c>
      <c r="J42">
        <v>12.5457</v>
      </c>
      <c r="K42">
        <v>12.753887000000001</v>
      </c>
      <c r="L42">
        <v>13.046851</v>
      </c>
      <c r="M42">
        <v>13.689635000000001</v>
      </c>
      <c r="N42">
        <v>14.386865999999999</v>
      </c>
      <c r="O42">
        <v>14.997185999999999</v>
      </c>
      <c r="P42">
        <v>15.628823000000001</v>
      </c>
      <c r="Q42">
        <v>16.627151000000001</v>
      </c>
      <c r="R42">
        <v>17.382442000000001</v>
      </c>
      <c r="S42">
        <v>18.047121000000001</v>
      </c>
      <c r="T42">
        <v>18.663485999999999</v>
      </c>
      <c r="U42">
        <v>19.252860999999999</v>
      </c>
      <c r="V42">
        <v>19.987069999999999</v>
      </c>
      <c r="W42">
        <v>20.739139999999999</v>
      </c>
      <c r="X42">
        <v>21.518059000000001</v>
      </c>
      <c r="Y42">
        <v>22.315857000000001</v>
      </c>
      <c r="Z42">
        <v>23.243590999999999</v>
      </c>
      <c r="AA42">
        <v>24.034658</v>
      </c>
      <c r="AB42">
        <v>24.779325</v>
      </c>
      <c r="AC42">
        <v>25.582144</v>
      </c>
      <c r="AD42">
        <v>26.372893999999999</v>
      </c>
      <c r="AE42">
        <v>27.250955999999999</v>
      </c>
      <c r="AF42">
        <v>28.174375999999999</v>
      </c>
      <c r="AG42">
        <v>29.1234</v>
      </c>
      <c r="AH42">
        <v>30.172592000000002</v>
      </c>
      <c r="AI42">
        <v>31.201681000000001</v>
      </c>
      <c r="AJ42" s="9">
        <v>3.3000000000000002E-2</v>
      </c>
    </row>
    <row r="43" spans="1:36" x14ac:dyDescent="0.75">
      <c r="A43" t="s">
        <v>1448</v>
      </c>
      <c r="B43" t="s">
        <v>1584</v>
      </c>
      <c r="C43" t="s">
        <v>1596</v>
      </c>
      <c r="D43" t="s">
        <v>1444</v>
      </c>
      <c r="F43">
        <v>8.7718389999999999</v>
      </c>
      <c r="G43">
        <v>9.4576080000000005</v>
      </c>
      <c r="H43">
        <v>9.3431180000000005</v>
      </c>
      <c r="I43">
        <v>9.2635539999999992</v>
      </c>
      <c r="J43">
        <v>9.3670209999999994</v>
      </c>
      <c r="K43">
        <v>9.6291469999999997</v>
      </c>
      <c r="L43">
        <v>9.9598099999999992</v>
      </c>
      <c r="M43">
        <v>10.470333</v>
      </c>
      <c r="N43">
        <v>11.023028999999999</v>
      </c>
      <c r="O43">
        <v>11.490159</v>
      </c>
      <c r="P43">
        <v>11.974144000000001</v>
      </c>
      <c r="Q43">
        <v>12.668225</v>
      </c>
      <c r="R43">
        <v>13.233478</v>
      </c>
      <c r="S43">
        <v>13.71979</v>
      </c>
      <c r="T43">
        <v>14.143641000000001</v>
      </c>
      <c r="U43">
        <v>14.555749</v>
      </c>
      <c r="V43">
        <v>15.103463</v>
      </c>
      <c r="W43">
        <v>15.665908</v>
      </c>
      <c r="X43">
        <v>16.251535000000001</v>
      </c>
      <c r="Y43">
        <v>16.848735999999999</v>
      </c>
      <c r="Z43">
        <v>17.565380000000001</v>
      </c>
      <c r="AA43">
        <v>18.138532999999999</v>
      </c>
      <c r="AB43">
        <v>18.659576000000001</v>
      </c>
      <c r="AC43">
        <v>19.237027999999999</v>
      </c>
      <c r="AD43">
        <v>19.797245</v>
      </c>
      <c r="AE43">
        <v>20.434460000000001</v>
      </c>
      <c r="AF43">
        <v>21.111115000000002</v>
      </c>
      <c r="AG43">
        <v>21.808311</v>
      </c>
      <c r="AH43">
        <v>22.599108000000001</v>
      </c>
      <c r="AI43">
        <v>23.368490000000001</v>
      </c>
      <c r="AJ43" s="9">
        <v>3.4000000000000002E-2</v>
      </c>
    </row>
    <row r="44" spans="1:36" x14ac:dyDescent="0.75">
      <c r="A44" t="s">
        <v>1447</v>
      </c>
      <c r="B44" t="s">
        <v>1586</v>
      </c>
      <c r="C44" t="s">
        <v>1597</v>
      </c>
      <c r="D44" t="s">
        <v>1444</v>
      </c>
      <c r="F44">
        <v>5.269056</v>
      </c>
      <c r="G44">
        <v>5.1944049999999997</v>
      </c>
      <c r="H44">
        <v>4.9613310000000004</v>
      </c>
      <c r="I44">
        <v>4.7054900000000002</v>
      </c>
      <c r="J44">
        <v>4.6503410000000001</v>
      </c>
      <c r="K44">
        <v>4.7433180000000004</v>
      </c>
      <c r="L44">
        <v>4.9494309999999997</v>
      </c>
      <c r="M44">
        <v>5.3292619999999999</v>
      </c>
      <c r="N44">
        <v>5.7125279999999998</v>
      </c>
      <c r="O44">
        <v>6.0242550000000001</v>
      </c>
      <c r="P44">
        <v>6.3071489999999999</v>
      </c>
      <c r="Q44">
        <v>6.5107920000000004</v>
      </c>
      <c r="R44">
        <v>6.8708600000000004</v>
      </c>
      <c r="S44">
        <v>7.1083530000000001</v>
      </c>
      <c r="T44">
        <v>7.235563</v>
      </c>
      <c r="U44">
        <v>7.3988449999999997</v>
      </c>
      <c r="V44">
        <v>7.6531159999999998</v>
      </c>
      <c r="W44">
        <v>7.9578100000000003</v>
      </c>
      <c r="X44">
        <v>8.2674780000000005</v>
      </c>
      <c r="Y44">
        <v>8.5957670000000004</v>
      </c>
      <c r="Z44">
        <v>8.9997109999999996</v>
      </c>
      <c r="AA44">
        <v>9.3244260000000008</v>
      </c>
      <c r="AB44">
        <v>9.5073500000000006</v>
      </c>
      <c r="AC44">
        <v>9.7504860000000004</v>
      </c>
      <c r="AD44">
        <v>9.9105519999999991</v>
      </c>
      <c r="AE44">
        <v>10.171543</v>
      </c>
      <c r="AF44">
        <v>10.467029999999999</v>
      </c>
      <c r="AG44">
        <v>10.800675</v>
      </c>
      <c r="AH44">
        <v>11.179709000000001</v>
      </c>
      <c r="AI44">
        <v>11.559625</v>
      </c>
      <c r="AJ44" s="9">
        <v>2.7E-2</v>
      </c>
    </row>
    <row r="45" spans="1:36" x14ac:dyDescent="0.75">
      <c r="A45" t="s">
        <v>65</v>
      </c>
      <c r="B45" t="s">
        <v>1588</v>
      </c>
      <c r="C45" t="s">
        <v>1598</v>
      </c>
      <c r="D45" t="s">
        <v>1444</v>
      </c>
      <c r="F45">
        <v>15.22551</v>
      </c>
      <c r="G45">
        <v>15.678991</v>
      </c>
      <c r="H45">
        <v>15.254087999999999</v>
      </c>
      <c r="I45">
        <v>15.068284</v>
      </c>
      <c r="J45">
        <v>15.06981</v>
      </c>
      <c r="K45">
        <v>15.151498</v>
      </c>
      <c r="L45">
        <v>15.33891</v>
      </c>
      <c r="M45">
        <v>15.711169</v>
      </c>
      <c r="N45">
        <v>16.092209</v>
      </c>
      <c r="O45">
        <v>16.413536000000001</v>
      </c>
      <c r="P45">
        <v>16.729562999999999</v>
      </c>
      <c r="Q45">
        <v>18.227459</v>
      </c>
      <c r="R45">
        <v>18.688402</v>
      </c>
      <c r="S45">
        <v>19.090012000000002</v>
      </c>
      <c r="T45">
        <v>19.570778000000001</v>
      </c>
      <c r="U45">
        <v>19.938759000000001</v>
      </c>
      <c r="V45">
        <v>20.428473</v>
      </c>
      <c r="W45">
        <v>20.984282</v>
      </c>
      <c r="X45">
        <v>21.548210000000001</v>
      </c>
      <c r="Y45">
        <v>22.249680000000001</v>
      </c>
      <c r="Z45">
        <v>22.989854999999999</v>
      </c>
      <c r="AA45">
        <v>23.649747999999999</v>
      </c>
      <c r="AB45">
        <v>24.244778</v>
      </c>
      <c r="AC45">
        <v>24.903967000000002</v>
      </c>
      <c r="AD45">
        <v>25.504393</v>
      </c>
      <c r="AE45">
        <v>26.229502</v>
      </c>
      <c r="AF45">
        <v>26.989277000000001</v>
      </c>
      <c r="AG45">
        <v>27.76857</v>
      </c>
      <c r="AH45">
        <v>28.611628</v>
      </c>
      <c r="AI45">
        <v>29.417795000000002</v>
      </c>
      <c r="AJ45" s="9">
        <v>2.3E-2</v>
      </c>
    </row>
    <row r="46" spans="1:36" x14ac:dyDescent="0.75">
      <c r="A46" t="s">
        <v>1446</v>
      </c>
      <c r="B46" t="s">
        <v>1590</v>
      </c>
      <c r="C46" t="s">
        <v>1599</v>
      </c>
      <c r="D46" t="s">
        <v>1444</v>
      </c>
      <c r="F46">
        <v>5.3328569999999997</v>
      </c>
      <c r="G46">
        <v>4.3132029999999997</v>
      </c>
      <c r="H46">
        <v>4.1124710000000002</v>
      </c>
      <c r="I46">
        <v>3.8658009999999998</v>
      </c>
      <c r="J46">
        <v>3.7980330000000002</v>
      </c>
      <c r="K46">
        <v>3.8863660000000002</v>
      </c>
      <c r="L46">
        <v>4.071059</v>
      </c>
      <c r="M46">
        <v>4.4336270000000004</v>
      </c>
      <c r="N46">
        <v>4.7588229999999996</v>
      </c>
      <c r="O46">
        <v>5.0189430000000002</v>
      </c>
      <c r="P46">
        <v>5.24688</v>
      </c>
      <c r="Q46">
        <v>5.4422360000000003</v>
      </c>
      <c r="R46">
        <v>5.7598000000000003</v>
      </c>
      <c r="S46">
        <v>5.9267469999999998</v>
      </c>
      <c r="T46">
        <v>5.9631119999999997</v>
      </c>
      <c r="U46">
        <v>6.0899989999999997</v>
      </c>
      <c r="V46">
        <v>6.2919309999999999</v>
      </c>
      <c r="W46">
        <v>6.5501870000000002</v>
      </c>
      <c r="X46">
        <v>6.8193070000000002</v>
      </c>
      <c r="Y46">
        <v>7.1216650000000001</v>
      </c>
      <c r="Z46">
        <v>7.4673699999999998</v>
      </c>
      <c r="AA46">
        <v>7.7223620000000004</v>
      </c>
      <c r="AB46">
        <v>7.8245490000000002</v>
      </c>
      <c r="AC46">
        <v>8.0071650000000005</v>
      </c>
      <c r="AD46">
        <v>8.1157039999999991</v>
      </c>
      <c r="AE46">
        <v>8.3284029999999998</v>
      </c>
      <c r="AF46">
        <v>8.5699649999999998</v>
      </c>
      <c r="AG46">
        <v>8.8640930000000004</v>
      </c>
      <c r="AH46">
        <v>9.1684660000000004</v>
      </c>
      <c r="AI46">
        <v>9.5314580000000007</v>
      </c>
      <c r="AJ46" s="9">
        <v>0.02</v>
      </c>
    </row>
    <row r="47" spans="1:36" x14ac:dyDescent="0.75">
      <c r="A47" t="s">
        <v>1445</v>
      </c>
      <c r="B47" t="s">
        <v>1592</v>
      </c>
      <c r="C47" t="s">
        <v>1600</v>
      </c>
      <c r="D47" t="s">
        <v>1444</v>
      </c>
      <c r="F47">
        <v>6.9759460000000004</v>
      </c>
      <c r="G47">
        <v>6.8489519999999997</v>
      </c>
      <c r="H47">
        <v>6.5930660000000003</v>
      </c>
      <c r="I47">
        <v>6.3896110000000004</v>
      </c>
      <c r="J47">
        <v>6.3987749999999997</v>
      </c>
      <c r="K47">
        <v>6.5471510000000004</v>
      </c>
      <c r="L47">
        <v>6.8098910000000004</v>
      </c>
      <c r="M47">
        <v>7.2291449999999999</v>
      </c>
      <c r="N47">
        <v>7.6803910000000002</v>
      </c>
      <c r="O47">
        <v>8.0716110000000008</v>
      </c>
      <c r="P47">
        <v>8.4406300000000005</v>
      </c>
      <c r="Q47">
        <v>8.8591549999999994</v>
      </c>
      <c r="R47">
        <v>9.2779559999999996</v>
      </c>
      <c r="S47">
        <v>9.6304920000000003</v>
      </c>
      <c r="T47">
        <v>9.8928159999999998</v>
      </c>
      <c r="U47">
        <v>10.172147000000001</v>
      </c>
      <c r="V47">
        <v>10.516985</v>
      </c>
      <c r="W47">
        <v>10.89653</v>
      </c>
      <c r="X47">
        <v>11.28551</v>
      </c>
      <c r="Y47">
        <v>11.701908</v>
      </c>
      <c r="Z47">
        <v>12.204488</v>
      </c>
      <c r="AA47">
        <v>12.598556</v>
      </c>
      <c r="AB47">
        <v>12.865489</v>
      </c>
      <c r="AC47">
        <v>13.214824999999999</v>
      </c>
      <c r="AD47">
        <v>13.500958000000001</v>
      </c>
      <c r="AE47">
        <v>13.868131</v>
      </c>
      <c r="AF47">
        <v>14.268209000000001</v>
      </c>
      <c r="AG47">
        <v>14.708831</v>
      </c>
      <c r="AH47">
        <v>15.197901999999999</v>
      </c>
      <c r="AI47">
        <v>15.67676</v>
      </c>
      <c r="AJ47" s="9">
        <v>2.8000000000000001E-2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6DE3-6323-435E-9A59-2195085D1F12}">
  <dimension ref="A1:AK47"/>
  <sheetViews>
    <sheetView workbookViewId="0"/>
  </sheetViews>
  <sheetFormatPr defaultRowHeight="14.75" x14ac:dyDescent="0.75"/>
  <cols>
    <col min="1" max="1" width="33.40625" customWidth="1"/>
    <col min="2" max="2" width="45.7265625" customWidth="1"/>
  </cols>
  <sheetData>
    <row r="1" spans="1:35" x14ac:dyDescent="0.75">
      <c r="A1" t="s">
        <v>1473</v>
      </c>
    </row>
    <row r="2" spans="1:35" x14ac:dyDescent="0.75">
      <c r="A2" t="s">
        <v>1657</v>
      </c>
    </row>
    <row r="3" spans="1:35" x14ac:dyDescent="0.75">
      <c r="A3" t="s">
        <v>1658</v>
      </c>
    </row>
    <row r="4" spans="1:35" x14ac:dyDescent="0.75">
      <c r="A4" t="s">
        <v>1391</v>
      </c>
    </row>
    <row r="5" spans="1:35" x14ac:dyDescent="0.75">
      <c r="B5" t="s">
        <v>1392</v>
      </c>
      <c r="C5" t="s">
        <v>1393</v>
      </c>
      <c r="D5" t="s">
        <v>1394</v>
      </c>
      <c r="E5">
        <v>2021</v>
      </c>
      <c r="F5">
        <v>2022</v>
      </c>
      <c r="G5">
        <v>2023</v>
      </c>
      <c r="H5">
        <v>2024</v>
      </c>
      <c r="I5">
        <v>2025</v>
      </c>
      <c r="J5">
        <v>2026</v>
      </c>
      <c r="K5">
        <v>2027</v>
      </c>
      <c r="L5">
        <v>2028</v>
      </c>
      <c r="M5">
        <v>2029</v>
      </c>
      <c r="N5">
        <v>2030</v>
      </c>
      <c r="O5">
        <v>2031</v>
      </c>
      <c r="P5">
        <v>2032</v>
      </c>
      <c r="Q5">
        <v>2033</v>
      </c>
      <c r="R5">
        <v>2034</v>
      </c>
      <c r="S5">
        <v>2035</v>
      </c>
      <c r="T5">
        <v>2036</v>
      </c>
      <c r="U5">
        <v>2037</v>
      </c>
      <c r="V5">
        <v>2038</v>
      </c>
      <c r="W5">
        <v>2039</v>
      </c>
      <c r="X5">
        <v>2040</v>
      </c>
      <c r="Y5">
        <v>2041</v>
      </c>
      <c r="Z5">
        <v>2042</v>
      </c>
      <c r="AA5">
        <v>2043</v>
      </c>
      <c r="AB5">
        <v>2044</v>
      </c>
      <c r="AC5">
        <v>2045</v>
      </c>
      <c r="AD5">
        <v>2046</v>
      </c>
      <c r="AE5">
        <v>2047</v>
      </c>
      <c r="AF5">
        <v>2048</v>
      </c>
      <c r="AG5">
        <v>2049</v>
      </c>
      <c r="AH5">
        <v>2050</v>
      </c>
      <c r="AI5" t="s">
        <v>1628</v>
      </c>
    </row>
    <row r="6" spans="1:35" x14ac:dyDescent="0.75">
      <c r="A6" t="s">
        <v>1471</v>
      </c>
    </row>
    <row r="7" spans="1:35" x14ac:dyDescent="0.75">
      <c r="A7" t="s">
        <v>1470</v>
      </c>
      <c r="B7" t="s">
        <v>1659</v>
      </c>
      <c r="C7" t="s">
        <v>1660</v>
      </c>
      <c r="D7" t="s">
        <v>1397</v>
      </c>
      <c r="F7">
        <v>36.465069</v>
      </c>
      <c r="G7">
        <v>36.485850999999997</v>
      </c>
      <c r="H7">
        <v>35.567017</v>
      </c>
      <c r="I7">
        <v>35.725479</v>
      </c>
      <c r="J7">
        <v>36.183467999999998</v>
      </c>
      <c r="K7">
        <v>36.136150000000001</v>
      </c>
      <c r="L7">
        <v>36.437820000000002</v>
      </c>
      <c r="M7">
        <v>36.679687999999999</v>
      </c>
      <c r="N7">
        <v>37.035736</v>
      </c>
      <c r="O7">
        <v>37.466895999999998</v>
      </c>
      <c r="P7">
        <v>37.973098999999998</v>
      </c>
      <c r="Q7">
        <v>38.551032999999997</v>
      </c>
      <c r="R7">
        <v>39.045914000000003</v>
      </c>
      <c r="S7">
        <v>39.497391</v>
      </c>
      <c r="T7">
        <v>39.857360999999997</v>
      </c>
      <c r="U7">
        <v>40.219318000000001</v>
      </c>
      <c r="V7">
        <v>40.491047000000002</v>
      </c>
      <c r="W7">
        <v>40.733463</v>
      </c>
      <c r="X7">
        <v>40.870891999999998</v>
      </c>
      <c r="Y7">
        <v>40.989829999999998</v>
      </c>
      <c r="Z7">
        <v>41.164859999999997</v>
      </c>
      <c r="AA7">
        <v>41.277199000000003</v>
      </c>
      <c r="AB7">
        <v>41.354495999999997</v>
      </c>
      <c r="AC7">
        <v>41.505783000000001</v>
      </c>
      <c r="AD7">
        <v>41.340648999999999</v>
      </c>
      <c r="AE7">
        <v>41.544994000000003</v>
      </c>
      <c r="AF7">
        <v>41.613247000000001</v>
      </c>
      <c r="AG7">
        <v>41.692951000000001</v>
      </c>
      <c r="AH7">
        <v>42.065376000000001</v>
      </c>
      <c r="AI7" s="9">
        <v>5.0000000000000001E-3</v>
      </c>
    </row>
    <row r="8" spans="1:35" x14ac:dyDescent="0.75">
      <c r="A8" t="s">
        <v>1469</v>
      </c>
      <c r="B8" t="s">
        <v>1661</v>
      </c>
      <c r="C8" t="s">
        <v>1662</v>
      </c>
      <c r="D8" t="s">
        <v>1397</v>
      </c>
      <c r="F8">
        <v>6.6782999999999995E-2</v>
      </c>
      <c r="G8">
        <v>6.8294999999999995E-2</v>
      </c>
      <c r="H8">
        <v>6.7214999999999997E-2</v>
      </c>
      <c r="I8">
        <v>6.6133999999999998E-2</v>
      </c>
      <c r="J8">
        <v>6.5053E-2</v>
      </c>
      <c r="K8">
        <v>6.3973000000000002E-2</v>
      </c>
      <c r="L8">
        <v>6.2892000000000003E-2</v>
      </c>
      <c r="M8">
        <v>6.2892000000000003E-2</v>
      </c>
      <c r="N8">
        <v>6.2892000000000003E-2</v>
      </c>
      <c r="O8">
        <v>6.2892000000000003E-2</v>
      </c>
      <c r="P8">
        <v>6.2892000000000003E-2</v>
      </c>
      <c r="Q8">
        <v>6.2892000000000003E-2</v>
      </c>
      <c r="R8">
        <v>6.2892000000000003E-2</v>
      </c>
      <c r="S8">
        <v>6.2892000000000003E-2</v>
      </c>
      <c r="T8">
        <v>6.2892000000000003E-2</v>
      </c>
      <c r="U8">
        <v>6.2892000000000003E-2</v>
      </c>
      <c r="V8">
        <v>6.2892000000000003E-2</v>
      </c>
      <c r="W8">
        <v>6.2892000000000003E-2</v>
      </c>
      <c r="X8">
        <v>6.2892000000000003E-2</v>
      </c>
      <c r="Y8">
        <v>6.2892000000000003E-2</v>
      </c>
      <c r="Z8">
        <v>6.2892000000000003E-2</v>
      </c>
      <c r="AA8">
        <v>6.2892000000000003E-2</v>
      </c>
      <c r="AB8">
        <v>6.2892000000000003E-2</v>
      </c>
      <c r="AC8">
        <v>6.2892000000000003E-2</v>
      </c>
      <c r="AD8">
        <v>6.2892000000000003E-2</v>
      </c>
      <c r="AE8">
        <v>6.2892000000000003E-2</v>
      </c>
      <c r="AF8">
        <v>6.2892000000000003E-2</v>
      </c>
      <c r="AG8">
        <v>6.2892000000000003E-2</v>
      </c>
      <c r="AH8">
        <v>6.2892000000000003E-2</v>
      </c>
      <c r="AI8" s="9">
        <v>-2E-3</v>
      </c>
    </row>
    <row r="9" spans="1:35" x14ac:dyDescent="0.75">
      <c r="A9" t="s">
        <v>1406</v>
      </c>
      <c r="B9" t="s">
        <v>1663</v>
      </c>
      <c r="C9" t="s">
        <v>1664</v>
      </c>
      <c r="D9" t="s">
        <v>1397</v>
      </c>
      <c r="F9">
        <v>-4.1842490000000003</v>
      </c>
      <c r="G9">
        <v>-5.1350249999999997</v>
      </c>
      <c r="H9">
        <v>-5.4719150000000001</v>
      </c>
      <c r="I9">
        <v>-5.9691359999999998</v>
      </c>
      <c r="J9">
        <v>-6.5666890000000002</v>
      </c>
      <c r="K9">
        <v>-7.0504369999999996</v>
      </c>
      <c r="L9">
        <v>-7.5553910000000002</v>
      </c>
      <c r="M9">
        <v>-7.9422949999999997</v>
      </c>
      <c r="N9">
        <v>-8.5535910000000008</v>
      </c>
      <c r="O9">
        <v>-9.2534240000000008</v>
      </c>
      <c r="P9">
        <v>-9.8950410000000009</v>
      </c>
      <c r="Q9">
        <v>-10.548451</v>
      </c>
      <c r="R9">
        <v>-11.116963999999999</v>
      </c>
      <c r="S9">
        <v>-11.524032999999999</v>
      </c>
      <c r="T9">
        <v>-11.819523</v>
      </c>
      <c r="U9">
        <v>-12.03135</v>
      </c>
      <c r="V9">
        <v>-12.089127</v>
      </c>
      <c r="W9">
        <v>-12.149171000000001</v>
      </c>
      <c r="X9">
        <v>-12.05528</v>
      </c>
      <c r="Y9">
        <v>-12.019996000000001</v>
      </c>
      <c r="Z9">
        <v>-12.016218</v>
      </c>
      <c r="AA9">
        <v>-11.976196</v>
      </c>
      <c r="AB9">
        <v>-11.936413999999999</v>
      </c>
      <c r="AC9">
        <v>-11.84736</v>
      </c>
      <c r="AD9">
        <v>-11.800188</v>
      </c>
      <c r="AE9">
        <v>-11.753365000000001</v>
      </c>
      <c r="AF9">
        <v>-11.711053</v>
      </c>
      <c r="AG9">
        <v>-11.659772</v>
      </c>
      <c r="AH9">
        <v>-11.613860000000001</v>
      </c>
      <c r="AI9" s="9">
        <v>3.6999999999999998E-2</v>
      </c>
    </row>
    <row r="10" spans="1:35" x14ac:dyDescent="0.75">
      <c r="A10" t="s">
        <v>1468</v>
      </c>
      <c r="B10" t="s">
        <v>1665</v>
      </c>
      <c r="C10" t="s">
        <v>1666</v>
      </c>
      <c r="D10" t="s">
        <v>1397</v>
      </c>
      <c r="F10">
        <v>-0.25118099999999999</v>
      </c>
      <c r="G10">
        <v>-0.65653499999999998</v>
      </c>
      <c r="H10">
        <v>-0.92837000000000003</v>
      </c>
      <c r="I10">
        <v>-1.137381</v>
      </c>
      <c r="J10">
        <v>-1.2955350000000001</v>
      </c>
      <c r="K10">
        <v>-1.4180520000000001</v>
      </c>
      <c r="L10">
        <v>-1.615046</v>
      </c>
      <c r="M10">
        <v>-1.7166920000000001</v>
      </c>
      <c r="N10">
        <v>-1.7279880000000001</v>
      </c>
      <c r="O10">
        <v>-1.82782</v>
      </c>
      <c r="P10">
        <v>-1.8546959999999999</v>
      </c>
      <c r="Q10">
        <v>-1.922849</v>
      </c>
      <c r="R10">
        <v>-1.9913609999999999</v>
      </c>
      <c r="S10">
        <v>-2.0984289999999999</v>
      </c>
      <c r="T10">
        <v>-2.1791779999999998</v>
      </c>
      <c r="U10">
        <v>-2.2057470000000001</v>
      </c>
      <c r="V10">
        <v>-2.1635230000000001</v>
      </c>
      <c r="W10">
        <v>-2.2235670000000001</v>
      </c>
      <c r="X10">
        <v>-2.114935</v>
      </c>
      <c r="Y10">
        <v>-2.094392</v>
      </c>
      <c r="Z10">
        <v>-2.0906150000000001</v>
      </c>
      <c r="AA10">
        <v>-2.0505930000000001</v>
      </c>
      <c r="AB10">
        <v>-1.9960690000000001</v>
      </c>
      <c r="AC10">
        <v>-1.921756</v>
      </c>
      <c r="AD10">
        <v>-1.8745849999999999</v>
      </c>
      <c r="AE10">
        <v>-1.827761</v>
      </c>
      <c r="AF10">
        <v>-1.7707079999999999</v>
      </c>
      <c r="AG10">
        <v>-1.7341679999999999</v>
      </c>
      <c r="AH10">
        <v>-1.688256</v>
      </c>
      <c r="AI10" s="9">
        <v>7.0000000000000007E-2</v>
      </c>
    </row>
    <row r="11" spans="1:35" x14ac:dyDescent="0.75">
      <c r="A11" t="s">
        <v>1409</v>
      </c>
      <c r="B11" t="s">
        <v>1667</v>
      </c>
      <c r="C11" t="s">
        <v>1668</v>
      </c>
      <c r="D11" t="s">
        <v>1397</v>
      </c>
      <c r="F11">
        <v>-3.933068</v>
      </c>
      <c r="G11">
        <v>-4.4784899999999999</v>
      </c>
      <c r="H11">
        <v>-4.5435460000000001</v>
      </c>
      <c r="I11">
        <v>-4.8317550000000002</v>
      </c>
      <c r="J11">
        <v>-5.271153</v>
      </c>
      <c r="K11">
        <v>-5.6323850000000002</v>
      </c>
      <c r="L11">
        <v>-5.9403449999999998</v>
      </c>
      <c r="M11">
        <v>-6.2256030000000004</v>
      </c>
      <c r="N11">
        <v>-6.8256030000000001</v>
      </c>
      <c r="O11">
        <v>-7.4256029999999997</v>
      </c>
      <c r="P11">
        <v>-8.0403450000000003</v>
      </c>
      <c r="Q11">
        <v>-8.6256029999999999</v>
      </c>
      <c r="R11">
        <v>-9.1256029999999999</v>
      </c>
      <c r="S11">
        <v>-9.4256030000000006</v>
      </c>
      <c r="T11">
        <v>-9.6403459999999992</v>
      </c>
      <c r="U11">
        <v>-9.8256029999999992</v>
      </c>
      <c r="V11">
        <v>-9.9256030000000006</v>
      </c>
      <c r="W11">
        <v>-9.9256030000000006</v>
      </c>
      <c r="X11">
        <v>-9.9403450000000007</v>
      </c>
      <c r="Y11">
        <v>-9.9256030000000006</v>
      </c>
      <c r="Z11">
        <v>-9.9256030000000006</v>
      </c>
      <c r="AA11">
        <v>-9.9256030000000006</v>
      </c>
      <c r="AB11">
        <v>-9.9403450000000007</v>
      </c>
      <c r="AC11">
        <v>-9.9256030000000006</v>
      </c>
      <c r="AD11">
        <v>-9.9256030000000006</v>
      </c>
      <c r="AE11">
        <v>-9.9256030000000006</v>
      </c>
      <c r="AF11">
        <v>-9.9403450000000007</v>
      </c>
      <c r="AG11">
        <v>-9.9256030000000006</v>
      </c>
      <c r="AH11">
        <v>-9.9256030000000006</v>
      </c>
      <c r="AI11" s="9">
        <v>3.4000000000000002E-2</v>
      </c>
    </row>
    <row r="12" spans="1:35" x14ac:dyDescent="0.75">
      <c r="A12" t="s">
        <v>1467</v>
      </c>
      <c r="B12" t="s">
        <v>1669</v>
      </c>
      <c r="C12" t="s">
        <v>1670</v>
      </c>
      <c r="D12" t="s">
        <v>1397</v>
      </c>
      <c r="F12">
        <v>32.347602999999999</v>
      </c>
      <c r="G12">
        <v>31.419121000000001</v>
      </c>
      <c r="H12">
        <v>30.162315</v>
      </c>
      <c r="I12">
        <v>29.822479000000001</v>
      </c>
      <c r="J12">
        <v>29.681830999999999</v>
      </c>
      <c r="K12">
        <v>29.149685000000002</v>
      </c>
      <c r="L12">
        <v>28.945322000000001</v>
      </c>
      <c r="M12">
        <v>28.800284999999999</v>
      </c>
      <c r="N12">
        <v>28.545038000000002</v>
      </c>
      <c r="O12">
        <v>28.276364999999998</v>
      </c>
      <c r="P12">
        <v>28.140951000000001</v>
      </c>
      <c r="Q12">
        <v>28.065474999999999</v>
      </c>
      <c r="R12">
        <v>27.991841999999998</v>
      </c>
      <c r="S12">
        <v>28.036251</v>
      </c>
      <c r="T12">
        <v>28.100731</v>
      </c>
      <c r="U12">
        <v>28.250862000000001</v>
      </c>
      <c r="V12">
        <v>28.464812999999999</v>
      </c>
      <c r="W12">
        <v>28.647186000000001</v>
      </c>
      <c r="X12">
        <v>28.878506000000002</v>
      </c>
      <c r="Y12">
        <v>29.032726</v>
      </c>
      <c r="Z12">
        <v>29.211535000000001</v>
      </c>
      <c r="AA12">
        <v>29.363894999999999</v>
      </c>
      <c r="AB12">
        <v>29.480975999999998</v>
      </c>
      <c r="AC12">
        <v>29.721316999999999</v>
      </c>
      <c r="AD12">
        <v>29.603354</v>
      </c>
      <c r="AE12">
        <v>29.854523</v>
      </c>
      <c r="AF12">
        <v>29.965088000000002</v>
      </c>
      <c r="AG12">
        <v>30.096073000000001</v>
      </c>
      <c r="AH12">
        <v>30.514408</v>
      </c>
      <c r="AI12" s="9">
        <v>-2E-3</v>
      </c>
    </row>
    <row r="13" spans="1:35" x14ac:dyDescent="0.75">
      <c r="A13" t="s">
        <v>1466</v>
      </c>
      <c r="B13" t="s">
        <v>1671</v>
      </c>
      <c r="C13" t="s">
        <v>1672</v>
      </c>
      <c r="D13" t="s">
        <v>1397</v>
      </c>
      <c r="F13">
        <v>32.001899999999999</v>
      </c>
      <c r="G13">
        <v>30.834479999999999</v>
      </c>
      <c r="H13">
        <v>29.646107000000001</v>
      </c>
      <c r="I13">
        <v>29.365435000000002</v>
      </c>
      <c r="J13">
        <v>29.275120000000001</v>
      </c>
      <c r="K13">
        <v>28.788440999999999</v>
      </c>
      <c r="L13">
        <v>28.623919000000001</v>
      </c>
      <c r="M13">
        <v>28.478455</v>
      </c>
      <c r="N13">
        <v>28.230896000000001</v>
      </c>
      <c r="O13">
        <v>27.957972000000002</v>
      </c>
      <c r="P13">
        <v>27.826681000000001</v>
      </c>
      <c r="Q13">
        <v>27.740482</v>
      </c>
      <c r="R13">
        <v>27.671423000000001</v>
      </c>
      <c r="S13">
        <v>27.676506</v>
      </c>
      <c r="T13">
        <v>27.779485999999999</v>
      </c>
      <c r="U13">
        <v>27.932874999999999</v>
      </c>
      <c r="V13">
        <v>28.156765</v>
      </c>
      <c r="W13">
        <v>28.337157999999999</v>
      </c>
      <c r="X13">
        <v>28.564292999999999</v>
      </c>
      <c r="Y13">
        <v>28.715166</v>
      </c>
      <c r="Z13">
        <v>28.903845</v>
      </c>
      <c r="AA13">
        <v>29.067936</v>
      </c>
      <c r="AB13">
        <v>29.189126999999999</v>
      </c>
      <c r="AC13">
        <v>29.333629999999999</v>
      </c>
      <c r="AD13">
        <v>29.315384000000002</v>
      </c>
      <c r="AE13">
        <v>29.439484</v>
      </c>
      <c r="AF13">
        <v>29.640429000000001</v>
      </c>
      <c r="AG13">
        <v>29.790030999999999</v>
      </c>
      <c r="AH13">
        <v>30.009789999999999</v>
      </c>
      <c r="AI13" s="9">
        <v>-2E-3</v>
      </c>
    </row>
    <row r="14" spans="1:35" x14ac:dyDescent="0.75">
      <c r="A14" t="s">
        <v>1449</v>
      </c>
      <c r="B14" t="s">
        <v>1673</v>
      </c>
      <c r="C14" t="s">
        <v>1674</v>
      </c>
      <c r="D14" t="s">
        <v>1397</v>
      </c>
      <c r="F14">
        <v>4.9561029999999997</v>
      </c>
      <c r="G14">
        <v>4.9917720000000001</v>
      </c>
      <c r="H14">
        <v>4.758877</v>
      </c>
      <c r="I14">
        <v>4.7872579999999996</v>
      </c>
      <c r="J14">
        <v>4.8122470000000002</v>
      </c>
      <c r="K14">
        <v>4.8279750000000003</v>
      </c>
      <c r="L14">
        <v>4.8365629999999999</v>
      </c>
      <c r="M14">
        <v>4.8327400000000003</v>
      </c>
      <c r="N14">
        <v>4.8224020000000003</v>
      </c>
      <c r="O14">
        <v>4.8072210000000002</v>
      </c>
      <c r="P14">
        <v>4.7913579999999998</v>
      </c>
      <c r="Q14">
        <v>4.7834060000000003</v>
      </c>
      <c r="R14">
        <v>4.7723060000000004</v>
      </c>
      <c r="S14">
        <v>4.7619949999999998</v>
      </c>
      <c r="T14">
        <v>4.7541580000000003</v>
      </c>
      <c r="U14">
        <v>4.7474689999999997</v>
      </c>
      <c r="V14">
        <v>4.7390670000000004</v>
      </c>
      <c r="W14">
        <v>4.7331469999999998</v>
      </c>
      <c r="X14">
        <v>4.7283530000000003</v>
      </c>
      <c r="Y14">
        <v>4.7236710000000004</v>
      </c>
      <c r="Z14">
        <v>4.7199679999999997</v>
      </c>
      <c r="AA14">
        <v>4.7188530000000002</v>
      </c>
      <c r="AB14">
        <v>4.7201190000000004</v>
      </c>
      <c r="AC14">
        <v>4.7198039999999999</v>
      </c>
      <c r="AD14">
        <v>4.7126900000000003</v>
      </c>
      <c r="AE14">
        <v>4.7082360000000003</v>
      </c>
      <c r="AF14">
        <v>4.7073400000000003</v>
      </c>
      <c r="AG14">
        <v>4.7072669999999999</v>
      </c>
      <c r="AH14">
        <v>4.7053330000000004</v>
      </c>
      <c r="AI14" s="9">
        <v>-2E-3</v>
      </c>
    </row>
    <row r="15" spans="1:35" x14ac:dyDescent="0.75">
      <c r="A15" t="s">
        <v>1448</v>
      </c>
      <c r="B15" t="s">
        <v>1675</v>
      </c>
      <c r="C15" t="s">
        <v>1676</v>
      </c>
      <c r="D15" t="s">
        <v>1397</v>
      </c>
      <c r="F15">
        <v>3.4674529999999999</v>
      </c>
      <c r="G15">
        <v>3.474621</v>
      </c>
      <c r="H15">
        <v>3.3712550000000001</v>
      </c>
      <c r="I15">
        <v>3.4081760000000001</v>
      </c>
      <c r="J15">
        <v>3.4445709999999998</v>
      </c>
      <c r="K15">
        <v>3.4636659999999999</v>
      </c>
      <c r="L15">
        <v>3.4920990000000001</v>
      </c>
      <c r="M15">
        <v>3.5077729999999998</v>
      </c>
      <c r="N15">
        <v>3.518465</v>
      </c>
      <c r="O15">
        <v>3.5278529999999999</v>
      </c>
      <c r="P15">
        <v>3.534745</v>
      </c>
      <c r="Q15">
        <v>3.5353789999999998</v>
      </c>
      <c r="R15">
        <v>3.5333450000000002</v>
      </c>
      <c r="S15">
        <v>3.5297079999999998</v>
      </c>
      <c r="T15">
        <v>3.5273029999999999</v>
      </c>
      <c r="U15">
        <v>3.5233819999999998</v>
      </c>
      <c r="V15">
        <v>3.5144690000000001</v>
      </c>
      <c r="W15">
        <v>3.5077029999999998</v>
      </c>
      <c r="X15">
        <v>3.4992540000000001</v>
      </c>
      <c r="Y15">
        <v>3.490335</v>
      </c>
      <c r="Z15">
        <v>3.482872</v>
      </c>
      <c r="AA15">
        <v>3.47906</v>
      </c>
      <c r="AB15">
        <v>3.4784660000000001</v>
      </c>
      <c r="AC15">
        <v>3.4742989999999998</v>
      </c>
      <c r="AD15">
        <v>3.4632230000000002</v>
      </c>
      <c r="AE15">
        <v>3.4561980000000001</v>
      </c>
      <c r="AF15">
        <v>3.454088</v>
      </c>
      <c r="AG15">
        <v>3.4523999999999999</v>
      </c>
      <c r="AH15">
        <v>3.4477600000000002</v>
      </c>
      <c r="AI15" s="9">
        <v>0</v>
      </c>
    </row>
    <row r="16" spans="1:35" x14ac:dyDescent="0.75">
      <c r="A16" t="s">
        <v>1447</v>
      </c>
      <c r="B16" t="s">
        <v>1677</v>
      </c>
      <c r="C16" t="s">
        <v>1678</v>
      </c>
      <c r="D16" t="s">
        <v>1397</v>
      </c>
      <c r="F16">
        <v>10.480146</v>
      </c>
      <c r="G16">
        <v>10.226862000000001</v>
      </c>
      <c r="H16">
        <v>10.131637</v>
      </c>
      <c r="I16">
        <v>10.278058</v>
      </c>
      <c r="J16">
        <v>10.51756</v>
      </c>
      <c r="K16">
        <v>10.654901000000001</v>
      </c>
      <c r="L16">
        <v>10.790815</v>
      </c>
      <c r="M16">
        <v>10.848591000000001</v>
      </c>
      <c r="N16">
        <v>10.895127</v>
      </c>
      <c r="O16">
        <v>10.918685999999999</v>
      </c>
      <c r="P16">
        <v>10.984386000000001</v>
      </c>
      <c r="Q16">
        <v>11.023491</v>
      </c>
      <c r="R16">
        <v>11.092604</v>
      </c>
      <c r="S16">
        <v>11.149645</v>
      </c>
      <c r="T16">
        <v>11.237076</v>
      </c>
      <c r="U16">
        <v>11.30991</v>
      </c>
      <c r="V16">
        <v>11.372004</v>
      </c>
      <c r="W16">
        <v>11.465014</v>
      </c>
      <c r="X16">
        <v>11.521564</v>
      </c>
      <c r="Y16">
        <v>11.596119</v>
      </c>
      <c r="Z16">
        <v>11.678680999999999</v>
      </c>
      <c r="AA16">
        <v>11.764809</v>
      </c>
      <c r="AB16">
        <v>11.847436999999999</v>
      </c>
      <c r="AC16">
        <v>11.907819</v>
      </c>
      <c r="AD16">
        <v>11.919591</v>
      </c>
      <c r="AE16">
        <v>12.003325999999999</v>
      </c>
      <c r="AF16">
        <v>12.115173</v>
      </c>
      <c r="AG16">
        <v>12.20997</v>
      </c>
      <c r="AH16">
        <v>12.331113999999999</v>
      </c>
      <c r="AI16" s="9">
        <v>6.0000000000000001E-3</v>
      </c>
    </row>
    <row r="17" spans="1:37" x14ac:dyDescent="0.75">
      <c r="A17" t="s">
        <v>1465</v>
      </c>
      <c r="B17" t="s">
        <v>1679</v>
      </c>
      <c r="C17" t="s">
        <v>1680</v>
      </c>
      <c r="D17" t="s">
        <v>1397</v>
      </c>
      <c r="F17">
        <v>8.4954699999999992</v>
      </c>
      <c r="G17">
        <v>8.2087629999999994</v>
      </c>
      <c r="H17">
        <v>8.1244750000000003</v>
      </c>
      <c r="I17">
        <v>8.262086</v>
      </c>
      <c r="J17">
        <v>8.4730620000000005</v>
      </c>
      <c r="K17">
        <v>8.6099910000000008</v>
      </c>
      <c r="L17">
        <v>8.7149330000000003</v>
      </c>
      <c r="M17">
        <v>8.7678460000000005</v>
      </c>
      <c r="N17">
        <v>8.803032</v>
      </c>
      <c r="O17">
        <v>8.8149250000000006</v>
      </c>
      <c r="P17">
        <v>8.8521769999999993</v>
      </c>
      <c r="Q17">
        <v>8.8739659999999994</v>
      </c>
      <c r="R17">
        <v>8.9260380000000001</v>
      </c>
      <c r="S17">
        <v>8.9726379999999999</v>
      </c>
      <c r="T17">
        <v>9.0322809999999993</v>
      </c>
      <c r="U17">
        <v>9.0876640000000002</v>
      </c>
      <c r="V17">
        <v>9.1404879999999995</v>
      </c>
      <c r="W17">
        <v>9.2136840000000007</v>
      </c>
      <c r="X17">
        <v>9.2712249999999994</v>
      </c>
      <c r="Y17">
        <v>9.3436179999999993</v>
      </c>
      <c r="Z17">
        <v>9.4094460000000009</v>
      </c>
      <c r="AA17">
        <v>9.4784559999999995</v>
      </c>
      <c r="AB17">
        <v>9.5366320000000009</v>
      </c>
      <c r="AC17">
        <v>9.5889399999999991</v>
      </c>
      <c r="AD17">
        <v>9.5910580000000003</v>
      </c>
      <c r="AE17">
        <v>9.6733290000000007</v>
      </c>
      <c r="AF17">
        <v>9.7571980000000007</v>
      </c>
      <c r="AG17">
        <v>9.8375629999999994</v>
      </c>
      <c r="AH17">
        <v>9.9504780000000004</v>
      </c>
      <c r="AI17" s="9">
        <v>6.0000000000000001E-3</v>
      </c>
    </row>
    <row r="18" spans="1:37" x14ac:dyDescent="0.75">
      <c r="A18" t="s">
        <v>1464</v>
      </c>
      <c r="B18" t="s">
        <v>1681</v>
      </c>
      <c r="C18" t="s">
        <v>1682</v>
      </c>
      <c r="D18" t="s">
        <v>1397</v>
      </c>
      <c r="F18">
        <v>1.9846760000000001</v>
      </c>
      <c r="G18">
        <v>2.0180989999999999</v>
      </c>
      <c r="H18">
        <v>2.0071620000000001</v>
      </c>
      <c r="I18">
        <v>2.0159720000000001</v>
      </c>
      <c r="J18">
        <v>2.0444990000000001</v>
      </c>
      <c r="K18">
        <v>2.0449090000000001</v>
      </c>
      <c r="L18">
        <v>2.075882</v>
      </c>
      <c r="M18">
        <v>2.0807449999999998</v>
      </c>
      <c r="N18">
        <v>2.0920960000000002</v>
      </c>
      <c r="O18">
        <v>2.1037599999999999</v>
      </c>
      <c r="P18">
        <v>2.132209</v>
      </c>
      <c r="Q18">
        <v>2.149524</v>
      </c>
      <c r="R18">
        <v>2.1665649999999999</v>
      </c>
      <c r="S18">
        <v>2.1770070000000001</v>
      </c>
      <c r="T18">
        <v>2.2047949999999998</v>
      </c>
      <c r="U18">
        <v>2.2222460000000002</v>
      </c>
      <c r="V18">
        <v>2.2315160000000001</v>
      </c>
      <c r="W18">
        <v>2.2513290000000001</v>
      </c>
      <c r="X18">
        <v>2.25034</v>
      </c>
      <c r="Y18">
        <v>2.2524999999999999</v>
      </c>
      <c r="Z18">
        <v>2.2692359999999998</v>
      </c>
      <c r="AA18">
        <v>2.2863540000000002</v>
      </c>
      <c r="AB18">
        <v>2.3108050000000002</v>
      </c>
      <c r="AC18">
        <v>2.3188789999999999</v>
      </c>
      <c r="AD18">
        <v>2.3285330000000002</v>
      </c>
      <c r="AE18">
        <v>2.3299970000000001</v>
      </c>
      <c r="AF18">
        <v>2.3579750000000002</v>
      </c>
      <c r="AG18">
        <v>2.3724069999999999</v>
      </c>
      <c r="AH18">
        <v>2.3806370000000001</v>
      </c>
      <c r="AI18" s="9">
        <v>7.0000000000000001E-3</v>
      </c>
    </row>
    <row r="19" spans="1:37" x14ac:dyDescent="0.75">
      <c r="A19" t="s">
        <v>1462</v>
      </c>
      <c r="B19" t="s">
        <v>1683</v>
      </c>
      <c r="C19" t="s">
        <v>1684</v>
      </c>
      <c r="D19" t="s">
        <v>1397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1400</v>
      </c>
    </row>
    <row r="20" spans="1:37" x14ac:dyDescent="0.75">
      <c r="A20" t="s">
        <v>1461</v>
      </c>
      <c r="B20" t="s">
        <v>1685</v>
      </c>
      <c r="C20" t="s">
        <v>1686</v>
      </c>
      <c r="D20" t="s">
        <v>1397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1400</v>
      </c>
    </row>
    <row r="21" spans="1:37" x14ac:dyDescent="0.75">
      <c r="A21" t="s">
        <v>65</v>
      </c>
      <c r="B21" t="s">
        <v>1687</v>
      </c>
      <c r="C21" t="s">
        <v>1688</v>
      </c>
      <c r="D21" t="s">
        <v>1397</v>
      </c>
      <c r="F21">
        <v>1.298378</v>
      </c>
      <c r="G21">
        <v>1.266994</v>
      </c>
      <c r="H21">
        <v>1.225015</v>
      </c>
      <c r="I21">
        <v>1.2137420000000001</v>
      </c>
      <c r="J21">
        <v>1.23106</v>
      </c>
      <c r="K21">
        <v>1.2224950000000001</v>
      </c>
      <c r="L21">
        <v>1.2144429999999999</v>
      </c>
      <c r="M21">
        <v>1.239322</v>
      </c>
      <c r="N21">
        <v>1.28755</v>
      </c>
      <c r="O21">
        <v>1.338387</v>
      </c>
      <c r="P21">
        <v>1.3948780000000001</v>
      </c>
      <c r="Q21">
        <v>1.4512910000000001</v>
      </c>
      <c r="R21">
        <v>1.498329</v>
      </c>
      <c r="S21">
        <v>1.52884</v>
      </c>
      <c r="T21">
        <v>1.5520419999999999</v>
      </c>
      <c r="U21">
        <v>1.571726</v>
      </c>
      <c r="V21">
        <v>1.589475</v>
      </c>
      <c r="W21">
        <v>1.5961879999999999</v>
      </c>
      <c r="X21">
        <v>1.6129929999999999</v>
      </c>
      <c r="Y21">
        <v>1.6265970000000001</v>
      </c>
      <c r="Z21">
        <v>1.6409959999999999</v>
      </c>
      <c r="AA21">
        <v>1.6544049999999999</v>
      </c>
      <c r="AB21">
        <v>1.6699349999999999</v>
      </c>
      <c r="AC21">
        <v>1.683864</v>
      </c>
      <c r="AD21">
        <v>1.6975750000000001</v>
      </c>
      <c r="AE21">
        <v>1.718812</v>
      </c>
      <c r="AF21">
        <v>1.742685</v>
      </c>
      <c r="AG21">
        <v>1.7598689999999999</v>
      </c>
      <c r="AH21">
        <v>1.780975</v>
      </c>
      <c r="AI21" s="9">
        <v>1.0999999999999999E-2</v>
      </c>
    </row>
    <row r="22" spans="1:37" x14ac:dyDescent="0.75">
      <c r="A22" t="s">
        <v>1460</v>
      </c>
      <c r="B22" t="s">
        <v>1459</v>
      </c>
      <c r="C22" t="s">
        <v>1458</v>
      </c>
      <c r="D22" t="s">
        <v>1689</v>
      </c>
      <c r="E22" t="s">
        <v>1690</v>
      </c>
      <c r="F22" t="s">
        <v>1397</v>
      </c>
      <c r="H22">
        <v>0.10430399999999999</v>
      </c>
      <c r="I22">
        <v>0.111244</v>
      </c>
      <c r="J22">
        <v>0.120881</v>
      </c>
      <c r="K22">
        <v>0.118723</v>
      </c>
      <c r="L22">
        <v>0.12970000000000001</v>
      </c>
      <c r="M22">
        <v>0.13169600000000001</v>
      </c>
      <c r="N22">
        <v>0.13677900000000001</v>
      </c>
      <c r="O22">
        <v>0.140379</v>
      </c>
      <c r="P22">
        <v>0.14166200000000001</v>
      </c>
      <c r="Q22">
        <v>0.142376</v>
      </c>
      <c r="R22">
        <v>0.14341499999999999</v>
      </c>
      <c r="S22">
        <v>0.144205</v>
      </c>
      <c r="T22">
        <v>0.146421</v>
      </c>
      <c r="U22">
        <v>0.15001800000000001</v>
      </c>
      <c r="V22">
        <v>0.15531900000000001</v>
      </c>
      <c r="W22">
        <v>0.160994</v>
      </c>
      <c r="X22">
        <v>0.16595399999999999</v>
      </c>
      <c r="Y22">
        <v>0.173789</v>
      </c>
      <c r="Z22">
        <v>0.180587</v>
      </c>
      <c r="AA22">
        <v>0.189002</v>
      </c>
      <c r="AB22">
        <v>0.19786599999999999</v>
      </c>
      <c r="AC22">
        <v>0.20854800000000001</v>
      </c>
      <c r="AD22">
        <v>0.21892900000000001</v>
      </c>
      <c r="AE22">
        <v>0.23009099999999999</v>
      </c>
      <c r="AF22">
        <v>0.23866200000000001</v>
      </c>
      <c r="AG22">
        <v>0.25256800000000001</v>
      </c>
      <c r="AH22">
        <v>0.268154</v>
      </c>
      <c r="AI22">
        <v>0.28422599999999998</v>
      </c>
      <c r="AJ22">
        <v>0.30061199999999999</v>
      </c>
      <c r="AK22" s="9">
        <v>3.9E-2</v>
      </c>
    </row>
    <row r="23" spans="1:37" x14ac:dyDescent="0.75">
      <c r="A23" t="s">
        <v>1457</v>
      </c>
      <c r="B23" t="s">
        <v>1691</v>
      </c>
      <c r="C23" t="s">
        <v>1692</v>
      </c>
      <c r="D23" t="s">
        <v>1397</v>
      </c>
      <c r="F23">
        <v>0.87341599999999997</v>
      </c>
      <c r="G23">
        <v>0.79126600000000002</v>
      </c>
      <c r="H23">
        <v>0.73383100000000001</v>
      </c>
      <c r="I23">
        <v>0.70082199999999994</v>
      </c>
      <c r="J23">
        <v>0.67102200000000001</v>
      </c>
      <c r="K23">
        <v>0.63065099999999996</v>
      </c>
      <c r="L23">
        <v>0.59202299999999997</v>
      </c>
      <c r="M23">
        <v>0.59019600000000005</v>
      </c>
      <c r="N23">
        <v>0.58853999999999995</v>
      </c>
      <c r="O23">
        <v>0.59006400000000003</v>
      </c>
      <c r="P23">
        <v>0.59572199999999997</v>
      </c>
      <c r="Q23">
        <v>0.603939</v>
      </c>
      <c r="R23">
        <v>0.60826100000000005</v>
      </c>
      <c r="S23">
        <v>0.61087499999999995</v>
      </c>
      <c r="T23">
        <v>0.61138199999999998</v>
      </c>
      <c r="U23">
        <v>0.61038400000000004</v>
      </c>
      <c r="V23">
        <v>0.61507400000000001</v>
      </c>
      <c r="W23">
        <v>0.61395200000000005</v>
      </c>
      <c r="X23">
        <v>0.62276500000000001</v>
      </c>
      <c r="Y23">
        <v>0.62914800000000004</v>
      </c>
      <c r="Z23">
        <v>0.634683</v>
      </c>
      <c r="AA23">
        <v>0.63741000000000003</v>
      </c>
      <c r="AB23">
        <v>0.64136400000000005</v>
      </c>
      <c r="AC23">
        <v>0.64532599999999996</v>
      </c>
      <c r="AD23">
        <v>0.65046599999999999</v>
      </c>
      <c r="AE23">
        <v>0.65779600000000005</v>
      </c>
      <c r="AF23">
        <v>0.66488999999999998</v>
      </c>
      <c r="AG23">
        <v>0.66719600000000001</v>
      </c>
      <c r="AH23">
        <v>0.67191599999999996</v>
      </c>
      <c r="AI23" s="9">
        <v>-8.9999999999999993E-3</v>
      </c>
    </row>
    <row r="24" spans="1:37" x14ac:dyDescent="0.75">
      <c r="A24" t="s">
        <v>1463</v>
      </c>
      <c r="B24" t="s">
        <v>1693</v>
      </c>
      <c r="C24" t="s">
        <v>1694</v>
      </c>
      <c r="D24" t="s">
        <v>1397</v>
      </c>
      <c r="F24">
        <v>0.32065900000000003</v>
      </c>
      <c r="G24">
        <v>0.364485</v>
      </c>
      <c r="H24">
        <v>0.37030299999999999</v>
      </c>
      <c r="I24">
        <v>0.39419799999999999</v>
      </c>
      <c r="J24">
        <v>0.430338</v>
      </c>
      <c r="K24">
        <v>0.46014699999999997</v>
      </c>
      <c r="L24">
        <v>0.48564099999999999</v>
      </c>
      <c r="M24">
        <v>0.50874699999999995</v>
      </c>
      <c r="N24">
        <v>0.55734700000000004</v>
      </c>
      <c r="O24">
        <v>0.60594700000000001</v>
      </c>
      <c r="P24">
        <v>0.65574100000000002</v>
      </c>
      <c r="Q24">
        <v>0.70314699999999997</v>
      </c>
      <c r="R24">
        <v>0.74364699999999995</v>
      </c>
      <c r="S24">
        <v>0.76794700000000005</v>
      </c>
      <c r="T24">
        <v>0.78534099999999996</v>
      </c>
      <c r="U24">
        <v>0.80034700000000003</v>
      </c>
      <c r="V24">
        <v>0.80844700000000003</v>
      </c>
      <c r="W24">
        <v>0.80844700000000003</v>
      </c>
      <c r="X24">
        <v>0.80964100000000006</v>
      </c>
      <c r="Y24">
        <v>0.80844700000000003</v>
      </c>
      <c r="Z24">
        <v>0.80844700000000003</v>
      </c>
      <c r="AA24">
        <v>0.80844700000000003</v>
      </c>
      <c r="AB24">
        <v>0.80964100000000006</v>
      </c>
      <c r="AC24">
        <v>0.80844700000000003</v>
      </c>
      <c r="AD24">
        <v>0.80844700000000003</v>
      </c>
      <c r="AE24">
        <v>0.80844700000000003</v>
      </c>
      <c r="AF24">
        <v>0.80964100000000006</v>
      </c>
      <c r="AG24">
        <v>0.80844700000000003</v>
      </c>
      <c r="AH24">
        <v>0.80844700000000003</v>
      </c>
      <c r="AI24" s="9">
        <v>3.4000000000000002E-2</v>
      </c>
    </row>
    <row r="25" spans="1:37" x14ac:dyDescent="0.75">
      <c r="A25" t="s">
        <v>1446</v>
      </c>
      <c r="B25" t="s">
        <v>1695</v>
      </c>
      <c r="C25" t="s">
        <v>1696</v>
      </c>
      <c r="D25" t="s">
        <v>1397</v>
      </c>
      <c r="F25">
        <v>11.799821</v>
      </c>
      <c r="G25">
        <v>10.874231</v>
      </c>
      <c r="H25">
        <v>10.159319999999999</v>
      </c>
      <c r="I25">
        <v>9.6781989999999993</v>
      </c>
      <c r="J25">
        <v>9.2696810000000003</v>
      </c>
      <c r="K25">
        <v>8.6194039999999994</v>
      </c>
      <c r="L25">
        <v>8.2899960000000004</v>
      </c>
      <c r="M25">
        <v>8.050027</v>
      </c>
      <c r="N25">
        <v>7.7073530000000003</v>
      </c>
      <c r="O25">
        <v>7.3658239999999999</v>
      </c>
      <c r="P25">
        <v>7.1213139999999999</v>
      </c>
      <c r="Q25">
        <v>6.9469130000000003</v>
      </c>
      <c r="R25">
        <v>6.7748400000000002</v>
      </c>
      <c r="S25">
        <v>6.7063189999999997</v>
      </c>
      <c r="T25">
        <v>6.7089059999999998</v>
      </c>
      <c r="U25">
        <v>6.7803899999999997</v>
      </c>
      <c r="V25">
        <v>6.9417489999999997</v>
      </c>
      <c r="W25">
        <v>7.035107</v>
      </c>
      <c r="X25">
        <v>7.2021280000000001</v>
      </c>
      <c r="Y25">
        <v>7.2784449999999996</v>
      </c>
      <c r="Z25">
        <v>7.3813269999999997</v>
      </c>
      <c r="AA25">
        <v>7.4508099999999997</v>
      </c>
      <c r="AB25">
        <v>7.4731680000000003</v>
      </c>
      <c r="AC25">
        <v>7.5478430000000003</v>
      </c>
      <c r="AD25">
        <v>7.5223040000000001</v>
      </c>
      <c r="AE25">
        <v>7.5529130000000002</v>
      </c>
      <c r="AF25">
        <v>7.6211409999999997</v>
      </c>
      <c r="AG25">
        <v>7.6605249999999998</v>
      </c>
      <c r="AH25">
        <v>7.7446089999999996</v>
      </c>
      <c r="AI25" s="9">
        <v>-1.4999999999999999E-2</v>
      </c>
    </row>
    <row r="26" spans="1:37" x14ac:dyDescent="0.75">
      <c r="A26" t="s">
        <v>1456</v>
      </c>
      <c r="B26" t="s">
        <v>1697</v>
      </c>
      <c r="C26" t="s">
        <v>1698</v>
      </c>
      <c r="D26" t="s">
        <v>1397</v>
      </c>
      <c r="F26">
        <v>0.34570299999999998</v>
      </c>
      <c r="G26">
        <v>0.58464099999999997</v>
      </c>
      <c r="H26">
        <v>0.51620900000000003</v>
      </c>
      <c r="I26">
        <v>0.45704499999999998</v>
      </c>
      <c r="J26">
        <v>0.40671200000000002</v>
      </c>
      <c r="K26">
        <v>0.36124400000000001</v>
      </c>
      <c r="L26">
        <v>0.32140400000000002</v>
      </c>
      <c r="M26">
        <v>0.32183099999999998</v>
      </c>
      <c r="N26">
        <v>0.31414199999999998</v>
      </c>
      <c r="O26">
        <v>0.31839400000000001</v>
      </c>
      <c r="P26">
        <v>0.31426999999999999</v>
      </c>
      <c r="Q26">
        <v>0.32499299999999998</v>
      </c>
      <c r="R26">
        <v>0.32041900000000001</v>
      </c>
      <c r="S26">
        <v>0.35974499999999998</v>
      </c>
      <c r="T26">
        <v>0.321245</v>
      </c>
      <c r="U26">
        <v>0.31798700000000002</v>
      </c>
      <c r="V26">
        <v>0.30804799999999999</v>
      </c>
      <c r="W26">
        <v>0.31002800000000003</v>
      </c>
      <c r="X26">
        <v>0.31421300000000002</v>
      </c>
      <c r="Y26">
        <v>0.31756000000000001</v>
      </c>
      <c r="Z26">
        <v>0.30769000000000002</v>
      </c>
      <c r="AA26">
        <v>0.29595900000000003</v>
      </c>
      <c r="AB26">
        <v>0.29184900000000003</v>
      </c>
      <c r="AC26">
        <v>0.38768799999999998</v>
      </c>
      <c r="AD26">
        <v>0.28797</v>
      </c>
      <c r="AE26">
        <v>0.41503899999999999</v>
      </c>
      <c r="AF26">
        <v>0.32465899999999998</v>
      </c>
      <c r="AG26">
        <v>0.30604199999999998</v>
      </c>
      <c r="AH26">
        <v>0.50461800000000001</v>
      </c>
      <c r="AI26" t="s">
        <v>1400</v>
      </c>
    </row>
    <row r="27" spans="1:37" x14ac:dyDescent="0.75">
      <c r="A27" t="s">
        <v>1455</v>
      </c>
    </row>
    <row r="28" spans="1:37" x14ac:dyDescent="0.75">
      <c r="A28" t="s">
        <v>1454</v>
      </c>
    </row>
    <row r="29" spans="1:37" s="40" customFormat="1" x14ac:dyDescent="0.75">
      <c r="A29" s="40" t="s">
        <v>1629</v>
      </c>
      <c r="B29" s="40" t="s">
        <v>1699</v>
      </c>
      <c r="C29" s="40" t="s">
        <v>1700</v>
      </c>
      <c r="D29" s="40" t="s">
        <v>1630</v>
      </c>
      <c r="F29" s="40">
        <v>6.5239969999999996</v>
      </c>
      <c r="G29" s="40">
        <v>5.2663760000000002</v>
      </c>
      <c r="H29" s="40">
        <v>4.072381</v>
      </c>
      <c r="I29" s="40">
        <v>3.4895139999999998</v>
      </c>
      <c r="J29" s="40">
        <v>3.0655079999999999</v>
      </c>
      <c r="K29" s="40">
        <v>2.8530009999999999</v>
      </c>
      <c r="L29" s="40">
        <v>2.7999040000000002</v>
      </c>
      <c r="M29" s="40">
        <v>2.825097</v>
      </c>
      <c r="N29" s="40">
        <v>2.91248</v>
      </c>
      <c r="O29" s="40">
        <v>3.043758</v>
      </c>
      <c r="P29" s="40">
        <v>3.2080039999999999</v>
      </c>
      <c r="Q29" s="40">
        <v>3.4169179999999999</v>
      </c>
      <c r="R29" s="40">
        <v>3.5694300000000001</v>
      </c>
      <c r="S29" s="40">
        <v>3.6818240000000002</v>
      </c>
      <c r="T29" s="40">
        <v>3.6941549999999999</v>
      </c>
      <c r="U29" s="40">
        <v>3.7375959999999999</v>
      </c>
      <c r="V29" s="40">
        <v>3.8665609999999999</v>
      </c>
      <c r="W29" s="40">
        <v>3.78878</v>
      </c>
      <c r="X29" s="40">
        <v>3.9380649999999999</v>
      </c>
      <c r="Y29" s="40">
        <v>4.0221549999999997</v>
      </c>
      <c r="Z29" s="40">
        <v>4.0147370000000002</v>
      </c>
      <c r="AA29" s="40">
        <v>3.9506160000000001</v>
      </c>
      <c r="AB29" s="40">
        <v>3.9137680000000001</v>
      </c>
      <c r="AC29" s="40">
        <v>3.9107059999999998</v>
      </c>
      <c r="AD29" s="40">
        <v>3.9070830000000001</v>
      </c>
      <c r="AE29" s="40">
        <v>3.8707060000000002</v>
      </c>
      <c r="AF29" s="40">
        <v>3.849094</v>
      </c>
      <c r="AG29" s="40">
        <v>3.7838949999999998</v>
      </c>
      <c r="AH29" s="40">
        <v>3.7710149999999998</v>
      </c>
      <c r="AI29" s="41">
        <v>-1.9E-2</v>
      </c>
    </row>
    <row r="30" spans="1:37" x14ac:dyDescent="0.75">
      <c r="A30" t="s">
        <v>1451</v>
      </c>
    </row>
    <row r="31" spans="1:37" x14ac:dyDescent="0.75">
      <c r="A31" t="s">
        <v>1631</v>
      </c>
    </row>
    <row r="32" spans="1:37" x14ac:dyDescent="0.75">
      <c r="A32" t="s">
        <v>1449</v>
      </c>
      <c r="B32" t="s">
        <v>1701</v>
      </c>
      <c r="C32" t="s">
        <v>1702</v>
      </c>
      <c r="D32" t="s">
        <v>1632</v>
      </c>
      <c r="F32">
        <v>14.851385000000001</v>
      </c>
      <c r="G32">
        <v>14.613103000000001</v>
      </c>
      <c r="H32">
        <v>13.320674</v>
      </c>
      <c r="I32">
        <v>12.568542000000001</v>
      </c>
      <c r="J32">
        <v>11.938526</v>
      </c>
      <c r="K32">
        <v>11.516709000000001</v>
      </c>
      <c r="L32">
        <v>11.244637000000001</v>
      </c>
      <c r="M32">
        <v>11.297374</v>
      </c>
      <c r="N32">
        <v>11.341837999999999</v>
      </c>
      <c r="O32">
        <v>11.448148</v>
      </c>
      <c r="P32">
        <v>11.542928</v>
      </c>
      <c r="Q32">
        <v>11.695349</v>
      </c>
      <c r="R32">
        <v>11.820527999999999</v>
      </c>
      <c r="S32">
        <v>11.932122</v>
      </c>
      <c r="T32">
        <v>11.985453</v>
      </c>
      <c r="U32">
        <v>12.072364</v>
      </c>
      <c r="V32">
        <v>12.217610000000001</v>
      </c>
      <c r="W32">
        <v>12.224497</v>
      </c>
      <c r="X32">
        <v>12.320653</v>
      </c>
      <c r="Y32">
        <v>12.420987999999999</v>
      </c>
      <c r="Z32">
        <v>12.447018</v>
      </c>
      <c r="AA32">
        <v>12.433571000000001</v>
      </c>
      <c r="AB32">
        <v>12.389417</v>
      </c>
      <c r="AC32">
        <v>12.451288999999999</v>
      </c>
      <c r="AD32">
        <v>12.773996</v>
      </c>
      <c r="AE32">
        <v>12.757806</v>
      </c>
      <c r="AF32">
        <v>12.723811</v>
      </c>
      <c r="AG32">
        <v>12.728624</v>
      </c>
      <c r="AH32">
        <v>12.764476</v>
      </c>
      <c r="AI32" s="9">
        <v>-5.0000000000000001E-3</v>
      </c>
    </row>
    <row r="33" spans="1:35" x14ac:dyDescent="0.75">
      <c r="A33" t="s">
        <v>1448</v>
      </c>
      <c r="B33" t="s">
        <v>1703</v>
      </c>
      <c r="C33" t="s">
        <v>1704</v>
      </c>
      <c r="D33" t="s">
        <v>1632</v>
      </c>
      <c r="F33">
        <v>11.415293999999999</v>
      </c>
      <c r="G33">
        <v>10.728111</v>
      </c>
      <c r="H33">
        <v>9.689114</v>
      </c>
      <c r="I33">
        <v>9.1912079999999996</v>
      </c>
      <c r="J33">
        <v>8.7861630000000002</v>
      </c>
      <c r="K33">
        <v>8.5667010000000001</v>
      </c>
      <c r="L33">
        <v>8.4717459999999996</v>
      </c>
      <c r="M33">
        <v>8.5106850000000005</v>
      </c>
      <c r="N33">
        <v>8.5369770000000003</v>
      </c>
      <c r="O33">
        <v>8.6197859999999995</v>
      </c>
      <c r="P33">
        <v>8.6940340000000003</v>
      </c>
      <c r="Q33">
        <v>8.8313330000000008</v>
      </c>
      <c r="R33">
        <v>8.9361750000000004</v>
      </c>
      <c r="S33">
        <v>9.0271640000000009</v>
      </c>
      <c r="T33">
        <v>9.0642230000000001</v>
      </c>
      <c r="U33">
        <v>9.1356490000000008</v>
      </c>
      <c r="V33">
        <v>9.2641899999999993</v>
      </c>
      <c r="W33">
        <v>9.2607499999999998</v>
      </c>
      <c r="X33">
        <v>9.3463779999999996</v>
      </c>
      <c r="Y33">
        <v>9.4349539999999994</v>
      </c>
      <c r="Z33">
        <v>9.451041</v>
      </c>
      <c r="AA33">
        <v>9.4303670000000004</v>
      </c>
      <c r="AB33">
        <v>9.3829539999999998</v>
      </c>
      <c r="AC33">
        <v>9.4336749999999991</v>
      </c>
      <c r="AD33">
        <v>9.638147</v>
      </c>
      <c r="AE33">
        <v>9.5960079999999994</v>
      </c>
      <c r="AF33">
        <v>9.5514130000000002</v>
      </c>
      <c r="AG33">
        <v>9.5514539999999997</v>
      </c>
      <c r="AH33">
        <v>9.5841119999999993</v>
      </c>
      <c r="AI33" s="9">
        <v>-6.0000000000000001E-3</v>
      </c>
    </row>
    <row r="34" spans="1:35" x14ac:dyDescent="0.75">
      <c r="A34" t="s">
        <v>1447</v>
      </c>
      <c r="B34" t="s">
        <v>1705</v>
      </c>
      <c r="C34" t="s">
        <v>1706</v>
      </c>
      <c r="D34" t="s">
        <v>1632</v>
      </c>
      <c r="F34">
        <v>7.6168230000000001</v>
      </c>
      <c r="G34">
        <v>6.5145650000000002</v>
      </c>
      <c r="H34">
        <v>5.3616770000000002</v>
      </c>
      <c r="I34">
        <v>4.771115</v>
      </c>
      <c r="J34">
        <v>4.3214459999999999</v>
      </c>
      <c r="K34">
        <v>4.0731159999999997</v>
      </c>
      <c r="L34">
        <v>3.9866169999999999</v>
      </c>
      <c r="M34">
        <v>4.0022310000000001</v>
      </c>
      <c r="N34">
        <v>4.0629980000000003</v>
      </c>
      <c r="O34">
        <v>4.1724249999999996</v>
      </c>
      <c r="P34">
        <v>4.2875670000000001</v>
      </c>
      <c r="Q34">
        <v>4.4517319999999998</v>
      </c>
      <c r="R34">
        <v>4.5829219999999999</v>
      </c>
      <c r="S34">
        <v>4.6984389999999996</v>
      </c>
      <c r="T34">
        <v>4.7181040000000003</v>
      </c>
      <c r="U34">
        <v>4.7644000000000002</v>
      </c>
      <c r="V34">
        <v>4.8935190000000004</v>
      </c>
      <c r="W34">
        <v>4.8363149999999999</v>
      </c>
      <c r="X34">
        <v>4.9608280000000002</v>
      </c>
      <c r="Y34">
        <v>5.0406440000000003</v>
      </c>
      <c r="Z34">
        <v>5.0343960000000001</v>
      </c>
      <c r="AA34">
        <v>4.9811889999999996</v>
      </c>
      <c r="AB34">
        <v>4.9296280000000001</v>
      </c>
      <c r="AC34">
        <v>4.9271320000000003</v>
      </c>
      <c r="AD34">
        <v>4.8899970000000001</v>
      </c>
      <c r="AE34">
        <v>4.8540809999999999</v>
      </c>
      <c r="AF34">
        <v>4.8189729999999997</v>
      </c>
      <c r="AG34">
        <v>4.7757209999999999</v>
      </c>
      <c r="AH34">
        <v>4.7717679999999998</v>
      </c>
      <c r="AI34" s="9">
        <v>-1.7000000000000001E-2</v>
      </c>
    </row>
    <row r="35" spans="1:35" x14ac:dyDescent="0.75">
      <c r="A35" t="s">
        <v>65</v>
      </c>
      <c r="B35" t="s">
        <v>1707</v>
      </c>
      <c r="C35" t="s">
        <v>1708</v>
      </c>
      <c r="D35" t="s">
        <v>1632</v>
      </c>
      <c r="F35">
        <v>18.233703999999999</v>
      </c>
      <c r="G35">
        <v>16.934087999999999</v>
      </c>
      <c r="H35">
        <v>15.467999000000001</v>
      </c>
      <c r="I35">
        <v>14.862036</v>
      </c>
      <c r="J35">
        <v>14.140349000000001</v>
      </c>
      <c r="K35">
        <v>13.775437999999999</v>
      </c>
      <c r="L35">
        <v>13.516741</v>
      </c>
      <c r="M35">
        <v>13.379853000000001</v>
      </c>
      <c r="N35">
        <v>13.303585999999999</v>
      </c>
      <c r="O35">
        <v>13.292125</v>
      </c>
      <c r="P35">
        <v>13.270398</v>
      </c>
      <c r="Q35">
        <v>13.314075000000001</v>
      </c>
      <c r="R35">
        <v>13.310819</v>
      </c>
      <c r="S35">
        <v>13.281555000000001</v>
      </c>
      <c r="T35">
        <v>13.144871</v>
      </c>
      <c r="U35">
        <v>13.03176</v>
      </c>
      <c r="V35">
        <v>13.025172</v>
      </c>
      <c r="W35">
        <v>12.814609000000001</v>
      </c>
      <c r="X35">
        <v>12.791950999999999</v>
      </c>
      <c r="Y35">
        <v>12.729706</v>
      </c>
      <c r="Z35">
        <v>12.588048000000001</v>
      </c>
      <c r="AA35">
        <v>12.407152999999999</v>
      </c>
      <c r="AB35">
        <v>12.225408</v>
      </c>
      <c r="AC35">
        <v>12.150855999999999</v>
      </c>
      <c r="AD35">
        <v>12.777818</v>
      </c>
      <c r="AE35">
        <v>12.609349</v>
      </c>
      <c r="AF35">
        <v>12.449089000000001</v>
      </c>
      <c r="AG35">
        <v>12.321486</v>
      </c>
      <c r="AH35">
        <v>12.235440000000001</v>
      </c>
      <c r="AI35" s="9">
        <v>-1.4E-2</v>
      </c>
    </row>
    <row r="36" spans="1:35" x14ac:dyDescent="0.75">
      <c r="A36" t="s">
        <v>1446</v>
      </c>
      <c r="B36" t="s">
        <v>1709</v>
      </c>
      <c r="C36" t="s">
        <v>1710</v>
      </c>
      <c r="D36" t="s">
        <v>1632</v>
      </c>
      <c r="F36">
        <v>7.2587429999999999</v>
      </c>
      <c r="G36">
        <v>5.8129929999999996</v>
      </c>
      <c r="H36">
        <v>4.6349099999999996</v>
      </c>
      <c r="I36">
        <v>3.9991189999999999</v>
      </c>
      <c r="J36">
        <v>3.5001099999999998</v>
      </c>
      <c r="K36">
        <v>3.19096</v>
      </c>
      <c r="L36">
        <v>3.0686810000000002</v>
      </c>
      <c r="M36">
        <v>3.0637340000000002</v>
      </c>
      <c r="N36">
        <v>3.1019040000000002</v>
      </c>
      <c r="O36">
        <v>3.175818</v>
      </c>
      <c r="P36">
        <v>3.259538</v>
      </c>
      <c r="Q36">
        <v>3.3935309999999999</v>
      </c>
      <c r="R36">
        <v>3.5065650000000002</v>
      </c>
      <c r="S36">
        <v>3.630531</v>
      </c>
      <c r="T36">
        <v>3.6669309999999999</v>
      </c>
      <c r="U36">
        <v>3.715862</v>
      </c>
      <c r="V36">
        <v>3.8603559999999999</v>
      </c>
      <c r="W36">
        <v>3.8304140000000002</v>
      </c>
      <c r="X36">
        <v>3.974774</v>
      </c>
      <c r="Y36">
        <v>4.0508389999999999</v>
      </c>
      <c r="Z36">
        <v>4.0311969999999997</v>
      </c>
      <c r="AA36">
        <v>3.9779070000000001</v>
      </c>
      <c r="AB36">
        <v>3.9068390000000002</v>
      </c>
      <c r="AC36">
        <v>3.898304</v>
      </c>
      <c r="AD36">
        <v>3.8736790000000001</v>
      </c>
      <c r="AE36">
        <v>3.8403070000000001</v>
      </c>
      <c r="AF36">
        <v>3.8232010000000001</v>
      </c>
      <c r="AG36">
        <v>3.7664490000000002</v>
      </c>
      <c r="AH36">
        <v>3.7645569999999999</v>
      </c>
      <c r="AI36" s="9">
        <v>-2.3E-2</v>
      </c>
    </row>
    <row r="37" spans="1:35" x14ac:dyDescent="0.75">
      <c r="A37" t="s">
        <v>1445</v>
      </c>
      <c r="B37" t="s">
        <v>1711</v>
      </c>
      <c r="C37" t="s">
        <v>1712</v>
      </c>
      <c r="D37" t="s">
        <v>1632</v>
      </c>
      <c r="F37">
        <v>9.2099980000000006</v>
      </c>
      <c r="G37">
        <v>8.2711769999999998</v>
      </c>
      <c r="H37">
        <v>7.1060809999999996</v>
      </c>
      <c r="I37">
        <v>6.5267540000000004</v>
      </c>
      <c r="J37">
        <v>6.0689000000000002</v>
      </c>
      <c r="K37">
        <v>5.8323700000000001</v>
      </c>
      <c r="L37">
        <v>5.730124</v>
      </c>
      <c r="M37">
        <v>5.772043</v>
      </c>
      <c r="N37">
        <v>5.8507030000000002</v>
      </c>
      <c r="O37">
        <v>5.9791749999999997</v>
      </c>
      <c r="P37">
        <v>6.0970019999999998</v>
      </c>
      <c r="Q37">
        <v>6.2626419999999996</v>
      </c>
      <c r="R37">
        <v>6.3971260000000001</v>
      </c>
      <c r="S37">
        <v>6.512626</v>
      </c>
      <c r="T37">
        <v>6.5397379999999998</v>
      </c>
      <c r="U37">
        <v>6.5843280000000002</v>
      </c>
      <c r="V37">
        <v>6.6956439999999997</v>
      </c>
      <c r="W37">
        <v>6.649044</v>
      </c>
      <c r="X37">
        <v>6.7440389999999999</v>
      </c>
      <c r="Y37">
        <v>6.8132349999999997</v>
      </c>
      <c r="Z37">
        <v>6.795757</v>
      </c>
      <c r="AA37">
        <v>6.7428049999999997</v>
      </c>
      <c r="AB37">
        <v>6.6824159999999999</v>
      </c>
      <c r="AC37">
        <v>6.6868439999999998</v>
      </c>
      <c r="AD37">
        <v>6.7604389999999999</v>
      </c>
      <c r="AE37">
        <v>6.7187359999999998</v>
      </c>
      <c r="AF37">
        <v>6.6760450000000002</v>
      </c>
      <c r="AG37">
        <v>6.635656</v>
      </c>
      <c r="AH37">
        <v>6.6287019999999997</v>
      </c>
      <c r="AI37" s="9">
        <v>-1.2E-2</v>
      </c>
    </row>
    <row r="38" spans="1:35" x14ac:dyDescent="0.75">
      <c r="A38" t="s">
        <v>1454</v>
      </c>
    </row>
    <row r="39" spans="1:35" x14ac:dyDescent="0.75">
      <c r="A39" t="s">
        <v>1453</v>
      </c>
      <c r="B39" t="s">
        <v>1699</v>
      </c>
      <c r="C39" t="s">
        <v>1713</v>
      </c>
      <c r="D39" t="s">
        <v>1452</v>
      </c>
      <c r="F39">
        <v>6.5239969999999996</v>
      </c>
      <c r="G39">
        <v>5.4840799999999996</v>
      </c>
      <c r="H39">
        <v>4.3442369999999997</v>
      </c>
      <c r="I39">
        <v>3.8034059999999998</v>
      </c>
      <c r="J39">
        <v>3.4125000000000001</v>
      </c>
      <c r="K39">
        <v>3.244545</v>
      </c>
      <c r="L39">
        <v>3.252955</v>
      </c>
      <c r="M39">
        <v>3.3542079999999999</v>
      </c>
      <c r="N39">
        <v>3.5351439999999998</v>
      </c>
      <c r="O39">
        <v>3.7790189999999999</v>
      </c>
      <c r="P39">
        <v>4.0742339999999997</v>
      </c>
      <c r="Q39">
        <v>4.442329</v>
      </c>
      <c r="R39">
        <v>4.7517820000000004</v>
      </c>
      <c r="S39">
        <v>5.0161790000000002</v>
      </c>
      <c r="T39">
        <v>5.148898</v>
      </c>
      <c r="U39">
        <v>5.3260490000000003</v>
      </c>
      <c r="V39">
        <v>5.6316480000000002</v>
      </c>
      <c r="W39">
        <v>5.6395520000000001</v>
      </c>
      <c r="X39">
        <v>5.992483</v>
      </c>
      <c r="Y39">
        <v>6.2576710000000002</v>
      </c>
      <c r="Z39">
        <v>6.3872109999999997</v>
      </c>
      <c r="AA39">
        <v>6.4292730000000002</v>
      </c>
      <c r="AB39">
        <v>6.516381</v>
      </c>
      <c r="AC39">
        <v>6.6630039999999999</v>
      </c>
      <c r="AD39">
        <v>6.8138820000000004</v>
      </c>
      <c r="AE39">
        <v>6.910819</v>
      </c>
      <c r="AF39">
        <v>7.0369719999999996</v>
      </c>
      <c r="AG39">
        <v>7.083812</v>
      </c>
      <c r="AH39">
        <v>7.230118</v>
      </c>
      <c r="AI39" s="9">
        <v>4.0000000000000001E-3</v>
      </c>
    </row>
    <row r="40" spans="1:35" x14ac:dyDescent="0.75">
      <c r="A40" t="s">
        <v>1451</v>
      </c>
    </row>
    <row r="41" spans="1:35" x14ac:dyDescent="0.75">
      <c r="A41" t="s">
        <v>1450</v>
      </c>
    </row>
    <row r="42" spans="1:35" x14ac:dyDescent="0.75">
      <c r="A42" t="s">
        <v>1449</v>
      </c>
      <c r="B42" t="s">
        <v>1701</v>
      </c>
      <c r="C42" t="s">
        <v>1714</v>
      </c>
      <c r="D42" t="s">
        <v>1444</v>
      </c>
      <c r="F42">
        <v>14.851385000000001</v>
      </c>
      <c r="G42">
        <v>15.217185000000001</v>
      </c>
      <c r="H42">
        <v>14.209906999999999</v>
      </c>
      <c r="I42">
        <v>13.699121</v>
      </c>
      <c r="J42">
        <v>13.289873</v>
      </c>
      <c r="K42">
        <v>13.097257000000001</v>
      </c>
      <c r="L42">
        <v>13.064121</v>
      </c>
      <c r="M42">
        <v>13.413251000000001</v>
      </c>
      <c r="N42">
        <v>13.766628000000001</v>
      </c>
      <c r="O42">
        <v>14.213603000000001</v>
      </c>
      <c r="P42">
        <v>14.659765999999999</v>
      </c>
      <c r="Q42">
        <v>15.205101000000001</v>
      </c>
      <c r="R42">
        <v>15.736008</v>
      </c>
      <c r="S42">
        <v>16.256526999999998</v>
      </c>
      <c r="T42">
        <v>16.705276000000001</v>
      </c>
      <c r="U42">
        <v>17.203039</v>
      </c>
      <c r="V42">
        <v>17.794955999999999</v>
      </c>
      <c r="W42">
        <v>18.196010999999999</v>
      </c>
      <c r="X42">
        <v>18.748116</v>
      </c>
      <c r="Y42">
        <v>19.324580999999998</v>
      </c>
      <c r="Z42">
        <v>19.802475000000001</v>
      </c>
      <c r="AA42">
        <v>20.23452</v>
      </c>
      <c r="AB42">
        <v>20.628242</v>
      </c>
      <c r="AC42">
        <v>21.214324999999999</v>
      </c>
      <c r="AD42">
        <v>22.277619999999999</v>
      </c>
      <c r="AE42">
        <v>22.777987</v>
      </c>
      <c r="AF42">
        <v>23.261866000000001</v>
      </c>
      <c r="AG42">
        <v>23.829198999999999</v>
      </c>
      <c r="AH42">
        <v>24.473167</v>
      </c>
      <c r="AI42" s="9">
        <v>1.7999999999999999E-2</v>
      </c>
    </row>
    <row r="43" spans="1:35" x14ac:dyDescent="0.75">
      <c r="A43" t="s">
        <v>1448</v>
      </c>
      <c r="B43" t="s">
        <v>1703</v>
      </c>
      <c r="C43" t="s">
        <v>1715</v>
      </c>
      <c r="D43" t="s">
        <v>1444</v>
      </c>
      <c r="F43">
        <v>11.415293999999999</v>
      </c>
      <c r="G43">
        <v>11.171594000000001</v>
      </c>
      <c r="H43">
        <v>10.335917999999999</v>
      </c>
      <c r="I43">
        <v>10.017984999999999</v>
      </c>
      <c r="J43">
        <v>9.7806879999999996</v>
      </c>
      <c r="K43">
        <v>9.7423900000000003</v>
      </c>
      <c r="L43">
        <v>9.8425530000000006</v>
      </c>
      <c r="M43">
        <v>10.104645</v>
      </c>
      <c r="N43">
        <v>10.362112</v>
      </c>
      <c r="O43">
        <v>10.702013000000001</v>
      </c>
      <c r="P43">
        <v>11.041608999999999</v>
      </c>
      <c r="Q43">
        <v>11.4816</v>
      </c>
      <c r="R43">
        <v>11.896229999999999</v>
      </c>
      <c r="S43">
        <v>12.29876</v>
      </c>
      <c r="T43">
        <v>12.633677</v>
      </c>
      <c r="U43">
        <v>13.018238999999999</v>
      </c>
      <c r="V43">
        <v>13.493297999999999</v>
      </c>
      <c r="W43">
        <v>13.784511</v>
      </c>
      <c r="X43">
        <v>14.222216</v>
      </c>
      <c r="Y43">
        <v>14.678907000000001</v>
      </c>
      <c r="Z43">
        <v>15.036051</v>
      </c>
      <c r="AA43">
        <v>15.347075999999999</v>
      </c>
      <c r="AB43">
        <v>15.622515</v>
      </c>
      <c r="AC43">
        <v>16.072956000000001</v>
      </c>
      <c r="AD43">
        <v>16.808755999999999</v>
      </c>
      <c r="AE43">
        <v>17.132866</v>
      </c>
      <c r="AF43">
        <v>17.462038</v>
      </c>
      <c r="AG43">
        <v>17.881231</v>
      </c>
      <c r="AH43">
        <v>18.375498</v>
      </c>
      <c r="AI43" s="9">
        <v>1.7000000000000001E-2</v>
      </c>
    </row>
    <row r="44" spans="1:35" x14ac:dyDescent="0.75">
      <c r="A44" t="s">
        <v>1447</v>
      </c>
      <c r="B44" t="s">
        <v>1705</v>
      </c>
      <c r="C44" t="s">
        <v>1716</v>
      </c>
      <c r="D44" t="s">
        <v>1444</v>
      </c>
      <c r="F44">
        <v>7.6168230000000001</v>
      </c>
      <c r="G44">
        <v>6.7838659999999997</v>
      </c>
      <c r="H44">
        <v>5.7196009999999999</v>
      </c>
      <c r="I44">
        <v>5.2002920000000001</v>
      </c>
      <c r="J44">
        <v>4.8106</v>
      </c>
      <c r="K44">
        <v>4.6321079999999997</v>
      </c>
      <c r="L44">
        <v>4.6316879999999996</v>
      </c>
      <c r="M44">
        <v>4.7518060000000002</v>
      </c>
      <c r="N44">
        <v>4.9316329999999997</v>
      </c>
      <c r="O44">
        <v>5.1803309999999998</v>
      </c>
      <c r="P44">
        <v>5.4453019999999999</v>
      </c>
      <c r="Q44">
        <v>5.7876890000000003</v>
      </c>
      <c r="R44">
        <v>6.1009880000000001</v>
      </c>
      <c r="S44">
        <v>6.4012330000000004</v>
      </c>
      <c r="T44">
        <v>6.5760750000000003</v>
      </c>
      <c r="U44">
        <v>6.7892390000000002</v>
      </c>
      <c r="V44">
        <v>7.1274119999999996</v>
      </c>
      <c r="W44">
        <v>7.1987940000000004</v>
      </c>
      <c r="X44">
        <v>7.5488030000000004</v>
      </c>
      <c r="Y44">
        <v>7.8422369999999999</v>
      </c>
      <c r="Z44">
        <v>8.0094279999999998</v>
      </c>
      <c r="AA44">
        <v>8.1064380000000007</v>
      </c>
      <c r="AB44">
        <v>8.2077770000000001</v>
      </c>
      <c r="AC44">
        <v>8.3947749999999992</v>
      </c>
      <c r="AD44">
        <v>8.5280660000000008</v>
      </c>
      <c r="AE44">
        <v>8.6665530000000004</v>
      </c>
      <c r="AF44">
        <v>8.8101199999999995</v>
      </c>
      <c r="AG44">
        <v>8.9406049999999997</v>
      </c>
      <c r="AH44">
        <v>9.1488490000000002</v>
      </c>
      <c r="AI44" s="9">
        <v>7.0000000000000001E-3</v>
      </c>
    </row>
    <row r="45" spans="1:35" x14ac:dyDescent="0.75">
      <c r="A45" t="s">
        <v>65</v>
      </c>
      <c r="B45" t="s">
        <v>1707</v>
      </c>
      <c r="C45" t="s">
        <v>1717</v>
      </c>
      <c r="D45" t="s">
        <v>1444</v>
      </c>
      <c r="F45">
        <v>18.233703999999999</v>
      </c>
      <c r="G45">
        <v>17.634115000000001</v>
      </c>
      <c r="H45">
        <v>16.500578000000001</v>
      </c>
      <c r="I45">
        <v>16.198920999999999</v>
      </c>
      <c r="J45">
        <v>15.740926999999999</v>
      </c>
      <c r="K45">
        <v>15.665972</v>
      </c>
      <c r="L45">
        <v>15.703874000000001</v>
      </c>
      <c r="M45">
        <v>15.885756000000001</v>
      </c>
      <c r="N45">
        <v>16.147780999999998</v>
      </c>
      <c r="O45">
        <v>16.503017</v>
      </c>
      <c r="P45">
        <v>16.853691000000001</v>
      </c>
      <c r="Q45">
        <v>17.309605000000001</v>
      </c>
      <c r="R45">
        <v>17.719947999999999</v>
      </c>
      <c r="S45">
        <v>18.095016000000001</v>
      </c>
      <c r="T45">
        <v>18.321268</v>
      </c>
      <c r="U45">
        <v>18.570173</v>
      </c>
      <c r="V45">
        <v>18.971170000000001</v>
      </c>
      <c r="W45">
        <v>19.074384999999999</v>
      </c>
      <c r="X45">
        <v>19.465281999999998</v>
      </c>
      <c r="Y45">
        <v>19.804884000000001</v>
      </c>
      <c r="Z45">
        <v>20.026845999999999</v>
      </c>
      <c r="AA45">
        <v>20.191528000000002</v>
      </c>
      <c r="AB45">
        <v>20.355170999999999</v>
      </c>
      <c r="AC45">
        <v>20.702452000000001</v>
      </c>
      <c r="AD45">
        <v>22.284286000000002</v>
      </c>
      <c r="AE45">
        <v>22.512931999999999</v>
      </c>
      <c r="AF45">
        <v>22.759615</v>
      </c>
      <c r="AG45">
        <v>23.066996</v>
      </c>
      <c r="AH45">
        <v>23.458855</v>
      </c>
      <c r="AI45" s="9">
        <v>8.9999999999999993E-3</v>
      </c>
    </row>
    <row r="46" spans="1:35" x14ac:dyDescent="0.75">
      <c r="A46" t="s">
        <v>1446</v>
      </c>
      <c r="B46" t="s">
        <v>1709</v>
      </c>
      <c r="C46" t="s">
        <v>1718</v>
      </c>
      <c r="D46" t="s">
        <v>1444</v>
      </c>
      <c r="F46">
        <v>7.2587429999999999</v>
      </c>
      <c r="G46">
        <v>6.053293</v>
      </c>
      <c r="H46">
        <v>4.944318</v>
      </c>
      <c r="I46">
        <v>4.3588519999999997</v>
      </c>
      <c r="J46">
        <v>3.8962949999999998</v>
      </c>
      <c r="K46">
        <v>3.6288860000000001</v>
      </c>
      <c r="L46">
        <v>3.5652219999999999</v>
      </c>
      <c r="M46">
        <v>3.6375380000000002</v>
      </c>
      <c r="N46">
        <v>3.765066</v>
      </c>
      <c r="O46">
        <v>3.9429799999999999</v>
      </c>
      <c r="P46">
        <v>4.1396839999999999</v>
      </c>
      <c r="Q46">
        <v>4.4119219999999997</v>
      </c>
      <c r="R46">
        <v>4.668094</v>
      </c>
      <c r="S46">
        <v>4.9462979999999996</v>
      </c>
      <c r="T46">
        <v>5.1109540000000004</v>
      </c>
      <c r="U46">
        <v>5.2950790000000003</v>
      </c>
      <c r="V46">
        <v>5.622611</v>
      </c>
      <c r="W46">
        <v>5.7015229999999999</v>
      </c>
      <c r="X46">
        <v>6.0483419999999999</v>
      </c>
      <c r="Y46">
        <v>6.3022989999999997</v>
      </c>
      <c r="Z46">
        <v>6.4133979999999999</v>
      </c>
      <c r="AA46">
        <v>6.4736880000000001</v>
      </c>
      <c r="AB46">
        <v>6.5048440000000003</v>
      </c>
      <c r="AC46">
        <v>6.6418730000000004</v>
      </c>
      <c r="AD46">
        <v>6.7556269999999996</v>
      </c>
      <c r="AE46">
        <v>6.8565440000000004</v>
      </c>
      <c r="AF46">
        <v>6.9896349999999998</v>
      </c>
      <c r="AG46">
        <v>7.0511520000000001</v>
      </c>
      <c r="AH46">
        <v>7.2177369999999996</v>
      </c>
      <c r="AI46" s="9">
        <v>0</v>
      </c>
    </row>
    <row r="47" spans="1:35" x14ac:dyDescent="0.75">
      <c r="A47" t="s">
        <v>1445</v>
      </c>
      <c r="B47" t="s">
        <v>1711</v>
      </c>
      <c r="C47" t="s">
        <v>1719</v>
      </c>
      <c r="D47" t="s">
        <v>1444</v>
      </c>
      <c r="F47">
        <v>9.2099980000000006</v>
      </c>
      <c r="G47">
        <v>8.6130940000000002</v>
      </c>
      <c r="H47">
        <v>7.5804530000000003</v>
      </c>
      <c r="I47">
        <v>7.113855</v>
      </c>
      <c r="J47">
        <v>6.755852</v>
      </c>
      <c r="K47">
        <v>6.6328009999999997</v>
      </c>
      <c r="L47">
        <v>6.6573099999999998</v>
      </c>
      <c r="M47">
        <v>6.8530850000000001</v>
      </c>
      <c r="N47">
        <v>7.1015350000000002</v>
      </c>
      <c r="O47">
        <v>7.4235249999999997</v>
      </c>
      <c r="P47">
        <v>7.743322</v>
      </c>
      <c r="Q47">
        <v>8.1420490000000001</v>
      </c>
      <c r="R47">
        <v>8.5161350000000002</v>
      </c>
      <c r="S47">
        <v>8.8729110000000002</v>
      </c>
      <c r="T47">
        <v>9.1150610000000007</v>
      </c>
      <c r="U47">
        <v>9.3826239999999999</v>
      </c>
      <c r="V47">
        <v>9.7522090000000006</v>
      </c>
      <c r="W47">
        <v>9.8970179999999992</v>
      </c>
      <c r="X47">
        <v>10.262282000000001</v>
      </c>
      <c r="Y47">
        <v>10.600035</v>
      </c>
      <c r="Z47">
        <v>10.81165</v>
      </c>
      <c r="AA47">
        <v>10.97331</v>
      </c>
      <c r="AB47">
        <v>11.126150000000001</v>
      </c>
      <c r="AC47">
        <v>11.392948000000001</v>
      </c>
      <c r="AD47">
        <v>11.790084999999999</v>
      </c>
      <c r="AE47">
        <v>11.995737</v>
      </c>
      <c r="AF47">
        <v>12.205247999999999</v>
      </c>
      <c r="AG47">
        <v>12.422582</v>
      </c>
      <c r="AH47">
        <v>12.709125999999999</v>
      </c>
      <c r="AI47" s="9">
        <v>1.2E-2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778F-5C5A-48A3-A925-629FE128DBA6}">
  <dimension ref="A1:AI47"/>
  <sheetViews>
    <sheetView workbookViewId="0">
      <selection activeCell="B30" sqref="B30"/>
    </sheetView>
  </sheetViews>
  <sheetFormatPr defaultRowHeight="14.75" x14ac:dyDescent="0.75"/>
  <cols>
    <col min="2" max="2" width="93.26953125" bestFit="1" customWidth="1"/>
  </cols>
  <sheetData>
    <row r="1" spans="1:33" x14ac:dyDescent="0.75">
      <c r="A1" t="s">
        <v>1473</v>
      </c>
    </row>
    <row r="2" spans="1:33" x14ac:dyDescent="0.75">
      <c r="A2" t="s">
        <v>1820</v>
      </c>
    </row>
    <row r="3" spans="1:33" x14ac:dyDescent="0.75">
      <c r="A3" t="s">
        <v>1819</v>
      </c>
    </row>
    <row r="4" spans="1:33" x14ac:dyDescent="0.75">
      <c r="A4" t="s">
        <v>1391</v>
      </c>
    </row>
    <row r="5" spans="1:33" x14ac:dyDescent="0.75">
      <c r="B5" t="s">
        <v>1392</v>
      </c>
      <c r="C5" t="s">
        <v>1393</v>
      </c>
      <c r="D5" t="s">
        <v>1394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1747</v>
      </c>
    </row>
    <row r="6" spans="1:33" x14ac:dyDescent="0.75">
      <c r="A6" t="s">
        <v>1471</v>
      </c>
    </row>
    <row r="7" spans="1:33" x14ac:dyDescent="0.75">
      <c r="A7" t="s">
        <v>1470</v>
      </c>
      <c r="B7" t="s">
        <v>1818</v>
      </c>
      <c r="C7" t="s">
        <v>1817</v>
      </c>
      <c r="D7" t="s">
        <v>1397</v>
      </c>
      <c r="F7">
        <v>38.395713999999998</v>
      </c>
      <c r="G7">
        <v>38.575592</v>
      </c>
      <c r="H7">
        <v>38.973137000000001</v>
      </c>
      <c r="I7">
        <v>39.201183</v>
      </c>
      <c r="J7">
        <v>40.363078999999999</v>
      </c>
      <c r="K7">
        <v>41.169593999999996</v>
      </c>
      <c r="L7">
        <v>42.049503000000001</v>
      </c>
      <c r="M7">
        <v>42.139232999999997</v>
      </c>
      <c r="N7">
        <v>43.939368999999999</v>
      </c>
      <c r="O7">
        <v>43.920150999999997</v>
      </c>
      <c r="P7">
        <v>43.910572000000002</v>
      </c>
      <c r="Q7">
        <v>43.515194000000001</v>
      </c>
      <c r="R7">
        <v>43.168227999999999</v>
      </c>
      <c r="S7">
        <v>42.547187999999998</v>
      </c>
      <c r="T7">
        <v>42.325035</v>
      </c>
      <c r="U7">
        <v>41.954548000000003</v>
      </c>
      <c r="V7">
        <v>42.214790000000001</v>
      </c>
      <c r="W7">
        <v>42.761806</v>
      </c>
      <c r="X7">
        <v>42.998824999999997</v>
      </c>
      <c r="Y7">
        <v>43.180714000000002</v>
      </c>
      <c r="Z7">
        <v>43.340854999999998</v>
      </c>
      <c r="AA7">
        <v>43.593589999999999</v>
      </c>
      <c r="AB7">
        <v>43.969771999999999</v>
      </c>
      <c r="AC7">
        <v>44.232101</v>
      </c>
      <c r="AD7">
        <v>44.389687000000002</v>
      </c>
      <c r="AE7">
        <v>44.596984999999997</v>
      </c>
      <c r="AF7">
        <v>44.749316999999998</v>
      </c>
      <c r="AG7" s="9">
        <v>6.0000000000000001E-3</v>
      </c>
    </row>
    <row r="8" spans="1:33" x14ac:dyDescent="0.75">
      <c r="A8" t="s">
        <v>1469</v>
      </c>
      <c r="B8" t="s">
        <v>1816</v>
      </c>
      <c r="C8" t="s">
        <v>1815</v>
      </c>
      <c r="D8" t="s">
        <v>1397</v>
      </c>
      <c r="F8">
        <v>0.1159</v>
      </c>
      <c r="G8">
        <v>0.1038</v>
      </c>
      <c r="H8">
        <v>9.8233000000000001E-2</v>
      </c>
      <c r="I8">
        <v>9.2665999999999998E-2</v>
      </c>
      <c r="J8">
        <v>8.7098999999999996E-2</v>
      </c>
      <c r="K8">
        <v>8.1531999999999993E-2</v>
      </c>
      <c r="L8">
        <v>7.5964000000000004E-2</v>
      </c>
      <c r="M8">
        <v>7.5964000000000004E-2</v>
      </c>
      <c r="N8">
        <v>7.5964000000000004E-2</v>
      </c>
      <c r="O8">
        <v>7.5964000000000004E-2</v>
      </c>
      <c r="P8">
        <v>7.5964000000000004E-2</v>
      </c>
      <c r="Q8">
        <v>7.5964000000000004E-2</v>
      </c>
      <c r="R8">
        <v>7.5964000000000004E-2</v>
      </c>
      <c r="S8">
        <v>7.5964000000000004E-2</v>
      </c>
      <c r="T8">
        <v>7.5964000000000004E-2</v>
      </c>
      <c r="U8">
        <v>7.5964000000000004E-2</v>
      </c>
      <c r="V8">
        <v>7.5964000000000004E-2</v>
      </c>
      <c r="W8">
        <v>7.5964000000000004E-2</v>
      </c>
      <c r="X8">
        <v>7.5964000000000004E-2</v>
      </c>
      <c r="Y8">
        <v>7.5964000000000004E-2</v>
      </c>
      <c r="Z8">
        <v>7.5964000000000004E-2</v>
      </c>
      <c r="AA8">
        <v>7.5964000000000004E-2</v>
      </c>
      <c r="AB8">
        <v>7.5964000000000004E-2</v>
      </c>
      <c r="AC8">
        <v>7.5964000000000004E-2</v>
      </c>
      <c r="AD8">
        <v>7.5964000000000004E-2</v>
      </c>
      <c r="AE8">
        <v>7.5964000000000004E-2</v>
      </c>
      <c r="AF8">
        <v>7.5964000000000004E-2</v>
      </c>
      <c r="AG8" s="9">
        <v>-1.6E-2</v>
      </c>
    </row>
    <row r="9" spans="1:33" x14ac:dyDescent="0.75">
      <c r="A9" t="s">
        <v>1814</v>
      </c>
      <c r="B9" t="s">
        <v>1813</v>
      </c>
      <c r="C9" t="s">
        <v>1812</v>
      </c>
      <c r="D9" t="s">
        <v>1397</v>
      </c>
      <c r="F9">
        <v>9.6519999999999995E-2</v>
      </c>
      <c r="G9">
        <v>0.104645</v>
      </c>
      <c r="H9">
        <v>0.104645</v>
      </c>
      <c r="I9">
        <v>0.11496000000000001</v>
      </c>
      <c r="J9">
        <v>0.11496000000000001</v>
      </c>
      <c r="K9">
        <v>0.11496000000000001</v>
      </c>
      <c r="L9">
        <v>0.11496000000000001</v>
      </c>
      <c r="M9">
        <v>0.11496000000000001</v>
      </c>
      <c r="N9">
        <v>0.11496000000000001</v>
      </c>
      <c r="O9">
        <v>0.11496000000000001</v>
      </c>
      <c r="P9">
        <v>0.11496000000000001</v>
      </c>
      <c r="Q9">
        <v>0.11496000000000001</v>
      </c>
      <c r="R9">
        <v>0.11496000000000001</v>
      </c>
      <c r="S9">
        <v>0.11496000000000001</v>
      </c>
      <c r="T9">
        <v>0.11496000000000001</v>
      </c>
      <c r="U9">
        <v>0.11496000000000001</v>
      </c>
      <c r="V9">
        <v>0.11496000000000001</v>
      </c>
      <c r="W9">
        <v>0.11496000000000001</v>
      </c>
      <c r="X9">
        <v>0.11496000000000001</v>
      </c>
      <c r="Y9">
        <v>0.11496000000000001</v>
      </c>
      <c r="Z9">
        <v>0.11496000000000001</v>
      </c>
      <c r="AA9">
        <v>0.11496000000000001</v>
      </c>
      <c r="AB9">
        <v>0.11496000000000001</v>
      </c>
      <c r="AC9">
        <v>0.11496000000000001</v>
      </c>
      <c r="AD9">
        <v>0.11496000000000001</v>
      </c>
      <c r="AE9">
        <v>0.11496000000000001</v>
      </c>
      <c r="AF9">
        <v>0.11550100000000001</v>
      </c>
      <c r="AG9" s="9">
        <v>7.0000000000000001E-3</v>
      </c>
    </row>
    <row r="10" spans="1:33" x14ac:dyDescent="0.75">
      <c r="A10" t="s">
        <v>1406</v>
      </c>
      <c r="B10" t="s">
        <v>1811</v>
      </c>
      <c r="C10" t="s">
        <v>1810</v>
      </c>
      <c r="D10" t="s">
        <v>1397</v>
      </c>
      <c r="F10">
        <v>-4.7369599999999998</v>
      </c>
      <c r="G10">
        <v>-5.6579860000000002</v>
      </c>
      <c r="H10">
        <v>-6.6386830000000003</v>
      </c>
      <c r="I10">
        <v>-6.3031249999999996</v>
      </c>
      <c r="J10">
        <v>-7.3693309999999999</v>
      </c>
      <c r="K10">
        <v>-7.9429699999999999</v>
      </c>
      <c r="L10">
        <v>-8.5107330000000001</v>
      </c>
      <c r="M10">
        <v>-8.7610229999999998</v>
      </c>
      <c r="N10">
        <v>-9.0307720000000007</v>
      </c>
      <c r="O10">
        <v>-9.4280550000000005</v>
      </c>
      <c r="P10">
        <v>-9.8415400000000002</v>
      </c>
      <c r="Q10">
        <v>-9.9818300000000004</v>
      </c>
      <c r="R10">
        <v>-10.124131</v>
      </c>
      <c r="S10">
        <v>-10.227389000000001</v>
      </c>
      <c r="T10">
        <v>-10.250424000000001</v>
      </c>
      <c r="U10">
        <v>-10.291261</v>
      </c>
      <c r="V10">
        <v>-10.438177</v>
      </c>
      <c r="W10">
        <v>-10.616790999999999</v>
      </c>
      <c r="X10">
        <v>-10.646292000000001</v>
      </c>
      <c r="Y10">
        <v>-10.566376999999999</v>
      </c>
      <c r="Z10">
        <v>-10.494194999999999</v>
      </c>
      <c r="AA10">
        <v>-10.52496</v>
      </c>
      <c r="AB10">
        <v>-10.717752000000001</v>
      </c>
      <c r="AC10">
        <v>-10.773986000000001</v>
      </c>
      <c r="AD10">
        <v>-10.725961</v>
      </c>
      <c r="AE10">
        <v>-10.625355000000001</v>
      </c>
      <c r="AF10">
        <v>-10.590052</v>
      </c>
      <c r="AG10" s="9">
        <v>3.1E-2</v>
      </c>
    </row>
    <row r="11" spans="1:33" x14ac:dyDescent="0.75">
      <c r="A11" t="s">
        <v>1468</v>
      </c>
      <c r="B11" t="s">
        <v>1809</v>
      </c>
      <c r="C11" t="s">
        <v>1808</v>
      </c>
      <c r="D11" t="s">
        <v>1397</v>
      </c>
      <c r="F11">
        <v>-0.37139899999999998</v>
      </c>
      <c r="G11">
        <v>-0.66931799999999997</v>
      </c>
      <c r="H11">
        <v>-1.3271379999999999</v>
      </c>
      <c r="I11">
        <v>-0.98428599999999999</v>
      </c>
      <c r="J11">
        <v>-1.0218959999999999</v>
      </c>
      <c r="K11">
        <v>-0.87573000000000001</v>
      </c>
      <c r="L11">
        <v>-0.69511800000000001</v>
      </c>
      <c r="M11">
        <v>-0.74239599999999994</v>
      </c>
      <c r="N11">
        <v>-0.79310000000000003</v>
      </c>
      <c r="O11">
        <v>-1.0094270000000001</v>
      </c>
      <c r="P11">
        <v>-1.2233769999999999</v>
      </c>
      <c r="Q11">
        <v>-1.2636700000000001</v>
      </c>
      <c r="R11">
        <v>-1.2864599999999999</v>
      </c>
      <c r="S11">
        <v>-1.308762</v>
      </c>
      <c r="T11">
        <v>-1.3317969999999999</v>
      </c>
      <c r="U11">
        <v>-1.372633</v>
      </c>
      <c r="V11">
        <v>-1.500507</v>
      </c>
      <c r="W11">
        <v>-1.698164</v>
      </c>
      <c r="X11">
        <v>-1.7286649999999999</v>
      </c>
      <c r="Y11">
        <v>-1.6875640000000001</v>
      </c>
      <c r="Z11">
        <v>-1.6381330000000001</v>
      </c>
      <c r="AA11">
        <v>-1.690658</v>
      </c>
      <c r="AB11">
        <v>-1.916426</v>
      </c>
      <c r="AC11">
        <v>-1.9680329999999999</v>
      </c>
      <c r="AD11">
        <v>-1.930123</v>
      </c>
      <c r="AE11">
        <v>-1.853135</v>
      </c>
      <c r="AF11">
        <v>-1.7811840000000001</v>
      </c>
      <c r="AG11" s="9">
        <v>6.2E-2</v>
      </c>
    </row>
    <row r="12" spans="1:33" x14ac:dyDescent="0.75">
      <c r="A12" t="s">
        <v>1409</v>
      </c>
      <c r="B12" t="s">
        <v>1807</v>
      </c>
      <c r="C12" t="s">
        <v>1806</v>
      </c>
      <c r="D12" t="s">
        <v>1397</v>
      </c>
      <c r="F12">
        <v>-4.3655600000000003</v>
      </c>
      <c r="G12">
        <v>-4.9886670000000004</v>
      </c>
      <c r="H12">
        <v>-5.3115449999999997</v>
      </c>
      <c r="I12">
        <v>-5.3188380000000004</v>
      </c>
      <c r="J12">
        <v>-6.3474360000000001</v>
      </c>
      <c r="K12">
        <v>-7.06724</v>
      </c>
      <c r="L12">
        <v>-7.8156140000000001</v>
      </c>
      <c r="M12">
        <v>-8.0186270000000004</v>
      </c>
      <c r="N12">
        <v>-8.2376699999999996</v>
      </c>
      <c r="O12">
        <v>-8.4186270000000007</v>
      </c>
      <c r="P12">
        <v>-8.6181619999999999</v>
      </c>
      <c r="Q12">
        <v>-8.718159</v>
      </c>
      <c r="R12">
        <v>-8.8376699999999992</v>
      </c>
      <c r="S12">
        <v>-8.9186270000000007</v>
      </c>
      <c r="T12">
        <v>-8.9186270000000007</v>
      </c>
      <c r="U12">
        <v>-8.9186270000000007</v>
      </c>
      <c r="V12">
        <v>-8.9376709999999999</v>
      </c>
      <c r="W12">
        <v>-8.9186270000000007</v>
      </c>
      <c r="X12">
        <v>-8.9176260000000003</v>
      </c>
      <c r="Y12">
        <v>-8.8788119999999999</v>
      </c>
      <c r="Z12">
        <v>-8.8560619999999997</v>
      </c>
      <c r="AA12">
        <v>-8.8343019999999992</v>
      </c>
      <c r="AB12">
        <v>-8.8013250000000003</v>
      </c>
      <c r="AC12">
        <v>-8.8059530000000006</v>
      </c>
      <c r="AD12">
        <v>-8.7958370000000006</v>
      </c>
      <c r="AE12">
        <v>-8.7722189999999998</v>
      </c>
      <c r="AF12">
        <v>-8.8088660000000001</v>
      </c>
      <c r="AG12" s="9">
        <v>2.7E-2</v>
      </c>
    </row>
    <row r="13" spans="1:33" x14ac:dyDescent="0.75">
      <c r="A13" t="s">
        <v>1467</v>
      </c>
      <c r="B13" t="s">
        <v>1805</v>
      </c>
      <c r="C13" t="s">
        <v>1804</v>
      </c>
      <c r="D13" t="s">
        <v>1397</v>
      </c>
      <c r="F13">
        <v>33.774650999999999</v>
      </c>
      <c r="G13">
        <v>33.021408000000001</v>
      </c>
      <c r="H13">
        <v>32.432685999999997</v>
      </c>
      <c r="I13">
        <v>32.990723000000003</v>
      </c>
      <c r="J13">
        <v>33.080844999999997</v>
      </c>
      <c r="K13">
        <v>33.308154999999999</v>
      </c>
      <c r="L13">
        <v>33.614738000000003</v>
      </c>
      <c r="M13">
        <v>33.454177999999999</v>
      </c>
      <c r="N13">
        <v>34.984561999999997</v>
      </c>
      <c r="O13">
        <v>34.568061999999998</v>
      </c>
      <c r="P13">
        <v>34.144996999999996</v>
      </c>
      <c r="Q13">
        <v>33.609329000000002</v>
      </c>
      <c r="R13">
        <v>33.120063999999999</v>
      </c>
      <c r="S13">
        <v>32.395763000000002</v>
      </c>
      <c r="T13">
        <v>32.150578000000003</v>
      </c>
      <c r="U13">
        <v>31.739253999999999</v>
      </c>
      <c r="V13">
        <v>31.852578999999999</v>
      </c>
      <c r="W13">
        <v>32.220981999999999</v>
      </c>
      <c r="X13">
        <v>32.428497</v>
      </c>
      <c r="Y13">
        <v>32.690303999999998</v>
      </c>
      <c r="Z13">
        <v>32.922626000000001</v>
      </c>
      <c r="AA13">
        <v>33.144596</v>
      </c>
      <c r="AB13">
        <v>33.327987999999998</v>
      </c>
      <c r="AC13">
        <v>33.534081</v>
      </c>
      <c r="AD13">
        <v>33.739693000000003</v>
      </c>
      <c r="AE13">
        <v>34.047595999999999</v>
      </c>
      <c r="AF13">
        <v>34.235228999999997</v>
      </c>
      <c r="AG13" s="9">
        <v>1E-3</v>
      </c>
    </row>
    <row r="14" spans="1:33" x14ac:dyDescent="0.75">
      <c r="A14" t="s">
        <v>1466</v>
      </c>
      <c r="B14" t="s">
        <v>1803</v>
      </c>
      <c r="C14" t="s">
        <v>1802</v>
      </c>
      <c r="D14" t="s">
        <v>1397</v>
      </c>
      <c r="F14">
        <v>33.066139</v>
      </c>
      <c r="G14">
        <v>32.795780000000001</v>
      </c>
      <c r="H14">
        <v>32.182738999999998</v>
      </c>
      <c r="I14">
        <v>32.679839999999999</v>
      </c>
      <c r="J14">
        <v>32.748764000000001</v>
      </c>
      <c r="K14">
        <v>32.915066000000003</v>
      </c>
      <c r="L14">
        <v>33.152549999999998</v>
      </c>
      <c r="M14">
        <v>33.052132</v>
      </c>
      <c r="N14">
        <v>34.631450999999998</v>
      </c>
      <c r="O14">
        <v>34.222492000000003</v>
      </c>
      <c r="P14">
        <v>33.807690000000001</v>
      </c>
      <c r="Q14">
        <v>33.263801999999998</v>
      </c>
      <c r="R14">
        <v>32.840007999999997</v>
      </c>
      <c r="S14">
        <v>32.067276</v>
      </c>
      <c r="T14">
        <v>31.844266999999999</v>
      </c>
      <c r="U14">
        <v>31.377337000000001</v>
      </c>
      <c r="V14">
        <v>31.456423000000001</v>
      </c>
      <c r="W14">
        <v>31.834994999999999</v>
      </c>
      <c r="X14">
        <v>32.177867999999997</v>
      </c>
      <c r="Y14">
        <v>32.423690999999998</v>
      </c>
      <c r="Z14">
        <v>32.669795999999998</v>
      </c>
      <c r="AA14">
        <v>32.850600999999997</v>
      </c>
      <c r="AB14">
        <v>33.113303999999999</v>
      </c>
      <c r="AC14">
        <v>33.340969000000001</v>
      </c>
      <c r="AD14">
        <v>33.559128000000001</v>
      </c>
      <c r="AE14">
        <v>33.8125</v>
      </c>
      <c r="AF14">
        <v>33.880020000000002</v>
      </c>
      <c r="AG14" s="9">
        <v>1E-3</v>
      </c>
    </row>
    <row r="15" spans="1:33" x14ac:dyDescent="0.75">
      <c r="A15" t="s">
        <v>1449</v>
      </c>
      <c r="B15" t="s">
        <v>1801</v>
      </c>
      <c r="C15" t="s">
        <v>1800</v>
      </c>
      <c r="D15" t="s">
        <v>1397</v>
      </c>
      <c r="F15">
        <v>4.4349129999999999</v>
      </c>
      <c r="G15">
        <v>4.7844009999999999</v>
      </c>
      <c r="H15">
        <v>4.8164949999999997</v>
      </c>
      <c r="I15">
        <v>4.8357590000000004</v>
      </c>
      <c r="J15">
        <v>4.8454800000000002</v>
      </c>
      <c r="K15">
        <v>4.8324740000000004</v>
      </c>
      <c r="L15">
        <v>4.8116770000000004</v>
      </c>
      <c r="M15">
        <v>4.7793369999999999</v>
      </c>
      <c r="N15">
        <v>4.7332109999999998</v>
      </c>
      <c r="O15">
        <v>4.6934459999999998</v>
      </c>
      <c r="P15">
        <v>4.6541090000000001</v>
      </c>
      <c r="Q15">
        <v>4.6243600000000002</v>
      </c>
      <c r="R15">
        <v>4.6014150000000003</v>
      </c>
      <c r="S15">
        <v>4.5824860000000003</v>
      </c>
      <c r="T15">
        <v>4.5645759999999997</v>
      </c>
      <c r="U15">
        <v>4.5476869999999998</v>
      </c>
      <c r="V15">
        <v>4.5285599999999997</v>
      </c>
      <c r="W15">
        <v>4.5040550000000001</v>
      </c>
      <c r="X15">
        <v>4.4773750000000003</v>
      </c>
      <c r="Y15">
        <v>4.4496140000000004</v>
      </c>
      <c r="Z15">
        <v>4.4230260000000001</v>
      </c>
      <c r="AA15">
        <v>4.3979499999999998</v>
      </c>
      <c r="AB15">
        <v>4.3725719999999999</v>
      </c>
      <c r="AC15">
        <v>4.3479179999999999</v>
      </c>
      <c r="AD15">
        <v>4.3245950000000004</v>
      </c>
      <c r="AE15">
        <v>4.3017469999999998</v>
      </c>
      <c r="AF15">
        <v>4.2787139999999999</v>
      </c>
      <c r="AG15" s="9">
        <v>-1E-3</v>
      </c>
    </row>
    <row r="16" spans="1:33" x14ac:dyDescent="0.75">
      <c r="A16" t="s">
        <v>1448</v>
      </c>
      <c r="B16" t="s">
        <v>1799</v>
      </c>
      <c r="C16" t="s">
        <v>1798</v>
      </c>
      <c r="D16" t="s">
        <v>1397</v>
      </c>
      <c r="F16">
        <v>3.301256</v>
      </c>
      <c r="G16">
        <v>3.478977</v>
      </c>
      <c r="H16">
        <v>3.5119929999999999</v>
      </c>
      <c r="I16">
        <v>3.5187249999999999</v>
      </c>
      <c r="J16">
        <v>3.5104890000000002</v>
      </c>
      <c r="K16">
        <v>3.5105710000000001</v>
      </c>
      <c r="L16">
        <v>3.5036200000000002</v>
      </c>
      <c r="M16">
        <v>3.499091</v>
      </c>
      <c r="N16">
        <v>3.4860570000000002</v>
      </c>
      <c r="O16">
        <v>3.4705710000000001</v>
      </c>
      <c r="P16">
        <v>3.4589059999999998</v>
      </c>
      <c r="Q16">
        <v>3.4563199999999998</v>
      </c>
      <c r="R16">
        <v>3.462904</v>
      </c>
      <c r="S16">
        <v>3.4745720000000002</v>
      </c>
      <c r="T16">
        <v>3.4877570000000002</v>
      </c>
      <c r="U16">
        <v>3.5032160000000001</v>
      </c>
      <c r="V16">
        <v>3.5158670000000001</v>
      </c>
      <c r="W16">
        <v>3.523517</v>
      </c>
      <c r="X16">
        <v>3.5284260000000001</v>
      </c>
      <c r="Y16">
        <v>3.5318990000000001</v>
      </c>
      <c r="Z16">
        <v>3.5380310000000001</v>
      </c>
      <c r="AA16">
        <v>3.5446629999999999</v>
      </c>
      <c r="AB16">
        <v>3.5489470000000001</v>
      </c>
      <c r="AC16">
        <v>3.5554230000000002</v>
      </c>
      <c r="AD16">
        <v>3.5637690000000002</v>
      </c>
      <c r="AE16">
        <v>3.5710679999999999</v>
      </c>
      <c r="AF16">
        <v>3.5772460000000001</v>
      </c>
      <c r="AG16" s="9">
        <v>3.0000000000000001E-3</v>
      </c>
    </row>
    <row r="17" spans="1:35" x14ac:dyDescent="0.75">
      <c r="A17" t="s">
        <v>1447</v>
      </c>
      <c r="B17" t="s">
        <v>1797</v>
      </c>
      <c r="C17" t="s">
        <v>1796</v>
      </c>
      <c r="D17" t="s">
        <v>1397</v>
      </c>
      <c r="F17">
        <v>10.513494</v>
      </c>
      <c r="G17">
        <v>10.645778</v>
      </c>
      <c r="H17">
        <v>10.550886999999999</v>
      </c>
      <c r="I17">
        <v>10.57701</v>
      </c>
      <c r="J17">
        <v>10.633311000000001</v>
      </c>
      <c r="K17">
        <v>10.684953999999999</v>
      </c>
      <c r="L17">
        <v>10.737125000000001</v>
      </c>
      <c r="M17">
        <v>10.809804</v>
      </c>
      <c r="N17">
        <v>10.954347</v>
      </c>
      <c r="O17">
        <v>11.016700999999999</v>
      </c>
      <c r="P17">
        <v>11.073318</v>
      </c>
      <c r="Q17">
        <v>11.108751</v>
      </c>
      <c r="R17">
        <v>11.155025</v>
      </c>
      <c r="S17">
        <v>11.190754</v>
      </c>
      <c r="T17">
        <v>11.270637000000001</v>
      </c>
      <c r="U17">
        <v>11.343785</v>
      </c>
      <c r="V17">
        <v>11.436538000000001</v>
      </c>
      <c r="W17">
        <v>11.504867000000001</v>
      </c>
      <c r="X17">
        <v>11.572164000000001</v>
      </c>
      <c r="Y17">
        <v>11.65315</v>
      </c>
      <c r="Z17">
        <v>11.718382</v>
      </c>
      <c r="AA17">
        <v>11.782353000000001</v>
      </c>
      <c r="AB17">
        <v>11.846175000000001</v>
      </c>
      <c r="AC17">
        <v>11.928167999999999</v>
      </c>
      <c r="AD17">
        <v>11.992293</v>
      </c>
      <c r="AE17">
        <v>12.046882</v>
      </c>
      <c r="AF17">
        <v>12.096883999999999</v>
      </c>
      <c r="AG17" s="9">
        <v>5.0000000000000001E-3</v>
      </c>
    </row>
    <row r="18" spans="1:35" x14ac:dyDescent="0.75">
      <c r="A18" t="s">
        <v>1465</v>
      </c>
      <c r="B18" t="s">
        <v>1795</v>
      </c>
      <c r="C18" t="s">
        <v>1794</v>
      </c>
      <c r="D18" t="s">
        <v>1397</v>
      </c>
      <c r="F18">
        <v>7.6673220000000004</v>
      </c>
      <c r="G18">
        <v>7.7779619999999996</v>
      </c>
      <c r="H18">
        <v>7.5614790000000003</v>
      </c>
      <c r="I18">
        <v>7.5661779999999998</v>
      </c>
      <c r="J18">
        <v>7.5708570000000002</v>
      </c>
      <c r="K18">
        <v>7.591291</v>
      </c>
      <c r="L18">
        <v>7.6094840000000001</v>
      </c>
      <c r="M18">
        <v>7.6500370000000002</v>
      </c>
      <c r="N18">
        <v>7.6719499999999998</v>
      </c>
      <c r="O18">
        <v>7.6531609999999999</v>
      </c>
      <c r="P18">
        <v>7.6315770000000001</v>
      </c>
      <c r="Q18">
        <v>7.6151460000000002</v>
      </c>
      <c r="R18">
        <v>7.6129199999999999</v>
      </c>
      <c r="S18">
        <v>7.6225690000000004</v>
      </c>
      <c r="T18">
        <v>7.661403</v>
      </c>
      <c r="U18">
        <v>7.7102589999999998</v>
      </c>
      <c r="V18">
        <v>7.7588369999999998</v>
      </c>
      <c r="W18">
        <v>7.7780389999999997</v>
      </c>
      <c r="X18">
        <v>7.8002820000000002</v>
      </c>
      <c r="Y18">
        <v>7.8422080000000003</v>
      </c>
      <c r="Z18">
        <v>7.8679230000000002</v>
      </c>
      <c r="AA18">
        <v>7.8948559999999999</v>
      </c>
      <c r="AB18">
        <v>7.924067</v>
      </c>
      <c r="AC18">
        <v>7.9774380000000003</v>
      </c>
      <c r="AD18">
        <v>8.0173210000000008</v>
      </c>
      <c r="AE18">
        <v>8.0497890000000005</v>
      </c>
      <c r="AF18">
        <v>8.0737279999999991</v>
      </c>
      <c r="AG18" s="9">
        <v>2E-3</v>
      </c>
    </row>
    <row r="19" spans="1:35" x14ac:dyDescent="0.75">
      <c r="A19" t="s">
        <v>1464</v>
      </c>
      <c r="B19" t="s">
        <v>1793</v>
      </c>
      <c r="C19" t="s">
        <v>1792</v>
      </c>
      <c r="D19" t="s">
        <v>1397</v>
      </c>
      <c r="F19">
        <v>1.9742230000000001</v>
      </c>
      <c r="G19">
        <v>1.9808859999999999</v>
      </c>
      <c r="H19">
        <v>2.076794</v>
      </c>
      <c r="I19">
        <v>2.08535</v>
      </c>
      <c r="J19">
        <v>2.1293489999999999</v>
      </c>
      <c r="K19">
        <v>2.149403</v>
      </c>
      <c r="L19">
        <v>2.1602769999999998</v>
      </c>
      <c r="M19">
        <v>2.1550090000000002</v>
      </c>
      <c r="N19">
        <v>2.20614</v>
      </c>
      <c r="O19">
        <v>2.219052</v>
      </c>
      <c r="P19">
        <v>2.2331889999999999</v>
      </c>
      <c r="Q19">
        <v>2.2249110000000001</v>
      </c>
      <c r="R19">
        <v>2.2165219999999999</v>
      </c>
      <c r="S19">
        <v>2.1927140000000001</v>
      </c>
      <c r="T19">
        <v>2.1869179999999999</v>
      </c>
      <c r="U19">
        <v>2.1684559999999999</v>
      </c>
      <c r="V19">
        <v>2.1719599999999999</v>
      </c>
      <c r="W19">
        <v>2.181978</v>
      </c>
      <c r="X19">
        <v>2.1922600000000001</v>
      </c>
      <c r="Y19">
        <v>2.1965810000000001</v>
      </c>
      <c r="Z19">
        <v>2.1994799999999999</v>
      </c>
      <c r="AA19">
        <v>2.202963</v>
      </c>
      <c r="AB19">
        <v>2.2118920000000002</v>
      </c>
      <c r="AC19">
        <v>2.221098</v>
      </c>
      <c r="AD19">
        <v>2.2255729999999998</v>
      </c>
      <c r="AE19">
        <v>2.2309570000000001</v>
      </c>
      <c r="AF19">
        <v>2.2376260000000001</v>
      </c>
      <c r="AG19" s="9">
        <v>5.0000000000000001E-3</v>
      </c>
    </row>
    <row r="20" spans="1:35" x14ac:dyDescent="0.75">
      <c r="A20" t="s">
        <v>1791</v>
      </c>
      <c r="B20" t="s">
        <v>1790</v>
      </c>
      <c r="C20" t="s">
        <v>1789</v>
      </c>
      <c r="D20" t="s">
        <v>1397</v>
      </c>
      <c r="F20">
        <v>0.87194799999999995</v>
      </c>
      <c r="G20">
        <v>0.88693</v>
      </c>
      <c r="H20">
        <v>0.91261499999999995</v>
      </c>
      <c r="I20">
        <v>0.925481</v>
      </c>
      <c r="J20">
        <v>0.93310499999999996</v>
      </c>
      <c r="K20">
        <v>0.94425999999999999</v>
      </c>
      <c r="L20">
        <v>0.96736500000000003</v>
      </c>
      <c r="M20">
        <v>1.004758</v>
      </c>
      <c r="N20">
        <v>1.076257</v>
      </c>
      <c r="O20">
        <v>1.1444879999999999</v>
      </c>
      <c r="P20">
        <v>1.2085539999999999</v>
      </c>
      <c r="Q20">
        <v>1.2686949999999999</v>
      </c>
      <c r="R20">
        <v>1.325583</v>
      </c>
      <c r="S20">
        <v>1.375472</v>
      </c>
      <c r="T20">
        <v>1.4223170000000001</v>
      </c>
      <c r="U20">
        <v>1.4650700000000001</v>
      </c>
      <c r="V20">
        <v>1.505741</v>
      </c>
      <c r="W20">
        <v>1.5448489999999999</v>
      </c>
      <c r="X20">
        <v>1.5796209999999999</v>
      </c>
      <c r="Y20">
        <v>1.61436</v>
      </c>
      <c r="Z20">
        <v>1.650979</v>
      </c>
      <c r="AA20">
        <v>1.6845330000000001</v>
      </c>
      <c r="AB20">
        <v>1.710216</v>
      </c>
      <c r="AC20">
        <v>1.7296320000000001</v>
      </c>
      <c r="AD20">
        <v>1.7493989999999999</v>
      </c>
      <c r="AE20">
        <v>1.766135</v>
      </c>
      <c r="AF20">
        <v>1.7855300000000001</v>
      </c>
      <c r="AG20" s="9">
        <v>2.8000000000000001E-2</v>
      </c>
    </row>
    <row r="21" spans="1:35" x14ac:dyDescent="0.75">
      <c r="A21" t="s">
        <v>65</v>
      </c>
      <c r="B21" t="s">
        <v>1788</v>
      </c>
      <c r="C21" t="s">
        <v>1787</v>
      </c>
      <c r="D21" t="s">
        <v>1397</v>
      </c>
      <c r="F21">
        <v>1.3326899999999999</v>
      </c>
      <c r="G21">
        <v>1.3389059999999999</v>
      </c>
      <c r="H21">
        <v>1.3653169999999999</v>
      </c>
      <c r="I21">
        <v>1.3432459999999999</v>
      </c>
      <c r="J21">
        <v>1.3925620000000001</v>
      </c>
      <c r="K21">
        <v>1.4241220000000001</v>
      </c>
      <c r="L21">
        <v>1.451179</v>
      </c>
      <c r="M21">
        <v>1.4564049999999999</v>
      </c>
      <c r="N21">
        <v>1.482111</v>
      </c>
      <c r="O21">
        <v>1.4899169999999999</v>
      </c>
      <c r="P21">
        <v>1.5051699999999999</v>
      </c>
      <c r="Q21">
        <v>1.5151410000000001</v>
      </c>
      <c r="R21">
        <v>1.5277000000000001</v>
      </c>
      <c r="S21">
        <v>1.5345599999999999</v>
      </c>
      <c r="T21">
        <v>1.5387519999999999</v>
      </c>
      <c r="U21">
        <v>1.5455190000000001</v>
      </c>
      <c r="V21">
        <v>1.5613239999999999</v>
      </c>
      <c r="W21">
        <v>1.575612</v>
      </c>
      <c r="X21">
        <v>1.5943590000000001</v>
      </c>
      <c r="Y21">
        <v>1.6132249999999999</v>
      </c>
      <c r="Z21">
        <v>1.636034</v>
      </c>
      <c r="AA21">
        <v>1.659127</v>
      </c>
      <c r="AB21">
        <v>1.6785969999999999</v>
      </c>
      <c r="AC21">
        <v>1.702153</v>
      </c>
      <c r="AD21">
        <v>1.726235</v>
      </c>
      <c r="AE21">
        <v>1.7511099999999999</v>
      </c>
      <c r="AF21">
        <v>1.7836350000000001</v>
      </c>
      <c r="AG21" s="9">
        <v>1.0999999999999999E-2</v>
      </c>
    </row>
    <row r="22" spans="1:35" x14ac:dyDescent="0.75">
      <c r="A22" t="s">
        <v>1460</v>
      </c>
      <c r="B22" t="s">
        <v>1459</v>
      </c>
      <c r="C22" t="s">
        <v>1458</v>
      </c>
      <c r="D22" t="s">
        <v>1786</v>
      </c>
      <c r="E22" t="s">
        <v>1785</v>
      </c>
      <c r="F22" t="s">
        <v>1397</v>
      </c>
      <c r="H22">
        <v>8.5414000000000004E-2</v>
      </c>
      <c r="I22">
        <v>9.2895000000000005E-2</v>
      </c>
      <c r="J22">
        <v>9.8794999999999994E-2</v>
      </c>
      <c r="K22">
        <v>0.10333100000000001</v>
      </c>
      <c r="L22">
        <v>0.10687000000000001</v>
      </c>
      <c r="M22">
        <v>0.10988100000000001</v>
      </c>
      <c r="N22">
        <v>0.112021</v>
      </c>
      <c r="O22">
        <v>0.113371</v>
      </c>
      <c r="P22">
        <v>0.11318400000000001</v>
      </c>
      <c r="Q22">
        <v>0.11265600000000001</v>
      </c>
      <c r="R22">
        <v>0.112681</v>
      </c>
      <c r="S22">
        <v>0.11322699999999999</v>
      </c>
      <c r="T22">
        <v>0.11434</v>
      </c>
      <c r="U22">
        <v>0.116177</v>
      </c>
      <c r="V22">
        <v>0.119021</v>
      </c>
      <c r="W22">
        <v>0.12305199999999999</v>
      </c>
      <c r="X22">
        <v>0.129217</v>
      </c>
      <c r="Y22">
        <v>0.13624800000000001</v>
      </c>
      <c r="Z22">
        <v>0.144318</v>
      </c>
      <c r="AA22">
        <v>0.153423</v>
      </c>
      <c r="AB22">
        <v>0.16291900000000001</v>
      </c>
      <c r="AC22">
        <v>0.17302999999999999</v>
      </c>
      <c r="AD22">
        <v>0.18404000000000001</v>
      </c>
      <c r="AE22">
        <v>0.19525300000000001</v>
      </c>
      <c r="AF22">
        <v>0.206759</v>
      </c>
      <c r="AG22">
        <v>0.218776</v>
      </c>
      <c r="AH22">
        <v>0.23118</v>
      </c>
      <c r="AI22" s="9">
        <v>3.9E-2</v>
      </c>
    </row>
    <row r="23" spans="1:35" x14ac:dyDescent="0.75">
      <c r="A23" t="s">
        <v>1457</v>
      </c>
      <c r="B23" t="s">
        <v>1784</v>
      </c>
      <c r="C23" t="s">
        <v>1783</v>
      </c>
      <c r="D23" t="s">
        <v>1397</v>
      </c>
      <c r="F23">
        <v>0.892073</v>
      </c>
      <c r="G23">
        <v>0.84020899999999998</v>
      </c>
      <c r="H23">
        <v>0.83438500000000004</v>
      </c>
      <c r="I23">
        <v>0.807006</v>
      </c>
      <c r="J23">
        <v>0.76928600000000003</v>
      </c>
      <c r="K23">
        <v>0.73934900000000003</v>
      </c>
      <c r="L23">
        <v>0.70346600000000004</v>
      </c>
      <c r="M23">
        <v>0.69089800000000001</v>
      </c>
      <c r="N23">
        <v>0.699048</v>
      </c>
      <c r="O23">
        <v>0.69272500000000004</v>
      </c>
      <c r="P23">
        <v>0.69179000000000002</v>
      </c>
      <c r="Q23">
        <v>0.69311599999999995</v>
      </c>
      <c r="R23">
        <v>0.69488099999999997</v>
      </c>
      <c r="S23">
        <v>0.69334799999999996</v>
      </c>
      <c r="T23">
        <v>0.69469499999999995</v>
      </c>
      <c r="U23">
        <v>0.69742999999999999</v>
      </c>
      <c r="V23">
        <v>0.70552800000000004</v>
      </c>
      <c r="W23">
        <v>0.71432799999999996</v>
      </c>
      <c r="X23">
        <v>0.72508600000000001</v>
      </c>
      <c r="Y23">
        <v>0.73799099999999995</v>
      </c>
      <c r="Z23">
        <v>0.75314700000000001</v>
      </c>
      <c r="AA23">
        <v>0.76789099999999999</v>
      </c>
      <c r="AB23">
        <v>0.77902300000000002</v>
      </c>
      <c r="AC23">
        <v>0.79098999999999997</v>
      </c>
      <c r="AD23">
        <v>0.80438600000000005</v>
      </c>
      <c r="AE23">
        <v>0.81915700000000002</v>
      </c>
      <c r="AF23">
        <v>0.83631</v>
      </c>
      <c r="AG23" s="9">
        <v>-2E-3</v>
      </c>
    </row>
    <row r="24" spans="1:35" x14ac:dyDescent="0.75">
      <c r="A24" t="s">
        <v>1463</v>
      </c>
      <c r="B24" t="s">
        <v>1782</v>
      </c>
      <c r="C24" t="s">
        <v>1781</v>
      </c>
      <c r="D24" t="s">
        <v>1397</v>
      </c>
      <c r="F24">
        <v>0.35520299999999999</v>
      </c>
      <c r="G24">
        <v>0.405802</v>
      </c>
      <c r="H24">
        <v>0.43213600000000002</v>
      </c>
      <c r="I24">
        <v>0.43290899999999999</v>
      </c>
      <c r="J24">
        <v>0.51640699999999995</v>
      </c>
      <c r="K24">
        <v>0.57489199999999996</v>
      </c>
      <c r="L24">
        <v>0.63569200000000003</v>
      </c>
      <c r="M24">
        <v>0.65213600000000005</v>
      </c>
      <c r="N24">
        <v>0.66987799999999997</v>
      </c>
      <c r="O24">
        <v>0.68453600000000003</v>
      </c>
      <c r="P24">
        <v>0.70069800000000004</v>
      </c>
      <c r="Q24">
        <v>0.70879800000000004</v>
      </c>
      <c r="R24">
        <v>0.71847799999999995</v>
      </c>
      <c r="S24">
        <v>0.72503600000000001</v>
      </c>
      <c r="T24">
        <v>0.72503600000000001</v>
      </c>
      <c r="U24">
        <v>0.72503600000000001</v>
      </c>
      <c r="V24">
        <v>0.72657799999999995</v>
      </c>
      <c r="W24">
        <v>0.72503600000000001</v>
      </c>
      <c r="X24">
        <v>0.72495500000000002</v>
      </c>
      <c r="Y24">
        <v>0.72181099999999998</v>
      </c>
      <c r="Z24">
        <v>0.71996800000000005</v>
      </c>
      <c r="AA24">
        <v>0.71820600000000001</v>
      </c>
      <c r="AB24">
        <v>0.715534</v>
      </c>
      <c r="AC24">
        <v>0.71590900000000002</v>
      </c>
      <c r="AD24">
        <v>0.71509</v>
      </c>
      <c r="AE24">
        <v>0.71317699999999995</v>
      </c>
      <c r="AF24">
        <v>0.71614500000000003</v>
      </c>
      <c r="AG24" s="9">
        <v>2.7E-2</v>
      </c>
    </row>
    <row r="25" spans="1:35" x14ac:dyDescent="0.75">
      <c r="A25" t="s">
        <v>1446</v>
      </c>
      <c r="B25" t="s">
        <v>1780</v>
      </c>
      <c r="C25" t="s">
        <v>1779</v>
      </c>
      <c r="D25" t="s">
        <v>1397</v>
      </c>
      <c r="F25">
        <v>13.483787</v>
      </c>
      <c r="G25">
        <v>12.547715999999999</v>
      </c>
      <c r="H25">
        <v>11.93805</v>
      </c>
      <c r="I25">
        <v>12.405101</v>
      </c>
      <c r="J25">
        <v>12.366923</v>
      </c>
      <c r="K25">
        <v>12.462942</v>
      </c>
      <c r="L25">
        <v>12.648949999999999</v>
      </c>
      <c r="M25">
        <v>12.507498999999999</v>
      </c>
      <c r="N25">
        <v>13.97573</v>
      </c>
      <c r="O25">
        <v>13.551859</v>
      </c>
      <c r="P25">
        <v>13.116185</v>
      </c>
      <c r="Q25">
        <v>12.559227</v>
      </c>
      <c r="R25">
        <v>12.092962</v>
      </c>
      <c r="S25">
        <v>11.284903</v>
      </c>
      <c r="T25">
        <v>10.982544000000001</v>
      </c>
      <c r="U25">
        <v>10.437131000000001</v>
      </c>
      <c r="V25">
        <v>10.414135999999999</v>
      </c>
      <c r="W25">
        <v>10.726946</v>
      </c>
      <c r="X25">
        <v>11.005544</v>
      </c>
      <c r="Y25">
        <v>11.175805</v>
      </c>
      <c r="Z25">
        <v>11.354323000000001</v>
      </c>
      <c r="AA25">
        <v>11.466511000000001</v>
      </c>
      <c r="AB25">
        <v>11.667014</v>
      </c>
      <c r="AC25">
        <v>11.807306000000001</v>
      </c>
      <c r="AD25">
        <v>11.952235</v>
      </c>
      <c r="AE25">
        <v>12.141692000000001</v>
      </c>
      <c r="AF25">
        <v>12.143542999999999</v>
      </c>
      <c r="AG25" s="9">
        <v>-4.0000000000000001E-3</v>
      </c>
    </row>
    <row r="26" spans="1:35" x14ac:dyDescent="0.75">
      <c r="A26" t="s">
        <v>1456</v>
      </c>
      <c r="B26" t="s">
        <v>1778</v>
      </c>
      <c r="C26" t="s">
        <v>1777</v>
      </c>
      <c r="D26" t="s">
        <v>1397</v>
      </c>
      <c r="F26">
        <v>0.708511</v>
      </c>
      <c r="G26">
        <v>0.225628</v>
      </c>
      <c r="H26">
        <v>0.249947</v>
      </c>
      <c r="I26">
        <v>0.31088300000000002</v>
      </c>
      <c r="J26">
        <v>0.33208100000000002</v>
      </c>
      <c r="K26">
        <v>0.39308900000000002</v>
      </c>
      <c r="L26">
        <v>0.46218900000000002</v>
      </c>
      <c r="M26">
        <v>0.40204600000000001</v>
      </c>
      <c r="N26">
        <v>0.35311100000000001</v>
      </c>
      <c r="O26">
        <v>0.34556999999999999</v>
      </c>
      <c r="P26">
        <v>0.33730700000000002</v>
      </c>
      <c r="Q26">
        <v>0.345528</v>
      </c>
      <c r="R26">
        <v>0.28005600000000003</v>
      </c>
      <c r="S26">
        <v>0.32848699999999997</v>
      </c>
      <c r="T26">
        <v>0.306311</v>
      </c>
      <c r="U26">
        <v>0.36191699999999999</v>
      </c>
      <c r="V26">
        <v>0.39615600000000001</v>
      </c>
      <c r="W26">
        <v>0.385986</v>
      </c>
      <c r="X26">
        <v>0.25062899999999999</v>
      </c>
      <c r="Y26">
        <v>0.26661299999999999</v>
      </c>
      <c r="Z26">
        <v>0.25283099999999997</v>
      </c>
      <c r="AA26">
        <v>0.29399500000000001</v>
      </c>
      <c r="AB26">
        <v>0.21468400000000001</v>
      </c>
      <c r="AC26">
        <v>0.193111</v>
      </c>
      <c r="AD26">
        <v>0.180565</v>
      </c>
      <c r="AE26">
        <v>0.235096</v>
      </c>
      <c r="AF26">
        <v>0.355209</v>
      </c>
      <c r="AG26" s="9">
        <v>-2.5999999999999999E-2</v>
      </c>
    </row>
    <row r="27" spans="1:35" x14ac:dyDescent="0.75">
      <c r="A27" t="s">
        <v>1455</v>
      </c>
    </row>
    <row r="28" spans="1:35" x14ac:dyDescent="0.75">
      <c r="A28" t="s">
        <v>1454</v>
      </c>
    </row>
    <row r="29" spans="1:35" s="40" customFormat="1" x14ac:dyDescent="0.75">
      <c r="A29" s="40" t="s">
        <v>1776</v>
      </c>
      <c r="B29" s="40" t="s">
        <v>1764</v>
      </c>
      <c r="C29" s="40" t="s">
        <v>1775</v>
      </c>
      <c r="D29" s="40" t="s">
        <v>1774</v>
      </c>
      <c r="F29" s="40">
        <v>2.1915819999999999</v>
      </c>
      <c r="G29" s="40">
        <v>2.8831120000000001</v>
      </c>
      <c r="H29" s="40">
        <v>2.74762</v>
      </c>
      <c r="I29" s="40">
        <v>2.6378059999999999</v>
      </c>
      <c r="J29" s="40">
        <v>2.7489270000000001</v>
      </c>
      <c r="K29" s="40">
        <v>2.9191880000000001</v>
      </c>
      <c r="L29" s="40">
        <v>3.1593089999999999</v>
      </c>
      <c r="M29" s="40">
        <v>3.3200449999999999</v>
      </c>
      <c r="N29" s="40">
        <v>3.7670919999999999</v>
      </c>
      <c r="O29" s="40">
        <v>4.1578290000000004</v>
      </c>
      <c r="P29" s="40">
        <v>4.4359570000000001</v>
      </c>
      <c r="Q29" s="40">
        <v>4.5243409999999997</v>
      </c>
      <c r="R29" s="40">
        <v>4.5402199999999997</v>
      </c>
      <c r="S29" s="40">
        <v>4.508521</v>
      </c>
      <c r="T29" s="40">
        <v>4.4575129999999996</v>
      </c>
      <c r="U29" s="40">
        <v>4.4004029999999998</v>
      </c>
      <c r="V29" s="40">
        <v>4.4350269999999998</v>
      </c>
      <c r="W29" s="40">
        <v>4.5222069999999999</v>
      </c>
      <c r="X29" s="40">
        <v>4.6068449999999999</v>
      </c>
      <c r="Y29" s="40">
        <v>4.7113440000000004</v>
      </c>
      <c r="Z29" s="40">
        <v>4.7967890000000004</v>
      </c>
      <c r="AA29" s="40">
        <v>4.8473750000000004</v>
      </c>
      <c r="AB29" s="40">
        <v>4.8776999999999999</v>
      </c>
      <c r="AC29" s="40">
        <v>4.8873980000000001</v>
      </c>
      <c r="AD29" s="40">
        <v>4.9202349999999999</v>
      </c>
      <c r="AE29" s="40">
        <v>5.0136570000000003</v>
      </c>
      <c r="AF29" s="40">
        <v>5.1268890000000003</v>
      </c>
      <c r="AG29" s="41">
        <v>3.3000000000000002E-2</v>
      </c>
    </row>
    <row r="30" spans="1:35" x14ac:dyDescent="0.75">
      <c r="A30" t="s">
        <v>1451</v>
      </c>
    </row>
    <row r="31" spans="1:35" x14ac:dyDescent="0.75">
      <c r="A31" t="s">
        <v>1773</v>
      </c>
    </row>
    <row r="32" spans="1:35" x14ac:dyDescent="0.75">
      <c r="A32" t="s">
        <v>1449</v>
      </c>
      <c r="B32" t="s">
        <v>1762</v>
      </c>
      <c r="C32" t="s">
        <v>1772</v>
      </c>
      <c r="D32" t="s">
        <v>1766</v>
      </c>
      <c r="F32">
        <v>14.461629</v>
      </c>
      <c r="G32">
        <v>13.17666</v>
      </c>
      <c r="H32">
        <v>12.95107</v>
      </c>
      <c r="I32">
        <v>12.530008</v>
      </c>
      <c r="J32">
        <v>12.274893</v>
      </c>
      <c r="K32">
        <v>12.153532999999999</v>
      </c>
      <c r="L32">
        <v>12.069900000000001</v>
      </c>
      <c r="M32">
        <v>12.278881</v>
      </c>
      <c r="N32">
        <v>12.725538</v>
      </c>
      <c r="O32">
        <v>13.122069</v>
      </c>
      <c r="P32">
        <v>13.391861</v>
      </c>
      <c r="Q32">
        <v>13.542139000000001</v>
      </c>
      <c r="R32">
        <v>13.557489</v>
      </c>
      <c r="S32">
        <v>13.544172</v>
      </c>
      <c r="T32">
        <v>13.521585999999999</v>
      </c>
      <c r="U32">
        <v>13.461446</v>
      </c>
      <c r="V32">
        <v>13.494338000000001</v>
      </c>
      <c r="W32">
        <v>13.624146</v>
      </c>
      <c r="X32">
        <v>13.737558</v>
      </c>
      <c r="Y32">
        <v>13.83361</v>
      </c>
      <c r="Z32">
        <v>13.893803</v>
      </c>
      <c r="AA32">
        <v>13.983382000000001</v>
      </c>
      <c r="AB32">
        <v>14.083962</v>
      </c>
      <c r="AC32">
        <v>14.129821</v>
      </c>
      <c r="AD32">
        <v>14.159421999999999</v>
      </c>
      <c r="AE32">
        <v>14.244237999999999</v>
      </c>
      <c r="AF32">
        <v>14.31883</v>
      </c>
      <c r="AG32" s="9">
        <v>0</v>
      </c>
    </row>
    <row r="33" spans="1:33" x14ac:dyDescent="0.75">
      <c r="A33" t="s">
        <v>1448</v>
      </c>
      <c r="B33" t="s">
        <v>1760</v>
      </c>
      <c r="C33" t="s">
        <v>1771</v>
      </c>
      <c r="D33" t="s">
        <v>1766</v>
      </c>
      <c r="F33">
        <v>9.9189799999999995</v>
      </c>
      <c r="G33">
        <v>8.7956260000000004</v>
      </c>
      <c r="H33">
        <v>8.8970830000000003</v>
      </c>
      <c r="I33">
        <v>8.8365500000000008</v>
      </c>
      <c r="J33">
        <v>8.9196439999999999</v>
      </c>
      <c r="K33">
        <v>9.1006289999999996</v>
      </c>
      <c r="L33">
        <v>9.3172940000000004</v>
      </c>
      <c r="M33">
        <v>9.4678939999999994</v>
      </c>
      <c r="N33">
        <v>9.8324580000000008</v>
      </c>
      <c r="O33">
        <v>10.159770999999999</v>
      </c>
      <c r="P33">
        <v>10.368036</v>
      </c>
      <c r="Q33">
        <v>10.468318999999999</v>
      </c>
      <c r="R33">
        <v>10.449934000000001</v>
      </c>
      <c r="S33">
        <v>10.407696</v>
      </c>
      <c r="T33">
        <v>10.357066</v>
      </c>
      <c r="U33">
        <v>10.270552</v>
      </c>
      <c r="V33">
        <v>10.270808000000001</v>
      </c>
      <c r="W33">
        <v>10.360628999999999</v>
      </c>
      <c r="X33">
        <v>10.434948</v>
      </c>
      <c r="Y33">
        <v>10.495901999999999</v>
      </c>
      <c r="Z33">
        <v>10.522658</v>
      </c>
      <c r="AA33">
        <v>10.578818999999999</v>
      </c>
      <c r="AB33">
        <v>10.648362000000001</v>
      </c>
      <c r="AC33">
        <v>10.665274</v>
      </c>
      <c r="AD33">
        <v>10.670247</v>
      </c>
      <c r="AE33">
        <v>10.729241</v>
      </c>
      <c r="AF33">
        <v>10.778672</v>
      </c>
      <c r="AG33" s="9">
        <v>3.0000000000000001E-3</v>
      </c>
    </row>
    <row r="34" spans="1:33" x14ac:dyDescent="0.75">
      <c r="A34" t="s">
        <v>1447</v>
      </c>
      <c r="B34" t="s">
        <v>1758</v>
      </c>
      <c r="C34" t="s">
        <v>1770</v>
      </c>
      <c r="D34" t="s">
        <v>1766</v>
      </c>
      <c r="F34">
        <v>3.4638779999999998</v>
      </c>
      <c r="G34">
        <v>4.1630019999999996</v>
      </c>
      <c r="H34">
        <v>4.0601219999999998</v>
      </c>
      <c r="I34">
        <v>3.9355980000000002</v>
      </c>
      <c r="J34">
        <v>4.0166570000000004</v>
      </c>
      <c r="K34">
        <v>4.173019</v>
      </c>
      <c r="L34">
        <v>4.3914229999999996</v>
      </c>
      <c r="M34">
        <v>4.5569160000000002</v>
      </c>
      <c r="N34">
        <v>5.0143230000000001</v>
      </c>
      <c r="O34">
        <v>5.3758929999999996</v>
      </c>
      <c r="P34">
        <v>5.6180110000000001</v>
      </c>
      <c r="Q34">
        <v>5.7028280000000002</v>
      </c>
      <c r="R34">
        <v>5.6897060000000002</v>
      </c>
      <c r="S34">
        <v>5.6371669999999998</v>
      </c>
      <c r="T34">
        <v>5.5747710000000001</v>
      </c>
      <c r="U34">
        <v>5.491282</v>
      </c>
      <c r="V34">
        <v>5.5124769999999996</v>
      </c>
      <c r="W34">
        <v>5.6089779999999996</v>
      </c>
      <c r="X34">
        <v>5.69496</v>
      </c>
      <c r="Y34">
        <v>5.7725679999999997</v>
      </c>
      <c r="Z34">
        <v>5.8290730000000002</v>
      </c>
      <c r="AA34">
        <v>5.8809269999999998</v>
      </c>
      <c r="AB34">
        <v>5.9343810000000001</v>
      </c>
      <c r="AC34">
        <v>5.9401099999999998</v>
      </c>
      <c r="AD34">
        <v>5.9549029999999998</v>
      </c>
      <c r="AE34">
        <v>6.0180179999999996</v>
      </c>
      <c r="AF34">
        <v>6.0857260000000002</v>
      </c>
      <c r="AG34" s="9">
        <v>2.1999999999999999E-2</v>
      </c>
    </row>
    <row r="35" spans="1:33" x14ac:dyDescent="0.75">
      <c r="A35" t="s">
        <v>65</v>
      </c>
      <c r="B35" t="s">
        <v>1756</v>
      </c>
      <c r="C35" t="s">
        <v>1769</v>
      </c>
      <c r="D35" t="s">
        <v>1766</v>
      </c>
      <c r="F35">
        <v>15.065847</v>
      </c>
      <c r="G35">
        <v>15.617210999999999</v>
      </c>
      <c r="H35">
        <v>15.54682</v>
      </c>
      <c r="I35">
        <v>15.422724000000001</v>
      </c>
      <c r="J35">
        <v>15.475123999999999</v>
      </c>
      <c r="K35">
        <v>15.612073000000001</v>
      </c>
      <c r="L35">
        <v>15.763506</v>
      </c>
      <c r="M35">
        <v>15.880777999999999</v>
      </c>
      <c r="N35">
        <v>16.262198999999999</v>
      </c>
      <c r="O35">
        <v>16.507532000000001</v>
      </c>
      <c r="P35">
        <v>16.626369</v>
      </c>
      <c r="Q35">
        <v>16.624753999999999</v>
      </c>
      <c r="R35">
        <v>16.512357999999999</v>
      </c>
      <c r="S35">
        <v>16.371016000000001</v>
      </c>
      <c r="T35">
        <v>16.24568</v>
      </c>
      <c r="U35">
        <v>16.063836999999999</v>
      </c>
      <c r="V35">
        <v>15.988713000000001</v>
      </c>
      <c r="W35">
        <v>16.003509999999999</v>
      </c>
      <c r="X35">
        <v>16.001871000000001</v>
      </c>
      <c r="Y35">
        <v>16.000423000000001</v>
      </c>
      <c r="Z35">
        <v>15.969303</v>
      </c>
      <c r="AA35">
        <v>15.945396000000001</v>
      </c>
      <c r="AB35">
        <v>15.937248</v>
      </c>
      <c r="AC35">
        <v>15.86247</v>
      </c>
      <c r="AD35">
        <v>15.793950000000001</v>
      </c>
      <c r="AE35">
        <v>15.784898</v>
      </c>
      <c r="AF35">
        <v>15.768268000000001</v>
      </c>
      <c r="AG35" s="9">
        <v>2E-3</v>
      </c>
    </row>
    <row r="36" spans="1:33" x14ac:dyDescent="0.75">
      <c r="A36" t="s">
        <v>1446</v>
      </c>
      <c r="B36" t="s">
        <v>1754</v>
      </c>
      <c r="C36" t="s">
        <v>1768</v>
      </c>
      <c r="D36" t="s">
        <v>1766</v>
      </c>
      <c r="F36">
        <v>2.8091390000000001</v>
      </c>
      <c r="G36">
        <v>3.234845</v>
      </c>
      <c r="H36">
        <v>3.1697229999999998</v>
      </c>
      <c r="I36">
        <v>3.095491</v>
      </c>
      <c r="J36">
        <v>3.2292000000000001</v>
      </c>
      <c r="K36">
        <v>3.4372310000000001</v>
      </c>
      <c r="L36">
        <v>3.72268</v>
      </c>
      <c r="M36">
        <v>3.8176519999999998</v>
      </c>
      <c r="N36">
        <v>4.3358499999999998</v>
      </c>
      <c r="O36">
        <v>4.6567379999999998</v>
      </c>
      <c r="P36">
        <v>4.8735660000000003</v>
      </c>
      <c r="Q36">
        <v>4.9474099999999996</v>
      </c>
      <c r="R36">
        <v>4.9423680000000001</v>
      </c>
      <c r="S36">
        <v>4.9063660000000002</v>
      </c>
      <c r="T36">
        <v>4.8712169999999997</v>
      </c>
      <c r="U36">
        <v>4.8137480000000004</v>
      </c>
      <c r="V36">
        <v>4.8456530000000004</v>
      </c>
      <c r="W36">
        <v>4.9269259999999999</v>
      </c>
      <c r="X36">
        <v>5.0020259999999999</v>
      </c>
      <c r="Y36">
        <v>5.0920519999999998</v>
      </c>
      <c r="Z36">
        <v>5.1802760000000001</v>
      </c>
      <c r="AA36">
        <v>5.2265379999999997</v>
      </c>
      <c r="AB36">
        <v>5.2853579999999996</v>
      </c>
      <c r="AC36">
        <v>5.2939410000000002</v>
      </c>
      <c r="AD36">
        <v>5.3175980000000003</v>
      </c>
      <c r="AE36">
        <v>5.3898429999999999</v>
      </c>
      <c r="AF36">
        <v>5.4724370000000002</v>
      </c>
      <c r="AG36" s="9">
        <v>2.5999999999999999E-2</v>
      </c>
    </row>
    <row r="37" spans="1:33" x14ac:dyDescent="0.75">
      <c r="A37" t="s">
        <v>1445</v>
      </c>
      <c r="B37" t="s">
        <v>1752</v>
      </c>
      <c r="C37" t="s">
        <v>1767</v>
      </c>
      <c r="D37" t="s">
        <v>1766</v>
      </c>
      <c r="F37">
        <v>5.5509550000000001</v>
      </c>
      <c r="G37">
        <v>5.8093180000000002</v>
      </c>
      <c r="H37">
        <v>5.8052000000000001</v>
      </c>
      <c r="I37">
        <v>5.6249079999999996</v>
      </c>
      <c r="J37">
        <v>5.6779019999999996</v>
      </c>
      <c r="K37">
        <v>5.8018150000000004</v>
      </c>
      <c r="L37">
        <v>5.977849</v>
      </c>
      <c r="M37">
        <v>6.1183769999999997</v>
      </c>
      <c r="N37">
        <v>6.4676299999999998</v>
      </c>
      <c r="O37">
        <v>6.8292279999999996</v>
      </c>
      <c r="P37">
        <v>7.0798750000000004</v>
      </c>
      <c r="Q37">
        <v>7.2042130000000002</v>
      </c>
      <c r="R37">
        <v>7.2268920000000003</v>
      </c>
      <c r="S37">
        <v>7.2468669999999999</v>
      </c>
      <c r="T37">
        <v>7.2210039999999998</v>
      </c>
      <c r="U37">
        <v>7.1897589999999996</v>
      </c>
      <c r="V37">
        <v>7.2092830000000001</v>
      </c>
      <c r="W37">
        <v>7.2721289999999996</v>
      </c>
      <c r="X37">
        <v>7.3273549999999998</v>
      </c>
      <c r="Y37">
        <v>7.3890880000000001</v>
      </c>
      <c r="Z37">
        <v>7.4345100000000004</v>
      </c>
      <c r="AA37">
        <v>7.4760900000000001</v>
      </c>
      <c r="AB37">
        <v>7.5200519999999997</v>
      </c>
      <c r="AC37">
        <v>7.5176160000000003</v>
      </c>
      <c r="AD37">
        <v>7.521401</v>
      </c>
      <c r="AE37">
        <v>7.5729800000000003</v>
      </c>
      <c r="AF37">
        <v>7.6413880000000001</v>
      </c>
      <c r="AG37" s="9">
        <v>1.2E-2</v>
      </c>
    </row>
    <row r="38" spans="1:33" x14ac:dyDescent="0.75">
      <c r="A38" t="s">
        <v>1454</v>
      </c>
    </row>
    <row r="39" spans="1:33" x14ac:dyDescent="0.75">
      <c r="A39" t="s">
        <v>1765</v>
      </c>
      <c r="B39" t="s">
        <v>1764</v>
      </c>
      <c r="C39" t="s">
        <v>1763</v>
      </c>
      <c r="D39" t="s">
        <v>1452</v>
      </c>
      <c r="F39">
        <v>2.1915819999999999</v>
      </c>
      <c r="G39">
        <v>2.9421710000000001</v>
      </c>
      <c r="H39">
        <v>2.8513250000000001</v>
      </c>
      <c r="I39">
        <v>2.7831730000000001</v>
      </c>
      <c r="J39">
        <v>2.9553280000000002</v>
      </c>
      <c r="K39">
        <v>3.1943830000000002</v>
      </c>
      <c r="L39">
        <v>3.5221119999999999</v>
      </c>
      <c r="M39">
        <v>3.777838</v>
      </c>
      <c r="N39">
        <v>4.3780260000000002</v>
      </c>
      <c r="O39">
        <v>4.9381620000000002</v>
      </c>
      <c r="P39">
        <v>5.38605</v>
      </c>
      <c r="Q39">
        <v>5.6129160000000002</v>
      </c>
      <c r="R39">
        <v>5.7493759999999998</v>
      </c>
      <c r="S39">
        <v>5.8280760000000003</v>
      </c>
      <c r="T39">
        <v>5.8821890000000003</v>
      </c>
      <c r="U39">
        <v>5.9264260000000002</v>
      </c>
      <c r="V39">
        <v>6.0982909999999997</v>
      </c>
      <c r="W39">
        <v>6.3508420000000001</v>
      </c>
      <c r="X39">
        <v>6.6092890000000004</v>
      </c>
      <c r="Y39">
        <v>6.9073719999999996</v>
      </c>
      <c r="Z39">
        <v>7.1880350000000002</v>
      </c>
      <c r="AA39">
        <v>7.4256469999999997</v>
      </c>
      <c r="AB39">
        <v>7.6388910000000001</v>
      </c>
      <c r="AC39">
        <v>7.827547</v>
      </c>
      <c r="AD39">
        <v>8.0595169999999996</v>
      </c>
      <c r="AE39">
        <v>8.4002940000000006</v>
      </c>
      <c r="AF39">
        <v>8.7873009999999994</v>
      </c>
      <c r="AG39" s="9">
        <v>5.5E-2</v>
      </c>
    </row>
    <row r="40" spans="1:33" x14ac:dyDescent="0.75">
      <c r="A40" t="s">
        <v>1451</v>
      </c>
    </row>
    <row r="41" spans="1:33" x14ac:dyDescent="0.75">
      <c r="A41" t="s">
        <v>1450</v>
      </c>
    </row>
    <row r="42" spans="1:33" x14ac:dyDescent="0.75">
      <c r="A42" t="s">
        <v>1449</v>
      </c>
      <c r="B42" t="s">
        <v>1762</v>
      </c>
      <c r="C42" t="s">
        <v>1761</v>
      </c>
      <c r="D42" t="s">
        <v>1444</v>
      </c>
      <c r="F42">
        <v>14.461629</v>
      </c>
      <c r="G42">
        <v>13.446574999999999</v>
      </c>
      <c r="H42">
        <v>13.439890999999999</v>
      </c>
      <c r="I42">
        <v>13.220521</v>
      </c>
      <c r="J42">
        <v>13.196542000000001</v>
      </c>
      <c r="K42">
        <v>13.29926</v>
      </c>
      <c r="L42">
        <v>13.455959999999999</v>
      </c>
      <c r="M42">
        <v>13.971985999999999</v>
      </c>
      <c r="N42">
        <v>14.78932</v>
      </c>
      <c r="O42">
        <v>15.584794</v>
      </c>
      <c r="P42">
        <v>16.26013</v>
      </c>
      <c r="Q42">
        <v>16.800436000000001</v>
      </c>
      <c r="R42">
        <v>17.168133000000001</v>
      </c>
      <c r="S42">
        <v>17.508285999999998</v>
      </c>
      <c r="T42">
        <v>17.843250000000001</v>
      </c>
      <c r="U42">
        <v>18.129764999999999</v>
      </c>
      <c r="V42">
        <v>18.555111</v>
      </c>
      <c r="W42">
        <v>19.133313999999999</v>
      </c>
      <c r="X42">
        <v>19.708822000000001</v>
      </c>
      <c r="Y42">
        <v>20.281662000000001</v>
      </c>
      <c r="Z42">
        <v>20.82</v>
      </c>
      <c r="AA42">
        <v>21.421006999999999</v>
      </c>
      <c r="AB42">
        <v>22.056677000000001</v>
      </c>
      <c r="AC42">
        <v>22.630005000000001</v>
      </c>
      <c r="AD42">
        <v>23.193628</v>
      </c>
      <c r="AE42">
        <v>23.865969</v>
      </c>
      <c r="AF42">
        <v>24.541954</v>
      </c>
      <c r="AG42" s="9">
        <v>2.1000000000000001E-2</v>
      </c>
    </row>
    <row r="43" spans="1:33" x14ac:dyDescent="0.75">
      <c r="A43" t="s">
        <v>1448</v>
      </c>
      <c r="B43" t="s">
        <v>1760</v>
      </c>
      <c r="C43" t="s">
        <v>1759</v>
      </c>
      <c r="D43" t="s">
        <v>1444</v>
      </c>
      <c r="F43">
        <v>9.9189799999999995</v>
      </c>
      <c r="G43">
        <v>8.9757990000000003</v>
      </c>
      <c r="H43">
        <v>9.2328919999999997</v>
      </c>
      <c r="I43">
        <v>9.3235209999999995</v>
      </c>
      <c r="J43">
        <v>9.5893680000000003</v>
      </c>
      <c r="K43">
        <v>9.9585550000000005</v>
      </c>
      <c r="L43">
        <v>10.387256000000001</v>
      </c>
      <c r="M43">
        <v>10.773398</v>
      </c>
      <c r="N43">
        <v>11.427049999999999</v>
      </c>
      <c r="O43">
        <v>12.066538</v>
      </c>
      <c r="P43">
        <v>12.588661999999999</v>
      </c>
      <c r="Q43">
        <v>12.987041</v>
      </c>
      <c r="R43">
        <v>13.23297</v>
      </c>
      <c r="S43">
        <v>13.453823</v>
      </c>
      <c r="T43">
        <v>13.667311</v>
      </c>
      <c r="U43">
        <v>13.832293999999999</v>
      </c>
      <c r="V43">
        <v>14.122662999999999</v>
      </c>
      <c r="W43">
        <v>14.550138</v>
      </c>
      <c r="X43">
        <v>14.970675999999999</v>
      </c>
      <c r="Y43">
        <v>15.388199999999999</v>
      </c>
      <c r="Z43">
        <v>15.768307</v>
      </c>
      <c r="AA43">
        <v>16.205590999999998</v>
      </c>
      <c r="AB43">
        <v>16.676234999999998</v>
      </c>
      <c r="AC43">
        <v>17.081264000000001</v>
      </c>
      <c r="AD43">
        <v>17.478237</v>
      </c>
      <c r="AE43">
        <v>17.976654</v>
      </c>
      <c r="AF43">
        <v>18.474250999999999</v>
      </c>
      <c r="AG43" s="9">
        <v>2.4E-2</v>
      </c>
    </row>
    <row r="44" spans="1:33" x14ac:dyDescent="0.75">
      <c r="A44" t="s">
        <v>1447</v>
      </c>
      <c r="B44" t="s">
        <v>1758</v>
      </c>
      <c r="C44" t="s">
        <v>1757</v>
      </c>
      <c r="D44" t="s">
        <v>1444</v>
      </c>
      <c r="F44">
        <v>3.4638779999999998</v>
      </c>
      <c r="G44">
        <v>4.248278</v>
      </c>
      <c r="H44">
        <v>4.2133659999999997</v>
      </c>
      <c r="I44">
        <v>4.1524840000000003</v>
      </c>
      <c r="J44">
        <v>4.318244</v>
      </c>
      <c r="K44">
        <v>4.566414</v>
      </c>
      <c r="L44">
        <v>4.8957170000000003</v>
      </c>
      <c r="M44">
        <v>5.1852580000000001</v>
      </c>
      <c r="N44">
        <v>5.827528</v>
      </c>
      <c r="O44">
        <v>6.38483</v>
      </c>
      <c r="P44">
        <v>6.8212760000000001</v>
      </c>
      <c r="Q44">
        <v>7.0749529999999998</v>
      </c>
      <c r="R44">
        <v>7.204993</v>
      </c>
      <c r="S44">
        <v>7.2870549999999996</v>
      </c>
      <c r="T44">
        <v>7.3565360000000002</v>
      </c>
      <c r="U44">
        <v>7.3956140000000001</v>
      </c>
      <c r="V44">
        <v>7.5798170000000002</v>
      </c>
      <c r="W44">
        <v>7.8770689999999997</v>
      </c>
      <c r="X44">
        <v>8.1703720000000004</v>
      </c>
      <c r="Y44">
        <v>8.4632480000000001</v>
      </c>
      <c r="Z44">
        <v>8.7349230000000002</v>
      </c>
      <c r="AA44">
        <v>9.008934</v>
      </c>
      <c r="AB44">
        <v>9.2937429999999992</v>
      </c>
      <c r="AC44">
        <v>9.5135470000000009</v>
      </c>
      <c r="AD44">
        <v>9.7543380000000006</v>
      </c>
      <c r="AE44">
        <v>10.083083</v>
      </c>
      <c r="AF44">
        <v>10.430713000000001</v>
      </c>
      <c r="AG44" s="9">
        <v>4.2999999999999997E-2</v>
      </c>
    </row>
    <row r="45" spans="1:33" x14ac:dyDescent="0.75">
      <c r="A45" t="s">
        <v>65</v>
      </c>
      <c r="B45" t="s">
        <v>1756</v>
      </c>
      <c r="C45" t="s">
        <v>1755</v>
      </c>
      <c r="D45" t="s">
        <v>1444</v>
      </c>
      <c r="F45">
        <v>15.065847</v>
      </c>
      <c r="G45">
        <v>15.93712</v>
      </c>
      <c r="H45">
        <v>16.133614000000001</v>
      </c>
      <c r="I45">
        <v>16.272649999999999</v>
      </c>
      <c r="J45">
        <v>16.637060000000002</v>
      </c>
      <c r="K45">
        <v>17.083841</v>
      </c>
      <c r="L45">
        <v>17.573725</v>
      </c>
      <c r="M45">
        <v>18.070540999999999</v>
      </c>
      <c r="N45">
        <v>18.899543999999999</v>
      </c>
      <c r="O45">
        <v>19.605634999999999</v>
      </c>
      <c r="P45">
        <v>20.187404999999998</v>
      </c>
      <c r="Q45">
        <v>20.624742999999999</v>
      </c>
      <c r="R45">
        <v>20.909942999999998</v>
      </c>
      <c r="S45">
        <v>21.162490999999999</v>
      </c>
      <c r="T45">
        <v>21.437998</v>
      </c>
      <c r="U45">
        <v>21.634644000000002</v>
      </c>
      <c r="V45">
        <v>21.984949</v>
      </c>
      <c r="W45">
        <v>22.474817000000002</v>
      </c>
      <c r="X45">
        <v>22.957356999999998</v>
      </c>
      <c r="Y45">
        <v>23.458459999999999</v>
      </c>
      <c r="Z45">
        <v>23.930157000000001</v>
      </c>
      <c r="AA45">
        <v>24.426597999999998</v>
      </c>
      <c r="AB45">
        <v>24.959078000000002</v>
      </c>
      <c r="AC45">
        <v>25.404976000000001</v>
      </c>
      <c r="AD45">
        <v>25.871041999999999</v>
      </c>
      <c r="AE45">
        <v>26.447317000000002</v>
      </c>
      <c r="AF45">
        <v>27.026236000000001</v>
      </c>
      <c r="AG45" s="9">
        <v>2.3E-2</v>
      </c>
    </row>
    <row r="46" spans="1:33" x14ac:dyDescent="0.75">
      <c r="A46" t="s">
        <v>1446</v>
      </c>
      <c r="B46" t="s">
        <v>1754</v>
      </c>
      <c r="C46" t="s">
        <v>1753</v>
      </c>
      <c r="D46" t="s">
        <v>1444</v>
      </c>
      <c r="F46">
        <v>2.8091390000000001</v>
      </c>
      <c r="G46">
        <v>3.3011089999999998</v>
      </c>
      <c r="H46">
        <v>3.2893599999999998</v>
      </c>
      <c r="I46">
        <v>3.266079</v>
      </c>
      <c r="J46">
        <v>3.4716619999999998</v>
      </c>
      <c r="K46">
        <v>3.761263</v>
      </c>
      <c r="L46">
        <v>4.1501780000000004</v>
      </c>
      <c r="M46">
        <v>4.3440589999999997</v>
      </c>
      <c r="N46">
        <v>5.0390220000000001</v>
      </c>
      <c r="O46">
        <v>5.5307050000000002</v>
      </c>
      <c r="P46">
        <v>5.9173869999999997</v>
      </c>
      <c r="Q46">
        <v>6.137778</v>
      </c>
      <c r="R46">
        <v>6.2586240000000002</v>
      </c>
      <c r="S46">
        <v>6.3423629999999998</v>
      </c>
      <c r="T46">
        <v>6.4281180000000004</v>
      </c>
      <c r="U46">
        <v>6.4831159999999999</v>
      </c>
      <c r="V46">
        <v>6.6629149999999999</v>
      </c>
      <c r="W46">
        <v>6.9192169999999997</v>
      </c>
      <c r="X46">
        <v>7.1762420000000002</v>
      </c>
      <c r="Y46">
        <v>7.4655339999999999</v>
      </c>
      <c r="Z46">
        <v>7.7626949999999999</v>
      </c>
      <c r="AA46">
        <v>8.0064820000000001</v>
      </c>
      <c r="AB46">
        <v>8.277317</v>
      </c>
      <c r="AC46">
        <v>8.4786579999999994</v>
      </c>
      <c r="AD46">
        <v>8.7104110000000006</v>
      </c>
      <c r="AE46">
        <v>9.0305870000000006</v>
      </c>
      <c r="AF46">
        <v>9.3795570000000001</v>
      </c>
      <c r="AG46" s="9">
        <v>4.7E-2</v>
      </c>
    </row>
    <row r="47" spans="1:33" x14ac:dyDescent="0.75">
      <c r="A47" t="s">
        <v>1445</v>
      </c>
      <c r="B47" t="s">
        <v>1752</v>
      </c>
      <c r="C47" t="s">
        <v>1751</v>
      </c>
      <c r="D47" t="s">
        <v>1444</v>
      </c>
      <c r="F47">
        <v>5.5509550000000001</v>
      </c>
      <c r="G47">
        <v>5.9283190000000001</v>
      </c>
      <c r="H47">
        <v>6.0243099999999998</v>
      </c>
      <c r="I47">
        <v>5.9348900000000002</v>
      </c>
      <c r="J47">
        <v>6.104222</v>
      </c>
      <c r="K47">
        <v>6.3487590000000003</v>
      </c>
      <c r="L47">
        <v>6.6643210000000002</v>
      </c>
      <c r="M47">
        <v>6.9620249999999997</v>
      </c>
      <c r="N47">
        <v>7.516527</v>
      </c>
      <c r="O47">
        <v>8.1109240000000007</v>
      </c>
      <c r="P47">
        <v>8.5962429999999994</v>
      </c>
      <c r="Q47">
        <v>8.9375780000000002</v>
      </c>
      <c r="R47">
        <v>9.1515640000000005</v>
      </c>
      <c r="S47">
        <v>9.3678819999999998</v>
      </c>
      <c r="T47">
        <v>9.5289260000000002</v>
      </c>
      <c r="U47">
        <v>9.6831080000000007</v>
      </c>
      <c r="V47">
        <v>9.9129740000000002</v>
      </c>
      <c r="W47">
        <v>10.212745999999999</v>
      </c>
      <c r="X47">
        <v>10.512316</v>
      </c>
      <c r="Y47">
        <v>10.833252999999999</v>
      </c>
      <c r="Z47">
        <v>11.140686000000001</v>
      </c>
      <c r="AA47">
        <v>11.452548999999999</v>
      </c>
      <c r="AB47">
        <v>11.777037999999999</v>
      </c>
      <c r="AC47">
        <v>12.040044999999999</v>
      </c>
      <c r="AD47">
        <v>12.320316999999999</v>
      </c>
      <c r="AE47">
        <v>12.688394000000001</v>
      </c>
      <c r="AF47">
        <v>13.097061</v>
      </c>
      <c r="AG47" s="9">
        <v>3.4000000000000002E-2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7311-F53A-4468-82C5-9BF6F27AD3C5}">
  <dimension ref="A1:AJ53"/>
  <sheetViews>
    <sheetView workbookViewId="0"/>
  </sheetViews>
  <sheetFormatPr defaultRowHeight="14.75" x14ac:dyDescent="0.75"/>
  <cols>
    <col min="1" max="1" width="41.26953125" customWidth="1"/>
    <col min="2" max="2" width="51.26953125" customWidth="1"/>
  </cols>
  <sheetData>
    <row r="1" spans="1:36" x14ac:dyDescent="0.75">
      <c r="A1" t="s">
        <v>1389</v>
      </c>
    </row>
    <row r="2" spans="1:36" x14ac:dyDescent="0.75">
      <c r="A2" t="s">
        <v>1526</v>
      </c>
    </row>
    <row r="3" spans="1:36" x14ac:dyDescent="0.75">
      <c r="A3" t="s">
        <v>1525</v>
      </c>
    </row>
    <row r="4" spans="1:36" x14ac:dyDescent="0.75">
      <c r="A4" t="s">
        <v>1391</v>
      </c>
    </row>
    <row r="5" spans="1:36" x14ac:dyDescent="0.75">
      <c r="B5" t="s">
        <v>1392</v>
      </c>
      <c r="C5" t="s">
        <v>1393</v>
      </c>
      <c r="D5" t="s">
        <v>1394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1521</v>
      </c>
    </row>
    <row r="6" spans="1:36" x14ac:dyDescent="0.75">
      <c r="A6" t="s">
        <v>1395</v>
      </c>
      <c r="C6" t="s">
        <v>1524</v>
      </c>
    </row>
    <row r="7" spans="1:36" x14ac:dyDescent="0.75">
      <c r="A7" t="s">
        <v>1396</v>
      </c>
      <c r="B7" t="s">
        <v>1601</v>
      </c>
      <c r="C7" t="s">
        <v>1602</v>
      </c>
      <c r="D7" t="s">
        <v>1397</v>
      </c>
      <c r="F7">
        <v>2.7300439999999999</v>
      </c>
      <c r="G7">
        <v>2.4789479999999999</v>
      </c>
      <c r="H7">
        <v>2.3998719999999998</v>
      </c>
      <c r="I7">
        <v>2.299369</v>
      </c>
      <c r="J7">
        <v>2.2272110000000001</v>
      </c>
      <c r="K7">
        <v>2.2016990000000001</v>
      </c>
      <c r="L7">
        <v>2.1670479999999999</v>
      </c>
      <c r="M7">
        <v>2.1176849999999998</v>
      </c>
      <c r="N7">
        <v>1.9871270000000001</v>
      </c>
      <c r="O7">
        <v>1.9350350000000001</v>
      </c>
      <c r="P7">
        <v>1.8446309999999999</v>
      </c>
      <c r="Q7">
        <v>1.8329759999999999</v>
      </c>
      <c r="R7">
        <v>1.8778250000000001</v>
      </c>
      <c r="S7">
        <v>1.8405</v>
      </c>
      <c r="T7">
        <v>1.7994749999999999</v>
      </c>
      <c r="U7">
        <v>1.7941739999999999</v>
      </c>
      <c r="V7">
        <v>1.8276479999999999</v>
      </c>
      <c r="W7">
        <v>1.824522</v>
      </c>
      <c r="X7">
        <v>1.7951079999999999</v>
      </c>
      <c r="Y7">
        <v>1.761056</v>
      </c>
      <c r="Z7">
        <v>1.7366779999999999</v>
      </c>
      <c r="AA7">
        <v>1.7289369999999999</v>
      </c>
      <c r="AB7">
        <v>1.669057</v>
      </c>
      <c r="AC7">
        <v>1.5486089999999999</v>
      </c>
      <c r="AD7">
        <v>1.4726410000000001</v>
      </c>
      <c r="AE7">
        <v>1.4528449999999999</v>
      </c>
      <c r="AF7">
        <v>1.425173</v>
      </c>
      <c r="AG7">
        <v>1.428671</v>
      </c>
      <c r="AH7">
        <v>1.39673</v>
      </c>
      <c r="AI7">
        <v>1.3533710000000001</v>
      </c>
      <c r="AJ7" s="9">
        <v>-2.4E-2</v>
      </c>
    </row>
    <row r="8" spans="1:36" x14ac:dyDescent="0.75">
      <c r="A8" t="s">
        <v>1398</v>
      </c>
      <c r="B8" t="s">
        <v>1603</v>
      </c>
      <c r="C8" t="s">
        <v>1604</v>
      </c>
      <c r="D8" t="s">
        <v>1397</v>
      </c>
      <c r="F8">
        <v>2.6927530000000002</v>
      </c>
      <c r="G8">
        <v>2.4003030000000001</v>
      </c>
      <c r="H8">
        <v>2.3232490000000001</v>
      </c>
      <c r="I8">
        <v>2.2247669999999999</v>
      </c>
      <c r="J8">
        <v>2.1546310000000002</v>
      </c>
      <c r="K8">
        <v>2.1311399999999998</v>
      </c>
      <c r="L8">
        <v>2.0985109999999998</v>
      </c>
      <c r="M8">
        <v>2.0491480000000002</v>
      </c>
      <c r="N8">
        <v>1.91859</v>
      </c>
      <c r="O8">
        <v>1.866498</v>
      </c>
      <c r="P8">
        <v>1.776095</v>
      </c>
      <c r="Q8">
        <v>1.76444</v>
      </c>
      <c r="R8">
        <v>1.809288</v>
      </c>
      <c r="S8">
        <v>1.771963</v>
      </c>
      <c r="T8">
        <v>1.7309380000000001</v>
      </c>
      <c r="U8">
        <v>1.7256370000000001</v>
      </c>
      <c r="V8">
        <v>1.7591110000000001</v>
      </c>
      <c r="W8">
        <v>1.755986</v>
      </c>
      <c r="X8">
        <v>1.7265710000000001</v>
      </c>
      <c r="Y8">
        <v>1.69252</v>
      </c>
      <c r="Z8">
        <v>1.6681410000000001</v>
      </c>
      <c r="AA8">
        <v>1.6604000000000001</v>
      </c>
      <c r="AB8">
        <v>1.6005199999999999</v>
      </c>
      <c r="AC8">
        <v>1.480073</v>
      </c>
      <c r="AD8">
        <v>1.404104</v>
      </c>
      <c r="AE8">
        <v>1.3843080000000001</v>
      </c>
      <c r="AF8">
        <v>1.356636</v>
      </c>
      <c r="AG8">
        <v>1.360134</v>
      </c>
      <c r="AH8">
        <v>1.328193</v>
      </c>
      <c r="AI8">
        <v>1.284834</v>
      </c>
      <c r="AJ8" s="9">
        <v>-2.5000000000000001E-2</v>
      </c>
    </row>
    <row r="9" spans="1:36" x14ac:dyDescent="0.75">
      <c r="A9" t="s">
        <v>1399</v>
      </c>
      <c r="B9" t="s">
        <v>1605</v>
      </c>
      <c r="C9" t="s">
        <v>1606</v>
      </c>
      <c r="D9" t="s">
        <v>1397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1400</v>
      </c>
    </row>
    <row r="10" spans="1:36" x14ac:dyDescent="0.75">
      <c r="A10" t="s">
        <v>1401</v>
      </c>
      <c r="B10" t="s">
        <v>1607</v>
      </c>
      <c r="C10" t="s">
        <v>1608</v>
      </c>
      <c r="D10" t="s">
        <v>1397</v>
      </c>
      <c r="F10">
        <v>3.7290999999999998E-2</v>
      </c>
      <c r="G10">
        <v>7.8645000000000007E-2</v>
      </c>
      <c r="H10">
        <v>7.6622999999999997E-2</v>
      </c>
      <c r="I10">
        <v>7.4602000000000002E-2</v>
      </c>
      <c r="J10">
        <v>7.2580000000000006E-2</v>
      </c>
      <c r="K10">
        <v>7.0557999999999996E-2</v>
      </c>
      <c r="L10">
        <v>6.8537000000000001E-2</v>
      </c>
      <c r="M10">
        <v>6.8537000000000001E-2</v>
      </c>
      <c r="N10">
        <v>6.8537000000000001E-2</v>
      </c>
      <c r="O10">
        <v>6.8537000000000001E-2</v>
      </c>
      <c r="P10">
        <v>6.8537000000000001E-2</v>
      </c>
      <c r="Q10">
        <v>6.8537000000000001E-2</v>
      </c>
      <c r="R10">
        <v>6.8537000000000001E-2</v>
      </c>
      <c r="S10">
        <v>6.8537000000000001E-2</v>
      </c>
      <c r="T10">
        <v>6.8537000000000001E-2</v>
      </c>
      <c r="U10">
        <v>6.8537000000000001E-2</v>
      </c>
      <c r="V10">
        <v>6.8537000000000001E-2</v>
      </c>
      <c r="W10">
        <v>6.8537000000000001E-2</v>
      </c>
      <c r="X10">
        <v>6.8537000000000001E-2</v>
      </c>
      <c r="Y10">
        <v>6.8537000000000001E-2</v>
      </c>
      <c r="Z10">
        <v>6.8537000000000001E-2</v>
      </c>
      <c r="AA10">
        <v>6.8537000000000001E-2</v>
      </c>
      <c r="AB10">
        <v>6.8537000000000001E-2</v>
      </c>
      <c r="AC10">
        <v>6.8537000000000001E-2</v>
      </c>
      <c r="AD10">
        <v>6.8537000000000001E-2</v>
      </c>
      <c r="AE10">
        <v>6.8537000000000001E-2</v>
      </c>
      <c r="AF10">
        <v>6.8537000000000001E-2</v>
      </c>
      <c r="AG10">
        <v>6.8537000000000001E-2</v>
      </c>
      <c r="AH10">
        <v>6.8537000000000001E-2</v>
      </c>
      <c r="AI10">
        <v>6.8537000000000001E-2</v>
      </c>
      <c r="AJ10" s="9">
        <v>2.1000000000000001E-2</v>
      </c>
    </row>
    <row r="11" spans="1:36" x14ac:dyDescent="0.75">
      <c r="A11" s="1" t="s">
        <v>1402</v>
      </c>
      <c r="B11" t="s">
        <v>1609</v>
      </c>
      <c r="C11" t="s">
        <v>1610</v>
      </c>
      <c r="D11" t="s">
        <v>1397</v>
      </c>
      <c r="F11">
        <v>6.7489319999999999</v>
      </c>
      <c r="G11">
        <v>7.5118689999999999</v>
      </c>
      <c r="H11">
        <v>7.7192660000000002</v>
      </c>
      <c r="I11">
        <v>7.8052900000000003</v>
      </c>
      <c r="J11">
        <v>8.0228760000000001</v>
      </c>
      <c r="K11">
        <v>8.0374020000000002</v>
      </c>
      <c r="L11">
        <v>8.1740840000000006</v>
      </c>
      <c r="M11">
        <v>8.4640310000000003</v>
      </c>
      <c r="N11">
        <v>8.7133679999999991</v>
      </c>
      <c r="O11">
        <v>8.9427710000000005</v>
      </c>
      <c r="P11">
        <v>9.2171950000000002</v>
      </c>
      <c r="Q11">
        <v>9.467295</v>
      </c>
      <c r="R11">
        <v>9.5846149999999994</v>
      </c>
      <c r="S11">
        <v>9.6283180000000002</v>
      </c>
      <c r="T11">
        <v>9.6902709999999992</v>
      </c>
      <c r="U11">
        <v>9.7124609999999993</v>
      </c>
      <c r="V11">
        <v>9.7110690000000002</v>
      </c>
      <c r="W11">
        <v>9.7331839999999996</v>
      </c>
      <c r="X11">
        <v>9.7578700000000005</v>
      </c>
      <c r="Y11">
        <v>9.7930489999999999</v>
      </c>
      <c r="Z11">
        <v>9.7801930000000006</v>
      </c>
      <c r="AA11">
        <v>9.7972470000000005</v>
      </c>
      <c r="AB11">
        <v>9.8069299999999995</v>
      </c>
      <c r="AC11">
        <v>9.8426270000000002</v>
      </c>
      <c r="AD11">
        <v>9.8394519999999996</v>
      </c>
      <c r="AE11">
        <v>9.8232219999999995</v>
      </c>
      <c r="AF11">
        <v>9.8114260000000009</v>
      </c>
      <c r="AG11">
        <v>9.8166119999999992</v>
      </c>
      <c r="AH11">
        <v>9.7885019999999994</v>
      </c>
      <c r="AI11">
        <v>9.7824570000000008</v>
      </c>
      <c r="AJ11" s="9">
        <v>1.2999999999999999E-2</v>
      </c>
    </row>
    <row r="12" spans="1:36" s="10" customFormat="1" x14ac:dyDescent="0.75">
      <c r="A12" s="10" t="s">
        <v>1403</v>
      </c>
      <c r="B12" s="10" t="s">
        <v>1611</v>
      </c>
      <c r="C12" s="10" t="s">
        <v>1612</v>
      </c>
      <c r="D12" s="10" t="s">
        <v>1397</v>
      </c>
      <c r="F12" s="10">
        <v>0.95093399999999995</v>
      </c>
      <c r="G12" s="10">
        <v>0.99431700000000001</v>
      </c>
      <c r="H12" s="10">
        <v>0.96694400000000003</v>
      </c>
      <c r="I12" s="10">
        <v>0.98479899999999998</v>
      </c>
      <c r="J12" s="10">
        <v>0.99467000000000005</v>
      </c>
      <c r="K12" s="10">
        <v>0.98452399999999995</v>
      </c>
      <c r="L12" s="10">
        <v>0.989653</v>
      </c>
      <c r="M12" s="10">
        <v>0.99810200000000004</v>
      </c>
      <c r="N12" s="10">
        <v>1.021865</v>
      </c>
      <c r="O12" s="10">
        <v>1.0219769999999999</v>
      </c>
      <c r="P12" s="10">
        <v>1.059877</v>
      </c>
      <c r="Q12" s="10">
        <v>1.06349</v>
      </c>
      <c r="R12" s="10">
        <v>1.063998</v>
      </c>
      <c r="S12" s="10">
        <v>1.0718540000000001</v>
      </c>
      <c r="T12" s="10">
        <v>1.0965819999999999</v>
      </c>
      <c r="U12" s="10">
        <v>1.1040700000000001</v>
      </c>
      <c r="V12" s="10">
        <v>1.1102069999999999</v>
      </c>
      <c r="W12" s="10">
        <v>1.121564</v>
      </c>
      <c r="X12" s="10">
        <v>1.137337</v>
      </c>
      <c r="Y12" s="10">
        <v>1.1500790000000001</v>
      </c>
      <c r="Z12" s="10">
        <v>1.1585890000000001</v>
      </c>
      <c r="AA12" s="10">
        <v>1.1823330000000001</v>
      </c>
      <c r="AB12" s="10">
        <v>1.198976</v>
      </c>
      <c r="AC12" s="10">
        <v>1.231174</v>
      </c>
      <c r="AD12" s="10">
        <v>1.2463500000000001</v>
      </c>
      <c r="AE12" s="10">
        <v>1.254089</v>
      </c>
      <c r="AF12" s="10">
        <v>1.2633270000000001</v>
      </c>
      <c r="AG12" s="10">
        <v>1.2745979999999999</v>
      </c>
      <c r="AH12" s="10">
        <v>1.27874</v>
      </c>
      <c r="AI12" s="10">
        <v>1.2897689999999999</v>
      </c>
      <c r="AJ12" s="11">
        <v>1.0999999999999999E-2</v>
      </c>
    </row>
    <row r="13" spans="1:36" s="10" customFormat="1" x14ac:dyDescent="0.75">
      <c r="A13" s="10" t="s">
        <v>1404</v>
      </c>
      <c r="B13" s="10" t="s">
        <v>1613</v>
      </c>
      <c r="C13" s="10" t="s">
        <v>1614</v>
      </c>
      <c r="D13" s="10" t="s">
        <v>1397</v>
      </c>
      <c r="F13" s="10">
        <v>2.2186370000000002</v>
      </c>
      <c r="G13" s="10">
        <v>2.3220519999999998</v>
      </c>
      <c r="H13" s="10">
        <v>2.315747</v>
      </c>
      <c r="I13" s="10">
        <v>2.3394159999999999</v>
      </c>
      <c r="J13" s="10">
        <v>2.377205</v>
      </c>
      <c r="K13" s="10">
        <v>2.389821</v>
      </c>
      <c r="L13" s="10">
        <v>2.4213719999999999</v>
      </c>
      <c r="M13" s="10">
        <v>2.4900950000000002</v>
      </c>
      <c r="N13" s="10">
        <v>2.5284450000000001</v>
      </c>
      <c r="O13" s="10">
        <v>2.5577359999999998</v>
      </c>
      <c r="P13" s="10">
        <v>2.5942599999999998</v>
      </c>
      <c r="Q13" s="10">
        <v>2.6279720000000002</v>
      </c>
      <c r="R13" s="10">
        <v>2.6575579999999999</v>
      </c>
      <c r="S13" s="10">
        <v>2.693406</v>
      </c>
      <c r="T13" s="10">
        <v>2.7306319999999999</v>
      </c>
      <c r="U13" s="10">
        <v>2.7325569999999999</v>
      </c>
      <c r="V13" s="10">
        <v>2.7378049999999998</v>
      </c>
      <c r="W13" s="10">
        <v>2.7485620000000002</v>
      </c>
      <c r="X13" s="10">
        <v>2.7574740000000002</v>
      </c>
      <c r="Y13" s="10">
        <v>2.767137</v>
      </c>
      <c r="Z13" s="10">
        <v>2.7585459999999999</v>
      </c>
      <c r="AA13" s="10">
        <v>2.7518549999999999</v>
      </c>
      <c r="AB13" s="10">
        <v>2.7448950000000001</v>
      </c>
      <c r="AC13" s="10">
        <v>2.7356189999999998</v>
      </c>
      <c r="AD13" s="10">
        <v>2.7300439999999999</v>
      </c>
      <c r="AE13" s="10">
        <v>2.7060740000000001</v>
      </c>
      <c r="AF13" s="10">
        <v>2.685041</v>
      </c>
      <c r="AG13" s="10">
        <v>2.6661809999999999</v>
      </c>
      <c r="AH13" s="10">
        <v>2.646703</v>
      </c>
      <c r="AI13" s="10">
        <v>2.6296300000000001</v>
      </c>
      <c r="AJ13" s="11">
        <v>6.0000000000000001E-3</v>
      </c>
    </row>
    <row r="14" spans="1:36" s="10" customFormat="1" x14ac:dyDescent="0.75">
      <c r="A14" s="10" t="s">
        <v>1405</v>
      </c>
      <c r="B14" s="10" t="s">
        <v>1615</v>
      </c>
      <c r="C14" s="10" t="s">
        <v>1616</v>
      </c>
      <c r="D14" s="10" t="s">
        <v>1397</v>
      </c>
      <c r="F14" s="10">
        <v>3.5793599999999999</v>
      </c>
      <c r="G14" s="10">
        <v>4.1955</v>
      </c>
      <c r="H14" s="10">
        <v>4.4365750000000004</v>
      </c>
      <c r="I14" s="10">
        <v>4.4810759999999998</v>
      </c>
      <c r="J14" s="10">
        <v>4.6510009999999999</v>
      </c>
      <c r="K14" s="10">
        <v>4.6630580000000004</v>
      </c>
      <c r="L14" s="10">
        <v>4.763058</v>
      </c>
      <c r="M14" s="10">
        <v>4.9758329999999997</v>
      </c>
      <c r="N14" s="10">
        <v>5.1630580000000004</v>
      </c>
      <c r="O14" s="10">
        <v>5.3630579999999997</v>
      </c>
      <c r="P14" s="10">
        <v>5.5630579999999998</v>
      </c>
      <c r="Q14" s="10">
        <v>5.7758330000000004</v>
      </c>
      <c r="R14" s="10">
        <v>5.8630579999999997</v>
      </c>
      <c r="S14" s="10">
        <v>5.8630579999999997</v>
      </c>
      <c r="T14" s="10">
        <v>5.8630579999999997</v>
      </c>
      <c r="U14" s="10">
        <v>5.8758340000000002</v>
      </c>
      <c r="V14" s="10">
        <v>5.8630579999999997</v>
      </c>
      <c r="W14" s="10">
        <v>5.8630579999999997</v>
      </c>
      <c r="X14" s="10">
        <v>5.8630579999999997</v>
      </c>
      <c r="Y14" s="10">
        <v>5.8758340000000002</v>
      </c>
      <c r="Z14" s="10">
        <v>5.8630579999999997</v>
      </c>
      <c r="AA14" s="10">
        <v>5.8630579999999997</v>
      </c>
      <c r="AB14" s="10">
        <v>5.8630579999999997</v>
      </c>
      <c r="AC14" s="10">
        <v>5.8758340000000002</v>
      </c>
      <c r="AD14" s="10">
        <v>5.8630579999999997</v>
      </c>
      <c r="AE14" s="10">
        <v>5.8630579999999997</v>
      </c>
      <c r="AF14" s="10">
        <v>5.8630579999999997</v>
      </c>
      <c r="AG14" s="10">
        <v>5.8758340000000002</v>
      </c>
      <c r="AH14" s="10">
        <v>5.8630579999999997</v>
      </c>
      <c r="AI14" s="10">
        <v>5.8630579999999997</v>
      </c>
      <c r="AJ14" s="11">
        <v>1.7000000000000001E-2</v>
      </c>
    </row>
    <row r="15" spans="1:36" x14ac:dyDescent="0.75">
      <c r="A15" t="s">
        <v>1406</v>
      </c>
      <c r="B15" t="s">
        <v>1617</v>
      </c>
      <c r="C15" t="s">
        <v>1618</v>
      </c>
      <c r="D15" t="s">
        <v>1397</v>
      </c>
      <c r="F15">
        <v>-4.0188879999999996</v>
      </c>
      <c r="G15">
        <v>-5.0329220000000001</v>
      </c>
      <c r="H15">
        <v>-5.319394</v>
      </c>
      <c r="I15">
        <v>-5.5059209999999998</v>
      </c>
      <c r="J15">
        <v>-5.7956659999999998</v>
      </c>
      <c r="K15">
        <v>-5.8357039999999998</v>
      </c>
      <c r="L15">
        <v>-6.0070350000000001</v>
      </c>
      <c r="M15">
        <v>-6.3463469999999997</v>
      </c>
      <c r="N15">
        <v>-6.7262420000000001</v>
      </c>
      <c r="O15">
        <v>-7.0077360000000004</v>
      </c>
      <c r="P15">
        <v>-7.3725630000000004</v>
      </c>
      <c r="Q15">
        <v>-7.6343180000000004</v>
      </c>
      <c r="R15">
        <v>-7.7067889999999997</v>
      </c>
      <c r="S15">
        <v>-7.7878179999999997</v>
      </c>
      <c r="T15">
        <v>-7.8907959999999999</v>
      </c>
      <c r="U15">
        <v>-7.9182870000000003</v>
      </c>
      <c r="V15">
        <v>-7.8834220000000004</v>
      </c>
      <c r="W15">
        <v>-7.9086619999999996</v>
      </c>
      <c r="X15">
        <v>-7.9627610000000004</v>
      </c>
      <c r="Y15">
        <v>-8.0319929999999999</v>
      </c>
      <c r="Z15">
        <v>-8.0435140000000001</v>
      </c>
      <c r="AA15">
        <v>-8.0683100000000003</v>
      </c>
      <c r="AB15">
        <v>-8.1378730000000008</v>
      </c>
      <c r="AC15">
        <v>-8.2940179999999994</v>
      </c>
      <c r="AD15">
        <v>-8.3668110000000002</v>
      </c>
      <c r="AE15">
        <v>-8.3703769999999995</v>
      </c>
      <c r="AF15">
        <v>-8.3862539999999992</v>
      </c>
      <c r="AG15">
        <v>-8.3879409999999996</v>
      </c>
      <c r="AH15">
        <v>-8.3917710000000003</v>
      </c>
      <c r="AI15">
        <v>-8.4290870000000009</v>
      </c>
      <c r="AJ15" s="9">
        <v>2.5999999999999999E-2</v>
      </c>
    </row>
    <row r="16" spans="1:36" x14ac:dyDescent="0.75">
      <c r="A16" t="s">
        <v>1407</v>
      </c>
      <c r="B16" t="s">
        <v>1619</v>
      </c>
      <c r="C16" t="s">
        <v>1620</v>
      </c>
      <c r="D16" t="s">
        <v>1397</v>
      </c>
      <c r="F16">
        <v>1.741819</v>
      </c>
      <c r="G16">
        <v>1.405986</v>
      </c>
      <c r="H16">
        <v>1.3563050000000001</v>
      </c>
      <c r="I16">
        <v>1.2399690000000001</v>
      </c>
      <c r="J16">
        <v>1.159961</v>
      </c>
      <c r="K16">
        <v>1.1466160000000001</v>
      </c>
      <c r="L16">
        <v>1.1088579999999999</v>
      </c>
      <c r="M16">
        <v>1.051045</v>
      </c>
      <c r="N16">
        <v>0.89672499999999999</v>
      </c>
      <c r="O16">
        <v>0.84452199999999999</v>
      </c>
      <c r="P16">
        <v>0.71621800000000002</v>
      </c>
      <c r="Q16">
        <v>0.70094999999999996</v>
      </c>
      <c r="R16">
        <v>0.74529000000000001</v>
      </c>
      <c r="S16">
        <v>0.70010899999999998</v>
      </c>
      <c r="T16">
        <v>0.63435699999999995</v>
      </c>
      <c r="U16">
        <v>0.62156699999999998</v>
      </c>
      <c r="V16">
        <v>0.64890400000000004</v>
      </c>
      <c r="W16">
        <v>0.63442200000000004</v>
      </c>
      <c r="X16">
        <v>0.58923400000000004</v>
      </c>
      <c r="Y16">
        <v>0.54244000000000003</v>
      </c>
      <c r="Z16">
        <v>0.50955300000000003</v>
      </c>
      <c r="AA16">
        <v>0.47806700000000002</v>
      </c>
      <c r="AB16">
        <v>0.40154299999999998</v>
      </c>
      <c r="AC16">
        <v>0.24889800000000001</v>
      </c>
      <c r="AD16">
        <v>0.15775500000000001</v>
      </c>
      <c r="AE16">
        <v>0.130219</v>
      </c>
      <c r="AF16">
        <v>9.3309000000000003E-2</v>
      </c>
      <c r="AG16">
        <v>8.5537000000000002E-2</v>
      </c>
      <c r="AH16">
        <v>4.9453999999999998E-2</v>
      </c>
      <c r="AI16">
        <v>-4.9350000000000002E-3</v>
      </c>
      <c r="AJ16" s="9" t="s">
        <v>1400</v>
      </c>
    </row>
    <row r="17" spans="1:36" x14ac:dyDescent="0.75">
      <c r="A17" t="s">
        <v>1408</v>
      </c>
      <c r="B17" t="s">
        <v>1621</v>
      </c>
      <c r="C17" t="s">
        <v>1622</v>
      </c>
      <c r="D17" t="s">
        <v>1397</v>
      </c>
      <c r="F17">
        <v>-2.2186370000000002</v>
      </c>
      <c r="G17">
        <v>-2.3220519999999998</v>
      </c>
      <c r="H17">
        <v>-2.315747</v>
      </c>
      <c r="I17">
        <v>-2.3394159999999999</v>
      </c>
      <c r="J17">
        <v>-2.377205</v>
      </c>
      <c r="K17">
        <v>-2.389821</v>
      </c>
      <c r="L17">
        <v>-2.4213719999999999</v>
      </c>
      <c r="M17">
        <v>-2.4900950000000002</v>
      </c>
      <c r="N17">
        <v>-2.5284450000000001</v>
      </c>
      <c r="O17">
        <v>-2.5577359999999998</v>
      </c>
      <c r="P17">
        <v>-2.5942599999999998</v>
      </c>
      <c r="Q17">
        <v>-2.6279720000000002</v>
      </c>
      <c r="R17">
        <v>-2.6575579999999999</v>
      </c>
      <c r="S17">
        <v>-2.693406</v>
      </c>
      <c r="T17">
        <v>-2.7306319999999999</v>
      </c>
      <c r="U17">
        <v>-2.7325569999999999</v>
      </c>
      <c r="V17">
        <v>-2.7378049999999998</v>
      </c>
      <c r="W17">
        <v>-2.7485620000000002</v>
      </c>
      <c r="X17">
        <v>-2.7574740000000002</v>
      </c>
      <c r="Y17">
        <v>-2.767137</v>
      </c>
      <c r="Z17">
        <v>-2.7585459999999999</v>
      </c>
      <c r="AA17">
        <v>-2.7518549999999999</v>
      </c>
      <c r="AB17">
        <v>-2.7448950000000001</v>
      </c>
      <c r="AC17">
        <v>-2.7356189999999998</v>
      </c>
      <c r="AD17">
        <v>-2.7300439999999999</v>
      </c>
      <c r="AE17">
        <v>-2.7060740000000001</v>
      </c>
      <c r="AF17">
        <v>-2.685041</v>
      </c>
      <c r="AG17">
        <v>-2.6661809999999999</v>
      </c>
      <c r="AH17">
        <v>-2.646703</v>
      </c>
      <c r="AI17">
        <v>-2.6296300000000001</v>
      </c>
      <c r="AJ17" s="9">
        <v>6.0000000000000001E-3</v>
      </c>
    </row>
    <row r="18" spans="1:36" x14ac:dyDescent="0.75">
      <c r="A18" t="s">
        <v>1409</v>
      </c>
      <c r="B18" t="s">
        <v>1623</v>
      </c>
      <c r="C18" t="s">
        <v>1624</v>
      </c>
      <c r="D18" t="s">
        <v>1397</v>
      </c>
      <c r="F18">
        <v>-3.5420690000000001</v>
      </c>
      <c r="G18">
        <v>-4.1168560000000003</v>
      </c>
      <c r="H18">
        <v>-4.3599519999999998</v>
      </c>
      <c r="I18">
        <v>-4.4064740000000002</v>
      </c>
      <c r="J18">
        <v>-4.5784209999999996</v>
      </c>
      <c r="K18">
        <v>-4.5924990000000001</v>
      </c>
      <c r="L18">
        <v>-4.6945209999999999</v>
      </c>
      <c r="M18">
        <v>-4.9072969999999998</v>
      </c>
      <c r="N18">
        <v>-5.0945210000000003</v>
      </c>
      <c r="O18">
        <v>-5.2945209999999996</v>
      </c>
      <c r="P18">
        <v>-5.4945209999999998</v>
      </c>
      <c r="Q18">
        <v>-5.7072960000000004</v>
      </c>
      <c r="R18">
        <v>-5.7945209999999996</v>
      </c>
      <c r="S18">
        <v>-5.7945209999999996</v>
      </c>
      <c r="T18">
        <v>-5.7945209999999996</v>
      </c>
      <c r="U18">
        <v>-5.8072970000000002</v>
      </c>
      <c r="V18">
        <v>-5.7945209999999996</v>
      </c>
      <c r="W18">
        <v>-5.7945209999999996</v>
      </c>
      <c r="X18">
        <v>-5.7945209999999996</v>
      </c>
      <c r="Y18">
        <v>-5.8072970000000002</v>
      </c>
      <c r="Z18">
        <v>-5.7945209999999996</v>
      </c>
      <c r="AA18">
        <v>-5.7945209999999996</v>
      </c>
      <c r="AB18">
        <v>-5.7945209999999996</v>
      </c>
      <c r="AC18">
        <v>-5.8072970000000002</v>
      </c>
      <c r="AD18">
        <v>-5.7945209999999996</v>
      </c>
      <c r="AE18">
        <v>-5.7945209999999996</v>
      </c>
      <c r="AF18">
        <v>-5.7945209999999996</v>
      </c>
      <c r="AG18">
        <v>-5.8072970000000002</v>
      </c>
      <c r="AH18">
        <v>-5.7945209999999996</v>
      </c>
      <c r="AI18">
        <v>-5.7945209999999996</v>
      </c>
      <c r="AJ18" s="9">
        <v>1.7000000000000001E-2</v>
      </c>
    </row>
    <row r="21" spans="1:36" x14ac:dyDescent="0.75">
      <c r="B21" s="1" t="s">
        <v>1490</v>
      </c>
    </row>
    <row r="22" spans="1:36" x14ac:dyDescent="0.75">
      <c r="C22" s="10" t="s">
        <v>1403</v>
      </c>
      <c r="D22" s="10" t="s">
        <v>1404</v>
      </c>
      <c r="E22" s="10" t="s">
        <v>1405</v>
      </c>
    </row>
    <row r="23" spans="1:36" x14ac:dyDescent="0.75">
      <c r="B23">
        <v>2021</v>
      </c>
      <c r="C23">
        <v>0.95093399999999995</v>
      </c>
      <c r="D23">
        <v>2.218661</v>
      </c>
      <c r="E23">
        <v>3.5793599999999999</v>
      </c>
    </row>
    <row r="24" spans="1:36" x14ac:dyDescent="0.75">
      <c r="B24">
        <v>2022</v>
      </c>
      <c r="C24">
        <v>0.99348800000000004</v>
      </c>
      <c r="D24">
        <v>2.3218239999999999</v>
      </c>
      <c r="E24">
        <v>4.1955</v>
      </c>
    </row>
    <row r="25" spans="1:36" x14ac:dyDescent="0.75">
      <c r="B25">
        <v>2023</v>
      </c>
      <c r="C25">
        <v>0.96299400000000002</v>
      </c>
      <c r="D25">
        <v>2.3134139999999999</v>
      </c>
      <c r="E25">
        <v>4.4365750000000004</v>
      </c>
    </row>
    <row r="26" spans="1:36" x14ac:dyDescent="0.75">
      <c r="B26">
        <v>2024</v>
      </c>
      <c r="C26">
        <v>0.97946800000000001</v>
      </c>
      <c r="D26">
        <v>2.3348010000000001</v>
      </c>
      <c r="E26">
        <v>4.4810759999999998</v>
      </c>
    </row>
    <row r="27" spans="1:36" x14ac:dyDescent="0.75">
      <c r="B27">
        <v>2025</v>
      </c>
      <c r="C27">
        <v>0.99441400000000002</v>
      </c>
      <c r="D27">
        <v>2.3719999999999999</v>
      </c>
      <c r="E27">
        <v>4.6510009999999999</v>
      </c>
    </row>
    <row r="28" spans="1:36" x14ac:dyDescent="0.75">
      <c r="B28">
        <v>2026</v>
      </c>
      <c r="C28">
        <v>0.98408300000000004</v>
      </c>
      <c r="D28">
        <v>2.3817170000000001</v>
      </c>
      <c r="E28">
        <v>4.6630580000000004</v>
      </c>
    </row>
    <row r="29" spans="1:36" x14ac:dyDescent="0.75">
      <c r="B29">
        <v>2027</v>
      </c>
      <c r="C29">
        <v>0.98275500000000005</v>
      </c>
      <c r="D29">
        <v>2.4097270000000002</v>
      </c>
      <c r="E29">
        <v>4.763058</v>
      </c>
    </row>
    <row r="30" spans="1:36" x14ac:dyDescent="0.75">
      <c r="B30">
        <v>2028</v>
      </c>
      <c r="C30">
        <v>0.99467700000000003</v>
      </c>
      <c r="D30">
        <v>2.4779140000000002</v>
      </c>
      <c r="E30">
        <v>4.9758329999999997</v>
      </c>
    </row>
    <row r="31" spans="1:36" x14ac:dyDescent="0.75">
      <c r="B31">
        <v>2029</v>
      </c>
      <c r="C31">
        <v>1.026718</v>
      </c>
      <c r="D31">
        <v>2.5132059999999998</v>
      </c>
      <c r="E31">
        <v>5.1630580000000004</v>
      </c>
    </row>
    <row r="32" spans="1:36" x14ac:dyDescent="0.75">
      <c r="B32">
        <v>2030</v>
      </c>
      <c r="C32">
        <v>1.0244329999999999</v>
      </c>
      <c r="D32">
        <v>2.5390649999999999</v>
      </c>
      <c r="E32">
        <v>5.3630579999999997</v>
      </c>
    </row>
    <row r="33" spans="2:5" x14ac:dyDescent="0.75">
      <c r="B33">
        <v>2031</v>
      </c>
      <c r="C33">
        <v>1.0595140000000001</v>
      </c>
      <c r="D33">
        <v>2.574106</v>
      </c>
      <c r="E33">
        <v>5.5630579999999998</v>
      </c>
    </row>
    <row r="34" spans="2:5" x14ac:dyDescent="0.75">
      <c r="B34">
        <v>2032</v>
      </c>
      <c r="C34">
        <v>1.0659479999999999</v>
      </c>
      <c r="D34">
        <v>2.607545</v>
      </c>
      <c r="E34">
        <v>5.7758330000000004</v>
      </c>
    </row>
    <row r="35" spans="2:5" x14ac:dyDescent="0.75">
      <c r="B35">
        <v>2033</v>
      </c>
      <c r="C35">
        <v>1.0686450000000001</v>
      </c>
      <c r="D35">
        <v>2.6375920000000002</v>
      </c>
      <c r="E35">
        <v>5.8630579999999997</v>
      </c>
    </row>
    <row r="36" spans="2:5" x14ac:dyDescent="0.75">
      <c r="B36">
        <v>2034</v>
      </c>
      <c r="C36">
        <v>1.077634</v>
      </c>
      <c r="D36">
        <v>2.6727219999999998</v>
      </c>
      <c r="E36">
        <v>5.8630579999999997</v>
      </c>
    </row>
    <row r="37" spans="2:5" x14ac:dyDescent="0.75">
      <c r="B37">
        <v>2035</v>
      </c>
      <c r="C37">
        <v>1.0939289999999999</v>
      </c>
      <c r="D37">
        <v>2.7067190000000001</v>
      </c>
      <c r="E37">
        <v>5.8630579999999997</v>
      </c>
    </row>
    <row r="38" spans="2:5" x14ac:dyDescent="0.75">
      <c r="B38">
        <v>2036</v>
      </c>
      <c r="C38">
        <v>1.104568</v>
      </c>
      <c r="D38">
        <v>2.7069390000000002</v>
      </c>
      <c r="E38">
        <v>5.8758340000000002</v>
      </c>
    </row>
    <row r="39" spans="2:5" x14ac:dyDescent="0.75">
      <c r="B39">
        <v>2037</v>
      </c>
      <c r="C39">
        <v>1.1097939999999999</v>
      </c>
      <c r="D39">
        <v>2.7084090000000001</v>
      </c>
      <c r="E39">
        <v>5.8630579999999997</v>
      </c>
    </row>
    <row r="40" spans="2:5" x14ac:dyDescent="0.75">
      <c r="B40">
        <v>2038</v>
      </c>
      <c r="C40">
        <v>1.1232070000000001</v>
      </c>
      <c r="D40">
        <v>2.7151350000000001</v>
      </c>
      <c r="E40">
        <v>5.8630579999999997</v>
      </c>
    </row>
    <row r="41" spans="2:5" x14ac:dyDescent="0.75">
      <c r="B41">
        <v>2039</v>
      </c>
      <c r="C41">
        <v>1.144728</v>
      </c>
      <c r="D41">
        <v>2.7195559999999999</v>
      </c>
      <c r="E41">
        <v>5.8630579999999997</v>
      </c>
    </row>
    <row r="42" spans="2:5" x14ac:dyDescent="0.75">
      <c r="B42">
        <v>2040</v>
      </c>
      <c r="C42">
        <v>1.1552260000000001</v>
      </c>
      <c r="D42">
        <v>2.7250429999999999</v>
      </c>
      <c r="E42">
        <v>5.8758340000000002</v>
      </c>
    </row>
    <row r="43" spans="2:5" x14ac:dyDescent="0.75">
      <c r="B43">
        <v>2041</v>
      </c>
      <c r="C43">
        <v>1.176131</v>
      </c>
      <c r="D43">
        <v>2.717654</v>
      </c>
      <c r="E43">
        <v>5.8630579999999997</v>
      </c>
    </row>
    <row r="44" spans="2:5" x14ac:dyDescent="0.75">
      <c r="B44">
        <v>2042</v>
      </c>
      <c r="C44">
        <v>1.1870959999999999</v>
      </c>
      <c r="D44">
        <v>2.711551</v>
      </c>
      <c r="E44">
        <v>5.8630579999999997</v>
      </c>
    </row>
    <row r="45" spans="2:5" x14ac:dyDescent="0.75">
      <c r="B45">
        <v>2043</v>
      </c>
      <c r="C45">
        <v>1.2053959999999999</v>
      </c>
      <c r="D45">
        <v>2.7027739999999998</v>
      </c>
      <c r="E45">
        <v>5.8630579999999997</v>
      </c>
    </row>
    <row r="46" spans="2:5" x14ac:dyDescent="0.75">
      <c r="B46">
        <v>2044</v>
      </c>
      <c r="C46">
        <v>1.239697</v>
      </c>
      <c r="D46">
        <v>2.6984560000000002</v>
      </c>
      <c r="E46">
        <v>5.8758340000000002</v>
      </c>
    </row>
    <row r="47" spans="2:5" x14ac:dyDescent="0.75">
      <c r="B47">
        <v>2045</v>
      </c>
      <c r="C47">
        <v>1.2516860000000001</v>
      </c>
      <c r="D47">
        <v>2.6895359999999999</v>
      </c>
      <c r="E47">
        <v>5.8630579999999997</v>
      </c>
    </row>
    <row r="48" spans="2:5" x14ac:dyDescent="0.75">
      <c r="B48">
        <v>2046</v>
      </c>
      <c r="C48">
        <v>1.2630749999999999</v>
      </c>
      <c r="D48">
        <v>2.6658149999999998</v>
      </c>
      <c r="E48">
        <v>5.8630579999999997</v>
      </c>
    </row>
    <row r="49" spans="2:5" x14ac:dyDescent="0.75">
      <c r="B49">
        <v>2047</v>
      </c>
      <c r="C49">
        <v>1.2760940000000001</v>
      </c>
      <c r="D49">
        <v>2.6425230000000002</v>
      </c>
      <c r="E49">
        <v>5.8630579999999997</v>
      </c>
    </row>
    <row r="50" spans="2:5" x14ac:dyDescent="0.75">
      <c r="B50">
        <v>2048</v>
      </c>
      <c r="C50">
        <v>1.286707</v>
      </c>
      <c r="D50">
        <v>2.6201829999999999</v>
      </c>
      <c r="E50">
        <v>5.8758340000000002</v>
      </c>
    </row>
    <row r="51" spans="2:5" x14ac:dyDescent="0.75">
      <c r="B51">
        <v>2049</v>
      </c>
      <c r="C51">
        <v>1.2947580000000001</v>
      </c>
      <c r="D51">
        <v>2.598824</v>
      </c>
      <c r="E51">
        <v>5.8630579999999997</v>
      </c>
    </row>
    <row r="52" spans="2:5" x14ac:dyDescent="0.75">
      <c r="B52">
        <v>2050</v>
      </c>
      <c r="C52">
        <v>1.307339</v>
      </c>
      <c r="D52">
        <v>2.5775589999999999</v>
      </c>
      <c r="E52">
        <v>5.8630579999999997</v>
      </c>
    </row>
    <row r="53" spans="2:5" x14ac:dyDescent="0.75">
      <c r="B53" t="s">
        <v>1521</v>
      </c>
      <c r="C53">
        <v>1.0999999999999999E-2</v>
      </c>
      <c r="D53">
        <v>5.0000000000000001E-3</v>
      </c>
      <c r="E53">
        <v>1.7000000000000001E-2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C91C-E968-48E1-8C99-00D00643676B}">
  <dimension ref="A1:AI52"/>
  <sheetViews>
    <sheetView workbookViewId="0">
      <selection activeCell="C22" sqref="C22:E22"/>
    </sheetView>
  </sheetViews>
  <sheetFormatPr defaultRowHeight="14.75" x14ac:dyDescent="0.75"/>
  <cols>
    <col min="1" max="1" width="41.26953125" customWidth="1"/>
    <col min="2" max="2" width="8.40625" customWidth="1"/>
    <col min="3" max="5" width="14.1328125" customWidth="1"/>
  </cols>
  <sheetData>
    <row r="1" spans="1:35" x14ac:dyDescent="0.75">
      <c r="A1" t="s">
        <v>1389</v>
      </c>
    </row>
    <row r="2" spans="1:35" x14ac:dyDescent="0.75">
      <c r="A2" t="s">
        <v>1626</v>
      </c>
    </row>
    <row r="3" spans="1:35" x14ac:dyDescent="0.75">
      <c r="A3" t="s">
        <v>1627</v>
      </c>
    </row>
    <row r="4" spans="1:35" x14ac:dyDescent="0.75">
      <c r="A4" t="s">
        <v>1391</v>
      </c>
    </row>
    <row r="5" spans="1:35" x14ac:dyDescent="0.75">
      <c r="B5" t="s">
        <v>1392</v>
      </c>
      <c r="C5" t="s">
        <v>1393</v>
      </c>
      <c r="D5" t="s">
        <v>1394</v>
      </c>
      <c r="E5">
        <v>2021</v>
      </c>
      <c r="F5">
        <v>2022</v>
      </c>
      <c r="G5">
        <v>2023</v>
      </c>
      <c r="H5">
        <v>2024</v>
      </c>
      <c r="I5">
        <v>2025</v>
      </c>
      <c r="J5">
        <v>2026</v>
      </c>
      <c r="K5">
        <v>2027</v>
      </c>
      <c r="L5">
        <v>2028</v>
      </c>
      <c r="M5">
        <v>2029</v>
      </c>
      <c r="N5">
        <v>2030</v>
      </c>
      <c r="O5">
        <v>2031</v>
      </c>
      <c r="P5">
        <v>2032</v>
      </c>
      <c r="Q5">
        <v>2033</v>
      </c>
      <c r="R5">
        <v>2034</v>
      </c>
      <c r="S5">
        <v>2035</v>
      </c>
      <c r="T5">
        <v>2036</v>
      </c>
      <c r="U5">
        <v>2037</v>
      </c>
      <c r="V5">
        <v>2038</v>
      </c>
      <c r="W5">
        <v>2039</v>
      </c>
      <c r="X5">
        <v>2040</v>
      </c>
      <c r="Y5">
        <v>2041</v>
      </c>
      <c r="Z5">
        <v>2042</v>
      </c>
      <c r="AA5">
        <v>2043</v>
      </c>
      <c r="AB5">
        <v>2044</v>
      </c>
      <c r="AC5">
        <v>2045</v>
      </c>
      <c r="AD5">
        <v>2046</v>
      </c>
      <c r="AE5">
        <v>2047</v>
      </c>
      <c r="AF5">
        <v>2048</v>
      </c>
      <c r="AG5">
        <v>2049</v>
      </c>
      <c r="AH5">
        <v>2050</v>
      </c>
      <c r="AI5" t="s">
        <v>1521</v>
      </c>
    </row>
    <row r="6" spans="1:35" x14ac:dyDescent="0.75">
      <c r="A6" t="s">
        <v>1395</v>
      </c>
    </row>
    <row r="7" spans="1:35" x14ac:dyDescent="0.75">
      <c r="A7" t="s">
        <v>1396</v>
      </c>
      <c r="B7" t="s">
        <v>1633</v>
      </c>
      <c r="C7" t="s">
        <v>1634</v>
      </c>
      <c r="D7" t="s">
        <v>1397</v>
      </c>
      <c r="F7">
        <v>2.9089260000000001</v>
      </c>
      <c r="G7">
        <v>2.7399819999999999</v>
      </c>
      <c r="H7">
        <v>2.401043</v>
      </c>
      <c r="I7">
        <v>2.2935319999999999</v>
      </c>
      <c r="J7">
        <v>2.1971799999999999</v>
      </c>
      <c r="K7">
        <v>2.130779</v>
      </c>
      <c r="L7">
        <v>2.0231599999999998</v>
      </c>
      <c r="M7">
        <v>1.990783</v>
      </c>
      <c r="N7">
        <v>2.0223080000000002</v>
      </c>
      <c r="O7">
        <v>2.0175019999999999</v>
      </c>
      <c r="P7">
        <v>2.067005</v>
      </c>
      <c r="Q7">
        <v>2.0857589999999999</v>
      </c>
      <c r="R7">
        <v>2.0894650000000001</v>
      </c>
      <c r="S7">
        <v>2.0738500000000002</v>
      </c>
      <c r="T7">
        <v>2.0296430000000001</v>
      </c>
      <c r="U7">
        <v>2.028635</v>
      </c>
      <c r="V7">
        <v>2.084848</v>
      </c>
      <c r="W7">
        <v>2.058595</v>
      </c>
      <c r="X7">
        <v>2.1769729999999998</v>
      </c>
      <c r="Y7">
        <v>2.2017370000000001</v>
      </c>
      <c r="Z7">
        <v>2.2143510000000002</v>
      </c>
      <c r="AA7">
        <v>2.2614649999999998</v>
      </c>
      <c r="AB7">
        <v>2.343375</v>
      </c>
      <c r="AC7">
        <v>2.4169770000000002</v>
      </c>
      <c r="AD7">
        <v>2.4468869999999998</v>
      </c>
      <c r="AE7">
        <v>2.473611</v>
      </c>
      <c r="AF7">
        <v>2.5195919999999998</v>
      </c>
      <c r="AG7">
        <v>2.5358719999999999</v>
      </c>
      <c r="AH7">
        <v>2.563126</v>
      </c>
      <c r="AI7" s="9">
        <v>-5.0000000000000001E-3</v>
      </c>
    </row>
    <row r="8" spans="1:35" x14ac:dyDescent="0.75">
      <c r="A8" t="s">
        <v>1398</v>
      </c>
      <c r="B8" t="s">
        <v>1635</v>
      </c>
      <c r="C8" t="s">
        <v>1636</v>
      </c>
      <c r="D8" t="s">
        <v>1397</v>
      </c>
      <c r="F8">
        <v>2.8832439999999999</v>
      </c>
      <c r="G8">
        <v>2.7186620000000001</v>
      </c>
      <c r="H8">
        <v>2.3729420000000001</v>
      </c>
      <c r="I8">
        <v>2.2586490000000001</v>
      </c>
      <c r="J8">
        <v>2.155516</v>
      </c>
      <c r="K8">
        <v>2.0823330000000002</v>
      </c>
      <c r="L8">
        <v>1.9679329999999999</v>
      </c>
      <c r="M8">
        <v>1.9355560000000001</v>
      </c>
      <c r="N8">
        <v>1.9670810000000001</v>
      </c>
      <c r="O8">
        <v>1.962275</v>
      </c>
      <c r="P8">
        <v>2.0117769999999999</v>
      </c>
      <c r="Q8">
        <v>2.0305309999999999</v>
      </c>
      <c r="R8">
        <v>2.0342380000000002</v>
      </c>
      <c r="S8">
        <v>2.0186229999999998</v>
      </c>
      <c r="T8">
        <v>1.9744159999999999</v>
      </c>
      <c r="U8">
        <v>1.9734080000000001</v>
      </c>
      <c r="V8">
        <v>2.0296210000000001</v>
      </c>
      <c r="W8">
        <v>2.003368</v>
      </c>
      <c r="X8">
        <v>2.1217459999999999</v>
      </c>
      <c r="Y8">
        <v>2.1465100000000001</v>
      </c>
      <c r="Z8">
        <v>2.1591230000000001</v>
      </c>
      <c r="AA8">
        <v>2.2062379999999999</v>
      </c>
      <c r="AB8">
        <v>2.2881480000000001</v>
      </c>
      <c r="AC8">
        <v>2.3617499999999998</v>
      </c>
      <c r="AD8">
        <v>2.3916590000000002</v>
      </c>
      <c r="AE8">
        <v>2.4183829999999999</v>
      </c>
      <c r="AF8">
        <v>2.4643649999999999</v>
      </c>
      <c r="AG8">
        <v>2.480645</v>
      </c>
      <c r="AH8">
        <v>2.5078990000000001</v>
      </c>
      <c r="AI8" s="9">
        <v>-5.0000000000000001E-3</v>
      </c>
    </row>
    <row r="9" spans="1:35" x14ac:dyDescent="0.75">
      <c r="A9" t="s">
        <v>1399</v>
      </c>
      <c r="B9" t="s">
        <v>1637</v>
      </c>
      <c r="C9" t="s">
        <v>1638</v>
      </c>
      <c r="D9" t="s">
        <v>1397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1400</v>
      </c>
    </row>
    <row r="10" spans="1:35" x14ac:dyDescent="0.75">
      <c r="A10" t="s">
        <v>1401</v>
      </c>
      <c r="B10" t="s">
        <v>1639</v>
      </c>
      <c r="C10" t="s">
        <v>1640</v>
      </c>
      <c r="D10" t="s">
        <v>1397</v>
      </c>
      <c r="F10">
        <v>2.5682E-2</v>
      </c>
      <c r="G10">
        <v>2.1319999999999999E-2</v>
      </c>
      <c r="H10">
        <v>2.8101000000000001E-2</v>
      </c>
      <c r="I10">
        <v>3.4882999999999997E-2</v>
      </c>
      <c r="J10">
        <v>4.1664E-2</v>
      </c>
      <c r="K10">
        <v>4.8446000000000003E-2</v>
      </c>
      <c r="L10">
        <v>5.5226999999999998E-2</v>
      </c>
      <c r="M10">
        <v>5.5226999999999998E-2</v>
      </c>
      <c r="N10">
        <v>5.5226999999999998E-2</v>
      </c>
      <c r="O10">
        <v>5.5226999999999998E-2</v>
      </c>
      <c r="P10">
        <v>5.5226999999999998E-2</v>
      </c>
      <c r="Q10">
        <v>5.5226999999999998E-2</v>
      </c>
      <c r="R10">
        <v>5.5226999999999998E-2</v>
      </c>
      <c r="S10">
        <v>5.5226999999999998E-2</v>
      </c>
      <c r="T10">
        <v>5.5226999999999998E-2</v>
      </c>
      <c r="U10">
        <v>5.5226999999999998E-2</v>
      </c>
      <c r="V10">
        <v>5.5226999999999998E-2</v>
      </c>
      <c r="W10">
        <v>5.5226999999999998E-2</v>
      </c>
      <c r="X10">
        <v>5.5226999999999998E-2</v>
      </c>
      <c r="Y10">
        <v>5.5226999999999998E-2</v>
      </c>
      <c r="Z10">
        <v>5.5226999999999998E-2</v>
      </c>
      <c r="AA10">
        <v>5.5226999999999998E-2</v>
      </c>
      <c r="AB10">
        <v>5.5226999999999998E-2</v>
      </c>
      <c r="AC10">
        <v>5.5226999999999998E-2</v>
      </c>
      <c r="AD10">
        <v>5.5226999999999998E-2</v>
      </c>
      <c r="AE10">
        <v>5.5226999999999998E-2</v>
      </c>
      <c r="AF10">
        <v>5.5226999999999998E-2</v>
      </c>
      <c r="AG10">
        <v>5.5226999999999998E-2</v>
      </c>
      <c r="AH10">
        <v>5.5226999999999998E-2</v>
      </c>
      <c r="AI10" s="9">
        <v>2.8000000000000001E-2</v>
      </c>
    </row>
    <row r="11" spans="1:35" x14ac:dyDescent="0.75">
      <c r="A11" t="s">
        <v>1402</v>
      </c>
      <c r="B11" t="s">
        <v>1641</v>
      </c>
      <c r="C11" t="s">
        <v>1642</v>
      </c>
      <c r="D11" t="s">
        <v>1397</v>
      </c>
      <c r="F11">
        <v>7.0931749999999996</v>
      </c>
      <c r="G11">
        <v>7.8750070000000001</v>
      </c>
      <c r="H11">
        <v>7.8729589999999998</v>
      </c>
      <c r="I11">
        <v>8.2626679999999997</v>
      </c>
      <c r="J11">
        <v>8.7638680000000004</v>
      </c>
      <c r="K11">
        <v>9.1812149999999999</v>
      </c>
      <c r="L11">
        <v>9.5785509999999991</v>
      </c>
      <c r="M11">
        <v>9.9330789999999993</v>
      </c>
      <c r="N11">
        <v>10.575899</v>
      </c>
      <c r="O11">
        <v>11.270925999999999</v>
      </c>
      <c r="P11">
        <v>11.962046000000001</v>
      </c>
      <c r="Q11">
        <v>12.634211000000001</v>
      </c>
      <c r="R11">
        <v>13.206429999999999</v>
      </c>
      <c r="S11">
        <v>13.597880999999999</v>
      </c>
      <c r="T11">
        <v>13.849167</v>
      </c>
      <c r="U11">
        <v>14.059984999999999</v>
      </c>
      <c r="V11">
        <v>14.173973</v>
      </c>
      <c r="W11">
        <v>14.207765</v>
      </c>
      <c r="X11">
        <v>14.232253999999999</v>
      </c>
      <c r="Y11">
        <v>14.221733</v>
      </c>
      <c r="Z11">
        <v>14.230568999999999</v>
      </c>
      <c r="AA11">
        <v>14.237660999999999</v>
      </c>
      <c r="AB11">
        <v>14.27979</v>
      </c>
      <c r="AC11">
        <v>14.264336</v>
      </c>
      <c r="AD11">
        <v>14.247074</v>
      </c>
      <c r="AE11">
        <v>14.226974</v>
      </c>
      <c r="AF11">
        <v>14.230646</v>
      </c>
      <c r="AG11">
        <v>14.195643</v>
      </c>
      <c r="AH11">
        <v>14.176985</v>
      </c>
      <c r="AI11" s="9">
        <v>2.5000000000000001E-2</v>
      </c>
    </row>
    <row r="12" spans="1:35" x14ac:dyDescent="0.75">
      <c r="A12" t="s">
        <v>1403</v>
      </c>
      <c r="B12" t="s">
        <v>1643</v>
      </c>
      <c r="C12" t="s">
        <v>1644</v>
      </c>
      <c r="D12" t="s">
        <v>1397</v>
      </c>
      <c r="F12">
        <v>0.95025499999999996</v>
      </c>
      <c r="G12">
        <v>1.0261929999999999</v>
      </c>
      <c r="H12">
        <v>0.90947199999999995</v>
      </c>
      <c r="I12">
        <v>0.94276300000000002</v>
      </c>
      <c r="J12">
        <v>0.95982100000000004</v>
      </c>
      <c r="K12">
        <v>0.97536400000000001</v>
      </c>
      <c r="L12">
        <v>0.99156699999999998</v>
      </c>
      <c r="M12">
        <v>1.010723</v>
      </c>
      <c r="N12">
        <v>1.006537</v>
      </c>
      <c r="O12">
        <v>1.0302180000000001</v>
      </c>
      <c r="P12">
        <v>1.0382450000000001</v>
      </c>
      <c r="Q12">
        <v>1.0457050000000001</v>
      </c>
      <c r="R12">
        <v>1.050724</v>
      </c>
      <c r="S12">
        <v>1.0692489999999999</v>
      </c>
      <c r="T12">
        <v>1.080646</v>
      </c>
      <c r="U12">
        <v>1.0848180000000001</v>
      </c>
      <c r="V12">
        <v>1.0849960000000001</v>
      </c>
      <c r="W12">
        <v>1.0977300000000001</v>
      </c>
      <c r="X12">
        <v>1.0971200000000001</v>
      </c>
      <c r="Y12">
        <v>1.0962240000000001</v>
      </c>
      <c r="Z12">
        <v>1.1028690000000001</v>
      </c>
      <c r="AA12">
        <v>1.1080190000000001</v>
      </c>
      <c r="AB12">
        <v>1.109189</v>
      </c>
      <c r="AC12">
        <v>1.108968</v>
      </c>
      <c r="AD12">
        <v>1.108895</v>
      </c>
      <c r="AE12">
        <v>1.116778</v>
      </c>
      <c r="AF12">
        <v>1.1246290000000001</v>
      </c>
      <c r="AG12">
        <v>1.1311580000000001</v>
      </c>
      <c r="AH12">
        <v>1.1200300000000001</v>
      </c>
      <c r="AI12" s="9">
        <v>6.0000000000000001E-3</v>
      </c>
    </row>
    <row r="13" spans="1:35" x14ac:dyDescent="0.75">
      <c r="A13" t="s">
        <v>1404</v>
      </c>
      <c r="B13" t="s">
        <v>1645</v>
      </c>
      <c r="C13" t="s">
        <v>1646</v>
      </c>
      <c r="D13" t="s">
        <v>1397</v>
      </c>
      <c r="F13">
        <v>2.1841699999999999</v>
      </c>
      <c r="G13">
        <v>2.3490039999999999</v>
      </c>
      <c r="H13">
        <v>2.3918400000000002</v>
      </c>
      <c r="I13">
        <v>2.4532669999999999</v>
      </c>
      <c r="J13">
        <v>2.4912299999999998</v>
      </c>
      <c r="K13">
        <v>2.5250210000000002</v>
      </c>
      <c r="L13">
        <v>2.591412</v>
      </c>
      <c r="M13">
        <v>2.6415250000000001</v>
      </c>
      <c r="N13">
        <v>2.6885309999999998</v>
      </c>
      <c r="O13">
        <v>2.7598769999999999</v>
      </c>
      <c r="P13">
        <v>2.8282280000000002</v>
      </c>
      <c r="Q13">
        <v>2.9076749999999998</v>
      </c>
      <c r="R13">
        <v>2.9748749999999999</v>
      </c>
      <c r="S13">
        <v>3.047803</v>
      </c>
      <c r="T13">
        <v>3.0729470000000001</v>
      </c>
      <c r="U13">
        <v>3.0943369999999999</v>
      </c>
      <c r="V13">
        <v>3.1081470000000002</v>
      </c>
      <c r="W13">
        <v>3.1292049999999998</v>
      </c>
      <c r="X13">
        <v>3.139561</v>
      </c>
      <c r="Y13">
        <v>3.1446779999999999</v>
      </c>
      <c r="Z13">
        <v>3.1468690000000001</v>
      </c>
      <c r="AA13">
        <v>3.1488119999999999</v>
      </c>
      <c r="AB13">
        <v>3.1750280000000002</v>
      </c>
      <c r="AC13">
        <v>3.1745380000000001</v>
      </c>
      <c r="AD13">
        <v>3.157349</v>
      </c>
      <c r="AE13">
        <v>3.1293669999999998</v>
      </c>
      <c r="AF13">
        <v>3.1104440000000002</v>
      </c>
      <c r="AG13">
        <v>3.083656</v>
      </c>
      <c r="AH13">
        <v>3.0761240000000001</v>
      </c>
      <c r="AI13" s="9">
        <v>1.2E-2</v>
      </c>
    </row>
    <row r="14" spans="1:35" x14ac:dyDescent="0.75">
      <c r="A14" t="s">
        <v>1405</v>
      </c>
      <c r="B14" t="s">
        <v>1647</v>
      </c>
      <c r="C14" t="s">
        <v>1648</v>
      </c>
      <c r="D14" t="s">
        <v>1397</v>
      </c>
      <c r="F14">
        <v>3.9587500000000002</v>
      </c>
      <c r="G14">
        <v>4.4998100000000001</v>
      </c>
      <c r="H14">
        <v>4.5716469999999996</v>
      </c>
      <c r="I14">
        <v>4.866638</v>
      </c>
      <c r="J14">
        <v>5.3128169999999999</v>
      </c>
      <c r="K14">
        <v>5.6808300000000003</v>
      </c>
      <c r="L14">
        <v>5.9955720000000001</v>
      </c>
      <c r="M14">
        <v>6.2808299999999999</v>
      </c>
      <c r="N14">
        <v>6.8808299999999996</v>
      </c>
      <c r="O14">
        <v>7.4808310000000002</v>
      </c>
      <c r="P14">
        <v>8.0955720000000007</v>
      </c>
      <c r="Q14">
        <v>8.6808309999999995</v>
      </c>
      <c r="R14">
        <v>9.1808309999999995</v>
      </c>
      <c r="S14">
        <v>9.4808299999999992</v>
      </c>
      <c r="T14">
        <v>9.6955729999999996</v>
      </c>
      <c r="U14">
        <v>9.8808310000000006</v>
      </c>
      <c r="V14">
        <v>9.9808299999999992</v>
      </c>
      <c r="W14">
        <v>9.9808299999999992</v>
      </c>
      <c r="X14">
        <v>9.9955730000000003</v>
      </c>
      <c r="Y14">
        <v>9.9808299999999992</v>
      </c>
      <c r="Z14">
        <v>9.9808299999999992</v>
      </c>
      <c r="AA14">
        <v>9.9808299999999992</v>
      </c>
      <c r="AB14">
        <v>9.9955730000000003</v>
      </c>
      <c r="AC14">
        <v>9.9808299999999992</v>
      </c>
      <c r="AD14">
        <v>9.9808299999999992</v>
      </c>
      <c r="AE14">
        <v>9.9808299999999992</v>
      </c>
      <c r="AF14">
        <v>9.9955730000000003</v>
      </c>
      <c r="AG14">
        <v>9.9808299999999992</v>
      </c>
      <c r="AH14">
        <v>9.9808299999999992</v>
      </c>
      <c r="AI14" s="9">
        <v>3.4000000000000002E-2</v>
      </c>
    </row>
    <row r="15" spans="1:35" x14ac:dyDescent="0.75">
      <c r="A15" t="s">
        <v>1406</v>
      </c>
      <c r="B15" t="s">
        <v>1649</v>
      </c>
      <c r="C15" t="s">
        <v>1650</v>
      </c>
      <c r="D15" t="s">
        <v>1397</v>
      </c>
      <c r="F15">
        <v>-4.1842490000000003</v>
      </c>
      <c r="G15">
        <v>-5.1350249999999997</v>
      </c>
      <c r="H15">
        <v>-5.4719150000000001</v>
      </c>
      <c r="I15">
        <v>-5.9691359999999998</v>
      </c>
      <c r="J15">
        <v>-6.5666880000000001</v>
      </c>
      <c r="K15">
        <v>-7.0504360000000004</v>
      </c>
      <c r="L15">
        <v>-7.5553910000000002</v>
      </c>
      <c r="M15">
        <v>-7.9422959999999998</v>
      </c>
      <c r="N15">
        <v>-8.5535910000000008</v>
      </c>
      <c r="O15">
        <v>-9.2534240000000008</v>
      </c>
      <c r="P15">
        <v>-9.8950410000000009</v>
      </c>
      <c r="Q15">
        <v>-10.548451999999999</v>
      </c>
      <c r="R15">
        <v>-11.116963999999999</v>
      </c>
      <c r="S15">
        <v>-11.524032999999999</v>
      </c>
      <c r="T15">
        <v>-11.819523</v>
      </c>
      <c r="U15">
        <v>-12.03135</v>
      </c>
      <c r="V15">
        <v>-12.089126</v>
      </c>
      <c r="W15">
        <v>-12.14917</v>
      </c>
      <c r="X15">
        <v>-12.055281000000001</v>
      </c>
      <c r="Y15">
        <v>-12.019995</v>
      </c>
      <c r="Z15">
        <v>-12.016218</v>
      </c>
      <c r="AA15">
        <v>-11.976196</v>
      </c>
      <c r="AB15">
        <v>-11.936415</v>
      </c>
      <c r="AC15">
        <v>-11.847359000000001</v>
      </c>
      <c r="AD15">
        <v>-11.800186999999999</v>
      </c>
      <c r="AE15">
        <v>-11.753365000000001</v>
      </c>
      <c r="AF15">
        <v>-11.711054000000001</v>
      </c>
      <c r="AG15">
        <v>-11.659770999999999</v>
      </c>
      <c r="AH15">
        <v>-11.613858</v>
      </c>
      <c r="AI15" s="9">
        <v>3.6999999999999998E-2</v>
      </c>
    </row>
    <row r="16" spans="1:35" x14ac:dyDescent="0.75">
      <c r="A16" t="s">
        <v>1407</v>
      </c>
      <c r="B16" t="s">
        <v>1651</v>
      </c>
      <c r="C16" t="s">
        <v>1652</v>
      </c>
      <c r="D16" t="s">
        <v>1397</v>
      </c>
      <c r="F16">
        <v>1.9329890000000001</v>
      </c>
      <c r="G16">
        <v>1.692469</v>
      </c>
      <c r="H16">
        <v>1.46347</v>
      </c>
      <c r="I16">
        <v>1.3158859999999999</v>
      </c>
      <c r="J16">
        <v>1.195694</v>
      </c>
      <c r="K16">
        <v>1.1069690000000001</v>
      </c>
      <c r="L16">
        <v>0.97636500000000004</v>
      </c>
      <c r="M16">
        <v>0.92483300000000002</v>
      </c>
      <c r="N16">
        <v>0.96054399999999995</v>
      </c>
      <c r="O16">
        <v>0.93205700000000002</v>
      </c>
      <c r="P16">
        <v>0.97353199999999995</v>
      </c>
      <c r="Q16">
        <v>0.98482700000000001</v>
      </c>
      <c r="R16">
        <v>0.983514</v>
      </c>
      <c r="S16">
        <v>0.94937400000000005</v>
      </c>
      <c r="T16">
        <v>0.89376999999999995</v>
      </c>
      <c r="U16">
        <v>0.88858999999999999</v>
      </c>
      <c r="V16">
        <v>0.94462400000000002</v>
      </c>
      <c r="W16">
        <v>0.90563800000000005</v>
      </c>
      <c r="X16">
        <v>1.024626</v>
      </c>
      <c r="Y16">
        <v>1.0502860000000001</v>
      </c>
      <c r="Z16">
        <v>1.056254</v>
      </c>
      <c r="AA16">
        <v>1.0982190000000001</v>
      </c>
      <c r="AB16">
        <v>1.1789590000000001</v>
      </c>
      <c r="AC16">
        <v>1.2527820000000001</v>
      </c>
      <c r="AD16">
        <v>1.282764</v>
      </c>
      <c r="AE16">
        <v>1.301606</v>
      </c>
      <c r="AF16">
        <v>1.339736</v>
      </c>
      <c r="AG16">
        <v>1.349488</v>
      </c>
      <c r="AH16">
        <v>1.3878680000000001</v>
      </c>
      <c r="AI16" s="9">
        <v>-1.2E-2</v>
      </c>
    </row>
    <row r="17" spans="1:35" x14ac:dyDescent="0.75">
      <c r="A17" t="s">
        <v>1408</v>
      </c>
      <c r="B17" t="s">
        <v>1653</v>
      </c>
      <c r="C17" t="s">
        <v>1654</v>
      </c>
      <c r="D17" t="s">
        <v>1397</v>
      </c>
      <c r="F17">
        <v>-2.1841699999999999</v>
      </c>
      <c r="G17">
        <v>-2.3490039999999999</v>
      </c>
      <c r="H17">
        <v>-2.3918400000000002</v>
      </c>
      <c r="I17">
        <v>-2.4532669999999999</v>
      </c>
      <c r="J17">
        <v>-2.4912299999999998</v>
      </c>
      <c r="K17">
        <v>-2.5250210000000002</v>
      </c>
      <c r="L17">
        <v>-2.591412</v>
      </c>
      <c r="M17">
        <v>-2.6415250000000001</v>
      </c>
      <c r="N17">
        <v>-2.6885309999999998</v>
      </c>
      <c r="O17">
        <v>-2.7598769999999999</v>
      </c>
      <c r="P17">
        <v>-2.8282280000000002</v>
      </c>
      <c r="Q17">
        <v>-2.9076749999999998</v>
      </c>
      <c r="R17">
        <v>-2.9748749999999999</v>
      </c>
      <c r="S17">
        <v>-3.047803</v>
      </c>
      <c r="T17">
        <v>-3.0729470000000001</v>
      </c>
      <c r="U17">
        <v>-3.0943369999999999</v>
      </c>
      <c r="V17">
        <v>-3.1081470000000002</v>
      </c>
      <c r="W17">
        <v>-3.1292049999999998</v>
      </c>
      <c r="X17">
        <v>-3.139561</v>
      </c>
      <c r="Y17">
        <v>-3.1446779999999999</v>
      </c>
      <c r="Z17">
        <v>-3.1468690000000001</v>
      </c>
      <c r="AA17">
        <v>-3.1488119999999999</v>
      </c>
      <c r="AB17">
        <v>-3.1750280000000002</v>
      </c>
      <c r="AC17">
        <v>-3.1745380000000001</v>
      </c>
      <c r="AD17">
        <v>-3.157349</v>
      </c>
      <c r="AE17">
        <v>-3.1293669999999998</v>
      </c>
      <c r="AF17">
        <v>-3.1104440000000002</v>
      </c>
      <c r="AG17">
        <v>-3.083656</v>
      </c>
      <c r="AH17">
        <v>-3.0761240000000001</v>
      </c>
      <c r="AI17" s="9">
        <v>1.2E-2</v>
      </c>
    </row>
    <row r="18" spans="1:35" x14ac:dyDescent="0.75">
      <c r="A18" t="s">
        <v>1409</v>
      </c>
      <c r="B18" t="s">
        <v>1655</v>
      </c>
      <c r="C18" t="s">
        <v>1656</v>
      </c>
      <c r="D18" t="s">
        <v>1397</v>
      </c>
      <c r="F18">
        <v>-3.933068</v>
      </c>
      <c r="G18">
        <v>-4.4784899999999999</v>
      </c>
      <c r="H18">
        <v>-4.5435460000000001</v>
      </c>
      <c r="I18">
        <v>-4.8317550000000002</v>
      </c>
      <c r="J18">
        <v>-5.271153</v>
      </c>
      <c r="K18">
        <v>-5.6323850000000002</v>
      </c>
      <c r="L18">
        <v>-5.9403449999999998</v>
      </c>
      <c r="M18">
        <v>-6.2256030000000004</v>
      </c>
      <c r="N18">
        <v>-6.8256030000000001</v>
      </c>
      <c r="O18">
        <v>-7.4256029999999997</v>
      </c>
      <c r="P18">
        <v>-8.0403450000000003</v>
      </c>
      <c r="Q18">
        <v>-8.6256039999999992</v>
      </c>
      <c r="R18">
        <v>-9.1256039999999992</v>
      </c>
      <c r="S18">
        <v>-9.4256030000000006</v>
      </c>
      <c r="T18">
        <v>-9.6403459999999992</v>
      </c>
      <c r="U18">
        <v>-9.8256029999999992</v>
      </c>
      <c r="V18">
        <v>-9.9256030000000006</v>
      </c>
      <c r="W18">
        <v>-9.9256030000000006</v>
      </c>
      <c r="X18">
        <v>-9.9403459999999999</v>
      </c>
      <c r="Y18">
        <v>-9.9256030000000006</v>
      </c>
      <c r="Z18">
        <v>-9.9256030000000006</v>
      </c>
      <c r="AA18">
        <v>-9.9256030000000006</v>
      </c>
      <c r="AB18">
        <v>-9.9403459999999999</v>
      </c>
      <c r="AC18">
        <v>-9.9256030000000006</v>
      </c>
      <c r="AD18">
        <v>-9.9256030000000006</v>
      </c>
      <c r="AE18">
        <v>-9.9256030000000006</v>
      </c>
      <c r="AF18">
        <v>-9.9403459999999999</v>
      </c>
      <c r="AG18">
        <v>-9.9256030000000006</v>
      </c>
      <c r="AH18">
        <v>-9.9256030000000006</v>
      </c>
      <c r="AI18" s="9">
        <v>3.4000000000000002E-2</v>
      </c>
    </row>
    <row r="21" spans="1:35" x14ac:dyDescent="0.75">
      <c r="B21" s="1" t="s">
        <v>1490</v>
      </c>
    </row>
    <row r="22" spans="1:35" ht="44.25" x14ac:dyDescent="0.75">
      <c r="C22" s="39" t="s">
        <v>1403</v>
      </c>
      <c r="D22" s="39" t="s">
        <v>1404</v>
      </c>
      <c r="E22" s="39" t="s">
        <v>1405</v>
      </c>
    </row>
    <row r="23" spans="1:35" x14ac:dyDescent="0.75">
      <c r="B23">
        <v>2022</v>
      </c>
      <c r="C23">
        <v>0.95025499999999996</v>
      </c>
      <c r="D23">
        <v>2.1841699999999999</v>
      </c>
      <c r="E23">
        <v>3.9587500000000002</v>
      </c>
    </row>
    <row r="24" spans="1:35" x14ac:dyDescent="0.75">
      <c r="B24">
        <v>2023</v>
      </c>
      <c r="C24">
        <v>1.0261929999999999</v>
      </c>
      <c r="D24">
        <v>2.3490039999999999</v>
      </c>
      <c r="E24">
        <v>4.4998100000000001</v>
      </c>
    </row>
    <row r="25" spans="1:35" x14ac:dyDescent="0.75">
      <c r="B25">
        <v>2024</v>
      </c>
      <c r="C25">
        <v>0.90947199999999995</v>
      </c>
      <c r="D25">
        <v>2.3918400000000002</v>
      </c>
      <c r="E25">
        <v>4.5716469999999996</v>
      </c>
    </row>
    <row r="26" spans="1:35" x14ac:dyDescent="0.75">
      <c r="B26">
        <v>2025</v>
      </c>
      <c r="C26">
        <v>0.94276300000000002</v>
      </c>
      <c r="D26">
        <v>2.4532669999999999</v>
      </c>
      <c r="E26">
        <v>4.866638</v>
      </c>
    </row>
    <row r="27" spans="1:35" x14ac:dyDescent="0.75">
      <c r="B27">
        <v>2026</v>
      </c>
      <c r="C27">
        <v>0.95982100000000004</v>
      </c>
      <c r="D27">
        <v>2.4912299999999998</v>
      </c>
      <c r="E27">
        <v>5.3128169999999999</v>
      </c>
    </row>
    <row r="28" spans="1:35" x14ac:dyDescent="0.75">
      <c r="B28">
        <v>2027</v>
      </c>
      <c r="C28">
        <v>0.97536400000000001</v>
      </c>
      <c r="D28">
        <v>2.5250210000000002</v>
      </c>
      <c r="E28">
        <v>5.6808300000000003</v>
      </c>
    </row>
    <row r="29" spans="1:35" x14ac:dyDescent="0.75">
      <c r="B29">
        <v>2028</v>
      </c>
      <c r="C29">
        <v>0.99156699999999998</v>
      </c>
      <c r="D29">
        <v>2.591412</v>
      </c>
      <c r="E29">
        <v>5.9955720000000001</v>
      </c>
    </row>
    <row r="30" spans="1:35" x14ac:dyDescent="0.75">
      <c r="B30">
        <v>2029</v>
      </c>
      <c r="C30">
        <v>1.010723</v>
      </c>
      <c r="D30">
        <v>2.6415250000000001</v>
      </c>
      <c r="E30">
        <v>6.2808299999999999</v>
      </c>
    </row>
    <row r="31" spans="1:35" x14ac:dyDescent="0.75">
      <c r="B31">
        <v>2030</v>
      </c>
      <c r="C31">
        <v>1.006537</v>
      </c>
      <c r="D31">
        <v>2.6885309999999998</v>
      </c>
      <c r="E31">
        <v>6.8808299999999996</v>
      </c>
    </row>
    <row r="32" spans="1:35" x14ac:dyDescent="0.75">
      <c r="B32">
        <v>2031</v>
      </c>
      <c r="C32">
        <v>1.0302180000000001</v>
      </c>
      <c r="D32">
        <v>2.7598769999999999</v>
      </c>
      <c r="E32">
        <v>7.4808310000000002</v>
      </c>
    </row>
    <row r="33" spans="2:5" x14ac:dyDescent="0.75">
      <c r="B33">
        <v>2032</v>
      </c>
      <c r="C33">
        <v>1.0382450000000001</v>
      </c>
      <c r="D33">
        <v>2.8282280000000002</v>
      </c>
      <c r="E33">
        <v>8.0955720000000007</v>
      </c>
    </row>
    <row r="34" spans="2:5" x14ac:dyDescent="0.75">
      <c r="B34">
        <v>2033</v>
      </c>
      <c r="C34">
        <v>1.0457050000000001</v>
      </c>
      <c r="D34">
        <v>2.9076749999999998</v>
      </c>
      <c r="E34">
        <v>8.6808309999999995</v>
      </c>
    </row>
    <row r="35" spans="2:5" x14ac:dyDescent="0.75">
      <c r="B35">
        <v>2034</v>
      </c>
      <c r="C35">
        <v>1.050724</v>
      </c>
      <c r="D35">
        <v>2.9748749999999999</v>
      </c>
      <c r="E35">
        <v>9.1808309999999995</v>
      </c>
    </row>
    <row r="36" spans="2:5" x14ac:dyDescent="0.75">
      <c r="B36">
        <v>2035</v>
      </c>
      <c r="C36">
        <v>1.0692489999999999</v>
      </c>
      <c r="D36">
        <v>3.047803</v>
      </c>
      <c r="E36">
        <v>9.4808299999999992</v>
      </c>
    </row>
    <row r="37" spans="2:5" x14ac:dyDescent="0.75">
      <c r="B37">
        <v>2036</v>
      </c>
      <c r="C37">
        <v>1.080646</v>
      </c>
      <c r="D37">
        <v>3.0729470000000001</v>
      </c>
      <c r="E37">
        <v>9.6955729999999996</v>
      </c>
    </row>
    <row r="38" spans="2:5" x14ac:dyDescent="0.75">
      <c r="B38">
        <v>2037</v>
      </c>
      <c r="C38">
        <v>1.0848180000000001</v>
      </c>
      <c r="D38">
        <v>3.0943369999999999</v>
      </c>
      <c r="E38">
        <v>9.8808310000000006</v>
      </c>
    </row>
    <row r="39" spans="2:5" x14ac:dyDescent="0.75">
      <c r="B39">
        <v>2038</v>
      </c>
      <c r="C39">
        <v>1.0849960000000001</v>
      </c>
      <c r="D39">
        <v>3.1081470000000002</v>
      </c>
      <c r="E39">
        <v>9.9808299999999992</v>
      </c>
    </row>
    <row r="40" spans="2:5" x14ac:dyDescent="0.75">
      <c r="B40">
        <v>2039</v>
      </c>
      <c r="C40">
        <v>1.0977300000000001</v>
      </c>
      <c r="D40">
        <v>3.1292049999999998</v>
      </c>
      <c r="E40">
        <v>9.9808299999999992</v>
      </c>
    </row>
    <row r="41" spans="2:5" x14ac:dyDescent="0.75">
      <c r="B41">
        <v>2040</v>
      </c>
      <c r="C41">
        <v>1.0971200000000001</v>
      </c>
      <c r="D41">
        <v>3.139561</v>
      </c>
      <c r="E41">
        <v>9.9955730000000003</v>
      </c>
    </row>
    <row r="42" spans="2:5" x14ac:dyDescent="0.75">
      <c r="B42">
        <v>2041</v>
      </c>
      <c r="C42">
        <v>1.0962240000000001</v>
      </c>
      <c r="D42">
        <v>3.1446779999999999</v>
      </c>
      <c r="E42">
        <v>9.9808299999999992</v>
      </c>
    </row>
    <row r="43" spans="2:5" x14ac:dyDescent="0.75">
      <c r="B43">
        <v>2042</v>
      </c>
      <c r="C43">
        <v>1.1028690000000001</v>
      </c>
      <c r="D43">
        <v>3.1468690000000001</v>
      </c>
      <c r="E43">
        <v>9.9808299999999992</v>
      </c>
    </row>
    <row r="44" spans="2:5" x14ac:dyDescent="0.75">
      <c r="B44">
        <v>2043</v>
      </c>
      <c r="C44">
        <v>1.1080190000000001</v>
      </c>
      <c r="D44">
        <v>3.1488119999999999</v>
      </c>
      <c r="E44">
        <v>9.9808299999999992</v>
      </c>
    </row>
    <row r="45" spans="2:5" x14ac:dyDescent="0.75">
      <c r="B45">
        <v>2044</v>
      </c>
      <c r="C45">
        <v>1.109189</v>
      </c>
      <c r="D45">
        <v>3.1750280000000002</v>
      </c>
      <c r="E45">
        <v>9.9955730000000003</v>
      </c>
    </row>
    <row r="46" spans="2:5" x14ac:dyDescent="0.75">
      <c r="B46">
        <v>2045</v>
      </c>
      <c r="C46">
        <v>1.108968</v>
      </c>
      <c r="D46">
        <v>3.1745380000000001</v>
      </c>
      <c r="E46">
        <v>9.9808299999999992</v>
      </c>
    </row>
    <row r="47" spans="2:5" x14ac:dyDescent="0.75">
      <c r="B47">
        <v>2046</v>
      </c>
      <c r="C47">
        <v>1.108895</v>
      </c>
      <c r="D47">
        <v>3.157349</v>
      </c>
      <c r="E47">
        <v>9.9808299999999992</v>
      </c>
    </row>
    <row r="48" spans="2:5" x14ac:dyDescent="0.75">
      <c r="B48">
        <v>2047</v>
      </c>
      <c r="C48">
        <v>1.116778</v>
      </c>
      <c r="D48">
        <v>3.1293669999999998</v>
      </c>
      <c r="E48">
        <v>9.9808299999999992</v>
      </c>
    </row>
    <row r="49" spans="2:5" x14ac:dyDescent="0.75">
      <c r="B49">
        <v>2048</v>
      </c>
      <c r="C49">
        <v>1.1246290000000001</v>
      </c>
      <c r="D49">
        <v>3.1104440000000002</v>
      </c>
      <c r="E49">
        <v>9.9955730000000003</v>
      </c>
    </row>
    <row r="50" spans="2:5" x14ac:dyDescent="0.75">
      <c r="B50">
        <v>2049</v>
      </c>
      <c r="C50">
        <v>1.1311580000000001</v>
      </c>
      <c r="D50">
        <v>3.083656</v>
      </c>
      <c r="E50">
        <v>9.9808299999999992</v>
      </c>
    </row>
    <row r="51" spans="2:5" x14ac:dyDescent="0.75">
      <c r="B51">
        <v>2050</v>
      </c>
      <c r="C51">
        <v>1.1200300000000001</v>
      </c>
      <c r="D51">
        <v>3.0761240000000001</v>
      </c>
      <c r="E51">
        <v>9.9808299999999992</v>
      </c>
    </row>
    <row r="52" spans="2:5" x14ac:dyDescent="0.75">
      <c r="B52" t="s">
        <v>1521</v>
      </c>
      <c r="C52" s="9">
        <v>6.0000000000000001E-3</v>
      </c>
      <c r="D52" s="9">
        <v>1.2E-2</v>
      </c>
      <c r="E52" s="9">
        <v>3.4000000000000002E-2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9013-8100-4F0D-A5BB-6C6F8D7BAC86}">
  <dimension ref="A1:AG50"/>
  <sheetViews>
    <sheetView workbookViewId="0"/>
  </sheetViews>
  <sheetFormatPr defaultRowHeight="14.75" x14ac:dyDescent="0.75"/>
  <cols>
    <col min="1" max="1" width="36.54296875" customWidth="1"/>
    <col min="3" max="5" width="18.86328125" customWidth="1"/>
  </cols>
  <sheetData>
    <row r="1" spans="1:33" x14ac:dyDescent="0.75">
      <c r="A1" t="s">
        <v>1750</v>
      </c>
    </row>
    <row r="2" spans="1:33" x14ac:dyDescent="0.75">
      <c r="A2" t="s">
        <v>1749</v>
      </c>
    </row>
    <row r="3" spans="1:33" x14ac:dyDescent="0.75">
      <c r="A3" t="s">
        <v>1748</v>
      </c>
    </row>
    <row r="4" spans="1:33" x14ac:dyDescent="0.75">
      <c r="A4" t="s">
        <v>1391</v>
      </c>
    </row>
    <row r="5" spans="1:33" x14ac:dyDescent="0.75">
      <c r="B5" t="s">
        <v>1392</v>
      </c>
      <c r="C5" t="s">
        <v>1393</v>
      </c>
      <c r="D5" t="s">
        <v>1394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1747</v>
      </c>
    </row>
    <row r="6" spans="1:33" x14ac:dyDescent="0.75">
      <c r="A6" t="s">
        <v>1395</v>
      </c>
    </row>
    <row r="7" spans="1:33" x14ac:dyDescent="0.75">
      <c r="A7" t="s">
        <v>1396</v>
      </c>
      <c r="B7" t="s">
        <v>1746</v>
      </c>
      <c r="C7" t="s">
        <v>1745</v>
      </c>
      <c r="D7" t="s">
        <v>1397</v>
      </c>
      <c r="F7">
        <v>3.0120520000000002</v>
      </c>
      <c r="G7">
        <v>2.8570890000000002</v>
      </c>
      <c r="H7">
        <v>2.3888880000000001</v>
      </c>
      <c r="I7">
        <v>2.626017</v>
      </c>
      <c r="J7">
        <v>2.5709840000000002</v>
      </c>
      <c r="K7">
        <v>2.6203310000000002</v>
      </c>
      <c r="L7">
        <v>2.6881400000000002</v>
      </c>
      <c r="M7">
        <v>2.6981769999999998</v>
      </c>
      <c r="N7">
        <v>2.6937579999999999</v>
      </c>
      <c r="O7">
        <v>2.5619960000000002</v>
      </c>
      <c r="P7">
        <v>2.4174449999999998</v>
      </c>
      <c r="Q7">
        <v>2.4160460000000001</v>
      </c>
      <c r="R7">
        <v>2.4506579999999998</v>
      </c>
      <c r="S7">
        <v>2.4794969999999998</v>
      </c>
      <c r="T7">
        <v>2.5121129999999998</v>
      </c>
      <c r="U7">
        <v>2.5344359999999999</v>
      </c>
      <c r="V7">
        <v>2.4928059999999999</v>
      </c>
      <c r="W7">
        <v>2.3656999999999999</v>
      </c>
      <c r="X7">
        <v>2.369418</v>
      </c>
      <c r="Y7">
        <v>2.4342060000000001</v>
      </c>
      <c r="Z7">
        <v>2.4991490000000001</v>
      </c>
      <c r="AA7">
        <v>2.4868779999999999</v>
      </c>
      <c r="AB7">
        <v>2.323115</v>
      </c>
      <c r="AC7">
        <v>2.3061850000000002</v>
      </c>
      <c r="AD7">
        <v>2.3684210000000001</v>
      </c>
      <c r="AE7">
        <v>2.4564569999999999</v>
      </c>
      <c r="AF7">
        <v>2.5439229999999999</v>
      </c>
      <c r="AG7" s="9">
        <v>-6.0000000000000001E-3</v>
      </c>
    </row>
    <row r="8" spans="1:33" x14ac:dyDescent="0.75">
      <c r="A8" t="s">
        <v>1398</v>
      </c>
      <c r="B8" t="s">
        <v>1744</v>
      </c>
      <c r="C8" t="s">
        <v>1743</v>
      </c>
      <c r="D8" t="s">
        <v>1397</v>
      </c>
      <c r="F8">
        <v>2.9923920000000002</v>
      </c>
      <c r="G8">
        <v>2.8358560000000002</v>
      </c>
      <c r="H8">
        <v>2.365415</v>
      </c>
      <c r="I8">
        <v>2.6003039999999999</v>
      </c>
      <c r="J8">
        <v>2.543031</v>
      </c>
      <c r="K8">
        <v>2.5901380000000001</v>
      </c>
      <c r="L8">
        <v>2.655707</v>
      </c>
      <c r="M8">
        <v>2.665743</v>
      </c>
      <c r="N8">
        <v>2.661324</v>
      </c>
      <c r="O8">
        <v>2.529563</v>
      </c>
      <c r="P8">
        <v>2.3850120000000001</v>
      </c>
      <c r="Q8">
        <v>2.383613</v>
      </c>
      <c r="R8">
        <v>2.4182239999999999</v>
      </c>
      <c r="S8">
        <v>2.4470640000000001</v>
      </c>
      <c r="T8">
        <v>2.4796800000000001</v>
      </c>
      <c r="U8">
        <v>2.5020030000000002</v>
      </c>
      <c r="V8">
        <v>2.4603730000000001</v>
      </c>
      <c r="W8">
        <v>2.3332670000000002</v>
      </c>
      <c r="X8">
        <v>2.3369840000000002</v>
      </c>
      <c r="Y8">
        <v>2.4017729999999999</v>
      </c>
      <c r="Z8">
        <v>2.4667159999999999</v>
      </c>
      <c r="AA8">
        <v>2.4544440000000001</v>
      </c>
      <c r="AB8">
        <v>2.2906819999999999</v>
      </c>
      <c r="AC8">
        <v>2.2737509999999999</v>
      </c>
      <c r="AD8">
        <v>2.3359869999999998</v>
      </c>
      <c r="AE8">
        <v>2.4240240000000002</v>
      </c>
      <c r="AF8">
        <v>2.5114899999999998</v>
      </c>
      <c r="AG8" s="9">
        <v>-7.0000000000000001E-3</v>
      </c>
    </row>
    <row r="9" spans="1:33" x14ac:dyDescent="0.75">
      <c r="A9" t="s">
        <v>1399</v>
      </c>
      <c r="B9" t="s">
        <v>1742</v>
      </c>
      <c r="C9" t="s">
        <v>1741</v>
      </c>
      <c r="D9" t="s">
        <v>1397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1400</v>
      </c>
    </row>
    <row r="10" spans="1:33" x14ac:dyDescent="0.75">
      <c r="A10" t="s">
        <v>1401</v>
      </c>
      <c r="B10" t="s">
        <v>1740</v>
      </c>
      <c r="C10" t="s">
        <v>1739</v>
      </c>
      <c r="D10" t="s">
        <v>1397</v>
      </c>
      <c r="F10">
        <v>1.966E-2</v>
      </c>
      <c r="G10">
        <v>2.1232999999999998E-2</v>
      </c>
      <c r="H10">
        <v>2.3473000000000001E-2</v>
      </c>
      <c r="I10">
        <v>2.5713E-2</v>
      </c>
      <c r="J10">
        <v>2.7952999999999999E-2</v>
      </c>
      <c r="K10">
        <v>3.0193000000000001E-2</v>
      </c>
      <c r="L10">
        <v>3.2432999999999997E-2</v>
      </c>
      <c r="M10">
        <v>3.2432999999999997E-2</v>
      </c>
      <c r="N10">
        <v>3.2432999999999997E-2</v>
      </c>
      <c r="O10">
        <v>3.2432999999999997E-2</v>
      </c>
      <c r="P10">
        <v>3.2432999999999997E-2</v>
      </c>
      <c r="Q10">
        <v>3.2432999999999997E-2</v>
      </c>
      <c r="R10">
        <v>3.2432999999999997E-2</v>
      </c>
      <c r="S10">
        <v>3.2432999999999997E-2</v>
      </c>
      <c r="T10">
        <v>3.2432999999999997E-2</v>
      </c>
      <c r="U10">
        <v>3.2432999999999997E-2</v>
      </c>
      <c r="V10">
        <v>3.2432999999999997E-2</v>
      </c>
      <c r="W10">
        <v>3.2432999999999997E-2</v>
      </c>
      <c r="X10">
        <v>3.2432999999999997E-2</v>
      </c>
      <c r="Y10">
        <v>3.2432999999999997E-2</v>
      </c>
      <c r="Z10">
        <v>3.2432999999999997E-2</v>
      </c>
      <c r="AA10">
        <v>3.2432999999999997E-2</v>
      </c>
      <c r="AB10">
        <v>3.2432999999999997E-2</v>
      </c>
      <c r="AC10">
        <v>3.2432999999999997E-2</v>
      </c>
      <c r="AD10">
        <v>3.2432999999999997E-2</v>
      </c>
      <c r="AE10">
        <v>3.2432999999999997E-2</v>
      </c>
      <c r="AF10">
        <v>3.2432999999999997E-2</v>
      </c>
      <c r="AG10" s="9">
        <v>1.9E-2</v>
      </c>
    </row>
    <row r="11" spans="1:33" x14ac:dyDescent="0.75">
      <c r="A11" t="s">
        <v>1402</v>
      </c>
      <c r="B11" t="s">
        <v>1738</v>
      </c>
      <c r="C11" t="s">
        <v>1737</v>
      </c>
      <c r="D11" t="s">
        <v>1397</v>
      </c>
      <c r="F11">
        <v>7.7490119999999996</v>
      </c>
      <c r="G11">
        <v>8.5150740000000003</v>
      </c>
      <c r="H11">
        <v>9.027571</v>
      </c>
      <c r="I11">
        <v>8.9291420000000006</v>
      </c>
      <c r="J11">
        <v>9.9403159999999993</v>
      </c>
      <c r="K11">
        <v>10.563300999999999</v>
      </c>
      <c r="L11">
        <v>11.198873000000001</v>
      </c>
      <c r="M11">
        <v>11.459199999999999</v>
      </c>
      <c r="N11">
        <v>11.724527</v>
      </c>
      <c r="O11">
        <v>11.990050999999999</v>
      </c>
      <c r="P11">
        <v>12.258986</v>
      </c>
      <c r="Q11">
        <v>12.397875000000001</v>
      </c>
      <c r="R11">
        <v>12.574788</v>
      </c>
      <c r="S11">
        <v>12.706885</v>
      </c>
      <c r="T11">
        <v>12.762537</v>
      </c>
      <c r="U11">
        <v>12.825695</v>
      </c>
      <c r="V11">
        <v>12.930984</v>
      </c>
      <c r="W11">
        <v>12.982491</v>
      </c>
      <c r="X11">
        <v>13.015708999999999</v>
      </c>
      <c r="Y11">
        <v>13.000582</v>
      </c>
      <c r="Z11">
        <v>12.993344</v>
      </c>
      <c r="AA11">
        <v>13.011837</v>
      </c>
      <c r="AB11">
        <v>13.040867</v>
      </c>
      <c r="AC11">
        <v>13.080171999999999</v>
      </c>
      <c r="AD11">
        <v>13.094381</v>
      </c>
      <c r="AE11">
        <v>13.081811999999999</v>
      </c>
      <c r="AF11">
        <v>13.133972999999999</v>
      </c>
      <c r="AG11" s="9">
        <v>2.1000000000000001E-2</v>
      </c>
    </row>
    <row r="12" spans="1:33" x14ac:dyDescent="0.75">
      <c r="A12" t="s">
        <v>1403</v>
      </c>
      <c r="B12" t="s">
        <v>1736</v>
      </c>
      <c r="C12" t="s">
        <v>1735</v>
      </c>
      <c r="D12" t="s">
        <v>1397</v>
      </c>
      <c r="F12">
        <v>0.97212699999999996</v>
      </c>
      <c r="G12">
        <v>0.99882099999999996</v>
      </c>
      <c r="H12">
        <v>1.114752</v>
      </c>
      <c r="I12">
        <v>1.022621</v>
      </c>
      <c r="J12">
        <v>1.0023770000000001</v>
      </c>
      <c r="K12">
        <v>0.92738900000000002</v>
      </c>
      <c r="L12">
        <v>0.83899900000000005</v>
      </c>
      <c r="M12">
        <v>0.86608200000000002</v>
      </c>
      <c r="N12">
        <v>0.88877799999999996</v>
      </c>
      <c r="O12">
        <v>0.94802600000000004</v>
      </c>
      <c r="P12">
        <v>0.99234599999999995</v>
      </c>
      <c r="Q12">
        <v>1.0090600000000001</v>
      </c>
      <c r="R12">
        <v>1.0190330000000001</v>
      </c>
      <c r="S12">
        <v>1.023679</v>
      </c>
      <c r="T12">
        <v>1.0320780000000001</v>
      </c>
      <c r="U12">
        <v>1.0455300000000001</v>
      </c>
      <c r="V12">
        <v>1.084344</v>
      </c>
      <c r="W12">
        <v>1.1357170000000001</v>
      </c>
      <c r="X12">
        <v>1.14923</v>
      </c>
      <c r="Y12">
        <v>1.1516010000000001</v>
      </c>
      <c r="Z12">
        <v>1.147211</v>
      </c>
      <c r="AA12">
        <v>1.1699349999999999</v>
      </c>
      <c r="AB12">
        <v>1.2216929999999999</v>
      </c>
      <c r="AC12">
        <v>1.2440469999999999</v>
      </c>
      <c r="AD12">
        <v>1.254553</v>
      </c>
      <c r="AE12">
        <v>1.2535229999999999</v>
      </c>
      <c r="AF12">
        <v>1.2548079999999999</v>
      </c>
      <c r="AG12" s="9">
        <v>0.01</v>
      </c>
    </row>
    <row r="13" spans="1:33" x14ac:dyDescent="0.75">
      <c r="A13" t="s">
        <v>1404</v>
      </c>
      <c r="B13" t="s">
        <v>1734</v>
      </c>
      <c r="C13" t="s">
        <v>1733</v>
      </c>
      <c r="D13" t="s">
        <v>1397</v>
      </c>
      <c r="F13">
        <v>2.3916650000000002</v>
      </c>
      <c r="G13">
        <v>2.5063529999999998</v>
      </c>
      <c r="H13">
        <v>2.577801</v>
      </c>
      <c r="I13">
        <v>2.5619700000000001</v>
      </c>
      <c r="J13">
        <v>2.5625499999999999</v>
      </c>
      <c r="K13">
        <v>2.5384799999999998</v>
      </c>
      <c r="L13">
        <v>2.5118260000000001</v>
      </c>
      <c r="M13">
        <v>2.5420569999999998</v>
      </c>
      <c r="N13">
        <v>2.5656460000000001</v>
      </c>
      <c r="O13">
        <v>2.5909650000000002</v>
      </c>
      <c r="P13">
        <v>2.6160429999999999</v>
      </c>
      <c r="Q13">
        <v>2.638223</v>
      </c>
      <c r="R13">
        <v>2.685651</v>
      </c>
      <c r="S13">
        <v>2.7321469999999999</v>
      </c>
      <c r="T13">
        <v>2.779398</v>
      </c>
      <c r="U13">
        <v>2.8291050000000002</v>
      </c>
      <c r="V13">
        <v>2.8765360000000002</v>
      </c>
      <c r="W13">
        <v>2.8957139999999999</v>
      </c>
      <c r="X13">
        <v>2.9164189999999999</v>
      </c>
      <c r="Y13">
        <v>2.9377360000000001</v>
      </c>
      <c r="Z13">
        <v>2.9576370000000001</v>
      </c>
      <c r="AA13">
        <v>2.9751669999999999</v>
      </c>
      <c r="AB13">
        <v>2.9854150000000002</v>
      </c>
      <c r="AC13">
        <v>2.997738</v>
      </c>
      <c r="AD13">
        <v>3.011558</v>
      </c>
      <c r="AE13">
        <v>3.0236360000000002</v>
      </c>
      <c r="AF13">
        <v>3.0378660000000002</v>
      </c>
      <c r="AG13" s="9">
        <v>8.9999999999999993E-3</v>
      </c>
    </row>
    <row r="14" spans="1:33" x14ac:dyDescent="0.75">
      <c r="A14" t="s">
        <v>1405</v>
      </c>
      <c r="B14" t="s">
        <v>1732</v>
      </c>
      <c r="C14" t="s">
        <v>1731</v>
      </c>
      <c r="D14" t="s">
        <v>1397</v>
      </c>
      <c r="F14">
        <v>4.3852209999999996</v>
      </c>
      <c r="G14">
        <v>5.0099</v>
      </c>
      <c r="H14">
        <v>5.3350179999999998</v>
      </c>
      <c r="I14">
        <v>5.3445510000000001</v>
      </c>
      <c r="J14">
        <v>6.3753890000000002</v>
      </c>
      <c r="K14">
        <v>7.0974329999999997</v>
      </c>
      <c r="L14">
        <v>7.8480470000000002</v>
      </c>
      <c r="M14">
        <v>8.0510610000000007</v>
      </c>
      <c r="N14">
        <v>8.2701030000000006</v>
      </c>
      <c r="O14">
        <v>8.45106</v>
      </c>
      <c r="P14">
        <v>8.6505960000000002</v>
      </c>
      <c r="Q14">
        <v>8.7505919999999993</v>
      </c>
      <c r="R14">
        <v>8.8701039999999995</v>
      </c>
      <c r="S14">
        <v>8.95106</v>
      </c>
      <c r="T14">
        <v>8.95106</v>
      </c>
      <c r="U14">
        <v>8.95106</v>
      </c>
      <c r="V14">
        <v>8.9701039999999992</v>
      </c>
      <c r="W14">
        <v>8.95106</v>
      </c>
      <c r="X14">
        <v>8.9500600000000006</v>
      </c>
      <c r="Y14">
        <v>8.9112449999999992</v>
      </c>
      <c r="Z14">
        <v>8.8884950000000007</v>
      </c>
      <c r="AA14">
        <v>8.8667350000000003</v>
      </c>
      <c r="AB14">
        <v>8.8337579999999996</v>
      </c>
      <c r="AC14">
        <v>8.8383870000000009</v>
      </c>
      <c r="AD14">
        <v>8.8282710000000009</v>
      </c>
      <c r="AE14">
        <v>8.8046530000000001</v>
      </c>
      <c r="AF14">
        <v>8.8412989999999994</v>
      </c>
      <c r="AG14" s="9">
        <v>2.7E-2</v>
      </c>
    </row>
    <row r="15" spans="1:33" x14ac:dyDescent="0.75">
      <c r="A15" t="s">
        <v>1406</v>
      </c>
      <c r="B15" t="s">
        <v>1730</v>
      </c>
      <c r="C15" t="s">
        <v>1729</v>
      </c>
      <c r="D15" t="s">
        <v>1397</v>
      </c>
      <c r="F15">
        <v>-4.7369599999999998</v>
      </c>
      <c r="G15">
        <v>-5.657985</v>
      </c>
      <c r="H15">
        <v>-6.6386830000000003</v>
      </c>
      <c r="I15">
        <v>-6.3031240000000004</v>
      </c>
      <c r="J15">
        <v>-7.369332</v>
      </c>
      <c r="K15">
        <v>-7.9429699999999999</v>
      </c>
      <c r="L15">
        <v>-8.5107330000000001</v>
      </c>
      <c r="M15">
        <v>-8.7610240000000008</v>
      </c>
      <c r="N15">
        <v>-9.0307700000000004</v>
      </c>
      <c r="O15">
        <v>-9.4280539999999995</v>
      </c>
      <c r="P15">
        <v>-9.8415389999999991</v>
      </c>
      <c r="Q15">
        <v>-9.9818289999999994</v>
      </c>
      <c r="R15">
        <v>-10.124129999999999</v>
      </c>
      <c r="S15">
        <v>-10.227387999999999</v>
      </c>
      <c r="T15">
        <v>-10.250423</v>
      </c>
      <c r="U15">
        <v>-10.291259999999999</v>
      </c>
      <c r="V15">
        <v>-10.438177</v>
      </c>
      <c r="W15">
        <v>-10.61679</v>
      </c>
      <c r="X15">
        <v>-10.646292000000001</v>
      </c>
      <c r="Y15">
        <v>-10.566376</v>
      </c>
      <c r="Z15">
        <v>-10.494194999999999</v>
      </c>
      <c r="AA15">
        <v>-10.52496</v>
      </c>
      <c r="AB15">
        <v>-10.717751</v>
      </c>
      <c r="AC15">
        <v>-10.773987</v>
      </c>
      <c r="AD15">
        <v>-10.725961</v>
      </c>
      <c r="AE15">
        <v>-10.625355000000001</v>
      </c>
      <c r="AF15">
        <v>-10.59005</v>
      </c>
      <c r="AG15" s="9">
        <v>3.1E-2</v>
      </c>
    </row>
    <row r="16" spans="1:33" x14ac:dyDescent="0.75">
      <c r="A16" t="s">
        <v>1407</v>
      </c>
      <c r="B16" t="s">
        <v>1728</v>
      </c>
      <c r="C16" t="s">
        <v>1727</v>
      </c>
      <c r="D16" t="s">
        <v>1397</v>
      </c>
      <c r="F16">
        <v>2.0202650000000002</v>
      </c>
      <c r="G16">
        <v>1.8370359999999999</v>
      </c>
      <c r="H16">
        <v>1.2506630000000001</v>
      </c>
      <c r="I16">
        <v>1.5776840000000001</v>
      </c>
      <c r="J16">
        <v>1.540654</v>
      </c>
      <c r="K16">
        <v>1.662749</v>
      </c>
      <c r="L16">
        <v>1.816708</v>
      </c>
      <c r="M16">
        <v>1.799661</v>
      </c>
      <c r="N16">
        <v>1.772546</v>
      </c>
      <c r="O16">
        <v>1.581537</v>
      </c>
      <c r="P16">
        <v>1.392666</v>
      </c>
      <c r="Q16">
        <v>1.3745529999999999</v>
      </c>
      <c r="R16">
        <v>1.3991910000000001</v>
      </c>
      <c r="S16">
        <v>1.4233849999999999</v>
      </c>
      <c r="T16">
        <v>1.4476009999999999</v>
      </c>
      <c r="U16">
        <v>1.4564729999999999</v>
      </c>
      <c r="V16">
        <v>1.3760289999999999</v>
      </c>
      <c r="W16">
        <v>1.1975499999999999</v>
      </c>
      <c r="X16">
        <v>1.187754</v>
      </c>
      <c r="Y16">
        <v>1.2501720000000001</v>
      </c>
      <c r="Z16">
        <v>1.3195049999999999</v>
      </c>
      <c r="AA16">
        <v>1.2845089999999999</v>
      </c>
      <c r="AB16">
        <v>1.068989</v>
      </c>
      <c r="AC16">
        <v>1.0297050000000001</v>
      </c>
      <c r="AD16">
        <v>1.0814349999999999</v>
      </c>
      <c r="AE16">
        <v>1.170501</v>
      </c>
      <c r="AF16">
        <v>1.2566820000000001</v>
      </c>
      <c r="AG16" s="9">
        <v>-1.7999999999999999E-2</v>
      </c>
    </row>
    <row r="17" spans="1:33" x14ac:dyDescent="0.75">
      <c r="A17" t="s">
        <v>1408</v>
      </c>
      <c r="B17" t="s">
        <v>1726</v>
      </c>
      <c r="C17" t="s">
        <v>1725</v>
      </c>
      <c r="D17" t="s">
        <v>1397</v>
      </c>
      <c r="F17">
        <v>-2.3916650000000002</v>
      </c>
      <c r="G17">
        <v>-2.5063529999999998</v>
      </c>
      <c r="H17">
        <v>-2.577801</v>
      </c>
      <c r="I17">
        <v>-2.5619700000000001</v>
      </c>
      <c r="J17">
        <v>-2.5625499999999999</v>
      </c>
      <c r="K17">
        <v>-2.5384799999999998</v>
      </c>
      <c r="L17">
        <v>-2.5118260000000001</v>
      </c>
      <c r="M17">
        <v>-2.5420569999999998</v>
      </c>
      <c r="N17">
        <v>-2.5656460000000001</v>
      </c>
      <c r="O17">
        <v>-2.5909650000000002</v>
      </c>
      <c r="P17">
        <v>-2.6160429999999999</v>
      </c>
      <c r="Q17">
        <v>-2.638223</v>
      </c>
      <c r="R17">
        <v>-2.685651</v>
      </c>
      <c r="S17">
        <v>-2.7321469999999999</v>
      </c>
      <c r="T17">
        <v>-2.779398</v>
      </c>
      <c r="U17">
        <v>-2.8291050000000002</v>
      </c>
      <c r="V17">
        <v>-2.8765360000000002</v>
      </c>
      <c r="W17">
        <v>-2.8957139999999999</v>
      </c>
      <c r="X17">
        <v>-2.9164189999999999</v>
      </c>
      <c r="Y17">
        <v>-2.9377360000000001</v>
      </c>
      <c r="Z17">
        <v>-2.9576370000000001</v>
      </c>
      <c r="AA17">
        <v>-2.9751669999999999</v>
      </c>
      <c r="AB17">
        <v>-2.9854150000000002</v>
      </c>
      <c r="AC17">
        <v>-2.997738</v>
      </c>
      <c r="AD17">
        <v>-3.011558</v>
      </c>
      <c r="AE17">
        <v>-3.0236360000000002</v>
      </c>
      <c r="AF17">
        <v>-3.0378660000000002</v>
      </c>
      <c r="AG17" s="9">
        <v>8.9999999999999993E-3</v>
      </c>
    </row>
    <row r="18" spans="1:33" x14ac:dyDescent="0.75">
      <c r="A18" t="s">
        <v>1409</v>
      </c>
      <c r="B18" t="s">
        <v>1724</v>
      </c>
      <c r="C18" t="s">
        <v>1723</v>
      </c>
      <c r="D18" t="s">
        <v>1397</v>
      </c>
      <c r="F18">
        <v>-4.3655609999999996</v>
      </c>
      <c r="G18">
        <v>-4.9886670000000004</v>
      </c>
      <c r="H18">
        <v>-5.3115449999999997</v>
      </c>
      <c r="I18">
        <v>-5.3188380000000004</v>
      </c>
      <c r="J18">
        <v>-6.3474360000000001</v>
      </c>
      <c r="K18">
        <v>-7.06724</v>
      </c>
      <c r="L18">
        <v>-7.8156140000000001</v>
      </c>
      <c r="M18">
        <v>-8.0186270000000004</v>
      </c>
      <c r="N18">
        <v>-8.2376699999999996</v>
      </c>
      <c r="O18">
        <v>-8.4186270000000007</v>
      </c>
      <c r="P18">
        <v>-8.6181619999999999</v>
      </c>
      <c r="Q18">
        <v>-8.718159</v>
      </c>
      <c r="R18">
        <v>-8.8376699999999992</v>
      </c>
      <c r="S18">
        <v>-8.9186270000000007</v>
      </c>
      <c r="T18">
        <v>-8.9186270000000007</v>
      </c>
      <c r="U18">
        <v>-8.9186270000000007</v>
      </c>
      <c r="V18">
        <v>-8.9376709999999999</v>
      </c>
      <c r="W18">
        <v>-8.9186270000000007</v>
      </c>
      <c r="X18">
        <v>-8.9176260000000003</v>
      </c>
      <c r="Y18">
        <v>-8.8788119999999999</v>
      </c>
      <c r="Z18">
        <v>-8.8560619999999997</v>
      </c>
      <c r="AA18">
        <v>-8.8343019999999992</v>
      </c>
      <c r="AB18">
        <v>-8.8013250000000003</v>
      </c>
      <c r="AC18">
        <v>-8.8059530000000006</v>
      </c>
      <c r="AD18">
        <v>-8.7958370000000006</v>
      </c>
      <c r="AE18">
        <v>-8.7722200000000008</v>
      </c>
      <c r="AF18">
        <v>-8.8088660000000001</v>
      </c>
      <c r="AG18" s="9">
        <v>2.7E-2</v>
      </c>
    </row>
    <row r="22" spans="1:33" ht="29.5" x14ac:dyDescent="0.75">
      <c r="C22" s="39" t="s">
        <v>1403</v>
      </c>
      <c r="D22" s="39" t="s">
        <v>1404</v>
      </c>
      <c r="E22" s="39" t="s">
        <v>1405</v>
      </c>
    </row>
    <row r="23" spans="1:33" x14ac:dyDescent="0.75">
      <c r="B23">
        <v>2024</v>
      </c>
      <c r="C23">
        <v>0.97212699999999996</v>
      </c>
      <c r="D23">
        <v>2.3916650000000002</v>
      </c>
      <c r="E23">
        <v>4.3852209999999996</v>
      </c>
    </row>
    <row r="24" spans="1:33" x14ac:dyDescent="0.75">
      <c r="B24">
        <v>2025</v>
      </c>
      <c r="C24">
        <v>0.99882099999999996</v>
      </c>
      <c r="D24">
        <v>2.5063529999999998</v>
      </c>
      <c r="E24">
        <v>5.0099</v>
      </c>
    </row>
    <row r="25" spans="1:33" x14ac:dyDescent="0.75">
      <c r="B25">
        <v>2026</v>
      </c>
      <c r="C25">
        <v>1.114752</v>
      </c>
      <c r="D25">
        <v>2.577801</v>
      </c>
      <c r="E25">
        <v>5.3350179999999998</v>
      </c>
    </row>
    <row r="26" spans="1:33" x14ac:dyDescent="0.75">
      <c r="B26">
        <v>2027</v>
      </c>
      <c r="C26">
        <v>1.022621</v>
      </c>
      <c r="D26">
        <v>2.5619700000000001</v>
      </c>
      <c r="E26">
        <v>5.3445510000000001</v>
      </c>
    </row>
    <row r="27" spans="1:33" x14ac:dyDescent="0.75">
      <c r="B27">
        <v>2028</v>
      </c>
      <c r="C27">
        <v>1.0023770000000001</v>
      </c>
      <c r="D27">
        <v>2.5625499999999999</v>
      </c>
      <c r="E27">
        <v>6.3753890000000002</v>
      </c>
    </row>
    <row r="28" spans="1:33" x14ac:dyDescent="0.75">
      <c r="B28">
        <v>2029</v>
      </c>
      <c r="C28">
        <v>0.92738900000000002</v>
      </c>
      <c r="D28">
        <v>2.5384799999999998</v>
      </c>
      <c r="E28">
        <v>7.0974329999999997</v>
      </c>
    </row>
    <row r="29" spans="1:33" x14ac:dyDescent="0.75">
      <c r="B29">
        <v>2030</v>
      </c>
      <c r="C29">
        <v>0.83899900000000005</v>
      </c>
      <c r="D29">
        <v>2.5118260000000001</v>
      </c>
      <c r="E29">
        <v>7.8480470000000002</v>
      </c>
    </row>
    <row r="30" spans="1:33" x14ac:dyDescent="0.75">
      <c r="B30">
        <v>2031</v>
      </c>
      <c r="C30">
        <v>0.86608200000000002</v>
      </c>
      <c r="D30">
        <v>2.5420569999999998</v>
      </c>
      <c r="E30">
        <v>8.0510610000000007</v>
      </c>
    </row>
    <row r="31" spans="1:33" x14ac:dyDescent="0.75">
      <c r="B31">
        <v>2032</v>
      </c>
      <c r="C31">
        <v>0.88877799999999996</v>
      </c>
      <c r="D31">
        <v>2.5656460000000001</v>
      </c>
      <c r="E31">
        <v>8.2701030000000006</v>
      </c>
    </row>
    <row r="32" spans="1:33" x14ac:dyDescent="0.75">
      <c r="B32">
        <v>2033</v>
      </c>
      <c r="C32">
        <v>0.94802600000000004</v>
      </c>
      <c r="D32">
        <v>2.5909650000000002</v>
      </c>
      <c r="E32">
        <v>8.45106</v>
      </c>
    </row>
    <row r="33" spans="2:5" x14ac:dyDescent="0.75">
      <c r="B33">
        <v>2034</v>
      </c>
      <c r="C33">
        <v>0.99234599999999995</v>
      </c>
      <c r="D33">
        <v>2.6160429999999999</v>
      </c>
      <c r="E33">
        <v>8.6505960000000002</v>
      </c>
    </row>
    <row r="34" spans="2:5" x14ac:dyDescent="0.75">
      <c r="B34">
        <v>2035</v>
      </c>
      <c r="C34">
        <v>1.0090600000000001</v>
      </c>
      <c r="D34">
        <v>2.638223</v>
      </c>
      <c r="E34">
        <v>8.7505919999999993</v>
      </c>
    </row>
    <row r="35" spans="2:5" x14ac:dyDescent="0.75">
      <c r="B35">
        <v>2036</v>
      </c>
      <c r="C35">
        <v>1.0190330000000001</v>
      </c>
      <c r="D35">
        <v>2.685651</v>
      </c>
      <c r="E35">
        <v>8.8701039999999995</v>
      </c>
    </row>
    <row r="36" spans="2:5" x14ac:dyDescent="0.75">
      <c r="B36">
        <v>2037</v>
      </c>
      <c r="C36">
        <v>1.023679</v>
      </c>
      <c r="D36">
        <v>2.7321469999999999</v>
      </c>
      <c r="E36">
        <v>8.95106</v>
      </c>
    </row>
    <row r="37" spans="2:5" x14ac:dyDescent="0.75">
      <c r="B37">
        <v>2038</v>
      </c>
      <c r="C37">
        <v>1.0320780000000001</v>
      </c>
      <c r="D37">
        <v>2.779398</v>
      </c>
      <c r="E37">
        <v>8.95106</v>
      </c>
    </row>
    <row r="38" spans="2:5" x14ac:dyDescent="0.75">
      <c r="B38">
        <v>2039</v>
      </c>
      <c r="C38">
        <v>1.0455300000000001</v>
      </c>
      <c r="D38">
        <v>2.8291050000000002</v>
      </c>
      <c r="E38">
        <v>8.95106</v>
      </c>
    </row>
    <row r="39" spans="2:5" x14ac:dyDescent="0.75">
      <c r="B39">
        <v>2040</v>
      </c>
      <c r="C39">
        <v>1.084344</v>
      </c>
      <c r="D39">
        <v>2.8765360000000002</v>
      </c>
      <c r="E39">
        <v>8.9701039999999992</v>
      </c>
    </row>
    <row r="40" spans="2:5" x14ac:dyDescent="0.75">
      <c r="B40">
        <v>2041</v>
      </c>
      <c r="C40">
        <v>1.1357170000000001</v>
      </c>
      <c r="D40">
        <v>2.8957139999999999</v>
      </c>
      <c r="E40">
        <v>8.95106</v>
      </c>
    </row>
    <row r="41" spans="2:5" x14ac:dyDescent="0.75">
      <c r="B41">
        <v>2042</v>
      </c>
      <c r="C41">
        <v>1.14923</v>
      </c>
      <c r="D41">
        <v>2.9164189999999999</v>
      </c>
      <c r="E41">
        <v>8.9500600000000006</v>
      </c>
    </row>
    <row r="42" spans="2:5" x14ac:dyDescent="0.75">
      <c r="B42">
        <v>2043</v>
      </c>
      <c r="C42">
        <v>1.1516010000000001</v>
      </c>
      <c r="D42">
        <v>2.9377360000000001</v>
      </c>
      <c r="E42">
        <v>8.9112449999999992</v>
      </c>
    </row>
    <row r="43" spans="2:5" x14ac:dyDescent="0.75">
      <c r="B43">
        <v>2044</v>
      </c>
      <c r="C43">
        <v>1.147211</v>
      </c>
      <c r="D43">
        <v>2.9576370000000001</v>
      </c>
      <c r="E43">
        <v>8.8884950000000007</v>
      </c>
    </row>
    <row r="44" spans="2:5" x14ac:dyDescent="0.75">
      <c r="B44">
        <v>2045</v>
      </c>
      <c r="C44">
        <v>1.1699349999999999</v>
      </c>
      <c r="D44">
        <v>2.9751669999999999</v>
      </c>
      <c r="E44">
        <v>8.8667350000000003</v>
      </c>
    </row>
    <row r="45" spans="2:5" x14ac:dyDescent="0.75">
      <c r="B45">
        <v>2046</v>
      </c>
      <c r="C45">
        <v>1.2216929999999999</v>
      </c>
      <c r="D45">
        <v>2.9854150000000002</v>
      </c>
      <c r="E45">
        <v>8.8337579999999996</v>
      </c>
    </row>
    <row r="46" spans="2:5" x14ac:dyDescent="0.75">
      <c r="B46">
        <v>2047</v>
      </c>
      <c r="C46">
        <v>1.2440469999999999</v>
      </c>
      <c r="D46">
        <v>2.997738</v>
      </c>
      <c r="E46">
        <v>8.8383870000000009</v>
      </c>
    </row>
    <row r="47" spans="2:5" x14ac:dyDescent="0.75">
      <c r="B47">
        <v>2048</v>
      </c>
      <c r="C47">
        <v>1.254553</v>
      </c>
      <c r="D47">
        <v>3.011558</v>
      </c>
      <c r="E47">
        <v>8.8282710000000009</v>
      </c>
    </row>
    <row r="48" spans="2:5" x14ac:dyDescent="0.75">
      <c r="B48">
        <v>2049</v>
      </c>
      <c r="C48">
        <v>1.2535229999999999</v>
      </c>
      <c r="D48">
        <v>3.0236360000000002</v>
      </c>
      <c r="E48">
        <v>8.8046530000000001</v>
      </c>
    </row>
    <row r="49" spans="2:15" x14ac:dyDescent="0.75">
      <c r="B49">
        <v>2050</v>
      </c>
      <c r="C49">
        <v>1.2548079999999999</v>
      </c>
      <c r="D49">
        <v>3.0378660000000002</v>
      </c>
      <c r="E49">
        <v>8.8412989999999994</v>
      </c>
    </row>
    <row r="50" spans="2:15" x14ac:dyDescent="0.75">
      <c r="B50" t="s">
        <v>1747</v>
      </c>
      <c r="C50" s="9">
        <v>0.01</v>
      </c>
      <c r="D50" s="9">
        <v>8.9999999999999993E-3</v>
      </c>
      <c r="E50" s="9">
        <v>2.7E-2</v>
      </c>
      <c r="G50" s="9"/>
      <c r="H50" s="9"/>
      <c r="L50" s="9"/>
      <c r="M50" s="9"/>
      <c r="N50" s="9"/>
      <c r="O50" s="9"/>
    </row>
  </sheetData>
  <conditionalFormatting sqref="C21:O21 L22:O22 C22:H22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84FD-FAEC-4B54-A9C7-F1686B0FC5B1}">
  <dimension ref="A1:D269"/>
  <sheetViews>
    <sheetView workbookViewId="0"/>
  </sheetViews>
  <sheetFormatPr defaultRowHeight="14.75" x14ac:dyDescent="0.75"/>
  <sheetData>
    <row r="1" spans="1:4" ht="15.75" x14ac:dyDescent="0.75">
      <c r="A1" s="32" t="s">
        <v>1410</v>
      </c>
      <c r="B1" s="31" t="s">
        <v>1535</v>
      </c>
    </row>
    <row r="2" spans="1:4" ht="24.75" x14ac:dyDescent="0.75">
      <c r="A2" s="30" t="s">
        <v>1412</v>
      </c>
      <c r="B2" s="30" t="s">
        <v>1534</v>
      </c>
    </row>
    <row r="3" spans="1:4" ht="104.75" x14ac:dyDescent="0.75">
      <c r="A3" s="28" t="s">
        <v>1428</v>
      </c>
      <c r="B3" s="28" t="s">
        <v>1533</v>
      </c>
    </row>
    <row r="4" spans="1:4" x14ac:dyDescent="0.75">
      <c r="A4" s="36">
        <v>36906</v>
      </c>
      <c r="B4" s="12">
        <v>2505011</v>
      </c>
      <c r="C4">
        <f>MONTH(A4)</f>
        <v>1</v>
      </c>
      <c r="D4">
        <f>YEAR(A4)</f>
        <v>2001</v>
      </c>
    </row>
    <row r="5" spans="1:4" x14ac:dyDescent="0.75">
      <c r="A5" s="36">
        <v>36937</v>
      </c>
      <c r="B5" s="12">
        <v>2156873</v>
      </c>
      <c r="C5">
        <f t="shared" ref="C5:C68" si="0">MONTH(A5)</f>
        <v>2</v>
      </c>
      <c r="D5">
        <f t="shared" ref="D5:D68" si="1">YEAR(A5)</f>
        <v>2001</v>
      </c>
    </row>
    <row r="6" spans="1:4" x14ac:dyDescent="0.75">
      <c r="A6" s="36">
        <v>36965</v>
      </c>
      <c r="B6" s="12">
        <v>2086568</v>
      </c>
      <c r="C6">
        <f t="shared" si="0"/>
        <v>3</v>
      </c>
      <c r="D6">
        <f t="shared" si="1"/>
        <v>2001</v>
      </c>
    </row>
    <row r="7" spans="1:4" x14ac:dyDescent="0.75">
      <c r="A7" s="36">
        <v>36996</v>
      </c>
      <c r="B7" s="12">
        <v>1663832</v>
      </c>
      <c r="C7">
        <f t="shared" si="0"/>
        <v>4</v>
      </c>
      <c r="D7">
        <f t="shared" si="1"/>
        <v>2001</v>
      </c>
    </row>
    <row r="8" spans="1:4" x14ac:dyDescent="0.75">
      <c r="A8" s="36">
        <v>37026</v>
      </c>
      <c r="B8" s="12">
        <v>1385163</v>
      </c>
      <c r="C8">
        <f t="shared" si="0"/>
        <v>5</v>
      </c>
      <c r="D8">
        <f t="shared" si="1"/>
        <v>2001</v>
      </c>
    </row>
    <row r="9" spans="1:4" x14ac:dyDescent="0.75">
      <c r="A9" s="36">
        <v>37057</v>
      </c>
      <c r="B9" s="12">
        <v>1313119</v>
      </c>
      <c r="C9">
        <f t="shared" si="0"/>
        <v>6</v>
      </c>
      <c r="D9">
        <f t="shared" si="1"/>
        <v>2001</v>
      </c>
    </row>
    <row r="10" spans="1:4" x14ac:dyDescent="0.75">
      <c r="A10" s="36">
        <v>37087</v>
      </c>
      <c r="B10" s="12">
        <v>1459919</v>
      </c>
      <c r="C10">
        <f t="shared" si="0"/>
        <v>7</v>
      </c>
      <c r="D10">
        <f t="shared" si="1"/>
        <v>2001</v>
      </c>
    </row>
    <row r="11" spans="1:4" x14ac:dyDescent="0.75">
      <c r="A11" s="36">
        <v>37118</v>
      </c>
      <c r="B11" s="12">
        <v>1528483</v>
      </c>
      <c r="C11">
        <f t="shared" si="0"/>
        <v>8</v>
      </c>
      <c r="D11">
        <f t="shared" si="1"/>
        <v>2001</v>
      </c>
    </row>
    <row r="12" spans="1:4" x14ac:dyDescent="0.75">
      <c r="A12" s="36">
        <v>37149</v>
      </c>
      <c r="B12" s="12">
        <v>1360871</v>
      </c>
      <c r="C12">
        <f t="shared" si="0"/>
        <v>9</v>
      </c>
      <c r="D12">
        <f t="shared" si="1"/>
        <v>2001</v>
      </c>
    </row>
    <row r="13" spans="1:4" x14ac:dyDescent="0.75">
      <c r="A13" s="36">
        <v>37179</v>
      </c>
      <c r="B13" s="12">
        <v>1507428</v>
      </c>
      <c r="C13">
        <f t="shared" si="0"/>
        <v>10</v>
      </c>
      <c r="D13">
        <f t="shared" si="1"/>
        <v>2001</v>
      </c>
    </row>
    <row r="14" spans="1:4" x14ac:dyDescent="0.75">
      <c r="A14" s="36">
        <v>37210</v>
      </c>
      <c r="B14" s="12">
        <v>1561970</v>
      </c>
      <c r="C14">
        <f t="shared" si="0"/>
        <v>11</v>
      </c>
      <c r="D14">
        <f t="shared" si="1"/>
        <v>2001</v>
      </c>
    </row>
    <row r="15" spans="1:4" x14ac:dyDescent="0.75">
      <c r="A15" s="36">
        <v>37240</v>
      </c>
      <c r="B15" s="12">
        <v>1965873</v>
      </c>
      <c r="C15">
        <f t="shared" si="0"/>
        <v>12</v>
      </c>
      <c r="D15">
        <f t="shared" si="1"/>
        <v>2001</v>
      </c>
    </row>
    <row r="16" spans="1:4" x14ac:dyDescent="0.75">
      <c r="A16" s="36">
        <v>37271</v>
      </c>
      <c r="B16" s="12">
        <v>2319273</v>
      </c>
      <c r="C16">
        <f t="shared" si="0"/>
        <v>1</v>
      </c>
      <c r="D16">
        <f t="shared" si="1"/>
        <v>2002</v>
      </c>
    </row>
    <row r="17" spans="1:4" x14ac:dyDescent="0.75">
      <c r="A17" s="36">
        <v>37302</v>
      </c>
      <c r="B17" s="12">
        <v>2090786</v>
      </c>
      <c r="C17">
        <f t="shared" si="0"/>
        <v>2</v>
      </c>
      <c r="D17">
        <f t="shared" si="1"/>
        <v>2002</v>
      </c>
    </row>
    <row r="18" spans="1:4" x14ac:dyDescent="0.75">
      <c r="A18" s="36">
        <v>37330</v>
      </c>
      <c r="B18" s="12">
        <v>2096915</v>
      </c>
      <c r="C18">
        <f t="shared" si="0"/>
        <v>3</v>
      </c>
      <c r="D18">
        <f t="shared" si="1"/>
        <v>2002</v>
      </c>
    </row>
    <row r="19" spans="1:4" x14ac:dyDescent="0.75">
      <c r="A19" s="36">
        <v>37361</v>
      </c>
      <c r="B19" s="12">
        <v>1734549</v>
      </c>
      <c r="C19">
        <f t="shared" si="0"/>
        <v>4</v>
      </c>
      <c r="D19">
        <f t="shared" si="1"/>
        <v>2002</v>
      </c>
    </row>
    <row r="20" spans="1:4" x14ac:dyDescent="0.75">
      <c r="A20" s="36">
        <v>37391</v>
      </c>
      <c r="B20" s="12">
        <v>1470504</v>
      </c>
      <c r="C20">
        <f t="shared" si="0"/>
        <v>5</v>
      </c>
      <c r="D20">
        <f t="shared" si="1"/>
        <v>2002</v>
      </c>
    </row>
    <row r="21" spans="1:4" x14ac:dyDescent="0.75">
      <c r="A21" s="36">
        <v>37422</v>
      </c>
      <c r="B21" s="12">
        <v>1453967</v>
      </c>
      <c r="C21">
        <f t="shared" si="0"/>
        <v>6</v>
      </c>
      <c r="D21">
        <f t="shared" si="1"/>
        <v>2002</v>
      </c>
    </row>
    <row r="22" spans="1:4" x14ac:dyDescent="0.75">
      <c r="A22" s="36">
        <v>37452</v>
      </c>
      <c r="B22" s="12">
        <v>1602849</v>
      </c>
      <c r="C22">
        <f t="shared" si="0"/>
        <v>7</v>
      </c>
      <c r="D22">
        <f t="shared" si="1"/>
        <v>2002</v>
      </c>
    </row>
    <row r="23" spans="1:4" x14ac:dyDescent="0.75">
      <c r="A23" s="36">
        <v>37483</v>
      </c>
      <c r="B23" s="12">
        <v>1582079</v>
      </c>
      <c r="C23">
        <f t="shared" si="0"/>
        <v>8</v>
      </c>
      <c r="D23">
        <f t="shared" si="1"/>
        <v>2002</v>
      </c>
    </row>
    <row r="24" spans="1:4" x14ac:dyDescent="0.75">
      <c r="A24" s="36">
        <v>37514</v>
      </c>
      <c r="B24" s="12">
        <v>1408599</v>
      </c>
      <c r="C24">
        <f t="shared" si="0"/>
        <v>9</v>
      </c>
      <c r="D24">
        <f t="shared" si="1"/>
        <v>2002</v>
      </c>
    </row>
    <row r="25" spans="1:4" x14ac:dyDescent="0.75">
      <c r="A25" s="36">
        <v>37544</v>
      </c>
      <c r="B25" s="12">
        <v>1506936</v>
      </c>
      <c r="C25">
        <f t="shared" si="0"/>
        <v>10</v>
      </c>
      <c r="D25">
        <f t="shared" si="1"/>
        <v>2002</v>
      </c>
    </row>
    <row r="26" spans="1:4" x14ac:dyDescent="0.75">
      <c r="A26" s="36">
        <v>37575</v>
      </c>
      <c r="B26" s="12">
        <v>1766395</v>
      </c>
      <c r="C26">
        <f t="shared" si="0"/>
        <v>11</v>
      </c>
      <c r="D26">
        <f t="shared" si="1"/>
        <v>2002</v>
      </c>
    </row>
    <row r="27" spans="1:4" x14ac:dyDescent="0.75">
      <c r="A27" s="36">
        <v>37605</v>
      </c>
      <c r="B27" s="12">
        <v>2214167</v>
      </c>
      <c r="C27">
        <f t="shared" si="0"/>
        <v>12</v>
      </c>
      <c r="D27">
        <f t="shared" si="1"/>
        <v>2002</v>
      </c>
    </row>
    <row r="28" spans="1:4" x14ac:dyDescent="0.75">
      <c r="A28" s="36">
        <v>37636</v>
      </c>
      <c r="B28" s="12">
        <v>2532736</v>
      </c>
      <c r="C28">
        <f t="shared" si="0"/>
        <v>1</v>
      </c>
      <c r="D28">
        <f t="shared" si="1"/>
        <v>2003</v>
      </c>
    </row>
    <row r="29" spans="1:4" x14ac:dyDescent="0.75">
      <c r="A29" s="36">
        <v>37667</v>
      </c>
      <c r="B29" s="12">
        <v>2346489</v>
      </c>
      <c r="C29">
        <f t="shared" si="0"/>
        <v>2</v>
      </c>
      <c r="D29">
        <f t="shared" si="1"/>
        <v>2003</v>
      </c>
    </row>
    <row r="30" spans="1:4" x14ac:dyDescent="0.75">
      <c r="A30" s="36">
        <v>37695</v>
      </c>
      <c r="B30" s="12">
        <v>2041522</v>
      </c>
      <c r="C30">
        <f t="shared" si="0"/>
        <v>3</v>
      </c>
      <c r="D30">
        <f t="shared" si="1"/>
        <v>2003</v>
      </c>
    </row>
    <row r="31" spans="1:4" x14ac:dyDescent="0.75">
      <c r="A31" s="36">
        <v>37726</v>
      </c>
      <c r="B31" s="12">
        <v>1603853</v>
      </c>
      <c r="C31">
        <f t="shared" si="0"/>
        <v>4</v>
      </c>
      <c r="D31">
        <f t="shared" si="1"/>
        <v>2003</v>
      </c>
    </row>
    <row r="32" spans="1:4" x14ac:dyDescent="0.75">
      <c r="A32" s="36">
        <v>37756</v>
      </c>
      <c r="B32" s="12">
        <v>1379497</v>
      </c>
      <c r="C32">
        <f t="shared" si="0"/>
        <v>5</v>
      </c>
      <c r="D32">
        <f t="shared" si="1"/>
        <v>2003</v>
      </c>
    </row>
    <row r="33" spans="1:4" x14ac:dyDescent="0.75">
      <c r="A33" s="36">
        <v>37787</v>
      </c>
      <c r="B33" s="12">
        <v>1240196</v>
      </c>
      <c r="C33">
        <f t="shared" si="0"/>
        <v>6</v>
      </c>
      <c r="D33">
        <f t="shared" si="1"/>
        <v>2003</v>
      </c>
    </row>
    <row r="34" spans="1:4" x14ac:dyDescent="0.75">
      <c r="A34" s="36">
        <v>37817</v>
      </c>
      <c r="B34" s="12">
        <v>1464704</v>
      </c>
      <c r="C34">
        <f t="shared" si="0"/>
        <v>7</v>
      </c>
      <c r="D34">
        <f t="shared" si="1"/>
        <v>2003</v>
      </c>
    </row>
    <row r="35" spans="1:4" x14ac:dyDescent="0.75">
      <c r="A35" s="36">
        <v>37848</v>
      </c>
      <c r="B35" s="12">
        <v>1512522</v>
      </c>
      <c r="C35">
        <f t="shared" si="0"/>
        <v>8</v>
      </c>
      <c r="D35">
        <f t="shared" si="1"/>
        <v>2003</v>
      </c>
    </row>
    <row r="36" spans="1:4" x14ac:dyDescent="0.75">
      <c r="A36" s="36">
        <v>37879</v>
      </c>
      <c r="B36" s="12">
        <v>1299128</v>
      </c>
      <c r="C36">
        <f t="shared" si="0"/>
        <v>9</v>
      </c>
      <c r="D36">
        <f t="shared" si="1"/>
        <v>2003</v>
      </c>
    </row>
    <row r="37" spans="1:4" x14ac:dyDescent="0.75">
      <c r="A37" s="36">
        <v>37909</v>
      </c>
      <c r="B37" s="12">
        <v>1417234</v>
      </c>
      <c r="C37">
        <f t="shared" si="0"/>
        <v>10</v>
      </c>
      <c r="D37">
        <f t="shared" si="1"/>
        <v>2003</v>
      </c>
    </row>
    <row r="38" spans="1:4" x14ac:dyDescent="0.75">
      <c r="A38" s="36">
        <v>37940</v>
      </c>
      <c r="B38" s="12">
        <v>1616154</v>
      </c>
      <c r="C38">
        <f t="shared" si="0"/>
        <v>11</v>
      </c>
      <c r="D38">
        <f t="shared" si="1"/>
        <v>2003</v>
      </c>
    </row>
    <row r="39" spans="1:4" x14ac:dyDescent="0.75">
      <c r="A39" s="36">
        <v>37970</v>
      </c>
      <c r="B39" s="12">
        <v>2108690</v>
      </c>
      <c r="C39">
        <f t="shared" si="0"/>
        <v>12</v>
      </c>
      <c r="D39">
        <f t="shared" si="1"/>
        <v>2003</v>
      </c>
    </row>
    <row r="40" spans="1:4" x14ac:dyDescent="0.75">
      <c r="A40" s="36">
        <v>38001</v>
      </c>
      <c r="B40" s="12">
        <v>2512844</v>
      </c>
      <c r="C40">
        <f t="shared" si="0"/>
        <v>1</v>
      </c>
      <c r="D40">
        <f t="shared" si="1"/>
        <v>2004</v>
      </c>
    </row>
    <row r="41" spans="1:4" x14ac:dyDescent="0.75">
      <c r="A41" s="36">
        <v>38032</v>
      </c>
      <c r="B41" s="12">
        <v>2358946</v>
      </c>
      <c r="C41">
        <f t="shared" si="0"/>
        <v>2</v>
      </c>
      <c r="D41">
        <f t="shared" si="1"/>
        <v>2004</v>
      </c>
    </row>
    <row r="42" spans="1:4" x14ac:dyDescent="0.75">
      <c r="A42" s="36">
        <v>38061</v>
      </c>
      <c r="B42" s="12">
        <v>1952607</v>
      </c>
      <c r="C42">
        <f t="shared" si="0"/>
        <v>3</v>
      </c>
      <c r="D42">
        <f t="shared" si="1"/>
        <v>2004</v>
      </c>
    </row>
    <row r="43" spans="1:4" x14ac:dyDescent="0.75">
      <c r="A43" s="36">
        <v>38092</v>
      </c>
      <c r="B43" s="12">
        <v>1609746</v>
      </c>
      <c r="C43">
        <f t="shared" si="0"/>
        <v>4</v>
      </c>
      <c r="D43">
        <f t="shared" si="1"/>
        <v>2004</v>
      </c>
    </row>
    <row r="44" spans="1:4" x14ac:dyDescent="0.75">
      <c r="A44" s="36">
        <v>38122</v>
      </c>
      <c r="B44" s="12">
        <v>1441557</v>
      </c>
      <c r="C44">
        <f t="shared" si="0"/>
        <v>5</v>
      </c>
      <c r="D44">
        <f t="shared" si="1"/>
        <v>2004</v>
      </c>
    </row>
    <row r="45" spans="1:4" x14ac:dyDescent="0.75">
      <c r="A45" s="36">
        <v>38153</v>
      </c>
      <c r="B45" s="12">
        <v>1356266</v>
      </c>
      <c r="C45">
        <f t="shared" si="0"/>
        <v>6</v>
      </c>
      <c r="D45">
        <f t="shared" si="1"/>
        <v>2004</v>
      </c>
    </row>
    <row r="46" spans="1:4" x14ac:dyDescent="0.75">
      <c r="A46" s="36">
        <v>38183</v>
      </c>
      <c r="B46" s="12">
        <v>1452339</v>
      </c>
      <c r="C46">
        <f t="shared" si="0"/>
        <v>7</v>
      </c>
      <c r="D46">
        <f t="shared" si="1"/>
        <v>2004</v>
      </c>
    </row>
    <row r="47" spans="1:4" x14ac:dyDescent="0.75">
      <c r="A47" s="36">
        <v>38214</v>
      </c>
      <c r="B47" s="12">
        <v>1445892</v>
      </c>
      <c r="C47">
        <f t="shared" si="0"/>
        <v>8</v>
      </c>
      <c r="D47">
        <f t="shared" si="1"/>
        <v>2004</v>
      </c>
    </row>
    <row r="48" spans="1:4" x14ac:dyDescent="0.75">
      <c r="A48" s="36">
        <v>38245</v>
      </c>
      <c r="B48" s="12">
        <v>1357712</v>
      </c>
      <c r="C48">
        <f t="shared" si="0"/>
        <v>9</v>
      </c>
      <c r="D48">
        <f t="shared" si="1"/>
        <v>2004</v>
      </c>
    </row>
    <row r="49" spans="1:4" x14ac:dyDescent="0.75">
      <c r="A49" s="36">
        <v>38275</v>
      </c>
      <c r="B49" s="12">
        <v>1426546</v>
      </c>
      <c r="C49">
        <f t="shared" si="0"/>
        <v>10</v>
      </c>
      <c r="D49">
        <f t="shared" si="1"/>
        <v>2004</v>
      </c>
    </row>
    <row r="50" spans="1:4" x14ac:dyDescent="0.75">
      <c r="A50" s="36">
        <v>38306</v>
      </c>
      <c r="B50" s="12">
        <v>1647979</v>
      </c>
      <c r="C50">
        <f t="shared" si="0"/>
        <v>11</v>
      </c>
      <c r="D50">
        <f t="shared" si="1"/>
        <v>2004</v>
      </c>
    </row>
    <row r="51" spans="1:4" x14ac:dyDescent="0.75">
      <c r="A51" s="36">
        <v>38336</v>
      </c>
      <c r="B51" s="12">
        <v>2176020</v>
      </c>
      <c r="C51">
        <f t="shared" si="0"/>
        <v>12</v>
      </c>
      <c r="D51">
        <f t="shared" si="1"/>
        <v>2004</v>
      </c>
    </row>
    <row r="52" spans="1:4" x14ac:dyDescent="0.75">
      <c r="A52" s="36">
        <v>38367</v>
      </c>
      <c r="B52" s="12">
        <v>2396713</v>
      </c>
      <c r="C52">
        <f t="shared" si="0"/>
        <v>1</v>
      </c>
      <c r="D52">
        <f t="shared" si="1"/>
        <v>2005</v>
      </c>
    </row>
    <row r="53" spans="1:4" x14ac:dyDescent="0.75">
      <c r="A53" s="36">
        <v>38398</v>
      </c>
      <c r="B53" s="12">
        <v>2094357</v>
      </c>
      <c r="C53">
        <f t="shared" si="0"/>
        <v>2</v>
      </c>
      <c r="D53">
        <f t="shared" si="1"/>
        <v>2005</v>
      </c>
    </row>
    <row r="54" spans="1:4" x14ac:dyDescent="0.75">
      <c r="A54" s="36">
        <v>38426</v>
      </c>
      <c r="B54" s="12">
        <v>2048169</v>
      </c>
      <c r="C54">
        <f t="shared" si="0"/>
        <v>3</v>
      </c>
      <c r="D54">
        <f t="shared" si="1"/>
        <v>2005</v>
      </c>
    </row>
    <row r="55" spans="1:4" x14ac:dyDescent="0.75">
      <c r="A55" s="36">
        <v>38457</v>
      </c>
      <c r="B55" s="12">
        <v>1585188</v>
      </c>
      <c r="C55">
        <f t="shared" si="0"/>
        <v>4</v>
      </c>
      <c r="D55">
        <f t="shared" si="1"/>
        <v>2005</v>
      </c>
    </row>
    <row r="56" spans="1:4" x14ac:dyDescent="0.75">
      <c r="A56" s="36">
        <v>38487</v>
      </c>
      <c r="B56" s="12">
        <v>1386917</v>
      </c>
      <c r="C56">
        <f t="shared" si="0"/>
        <v>5</v>
      </c>
      <c r="D56">
        <f t="shared" si="1"/>
        <v>2005</v>
      </c>
    </row>
    <row r="57" spans="1:4" x14ac:dyDescent="0.75">
      <c r="A57" s="36">
        <v>38518</v>
      </c>
      <c r="B57" s="12">
        <v>1400018</v>
      </c>
      <c r="C57">
        <f t="shared" si="0"/>
        <v>6</v>
      </c>
      <c r="D57">
        <f t="shared" si="1"/>
        <v>2005</v>
      </c>
    </row>
    <row r="58" spans="1:4" x14ac:dyDescent="0.75">
      <c r="A58" s="36">
        <v>38548</v>
      </c>
      <c r="B58" s="12">
        <v>1547608</v>
      </c>
      <c r="C58">
        <f t="shared" si="0"/>
        <v>7</v>
      </c>
      <c r="D58">
        <f t="shared" si="1"/>
        <v>2005</v>
      </c>
    </row>
    <row r="59" spans="1:4" x14ac:dyDescent="0.75">
      <c r="A59" s="36">
        <v>38579</v>
      </c>
      <c r="B59" s="12">
        <v>1555887</v>
      </c>
      <c r="C59">
        <f t="shared" si="0"/>
        <v>8</v>
      </c>
      <c r="D59">
        <f t="shared" si="1"/>
        <v>2005</v>
      </c>
    </row>
    <row r="60" spans="1:4" x14ac:dyDescent="0.75">
      <c r="A60" s="36">
        <v>38610</v>
      </c>
      <c r="B60" s="12">
        <v>1301829</v>
      </c>
      <c r="C60">
        <f t="shared" si="0"/>
        <v>9</v>
      </c>
      <c r="D60">
        <f t="shared" si="1"/>
        <v>2005</v>
      </c>
    </row>
    <row r="61" spans="1:4" x14ac:dyDescent="0.75">
      <c r="A61" s="36">
        <v>38640</v>
      </c>
      <c r="B61" s="12">
        <v>1302758</v>
      </c>
      <c r="C61">
        <f t="shared" si="0"/>
        <v>10</v>
      </c>
      <c r="D61">
        <f t="shared" si="1"/>
        <v>2005</v>
      </c>
    </row>
    <row r="62" spans="1:4" x14ac:dyDescent="0.75">
      <c r="A62" s="36">
        <v>38671</v>
      </c>
      <c r="B62" s="12">
        <v>1529693</v>
      </c>
      <c r="C62">
        <f t="shared" si="0"/>
        <v>11</v>
      </c>
      <c r="D62">
        <f t="shared" si="1"/>
        <v>2005</v>
      </c>
    </row>
    <row r="63" spans="1:4" x14ac:dyDescent="0.75">
      <c r="A63" s="36">
        <v>38701</v>
      </c>
      <c r="B63" s="12">
        <v>2169754</v>
      </c>
      <c r="C63">
        <f t="shared" si="0"/>
        <v>12</v>
      </c>
      <c r="D63">
        <f t="shared" si="1"/>
        <v>2005</v>
      </c>
    </row>
    <row r="64" spans="1:4" x14ac:dyDescent="0.75">
      <c r="A64" s="36">
        <v>38732</v>
      </c>
      <c r="B64" s="12">
        <v>2010926</v>
      </c>
      <c r="C64">
        <f t="shared" si="0"/>
        <v>1</v>
      </c>
      <c r="D64">
        <f t="shared" si="1"/>
        <v>2006</v>
      </c>
    </row>
    <row r="65" spans="1:4" x14ac:dyDescent="0.75">
      <c r="A65" s="36">
        <v>38763</v>
      </c>
      <c r="B65" s="12">
        <v>1999359</v>
      </c>
      <c r="C65">
        <f t="shared" si="0"/>
        <v>2</v>
      </c>
      <c r="D65">
        <f t="shared" si="1"/>
        <v>2006</v>
      </c>
    </row>
    <row r="66" spans="1:4" x14ac:dyDescent="0.75">
      <c r="A66" s="36">
        <v>38791</v>
      </c>
      <c r="B66" s="12">
        <v>1972165</v>
      </c>
      <c r="C66">
        <f t="shared" si="0"/>
        <v>3</v>
      </c>
      <c r="D66">
        <f t="shared" si="1"/>
        <v>2006</v>
      </c>
    </row>
    <row r="67" spans="1:4" x14ac:dyDescent="0.75">
      <c r="A67" s="36">
        <v>38822</v>
      </c>
      <c r="B67" s="12">
        <v>1543302</v>
      </c>
      <c r="C67">
        <f t="shared" si="0"/>
        <v>4</v>
      </c>
      <c r="D67">
        <f t="shared" si="1"/>
        <v>2006</v>
      </c>
    </row>
    <row r="68" spans="1:4" x14ac:dyDescent="0.75">
      <c r="A68" s="36">
        <v>38852</v>
      </c>
      <c r="B68" s="12">
        <v>1390353</v>
      </c>
      <c r="C68">
        <f t="shared" si="0"/>
        <v>5</v>
      </c>
      <c r="D68">
        <f t="shared" si="1"/>
        <v>2006</v>
      </c>
    </row>
    <row r="69" spans="1:4" x14ac:dyDescent="0.75">
      <c r="A69" s="36">
        <v>38883</v>
      </c>
      <c r="B69" s="12">
        <v>1415134</v>
      </c>
      <c r="C69">
        <f t="shared" ref="C69:C132" si="2">MONTH(A69)</f>
        <v>6</v>
      </c>
      <c r="D69">
        <f t="shared" ref="D69:D132" si="3">YEAR(A69)</f>
        <v>2006</v>
      </c>
    </row>
    <row r="70" spans="1:4" x14ac:dyDescent="0.75">
      <c r="A70" s="36">
        <v>38913</v>
      </c>
      <c r="B70" s="12">
        <v>1615241</v>
      </c>
      <c r="C70">
        <f t="shared" si="2"/>
        <v>7</v>
      </c>
      <c r="D70">
        <f t="shared" si="3"/>
        <v>2006</v>
      </c>
    </row>
    <row r="71" spans="1:4" x14ac:dyDescent="0.75">
      <c r="A71" s="36">
        <v>38944</v>
      </c>
      <c r="B71" s="12">
        <v>1607830</v>
      </c>
      <c r="C71">
        <f t="shared" si="2"/>
        <v>8</v>
      </c>
      <c r="D71">
        <f t="shared" si="3"/>
        <v>2006</v>
      </c>
    </row>
    <row r="72" spans="1:4" x14ac:dyDescent="0.75">
      <c r="A72" s="36">
        <v>38975</v>
      </c>
      <c r="B72" s="12">
        <v>1328565</v>
      </c>
      <c r="C72">
        <f t="shared" si="2"/>
        <v>9</v>
      </c>
      <c r="D72">
        <f t="shared" si="3"/>
        <v>2006</v>
      </c>
    </row>
    <row r="73" spans="1:4" x14ac:dyDescent="0.75">
      <c r="A73" s="36">
        <v>39005</v>
      </c>
      <c r="B73" s="12">
        <v>1501925</v>
      </c>
      <c r="C73">
        <f t="shared" si="2"/>
        <v>10</v>
      </c>
      <c r="D73">
        <f t="shared" si="3"/>
        <v>2006</v>
      </c>
    </row>
    <row r="74" spans="1:4" x14ac:dyDescent="0.75">
      <c r="A74" s="36">
        <v>39036</v>
      </c>
      <c r="B74" s="12">
        <v>1622364</v>
      </c>
      <c r="C74">
        <f t="shared" si="2"/>
        <v>11</v>
      </c>
      <c r="D74">
        <f t="shared" si="3"/>
        <v>2006</v>
      </c>
    </row>
    <row r="75" spans="1:4" x14ac:dyDescent="0.75">
      <c r="A75" s="36">
        <v>39066</v>
      </c>
      <c r="B75" s="12">
        <v>1965718</v>
      </c>
      <c r="C75">
        <f t="shared" si="2"/>
        <v>12</v>
      </c>
      <c r="D75">
        <f t="shared" si="3"/>
        <v>2006</v>
      </c>
    </row>
    <row r="76" spans="1:4" x14ac:dyDescent="0.75">
      <c r="A76" s="36">
        <v>39097</v>
      </c>
      <c r="B76" s="12">
        <v>2306943</v>
      </c>
      <c r="C76">
        <f t="shared" si="2"/>
        <v>1</v>
      </c>
      <c r="D76">
        <f t="shared" si="3"/>
        <v>2007</v>
      </c>
    </row>
    <row r="77" spans="1:4" x14ac:dyDescent="0.75">
      <c r="A77" s="36">
        <v>39128</v>
      </c>
      <c r="B77" s="12">
        <v>2403778</v>
      </c>
      <c r="C77">
        <f t="shared" si="2"/>
        <v>2</v>
      </c>
      <c r="D77">
        <f t="shared" si="3"/>
        <v>2007</v>
      </c>
    </row>
    <row r="78" spans="1:4" x14ac:dyDescent="0.75">
      <c r="A78" s="36">
        <v>39156</v>
      </c>
      <c r="B78" s="12">
        <v>1967388</v>
      </c>
      <c r="C78">
        <f t="shared" si="2"/>
        <v>3</v>
      </c>
      <c r="D78">
        <f t="shared" si="3"/>
        <v>2007</v>
      </c>
    </row>
    <row r="79" spans="1:4" x14ac:dyDescent="0.75">
      <c r="A79" s="36">
        <v>39187</v>
      </c>
      <c r="B79" s="12">
        <v>1662412</v>
      </c>
      <c r="C79">
        <f t="shared" si="2"/>
        <v>4</v>
      </c>
      <c r="D79">
        <f t="shared" si="3"/>
        <v>2007</v>
      </c>
    </row>
    <row r="80" spans="1:4" x14ac:dyDescent="0.75">
      <c r="A80" s="36">
        <v>39217</v>
      </c>
      <c r="B80" s="12">
        <v>1414428</v>
      </c>
      <c r="C80">
        <f t="shared" si="2"/>
        <v>5</v>
      </c>
      <c r="D80">
        <f t="shared" si="3"/>
        <v>2007</v>
      </c>
    </row>
    <row r="81" spans="1:4" x14ac:dyDescent="0.75">
      <c r="A81" s="36">
        <v>39248</v>
      </c>
      <c r="B81" s="12">
        <v>1413254</v>
      </c>
      <c r="C81">
        <f t="shared" si="2"/>
        <v>6</v>
      </c>
      <c r="D81">
        <f t="shared" si="3"/>
        <v>2007</v>
      </c>
    </row>
    <row r="82" spans="1:4" x14ac:dyDescent="0.75">
      <c r="A82" s="36">
        <v>39278</v>
      </c>
      <c r="B82" s="12">
        <v>1513157</v>
      </c>
      <c r="C82">
        <f t="shared" si="2"/>
        <v>7</v>
      </c>
      <c r="D82">
        <f t="shared" si="3"/>
        <v>2007</v>
      </c>
    </row>
    <row r="83" spans="1:4" x14ac:dyDescent="0.75">
      <c r="A83" s="36">
        <v>39309</v>
      </c>
      <c r="B83" s="12">
        <v>1741755</v>
      </c>
      <c r="C83">
        <f t="shared" si="2"/>
        <v>8</v>
      </c>
      <c r="D83">
        <f t="shared" si="3"/>
        <v>2007</v>
      </c>
    </row>
    <row r="84" spans="1:4" x14ac:dyDescent="0.75">
      <c r="A84" s="36">
        <v>39340</v>
      </c>
      <c r="B84" s="12">
        <v>1446674</v>
      </c>
      <c r="C84">
        <f t="shared" si="2"/>
        <v>9</v>
      </c>
      <c r="D84">
        <f t="shared" si="3"/>
        <v>2007</v>
      </c>
    </row>
    <row r="85" spans="1:4" x14ac:dyDescent="0.75">
      <c r="A85" s="36">
        <v>39370</v>
      </c>
      <c r="B85" s="12">
        <v>1479110</v>
      </c>
      <c r="C85">
        <f t="shared" si="2"/>
        <v>10</v>
      </c>
      <c r="D85">
        <f t="shared" si="3"/>
        <v>2007</v>
      </c>
    </row>
    <row r="86" spans="1:4" x14ac:dyDescent="0.75">
      <c r="A86" s="36">
        <v>39401</v>
      </c>
      <c r="B86" s="12">
        <v>1681149</v>
      </c>
      <c r="C86">
        <f t="shared" si="2"/>
        <v>11</v>
      </c>
      <c r="D86">
        <f t="shared" si="3"/>
        <v>2007</v>
      </c>
    </row>
    <row r="87" spans="1:4" x14ac:dyDescent="0.75">
      <c r="A87" s="36">
        <v>39431</v>
      </c>
      <c r="B87" s="12">
        <v>2225994</v>
      </c>
      <c r="C87">
        <f t="shared" si="2"/>
        <v>12</v>
      </c>
      <c r="D87">
        <f t="shared" si="3"/>
        <v>2007</v>
      </c>
    </row>
    <row r="88" spans="1:4" x14ac:dyDescent="0.75">
      <c r="A88" s="36">
        <v>39462</v>
      </c>
      <c r="B88" s="12">
        <v>2554281</v>
      </c>
      <c r="C88">
        <f t="shared" si="2"/>
        <v>1</v>
      </c>
      <c r="D88">
        <f t="shared" si="3"/>
        <v>2008</v>
      </c>
    </row>
    <row r="89" spans="1:4" x14ac:dyDescent="0.75">
      <c r="A89" s="36">
        <v>39493</v>
      </c>
      <c r="B89" s="12">
        <v>2335770</v>
      </c>
      <c r="C89">
        <f t="shared" si="2"/>
        <v>2</v>
      </c>
      <c r="D89">
        <f t="shared" si="3"/>
        <v>2008</v>
      </c>
    </row>
    <row r="90" spans="1:4" x14ac:dyDescent="0.75">
      <c r="A90" s="36">
        <v>39522</v>
      </c>
      <c r="B90" s="12">
        <v>2109623</v>
      </c>
      <c r="C90">
        <f t="shared" si="2"/>
        <v>3</v>
      </c>
      <c r="D90">
        <f t="shared" si="3"/>
        <v>2008</v>
      </c>
    </row>
    <row r="91" spans="1:4" x14ac:dyDescent="0.75">
      <c r="A91" s="36">
        <v>39553</v>
      </c>
      <c r="B91" s="12">
        <v>1672724</v>
      </c>
      <c r="C91">
        <f t="shared" si="2"/>
        <v>4</v>
      </c>
      <c r="D91">
        <f t="shared" si="3"/>
        <v>2008</v>
      </c>
    </row>
    <row r="92" spans="1:4" x14ac:dyDescent="0.75">
      <c r="A92" s="36">
        <v>39583</v>
      </c>
      <c r="B92" s="12">
        <v>1430242</v>
      </c>
      <c r="C92">
        <f t="shared" si="2"/>
        <v>5</v>
      </c>
      <c r="D92">
        <f t="shared" si="3"/>
        <v>2008</v>
      </c>
    </row>
    <row r="93" spans="1:4" x14ac:dyDescent="0.75">
      <c r="A93" s="36">
        <v>39614</v>
      </c>
      <c r="B93" s="12">
        <v>1459015</v>
      </c>
      <c r="C93">
        <f t="shared" si="2"/>
        <v>6</v>
      </c>
      <c r="D93">
        <f t="shared" si="3"/>
        <v>2008</v>
      </c>
    </row>
    <row r="94" spans="1:4" x14ac:dyDescent="0.75">
      <c r="A94" s="36">
        <v>39644</v>
      </c>
      <c r="B94" s="12">
        <v>1556011</v>
      </c>
      <c r="C94">
        <f t="shared" si="2"/>
        <v>7</v>
      </c>
      <c r="D94">
        <f t="shared" si="3"/>
        <v>2008</v>
      </c>
    </row>
    <row r="95" spans="1:4" x14ac:dyDescent="0.75">
      <c r="A95" s="36">
        <v>39675</v>
      </c>
      <c r="B95" s="12">
        <v>1531863</v>
      </c>
      <c r="C95">
        <f t="shared" si="2"/>
        <v>8</v>
      </c>
      <c r="D95">
        <f t="shared" si="3"/>
        <v>2008</v>
      </c>
    </row>
    <row r="96" spans="1:4" x14ac:dyDescent="0.75">
      <c r="A96" s="36">
        <v>39706</v>
      </c>
      <c r="B96" s="12">
        <v>1329726</v>
      </c>
      <c r="C96">
        <f t="shared" si="2"/>
        <v>9</v>
      </c>
      <c r="D96">
        <f t="shared" si="3"/>
        <v>2008</v>
      </c>
    </row>
    <row r="97" spans="1:4" x14ac:dyDescent="0.75">
      <c r="A97" s="36">
        <v>39736</v>
      </c>
      <c r="B97" s="12">
        <v>1488645</v>
      </c>
      <c r="C97">
        <f t="shared" si="2"/>
        <v>10</v>
      </c>
      <c r="D97">
        <f t="shared" si="3"/>
        <v>2008</v>
      </c>
    </row>
    <row r="98" spans="1:4" x14ac:dyDescent="0.75">
      <c r="A98" s="36">
        <v>39767</v>
      </c>
      <c r="B98" s="12">
        <v>1714971</v>
      </c>
      <c r="C98">
        <f t="shared" si="2"/>
        <v>11</v>
      </c>
      <c r="D98">
        <f t="shared" si="3"/>
        <v>2008</v>
      </c>
    </row>
    <row r="99" spans="1:4" x14ac:dyDescent="0.75">
      <c r="A99" s="36">
        <v>39797</v>
      </c>
      <c r="B99" s="12">
        <v>2226478</v>
      </c>
      <c r="C99">
        <f t="shared" si="2"/>
        <v>12</v>
      </c>
      <c r="D99">
        <f t="shared" si="3"/>
        <v>2008</v>
      </c>
    </row>
    <row r="100" spans="1:4" x14ac:dyDescent="0.75">
      <c r="A100" s="36">
        <v>39828</v>
      </c>
      <c r="B100" s="12">
        <v>2538368</v>
      </c>
      <c r="C100">
        <f t="shared" si="2"/>
        <v>1</v>
      </c>
      <c r="D100">
        <f t="shared" si="3"/>
        <v>2009</v>
      </c>
    </row>
    <row r="101" spans="1:4" x14ac:dyDescent="0.75">
      <c r="A101" s="36">
        <v>39859</v>
      </c>
      <c r="B101" s="12">
        <v>2162215</v>
      </c>
      <c r="C101">
        <f t="shared" si="2"/>
        <v>2</v>
      </c>
      <c r="D101">
        <f t="shared" si="3"/>
        <v>2009</v>
      </c>
    </row>
    <row r="102" spans="1:4" x14ac:dyDescent="0.75">
      <c r="A102" s="36">
        <v>39887</v>
      </c>
      <c r="B102" s="12">
        <v>1996245</v>
      </c>
      <c r="C102">
        <f t="shared" si="2"/>
        <v>3</v>
      </c>
      <c r="D102">
        <f t="shared" si="3"/>
        <v>2009</v>
      </c>
    </row>
    <row r="103" spans="1:4" x14ac:dyDescent="0.75">
      <c r="A103" s="36">
        <v>39918</v>
      </c>
      <c r="B103" s="12">
        <v>1585512</v>
      </c>
      <c r="C103">
        <f t="shared" si="2"/>
        <v>4</v>
      </c>
      <c r="D103">
        <f t="shared" si="3"/>
        <v>2009</v>
      </c>
    </row>
    <row r="104" spans="1:4" x14ac:dyDescent="0.75">
      <c r="A104" s="36">
        <v>39948</v>
      </c>
      <c r="B104" s="12">
        <v>1353150</v>
      </c>
      <c r="C104">
        <f t="shared" si="2"/>
        <v>5</v>
      </c>
      <c r="D104">
        <f t="shared" si="3"/>
        <v>2009</v>
      </c>
    </row>
    <row r="105" spans="1:4" x14ac:dyDescent="0.75">
      <c r="A105" s="36">
        <v>39979</v>
      </c>
      <c r="B105" s="12">
        <v>1378772</v>
      </c>
      <c r="C105">
        <f t="shared" si="2"/>
        <v>6</v>
      </c>
      <c r="D105">
        <f t="shared" si="3"/>
        <v>2009</v>
      </c>
    </row>
    <row r="106" spans="1:4" x14ac:dyDescent="0.75">
      <c r="A106" s="36">
        <v>40009</v>
      </c>
      <c r="B106" s="12">
        <v>1503321</v>
      </c>
      <c r="C106">
        <f t="shared" si="2"/>
        <v>7</v>
      </c>
      <c r="D106">
        <f t="shared" si="3"/>
        <v>2009</v>
      </c>
    </row>
    <row r="107" spans="1:4" x14ac:dyDescent="0.75">
      <c r="A107" s="36">
        <v>40040</v>
      </c>
      <c r="B107" s="12">
        <v>1578354</v>
      </c>
      <c r="C107">
        <f t="shared" si="2"/>
        <v>8</v>
      </c>
      <c r="D107">
        <f t="shared" si="3"/>
        <v>2009</v>
      </c>
    </row>
    <row r="108" spans="1:4" x14ac:dyDescent="0.75">
      <c r="A108" s="36">
        <v>40071</v>
      </c>
      <c r="B108" s="12">
        <v>1427135</v>
      </c>
      <c r="C108">
        <f t="shared" si="2"/>
        <v>9</v>
      </c>
      <c r="D108">
        <f t="shared" si="3"/>
        <v>2009</v>
      </c>
    </row>
    <row r="109" spans="1:4" x14ac:dyDescent="0.75">
      <c r="A109" s="36">
        <v>40101</v>
      </c>
      <c r="B109" s="12">
        <v>1510867</v>
      </c>
      <c r="C109">
        <f t="shared" si="2"/>
        <v>10</v>
      </c>
      <c r="D109">
        <f t="shared" si="3"/>
        <v>2009</v>
      </c>
    </row>
    <row r="110" spans="1:4" x14ac:dyDescent="0.75">
      <c r="A110" s="36">
        <v>40132</v>
      </c>
      <c r="B110" s="12">
        <v>1619852</v>
      </c>
      <c r="C110">
        <f t="shared" si="2"/>
        <v>11</v>
      </c>
      <c r="D110">
        <f t="shared" si="3"/>
        <v>2009</v>
      </c>
    </row>
    <row r="111" spans="1:4" x14ac:dyDescent="0.75">
      <c r="A111" s="36">
        <v>40162</v>
      </c>
      <c r="B111" s="12">
        <v>2310875</v>
      </c>
      <c r="C111">
        <f t="shared" si="2"/>
        <v>12</v>
      </c>
      <c r="D111">
        <f t="shared" si="3"/>
        <v>2009</v>
      </c>
    </row>
    <row r="112" spans="1:4" x14ac:dyDescent="0.75">
      <c r="A112" s="36">
        <v>40193</v>
      </c>
      <c r="B112" s="12">
        <v>2624217</v>
      </c>
      <c r="C112">
        <f t="shared" si="2"/>
        <v>1</v>
      </c>
      <c r="D112">
        <f t="shared" si="3"/>
        <v>2010</v>
      </c>
    </row>
    <row r="113" spans="1:4" x14ac:dyDescent="0.75">
      <c r="A113" s="36">
        <v>40224</v>
      </c>
      <c r="B113" s="12">
        <v>2312746</v>
      </c>
      <c r="C113">
        <f t="shared" si="2"/>
        <v>2</v>
      </c>
      <c r="D113">
        <f t="shared" si="3"/>
        <v>2010</v>
      </c>
    </row>
    <row r="114" spans="1:4" x14ac:dyDescent="0.75">
      <c r="A114" s="36">
        <v>40252</v>
      </c>
      <c r="B114" s="12">
        <v>1974222</v>
      </c>
      <c r="C114">
        <f t="shared" si="2"/>
        <v>3</v>
      </c>
      <c r="D114">
        <f t="shared" si="3"/>
        <v>2010</v>
      </c>
    </row>
    <row r="115" spans="1:4" x14ac:dyDescent="0.75">
      <c r="A115" s="36">
        <v>40283</v>
      </c>
      <c r="B115" s="12">
        <v>1540128</v>
      </c>
      <c r="C115">
        <f t="shared" si="2"/>
        <v>4</v>
      </c>
      <c r="D115">
        <f t="shared" si="3"/>
        <v>2010</v>
      </c>
    </row>
    <row r="116" spans="1:4" x14ac:dyDescent="0.75">
      <c r="A116" s="36">
        <v>40313</v>
      </c>
      <c r="B116" s="12">
        <v>1465089</v>
      </c>
      <c r="C116">
        <f t="shared" si="2"/>
        <v>5</v>
      </c>
      <c r="D116">
        <f t="shared" si="3"/>
        <v>2010</v>
      </c>
    </row>
    <row r="117" spans="1:4" x14ac:dyDescent="0.75">
      <c r="A117" s="36">
        <v>40344</v>
      </c>
      <c r="B117" s="12">
        <v>1500962</v>
      </c>
      <c r="C117">
        <f t="shared" si="2"/>
        <v>6</v>
      </c>
      <c r="D117">
        <f t="shared" si="3"/>
        <v>2010</v>
      </c>
    </row>
    <row r="118" spans="1:4" x14ac:dyDescent="0.75">
      <c r="A118" s="36">
        <v>40374</v>
      </c>
      <c r="B118" s="12">
        <v>1668244</v>
      </c>
      <c r="C118">
        <f t="shared" si="2"/>
        <v>7</v>
      </c>
      <c r="D118">
        <f t="shared" si="3"/>
        <v>2010</v>
      </c>
    </row>
    <row r="119" spans="1:4" x14ac:dyDescent="0.75">
      <c r="A119" s="36">
        <v>40405</v>
      </c>
      <c r="B119" s="12">
        <v>1718550</v>
      </c>
      <c r="C119">
        <f t="shared" si="2"/>
        <v>8</v>
      </c>
      <c r="D119">
        <f t="shared" si="3"/>
        <v>2010</v>
      </c>
    </row>
    <row r="120" spans="1:4" x14ac:dyDescent="0.75">
      <c r="A120" s="36">
        <v>40436</v>
      </c>
      <c r="B120" s="12">
        <v>1485061</v>
      </c>
      <c r="C120">
        <f t="shared" si="2"/>
        <v>9</v>
      </c>
      <c r="D120">
        <f t="shared" si="3"/>
        <v>2010</v>
      </c>
    </row>
    <row r="121" spans="1:4" x14ac:dyDescent="0.75">
      <c r="A121" s="36">
        <v>40466</v>
      </c>
      <c r="B121" s="12">
        <v>1506234</v>
      </c>
      <c r="C121">
        <f t="shared" si="2"/>
        <v>10</v>
      </c>
      <c r="D121">
        <f t="shared" si="3"/>
        <v>2010</v>
      </c>
    </row>
    <row r="122" spans="1:4" x14ac:dyDescent="0.75">
      <c r="A122" s="36">
        <v>40497</v>
      </c>
      <c r="B122" s="12">
        <v>1809151</v>
      </c>
      <c r="C122">
        <f t="shared" si="2"/>
        <v>11</v>
      </c>
      <c r="D122">
        <f t="shared" si="3"/>
        <v>2010</v>
      </c>
    </row>
    <row r="123" spans="1:4" x14ac:dyDescent="0.75">
      <c r="A123" s="36">
        <v>40527</v>
      </c>
      <c r="B123" s="12">
        <v>2522442</v>
      </c>
      <c r="C123">
        <f t="shared" si="2"/>
        <v>12</v>
      </c>
      <c r="D123">
        <f t="shared" si="3"/>
        <v>2010</v>
      </c>
    </row>
    <row r="124" spans="1:4" x14ac:dyDescent="0.75">
      <c r="A124" s="36">
        <v>40558</v>
      </c>
      <c r="B124" s="12">
        <v>2699039</v>
      </c>
      <c r="C124">
        <f t="shared" si="2"/>
        <v>1</v>
      </c>
      <c r="D124">
        <f t="shared" si="3"/>
        <v>2011</v>
      </c>
    </row>
    <row r="125" spans="1:4" x14ac:dyDescent="0.75">
      <c r="A125" s="36">
        <v>40589</v>
      </c>
      <c r="B125" s="12">
        <v>2285465</v>
      </c>
      <c r="C125">
        <f t="shared" si="2"/>
        <v>2</v>
      </c>
      <c r="D125">
        <f t="shared" si="3"/>
        <v>2011</v>
      </c>
    </row>
    <row r="126" spans="1:4" x14ac:dyDescent="0.75">
      <c r="A126" s="36">
        <v>40617</v>
      </c>
      <c r="B126" s="12">
        <v>2056105</v>
      </c>
      <c r="C126">
        <f t="shared" si="2"/>
        <v>3</v>
      </c>
      <c r="D126">
        <f t="shared" si="3"/>
        <v>2011</v>
      </c>
    </row>
    <row r="127" spans="1:4" x14ac:dyDescent="0.75">
      <c r="A127" s="36">
        <v>40648</v>
      </c>
      <c r="B127" s="12">
        <v>1665278</v>
      </c>
      <c r="C127">
        <f t="shared" si="2"/>
        <v>4</v>
      </c>
      <c r="D127">
        <f t="shared" si="3"/>
        <v>2011</v>
      </c>
    </row>
    <row r="128" spans="1:4" x14ac:dyDescent="0.75">
      <c r="A128" s="36">
        <v>40678</v>
      </c>
      <c r="B128" s="12">
        <v>1509295</v>
      </c>
      <c r="C128">
        <f t="shared" si="2"/>
        <v>5</v>
      </c>
      <c r="D128">
        <f t="shared" si="3"/>
        <v>2011</v>
      </c>
    </row>
    <row r="129" spans="1:4" x14ac:dyDescent="0.75">
      <c r="A129" s="36">
        <v>40709</v>
      </c>
      <c r="B129" s="12">
        <v>1503845</v>
      </c>
      <c r="C129">
        <f t="shared" si="2"/>
        <v>6</v>
      </c>
      <c r="D129">
        <f t="shared" si="3"/>
        <v>2011</v>
      </c>
    </row>
    <row r="130" spans="1:4" x14ac:dyDescent="0.75">
      <c r="A130" s="36">
        <v>40739</v>
      </c>
      <c r="B130" s="12">
        <v>1728010</v>
      </c>
      <c r="C130">
        <f t="shared" si="2"/>
        <v>7</v>
      </c>
      <c r="D130">
        <f t="shared" si="3"/>
        <v>2011</v>
      </c>
    </row>
    <row r="131" spans="1:4" x14ac:dyDescent="0.75">
      <c r="A131" s="36">
        <v>40770</v>
      </c>
      <c r="B131" s="12">
        <v>1727907</v>
      </c>
      <c r="C131">
        <f t="shared" si="2"/>
        <v>8</v>
      </c>
      <c r="D131">
        <f t="shared" si="3"/>
        <v>2011</v>
      </c>
    </row>
    <row r="132" spans="1:4" x14ac:dyDescent="0.75">
      <c r="A132" s="36">
        <v>40801</v>
      </c>
      <c r="B132" s="12">
        <v>1500242</v>
      </c>
      <c r="C132">
        <f t="shared" si="2"/>
        <v>9</v>
      </c>
      <c r="D132">
        <f t="shared" si="3"/>
        <v>2011</v>
      </c>
    </row>
    <row r="133" spans="1:4" x14ac:dyDescent="0.75">
      <c r="A133" s="36">
        <v>40831</v>
      </c>
      <c r="B133" s="12">
        <v>1579772</v>
      </c>
      <c r="C133">
        <f t="shared" ref="C133:C196" si="4">MONTH(A133)</f>
        <v>10</v>
      </c>
      <c r="D133">
        <f t="shared" ref="D133:D196" si="5">YEAR(A133)</f>
        <v>2011</v>
      </c>
    </row>
    <row r="134" spans="1:4" x14ac:dyDescent="0.75">
      <c r="A134" s="36">
        <v>40862</v>
      </c>
      <c r="B134" s="12">
        <v>1860159</v>
      </c>
      <c r="C134">
        <f t="shared" si="4"/>
        <v>11</v>
      </c>
      <c r="D134">
        <f t="shared" si="5"/>
        <v>2011</v>
      </c>
    </row>
    <row r="135" spans="1:4" x14ac:dyDescent="0.75">
      <c r="A135" s="36">
        <v>40892</v>
      </c>
      <c r="B135" s="12">
        <v>2351937</v>
      </c>
      <c r="C135">
        <f t="shared" si="4"/>
        <v>12</v>
      </c>
      <c r="D135">
        <f t="shared" si="5"/>
        <v>2011</v>
      </c>
    </row>
    <row r="136" spans="1:4" x14ac:dyDescent="0.75">
      <c r="A136" s="36">
        <v>40923</v>
      </c>
      <c r="B136" s="12">
        <v>2557465</v>
      </c>
      <c r="C136">
        <f t="shared" si="4"/>
        <v>1</v>
      </c>
      <c r="D136">
        <f t="shared" si="5"/>
        <v>2012</v>
      </c>
    </row>
    <row r="137" spans="1:4" x14ac:dyDescent="0.75">
      <c r="A137" s="36">
        <v>40954</v>
      </c>
      <c r="B137" s="12">
        <v>2319221</v>
      </c>
      <c r="C137">
        <f t="shared" si="4"/>
        <v>2</v>
      </c>
      <c r="D137">
        <f t="shared" si="5"/>
        <v>2012</v>
      </c>
    </row>
    <row r="138" spans="1:4" x14ac:dyDescent="0.75">
      <c r="A138" s="36">
        <v>40983</v>
      </c>
      <c r="B138" s="12">
        <v>1949890</v>
      </c>
      <c r="C138">
        <f t="shared" si="4"/>
        <v>3</v>
      </c>
      <c r="D138">
        <f t="shared" si="5"/>
        <v>2012</v>
      </c>
    </row>
    <row r="139" spans="1:4" x14ac:dyDescent="0.75">
      <c r="A139" s="36">
        <v>41014</v>
      </c>
      <c r="B139" s="12">
        <v>1784460</v>
      </c>
      <c r="C139">
        <f t="shared" si="4"/>
        <v>4</v>
      </c>
      <c r="D139">
        <f t="shared" si="5"/>
        <v>2012</v>
      </c>
    </row>
    <row r="140" spans="1:4" x14ac:dyDescent="0.75">
      <c r="A140" s="36">
        <v>41044</v>
      </c>
      <c r="B140" s="12">
        <v>1703507</v>
      </c>
      <c r="C140">
        <f t="shared" si="4"/>
        <v>5</v>
      </c>
      <c r="D140">
        <f t="shared" si="5"/>
        <v>2012</v>
      </c>
    </row>
    <row r="141" spans="1:4" x14ac:dyDescent="0.75">
      <c r="A141" s="36">
        <v>41075</v>
      </c>
      <c r="B141" s="12">
        <v>1702557</v>
      </c>
      <c r="C141">
        <f t="shared" si="4"/>
        <v>6</v>
      </c>
      <c r="D141">
        <f t="shared" si="5"/>
        <v>2012</v>
      </c>
    </row>
    <row r="142" spans="1:4" x14ac:dyDescent="0.75">
      <c r="A142" s="36">
        <v>41105</v>
      </c>
      <c r="B142" s="12">
        <v>1891318</v>
      </c>
      <c r="C142">
        <f t="shared" si="4"/>
        <v>7</v>
      </c>
      <c r="D142">
        <f t="shared" si="5"/>
        <v>2012</v>
      </c>
    </row>
    <row r="143" spans="1:4" x14ac:dyDescent="0.75">
      <c r="A143" s="36">
        <v>41136</v>
      </c>
      <c r="B143" s="12">
        <v>1832775</v>
      </c>
      <c r="C143">
        <f t="shared" si="4"/>
        <v>8</v>
      </c>
      <c r="D143">
        <f t="shared" si="5"/>
        <v>2012</v>
      </c>
    </row>
    <row r="144" spans="1:4" x14ac:dyDescent="0.75">
      <c r="A144" s="36">
        <v>41167</v>
      </c>
      <c r="B144" s="12">
        <v>1640347</v>
      </c>
      <c r="C144">
        <f t="shared" si="4"/>
        <v>9</v>
      </c>
      <c r="D144">
        <f t="shared" si="5"/>
        <v>2012</v>
      </c>
    </row>
    <row r="145" spans="1:4" x14ac:dyDescent="0.75">
      <c r="A145" s="36">
        <v>41197</v>
      </c>
      <c r="B145" s="12">
        <v>1727393</v>
      </c>
      <c r="C145">
        <f t="shared" si="4"/>
        <v>10</v>
      </c>
      <c r="D145">
        <f t="shared" si="5"/>
        <v>2012</v>
      </c>
    </row>
    <row r="146" spans="1:4" x14ac:dyDescent="0.75">
      <c r="A146" s="36">
        <v>41228</v>
      </c>
      <c r="B146" s="12">
        <v>1989660</v>
      </c>
      <c r="C146">
        <f t="shared" si="4"/>
        <v>11</v>
      </c>
      <c r="D146">
        <f t="shared" si="5"/>
        <v>2012</v>
      </c>
    </row>
    <row r="147" spans="1:4" x14ac:dyDescent="0.75">
      <c r="A147" s="36">
        <v>41258</v>
      </c>
      <c r="B147" s="12">
        <v>2312832</v>
      </c>
      <c r="C147">
        <f t="shared" si="4"/>
        <v>12</v>
      </c>
      <c r="D147">
        <f t="shared" si="5"/>
        <v>2012</v>
      </c>
    </row>
    <row r="148" spans="1:4" x14ac:dyDescent="0.75">
      <c r="A148" s="36">
        <v>41289</v>
      </c>
      <c r="B148" s="12">
        <v>2661816</v>
      </c>
      <c r="C148">
        <f t="shared" si="4"/>
        <v>1</v>
      </c>
      <c r="D148">
        <f t="shared" si="5"/>
        <v>2013</v>
      </c>
    </row>
    <row r="149" spans="1:4" x14ac:dyDescent="0.75">
      <c r="A149" s="36">
        <v>41320</v>
      </c>
      <c r="B149" s="12">
        <v>2371983</v>
      </c>
      <c r="C149">
        <f t="shared" si="4"/>
        <v>2</v>
      </c>
      <c r="D149">
        <f t="shared" si="5"/>
        <v>2013</v>
      </c>
    </row>
    <row r="150" spans="1:4" x14ac:dyDescent="0.75">
      <c r="A150" s="36">
        <v>41348</v>
      </c>
      <c r="B150" s="12">
        <v>2316191</v>
      </c>
      <c r="C150">
        <f t="shared" si="4"/>
        <v>3</v>
      </c>
      <c r="D150">
        <f t="shared" si="5"/>
        <v>2013</v>
      </c>
    </row>
    <row r="151" spans="1:4" x14ac:dyDescent="0.75">
      <c r="A151" s="36">
        <v>41379</v>
      </c>
      <c r="B151" s="12">
        <v>1783603</v>
      </c>
      <c r="C151">
        <f t="shared" si="4"/>
        <v>4</v>
      </c>
      <c r="D151">
        <f t="shared" si="5"/>
        <v>2013</v>
      </c>
    </row>
    <row r="152" spans="1:4" x14ac:dyDescent="0.75">
      <c r="A152" s="36">
        <v>41409</v>
      </c>
      <c r="B152" s="12">
        <v>1572373</v>
      </c>
      <c r="C152">
        <f t="shared" si="4"/>
        <v>5</v>
      </c>
      <c r="D152">
        <f t="shared" si="5"/>
        <v>2013</v>
      </c>
    </row>
    <row r="153" spans="1:4" x14ac:dyDescent="0.75">
      <c r="A153" s="36">
        <v>41440</v>
      </c>
      <c r="B153" s="12">
        <v>1567216</v>
      </c>
      <c r="C153">
        <f t="shared" si="4"/>
        <v>6</v>
      </c>
      <c r="D153">
        <f t="shared" si="5"/>
        <v>2013</v>
      </c>
    </row>
    <row r="154" spans="1:4" x14ac:dyDescent="0.75">
      <c r="A154" s="36">
        <v>41470</v>
      </c>
      <c r="B154" s="12">
        <v>1738157</v>
      </c>
      <c r="C154">
        <f t="shared" si="4"/>
        <v>7</v>
      </c>
      <c r="D154">
        <f t="shared" si="5"/>
        <v>2013</v>
      </c>
    </row>
    <row r="155" spans="1:4" x14ac:dyDescent="0.75">
      <c r="A155" s="36">
        <v>41501</v>
      </c>
      <c r="B155" s="12">
        <v>1739436</v>
      </c>
      <c r="C155">
        <f t="shared" si="4"/>
        <v>8</v>
      </c>
      <c r="D155">
        <f t="shared" si="5"/>
        <v>2013</v>
      </c>
    </row>
    <row r="156" spans="1:4" x14ac:dyDescent="0.75">
      <c r="A156" s="36">
        <v>41532</v>
      </c>
      <c r="B156" s="12">
        <v>1588718</v>
      </c>
      <c r="C156">
        <f t="shared" si="4"/>
        <v>9</v>
      </c>
      <c r="D156">
        <f t="shared" si="5"/>
        <v>2013</v>
      </c>
    </row>
    <row r="157" spans="1:4" x14ac:dyDescent="0.75">
      <c r="A157" s="36">
        <v>41562</v>
      </c>
      <c r="B157" s="12">
        <v>1680814</v>
      </c>
      <c r="C157">
        <f t="shared" si="4"/>
        <v>10</v>
      </c>
      <c r="D157">
        <f t="shared" si="5"/>
        <v>2013</v>
      </c>
    </row>
    <row r="158" spans="1:4" x14ac:dyDescent="0.75">
      <c r="A158" s="36">
        <v>41593</v>
      </c>
      <c r="B158" s="12">
        <v>2118508</v>
      </c>
      <c r="C158">
        <f t="shared" si="4"/>
        <v>11</v>
      </c>
      <c r="D158">
        <f t="shared" si="5"/>
        <v>2013</v>
      </c>
    </row>
    <row r="159" spans="1:4" x14ac:dyDescent="0.75">
      <c r="A159" s="36">
        <v>41623</v>
      </c>
      <c r="B159" s="12">
        <v>2700111</v>
      </c>
      <c r="C159">
        <f t="shared" si="4"/>
        <v>12</v>
      </c>
      <c r="D159">
        <f t="shared" si="5"/>
        <v>2013</v>
      </c>
    </row>
    <row r="160" spans="1:4" x14ac:dyDescent="0.75">
      <c r="A160" s="36">
        <v>41654</v>
      </c>
      <c r="B160" s="12">
        <v>2997145</v>
      </c>
      <c r="C160">
        <f t="shared" si="4"/>
        <v>1</v>
      </c>
      <c r="D160">
        <f t="shared" si="5"/>
        <v>2014</v>
      </c>
    </row>
    <row r="161" spans="1:4" x14ac:dyDescent="0.75">
      <c r="A161" s="36">
        <v>41685</v>
      </c>
      <c r="B161" s="12">
        <v>2556038</v>
      </c>
      <c r="C161">
        <f t="shared" si="4"/>
        <v>2</v>
      </c>
      <c r="D161">
        <f t="shared" si="5"/>
        <v>2014</v>
      </c>
    </row>
    <row r="162" spans="1:4" x14ac:dyDescent="0.75">
      <c r="A162" s="36">
        <v>41713</v>
      </c>
      <c r="B162" s="12">
        <v>2365293</v>
      </c>
      <c r="C162">
        <f t="shared" si="4"/>
        <v>3</v>
      </c>
      <c r="D162">
        <f t="shared" si="5"/>
        <v>2014</v>
      </c>
    </row>
    <row r="163" spans="1:4" x14ac:dyDescent="0.75">
      <c r="A163" s="36">
        <v>41744</v>
      </c>
      <c r="B163" s="12">
        <v>1786764</v>
      </c>
      <c r="C163">
        <f t="shared" si="4"/>
        <v>4</v>
      </c>
      <c r="D163">
        <f t="shared" si="5"/>
        <v>2014</v>
      </c>
    </row>
    <row r="164" spans="1:4" x14ac:dyDescent="0.75">
      <c r="A164" s="36">
        <v>41774</v>
      </c>
      <c r="B164" s="12">
        <v>1636202</v>
      </c>
      <c r="C164">
        <f t="shared" si="4"/>
        <v>5</v>
      </c>
      <c r="D164">
        <f t="shared" si="5"/>
        <v>2014</v>
      </c>
    </row>
    <row r="165" spans="1:4" x14ac:dyDescent="0.75">
      <c r="A165" s="36">
        <v>41805</v>
      </c>
      <c r="B165" s="12">
        <v>1576508</v>
      </c>
      <c r="C165">
        <f t="shared" si="4"/>
        <v>6</v>
      </c>
      <c r="D165">
        <f t="shared" si="5"/>
        <v>2014</v>
      </c>
    </row>
    <row r="166" spans="1:4" x14ac:dyDescent="0.75">
      <c r="A166" s="36">
        <v>41835</v>
      </c>
      <c r="B166" s="12">
        <v>1701744</v>
      </c>
      <c r="C166">
        <f t="shared" si="4"/>
        <v>7</v>
      </c>
      <c r="D166">
        <f t="shared" si="5"/>
        <v>2014</v>
      </c>
    </row>
    <row r="167" spans="1:4" x14ac:dyDescent="0.75">
      <c r="A167" s="36">
        <v>41866</v>
      </c>
      <c r="B167" s="12">
        <v>1751644</v>
      </c>
      <c r="C167">
        <f t="shared" si="4"/>
        <v>8</v>
      </c>
      <c r="D167">
        <f t="shared" si="5"/>
        <v>2014</v>
      </c>
    </row>
    <row r="168" spans="1:4" x14ac:dyDescent="0.75">
      <c r="A168" s="36">
        <v>41897</v>
      </c>
      <c r="B168" s="12">
        <v>1635485</v>
      </c>
      <c r="C168">
        <f t="shared" si="4"/>
        <v>9</v>
      </c>
      <c r="D168">
        <f t="shared" si="5"/>
        <v>2014</v>
      </c>
    </row>
    <row r="169" spans="1:4" x14ac:dyDescent="0.75">
      <c r="A169" s="36">
        <v>41927</v>
      </c>
      <c r="B169" s="12">
        <v>1730740</v>
      </c>
      <c r="C169">
        <f t="shared" si="4"/>
        <v>10</v>
      </c>
      <c r="D169">
        <f t="shared" si="5"/>
        <v>2014</v>
      </c>
    </row>
    <row r="170" spans="1:4" x14ac:dyDescent="0.75">
      <c r="A170" s="36">
        <v>41958</v>
      </c>
      <c r="B170" s="12">
        <v>2167984</v>
      </c>
      <c r="C170">
        <f t="shared" si="4"/>
        <v>11</v>
      </c>
      <c r="D170">
        <f t="shared" si="5"/>
        <v>2014</v>
      </c>
    </row>
    <row r="171" spans="1:4" x14ac:dyDescent="0.75">
      <c r="A171" s="36">
        <v>41988</v>
      </c>
      <c r="B171" s="12">
        <v>2475535</v>
      </c>
      <c r="C171">
        <f t="shared" si="4"/>
        <v>12</v>
      </c>
      <c r="D171">
        <f t="shared" si="5"/>
        <v>2014</v>
      </c>
    </row>
    <row r="172" spans="1:4" x14ac:dyDescent="0.75">
      <c r="A172" s="36">
        <v>42019</v>
      </c>
      <c r="B172" s="12">
        <v>2903574</v>
      </c>
      <c r="C172">
        <f t="shared" si="4"/>
        <v>1</v>
      </c>
      <c r="D172">
        <f t="shared" si="5"/>
        <v>2015</v>
      </c>
    </row>
    <row r="173" spans="1:4" x14ac:dyDescent="0.75">
      <c r="A173" s="36">
        <v>42050</v>
      </c>
      <c r="B173" s="12">
        <v>2730693</v>
      </c>
      <c r="C173">
        <f t="shared" si="4"/>
        <v>2</v>
      </c>
      <c r="D173">
        <f t="shared" si="5"/>
        <v>2015</v>
      </c>
    </row>
    <row r="174" spans="1:4" x14ac:dyDescent="0.75">
      <c r="A174" s="36">
        <v>42078</v>
      </c>
      <c r="B174" s="12">
        <v>2392542</v>
      </c>
      <c r="C174">
        <f t="shared" si="4"/>
        <v>3</v>
      </c>
      <c r="D174">
        <f t="shared" si="5"/>
        <v>2015</v>
      </c>
    </row>
    <row r="175" spans="1:4" x14ac:dyDescent="0.75">
      <c r="A175" s="36">
        <v>42109</v>
      </c>
      <c r="B175" s="12">
        <v>1826933</v>
      </c>
      <c r="C175">
        <f t="shared" si="4"/>
        <v>4</v>
      </c>
      <c r="D175">
        <f t="shared" si="5"/>
        <v>2015</v>
      </c>
    </row>
    <row r="176" spans="1:4" x14ac:dyDescent="0.75">
      <c r="A176" s="36">
        <v>42139</v>
      </c>
      <c r="B176" s="12">
        <v>1678755</v>
      </c>
      <c r="C176">
        <f t="shared" si="4"/>
        <v>5</v>
      </c>
      <c r="D176">
        <f t="shared" si="5"/>
        <v>2015</v>
      </c>
    </row>
    <row r="177" spans="1:4" x14ac:dyDescent="0.75">
      <c r="A177" s="36">
        <v>42170</v>
      </c>
      <c r="B177" s="12">
        <v>1723906</v>
      </c>
      <c r="C177">
        <f t="shared" si="4"/>
        <v>6</v>
      </c>
      <c r="D177">
        <f t="shared" si="5"/>
        <v>2015</v>
      </c>
    </row>
    <row r="178" spans="1:4" x14ac:dyDescent="0.75">
      <c r="A178" s="36">
        <v>42200</v>
      </c>
      <c r="B178" s="12">
        <v>1882675</v>
      </c>
      <c r="C178">
        <f t="shared" si="4"/>
        <v>7</v>
      </c>
      <c r="D178">
        <f t="shared" si="5"/>
        <v>2015</v>
      </c>
    </row>
    <row r="179" spans="1:4" x14ac:dyDescent="0.75">
      <c r="A179" s="36">
        <v>42231</v>
      </c>
      <c r="B179" s="12">
        <v>1867936</v>
      </c>
      <c r="C179">
        <f t="shared" si="4"/>
        <v>8</v>
      </c>
      <c r="D179">
        <f t="shared" si="5"/>
        <v>2015</v>
      </c>
    </row>
    <row r="180" spans="1:4" x14ac:dyDescent="0.75">
      <c r="A180" s="36">
        <v>42262</v>
      </c>
      <c r="B180" s="12">
        <v>1723960</v>
      </c>
      <c r="C180">
        <f t="shared" si="4"/>
        <v>9</v>
      </c>
      <c r="D180">
        <f t="shared" si="5"/>
        <v>2015</v>
      </c>
    </row>
    <row r="181" spans="1:4" x14ac:dyDescent="0.75">
      <c r="A181" s="36">
        <v>42292</v>
      </c>
      <c r="B181" s="12">
        <v>1804380</v>
      </c>
      <c r="C181">
        <f t="shared" si="4"/>
        <v>10</v>
      </c>
      <c r="D181">
        <f t="shared" si="5"/>
        <v>2015</v>
      </c>
    </row>
    <row r="182" spans="1:4" x14ac:dyDescent="0.75">
      <c r="A182" s="36">
        <v>42323</v>
      </c>
      <c r="B182" s="12">
        <v>2064029</v>
      </c>
      <c r="C182">
        <f t="shared" si="4"/>
        <v>11</v>
      </c>
      <c r="D182">
        <f t="shared" si="5"/>
        <v>2015</v>
      </c>
    </row>
    <row r="183" spans="1:4" x14ac:dyDescent="0.75">
      <c r="A183" s="36">
        <v>42353</v>
      </c>
      <c r="B183" s="12">
        <v>2389902</v>
      </c>
      <c r="C183">
        <f t="shared" si="4"/>
        <v>12</v>
      </c>
      <c r="D183">
        <f t="shared" si="5"/>
        <v>2015</v>
      </c>
    </row>
    <row r="184" spans="1:4" x14ac:dyDescent="0.75">
      <c r="A184" s="36">
        <v>42384</v>
      </c>
      <c r="B184" s="12">
        <v>2880714</v>
      </c>
      <c r="C184">
        <f t="shared" si="4"/>
        <v>1</v>
      </c>
      <c r="D184">
        <f t="shared" si="5"/>
        <v>2016</v>
      </c>
    </row>
    <row r="185" spans="1:4" x14ac:dyDescent="0.75">
      <c r="A185" s="36">
        <v>42415</v>
      </c>
      <c r="B185" s="12">
        <v>2459545</v>
      </c>
      <c r="C185">
        <f t="shared" si="4"/>
        <v>2</v>
      </c>
      <c r="D185">
        <f t="shared" si="5"/>
        <v>2016</v>
      </c>
    </row>
    <row r="186" spans="1:4" x14ac:dyDescent="0.75">
      <c r="A186" s="36">
        <v>42444</v>
      </c>
      <c r="B186" s="12">
        <v>2164467</v>
      </c>
      <c r="C186">
        <f t="shared" si="4"/>
        <v>3</v>
      </c>
      <c r="D186">
        <f t="shared" si="5"/>
        <v>2016</v>
      </c>
    </row>
    <row r="187" spans="1:4" x14ac:dyDescent="0.75">
      <c r="A187" s="36">
        <v>42475</v>
      </c>
      <c r="B187" s="12">
        <v>1903501</v>
      </c>
      <c r="C187">
        <f t="shared" si="4"/>
        <v>4</v>
      </c>
      <c r="D187">
        <f t="shared" si="5"/>
        <v>2016</v>
      </c>
    </row>
    <row r="188" spans="1:4" x14ac:dyDescent="0.75">
      <c r="A188" s="36">
        <v>42505</v>
      </c>
      <c r="B188" s="12">
        <v>1785885</v>
      </c>
      <c r="C188">
        <f t="shared" si="4"/>
        <v>5</v>
      </c>
      <c r="D188">
        <f t="shared" si="5"/>
        <v>2016</v>
      </c>
    </row>
    <row r="189" spans="1:4" x14ac:dyDescent="0.75">
      <c r="A189" s="36">
        <v>42536</v>
      </c>
      <c r="B189" s="12">
        <v>1825125</v>
      </c>
      <c r="C189">
        <f t="shared" si="4"/>
        <v>6</v>
      </c>
      <c r="D189">
        <f t="shared" si="5"/>
        <v>2016</v>
      </c>
    </row>
    <row r="190" spans="1:4" x14ac:dyDescent="0.75">
      <c r="A190" s="36">
        <v>42566</v>
      </c>
      <c r="B190" s="12">
        <v>2001036</v>
      </c>
      <c r="C190">
        <f t="shared" si="4"/>
        <v>7</v>
      </c>
      <c r="D190">
        <f t="shared" si="5"/>
        <v>2016</v>
      </c>
    </row>
    <row r="191" spans="1:4" x14ac:dyDescent="0.75">
      <c r="A191" s="36">
        <v>42597</v>
      </c>
      <c r="B191" s="12">
        <v>2023229</v>
      </c>
      <c r="C191">
        <f t="shared" si="4"/>
        <v>8</v>
      </c>
      <c r="D191">
        <f t="shared" si="5"/>
        <v>2016</v>
      </c>
    </row>
    <row r="192" spans="1:4" x14ac:dyDescent="0.75">
      <c r="A192" s="36">
        <v>42628</v>
      </c>
      <c r="B192" s="12">
        <v>1774412</v>
      </c>
      <c r="C192">
        <f t="shared" si="4"/>
        <v>9</v>
      </c>
      <c r="D192">
        <f t="shared" si="5"/>
        <v>2016</v>
      </c>
    </row>
    <row r="193" spans="1:4" x14ac:dyDescent="0.75">
      <c r="A193" s="36">
        <v>42658</v>
      </c>
      <c r="B193" s="12">
        <v>1748897</v>
      </c>
      <c r="C193">
        <f t="shared" si="4"/>
        <v>10</v>
      </c>
      <c r="D193">
        <f t="shared" si="5"/>
        <v>2016</v>
      </c>
    </row>
    <row r="194" spans="1:4" x14ac:dyDescent="0.75">
      <c r="A194" s="36">
        <v>42689</v>
      </c>
      <c r="B194" s="12">
        <v>1979957</v>
      </c>
      <c r="C194">
        <f t="shared" si="4"/>
        <v>11</v>
      </c>
      <c r="D194">
        <f t="shared" si="5"/>
        <v>2016</v>
      </c>
    </row>
    <row r="195" spans="1:4" x14ac:dyDescent="0.75">
      <c r="A195" s="36">
        <v>42719</v>
      </c>
      <c r="B195" s="12">
        <v>2665391</v>
      </c>
      <c r="C195">
        <f t="shared" si="4"/>
        <v>12</v>
      </c>
      <c r="D195">
        <f t="shared" si="5"/>
        <v>2016</v>
      </c>
    </row>
    <row r="196" spans="1:4" x14ac:dyDescent="0.75">
      <c r="A196" s="36">
        <v>42750</v>
      </c>
      <c r="B196" s="12">
        <v>2708217</v>
      </c>
      <c r="C196">
        <f t="shared" si="4"/>
        <v>1</v>
      </c>
      <c r="D196">
        <f t="shared" si="5"/>
        <v>2017</v>
      </c>
    </row>
    <row r="197" spans="1:4" x14ac:dyDescent="0.75">
      <c r="A197" s="36">
        <v>42781</v>
      </c>
      <c r="B197" s="12">
        <v>2161185</v>
      </c>
      <c r="C197">
        <f t="shared" ref="C197:C260" si="6">MONTH(A197)</f>
        <v>2</v>
      </c>
      <c r="D197">
        <f t="shared" ref="D197:D260" si="7">YEAR(A197)</f>
        <v>2017</v>
      </c>
    </row>
    <row r="198" spans="1:4" x14ac:dyDescent="0.75">
      <c r="A198" s="36">
        <v>42809</v>
      </c>
      <c r="B198" s="12">
        <v>2324198</v>
      </c>
      <c r="C198">
        <f t="shared" si="6"/>
        <v>3</v>
      </c>
      <c r="D198">
        <f t="shared" si="7"/>
        <v>2017</v>
      </c>
    </row>
    <row r="199" spans="1:4" x14ac:dyDescent="0.75">
      <c r="A199" s="36">
        <v>42840</v>
      </c>
      <c r="B199" s="12">
        <v>1753578</v>
      </c>
      <c r="C199">
        <f t="shared" si="6"/>
        <v>4</v>
      </c>
      <c r="D199">
        <f t="shared" si="7"/>
        <v>2017</v>
      </c>
    </row>
    <row r="200" spans="1:4" x14ac:dyDescent="0.75">
      <c r="A200" s="36">
        <v>42870</v>
      </c>
      <c r="B200" s="12">
        <v>1710548</v>
      </c>
      <c r="C200">
        <f t="shared" si="6"/>
        <v>5</v>
      </c>
      <c r="D200">
        <f t="shared" si="7"/>
        <v>2017</v>
      </c>
    </row>
    <row r="201" spans="1:4" x14ac:dyDescent="0.75">
      <c r="A201" s="36">
        <v>42901</v>
      </c>
      <c r="B201" s="12">
        <v>1731387</v>
      </c>
      <c r="C201">
        <f t="shared" si="6"/>
        <v>6</v>
      </c>
      <c r="D201">
        <f t="shared" si="7"/>
        <v>2017</v>
      </c>
    </row>
    <row r="202" spans="1:4" x14ac:dyDescent="0.75">
      <c r="A202" s="36">
        <v>42931</v>
      </c>
      <c r="B202" s="12">
        <v>1950510</v>
      </c>
      <c r="C202">
        <f t="shared" si="6"/>
        <v>7</v>
      </c>
      <c r="D202">
        <f t="shared" si="7"/>
        <v>2017</v>
      </c>
    </row>
    <row r="203" spans="1:4" x14ac:dyDescent="0.75">
      <c r="A203" s="36">
        <v>42962</v>
      </c>
      <c r="B203" s="12">
        <v>1904112</v>
      </c>
      <c r="C203">
        <f t="shared" si="6"/>
        <v>8</v>
      </c>
      <c r="D203">
        <f t="shared" si="7"/>
        <v>2017</v>
      </c>
    </row>
    <row r="204" spans="1:4" x14ac:dyDescent="0.75">
      <c r="A204" s="36">
        <v>42993</v>
      </c>
      <c r="B204" s="12">
        <v>1737701</v>
      </c>
      <c r="C204">
        <f t="shared" si="6"/>
        <v>9</v>
      </c>
      <c r="D204">
        <f t="shared" si="7"/>
        <v>2017</v>
      </c>
    </row>
    <row r="205" spans="1:4" x14ac:dyDescent="0.75">
      <c r="A205" s="36">
        <v>43023</v>
      </c>
      <c r="B205" s="12">
        <v>1838965</v>
      </c>
      <c r="C205">
        <f t="shared" si="6"/>
        <v>10</v>
      </c>
      <c r="D205">
        <f t="shared" si="7"/>
        <v>2017</v>
      </c>
    </row>
    <row r="206" spans="1:4" x14ac:dyDescent="0.75">
      <c r="A206" s="36">
        <v>43054</v>
      </c>
      <c r="B206" s="12">
        <v>2155805</v>
      </c>
      <c r="C206">
        <f t="shared" si="6"/>
        <v>11</v>
      </c>
      <c r="D206">
        <f t="shared" si="7"/>
        <v>2017</v>
      </c>
    </row>
    <row r="207" spans="1:4" x14ac:dyDescent="0.75">
      <c r="A207" s="36">
        <v>43084</v>
      </c>
      <c r="B207" s="12">
        <v>2858509</v>
      </c>
      <c r="C207">
        <f t="shared" si="6"/>
        <v>12</v>
      </c>
      <c r="D207">
        <f t="shared" si="7"/>
        <v>2017</v>
      </c>
    </row>
    <row r="208" spans="1:4" x14ac:dyDescent="0.75">
      <c r="A208" s="36">
        <v>43115</v>
      </c>
      <c r="B208" s="12">
        <v>3107734</v>
      </c>
      <c r="C208">
        <f t="shared" si="6"/>
        <v>1</v>
      </c>
      <c r="D208">
        <f t="shared" si="7"/>
        <v>2018</v>
      </c>
    </row>
    <row r="209" spans="1:4" x14ac:dyDescent="0.75">
      <c r="A209" s="36">
        <v>43146</v>
      </c>
      <c r="B209" s="12">
        <v>2507085</v>
      </c>
      <c r="C209">
        <f t="shared" si="6"/>
        <v>2</v>
      </c>
      <c r="D209">
        <f t="shared" si="7"/>
        <v>2018</v>
      </c>
    </row>
    <row r="210" spans="1:4" x14ac:dyDescent="0.75">
      <c r="A210" s="36">
        <v>43174</v>
      </c>
      <c r="B210" s="12">
        <v>2576005</v>
      </c>
      <c r="C210">
        <f t="shared" si="6"/>
        <v>3</v>
      </c>
      <c r="D210">
        <f t="shared" si="7"/>
        <v>2018</v>
      </c>
    </row>
    <row r="211" spans="1:4" x14ac:dyDescent="0.75">
      <c r="A211" s="36">
        <v>43205</v>
      </c>
      <c r="B211" s="12">
        <v>2148089</v>
      </c>
      <c r="C211">
        <f t="shared" si="6"/>
        <v>4</v>
      </c>
      <c r="D211">
        <f t="shared" si="7"/>
        <v>2018</v>
      </c>
    </row>
    <row r="212" spans="1:4" x14ac:dyDescent="0.75">
      <c r="A212" s="36">
        <v>43235</v>
      </c>
      <c r="B212" s="12">
        <v>1855856</v>
      </c>
      <c r="C212">
        <f t="shared" si="6"/>
        <v>5</v>
      </c>
      <c r="D212">
        <f t="shared" si="7"/>
        <v>2018</v>
      </c>
    </row>
    <row r="213" spans="1:4" x14ac:dyDescent="0.75">
      <c r="A213" s="36">
        <v>43266</v>
      </c>
      <c r="B213" s="12">
        <v>1867447</v>
      </c>
      <c r="C213">
        <f t="shared" si="6"/>
        <v>6</v>
      </c>
      <c r="D213">
        <f t="shared" si="7"/>
        <v>2018</v>
      </c>
    </row>
    <row r="214" spans="1:4" x14ac:dyDescent="0.75">
      <c r="A214" s="36">
        <v>43296</v>
      </c>
      <c r="B214" s="12">
        <v>2139037</v>
      </c>
      <c r="C214">
        <f t="shared" si="6"/>
        <v>7</v>
      </c>
      <c r="D214">
        <f t="shared" si="7"/>
        <v>2018</v>
      </c>
    </row>
    <row r="215" spans="1:4" x14ac:dyDescent="0.75">
      <c r="A215" s="36">
        <v>43327</v>
      </c>
      <c r="B215" s="12">
        <v>2100482</v>
      </c>
      <c r="C215">
        <f t="shared" si="6"/>
        <v>8</v>
      </c>
      <c r="D215">
        <f t="shared" si="7"/>
        <v>2018</v>
      </c>
    </row>
    <row r="216" spans="1:4" x14ac:dyDescent="0.75">
      <c r="A216" s="36">
        <v>43358</v>
      </c>
      <c r="B216" s="12">
        <v>1949898</v>
      </c>
      <c r="C216">
        <f t="shared" si="6"/>
        <v>9</v>
      </c>
      <c r="D216">
        <f t="shared" si="7"/>
        <v>2018</v>
      </c>
    </row>
    <row r="217" spans="1:4" x14ac:dyDescent="0.75">
      <c r="A217" s="36">
        <v>43388</v>
      </c>
      <c r="B217" s="12">
        <v>2069201</v>
      </c>
      <c r="C217">
        <f t="shared" si="6"/>
        <v>10</v>
      </c>
      <c r="D217">
        <f t="shared" si="7"/>
        <v>2018</v>
      </c>
    </row>
    <row r="218" spans="1:4" x14ac:dyDescent="0.75">
      <c r="A218" s="36">
        <v>43419</v>
      </c>
      <c r="B218" s="12">
        <v>2488282</v>
      </c>
      <c r="C218">
        <f t="shared" si="6"/>
        <v>11</v>
      </c>
      <c r="D218">
        <f t="shared" si="7"/>
        <v>2018</v>
      </c>
    </row>
    <row r="219" spans="1:4" x14ac:dyDescent="0.75">
      <c r="A219" s="36">
        <v>43449</v>
      </c>
      <c r="B219" s="12">
        <v>2759042</v>
      </c>
      <c r="C219">
        <f t="shared" si="6"/>
        <v>12</v>
      </c>
      <c r="D219">
        <f t="shared" si="7"/>
        <v>2018</v>
      </c>
    </row>
    <row r="220" spans="1:4" x14ac:dyDescent="0.75">
      <c r="A220" s="36">
        <v>43480</v>
      </c>
      <c r="B220" s="12">
        <v>3161732</v>
      </c>
      <c r="C220">
        <f t="shared" si="6"/>
        <v>1</v>
      </c>
      <c r="D220">
        <f t="shared" si="7"/>
        <v>2019</v>
      </c>
    </row>
    <row r="221" spans="1:4" x14ac:dyDescent="0.75">
      <c r="A221" s="36">
        <v>43511</v>
      </c>
      <c r="B221" s="12">
        <v>2783640</v>
      </c>
      <c r="C221">
        <f t="shared" si="6"/>
        <v>2</v>
      </c>
      <c r="D221">
        <f t="shared" si="7"/>
        <v>2019</v>
      </c>
    </row>
    <row r="222" spans="1:4" x14ac:dyDescent="0.75">
      <c r="A222" s="36">
        <v>43539</v>
      </c>
      <c r="B222" s="12">
        <v>2680848</v>
      </c>
      <c r="C222">
        <f t="shared" si="6"/>
        <v>3</v>
      </c>
      <c r="D222">
        <f t="shared" si="7"/>
        <v>2019</v>
      </c>
    </row>
    <row r="223" spans="1:4" x14ac:dyDescent="0.75">
      <c r="A223" s="36">
        <v>43570</v>
      </c>
      <c r="B223" s="12">
        <v>1994279</v>
      </c>
      <c r="C223">
        <f t="shared" si="6"/>
        <v>4</v>
      </c>
      <c r="D223">
        <f t="shared" si="7"/>
        <v>2019</v>
      </c>
    </row>
    <row r="224" spans="1:4" x14ac:dyDescent="0.75">
      <c r="A224" s="36">
        <v>43600</v>
      </c>
      <c r="B224" s="12">
        <v>1912779</v>
      </c>
      <c r="C224">
        <f t="shared" si="6"/>
        <v>5</v>
      </c>
      <c r="D224">
        <f t="shared" si="7"/>
        <v>2019</v>
      </c>
    </row>
    <row r="225" spans="1:4" x14ac:dyDescent="0.75">
      <c r="A225" s="36">
        <v>43631</v>
      </c>
      <c r="B225" s="12">
        <v>1902995</v>
      </c>
      <c r="C225">
        <f t="shared" si="6"/>
        <v>6</v>
      </c>
      <c r="D225">
        <f t="shared" si="7"/>
        <v>2019</v>
      </c>
    </row>
    <row r="226" spans="1:4" x14ac:dyDescent="0.75">
      <c r="A226" s="36">
        <v>43661</v>
      </c>
      <c r="B226" s="12">
        <v>2162450</v>
      </c>
      <c r="C226">
        <f t="shared" si="6"/>
        <v>7</v>
      </c>
      <c r="D226">
        <f t="shared" si="7"/>
        <v>2019</v>
      </c>
    </row>
    <row r="227" spans="1:4" x14ac:dyDescent="0.75">
      <c r="A227" s="36">
        <v>43692</v>
      </c>
      <c r="B227" s="12">
        <v>2197474</v>
      </c>
      <c r="C227">
        <f t="shared" si="6"/>
        <v>8</v>
      </c>
      <c r="D227">
        <f t="shared" si="7"/>
        <v>2019</v>
      </c>
    </row>
    <row r="228" spans="1:4" x14ac:dyDescent="0.75">
      <c r="A228" s="36">
        <v>43723</v>
      </c>
      <c r="B228" s="12">
        <v>1982049</v>
      </c>
      <c r="C228">
        <f t="shared" si="6"/>
        <v>9</v>
      </c>
      <c r="D228">
        <f t="shared" si="7"/>
        <v>2019</v>
      </c>
    </row>
    <row r="229" spans="1:4" x14ac:dyDescent="0.75">
      <c r="A229" s="36">
        <v>43753</v>
      </c>
      <c r="B229" s="12">
        <v>2072599</v>
      </c>
      <c r="C229">
        <f t="shared" si="6"/>
        <v>10</v>
      </c>
      <c r="D229">
        <f t="shared" si="7"/>
        <v>2019</v>
      </c>
    </row>
    <row r="230" spans="1:4" x14ac:dyDescent="0.75">
      <c r="A230" s="36">
        <v>43784</v>
      </c>
      <c r="B230" s="12">
        <v>2535754</v>
      </c>
      <c r="C230">
        <f t="shared" si="6"/>
        <v>11</v>
      </c>
      <c r="D230">
        <f t="shared" si="7"/>
        <v>2019</v>
      </c>
    </row>
    <row r="231" spans="1:4" x14ac:dyDescent="0.75">
      <c r="A231" s="36">
        <v>43814</v>
      </c>
      <c r="B231" s="12">
        <v>2904407</v>
      </c>
      <c r="C231">
        <f t="shared" si="6"/>
        <v>12</v>
      </c>
      <c r="D231">
        <f t="shared" si="7"/>
        <v>2019</v>
      </c>
    </row>
    <row r="232" spans="1:4" x14ac:dyDescent="0.75">
      <c r="A232" s="36">
        <v>43845</v>
      </c>
      <c r="B232" s="12">
        <v>3048809</v>
      </c>
      <c r="C232">
        <f t="shared" si="6"/>
        <v>1</v>
      </c>
      <c r="D232">
        <f t="shared" si="7"/>
        <v>2020</v>
      </c>
    </row>
    <row r="233" spans="1:4" x14ac:dyDescent="0.75">
      <c r="A233" s="36">
        <v>43876</v>
      </c>
      <c r="B233" s="12">
        <v>2806170</v>
      </c>
      <c r="C233">
        <f t="shared" si="6"/>
        <v>2</v>
      </c>
      <c r="D233">
        <f t="shared" si="7"/>
        <v>2020</v>
      </c>
    </row>
    <row r="234" spans="1:4" x14ac:dyDescent="0.75">
      <c r="A234" s="36">
        <v>43905</v>
      </c>
      <c r="B234" s="12">
        <v>2471374</v>
      </c>
      <c r="C234">
        <f t="shared" si="6"/>
        <v>3</v>
      </c>
      <c r="D234">
        <f t="shared" si="7"/>
        <v>2020</v>
      </c>
    </row>
    <row r="235" spans="1:4" x14ac:dyDescent="0.75">
      <c r="A235" s="36">
        <v>43936</v>
      </c>
      <c r="B235" s="12">
        <v>2031617</v>
      </c>
      <c r="C235">
        <f t="shared" si="6"/>
        <v>4</v>
      </c>
      <c r="D235">
        <f t="shared" si="7"/>
        <v>2020</v>
      </c>
    </row>
    <row r="236" spans="1:4" x14ac:dyDescent="0.75">
      <c r="A236" s="36">
        <v>43966</v>
      </c>
      <c r="B236" s="12">
        <v>1857567</v>
      </c>
      <c r="C236">
        <f t="shared" si="6"/>
        <v>5</v>
      </c>
      <c r="D236">
        <f t="shared" si="7"/>
        <v>2020</v>
      </c>
    </row>
    <row r="237" spans="1:4" x14ac:dyDescent="0.75">
      <c r="A237" s="36">
        <v>43997</v>
      </c>
      <c r="B237" s="12">
        <v>1913948</v>
      </c>
      <c r="C237">
        <f t="shared" si="6"/>
        <v>6</v>
      </c>
      <c r="D237">
        <f t="shared" si="7"/>
        <v>2020</v>
      </c>
    </row>
    <row r="238" spans="1:4" x14ac:dyDescent="0.75">
      <c r="A238" s="36">
        <v>44027</v>
      </c>
      <c r="B238" s="12">
        <v>2231051</v>
      </c>
      <c r="C238">
        <f t="shared" si="6"/>
        <v>7</v>
      </c>
      <c r="D238">
        <f t="shared" si="7"/>
        <v>2020</v>
      </c>
    </row>
    <row r="239" spans="1:4" x14ac:dyDescent="0.75">
      <c r="A239" s="36">
        <v>44058</v>
      </c>
      <c r="B239" s="12">
        <v>2169256</v>
      </c>
      <c r="C239">
        <f t="shared" si="6"/>
        <v>8</v>
      </c>
      <c r="D239">
        <f t="shared" si="7"/>
        <v>2020</v>
      </c>
    </row>
    <row r="240" spans="1:4" x14ac:dyDescent="0.75">
      <c r="A240" s="36">
        <v>44089</v>
      </c>
      <c r="B240" s="12">
        <v>1934240</v>
      </c>
      <c r="C240">
        <f t="shared" si="6"/>
        <v>9</v>
      </c>
      <c r="D240">
        <f t="shared" si="7"/>
        <v>2020</v>
      </c>
    </row>
    <row r="241" spans="1:4" x14ac:dyDescent="0.75">
      <c r="A241" s="36">
        <v>44119</v>
      </c>
      <c r="B241" s="12">
        <v>2089532</v>
      </c>
      <c r="C241">
        <f t="shared" si="6"/>
        <v>10</v>
      </c>
      <c r="D241">
        <f t="shared" si="7"/>
        <v>2020</v>
      </c>
    </row>
    <row r="242" spans="1:4" x14ac:dyDescent="0.75">
      <c r="A242" s="36">
        <v>44150</v>
      </c>
      <c r="B242" s="12">
        <v>2211466</v>
      </c>
      <c r="C242">
        <f t="shared" si="6"/>
        <v>11</v>
      </c>
      <c r="D242">
        <f t="shared" si="7"/>
        <v>2020</v>
      </c>
    </row>
    <row r="243" spans="1:4" x14ac:dyDescent="0.75">
      <c r="A243" s="36">
        <v>44180</v>
      </c>
      <c r="B243" s="12">
        <v>2921052</v>
      </c>
      <c r="C243">
        <f t="shared" si="6"/>
        <v>12</v>
      </c>
      <c r="D243">
        <f t="shared" si="7"/>
        <v>2020</v>
      </c>
    </row>
    <row r="244" spans="1:4" x14ac:dyDescent="0.75">
      <c r="A244" s="36">
        <v>44211</v>
      </c>
      <c r="B244" s="12">
        <v>3060020</v>
      </c>
      <c r="C244">
        <f t="shared" si="6"/>
        <v>1</v>
      </c>
      <c r="D244">
        <f t="shared" si="7"/>
        <v>2021</v>
      </c>
    </row>
    <row r="245" spans="1:4" x14ac:dyDescent="0.75">
      <c r="A245" s="36">
        <v>44242</v>
      </c>
      <c r="B245" s="12">
        <v>2849867</v>
      </c>
      <c r="C245">
        <f t="shared" si="6"/>
        <v>2</v>
      </c>
      <c r="D245">
        <f t="shared" si="7"/>
        <v>2021</v>
      </c>
    </row>
    <row r="246" spans="1:4" x14ac:dyDescent="0.75">
      <c r="A246" s="36">
        <v>44270</v>
      </c>
      <c r="B246" s="12">
        <v>2391508</v>
      </c>
      <c r="C246">
        <f t="shared" si="6"/>
        <v>3</v>
      </c>
      <c r="D246">
        <f t="shared" si="7"/>
        <v>2021</v>
      </c>
    </row>
    <row r="247" spans="1:4" x14ac:dyDescent="0.75">
      <c r="A247" s="36">
        <v>44301</v>
      </c>
      <c r="B247" s="12">
        <v>2026030</v>
      </c>
      <c r="C247">
        <f t="shared" si="6"/>
        <v>4</v>
      </c>
      <c r="D247">
        <f t="shared" si="7"/>
        <v>2021</v>
      </c>
    </row>
    <row r="248" spans="1:4" x14ac:dyDescent="0.75">
      <c r="A248" s="36">
        <v>44331</v>
      </c>
      <c r="B248" s="12">
        <v>1879222</v>
      </c>
      <c r="C248">
        <f t="shared" si="6"/>
        <v>5</v>
      </c>
      <c r="D248">
        <f t="shared" si="7"/>
        <v>2021</v>
      </c>
    </row>
    <row r="249" spans="1:4" x14ac:dyDescent="0.75">
      <c r="A249" s="36">
        <v>44362</v>
      </c>
      <c r="B249" s="12">
        <v>2000940</v>
      </c>
      <c r="C249">
        <f t="shared" si="6"/>
        <v>6</v>
      </c>
      <c r="D249">
        <f t="shared" si="7"/>
        <v>2021</v>
      </c>
    </row>
    <row r="250" spans="1:4" x14ac:dyDescent="0.75">
      <c r="A250" s="36">
        <v>44392</v>
      </c>
      <c r="B250" s="12">
        <v>2161740</v>
      </c>
      <c r="C250">
        <f t="shared" si="6"/>
        <v>7</v>
      </c>
      <c r="D250">
        <f t="shared" si="7"/>
        <v>2021</v>
      </c>
    </row>
    <row r="251" spans="1:4" x14ac:dyDescent="0.75">
      <c r="A251" s="36">
        <v>44423</v>
      </c>
      <c r="B251" s="12">
        <v>2181818</v>
      </c>
      <c r="C251">
        <f t="shared" si="6"/>
        <v>8</v>
      </c>
      <c r="D251">
        <f t="shared" si="7"/>
        <v>2021</v>
      </c>
    </row>
    <row r="252" spans="1:4" x14ac:dyDescent="0.75">
      <c r="A252" s="36">
        <v>44454</v>
      </c>
      <c r="B252" s="12">
        <v>1907140</v>
      </c>
      <c r="C252">
        <f t="shared" si="6"/>
        <v>9</v>
      </c>
      <c r="D252">
        <f t="shared" si="7"/>
        <v>2021</v>
      </c>
    </row>
    <row r="253" spans="1:4" x14ac:dyDescent="0.75">
      <c r="A253" s="36">
        <v>44484</v>
      </c>
      <c r="B253" s="12">
        <v>2014942</v>
      </c>
      <c r="C253">
        <f t="shared" si="6"/>
        <v>10</v>
      </c>
      <c r="D253">
        <f t="shared" si="7"/>
        <v>2021</v>
      </c>
    </row>
    <row r="254" spans="1:4" x14ac:dyDescent="0.75">
      <c r="A254" s="36">
        <v>44515</v>
      </c>
      <c r="B254" s="12">
        <v>2432387</v>
      </c>
      <c r="C254">
        <f t="shared" si="6"/>
        <v>11</v>
      </c>
      <c r="D254">
        <f t="shared" si="7"/>
        <v>2021</v>
      </c>
    </row>
    <row r="255" spans="1:4" x14ac:dyDescent="0.75">
      <c r="A255" s="36">
        <v>44545</v>
      </c>
      <c r="B255" s="12">
        <v>2728530</v>
      </c>
      <c r="C255">
        <f t="shared" si="6"/>
        <v>12</v>
      </c>
      <c r="D255">
        <f t="shared" si="7"/>
        <v>2021</v>
      </c>
    </row>
    <row r="256" spans="1:4" x14ac:dyDescent="0.75">
      <c r="A256" s="36">
        <v>44576</v>
      </c>
      <c r="B256" s="12">
        <v>3296440</v>
      </c>
      <c r="C256">
        <f t="shared" si="6"/>
        <v>1</v>
      </c>
      <c r="D256">
        <f t="shared" si="7"/>
        <v>2022</v>
      </c>
    </row>
    <row r="257" spans="1:4" x14ac:dyDescent="0.75">
      <c r="A257" s="36">
        <v>44607</v>
      </c>
      <c r="B257" s="12">
        <v>2802179</v>
      </c>
      <c r="C257">
        <f t="shared" si="6"/>
        <v>2</v>
      </c>
      <c r="D257">
        <f t="shared" si="7"/>
        <v>2022</v>
      </c>
    </row>
    <row r="258" spans="1:4" x14ac:dyDescent="0.75">
      <c r="A258" s="36">
        <v>44635</v>
      </c>
      <c r="B258" s="12">
        <v>2514765</v>
      </c>
      <c r="C258">
        <f t="shared" si="6"/>
        <v>3</v>
      </c>
      <c r="D258">
        <f t="shared" si="7"/>
        <v>2022</v>
      </c>
    </row>
    <row r="259" spans="1:4" x14ac:dyDescent="0.75">
      <c r="A259" s="36">
        <v>44666</v>
      </c>
      <c r="B259" s="12">
        <v>2119726</v>
      </c>
      <c r="C259">
        <f t="shared" si="6"/>
        <v>4</v>
      </c>
      <c r="D259">
        <f t="shared" si="7"/>
        <v>2022</v>
      </c>
    </row>
    <row r="260" spans="1:4" x14ac:dyDescent="0.75">
      <c r="A260" s="36">
        <v>44696</v>
      </c>
      <c r="B260" s="12">
        <v>1991912</v>
      </c>
      <c r="C260">
        <f t="shared" si="6"/>
        <v>5</v>
      </c>
      <c r="D260">
        <f t="shared" si="7"/>
        <v>2022</v>
      </c>
    </row>
    <row r="261" spans="1:4" x14ac:dyDescent="0.75">
      <c r="A261" s="36">
        <v>44727</v>
      </c>
      <c r="B261" s="12">
        <v>2068843</v>
      </c>
      <c r="C261">
        <f t="shared" ref="C261:C269" si="8">MONTH(A261)</f>
        <v>6</v>
      </c>
      <c r="D261">
        <f t="shared" ref="D261:D269" si="9">YEAR(A261)</f>
        <v>2022</v>
      </c>
    </row>
    <row r="262" spans="1:4" x14ac:dyDescent="0.75">
      <c r="A262" s="36">
        <v>44757</v>
      </c>
      <c r="B262" s="12">
        <v>2318173</v>
      </c>
      <c r="C262">
        <f t="shared" si="8"/>
        <v>7</v>
      </c>
      <c r="D262">
        <f t="shared" si="9"/>
        <v>2022</v>
      </c>
    </row>
    <row r="263" spans="1:4" x14ac:dyDescent="0.75">
      <c r="A263" s="36">
        <v>44788</v>
      </c>
      <c r="B263" s="12">
        <v>2294629</v>
      </c>
      <c r="C263">
        <f t="shared" si="8"/>
        <v>8</v>
      </c>
      <c r="D263">
        <f t="shared" si="9"/>
        <v>2022</v>
      </c>
    </row>
    <row r="264" spans="1:4" x14ac:dyDescent="0.75">
      <c r="A264" s="36">
        <v>44819</v>
      </c>
      <c r="B264" s="12">
        <v>2037107</v>
      </c>
      <c r="C264">
        <f t="shared" si="8"/>
        <v>9</v>
      </c>
      <c r="D264">
        <f t="shared" si="9"/>
        <v>2022</v>
      </c>
    </row>
    <row r="265" spans="1:4" x14ac:dyDescent="0.75">
      <c r="A265" s="36">
        <v>44849</v>
      </c>
      <c r="B265" s="12">
        <v>2105956</v>
      </c>
      <c r="C265">
        <f t="shared" si="8"/>
        <v>10</v>
      </c>
      <c r="D265">
        <f t="shared" si="9"/>
        <v>2022</v>
      </c>
    </row>
    <row r="266" spans="1:4" x14ac:dyDescent="0.75">
      <c r="A266" s="36">
        <v>44880</v>
      </c>
      <c r="B266" s="12">
        <v>2502868</v>
      </c>
      <c r="C266">
        <f t="shared" si="8"/>
        <v>11</v>
      </c>
      <c r="D266">
        <f t="shared" si="9"/>
        <v>2022</v>
      </c>
    </row>
    <row r="267" spans="1:4" x14ac:dyDescent="0.75">
      <c r="A267" s="36">
        <v>44910</v>
      </c>
      <c r="B267" s="12">
        <v>3087829</v>
      </c>
      <c r="C267">
        <f t="shared" si="8"/>
        <v>12</v>
      </c>
      <c r="D267">
        <f t="shared" si="9"/>
        <v>2022</v>
      </c>
    </row>
    <row r="268" spans="1:4" x14ac:dyDescent="0.75">
      <c r="A268" s="36">
        <v>44941</v>
      </c>
      <c r="B268" s="12">
        <v>3015825</v>
      </c>
      <c r="C268">
        <f t="shared" si="8"/>
        <v>1</v>
      </c>
      <c r="D268">
        <f t="shared" si="9"/>
        <v>2023</v>
      </c>
    </row>
    <row r="269" spans="1:4" x14ac:dyDescent="0.75">
      <c r="A269" s="36">
        <v>44972</v>
      </c>
      <c r="B269" s="12">
        <v>2693317</v>
      </c>
      <c r="C269">
        <f t="shared" si="8"/>
        <v>2</v>
      </c>
      <c r="D269">
        <f t="shared" si="9"/>
        <v>2023</v>
      </c>
    </row>
  </sheetData>
  <hyperlinks>
    <hyperlink ref="A1" location="Contents!A1" display="Back to Contents" xr:uid="{910E612A-5336-4E1E-8D26-885A21C2BE2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C24D-DE7A-433D-95B2-38FD7BC3C997}">
  <dimension ref="A1:C29"/>
  <sheetViews>
    <sheetView workbookViewId="0"/>
  </sheetViews>
  <sheetFormatPr defaultColWidth="9.1328125" defaultRowHeight="13" x14ac:dyDescent="0.6"/>
  <cols>
    <col min="1" max="1" width="15.1328125" style="12" customWidth="1"/>
    <col min="2" max="2" width="19" style="12" customWidth="1"/>
    <col min="3" max="16384" width="9.1328125" style="12"/>
  </cols>
  <sheetData>
    <row r="1" spans="1:3" ht="15.5" x14ac:dyDescent="0.7">
      <c r="A1" s="16" t="s">
        <v>1410</v>
      </c>
      <c r="B1" s="15" t="s">
        <v>1484</v>
      </c>
    </row>
    <row r="2" spans="1:3" x14ac:dyDescent="0.6">
      <c r="A2" s="14" t="s">
        <v>1412</v>
      </c>
      <c r="B2" s="14" t="s">
        <v>1483</v>
      </c>
    </row>
    <row r="3" spans="1:3" ht="52.75" x14ac:dyDescent="0.75">
      <c r="A3" s="28" t="s">
        <v>1428</v>
      </c>
      <c r="B3" s="27" t="s">
        <v>1482</v>
      </c>
      <c r="C3"/>
    </row>
    <row r="4" spans="1:3" ht="14.75" x14ac:dyDescent="0.75">
      <c r="A4" s="13">
        <v>35611</v>
      </c>
      <c r="B4" s="12">
        <v>2.4900000000000002</v>
      </c>
      <c r="C4">
        <v>1997</v>
      </c>
    </row>
    <row r="5" spans="1:3" ht="14.75" x14ac:dyDescent="0.75">
      <c r="A5" s="13">
        <v>35976</v>
      </c>
      <c r="B5" s="12">
        <v>2.09</v>
      </c>
      <c r="C5">
        <v>1998</v>
      </c>
    </row>
    <row r="6" spans="1:3" ht="14.75" x14ac:dyDescent="0.75">
      <c r="A6" s="13">
        <v>36341</v>
      </c>
      <c r="B6" s="12">
        <v>2.27</v>
      </c>
      <c r="C6">
        <v>1999</v>
      </c>
    </row>
    <row r="7" spans="1:3" ht="14.75" x14ac:dyDescent="0.75">
      <c r="A7" s="13">
        <v>36707</v>
      </c>
      <c r="B7" s="12">
        <v>4.3099999999999996</v>
      </c>
      <c r="C7">
        <v>2000</v>
      </c>
    </row>
    <row r="8" spans="1:3" ht="14.75" x14ac:dyDescent="0.75">
      <c r="A8" s="13">
        <v>37072</v>
      </c>
      <c r="B8" s="12">
        <v>3.96</v>
      </c>
      <c r="C8">
        <v>2001</v>
      </c>
    </row>
    <row r="9" spans="1:3" ht="14.75" x14ac:dyDescent="0.75">
      <c r="A9" s="13">
        <v>37437</v>
      </c>
      <c r="B9" s="12">
        <v>3.38</v>
      </c>
      <c r="C9">
        <v>2002</v>
      </c>
    </row>
    <row r="10" spans="1:3" ht="14.75" x14ac:dyDescent="0.75">
      <c r="A10" s="13">
        <v>37802</v>
      </c>
      <c r="B10" s="12">
        <v>5.47</v>
      </c>
      <c r="C10">
        <v>2003</v>
      </c>
    </row>
    <row r="11" spans="1:3" ht="14.75" x14ac:dyDescent="0.75">
      <c r="A11" s="13">
        <v>38168</v>
      </c>
      <c r="B11" s="12">
        <v>5.89</v>
      </c>
      <c r="C11">
        <v>2004</v>
      </c>
    </row>
    <row r="12" spans="1:3" ht="14.75" x14ac:dyDescent="0.75">
      <c r="A12" s="13">
        <v>38533</v>
      </c>
      <c r="B12" s="12">
        <v>8.69</v>
      </c>
      <c r="C12">
        <v>2005</v>
      </c>
    </row>
    <row r="13" spans="1:3" ht="14.75" x14ac:dyDescent="0.75">
      <c r="A13" s="13">
        <v>38898</v>
      </c>
      <c r="B13" s="12">
        <v>6.73</v>
      </c>
      <c r="C13">
        <v>2006</v>
      </c>
    </row>
    <row r="14" spans="1:3" ht="14.75" x14ac:dyDescent="0.75">
      <c r="A14" s="13">
        <v>39263</v>
      </c>
      <c r="B14" s="12">
        <v>6.97</v>
      </c>
      <c r="C14">
        <v>2007</v>
      </c>
    </row>
    <row r="15" spans="1:3" ht="14.75" x14ac:dyDescent="0.75">
      <c r="A15" s="13">
        <v>39629</v>
      </c>
      <c r="B15" s="12">
        <v>8.86</v>
      </c>
      <c r="C15">
        <v>2008</v>
      </c>
    </row>
    <row r="16" spans="1:3" ht="14.75" x14ac:dyDescent="0.75">
      <c r="A16" s="13">
        <v>39994</v>
      </c>
      <c r="B16" s="12">
        <v>3.94</v>
      </c>
      <c r="C16">
        <v>2009</v>
      </c>
    </row>
    <row r="17" spans="1:3" ht="14.75" x14ac:dyDescent="0.75">
      <c r="A17" s="13">
        <v>40359</v>
      </c>
      <c r="B17" s="12">
        <v>4.37</v>
      </c>
      <c r="C17">
        <v>2010</v>
      </c>
    </row>
    <row r="18" spans="1:3" ht="14.75" x14ac:dyDescent="0.75">
      <c r="A18" s="13">
        <v>40724</v>
      </c>
      <c r="B18" s="12">
        <v>4</v>
      </c>
      <c r="C18">
        <v>2011</v>
      </c>
    </row>
    <row r="19" spans="1:3" ht="14.75" x14ac:dyDescent="0.75">
      <c r="A19" s="13">
        <v>41090</v>
      </c>
      <c r="B19" s="12">
        <v>2.75</v>
      </c>
      <c r="C19">
        <v>2012</v>
      </c>
    </row>
    <row r="20" spans="1:3" ht="14.75" x14ac:dyDescent="0.75">
      <c r="A20" s="13">
        <v>41455</v>
      </c>
      <c r="B20" s="12">
        <v>3.73</v>
      </c>
      <c r="C20">
        <v>2013</v>
      </c>
    </row>
    <row r="21" spans="1:3" ht="14.75" x14ac:dyDescent="0.75">
      <c r="A21" s="13">
        <v>41820</v>
      </c>
      <c r="B21" s="12">
        <v>4.37</v>
      </c>
      <c r="C21">
        <v>2014</v>
      </c>
    </row>
    <row r="22" spans="1:3" ht="14.75" x14ac:dyDescent="0.75">
      <c r="A22" s="13">
        <v>42185</v>
      </c>
      <c r="B22" s="12">
        <v>2.62</v>
      </c>
      <c r="C22">
        <v>2015</v>
      </c>
    </row>
    <row r="23" spans="1:3" ht="14.75" x14ac:dyDescent="0.75">
      <c r="A23" s="13">
        <v>42551</v>
      </c>
      <c r="B23" s="12">
        <v>2.52</v>
      </c>
      <c r="C23">
        <v>2016</v>
      </c>
    </row>
    <row r="24" spans="1:3" ht="14.75" x14ac:dyDescent="0.75">
      <c r="A24" s="13">
        <v>42916</v>
      </c>
      <c r="B24" s="12">
        <v>2.99</v>
      </c>
      <c r="C24">
        <v>2017</v>
      </c>
    </row>
    <row r="25" spans="1:3" ht="14.75" x14ac:dyDescent="0.75">
      <c r="A25" s="13">
        <v>43281</v>
      </c>
      <c r="B25" s="12">
        <v>3.15</v>
      </c>
      <c r="C25">
        <v>2018</v>
      </c>
    </row>
    <row r="26" spans="1:3" ht="14.75" x14ac:dyDescent="0.75">
      <c r="A26" s="13">
        <v>43646</v>
      </c>
      <c r="B26" s="12">
        <v>2.56</v>
      </c>
      <c r="C26">
        <v>2019</v>
      </c>
    </row>
    <row r="27" spans="1:3" ht="14.75" x14ac:dyDescent="0.75">
      <c r="A27" s="13">
        <v>44012</v>
      </c>
      <c r="B27" s="12">
        <v>2.0299999999999998</v>
      </c>
      <c r="C27">
        <v>2020</v>
      </c>
    </row>
    <row r="28" spans="1:3" ht="14.75" x14ac:dyDescent="0.75">
      <c r="A28" s="13">
        <v>44377</v>
      </c>
      <c r="B28" s="12">
        <v>3.89</v>
      </c>
      <c r="C28">
        <v>2021</v>
      </c>
    </row>
    <row r="29" spans="1:3" ht="14.75" x14ac:dyDescent="0.75">
      <c r="A29" s="13">
        <v>44742</v>
      </c>
      <c r="B29" s="12">
        <v>6.45</v>
      </c>
      <c r="C29">
        <v>2022</v>
      </c>
    </row>
  </sheetData>
  <hyperlinks>
    <hyperlink ref="A1" location="Contents!A1" display="Back to Contents" xr:uid="{D7D623A2-DE67-4CC4-8C0F-BBB178832206}"/>
  </hyperlink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E644-2B92-47DA-988A-0A3DC1E4B0CE}">
  <dimension ref="A1:V104"/>
  <sheetViews>
    <sheetView workbookViewId="0"/>
  </sheetViews>
  <sheetFormatPr defaultColWidth="9.1328125" defaultRowHeight="14.75" x14ac:dyDescent="0.75"/>
  <cols>
    <col min="1" max="1" width="15.1328125" customWidth="1"/>
    <col min="2" max="19" width="19" customWidth="1"/>
    <col min="257" max="257" width="15.1328125" customWidth="1"/>
    <col min="258" max="275" width="19" customWidth="1"/>
    <col min="513" max="513" width="15.1328125" customWidth="1"/>
    <col min="514" max="531" width="19" customWidth="1"/>
    <col min="769" max="769" width="15.1328125" customWidth="1"/>
    <col min="770" max="787" width="19" customWidth="1"/>
    <col min="1025" max="1025" width="15.1328125" customWidth="1"/>
    <col min="1026" max="1043" width="19" customWidth="1"/>
    <col min="1281" max="1281" width="15.1328125" customWidth="1"/>
    <col min="1282" max="1299" width="19" customWidth="1"/>
    <col min="1537" max="1537" width="15.1328125" customWidth="1"/>
    <col min="1538" max="1555" width="19" customWidth="1"/>
    <col min="1793" max="1793" width="15.1328125" customWidth="1"/>
    <col min="1794" max="1811" width="19" customWidth="1"/>
    <col min="2049" max="2049" width="15.1328125" customWidth="1"/>
    <col min="2050" max="2067" width="19" customWidth="1"/>
    <col min="2305" max="2305" width="15.1328125" customWidth="1"/>
    <col min="2306" max="2323" width="19" customWidth="1"/>
    <col min="2561" max="2561" width="15.1328125" customWidth="1"/>
    <col min="2562" max="2579" width="19" customWidth="1"/>
    <col min="2817" max="2817" width="15.1328125" customWidth="1"/>
    <col min="2818" max="2835" width="19" customWidth="1"/>
    <col min="3073" max="3073" width="15.1328125" customWidth="1"/>
    <col min="3074" max="3091" width="19" customWidth="1"/>
    <col min="3329" max="3329" width="15.1328125" customWidth="1"/>
    <col min="3330" max="3347" width="19" customWidth="1"/>
    <col min="3585" max="3585" width="15.1328125" customWidth="1"/>
    <col min="3586" max="3603" width="19" customWidth="1"/>
    <col min="3841" max="3841" width="15.1328125" customWidth="1"/>
    <col min="3842" max="3859" width="19" customWidth="1"/>
    <col min="4097" max="4097" width="15.1328125" customWidth="1"/>
    <col min="4098" max="4115" width="19" customWidth="1"/>
    <col min="4353" max="4353" width="15.1328125" customWidth="1"/>
    <col min="4354" max="4371" width="19" customWidth="1"/>
    <col min="4609" max="4609" width="15.1328125" customWidth="1"/>
    <col min="4610" max="4627" width="19" customWidth="1"/>
    <col min="4865" max="4865" width="15.1328125" customWidth="1"/>
    <col min="4866" max="4883" width="19" customWidth="1"/>
    <col min="5121" max="5121" width="15.1328125" customWidth="1"/>
    <col min="5122" max="5139" width="19" customWidth="1"/>
    <col min="5377" max="5377" width="15.1328125" customWidth="1"/>
    <col min="5378" max="5395" width="19" customWidth="1"/>
    <col min="5633" max="5633" width="15.1328125" customWidth="1"/>
    <col min="5634" max="5651" width="19" customWidth="1"/>
    <col min="5889" max="5889" width="15.1328125" customWidth="1"/>
    <col min="5890" max="5907" width="19" customWidth="1"/>
    <col min="6145" max="6145" width="15.1328125" customWidth="1"/>
    <col min="6146" max="6163" width="19" customWidth="1"/>
    <col min="6401" max="6401" width="15.1328125" customWidth="1"/>
    <col min="6402" max="6419" width="19" customWidth="1"/>
    <col min="6657" max="6657" width="15.1328125" customWidth="1"/>
    <col min="6658" max="6675" width="19" customWidth="1"/>
    <col min="6913" max="6913" width="15.1328125" customWidth="1"/>
    <col min="6914" max="6931" width="19" customWidth="1"/>
    <col min="7169" max="7169" width="15.1328125" customWidth="1"/>
    <col min="7170" max="7187" width="19" customWidth="1"/>
    <col min="7425" max="7425" width="15.1328125" customWidth="1"/>
    <col min="7426" max="7443" width="19" customWidth="1"/>
    <col min="7681" max="7681" width="15.1328125" customWidth="1"/>
    <col min="7682" max="7699" width="19" customWidth="1"/>
    <col min="7937" max="7937" width="15.1328125" customWidth="1"/>
    <col min="7938" max="7955" width="19" customWidth="1"/>
    <col min="8193" max="8193" width="15.1328125" customWidth="1"/>
    <col min="8194" max="8211" width="19" customWidth="1"/>
    <col min="8449" max="8449" width="15.1328125" customWidth="1"/>
    <col min="8450" max="8467" width="19" customWidth="1"/>
    <col min="8705" max="8705" width="15.1328125" customWidth="1"/>
    <col min="8706" max="8723" width="19" customWidth="1"/>
    <col min="8961" max="8961" width="15.1328125" customWidth="1"/>
    <col min="8962" max="8979" width="19" customWidth="1"/>
    <col min="9217" max="9217" width="15.1328125" customWidth="1"/>
    <col min="9218" max="9235" width="19" customWidth="1"/>
    <col min="9473" max="9473" width="15.1328125" customWidth="1"/>
    <col min="9474" max="9491" width="19" customWidth="1"/>
    <col min="9729" max="9729" width="15.1328125" customWidth="1"/>
    <col min="9730" max="9747" width="19" customWidth="1"/>
    <col min="9985" max="9985" width="15.1328125" customWidth="1"/>
    <col min="9986" max="10003" width="19" customWidth="1"/>
    <col min="10241" max="10241" width="15.1328125" customWidth="1"/>
    <col min="10242" max="10259" width="19" customWidth="1"/>
    <col min="10497" max="10497" width="15.1328125" customWidth="1"/>
    <col min="10498" max="10515" width="19" customWidth="1"/>
    <col min="10753" max="10753" width="15.1328125" customWidth="1"/>
    <col min="10754" max="10771" width="19" customWidth="1"/>
    <col min="11009" max="11009" width="15.1328125" customWidth="1"/>
    <col min="11010" max="11027" width="19" customWidth="1"/>
    <col min="11265" max="11265" width="15.1328125" customWidth="1"/>
    <col min="11266" max="11283" width="19" customWidth="1"/>
    <col min="11521" max="11521" width="15.1328125" customWidth="1"/>
    <col min="11522" max="11539" width="19" customWidth="1"/>
    <col min="11777" max="11777" width="15.1328125" customWidth="1"/>
    <col min="11778" max="11795" width="19" customWidth="1"/>
    <col min="12033" max="12033" width="15.1328125" customWidth="1"/>
    <col min="12034" max="12051" width="19" customWidth="1"/>
    <col min="12289" max="12289" width="15.1328125" customWidth="1"/>
    <col min="12290" max="12307" width="19" customWidth="1"/>
    <col min="12545" max="12545" width="15.1328125" customWidth="1"/>
    <col min="12546" max="12563" width="19" customWidth="1"/>
    <col min="12801" max="12801" width="15.1328125" customWidth="1"/>
    <col min="12802" max="12819" width="19" customWidth="1"/>
    <col min="13057" max="13057" width="15.1328125" customWidth="1"/>
    <col min="13058" max="13075" width="19" customWidth="1"/>
    <col min="13313" max="13313" width="15.1328125" customWidth="1"/>
    <col min="13314" max="13331" width="19" customWidth="1"/>
    <col min="13569" max="13569" width="15.1328125" customWidth="1"/>
    <col min="13570" max="13587" width="19" customWidth="1"/>
    <col min="13825" max="13825" width="15.1328125" customWidth="1"/>
    <col min="13826" max="13843" width="19" customWidth="1"/>
    <col min="14081" max="14081" width="15.1328125" customWidth="1"/>
    <col min="14082" max="14099" width="19" customWidth="1"/>
    <col min="14337" max="14337" width="15.1328125" customWidth="1"/>
    <col min="14338" max="14355" width="19" customWidth="1"/>
    <col min="14593" max="14593" width="15.1328125" customWidth="1"/>
    <col min="14594" max="14611" width="19" customWidth="1"/>
    <col min="14849" max="14849" width="15.1328125" customWidth="1"/>
    <col min="14850" max="14867" width="19" customWidth="1"/>
    <col min="15105" max="15105" width="15.1328125" customWidth="1"/>
    <col min="15106" max="15123" width="19" customWidth="1"/>
    <col min="15361" max="15361" width="15.1328125" customWidth="1"/>
    <col min="15362" max="15379" width="19" customWidth="1"/>
    <col min="15617" max="15617" width="15.1328125" customWidth="1"/>
    <col min="15618" max="15635" width="19" customWidth="1"/>
    <col min="15873" max="15873" width="15.1328125" customWidth="1"/>
    <col min="15874" max="15891" width="19" customWidth="1"/>
    <col min="16129" max="16129" width="15.1328125" customWidth="1"/>
    <col min="16130" max="16147" width="19" customWidth="1"/>
  </cols>
  <sheetData>
    <row r="1" spans="1:22" ht="15.75" x14ac:dyDescent="0.75">
      <c r="A1" s="32" t="s">
        <v>1410</v>
      </c>
      <c r="B1" s="31" t="s">
        <v>1411</v>
      </c>
      <c r="U1" t="s">
        <v>1499</v>
      </c>
    </row>
    <row r="2" spans="1:22" x14ac:dyDescent="0.75">
      <c r="A2" s="30" t="s">
        <v>1412</v>
      </c>
      <c r="B2" s="29" t="s">
        <v>1413</v>
      </c>
      <c r="C2" s="29" t="s">
        <v>1414</v>
      </c>
      <c r="D2" s="29" t="s">
        <v>1415</v>
      </c>
      <c r="E2" s="29" t="s">
        <v>1416</v>
      </c>
      <c r="F2" s="29" t="s">
        <v>1417</v>
      </c>
      <c r="G2" s="29" t="s">
        <v>1418</v>
      </c>
      <c r="H2" s="29" t="s">
        <v>1419</v>
      </c>
      <c r="I2" s="29" t="s">
        <v>1503</v>
      </c>
      <c r="J2" s="29" t="s">
        <v>1420</v>
      </c>
      <c r="K2" s="29" t="s">
        <v>1421</v>
      </c>
      <c r="L2" s="29" t="s">
        <v>1422</v>
      </c>
      <c r="M2" s="29" t="s">
        <v>1423</v>
      </c>
      <c r="N2" s="29" t="s">
        <v>1424</v>
      </c>
      <c r="O2" s="29" t="s">
        <v>1425</v>
      </c>
      <c r="P2" s="29" t="s">
        <v>1426</v>
      </c>
      <c r="Q2" s="29" t="s">
        <v>1502</v>
      </c>
      <c r="R2" s="29" t="s">
        <v>1427</v>
      </c>
      <c r="S2" s="29"/>
      <c r="U2" t="s">
        <v>1468</v>
      </c>
      <c r="V2" t="s">
        <v>1498</v>
      </c>
    </row>
    <row r="3" spans="1:22" ht="78.75" x14ac:dyDescent="0.75">
      <c r="A3" s="28" t="s">
        <v>1428</v>
      </c>
      <c r="B3" s="27" t="s">
        <v>1429</v>
      </c>
      <c r="C3" s="27" t="s">
        <v>1430</v>
      </c>
      <c r="D3" s="27" t="s">
        <v>1431</v>
      </c>
      <c r="E3" s="27" t="s">
        <v>1432</v>
      </c>
      <c r="F3" s="27" t="s">
        <v>1433</v>
      </c>
      <c r="G3" s="27" t="s">
        <v>1434</v>
      </c>
      <c r="H3" s="27" t="s">
        <v>1435</v>
      </c>
      <c r="I3" s="27" t="s">
        <v>1501</v>
      </c>
      <c r="J3" s="27" t="s">
        <v>1436</v>
      </c>
      <c r="K3" s="27" t="s">
        <v>1437</v>
      </c>
      <c r="L3" s="27" t="s">
        <v>1438</v>
      </c>
      <c r="M3" s="27" t="s">
        <v>1439</v>
      </c>
      <c r="N3" s="27" t="s">
        <v>1440</v>
      </c>
      <c r="O3" s="27" t="s">
        <v>1441</v>
      </c>
      <c r="P3" s="27" t="s">
        <v>1442</v>
      </c>
      <c r="Q3" s="27" t="s">
        <v>1500</v>
      </c>
      <c r="R3" s="27" t="s">
        <v>1443</v>
      </c>
      <c r="S3" s="27" t="s">
        <v>30</v>
      </c>
      <c r="U3" s="22" t="s">
        <v>1497</v>
      </c>
      <c r="V3" s="22" t="s">
        <v>1497</v>
      </c>
    </row>
    <row r="4" spans="1:22" hidden="1" x14ac:dyDescent="0.75">
      <c r="A4" s="13">
        <v>8217</v>
      </c>
      <c r="B4" s="12">
        <v>0.11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>
        <f t="shared" ref="S4:S35" si="0">YEAR(A4)</f>
        <v>1922</v>
      </c>
    </row>
    <row r="5" spans="1:22" hidden="1" x14ac:dyDescent="0.75">
      <c r="A5" s="13">
        <v>8582</v>
      </c>
      <c r="B5" s="12">
        <v>0.1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>
        <f t="shared" si="0"/>
        <v>1923</v>
      </c>
    </row>
    <row r="6" spans="1:22" hidden="1" x14ac:dyDescent="0.75">
      <c r="A6" s="13">
        <v>8948</v>
      </c>
      <c r="B6" s="12">
        <v>0.09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>
        <f t="shared" si="0"/>
        <v>1924</v>
      </c>
    </row>
    <row r="7" spans="1:22" hidden="1" x14ac:dyDescent="0.75">
      <c r="A7" s="13">
        <v>9313</v>
      </c>
      <c r="B7" s="12">
        <v>0.09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>
        <f t="shared" si="0"/>
        <v>1925</v>
      </c>
    </row>
    <row r="8" spans="1:22" hidden="1" x14ac:dyDescent="0.75">
      <c r="A8" s="13">
        <v>9678</v>
      </c>
      <c r="B8" s="12">
        <v>0.1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>
        <f t="shared" si="0"/>
        <v>1926</v>
      </c>
    </row>
    <row r="9" spans="1:22" hidden="1" x14ac:dyDescent="0.75">
      <c r="A9" s="13">
        <v>10043</v>
      </c>
      <c r="B9" s="12">
        <v>0.09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>
        <f t="shared" si="0"/>
        <v>1927</v>
      </c>
    </row>
    <row r="10" spans="1:22" hidden="1" x14ac:dyDescent="0.75">
      <c r="A10" s="13">
        <v>10409</v>
      </c>
      <c r="B10" s="12">
        <v>0.09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>
        <f t="shared" si="0"/>
        <v>1928</v>
      </c>
    </row>
    <row r="11" spans="1:22" hidden="1" x14ac:dyDescent="0.75">
      <c r="A11" s="13">
        <v>10774</v>
      </c>
      <c r="B11" s="12">
        <v>0.08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>
        <f t="shared" si="0"/>
        <v>1929</v>
      </c>
    </row>
    <row r="12" spans="1:22" hidden="1" x14ac:dyDescent="0.75">
      <c r="A12" s="13">
        <v>11139</v>
      </c>
      <c r="B12" s="12">
        <v>0.08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>
        <f t="shared" si="0"/>
        <v>1930</v>
      </c>
    </row>
    <row r="13" spans="1:22" hidden="1" x14ac:dyDescent="0.75">
      <c r="A13" s="13">
        <v>11504</v>
      </c>
      <c r="B13" s="12">
        <v>7.0000000000000007E-2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>
        <f t="shared" si="0"/>
        <v>1931</v>
      </c>
    </row>
    <row r="14" spans="1:22" hidden="1" x14ac:dyDescent="0.75">
      <c r="A14" s="13">
        <v>11870</v>
      </c>
      <c r="B14" s="12">
        <v>0.06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>
        <f t="shared" si="0"/>
        <v>1932</v>
      </c>
    </row>
    <row r="15" spans="1:22" hidden="1" x14ac:dyDescent="0.75">
      <c r="A15" s="13">
        <v>12235</v>
      </c>
      <c r="B15" s="12">
        <v>0.06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>
        <f t="shared" si="0"/>
        <v>1933</v>
      </c>
    </row>
    <row r="16" spans="1:22" hidden="1" x14ac:dyDescent="0.75">
      <c r="A16" s="13">
        <v>12600</v>
      </c>
      <c r="B16" s="12">
        <v>0.06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>
        <f t="shared" si="0"/>
        <v>1934</v>
      </c>
    </row>
    <row r="17" spans="1:19" hidden="1" x14ac:dyDescent="0.75">
      <c r="A17" s="13">
        <v>12965</v>
      </c>
      <c r="B17" s="12">
        <v>0.06</v>
      </c>
      <c r="S17">
        <f t="shared" si="0"/>
        <v>1935</v>
      </c>
    </row>
    <row r="18" spans="1:19" hidden="1" x14ac:dyDescent="0.75">
      <c r="A18" s="13">
        <v>13331</v>
      </c>
      <c r="B18" s="12">
        <v>0.06</v>
      </c>
      <c r="S18">
        <f t="shared" si="0"/>
        <v>1936</v>
      </c>
    </row>
    <row r="19" spans="1:19" hidden="1" x14ac:dyDescent="0.75">
      <c r="A19" s="13">
        <v>13696</v>
      </c>
      <c r="B19" s="12">
        <v>0.05</v>
      </c>
      <c r="S19">
        <f t="shared" si="0"/>
        <v>1937</v>
      </c>
    </row>
    <row r="20" spans="1:19" hidden="1" x14ac:dyDescent="0.75">
      <c r="A20" s="13">
        <v>14061</v>
      </c>
      <c r="B20" s="12">
        <v>0.05</v>
      </c>
      <c r="S20">
        <f t="shared" si="0"/>
        <v>1938</v>
      </c>
    </row>
    <row r="21" spans="1:19" hidden="1" x14ac:dyDescent="0.75">
      <c r="A21" s="13">
        <v>14426</v>
      </c>
      <c r="B21" s="12">
        <v>0.05</v>
      </c>
      <c r="S21">
        <f t="shared" si="0"/>
        <v>1939</v>
      </c>
    </row>
    <row r="22" spans="1:19" hidden="1" x14ac:dyDescent="0.75">
      <c r="A22" s="13">
        <v>14792</v>
      </c>
      <c r="B22" s="12">
        <v>0.05</v>
      </c>
      <c r="S22">
        <f t="shared" si="0"/>
        <v>1940</v>
      </c>
    </row>
    <row r="23" spans="1:19" hidden="1" x14ac:dyDescent="0.75">
      <c r="A23" s="13">
        <v>15157</v>
      </c>
      <c r="B23" s="12">
        <v>0.05</v>
      </c>
      <c r="S23">
        <f t="shared" si="0"/>
        <v>1941</v>
      </c>
    </row>
    <row r="24" spans="1:19" hidden="1" x14ac:dyDescent="0.75">
      <c r="A24" s="13">
        <v>15522</v>
      </c>
      <c r="B24" s="12">
        <v>0.05</v>
      </c>
      <c r="S24">
        <f t="shared" si="0"/>
        <v>1942</v>
      </c>
    </row>
    <row r="25" spans="1:19" hidden="1" x14ac:dyDescent="0.75">
      <c r="A25" s="13">
        <v>15887</v>
      </c>
      <c r="B25" s="12">
        <v>0.05</v>
      </c>
      <c r="S25">
        <f t="shared" si="0"/>
        <v>1943</v>
      </c>
    </row>
    <row r="26" spans="1:19" hidden="1" x14ac:dyDescent="0.75">
      <c r="A26" s="13">
        <v>16253</v>
      </c>
      <c r="B26" s="12">
        <v>0.05</v>
      </c>
      <c r="S26">
        <f t="shared" si="0"/>
        <v>1944</v>
      </c>
    </row>
    <row r="27" spans="1:19" hidden="1" x14ac:dyDescent="0.75">
      <c r="A27" s="13">
        <v>16618</v>
      </c>
      <c r="B27" s="12">
        <v>0.05</v>
      </c>
      <c r="S27">
        <f t="shared" si="0"/>
        <v>1945</v>
      </c>
    </row>
    <row r="28" spans="1:19" hidden="1" x14ac:dyDescent="0.75">
      <c r="A28" s="13">
        <v>16983</v>
      </c>
      <c r="B28" s="12">
        <v>0.05</v>
      </c>
      <c r="S28">
        <f t="shared" si="0"/>
        <v>1946</v>
      </c>
    </row>
    <row r="29" spans="1:19" hidden="1" x14ac:dyDescent="0.75">
      <c r="A29" s="13">
        <v>17348</v>
      </c>
      <c r="B29" s="12">
        <v>0.06</v>
      </c>
      <c r="S29">
        <f t="shared" si="0"/>
        <v>1947</v>
      </c>
    </row>
    <row r="30" spans="1:19" hidden="1" x14ac:dyDescent="0.75">
      <c r="A30" s="13">
        <v>17714</v>
      </c>
      <c r="B30" s="12">
        <v>7.0000000000000007E-2</v>
      </c>
      <c r="S30">
        <f t="shared" si="0"/>
        <v>1948</v>
      </c>
    </row>
    <row r="31" spans="1:19" hidden="1" x14ac:dyDescent="0.75">
      <c r="A31" s="13">
        <v>18079</v>
      </c>
      <c r="B31" s="12">
        <v>0.06</v>
      </c>
      <c r="S31">
        <f t="shared" si="0"/>
        <v>1949</v>
      </c>
    </row>
    <row r="32" spans="1:19" hidden="1" x14ac:dyDescent="0.75">
      <c r="A32" s="13">
        <v>18444</v>
      </c>
      <c r="B32" s="12">
        <v>7.0000000000000007E-2</v>
      </c>
      <c r="S32">
        <f t="shared" si="0"/>
        <v>1950</v>
      </c>
    </row>
    <row r="33" spans="1:19" hidden="1" x14ac:dyDescent="0.75">
      <c r="A33" s="13">
        <v>18809</v>
      </c>
      <c r="B33" s="12">
        <v>7.0000000000000007E-2</v>
      </c>
      <c r="S33">
        <f t="shared" si="0"/>
        <v>1951</v>
      </c>
    </row>
    <row r="34" spans="1:19" hidden="1" x14ac:dyDescent="0.75">
      <c r="A34" s="13">
        <v>19175</v>
      </c>
      <c r="B34" s="12">
        <v>0.08</v>
      </c>
      <c r="S34">
        <f t="shared" si="0"/>
        <v>1952</v>
      </c>
    </row>
    <row r="35" spans="1:19" hidden="1" x14ac:dyDescent="0.75">
      <c r="A35" s="13">
        <v>19540</v>
      </c>
      <c r="B35" s="12">
        <v>0.09</v>
      </c>
      <c r="S35">
        <f t="shared" si="0"/>
        <v>1953</v>
      </c>
    </row>
    <row r="36" spans="1:19" hidden="1" x14ac:dyDescent="0.75">
      <c r="A36" s="13">
        <v>19905</v>
      </c>
      <c r="B36" s="12">
        <v>0.1</v>
      </c>
      <c r="S36">
        <f t="shared" ref="S36:S67" si="1">YEAR(A36)</f>
        <v>1954</v>
      </c>
    </row>
    <row r="37" spans="1:19" hidden="1" x14ac:dyDescent="0.75">
      <c r="A37" s="13">
        <v>20270</v>
      </c>
      <c r="B37" s="12">
        <v>0.1</v>
      </c>
      <c r="S37">
        <f t="shared" si="1"/>
        <v>1955</v>
      </c>
    </row>
    <row r="38" spans="1:19" hidden="1" x14ac:dyDescent="0.75">
      <c r="A38" s="13">
        <v>20636</v>
      </c>
      <c r="B38" s="12">
        <v>0.11</v>
      </c>
      <c r="S38">
        <f t="shared" si="1"/>
        <v>1956</v>
      </c>
    </row>
    <row r="39" spans="1:19" hidden="1" x14ac:dyDescent="0.75">
      <c r="A39" s="13">
        <v>21001</v>
      </c>
      <c r="B39" s="12">
        <v>0.11</v>
      </c>
      <c r="S39">
        <f t="shared" si="1"/>
        <v>1957</v>
      </c>
    </row>
    <row r="40" spans="1:19" hidden="1" x14ac:dyDescent="0.75">
      <c r="A40" s="13">
        <v>21366</v>
      </c>
      <c r="B40" s="12">
        <v>0.12</v>
      </c>
      <c r="S40">
        <f t="shared" si="1"/>
        <v>1958</v>
      </c>
    </row>
    <row r="41" spans="1:19" hidden="1" x14ac:dyDescent="0.75">
      <c r="A41" s="13">
        <v>21731</v>
      </c>
      <c r="B41" s="12">
        <v>0.13</v>
      </c>
      <c r="S41">
        <f t="shared" si="1"/>
        <v>1959</v>
      </c>
    </row>
    <row r="42" spans="1:19" hidden="1" x14ac:dyDescent="0.75">
      <c r="A42" s="13">
        <v>22097</v>
      </c>
      <c r="B42" s="12">
        <v>0.14000000000000001</v>
      </c>
      <c r="S42">
        <f t="shared" si="1"/>
        <v>1960</v>
      </c>
    </row>
    <row r="43" spans="1:19" hidden="1" x14ac:dyDescent="0.75">
      <c r="A43" s="13">
        <v>22462</v>
      </c>
      <c r="B43" s="12">
        <v>0.15</v>
      </c>
      <c r="S43">
        <f t="shared" si="1"/>
        <v>1961</v>
      </c>
    </row>
    <row r="44" spans="1:19" hidden="1" x14ac:dyDescent="0.75">
      <c r="A44" s="13">
        <v>22827</v>
      </c>
      <c r="B44" s="12">
        <v>0.16</v>
      </c>
      <c r="S44">
        <f t="shared" si="1"/>
        <v>1962</v>
      </c>
    </row>
    <row r="45" spans="1:19" hidden="1" x14ac:dyDescent="0.75">
      <c r="A45" s="13">
        <v>23192</v>
      </c>
      <c r="B45" s="12">
        <v>0.16</v>
      </c>
      <c r="S45">
        <f t="shared" si="1"/>
        <v>1963</v>
      </c>
    </row>
    <row r="46" spans="1:19" hidden="1" x14ac:dyDescent="0.75">
      <c r="A46" s="13">
        <v>23558</v>
      </c>
      <c r="B46" s="12">
        <v>0.15</v>
      </c>
      <c r="S46">
        <f t="shared" si="1"/>
        <v>1964</v>
      </c>
    </row>
    <row r="47" spans="1:19" hidden="1" x14ac:dyDescent="0.75">
      <c r="A47" s="13">
        <v>23923</v>
      </c>
      <c r="B47" s="12">
        <v>0.16</v>
      </c>
      <c r="S47">
        <f t="shared" si="1"/>
        <v>1965</v>
      </c>
    </row>
    <row r="48" spans="1:19" hidden="1" x14ac:dyDescent="0.75">
      <c r="A48" s="13">
        <v>24288</v>
      </c>
      <c r="B48" s="12">
        <v>0.16</v>
      </c>
      <c r="S48">
        <f t="shared" si="1"/>
        <v>1966</v>
      </c>
    </row>
    <row r="49" spans="1:19" hidden="1" x14ac:dyDescent="0.75">
      <c r="A49" s="13">
        <v>24653</v>
      </c>
      <c r="B49" s="12">
        <v>0.16</v>
      </c>
      <c r="C49" s="12"/>
      <c r="D49" s="12"/>
      <c r="E49" s="12"/>
      <c r="F49" s="12"/>
      <c r="G49" s="12"/>
      <c r="H49" s="12"/>
      <c r="I49" s="12">
        <v>0.2</v>
      </c>
      <c r="J49" s="12"/>
      <c r="K49" s="12">
        <v>1.04</v>
      </c>
      <c r="L49" s="12"/>
      <c r="M49" s="12">
        <v>0.74</v>
      </c>
      <c r="S49">
        <f t="shared" si="1"/>
        <v>1967</v>
      </c>
    </row>
    <row r="50" spans="1:19" hidden="1" x14ac:dyDescent="0.75">
      <c r="A50" s="13">
        <v>25019</v>
      </c>
      <c r="B50" s="12">
        <v>0.16</v>
      </c>
      <c r="C50" s="12"/>
      <c r="D50" s="12"/>
      <c r="E50" s="12"/>
      <c r="F50" s="12"/>
      <c r="G50" s="12"/>
      <c r="H50" s="12"/>
      <c r="I50" s="12">
        <v>0.2</v>
      </c>
      <c r="J50" s="12"/>
      <c r="K50" s="12">
        <v>1.04</v>
      </c>
      <c r="L50" s="12"/>
      <c r="M50" s="12">
        <v>0.73</v>
      </c>
      <c r="S50">
        <f t="shared" si="1"/>
        <v>1968</v>
      </c>
    </row>
    <row r="51" spans="1:19" hidden="1" x14ac:dyDescent="0.75">
      <c r="A51" s="13">
        <v>25384</v>
      </c>
      <c r="B51" s="12">
        <v>0.17</v>
      </c>
      <c r="C51" s="12"/>
      <c r="D51" s="12"/>
      <c r="E51" s="12"/>
      <c r="F51" s="12"/>
      <c r="G51" s="12"/>
      <c r="H51" s="12"/>
      <c r="I51" s="12">
        <v>0.21</v>
      </c>
      <c r="J51" s="12"/>
      <c r="K51" s="12">
        <v>1.05</v>
      </c>
      <c r="L51" s="12"/>
      <c r="M51" s="12">
        <v>0.74</v>
      </c>
      <c r="S51">
        <f t="shared" si="1"/>
        <v>1969</v>
      </c>
    </row>
    <row r="52" spans="1:19" hidden="1" x14ac:dyDescent="0.75">
      <c r="A52" s="13">
        <v>25749</v>
      </c>
      <c r="B52" s="12">
        <v>0.17</v>
      </c>
      <c r="C52" s="12"/>
      <c r="D52" s="12"/>
      <c r="E52" s="12"/>
      <c r="F52" s="12"/>
      <c r="G52" s="12"/>
      <c r="H52" s="12"/>
      <c r="I52" s="12">
        <v>0.21</v>
      </c>
      <c r="J52" s="12"/>
      <c r="K52" s="12">
        <v>1.0900000000000001</v>
      </c>
      <c r="L52" s="12"/>
      <c r="M52" s="12">
        <v>0.77</v>
      </c>
      <c r="S52">
        <f t="shared" si="1"/>
        <v>1970</v>
      </c>
    </row>
    <row r="53" spans="1:19" hidden="1" x14ac:dyDescent="0.75">
      <c r="A53" s="13">
        <v>26114</v>
      </c>
      <c r="B53" s="12">
        <v>0.18</v>
      </c>
      <c r="C53" s="12"/>
      <c r="D53" s="12"/>
      <c r="E53" s="12"/>
      <c r="F53" s="12"/>
      <c r="G53" s="12"/>
      <c r="H53" s="12"/>
      <c r="I53" s="12">
        <v>0.22</v>
      </c>
      <c r="J53" s="12"/>
      <c r="K53" s="12">
        <v>1.1499999999999999</v>
      </c>
      <c r="L53" s="12"/>
      <c r="M53" s="12">
        <v>0.82</v>
      </c>
      <c r="S53">
        <f t="shared" si="1"/>
        <v>1971</v>
      </c>
    </row>
    <row r="54" spans="1:19" hidden="1" x14ac:dyDescent="0.75">
      <c r="A54" s="13">
        <v>26480</v>
      </c>
      <c r="B54" s="12">
        <v>0.19</v>
      </c>
      <c r="C54" s="12"/>
      <c r="D54" s="12"/>
      <c r="E54" s="12"/>
      <c r="F54" s="12"/>
      <c r="G54" s="12"/>
      <c r="H54" s="12"/>
      <c r="I54" s="12">
        <v>0.23</v>
      </c>
      <c r="J54" s="12"/>
      <c r="K54" s="12">
        <v>1.21</v>
      </c>
      <c r="L54" s="12"/>
      <c r="M54" s="12">
        <v>0.88</v>
      </c>
      <c r="S54">
        <f t="shared" si="1"/>
        <v>1972</v>
      </c>
    </row>
    <row r="55" spans="1:19" hidden="1" x14ac:dyDescent="0.75">
      <c r="A55" s="13">
        <v>26845</v>
      </c>
      <c r="B55" s="12">
        <v>0.22</v>
      </c>
      <c r="C55" s="12"/>
      <c r="D55" s="12"/>
      <c r="E55" s="12"/>
      <c r="F55" s="12"/>
      <c r="G55" s="12"/>
      <c r="H55" s="12"/>
      <c r="I55" s="12">
        <v>0.25</v>
      </c>
      <c r="J55" s="12"/>
      <c r="K55" s="12">
        <v>1.29</v>
      </c>
      <c r="L55" s="12"/>
      <c r="M55" s="12">
        <v>0.94</v>
      </c>
      <c r="S55">
        <f t="shared" si="1"/>
        <v>1973</v>
      </c>
    </row>
    <row r="56" spans="1:19" hidden="1" x14ac:dyDescent="0.75">
      <c r="A56" s="13">
        <v>27210</v>
      </c>
      <c r="B56" s="12">
        <v>0.3</v>
      </c>
      <c r="C56" s="12"/>
      <c r="D56" s="12"/>
      <c r="E56" s="12"/>
      <c r="F56" s="12"/>
      <c r="G56" s="12"/>
      <c r="H56" s="12"/>
      <c r="I56" s="12">
        <v>0.3</v>
      </c>
      <c r="J56" s="12"/>
      <c r="K56" s="12">
        <v>1.43</v>
      </c>
      <c r="L56" s="12"/>
      <c r="M56" s="12">
        <v>1.07</v>
      </c>
      <c r="S56">
        <f t="shared" si="1"/>
        <v>1974</v>
      </c>
    </row>
    <row r="57" spans="1:19" hidden="1" x14ac:dyDescent="0.75">
      <c r="A57" s="13">
        <v>27575</v>
      </c>
      <c r="B57" s="12">
        <v>0.44</v>
      </c>
      <c r="C57" s="12"/>
      <c r="D57" s="12"/>
      <c r="E57" s="12"/>
      <c r="F57" s="12"/>
      <c r="G57" s="12"/>
      <c r="H57" s="12"/>
      <c r="I57" s="12">
        <v>0.4</v>
      </c>
      <c r="J57" s="12"/>
      <c r="K57" s="12">
        <v>1.71</v>
      </c>
      <c r="L57" s="12"/>
      <c r="M57" s="12">
        <v>1.35</v>
      </c>
      <c r="S57">
        <f t="shared" si="1"/>
        <v>1975</v>
      </c>
    </row>
    <row r="58" spans="1:19" hidden="1" x14ac:dyDescent="0.75">
      <c r="A58" s="13">
        <v>27941</v>
      </c>
      <c r="B58" s="12">
        <v>0.57999999999999996</v>
      </c>
      <c r="C58" s="12"/>
      <c r="D58" s="12"/>
      <c r="E58" s="12"/>
      <c r="F58" s="12"/>
      <c r="G58" s="12"/>
      <c r="H58" s="12"/>
      <c r="I58" s="12">
        <v>0.51</v>
      </c>
      <c r="J58" s="12"/>
      <c r="K58" s="12">
        <v>1.98</v>
      </c>
      <c r="L58" s="12"/>
      <c r="M58" s="12">
        <v>1.64</v>
      </c>
      <c r="S58">
        <f t="shared" si="1"/>
        <v>1976</v>
      </c>
    </row>
    <row r="59" spans="1:19" hidden="1" x14ac:dyDescent="0.75">
      <c r="A59" s="13">
        <v>28306</v>
      </c>
      <c r="B59" s="12">
        <v>0.79</v>
      </c>
      <c r="C59" s="12"/>
      <c r="D59" s="12"/>
      <c r="E59" s="12"/>
      <c r="F59" s="12"/>
      <c r="G59" s="12"/>
      <c r="H59" s="12"/>
      <c r="I59" s="12">
        <v>0.77</v>
      </c>
      <c r="J59" s="12"/>
      <c r="K59" s="12">
        <v>2.35</v>
      </c>
      <c r="L59" s="12"/>
      <c r="M59" s="12">
        <v>2.04</v>
      </c>
      <c r="S59">
        <f t="shared" si="1"/>
        <v>1977</v>
      </c>
    </row>
    <row r="60" spans="1:19" hidden="1" x14ac:dyDescent="0.75">
      <c r="A60" s="13">
        <v>28671</v>
      </c>
      <c r="B60" s="12">
        <v>0.91</v>
      </c>
      <c r="C60" s="12"/>
      <c r="D60" s="12"/>
      <c r="E60" s="12"/>
      <c r="F60" s="12"/>
      <c r="G60" s="12"/>
      <c r="H60" s="12"/>
      <c r="I60" s="12">
        <v>0.9</v>
      </c>
      <c r="J60" s="12"/>
      <c r="K60" s="12">
        <v>2.56</v>
      </c>
      <c r="L60" s="12"/>
      <c r="M60" s="12">
        <v>2.23</v>
      </c>
      <c r="S60">
        <f t="shared" si="1"/>
        <v>1978</v>
      </c>
    </row>
    <row r="61" spans="1:19" hidden="1" x14ac:dyDescent="0.75">
      <c r="A61" s="13">
        <v>29036</v>
      </c>
      <c r="B61" s="12">
        <v>1.18</v>
      </c>
      <c r="C61" s="12"/>
      <c r="D61" s="12"/>
      <c r="E61" s="12"/>
      <c r="F61" s="12"/>
      <c r="G61" s="12"/>
      <c r="H61" s="12"/>
      <c r="I61" s="12">
        <v>1.32</v>
      </c>
      <c r="J61" s="12"/>
      <c r="K61" s="12">
        <v>2.98</v>
      </c>
      <c r="L61" s="12"/>
      <c r="M61" s="12">
        <v>2.73</v>
      </c>
      <c r="S61">
        <f t="shared" si="1"/>
        <v>1979</v>
      </c>
    </row>
    <row r="62" spans="1:19" hidden="1" x14ac:dyDescent="0.75">
      <c r="A62" s="13">
        <v>29402</v>
      </c>
      <c r="B62" s="12">
        <v>1.59</v>
      </c>
      <c r="C62" s="12"/>
      <c r="D62" s="12"/>
      <c r="E62" s="12"/>
      <c r="F62" s="12"/>
      <c r="G62" s="12"/>
      <c r="H62" s="12"/>
      <c r="I62" s="12">
        <v>1.85</v>
      </c>
      <c r="J62" s="12"/>
      <c r="K62" s="12">
        <v>3.68</v>
      </c>
      <c r="L62" s="12"/>
      <c r="M62" s="12">
        <v>3.39</v>
      </c>
      <c r="S62">
        <f t="shared" si="1"/>
        <v>1980</v>
      </c>
    </row>
    <row r="63" spans="1:19" hidden="1" x14ac:dyDescent="0.75">
      <c r="A63" s="13">
        <v>29767</v>
      </c>
      <c r="B63" s="12">
        <v>1.98</v>
      </c>
      <c r="C63" s="12"/>
      <c r="D63" s="12"/>
      <c r="E63" s="12"/>
      <c r="F63" s="12"/>
      <c r="G63" s="12"/>
      <c r="H63" s="12"/>
      <c r="I63" s="12">
        <v>2.39</v>
      </c>
      <c r="J63" s="12"/>
      <c r="K63" s="12">
        <v>4.29</v>
      </c>
      <c r="L63" s="12"/>
      <c r="M63" s="12">
        <v>4</v>
      </c>
      <c r="S63">
        <f t="shared" si="1"/>
        <v>1981</v>
      </c>
    </row>
    <row r="64" spans="1:19" hidden="1" x14ac:dyDescent="0.75">
      <c r="A64" s="13">
        <v>30132</v>
      </c>
      <c r="B64" s="12">
        <v>2.46</v>
      </c>
      <c r="C64" s="12"/>
      <c r="D64" s="12"/>
      <c r="E64" s="12"/>
      <c r="F64" s="12"/>
      <c r="G64" s="12"/>
      <c r="H64" s="12"/>
      <c r="I64" s="12">
        <v>2.97</v>
      </c>
      <c r="J64" s="12"/>
      <c r="K64" s="12">
        <v>5.17</v>
      </c>
      <c r="L64" s="12"/>
      <c r="M64" s="12">
        <v>4.82</v>
      </c>
      <c r="S64">
        <f t="shared" si="1"/>
        <v>1982</v>
      </c>
    </row>
    <row r="65" spans="1:19" hidden="1" x14ac:dyDescent="0.75">
      <c r="A65" s="13">
        <v>30497</v>
      </c>
      <c r="B65" s="12">
        <v>2.59</v>
      </c>
      <c r="C65" s="12"/>
      <c r="D65" s="12"/>
      <c r="E65" s="12"/>
      <c r="F65" s="12"/>
      <c r="G65" s="12"/>
      <c r="H65" s="12"/>
      <c r="I65" s="12">
        <v>3.15</v>
      </c>
      <c r="J65" s="12"/>
      <c r="K65" s="12">
        <v>6.06</v>
      </c>
      <c r="L65" s="12"/>
      <c r="M65" s="12">
        <v>5.59</v>
      </c>
      <c r="N65" s="12"/>
      <c r="O65" s="12"/>
      <c r="P65" s="12"/>
      <c r="Q65" s="12"/>
      <c r="R65" s="12"/>
      <c r="S65">
        <f t="shared" si="1"/>
        <v>1983</v>
      </c>
    </row>
    <row r="66" spans="1:19" hidden="1" x14ac:dyDescent="0.75">
      <c r="A66" s="13">
        <v>30863</v>
      </c>
      <c r="B66" s="12">
        <v>2.66</v>
      </c>
      <c r="C66" s="12"/>
      <c r="D66" s="12"/>
      <c r="E66" s="12"/>
      <c r="F66" s="12"/>
      <c r="G66" s="12"/>
      <c r="H66" s="12"/>
      <c r="I66" s="12">
        <v>3.04</v>
      </c>
      <c r="J66" s="12">
        <v>3.95</v>
      </c>
      <c r="K66" s="12">
        <v>6.12</v>
      </c>
      <c r="L66" s="12"/>
      <c r="M66" s="12">
        <v>5.55</v>
      </c>
      <c r="N66" s="12"/>
      <c r="O66" s="12"/>
      <c r="P66" s="12"/>
      <c r="Q66" s="12"/>
      <c r="R66" s="12"/>
      <c r="S66">
        <f t="shared" si="1"/>
        <v>1984</v>
      </c>
    </row>
    <row r="67" spans="1:19" hidden="1" x14ac:dyDescent="0.75">
      <c r="A67" s="13">
        <v>31228</v>
      </c>
      <c r="B67" s="12">
        <v>2.5099999999999998</v>
      </c>
      <c r="C67" s="12">
        <v>3.21</v>
      </c>
      <c r="D67" s="12">
        <v>3.17</v>
      </c>
      <c r="E67" s="12">
        <v>4.5999999999999996</v>
      </c>
      <c r="F67" s="12">
        <v>4.7699999999999996</v>
      </c>
      <c r="G67" s="12">
        <v>3.92</v>
      </c>
      <c r="H67" s="12">
        <v>4.8099999999999996</v>
      </c>
      <c r="I67" s="12">
        <v>2.92</v>
      </c>
      <c r="J67" s="12">
        <v>3.75</v>
      </c>
      <c r="K67" s="12">
        <v>6.12</v>
      </c>
      <c r="L67" s="12"/>
      <c r="M67" s="12">
        <v>5.5</v>
      </c>
      <c r="N67" s="12"/>
      <c r="O67" s="12"/>
      <c r="P67" s="12"/>
      <c r="Q67" s="12"/>
      <c r="R67" s="12"/>
      <c r="S67">
        <f t="shared" si="1"/>
        <v>1985</v>
      </c>
    </row>
    <row r="68" spans="1:19" hidden="1" x14ac:dyDescent="0.75">
      <c r="A68" s="13">
        <v>31593</v>
      </c>
      <c r="B68" s="12">
        <v>1.94</v>
      </c>
      <c r="C68" s="12">
        <v>2.4300000000000002</v>
      </c>
      <c r="D68" s="12">
        <v>2.42</v>
      </c>
      <c r="E68" s="12">
        <v>4.62</v>
      </c>
      <c r="F68" s="12">
        <v>2.81</v>
      </c>
      <c r="G68" s="12">
        <v>2.35</v>
      </c>
      <c r="H68" s="12">
        <v>2.91</v>
      </c>
      <c r="I68" s="12">
        <v>2.52</v>
      </c>
      <c r="J68" s="12">
        <v>3.22</v>
      </c>
      <c r="K68" s="12">
        <v>5.83</v>
      </c>
      <c r="L68" s="12"/>
      <c r="M68" s="12">
        <v>5.08</v>
      </c>
      <c r="N68" s="12"/>
      <c r="O68" s="12"/>
      <c r="P68" s="12"/>
      <c r="Q68" s="12"/>
      <c r="R68" s="12"/>
      <c r="S68">
        <f t="shared" ref="S68:S104" si="2">YEAR(A68)</f>
        <v>1986</v>
      </c>
    </row>
    <row r="69" spans="1:19" hidden="1" x14ac:dyDescent="0.75">
      <c r="A69" s="13">
        <v>31958</v>
      </c>
      <c r="B69" s="12">
        <v>1.67</v>
      </c>
      <c r="C69" s="12">
        <v>1.95</v>
      </c>
      <c r="D69" s="12">
        <v>1.95</v>
      </c>
      <c r="E69" s="12"/>
      <c r="F69" s="12">
        <v>3.07</v>
      </c>
      <c r="G69" s="12">
        <v>2.35</v>
      </c>
      <c r="H69" s="12">
        <v>3.15</v>
      </c>
      <c r="I69" s="12">
        <v>2.17</v>
      </c>
      <c r="J69" s="12">
        <v>2.87</v>
      </c>
      <c r="K69" s="12">
        <v>5.54</v>
      </c>
      <c r="L69" s="12"/>
      <c r="M69" s="12">
        <v>4.7699999999999996</v>
      </c>
      <c r="N69" s="12">
        <v>93.1</v>
      </c>
      <c r="O69" s="12"/>
      <c r="P69" s="12"/>
      <c r="Q69" s="12"/>
      <c r="R69" s="12"/>
      <c r="S69">
        <f t="shared" si="2"/>
        <v>1987</v>
      </c>
    </row>
    <row r="70" spans="1:19" hidden="1" x14ac:dyDescent="0.75">
      <c r="A70" s="13">
        <v>32324</v>
      </c>
      <c r="B70" s="12">
        <v>1.69</v>
      </c>
      <c r="C70" s="12">
        <v>1.84</v>
      </c>
      <c r="D70" s="12">
        <v>1.83</v>
      </c>
      <c r="E70" s="12">
        <v>2.71</v>
      </c>
      <c r="F70" s="12">
        <v>2.74</v>
      </c>
      <c r="G70" s="12">
        <v>2.14</v>
      </c>
      <c r="H70" s="12">
        <v>2.98</v>
      </c>
      <c r="I70" s="12">
        <v>2.1</v>
      </c>
      <c r="J70" s="12">
        <v>2.92</v>
      </c>
      <c r="K70" s="12">
        <v>5.47</v>
      </c>
      <c r="L70" s="12"/>
      <c r="M70" s="12">
        <v>4.63</v>
      </c>
      <c r="N70" s="12">
        <v>90.8</v>
      </c>
      <c r="O70" s="12"/>
      <c r="P70" s="12"/>
      <c r="Q70" s="12"/>
      <c r="R70" s="12"/>
      <c r="S70">
        <f t="shared" si="2"/>
        <v>1988</v>
      </c>
    </row>
    <row r="71" spans="1:19" hidden="1" x14ac:dyDescent="0.75">
      <c r="A71" s="13">
        <v>32689</v>
      </c>
      <c r="B71" s="12">
        <v>1.69</v>
      </c>
      <c r="C71" s="12">
        <v>1.82</v>
      </c>
      <c r="D71" s="12">
        <v>1.81</v>
      </c>
      <c r="E71" s="12">
        <v>2.2200000000000002</v>
      </c>
      <c r="F71" s="12">
        <v>2.5099999999999998</v>
      </c>
      <c r="G71" s="12">
        <v>2.0499999999999998</v>
      </c>
      <c r="H71" s="12">
        <v>3.01</v>
      </c>
      <c r="I71" s="12">
        <v>2.0099999999999998</v>
      </c>
      <c r="J71" s="12">
        <v>3.01</v>
      </c>
      <c r="K71" s="12">
        <v>5.64</v>
      </c>
      <c r="L71" s="12">
        <v>99.9</v>
      </c>
      <c r="M71" s="12">
        <v>4.74</v>
      </c>
      <c r="N71" s="12">
        <v>89.1</v>
      </c>
      <c r="O71" s="12"/>
      <c r="P71" s="12"/>
      <c r="Q71" s="12">
        <v>4.17</v>
      </c>
      <c r="R71" s="12"/>
      <c r="S71">
        <f t="shared" si="2"/>
        <v>1989</v>
      </c>
    </row>
    <row r="72" spans="1:19" hidden="1" x14ac:dyDescent="0.75">
      <c r="A72" s="13">
        <v>33054</v>
      </c>
      <c r="B72" s="12">
        <v>1.71</v>
      </c>
      <c r="C72" s="12">
        <v>1.94</v>
      </c>
      <c r="D72" s="12">
        <v>1.91</v>
      </c>
      <c r="E72" s="12">
        <v>2.4700000000000002</v>
      </c>
      <c r="F72" s="12">
        <v>3.1</v>
      </c>
      <c r="G72" s="12">
        <v>2.31</v>
      </c>
      <c r="H72" s="12">
        <v>3.59</v>
      </c>
      <c r="I72" s="12">
        <v>1.95</v>
      </c>
      <c r="J72" s="12">
        <v>3.03</v>
      </c>
      <c r="K72" s="12">
        <v>5.8</v>
      </c>
      <c r="L72" s="12">
        <v>99.2</v>
      </c>
      <c r="M72" s="12">
        <v>4.83</v>
      </c>
      <c r="N72" s="12">
        <v>86.6</v>
      </c>
      <c r="O72" s="12"/>
      <c r="P72" s="12"/>
      <c r="Q72" s="12">
        <v>3.39</v>
      </c>
      <c r="R72" s="12"/>
      <c r="S72">
        <f t="shared" si="2"/>
        <v>1990</v>
      </c>
    </row>
    <row r="73" spans="1:19" hidden="1" x14ac:dyDescent="0.75">
      <c r="A73" s="13">
        <v>33419</v>
      </c>
      <c r="B73" s="12">
        <v>1.64</v>
      </c>
      <c r="C73" s="12">
        <v>1.83</v>
      </c>
      <c r="D73" s="12">
        <v>1.81</v>
      </c>
      <c r="E73" s="12">
        <v>2.36</v>
      </c>
      <c r="F73" s="12">
        <v>2.59</v>
      </c>
      <c r="G73" s="12">
        <v>1.79</v>
      </c>
      <c r="H73" s="12">
        <v>3.71</v>
      </c>
      <c r="I73" s="12">
        <v>1.87</v>
      </c>
      <c r="J73" s="12">
        <v>2.9</v>
      </c>
      <c r="K73" s="12">
        <v>5.82</v>
      </c>
      <c r="L73" s="12">
        <v>99.2</v>
      </c>
      <c r="M73" s="12">
        <v>4.8099999999999996</v>
      </c>
      <c r="N73" s="12">
        <v>85.1</v>
      </c>
      <c r="O73" s="12"/>
      <c r="P73" s="12"/>
      <c r="Q73" s="12">
        <v>3.96</v>
      </c>
      <c r="R73" s="12"/>
      <c r="S73">
        <f t="shared" si="2"/>
        <v>1991</v>
      </c>
    </row>
    <row r="74" spans="1:19" hidden="1" x14ac:dyDescent="0.75">
      <c r="A74" s="13">
        <v>33785</v>
      </c>
      <c r="B74" s="12">
        <v>1.74</v>
      </c>
      <c r="C74" s="12">
        <v>1.85</v>
      </c>
      <c r="D74" s="12">
        <v>1.84</v>
      </c>
      <c r="E74" s="12">
        <v>2.54</v>
      </c>
      <c r="F74" s="12">
        <v>2.25</v>
      </c>
      <c r="G74" s="12">
        <v>1.88</v>
      </c>
      <c r="H74" s="12">
        <v>3.43</v>
      </c>
      <c r="I74" s="12">
        <v>2.0699999999999998</v>
      </c>
      <c r="J74" s="12">
        <v>3.01</v>
      </c>
      <c r="K74" s="12">
        <v>5.89</v>
      </c>
      <c r="L74" s="12">
        <v>99.1</v>
      </c>
      <c r="M74" s="12">
        <v>4.88</v>
      </c>
      <c r="N74" s="12">
        <v>83.2</v>
      </c>
      <c r="O74" s="12"/>
      <c r="P74" s="12"/>
      <c r="Q74" s="12">
        <v>4.05</v>
      </c>
      <c r="R74" s="12"/>
      <c r="S74">
        <f t="shared" si="2"/>
        <v>1992</v>
      </c>
    </row>
    <row r="75" spans="1:19" hidden="1" x14ac:dyDescent="0.75">
      <c r="A75" s="13">
        <v>34150</v>
      </c>
      <c r="B75" s="12">
        <v>2.04</v>
      </c>
      <c r="C75" s="12">
        <v>2.0299999999999998</v>
      </c>
      <c r="D75" s="12">
        <v>2.02</v>
      </c>
      <c r="E75" s="12">
        <v>2.2000000000000002</v>
      </c>
      <c r="F75" s="12">
        <v>2.59</v>
      </c>
      <c r="G75" s="12">
        <v>2.08</v>
      </c>
      <c r="H75" s="12">
        <v>3.34</v>
      </c>
      <c r="I75" s="12">
        <v>1.97</v>
      </c>
      <c r="J75" s="12">
        <v>3.21</v>
      </c>
      <c r="K75" s="12">
        <v>6.16</v>
      </c>
      <c r="L75" s="12">
        <v>99.1</v>
      </c>
      <c r="M75" s="12">
        <v>5.22</v>
      </c>
      <c r="N75" s="12">
        <v>83.9</v>
      </c>
      <c r="O75" s="12"/>
      <c r="P75" s="12"/>
      <c r="Q75" s="12">
        <v>4.2699999999999996</v>
      </c>
      <c r="R75" s="12"/>
      <c r="S75">
        <f t="shared" si="2"/>
        <v>1993</v>
      </c>
    </row>
    <row r="76" spans="1:19" hidden="1" x14ac:dyDescent="0.75">
      <c r="A76" s="13">
        <v>34515</v>
      </c>
      <c r="B76" s="12">
        <v>1.85</v>
      </c>
      <c r="C76" s="12">
        <v>1.87</v>
      </c>
      <c r="D76" s="12">
        <v>1.86</v>
      </c>
      <c r="E76" s="12">
        <v>2.2799999999999998</v>
      </c>
      <c r="F76" s="12">
        <v>2.5</v>
      </c>
      <c r="G76" s="12">
        <v>2.08</v>
      </c>
      <c r="H76" s="12">
        <v>3.18</v>
      </c>
      <c r="I76" s="12">
        <v>1.7</v>
      </c>
      <c r="J76" s="12">
        <v>3.07</v>
      </c>
      <c r="K76" s="12">
        <v>6.41</v>
      </c>
      <c r="L76" s="12">
        <v>99.1</v>
      </c>
      <c r="M76" s="12">
        <v>5.44</v>
      </c>
      <c r="N76" s="12">
        <v>79.3</v>
      </c>
      <c r="O76" s="12"/>
      <c r="P76" s="12"/>
      <c r="Q76" s="12">
        <v>4.1100000000000003</v>
      </c>
      <c r="R76" s="12"/>
      <c r="S76">
        <f t="shared" si="2"/>
        <v>1994</v>
      </c>
    </row>
    <row r="77" spans="1:19" hidden="1" x14ac:dyDescent="0.75">
      <c r="A77" s="13">
        <v>34880</v>
      </c>
      <c r="B77" s="12">
        <v>1.55</v>
      </c>
      <c r="C77" s="12">
        <v>1.49</v>
      </c>
      <c r="D77" s="12">
        <v>1.48</v>
      </c>
      <c r="E77" s="12">
        <v>2.2999999999999998</v>
      </c>
      <c r="F77" s="12">
        <v>2.39</v>
      </c>
      <c r="G77" s="12">
        <v>1.64</v>
      </c>
      <c r="H77" s="12">
        <v>3.41</v>
      </c>
      <c r="I77" s="12">
        <v>1.49</v>
      </c>
      <c r="J77" s="12">
        <v>2.78</v>
      </c>
      <c r="K77" s="12">
        <v>6.06</v>
      </c>
      <c r="L77" s="12">
        <v>99</v>
      </c>
      <c r="M77" s="12">
        <v>5.05</v>
      </c>
      <c r="N77" s="12">
        <v>76.7</v>
      </c>
      <c r="O77" s="12"/>
      <c r="P77" s="12"/>
      <c r="Q77" s="12">
        <v>3.98</v>
      </c>
      <c r="R77" s="12"/>
      <c r="S77">
        <f t="shared" si="2"/>
        <v>1995</v>
      </c>
    </row>
    <row r="78" spans="1:19" hidden="1" x14ac:dyDescent="0.75">
      <c r="A78" s="13">
        <v>35246</v>
      </c>
      <c r="B78" s="12">
        <v>2.17</v>
      </c>
      <c r="C78" s="12">
        <v>1.97</v>
      </c>
      <c r="D78" s="12">
        <v>1.96</v>
      </c>
      <c r="E78" s="12">
        <v>2.8</v>
      </c>
      <c r="F78" s="12">
        <v>2.97</v>
      </c>
      <c r="G78" s="12">
        <v>2.4500000000000002</v>
      </c>
      <c r="H78" s="12">
        <v>3.65</v>
      </c>
      <c r="I78" s="12">
        <v>2.27</v>
      </c>
      <c r="J78" s="12">
        <v>3.27</v>
      </c>
      <c r="K78" s="12">
        <v>6.34</v>
      </c>
      <c r="L78" s="12">
        <v>99</v>
      </c>
      <c r="M78" s="12">
        <v>5.4</v>
      </c>
      <c r="N78" s="12">
        <v>77.599999999999994</v>
      </c>
      <c r="O78" s="12"/>
      <c r="P78" s="12"/>
      <c r="Q78" s="12">
        <v>4.34</v>
      </c>
      <c r="R78" s="12"/>
      <c r="S78">
        <f t="shared" si="2"/>
        <v>1996</v>
      </c>
    </row>
    <row r="79" spans="1:19" hidden="1" x14ac:dyDescent="0.75">
      <c r="A79" s="13">
        <v>35611</v>
      </c>
      <c r="B79" s="12">
        <v>2.3199999999999998</v>
      </c>
      <c r="C79" s="12">
        <v>2.17</v>
      </c>
      <c r="D79" s="12">
        <v>2.15</v>
      </c>
      <c r="E79" s="12">
        <v>2.74</v>
      </c>
      <c r="F79" s="12">
        <v>3.02</v>
      </c>
      <c r="G79" s="12">
        <v>2.4900000000000002</v>
      </c>
      <c r="H79" s="12">
        <v>3.83</v>
      </c>
      <c r="I79" s="12">
        <v>2.29</v>
      </c>
      <c r="J79" s="12">
        <v>3.66</v>
      </c>
      <c r="K79" s="12">
        <v>6.94</v>
      </c>
      <c r="L79" s="12">
        <v>98.8</v>
      </c>
      <c r="M79" s="12">
        <v>5.8</v>
      </c>
      <c r="N79" s="12">
        <v>70.8</v>
      </c>
      <c r="O79" s="12">
        <v>3.59</v>
      </c>
      <c r="P79" s="12">
        <v>18.100000000000001</v>
      </c>
      <c r="Q79" s="12">
        <v>4.4400000000000004</v>
      </c>
      <c r="R79" s="12">
        <v>2.78</v>
      </c>
      <c r="S79">
        <f t="shared" si="2"/>
        <v>1997</v>
      </c>
    </row>
    <row r="80" spans="1:19" hidden="1" x14ac:dyDescent="0.75">
      <c r="A80" s="13">
        <v>35976</v>
      </c>
      <c r="B80" s="12">
        <v>1.96</v>
      </c>
      <c r="C80" s="12">
        <v>1.97</v>
      </c>
      <c r="D80" s="12">
        <v>1.95</v>
      </c>
      <c r="E80" s="12">
        <v>2.63</v>
      </c>
      <c r="F80" s="12">
        <v>2.4500000000000002</v>
      </c>
      <c r="G80" s="12">
        <v>2.13</v>
      </c>
      <c r="H80" s="12">
        <v>2.91</v>
      </c>
      <c r="I80" s="12">
        <v>2.0099999999999998</v>
      </c>
      <c r="J80" s="12">
        <v>3.07</v>
      </c>
      <c r="K80" s="12">
        <v>6.82</v>
      </c>
      <c r="L80" s="12">
        <v>97.7</v>
      </c>
      <c r="M80" s="12">
        <v>5.48</v>
      </c>
      <c r="N80" s="12">
        <v>67</v>
      </c>
      <c r="O80" s="12">
        <v>3.14</v>
      </c>
      <c r="P80" s="12">
        <v>16.100000000000001</v>
      </c>
      <c r="Q80" s="12">
        <v>4.59</v>
      </c>
      <c r="R80" s="12">
        <v>2.4</v>
      </c>
      <c r="S80">
        <f t="shared" si="2"/>
        <v>1998</v>
      </c>
    </row>
    <row r="81" spans="1:22" hidden="1" x14ac:dyDescent="0.75">
      <c r="A81" s="13">
        <v>36341</v>
      </c>
      <c r="B81" s="12">
        <v>2.19</v>
      </c>
      <c r="C81" s="12">
        <v>2.2400000000000002</v>
      </c>
      <c r="D81" s="12">
        <v>2.23</v>
      </c>
      <c r="E81" s="12">
        <v>2.4700000000000002</v>
      </c>
      <c r="F81" s="12">
        <v>2.61</v>
      </c>
      <c r="G81" s="12">
        <v>2.2999999999999998</v>
      </c>
      <c r="H81" s="12">
        <v>3.1</v>
      </c>
      <c r="I81" s="12">
        <v>1.88</v>
      </c>
      <c r="J81" s="12">
        <v>3.1</v>
      </c>
      <c r="K81" s="12">
        <v>6.69</v>
      </c>
      <c r="L81" s="12">
        <v>95.2</v>
      </c>
      <c r="M81" s="12">
        <v>5.33</v>
      </c>
      <c r="N81" s="12">
        <v>66.099999999999994</v>
      </c>
      <c r="O81" s="12">
        <v>3.12</v>
      </c>
      <c r="P81" s="12">
        <v>18.8</v>
      </c>
      <c r="Q81" s="12">
        <v>4.34</v>
      </c>
      <c r="R81" s="12">
        <v>2.62</v>
      </c>
      <c r="S81">
        <f t="shared" si="2"/>
        <v>1999</v>
      </c>
    </row>
    <row r="82" spans="1:22" hidden="1" x14ac:dyDescent="0.75">
      <c r="A82" s="13">
        <v>36707</v>
      </c>
      <c r="B82" s="12">
        <v>3.68</v>
      </c>
      <c r="C82" s="12">
        <v>3.95</v>
      </c>
      <c r="D82" s="12">
        <v>3.98</v>
      </c>
      <c r="E82" s="12">
        <v>3.5</v>
      </c>
      <c r="F82" s="12">
        <v>4.0999999999999996</v>
      </c>
      <c r="G82" s="12">
        <v>4.0199999999999996</v>
      </c>
      <c r="H82" s="12">
        <v>4.32</v>
      </c>
      <c r="I82" s="12">
        <v>2.97</v>
      </c>
      <c r="J82" s="12">
        <v>4.62</v>
      </c>
      <c r="K82" s="12">
        <v>7.76</v>
      </c>
      <c r="L82" s="12">
        <v>92.6</v>
      </c>
      <c r="M82" s="12">
        <v>6.59</v>
      </c>
      <c r="N82" s="12">
        <v>63.9</v>
      </c>
      <c r="O82" s="12">
        <v>4.45</v>
      </c>
      <c r="P82" s="12">
        <v>19.8</v>
      </c>
      <c r="Q82" s="12">
        <v>5.54</v>
      </c>
      <c r="R82" s="12">
        <v>4.38</v>
      </c>
      <c r="S82">
        <f t="shared" si="2"/>
        <v>2000</v>
      </c>
    </row>
    <row r="83" spans="1:22" x14ac:dyDescent="0.75">
      <c r="A83" s="13">
        <v>37072</v>
      </c>
      <c r="B83">
        <v>4</v>
      </c>
      <c r="C83">
        <v>4.43</v>
      </c>
      <c r="D83">
        <v>4.4400000000000004</v>
      </c>
      <c r="E83">
        <v>4.3499999999999996</v>
      </c>
      <c r="F83">
        <v>4.1900000000000004</v>
      </c>
      <c r="G83">
        <v>4.1399999999999997</v>
      </c>
      <c r="H83">
        <v>4.4000000000000004</v>
      </c>
      <c r="I83">
        <v>3.55</v>
      </c>
      <c r="J83">
        <v>5.72</v>
      </c>
      <c r="K83">
        <v>9.6300000000000008</v>
      </c>
      <c r="L83">
        <v>92.4</v>
      </c>
      <c r="M83">
        <v>8.43</v>
      </c>
      <c r="N83">
        <v>66</v>
      </c>
      <c r="O83">
        <v>5.24</v>
      </c>
      <c r="P83">
        <v>20.8</v>
      </c>
      <c r="Q83">
        <v>6.6</v>
      </c>
      <c r="R83">
        <v>4.6100000000000003</v>
      </c>
      <c r="S83">
        <f t="shared" si="2"/>
        <v>2001</v>
      </c>
      <c r="U83">
        <f>G83*About!$B$27</f>
        <v>4.2931799999999996</v>
      </c>
      <c r="V83">
        <f>H83*About!$B$27</f>
        <v>4.5628000000000002</v>
      </c>
    </row>
    <row r="84" spans="1:22" x14ac:dyDescent="0.75">
      <c r="A84" s="13">
        <v>37437</v>
      </c>
      <c r="B84">
        <v>2.95</v>
      </c>
      <c r="C84">
        <v>3.15</v>
      </c>
      <c r="D84">
        <v>3.13</v>
      </c>
      <c r="E84">
        <v>3.41</v>
      </c>
      <c r="F84">
        <v>3.41</v>
      </c>
      <c r="G84">
        <v>3.32</v>
      </c>
      <c r="H84">
        <v>4.08</v>
      </c>
      <c r="J84">
        <v>4.12</v>
      </c>
      <c r="K84">
        <v>7.89</v>
      </c>
      <c r="L84">
        <v>97.9</v>
      </c>
      <c r="M84">
        <v>6.63</v>
      </c>
      <c r="N84">
        <v>77.400000000000006</v>
      </c>
      <c r="O84">
        <v>4.0199999999999996</v>
      </c>
      <c r="P84">
        <v>22.7</v>
      </c>
      <c r="Q84">
        <v>5.0999999999999996</v>
      </c>
      <c r="R84">
        <v>3.68</v>
      </c>
      <c r="S84">
        <f t="shared" si="2"/>
        <v>2002</v>
      </c>
      <c r="U84">
        <f>G84*About!$B$27</f>
        <v>3.4428399999999995</v>
      </c>
      <c r="V84">
        <f>H84*About!$B$27</f>
        <v>4.2309599999999996</v>
      </c>
    </row>
    <row r="85" spans="1:22" x14ac:dyDescent="0.75">
      <c r="A85" s="13">
        <v>37802</v>
      </c>
      <c r="B85">
        <v>4.88</v>
      </c>
      <c r="C85">
        <v>5.17</v>
      </c>
      <c r="D85">
        <v>5.23</v>
      </c>
      <c r="E85">
        <v>4.79</v>
      </c>
      <c r="F85">
        <v>5.54</v>
      </c>
      <c r="G85">
        <v>5.66</v>
      </c>
      <c r="H85">
        <v>4.47</v>
      </c>
      <c r="J85">
        <v>5.85</v>
      </c>
      <c r="K85">
        <v>9.6300000000000008</v>
      </c>
      <c r="L85">
        <v>97.5</v>
      </c>
      <c r="M85">
        <v>8.4</v>
      </c>
      <c r="N85">
        <v>78.2</v>
      </c>
      <c r="O85">
        <v>5.89</v>
      </c>
      <c r="P85">
        <v>22.1</v>
      </c>
      <c r="Q85">
        <v>6.19</v>
      </c>
      <c r="R85">
        <v>5.57</v>
      </c>
      <c r="S85">
        <f t="shared" si="2"/>
        <v>2003</v>
      </c>
      <c r="U85">
        <f>G85*About!$B$27</f>
        <v>5.8694199999999999</v>
      </c>
      <c r="V85">
        <f>H85*About!$B$27</f>
        <v>4.6353899999999992</v>
      </c>
    </row>
    <row r="86" spans="1:22" x14ac:dyDescent="0.75">
      <c r="A86" s="13">
        <v>38168</v>
      </c>
      <c r="B86">
        <v>5.46</v>
      </c>
      <c r="C86">
        <v>5.81</v>
      </c>
      <c r="D86">
        <v>5.8</v>
      </c>
      <c r="E86">
        <v>5.82</v>
      </c>
      <c r="F86">
        <v>6.09</v>
      </c>
      <c r="G86">
        <v>6.18</v>
      </c>
      <c r="H86">
        <v>4.96</v>
      </c>
      <c r="J86">
        <v>6.65</v>
      </c>
      <c r="K86">
        <v>10.75</v>
      </c>
      <c r="L86">
        <v>97.7</v>
      </c>
      <c r="M86">
        <v>9.43</v>
      </c>
      <c r="N86">
        <v>78</v>
      </c>
      <c r="O86">
        <v>6.53</v>
      </c>
      <c r="P86">
        <v>23.6</v>
      </c>
      <c r="Q86">
        <v>7.16</v>
      </c>
      <c r="R86">
        <v>6.11</v>
      </c>
      <c r="S86">
        <f t="shared" si="2"/>
        <v>2004</v>
      </c>
      <c r="U86">
        <f>G86*About!$B$27</f>
        <v>6.4086599999999994</v>
      </c>
      <c r="V86">
        <f>H86*About!$B$27</f>
        <v>5.1435199999999996</v>
      </c>
    </row>
    <row r="87" spans="1:22" x14ac:dyDescent="0.75">
      <c r="A87" s="13">
        <v>38533</v>
      </c>
      <c r="B87">
        <v>7.33</v>
      </c>
      <c r="C87">
        <v>8.1199999999999992</v>
      </c>
      <c r="D87">
        <v>8.09</v>
      </c>
      <c r="E87">
        <v>8.26</v>
      </c>
      <c r="F87">
        <v>7.59</v>
      </c>
      <c r="G87">
        <v>7.77</v>
      </c>
      <c r="H87">
        <v>5.79</v>
      </c>
      <c r="J87">
        <v>8.67</v>
      </c>
      <c r="K87">
        <v>12.7</v>
      </c>
      <c r="L87">
        <v>98.1</v>
      </c>
      <c r="M87">
        <v>11.34</v>
      </c>
      <c r="N87">
        <v>82.1</v>
      </c>
      <c r="O87">
        <v>8.56</v>
      </c>
      <c r="P87">
        <v>24</v>
      </c>
      <c r="Q87">
        <v>9.14</v>
      </c>
      <c r="R87">
        <v>8.4700000000000006</v>
      </c>
      <c r="S87">
        <f t="shared" si="2"/>
        <v>2005</v>
      </c>
      <c r="U87">
        <f>G87*About!$B$27</f>
        <v>8.0574899999999996</v>
      </c>
      <c r="V87">
        <f>H87*About!$B$27</f>
        <v>6.0042299999999997</v>
      </c>
    </row>
    <row r="88" spans="1:22" x14ac:dyDescent="0.75">
      <c r="A88" s="13">
        <v>38898</v>
      </c>
      <c r="B88">
        <v>6.39</v>
      </c>
      <c r="C88">
        <v>6.88</v>
      </c>
      <c r="D88">
        <v>6.83</v>
      </c>
      <c r="E88">
        <v>7.19</v>
      </c>
      <c r="F88">
        <v>6.83</v>
      </c>
      <c r="G88">
        <v>6.9</v>
      </c>
      <c r="H88">
        <v>6.02</v>
      </c>
      <c r="J88">
        <v>8.61</v>
      </c>
      <c r="K88">
        <v>13.73</v>
      </c>
      <c r="L88">
        <v>98.1</v>
      </c>
      <c r="M88">
        <v>12</v>
      </c>
      <c r="N88">
        <v>80.8</v>
      </c>
      <c r="O88">
        <v>7.87</v>
      </c>
      <c r="P88">
        <v>23.4</v>
      </c>
      <c r="Q88">
        <v>8.7200000000000006</v>
      </c>
      <c r="R88">
        <v>7.11</v>
      </c>
      <c r="S88">
        <f t="shared" si="2"/>
        <v>2006</v>
      </c>
      <c r="U88">
        <f>G88*About!$B$27</f>
        <v>7.1552999999999995</v>
      </c>
      <c r="V88">
        <f>H88*About!$B$27</f>
        <v>6.2427399999999995</v>
      </c>
    </row>
    <row r="89" spans="1:22" x14ac:dyDescent="0.75">
      <c r="A89" s="13">
        <v>39263</v>
      </c>
      <c r="B89">
        <v>6.25</v>
      </c>
      <c r="C89">
        <v>6.87</v>
      </c>
      <c r="D89">
        <v>6.83</v>
      </c>
      <c r="E89">
        <v>7.07</v>
      </c>
      <c r="F89">
        <v>6.92</v>
      </c>
      <c r="G89">
        <v>6.96</v>
      </c>
      <c r="H89">
        <v>6.23</v>
      </c>
      <c r="J89">
        <v>8.16</v>
      </c>
      <c r="K89">
        <v>13.08</v>
      </c>
      <c r="L89">
        <v>98</v>
      </c>
      <c r="M89">
        <v>11.34</v>
      </c>
      <c r="N89">
        <v>80.400000000000006</v>
      </c>
      <c r="O89">
        <v>7.68</v>
      </c>
      <c r="P89">
        <v>22.2</v>
      </c>
      <c r="Q89">
        <v>8.5</v>
      </c>
      <c r="R89">
        <v>7.31</v>
      </c>
      <c r="S89">
        <f t="shared" si="2"/>
        <v>2007</v>
      </c>
      <c r="U89">
        <f>G89*About!$B$27</f>
        <v>7.2175199999999995</v>
      </c>
      <c r="V89">
        <f>H89*About!$B$27</f>
        <v>6.4605100000000002</v>
      </c>
    </row>
    <row r="90" spans="1:22" x14ac:dyDescent="0.75">
      <c r="A90" s="13">
        <v>39629</v>
      </c>
      <c r="B90">
        <v>7.97</v>
      </c>
      <c r="C90">
        <v>8.6999999999999993</v>
      </c>
      <c r="D90">
        <v>8.57</v>
      </c>
      <c r="E90">
        <v>10.029999999999999</v>
      </c>
      <c r="F90">
        <v>8.58</v>
      </c>
      <c r="G90">
        <v>8.6199999999999992</v>
      </c>
      <c r="H90">
        <v>7.69</v>
      </c>
      <c r="J90">
        <v>9.18</v>
      </c>
      <c r="K90">
        <v>13.89</v>
      </c>
      <c r="L90">
        <v>97.5</v>
      </c>
      <c r="M90">
        <v>12.23</v>
      </c>
      <c r="N90">
        <v>79.7</v>
      </c>
      <c r="O90">
        <v>9.65</v>
      </c>
      <c r="P90">
        <v>20.399999999999999</v>
      </c>
      <c r="Q90">
        <v>11.75</v>
      </c>
      <c r="R90">
        <v>9.26</v>
      </c>
      <c r="S90">
        <f t="shared" si="2"/>
        <v>2008</v>
      </c>
      <c r="U90">
        <f>G90*About!$B$27</f>
        <v>8.9389399999999988</v>
      </c>
      <c r="V90">
        <f>H90*About!$B$27</f>
        <v>7.9745299999999997</v>
      </c>
    </row>
    <row r="91" spans="1:22" x14ac:dyDescent="0.75">
      <c r="A91" s="13">
        <v>39994</v>
      </c>
      <c r="B91">
        <v>3.67</v>
      </c>
      <c r="C91">
        <v>4.1900000000000004</v>
      </c>
      <c r="D91">
        <v>4.13</v>
      </c>
      <c r="E91">
        <v>4.59</v>
      </c>
      <c r="F91">
        <v>4.47</v>
      </c>
      <c r="G91">
        <v>4.34</v>
      </c>
      <c r="H91">
        <v>8.4</v>
      </c>
      <c r="J91">
        <v>6.48</v>
      </c>
      <c r="K91">
        <v>12.14</v>
      </c>
      <c r="L91">
        <v>97.4</v>
      </c>
      <c r="M91">
        <v>10.06</v>
      </c>
      <c r="N91">
        <v>77.8</v>
      </c>
      <c r="O91">
        <v>5.33</v>
      </c>
      <c r="P91">
        <v>18.8</v>
      </c>
      <c r="Q91">
        <v>8.1300000000000008</v>
      </c>
      <c r="R91">
        <v>4.93</v>
      </c>
      <c r="S91">
        <f t="shared" si="2"/>
        <v>2009</v>
      </c>
      <c r="U91">
        <f>G91*About!$B$27</f>
        <v>4.5005799999999994</v>
      </c>
      <c r="V91">
        <f>H91*About!$B$27</f>
        <v>8.710799999999999</v>
      </c>
    </row>
    <row r="92" spans="1:22" x14ac:dyDescent="0.75">
      <c r="A92" s="13">
        <v>40359</v>
      </c>
      <c r="B92">
        <v>4.4800000000000004</v>
      </c>
      <c r="C92">
        <v>4.5199999999999996</v>
      </c>
      <c r="D92">
        <v>4.46</v>
      </c>
      <c r="E92">
        <v>4.9400000000000004</v>
      </c>
      <c r="F92">
        <v>5.0199999999999996</v>
      </c>
      <c r="G92">
        <v>4.75</v>
      </c>
      <c r="H92">
        <v>9.5299999999999994</v>
      </c>
      <c r="J92">
        <v>6.18</v>
      </c>
      <c r="K92">
        <v>11.39</v>
      </c>
      <c r="L92">
        <v>97.4</v>
      </c>
      <c r="M92">
        <v>9.4700000000000006</v>
      </c>
      <c r="N92">
        <v>77.5</v>
      </c>
      <c r="O92">
        <v>5.49</v>
      </c>
      <c r="P92">
        <v>18</v>
      </c>
      <c r="Q92">
        <v>6.25</v>
      </c>
      <c r="R92">
        <v>5.27</v>
      </c>
      <c r="S92">
        <f t="shared" si="2"/>
        <v>2010</v>
      </c>
      <c r="U92">
        <f>G92*About!$B$27</f>
        <v>4.9257499999999999</v>
      </c>
      <c r="V92">
        <f>H92*About!$B$27</f>
        <v>9.8826099999999979</v>
      </c>
    </row>
    <row r="93" spans="1:22" x14ac:dyDescent="0.75">
      <c r="A93" s="13">
        <v>40724</v>
      </c>
      <c r="B93">
        <v>3.95</v>
      </c>
      <c r="C93">
        <v>4.24</v>
      </c>
      <c r="D93">
        <v>4.09</v>
      </c>
      <c r="E93">
        <v>5.63</v>
      </c>
      <c r="F93">
        <v>4.6399999999999997</v>
      </c>
      <c r="G93">
        <v>4.3499999999999996</v>
      </c>
      <c r="H93">
        <v>10.54</v>
      </c>
      <c r="J93">
        <v>5.63</v>
      </c>
      <c r="K93">
        <v>11.03</v>
      </c>
      <c r="L93">
        <v>96.3</v>
      </c>
      <c r="M93">
        <v>8.91</v>
      </c>
      <c r="N93">
        <v>67.3</v>
      </c>
      <c r="O93">
        <v>5.13</v>
      </c>
      <c r="P93">
        <v>16.3</v>
      </c>
      <c r="Q93">
        <v>7.48</v>
      </c>
      <c r="R93">
        <v>4.8899999999999997</v>
      </c>
      <c r="S93">
        <f t="shared" si="2"/>
        <v>2011</v>
      </c>
      <c r="U93">
        <f>G93*About!$B$27</f>
        <v>4.5109499999999993</v>
      </c>
      <c r="V93">
        <f>H93*About!$B$27</f>
        <v>10.929979999999999</v>
      </c>
    </row>
    <row r="94" spans="1:22" x14ac:dyDescent="0.75">
      <c r="A94" s="13">
        <v>41090</v>
      </c>
      <c r="B94">
        <v>2.66</v>
      </c>
      <c r="C94">
        <v>2.88</v>
      </c>
      <c r="D94">
        <v>2.79</v>
      </c>
      <c r="E94">
        <v>4.2699999999999996</v>
      </c>
      <c r="F94">
        <v>3.25</v>
      </c>
      <c r="G94">
        <v>3.08</v>
      </c>
      <c r="H94">
        <v>12.82</v>
      </c>
      <c r="J94">
        <v>4.7300000000000004</v>
      </c>
      <c r="K94">
        <v>10.65</v>
      </c>
      <c r="L94">
        <v>95.8</v>
      </c>
      <c r="M94">
        <v>8.1</v>
      </c>
      <c r="N94">
        <v>65.2</v>
      </c>
      <c r="O94">
        <v>3.88</v>
      </c>
      <c r="P94">
        <v>16.2</v>
      </c>
      <c r="Q94">
        <v>8.0399999999999991</v>
      </c>
      <c r="R94">
        <v>3.54</v>
      </c>
      <c r="S94">
        <f t="shared" si="2"/>
        <v>2012</v>
      </c>
      <c r="U94">
        <f>G94*About!$B$27</f>
        <v>3.1939599999999997</v>
      </c>
      <c r="V94">
        <f>H94*About!$B$27</f>
        <v>13.29434</v>
      </c>
    </row>
    <row r="95" spans="1:22" x14ac:dyDescent="0.75">
      <c r="A95" s="13">
        <v>41455</v>
      </c>
      <c r="C95">
        <v>3.83</v>
      </c>
      <c r="D95">
        <v>3.73</v>
      </c>
      <c r="E95">
        <v>6.8</v>
      </c>
      <c r="F95">
        <v>4.08</v>
      </c>
      <c r="G95">
        <v>4.0599999999999996</v>
      </c>
      <c r="H95">
        <v>13.36</v>
      </c>
      <c r="J95">
        <v>4.88</v>
      </c>
      <c r="K95">
        <v>10.32</v>
      </c>
      <c r="L95">
        <v>95.7</v>
      </c>
      <c r="M95">
        <v>8.08</v>
      </c>
      <c r="N95">
        <v>65.8</v>
      </c>
      <c r="O95">
        <v>4.6399999999999997</v>
      </c>
      <c r="P95">
        <v>16.600000000000001</v>
      </c>
      <c r="R95">
        <v>4.49</v>
      </c>
      <c r="S95">
        <f t="shared" si="2"/>
        <v>2013</v>
      </c>
      <c r="U95">
        <f>G95*About!$B$27</f>
        <v>4.2102199999999996</v>
      </c>
      <c r="V95">
        <f>H95*About!$B$27</f>
        <v>13.854319999999998</v>
      </c>
    </row>
    <row r="96" spans="1:22" x14ac:dyDescent="0.75">
      <c r="A96" s="13">
        <v>41820</v>
      </c>
      <c r="C96">
        <v>5.3</v>
      </c>
      <c r="D96">
        <v>5.21</v>
      </c>
      <c r="E96">
        <v>8.85</v>
      </c>
      <c r="F96">
        <v>5.51</v>
      </c>
      <c r="G96">
        <v>5.4</v>
      </c>
      <c r="H96">
        <v>15.66</v>
      </c>
      <c r="J96">
        <v>5.71</v>
      </c>
      <c r="K96">
        <v>10.97</v>
      </c>
      <c r="L96">
        <v>95.5</v>
      </c>
      <c r="M96">
        <v>8.9</v>
      </c>
      <c r="N96">
        <v>65.8</v>
      </c>
      <c r="O96">
        <v>5.62</v>
      </c>
      <c r="P96">
        <v>15.9</v>
      </c>
      <c r="R96">
        <v>5.19</v>
      </c>
      <c r="S96">
        <f t="shared" si="2"/>
        <v>2014</v>
      </c>
      <c r="U96">
        <f>G96*About!$B$27</f>
        <v>5.5998000000000001</v>
      </c>
      <c r="V96">
        <f>H96*About!$B$27</f>
        <v>16.239419999999999</v>
      </c>
    </row>
    <row r="97" spans="1:22" x14ac:dyDescent="0.75">
      <c r="A97" s="13">
        <v>42185</v>
      </c>
      <c r="C97">
        <v>2.99</v>
      </c>
      <c r="D97">
        <v>2.84</v>
      </c>
      <c r="E97">
        <v>7.37</v>
      </c>
      <c r="F97">
        <v>3.07</v>
      </c>
      <c r="G97">
        <v>2.95</v>
      </c>
      <c r="H97">
        <v>10.92</v>
      </c>
      <c r="J97">
        <v>4.26</v>
      </c>
      <c r="K97">
        <v>10.38</v>
      </c>
      <c r="L97">
        <v>95.6</v>
      </c>
      <c r="M97">
        <v>7.91</v>
      </c>
      <c r="N97">
        <v>65.7</v>
      </c>
      <c r="O97">
        <v>3.93</v>
      </c>
      <c r="P97">
        <v>14.8</v>
      </c>
      <c r="R97">
        <v>3.38</v>
      </c>
      <c r="S97">
        <f t="shared" si="2"/>
        <v>2015</v>
      </c>
      <c r="U97">
        <f>G97*About!$B$27</f>
        <v>3.0591499999999998</v>
      </c>
      <c r="V97">
        <f>H97*About!$B$27</f>
        <v>11.324039999999998</v>
      </c>
    </row>
    <row r="98" spans="1:22" x14ac:dyDescent="0.75">
      <c r="A98" s="13">
        <v>42551</v>
      </c>
      <c r="C98">
        <v>2.2400000000000002</v>
      </c>
      <c r="D98">
        <v>2.1800000000000002</v>
      </c>
      <c r="E98">
        <v>4.07</v>
      </c>
      <c r="F98">
        <v>2.79</v>
      </c>
      <c r="G98">
        <v>2.63</v>
      </c>
      <c r="H98">
        <v>4.71</v>
      </c>
      <c r="J98">
        <v>3.71</v>
      </c>
      <c r="K98">
        <v>10.050000000000001</v>
      </c>
      <c r="L98">
        <v>95.8</v>
      </c>
      <c r="M98">
        <v>7.28</v>
      </c>
      <c r="N98">
        <v>64.8</v>
      </c>
      <c r="O98">
        <v>3.51</v>
      </c>
      <c r="P98">
        <v>14.9</v>
      </c>
      <c r="R98">
        <v>2.99</v>
      </c>
      <c r="S98">
        <f t="shared" si="2"/>
        <v>2016</v>
      </c>
      <c r="U98">
        <f>G98*About!$B$27</f>
        <v>2.7273099999999997</v>
      </c>
      <c r="V98">
        <f>H98*About!$B$27</f>
        <v>4.8842699999999999</v>
      </c>
    </row>
    <row r="99" spans="1:22" x14ac:dyDescent="0.75">
      <c r="A99" s="13">
        <v>42916</v>
      </c>
      <c r="C99">
        <v>2.6</v>
      </c>
      <c r="D99">
        <v>2.5499999999999998</v>
      </c>
      <c r="E99">
        <v>4.58</v>
      </c>
      <c r="F99">
        <v>3.54</v>
      </c>
      <c r="G99">
        <v>3.2</v>
      </c>
      <c r="H99">
        <v>4.6900000000000004</v>
      </c>
      <c r="J99">
        <v>4.16</v>
      </c>
      <c r="K99">
        <v>10.91</v>
      </c>
      <c r="L99">
        <v>95.9</v>
      </c>
      <c r="M99">
        <v>7.88</v>
      </c>
      <c r="N99">
        <v>65.400000000000006</v>
      </c>
      <c r="O99">
        <v>4.08</v>
      </c>
      <c r="P99">
        <v>14.8</v>
      </c>
      <c r="R99">
        <v>3.51</v>
      </c>
      <c r="S99">
        <f t="shared" si="2"/>
        <v>2017</v>
      </c>
      <c r="U99">
        <f>G99*About!$B$27</f>
        <v>3.3184</v>
      </c>
      <c r="V99">
        <f>H99*About!$B$27</f>
        <v>4.8635299999999999</v>
      </c>
    </row>
    <row r="100" spans="1:22" x14ac:dyDescent="0.75">
      <c r="A100" s="13">
        <v>43281</v>
      </c>
      <c r="C100">
        <v>2.69</v>
      </c>
      <c r="D100">
        <v>2.58</v>
      </c>
      <c r="E100">
        <v>6.56</v>
      </c>
      <c r="F100">
        <v>3.89</v>
      </c>
      <c r="G100">
        <v>3.34</v>
      </c>
      <c r="H100">
        <v>5.2</v>
      </c>
      <c r="J100">
        <v>4.2300000000000004</v>
      </c>
      <c r="K100">
        <v>10.5</v>
      </c>
      <c r="L100">
        <v>96</v>
      </c>
      <c r="M100">
        <v>7.79</v>
      </c>
      <c r="N100">
        <v>65.8</v>
      </c>
      <c r="O100">
        <v>4.1900000000000004</v>
      </c>
      <c r="P100">
        <v>14.5</v>
      </c>
      <c r="R100">
        <v>3.68</v>
      </c>
      <c r="S100">
        <f t="shared" si="2"/>
        <v>2018</v>
      </c>
      <c r="U100">
        <f>G100*About!$B$27</f>
        <v>3.4635799999999994</v>
      </c>
      <c r="V100">
        <f>H100*About!$B$27</f>
        <v>5.3923999999999994</v>
      </c>
    </row>
    <row r="101" spans="1:22" x14ac:dyDescent="0.75">
      <c r="A101" s="13">
        <v>43646</v>
      </c>
      <c r="C101">
        <v>2.5499999999999998</v>
      </c>
      <c r="D101">
        <v>2.46</v>
      </c>
      <c r="E101">
        <v>7.44</v>
      </c>
      <c r="F101">
        <v>3.64</v>
      </c>
      <c r="G101">
        <v>2.64</v>
      </c>
      <c r="H101">
        <v>5.21</v>
      </c>
      <c r="J101">
        <v>3.81</v>
      </c>
      <c r="K101">
        <v>10.51</v>
      </c>
      <c r="L101">
        <v>96.2</v>
      </c>
      <c r="M101">
        <v>7.61</v>
      </c>
      <c r="N101">
        <v>65.5</v>
      </c>
      <c r="O101">
        <v>3.9</v>
      </c>
      <c r="P101">
        <v>13</v>
      </c>
      <c r="R101">
        <v>2.99</v>
      </c>
      <c r="S101">
        <f t="shared" si="2"/>
        <v>2019</v>
      </c>
      <c r="U101">
        <f>G101*About!$B$27</f>
        <v>2.7376800000000001</v>
      </c>
      <c r="V101">
        <f>H101*About!$B$27</f>
        <v>5.4027699999999994</v>
      </c>
    </row>
    <row r="102" spans="1:22" x14ac:dyDescent="0.75">
      <c r="A102" s="13">
        <v>44012</v>
      </c>
      <c r="C102">
        <v>2.0699999999999998</v>
      </c>
      <c r="D102">
        <v>2.02</v>
      </c>
      <c r="E102">
        <v>4.5999999999999996</v>
      </c>
      <c r="F102">
        <v>3.7</v>
      </c>
      <c r="G102">
        <v>2.1</v>
      </c>
      <c r="H102">
        <v>5.64</v>
      </c>
      <c r="J102">
        <v>3.43</v>
      </c>
      <c r="K102">
        <v>10.78</v>
      </c>
      <c r="L102">
        <v>96.3</v>
      </c>
      <c r="M102">
        <v>7.49</v>
      </c>
      <c r="N102">
        <v>64.599999999999994</v>
      </c>
      <c r="O102">
        <v>3.32</v>
      </c>
      <c r="P102">
        <v>13.2</v>
      </c>
      <c r="R102">
        <v>2.4900000000000002</v>
      </c>
      <c r="S102">
        <f t="shared" si="2"/>
        <v>2020</v>
      </c>
      <c r="U102">
        <f>G102*About!$B$27</f>
        <v>2.1776999999999997</v>
      </c>
      <c r="V102">
        <f>H102*About!$B$27</f>
        <v>5.848679999999999</v>
      </c>
    </row>
    <row r="103" spans="1:22" x14ac:dyDescent="0.75">
      <c r="A103" s="13">
        <v>44377</v>
      </c>
      <c r="C103">
        <v>3.78</v>
      </c>
      <c r="D103">
        <v>3.72</v>
      </c>
      <c r="E103">
        <v>12.21</v>
      </c>
      <c r="F103">
        <v>6.38</v>
      </c>
      <c r="G103">
        <v>4.9400000000000004</v>
      </c>
      <c r="H103">
        <v>7.62</v>
      </c>
      <c r="J103">
        <v>6.02</v>
      </c>
      <c r="K103">
        <v>12.18</v>
      </c>
      <c r="L103">
        <v>96.6</v>
      </c>
      <c r="M103">
        <v>8.7899999999999991</v>
      </c>
      <c r="N103">
        <v>65.099999999999994</v>
      </c>
      <c r="O103">
        <v>5.5</v>
      </c>
      <c r="P103">
        <v>13.4</v>
      </c>
      <c r="R103">
        <v>5.17</v>
      </c>
      <c r="S103">
        <f t="shared" si="2"/>
        <v>2021</v>
      </c>
      <c r="U103">
        <f>G103*About!$B$27</f>
        <v>5.1227799999999997</v>
      </c>
      <c r="V103">
        <f>H103*About!$B$27</f>
        <v>7.9019399999999997</v>
      </c>
    </row>
    <row r="104" spans="1:22" x14ac:dyDescent="0.75">
      <c r="A104" s="38">
        <v>44742</v>
      </c>
      <c r="C104">
        <v>6.33</v>
      </c>
      <c r="D104">
        <v>6.15</v>
      </c>
      <c r="E104">
        <v>28.51</v>
      </c>
      <c r="F104">
        <v>9.65</v>
      </c>
      <c r="G104">
        <v>6.33</v>
      </c>
      <c r="H104">
        <v>12.24</v>
      </c>
      <c r="J104">
        <v>6.83</v>
      </c>
      <c r="K104">
        <v>14.8</v>
      </c>
      <c r="L104">
        <v>96.8</v>
      </c>
      <c r="M104">
        <v>11.34</v>
      </c>
      <c r="N104">
        <v>66.099999999999994</v>
      </c>
      <c r="O104">
        <v>7.9</v>
      </c>
      <c r="P104">
        <v>13.6</v>
      </c>
      <c r="R104">
        <v>7.52</v>
      </c>
      <c r="S104">
        <f t="shared" si="2"/>
        <v>2022</v>
      </c>
      <c r="U104">
        <f>G104*About!$B$27</f>
        <v>6.5642099999999992</v>
      </c>
      <c r="V104">
        <f>H104*About!$B$27</f>
        <v>12.692879999999999</v>
      </c>
    </row>
  </sheetData>
  <hyperlinks>
    <hyperlink ref="A1" location="Contents!A1" display="Back to Contents" xr:uid="{4BE9D40F-2FDE-455B-B4AB-55589D86053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044E-6069-409A-82B6-E7EAA03DB369}">
  <dimension ref="A1:P32"/>
  <sheetViews>
    <sheetView workbookViewId="0"/>
  </sheetViews>
  <sheetFormatPr defaultRowHeight="14.75" x14ac:dyDescent="0.75"/>
  <cols>
    <col min="1" max="1" width="28.7265625" customWidth="1"/>
    <col min="2" max="2" width="29.86328125" customWidth="1"/>
  </cols>
  <sheetData>
    <row r="1" spans="1:16" x14ac:dyDescent="0.75">
      <c r="A1" t="s">
        <v>1529</v>
      </c>
    </row>
    <row r="2" spans="1:16" x14ac:dyDescent="0.75">
      <c r="A2">
        <v>1</v>
      </c>
      <c r="B2" cm="1">
        <f t="array" ref="B2">SUMPRODUCT(IF('Historical Monthly Gas Cons'!$C$4:$C$269='NG Calcs'!A2,IF('Historical Monthly Gas Cons'!$D$4:$D$269&gt;2015,'Historical Monthly Gas Cons'!$B$4:$B$269))/SUMPRODUCT(IF('Historical Monthly Gas Cons'!$D$4:$D$269&gt;2015,'Historical Monthly Gas Cons'!$B$4:$B$269)))</f>
        <v>0.12382704501885247</v>
      </c>
    </row>
    <row r="3" spans="1:16" x14ac:dyDescent="0.75">
      <c r="A3">
        <v>2</v>
      </c>
      <c r="B3" cm="1">
        <f t="array" ref="B3">SUMPRODUCT(IF('Historical Monthly Gas Cons'!$C$4:$C$269='NG Calcs'!A3,IF('Historical Monthly Gas Cons'!$D$4:$D$269&gt;2015,'Historical Monthly Gas Cons'!$B$4:$B$269))/SUMPRODUCT(IF('Historical Monthly Gas Cons'!$D$4:$D$269&gt;2015,'Historical Monthly Gas Cons'!$B$4:$B$269)))</f>
        <v>0.10742266233289444</v>
      </c>
    </row>
    <row r="4" spans="1:16" x14ac:dyDescent="0.75">
      <c r="A4">
        <v>3</v>
      </c>
      <c r="B4" cm="1">
        <f t="array" ref="B4">SUMPRODUCT(IF('Historical Monthly Gas Cons'!$C$4:$C$269='NG Calcs'!A4,IF('Historical Monthly Gas Cons'!$D$4:$D$269&gt;2015,'Historical Monthly Gas Cons'!$B$4:$B$269))/SUMPRODUCT(IF('Historical Monthly Gas Cons'!$D$4:$D$269&gt;2015,'Historical Monthly Gas Cons'!$B$4:$B$269)))</f>
        <v>8.7329298761668395E-2</v>
      </c>
    </row>
    <row r="5" spans="1:16" x14ac:dyDescent="0.75">
      <c r="A5">
        <v>4</v>
      </c>
      <c r="B5" cm="1">
        <f t="array" ref="B5">SUMPRODUCT(IF('Historical Monthly Gas Cons'!$C$4:$C$269='NG Calcs'!A5,IF('Historical Monthly Gas Cons'!$D$4:$D$269&gt;2015,'Historical Monthly Gas Cons'!$B$4:$B$269))/SUMPRODUCT(IF('Historical Monthly Gas Cons'!$D$4:$D$269&gt;2015,'Historical Monthly Gas Cons'!$B$4:$B$269)))</f>
        <v>7.128272661730832E-2</v>
      </c>
    </row>
    <row r="6" spans="1:16" x14ac:dyDescent="0.75">
      <c r="A6">
        <v>5</v>
      </c>
      <c r="B6" cm="1">
        <f t="array" ref="B6">SUMPRODUCT(IF('Historical Monthly Gas Cons'!$C$4:$C$269='NG Calcs'!A6,IF('Historical Monthly Gas Cons'!$D$4:$D$269&gt;2015,'Historical Monthly Gas Cons'!$B$4:$B$269))/SUMPRODUCT(IF('Historical Monthly Gas Cons'!$D$4:$D$269&gt;2015,'Historical Monthly Gas Cons'!$B$4:$B$269)))</f>
        <v>6.6269100078233514E-2</v>
      </c>
    </row>
    <row r="7" spans="1:16" x14ac:dyDescent="0.75">
      <c r="A7">
        <v>6</v>
      </c>
      <c r="B7" cm="1">
        <f t="array" ref="B7">SUMPRODUCT(IF('Historical Monthly Gas Cons'!$C$4:$C$269='NG Calcs'!A7,IF('Historical Monthly Gas Cons'!$D$4:$D$269&gt;2015,'Historical Monthly Gas Cons'!$B$4:$B$269))/SUMPRODUCT(IF('Historical Monthly Gas Cons'!$D$4:$D$269&gt;2015,'Historical Monthly Gas Cons'!$B$4:$B$269)))</f>
        <v>6.78853930968637E-2</v>
      </c>
    </row>
    <row r="8" spans="1:16" x14ac:dyDescent="0.75">
      <c r="A8">
        <v>7</v>
      </c>
      <c r="B8" cm="1">
        <f t="array" ref="B8">SUMPRODUCT(IF('Historical Monthly Gas Cons'!$C$4:$C$269='NG Calcs'!A8,IF('Historical Monthly Gas Cons'!$D$4:$D$269&gt;2015,'Historical Monthly Gas Cons'!$B$4:$B$269))/SUMPRODUCT(IF('Historical Monthly Gas Cons'!$D$4:$D$269&gt;2015,'Historical Monthly Gas Cons'!$B$4:$B$269)))</f>
        <v>7.6317396035237045E-2</v>
      </c>
    </row>
    <row r="9" spans="1:16" x14ac:dyDescent="0.75">
      <c r="A9">
        <v>8</v>
      </c>
      <c r="B9" cm="1">
        <f t="array" ref="B9">SUMPRODUCT(IF('Historical Monthly Gas Cons'!$C$4:$C$269='NG Calcs'!A9,IF('Historical Monthly Gas Cons'!$D$4:$D$269&gt;2015,'Historical Monthly Gas Cons'!$B$4:$B$269))/SUMPRODUCT(IF('Historical Monthly Gas Cons'!$D$4:$D$269&gt;2015,'Historical Monthly Gas Cons'!$B$4:$B$269)))</f>
        <v>7.5843105050075202E-2</v>
      </c>
    </row>
    <row r="10" spans="1:16" x14ac:dyDescent="0.75">
      <c r="A10">
        <v>9</v>
      </c>
      <c r="B10" cm="1">
        <f t="array" ref="B10">SUMPRODUCT(IF('Historical Monthly Gas Cons'!$C$4:$C$269='NG Calcs'!A10,IF('Historical Monthly Gas Cons'!$D$4:$D$269&gt;2015,'Historical Monthly Gas Cons'!$B$4:$B$269))/SUMPRODUCT(IF('Historical Monthly Gas Cons'!$D$4:$D$269&gt;2015,'Historical Monthly Gas Cons'!$B$4:$B$269)))</f>
        <v>6.7945890098551814E-2</v>
      </c>
    </row>
    <row r="11" spans="1:16" x14ac:dyDescent="0.75">
      <c r="A11">
        <v>10</v>
      </c>
      <c r="B11" cm="1">
        <f t="array" ref="B11">SUMPRODUCT(IF('Historical Monthly Gas Cons'!$C$4:$C$269='NG Calcs'!A11,IF('Historical Monthly Gas Cons'!$D$4:$D$269&gt;2015,'Historical Monthly Gas Cons'!$B$4:$B$269))/SUMPRODUCT(IF('Historical Monthly Gas Cons'!$D$4:$D$269&gt;2015,'Historical Monthly Gas Cons'!$B$4:$B$269)))</f>
        <v>7.1095411335062392E-2</v>
      </c>
    </row>
    <row r="12" spans="1:16" x14ac:dyDescent="0.75">
      <c r="A12">
        <v>11</v>
      </c>
      <c r="B12" cm="1">
        <f t="array" ref="B12">SUMPRODUCT(IF('Historical Monthly Gas Cons'!$C$4:$C$269='NG Calcs'!A12,IF('Historical Monthly Gas Cons'!$D$4:$D$269&gt;2015,'Historical Monthly Gas Cons'!$B$4:$B$269))/SUMPRODUCT(IF('Historical Monthly Gas Cons'!$D$4:$D$269&gt;2015,'Historical Monthly Gas Cons'!$B$4:$B$269)))</f>
        <v>8.3164348969003224E-2</v>
      </c>
    </row>
    <row r="13" spans="1:16" x14ac:dyDescent="0.75">
      <c r="A13">
        <v>12</v>
      </c>
      <c r="B13" cm="1">
        <f t="array" ref="B13">SUMPRODUCT(IF('Historical Monthly Gas Cons'!$C$4:$C$269='NG Calcs'!A13,IF('Historical Monthly Gas Cons'!$D$4:$D$269&gt;2015,'Historical Monthly Gas Cons'!$B$4:$B$269))/SUMPRODUCT(IF('Historical Monthly Gas Cons'!$D$4:$D$269&gt;2015,'Historical Monthly Gas Cons'!$B$4:$B$269)))</f>
        <v>0.10161762260624949</v>
      </c>
    </row>
    <row r="15" spans="1:16" x14ac:dyDescent="0.75">
      <c r="A15" s="7" t="s">
        <v>1536</v>
      </c>
    </row>
    <row r="16" spans="1:16" x14ac:dyDescent="0.75">
      <c r="A16" t="s">
        <v>1528</v>
      </c>
      <c r="B16">
        <v>2021</v>
      </c>
      <c r="C16">
        <v>2022</v>
      </c>
      <c r="D16">
        <v>2023</v>
      </c>
      <c r="E16">
        <v>2024</v>
      </c>
      <c r="F16">
        <v>2025</v>
      </c>
      <c r="G16">
        <v>2026</v>
      </c>
      <c r="H16">
        <v>2027</v>
      </c>
      <c r="I16">
        <v>2028</v>
      </c>
      <c r="J16">
        <v>2029</v>
      </c>
      <c r="K16">
        <v>2030</v>
      </c>
      <c r="L16">
        <v>2031</v>
      </c>
      <c r="M16">
        <v>2032</v>
      </c>
      <c r="N16">
        <v>2033</v>
      </c>
      <c r="O16">
        <v>2034</v>
      </c>
      <c r="P16">
        <v>2035</v>
      </c>
    </row>
    <row r="17" spans="1:16" x14ac:dyDescent="0.75">
      <c r="A17">
        <v>1</v>
      </c>
      <c r="B17">
        <v>2.71</v>
      </c>
      <c r="C17">
        <v>4.38</v>
      </c>
      <c r="D17">
        <v>3.27</v>
      </c>
      <c r="E17">
        <v>3.9220000000000002</v>
      </c>
      <c r="F17">
        <v>4.649</v>
      </c>
      <c r="G17">
        <v>4.95</v>
      </c>
      <c r="H17">
        <v>4.9329999999999998</v>
      </c>
      <c r="I17">
        <v>4.9359999999999999</v>
      </c>
      <c r="J17">
        <v>4.952</v>
      </c>
      <c r="K17">
        <v>4.9880000000000004</v>
      </c>
      <c r="L17">
        <v>4.9269999999999996</v>
      </c>
      <c r="M17">
        <v>4.952</v>
      </c>
      <c r="N17">
        <v>4.931</v>
      </c>
      <c r="O17">
        <v>5.0449999999999999</v>
      </c>
      <c r="P17">
        <v>5.0339999999999998</v>
      </c>
    </row>
    <row r="18" spans="1:16" x14ac:dyDescent="0.75">
      <c r="A18">
        <v>2</v>
      </c>
      <c r="B18">
        <v>5.35</v>
      </c>
      <c r="C18">
        <v>4.6900000000000004</v>
      </c>
      <c r="D18">
        <v>2.38</v>
      </c>
      <c r="E18">
        <v>3.843</v>
      </c>
      <c r="F18">
        <v>4.5460000000000003</v>
      </c>
      <c r="G18">
        <v>4.7409999999999997</v>
      </c>
      <c r="H18">
        <v>4.7450000000000001</v>
      </c>
      <c r="I18">
        <v>4.7480000000000002</v>
      </c>
      <c r="J18">
        <v>4.7619999999999996</v>
      </c>
      <c r="K18">
        <v>4.7880000000000003</v>
      </c>
      <c r="L18">
        <v>4.7569999999999997</v>
      </c>
      <c r="M18">
        <v>4.782</v>
      </c>
      <c r="N18">
        <v>4.7709999999999999</v>
      </c>
      <c r="O18">
        <v>4.8849999999999998</v>
      </c>
      <c r="P18">
        <v>4.9690000000000003</v>
      </c>
    </row>
    <row r="19" spans="1:16" x14ac:dyDescent="0.75">
      <c r="A19">
        <v>3</v>
      </c>
      <c r="B19">
        <v>2.62</v>
      </c>
      <c r="C19">
        <v>4.9000000000000004</v>
      </c>
      <c r="D19">
        <v>2.31</v>
      </c>
      <c r="E19">
        <v>3.5110000000000001</v>
      </c>
      <c r="F19">
        <v>4.1760000000000002</v>
      </c>
      <c r="G19">
        <v>4.3049999999999997</v>
      </c>
      <c r="H19">
        <v>4.2949999999999999</v>
      </c>
      <c r="I19">
        <v>4.3010000000000002</v>
      </c>
      <c r="J19">
        <v>4.3120000000000003</v>
      </c>
      <c r="K19">
        <v>4.3280000000000003</v>
      </c>
      <c r="L19">
        <v>4.3570000000000002</v>
      </c>
      <c r="M19">
        <v>4.3819999999999997</v>
      </c>
      <c r="N19">
        <v>4.4210000000000003</v>
      </c>
      <c r="O19">
        <v>4.6100000000000003</v>
      </c>
      <c r="P19">
        <v>4.8689999999999998</v>
      </c>
    </row>
    <row r="20" spans="1:16" x14ac:dyDescent="0.75">
      <c r="A20">
        <v>4</v>
      </c>
      <c r="B20">
        <v>2.66</v>
      </c>
      <c r="C20">
        <v>6.6</v>
      </c>
      <c r="D20">
        <v>2.16</v>
      </c>
      <c r="E20">
        <v>3.1480000000000001</v>
      </c>
      <c r="F20">
        <v>3.7519999999999998</v>
      </c>
      <c r="G20">
        <v>3.79</v>
      </c>
      <c r="H20">
        <v>3.7850000000000001</v>
      </c>
      <c r="I20">
        <v>3.774</v>
      </c>
      <c r="J20">
        <v>3.7570000000000001</v>
      </c>
      <c r="K20">
        <v>3.778</v>
      </c>
      <c r="L20">
        <v>3.8580000000000001</v>
      </c>
      <c r="M20">
        <v>3.9369999999999998</v>
      </c>
      <c r="N20">
        <v>4.0910000000000002</v>
      </c>
      <c r="O20">
        <v>4.28</v>
      </c>
      <c r="P20">
        <v>4.5389999999999997</v>
      </c>
    </row>
    <row r="21" spans="1:16" x14ac:dyDescent="0.75">
      <c r="A21">
        <v>5</v>
      </c>
      <c r="B21">
        <v>2.91</v>
      </c>
      <c r="C21">
        <v>8.14</v>
      </c>
      <c r="D21" s="25">
        <v>2.2873333333333332</v>
      </c>
      <c r="E21">
        <v>3.129</v>
      </c>
      <c r="F21">
        <v>3.7240000000000002</v>
      </c>
      <c r="G21">
        <v>3.7749999999999999</v>
      </c>
      <c r="H21">
        <v>3.76</v>
      </c>
      <c r="I21">
        <v>3.7320000000000002</v>
      </c>
      <c r="J21">
        <v>3.7120000000000002</v>
      </c>
      <c r="K21">
        <v>3.7559999999999998</v>
      </c>
      <c r="L21">
        <v>3.8359999999999999</v>
      </c>
      <c r="M21">
        <v>3.915</v>
      </c>
      <c r="N21">
        <v>4.069</v>
      </c>
      <c r="O21">
        <v>4.258</v>
      </c>
      <c r="P21">
        <v>4.5170000000000003</v>
      </c>
    </row>
    <row r="22" spans="1:16" x14ac:dyDescent="0.75">
      <c r="A22">
        <v>6</v>
      </c>
      <c r="B22">
        <v>3.26</v>
      </c>
      <c r="C22">
        <v>7.7</v>
      </c>
      <c r="D22" s="25">
        <v>2.4146666666666663</v>
      </c>
      <c r="E22">
        <v>3.26</v>
      </c>
      <c r="F22">
        <v>3.8540000000000001</v>
      </c>
      <c r="G22">
        <v>3.8719999999999999</v>
      </c>
      <c r="H22">
        <v>3.83</v>
      </c>
      <c r="I22">
        <v>3.8069999999999999</v>
      </c>
      <c r="J22">
        <v>3.7890000000000001</v>
      </c>
      <c r="K22">
        <v>3.8159999999999998</v>
      </c>
      <c r="L22">
        <v>3.871</v>
      </c>
      <c r="M22">
        <v>3.95</v>
      </c>
      <c r="N22">
        <v>4.1040000000000001</v>
      </c>
      <c r="O22">
        <v>4.2930000000000001</v>
      </c>
      <c r="P22">
        <v>4.5519999999999996</v>
      </c>
    </row>
    <row r="23" spans="1:16" x14ac:dyDescent="0.75">
      <c r="A23">
        <v>7</v>
      </c>
      <c r="B23">
        <v>3.84</v>
      </c>
      <c r="C23">
        <v>7.28</v>
      </c>
      <c r="D23">
        <v>2.5419999999999998</v>
      </c>
      <c r="E23">
        <v>3.379</v>
      </c>
      <c r="F23">
        <v>3.9820000000000002</v>
      </c>
      <c r="G23">
        <v>3.9809999999999999</v>
      </c>
      <c r="H23">
        <v>3.911</v>
      </c>
      <c r="I23">
        <v>3.887</v>
      </c>
      <c r="J23">
        <v>3.8740000000000001</v>
      </c>
      <c r="K23">
        <v>3.8860000000000001</v>
      </c>
      <c r="L23">
        <v>3.911</v>
      </c>
      <c r="M23">
        <v>3.99</v>
      </c>
      <c r="N23">
        <v>4.1440000000000001</v>
      </c>
      <c r="O23">
        <v>4.3330000000000002</v>
      </c>
      <c r="P23">
        <v>4.5919999999999996</v>
      </c>
    </row>
    <row r="24" spans="1:16" x14ac:dyDescent="0.75">
      <c r="A24">
        <v>8</v>
      </c>
      <c r="B24">
        <v>4.07</v>
      </c>
      <c r="C24">
        <v>8.81</v>
      </c>
      <c r="D24">
        <v>2.6240000000000001</v>
      </c>
      <c r="E24">
        <v>3.419</v>
      </c>
      <c r="F24">
        <v>4.0199999999999996</v>
      </c>
      <c r="G24">
        <v>3.992</v>
      </c>
      <c r="H24">
        <v>3.9449999999999998</v>
      </c>
      <c r="I24">
        <v>3.9140000000000001</v>
      </c>
      <c r="J24">
        <v>3.9</v>
      </c>
      <c r="K24">
        <v>3.9260000000000002</v>
      </c>
      <c r="L24">
        <v>3.9510000000000001</v>
      </c>
      <c r="M24">
        <v>4.03</v>
      </c>
      <c r="N24">
        <v>4.1840000000000002</v>
      </c>
      <c r="O24">
        <v>4.3730000000000002</v>
      </c>
      <c r="P24">
        <v>4.6319999999999997</v>
      </c>
    </row>
    <row r="25" spans="1:16" x14ac:dyDescent="0.75">
      <c r="A25">
        <v>9</v>
      </c>
      <c r="B25">
        <v>5.16</v>
      </c>
      <c r="C25">
        <v>7.88</v>
      </c>
      <c r="D25">
        <v>2.62</v>
      </c>
      <c r="E25">
        <v>3.3849999999999998</v>
      </c>
      <c r="F25">
        <v>3.9710000000000001</v>
      </c>
      <c r="G25">
        <v>3.9449999999999998</v>
      </c>
      <c r="H25">
        <v>3.9279999999999999</v>
      </c>
      <c r="I25">
        <v>3.9140000000000001</v>
      </c>
      <c r="J25">
        <v>3.9039999999999999</v>
      </c>
      <c r="K25">
        <v>3.9409999999999998</v>
      </c>
      <c r="L25">
        <v>3.9660000000000002</v>
      </c>
      <c r="M25">
        <v>4.0449999999999999</v>
      </c>
      <c r="N25">
        <v>4.1989999999999998</v>
      </c>
      <c r="O25">
        <v>4.3879999999999999</v>
      </c>
      <c r="P25">
        <v>4.6470000000000002</v>
      </c>
    </row>
    <row r="26" spans="1:16" x14ac:dyDescent="0.75">
      <c r="A26">
        <v>10</v>
      </c>
      <c r="B26">
        <v>5.51</v>
      </c>
      <c r="C26">
        <v>5.66</v>
      </c>
      <c r="D26">
        <v>2.7210000000000001</v>
      </c>
      <c r="E26">
        <v>3.47</v>
      </c>
      <c r="F26">
        <v>4.0350000000000001</v>
      </c>
      <c r="G26">
        <v>4.0110000000000001</v>
      </c>
      <c r="H26">
        <v>4.03</v>
      </c>
      <c r="I26">
        <v>4.0170000000000003</v>
      </c>
      <c r="J26">
        <v>3.984</v>
      </c>
      <c r="K26">
        <v>3.9870000000000001</v>
      </c>
      <c r="L26">
        <v>4.0359999999999996</v>
      </c>
      <c r="M26">
        <v>4.0910000000000002</v>
      </c>
      <c r="N26">
        <v>4.2450000000000001</v>
      </c>
      <c r="O26">
        <v>4.4340000000000002</v>
      </c>
      <c r="P26">
        <v>4.6929999999999996</v>
      </c>
    </row>
    <row r="27" spans="1:16" x14ac:dyDescent="0.75">
      <c r="A27">
        <v>11</v>
      </c>
      <c r="B27">
        <v>5.05</v>
      </c>
      <c r="C27">
        <v>5.45</v>
      </c>
      <c r="D27">
        <v>3.157</v>
      </c>
      <c r="E27">
        <v>3.85</v>
      </c>
      <c r="F27">
        <v>4.3550000000000004</v>
      </c>
      <c r="G27">
        <v>4.3259999999999996</v>
      </c>
      <c r="H27">
        <v>4.3659999999999997</v>
      </c>
      <c r="I27">
        <v>4.3330000000000002</v>
      </c>
      <c r="J27">
        <v>4.3390000000000004</v>
      </c>
      <c r="K27">
        <v>4.3070000000000004</v>
      </c>
      <c r="L27">
        <v>4.3559999999999999</v>
      </c>
      <c r="M27">
        <v>4.2960000000000003</v>
      </c>
      <c r="N27">
        <v>4.42</v>
      </c>
      <c r="O27">
        <v>4.5839999999999996</v>
      </c>
      <c r="P27">
        <v>4.7649999999999997</v>
      </c>
    </row>
    <row r="28" spans="1:16" x14ac:dyDescent="0.75">
      <c r="A28">
        <v>12</v>
      </c>
      <c r="B28">
        <v>3.76</v>
      </c>
      <c r="C28">
        <v>5.53</v>
      </c>
      <c r="D28">
        <v>3.6539999999999999</v>
      </c>
      <c r="E28">
        <v>4.3230000000000004</v>
      </c>
      <c r="F28">
        <v>4.71</v>
      </c>
      <c r="G28">
        <v>4.7160000000000002</v>
      </c>
      <c r="H28">
        <v>4.7560000000000002</v>
      </c>
      <c r="I28">
        <v>4.7220000000000004</v>
      </c>
      <c r="J28">
        <v>4.758</v>
      </c>
      <c r="K28">
        <v>4.7169999999999996</v>
      </c>
      <c r="L28">
        <v>4.7359999999999998</v>
      </c>
      <c r="M28">
        <v>4.6959999999999997</v>
      </c>
      <c r="N28">
        <v>4.82</v>
      </c>
      <c r="O28">
        <v>4.8339999999999996</v>
      </c>
      <c r="P28">
        <v>4.92</v>
      </c>
    </row>
    <row r="31" spans="1:16" x14ac:dyDescent="0.75">
      <c r="A31" t="s">
        <v>1527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</row>
    <row r="32" spans="1:16" x14ac:dyDescent="0.75">
      <c r="B32">
        <f t="shared" ref="B32:F32" si="0">SUMPRODUCT(B17:B28,$B$2:$B$13)</f>
        <v>3.8889857847499236</v>
      </c>
      <c r="C32">
        <f t="shared" si="0"/>
        <v>6.1834755002672868</v>
      </c>
      <c r="D32">
        <f t="shared" si="0"/>
        <v>2.7301224780125417</v>
      </c>
      <c r="E32">
        <f t="shared" si="0"/>
        <v>3.611506247636342</v>
      </c>
      <c r="F32">
        <f t="shared" si="0"/>
        <v>4.2108397407088916</v>
      </c>
      <c r="G32">
        <f>SUMPRODUCT(G17:G28,$B$2:$B$13)</f>
        <v>4.280160117009423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EA45-00F8-4C48-A8A2-627B59575ADD}">
  <dimension ref="A1:G119"/>
  <sheetViews>
    <sheetView topLeftCell="A78" zoomScale="80" zoomScaleNormal="80" workbookViewId="0">
      <selection activeCell="G101" sqref="G101"/>
    </sheetView>
  </sheetViews>
  <sheetFormatPr defaultRowHeight="14.75" x14ac:dyDescent="0.75"/>
  <cols>
    <col min="2" max="2" width="32" customWidth="1"/>
    <col min="3" max="3" width="21.54296875" customWidth="1"/>
    <col min="4" max="4" width="18.86328125" customWidth="1"/>
    <col min="5" max="5" width="17.86328125" customWidth="1"/>
    <col min="6" max="6" width="21.1328125" customWidth="1"/>
    <col min="7" max="7" width="25.40625" customWidth="1"/>
  </cols>
  <sheetData>
    <row r="1" spans="1:7" x14ac:dyDescent="0.75">
      <c r="A1" s="17" t="s">
        <v>1488</v>
      </c>
      <c r="B1" s="18"/>
      <c r="C1" s="18"/>
      <c r="D1" s="18"/>
      <c r="E1" s="18"/>
      <c r="F1" s="18"/>
      <c r="G1" s="18"/>
    </row>
    <row r="2" spans="1:7" x14ac:dyDescent="0.75">
      <c r="B2" t="s">
        <v>1479</v>
      </c>
      <c r="C2" t="s">
        <v>1468</v>
      </c>
      <c r="D2" t="s">
        <v>1480</v>
      </c>
      <c r="E2" t="s">
        <v>1495</v>
      </c>
      <c r="F2" t="s">
        <v>1486</v>
      </c>
      <c r="G2" t="s">
        <v>1487</v>
      </c>
    </row>
    <row r="3" spans="1:7" x14ac:dyDescent="0.75">
      <c r="B3">
        <v>2001</v>
      </c>
      <c r="C3">
        <f>'NG Sector Price Historicals'!U83</f>
        <v>4.2931799999999996</v>
      </c>
      <c r="D3">
        <f>'NG Sector Price Historicals'!V83</f>
        <v>4.5628000000000002</v>
      </c>
      <c r="E3">
        <f>'EIA Henry Hub Nat Gas Spot'!B8</f>
        <v>3.96</v>
      </c>
      <c r="F3">
        <f>C3/E3</f>
        <v>1.0841363636363635</v>
      </c>
      <c r="G3">
        <f>D3/E3</f>
        <v>1.1522222222222223</v>
      </c>
    </row>
    <row r="4" spans="1:7" x14ac:dyDescent="0.75">
      <c r="B4">
        <v>2002</v>
      </c>
      <c r="C4">
        <f>'NG Sector Price Historicals'!U84</f>
        <v>3.4428399999999995</v>
      </c>
      <c r="D4">
        <f>'NG Sector Price Historicals'!V84</f>
        <v>4.2309599999999996</v>
      </c>
      <c r="E4">
        <f>'EIA Henry Hub Nat Gas Spot'!B9</f>
        <v>3.38</v>
      </c>
      <c r="F4">
        <f t="shared" ref="F4:F23" si="0">C4/E4</f>
        <v>1.0185917159763311</v>
      </c>
      <c r="G4">
        <f t="shared" ref="G4:G23" si="1">D4/E4</f>
        <v>1.2517633136094675</v>
      </c>
    </row>
    <row r="5" spans="1:7" x14ac:dyDescent="0.75">
      <c r="B5">
        <v>2003</v>
      </c>
      <c r="C5">
        <f>'NG Sector Price Historicals'!U85</f>
        <v>5.8694199999999999</v>
      </c>
      <c r="D5">
        <f>'NG Sector Price Historicals'!V85</f>
        <v>4.6353899999999992</v>
      </c>
      <c r="E5">
        <f>'EIA Henry Hub Nat Gas Spot'!B10</f>
        <v>5.47</v>
      </c>
      <c r="F5">
        <f t="shared" si="0"/>
        <v>1.073020109689214</v>
      </c>
      <c r="G5">
        <f t="shared" si="1"/>
        <v>0.84742047531992681</v>
      </c>
    </row>
    <row r="6" spans="1:7" x14ac:dyDescent="0.75">
      <c r="B6">
        <v>2004</v>
      </c>
      <c r="C6">
        <f>'NG Sector Price Historicals'!U86</f>
        <v>6.4086599999999994</v>
      </c>
      <c r="D6">
        <f>'NG Sector Price Historicals'!V86</f>
        <v>5.1435199999999996</v>
      </c>
      <c r="E6">
        <f>'EIA Henry Hub Nat Gas Spot'!B11</f>
        <v>5.89</v>
      </c>
      <c r="F6">
        <f t="shared" si="0"/>
        <v>1.0880577249575552</v>
      </c>
      <c r="G6">
        <f t="shared" si="1"/>
        <v>0.87326315789473685</v>
      </c>
    </row>
    <row r="7" spans="1:7" x14ac:dyDescent="0.75">
      <c r="B7">
        <v>2005</v>
      </c>
      <c r="C7">
        <f>'NG Sector Price Historicals'!U87</f>
        <v>8.0574899999999996</v>
      </c>
      <c r="D7">
        <f>'NG Sector Price Historicals'!V87</f>
        <v>6.0042299999999997</v>
      </c>
      <c r="E7">
        <f>'EIA Henry Hub Nat Gas Spot'!B12</f>
        <v>8.69</v>
      </c>
      <c r="F7">
        <f t="shared" si="0"/>
        <v>0.92721403912543154</v>
      </c>
      <c r="G7">
        <f t="shared" si="1"/>
        <v>0.6909355581127733</v>
      </c>
    </row>
    <row r="8" spans="1:7" x14ac:dyDescent="0.75">
      <c r="B8">
        <v>2006</v>
      </c>
      <c r="C8">
        <f>'NG Sector Price Historicals'!U88</f>
        <v>7.1552999999999995</v>
      </c>
      <c r="D8">
        <f>'NG Sector Price Historicals'!V88</f>
        <v>6.2427399999999995</v>
      </c>
      <c r="E8">
        <f>'EIA Henry Hub Nat Gas Spot'!B13</f>
        <v>6.73</v>
      </c>
      <c r="F8">
        <f t="shared" si="0"/>
        <v>1.0631946508172361</v>
      </c>
      <c r="G8">
        <f t="shared" si="1"/>
        <v>0.92759881129271904</v>
      </c>
    </row>
    <row r="9" spans="1:7" x14ac:dyDescent="0.75">
      <c r="B9">
        <v>2007</v>
      </c>
      <c r="C9">
        <f>'NG Sector Price Historicals'!U89</f>
        <v>7.2175199999999995</v>
      </c>
      <c r="D9">
        <f>'NG Sector Price Historicals'!V89</f>
        <v>6.4605100000000002</v>
      </c>
      <c r="E9">
        <f>'EIA Henry Hub Nat Gas Spot'!B14</f>
        <v>6.97</v>
      </c>
      <c r="F9">
        <f t="shared" si="0"/>
        <v>1.0355121951219513</v>
      </c>
      <c r="G9">
        <f t="shared" si="1"/>
        <v>0.92690243902439029</v>
      </c>
    </row>
    <row r="10" spans="1:7" x14ac:dyDescent="0.75">
      <c r="B10">
        <v>2008</v>
      </c>
      <c r="C10">
        <f>'NG Sector Price Historicals'!U90</f>
        <v>8.9389399999999988</v>
      </c>
      <c r="D10">
        <f>'NG Sector Price Historicals'!V90</f>
        <v>7.9745299999999997</v>
      </c>
      <c r="E10">
        <f>'EIA Henry Hub Nat Gas Spot'!B15</f>
        <v>8.86</v>
      </c>
      <c r="F10">
        <f t="shared" si="0"/>
        <v>1.0089097065462753</v>
      </c>
      <c r="G10">
        <f t="shared" si="1"/>
        <v>0.90005981941309254</v>
      </c>
    </row>
    <row r="11" spans="1:7" x14ac:dyDescent="0.75">
      <c r="B11">
        <v>2009</v>
      </c>
      <c r="C11">
        <f>'NG Sector Price Historicals'!U91</f>
        <v>4.5005799999999994</v>
      </c>
      <c r="D11">
        <f>'NG Sector Price Historicals'!V91</f>
        <v>8.710799999999999</v>
      </c>
      <c r="E11">
        <f>'EIA Henry Hub Nat Gas Spot'!B16</f>
        <v>3.94</v>
      </c>
      <c r="F11">
        <f t="shared" si="0"/>
        <v>1.1422791878172587</v>
      </c>
      <c r="G11">
        <f t="shared" si="1"/>
        <v>2.2108629441624363</v>
      </c>
    </row>
    <row r="12" spans="1:7" x14ac:dyDescent="0.75">
      <c r="B12">
        <v>2010</v>
      </c>
      <c r="C12">
        <f>'NG Sector Price Historicals'!U92</f>
        <v>4.9257499999999999</v>
      </c>
      <c r="D12">
        <f>'NG Sector Price Historicals'!V92</f>
        <v>9.8826099999999979</v>
      </c>
      <c r="E12">
        <f>'EIA Henry Hub Nat Gas Spot'!B17</f>
        <v>4.37</v>
      </c>
      <c r="F12">
        <f t="shared" si="0"/>
        <v>1.1271739130434781</v>
      </c>
      <c r="G12">
        <f t="shared" si="1"/>
        <v>2.2614668192219676</v>
      </c>
    </row>
    <row r="13" spans="1:7" x14ac:dyDescent="0.75">
      <c r="B13">
        <v>2011</v>
      </c>
      <c r="C13">
        <f>'NG Sector Price Historicals'!U93</f>
        <v>4.5109499999999993</v>
      </c>
      <c r="D13">
        <f>'NG Sector Price Historicals'!V93</f>
        <v>10.929979999999999</v>
      </c>
      <c r="E13">
        <f>'EIA Henry Hub Nat Gas Spot'!B18</f>
        <v>4</v>
      </c>
      <c r="F13">
        <f t="shared" si="0"/>
        <v>1.1277374999999998</v>
      </c>
      <c r="G13">
        <f t="shared" si="1"/>
        <v>2.7324949999999997</v>
      </c>
    </row>
    <row r="14" spans="1:7" x14ac:dyDescent="0.75">
      <c r="B14">
        <v>2012</v>
      </c>
      <c r="C14">
        <f>'NG Sector Price Historicals'!U94</f>
        <v>3.1939599999999997</v>
      </c>
      <c r="D14">
        <f>'NG Sector Price Historicals'!V94</f>
        <v>13.29434</v>
      </c>
      <c r="E14">
        <f>'EIA Henry Hub Nat Gas Spot'!B19</f>
        <v>2.75</v>
      </c>
      <c r="F14">
        <f t="shared" si="0"/>
        <v>1.1614399999999998</v>
      </c>
      <c r="G14">
        <f t="shared" si="1"/>
        <v>4.8343054545454542</v>
      </c>
    </row>
    <row r="15" spans="1:7" x14ac:dyDescent="0.75">
      <c r="B15">
        <v>2013</v>
      </c>
      <c r="C15">
        <f>'NG Sector Price Historicals'!U95</f>
        <v>4.2102199999999996</v>
      </c>
      <c r="D15">
        <f>'NG Sector Price Historicals'!V95</f>
        <v>13.854319999999998</v>
      </c>
      <c r="E15">
        <f>'EIA Henry Hub Nat Gas Spot'!B20</f>
        <v>3.73</v>
      </c>
      <c r="F15">
        <f t="shared" si="0"/>
        <v>1.128745308310992</v>
      </c>
      <c r="G15">
        <f t="shared" si="1"/>
        <v>3.7142949061662192</v>
      </c>
    </row>
    <row r="16" spans="1:7" x14ac:dyDescent="0.75">
      <c r="B16">
        <v>2014</v>
      </c>
      <c r="C16">
        <f>'NG Sector Price Historicals'!U96</f>
        <v>5.5998000000000001</v>
      </c>
      <c r="D16">
        <f>'NG Sector Price Historicals'!V96</f>
        <v>16.239419999999999</v>
      </c>
      <c r="E16">
        <f>'EIA Henry Hub Nat Gas Spot'!B21</f>
        <v>4.37</v>
      </c>
      <c r="F16">
        <f t="shared" si="0"/>
        <v>1.2814187643020596</v>
      </c>
      <c r="G16">
        <f t="shared" si="1"/>
        <v>3.7161144164759721</v>
      </c>
    </row>
    <row r="17" spans="1:7" x14ac:dyDescent="0.75">
      <c r="B17">
        <v>2015</v>
      </c>
      <c r="C17">
        <f>'NG Sector Price Historicals'!U97</f>
        <v>3.0591499999999998</v>
      </c>
      <c r="D17">
        <f>'NG Sector Price Historicals'!V97</f>
        <v>11.324039999999998</v>
      </c>
      <c r="E17">
        <f>'EIA Henry Hub Nat Gas Spot'!B22</f>
        <v>2.62</v>
      </c>
      <c r="F17">
        <f t="shared" si="0"/>
        <v>1.1676145038167938</v>
      </c>
      <c r="G17">
        <f t="shared" si="1"/>
        <v>4.3221526717557248</v>
      </c>
    </row>
    <row r="18" spans="1:7" x14ac:dyDescent="0.75">
      <c r="B18">
        <v>2016</v>
      </c>
      <c r="C18">
        <f>'NG Sector Price Historicals'!U98</f>
        <v>2.7273099999999997</v>
      </c>
      <c r="D18">
        <f>'NG Sector Price Historicals'!V98</f>
        <v>4.8842699999999999</v>
      </c>
      <c r="E18">
        <f>'EIA Henry Hub Nat Gas Spot'!B23</f>
        <v>2.52</v>
      </c>
      <c r="F18">
        <f t="shared" si="0"/>
        <v>1.082265873015873</v>
      </c>
      <c r="G18">
        <f t="shared" si="1"/>
        <v>1.938202380952381</v>
      </c>
    </row>
    <row r="19" spans="1:7" x14ac:dyDescent="0.75">
      <c r="B19">
        <v>2017</v>
      </c>
      <c r="C19">
        <f>'NG Sector Price Historicals'!U99</f>
        <v>3.3184</v>
      </c>
      <c r="D19">
        <f>'NG Sector Price Historicals'!V99</f>
        <v>4.8635299999999999</v>
      </c>
      <c r="E19">
        <f>'EIA Henry Hub Nat Gas Spot'!B24</f>
        <v>2.99</v>
      </c>
      <c r="F19">
        <f t="shared" si="0"/>
        <v>1.1098327759197324</v>
      </c>
      <c r="G19">
        <f t="shared" si="1"/>
        <v>1.6265986622073576</v>
      </c>
    </row>
    <row r="20" spans="1:7" x14ac:dyDescent="0.75">
      <c r="B20">
        <v>2018</v>
      </c>
      <c r="C20">
        <f>'NG Sector Price Historicals'!U100</f>
        <v>3.4635799999999994</v>
      </c>
      <c r="D20">
        <f>'NG Sector Price Historicals'!V100</f>
        <v>5.3923999999999994</v>
      </c>
      <c r="E20">
        <f>'EIA Henry Hub Nat Gas Spot'!B25</f>
        <v>3.15</v>
      </c>
      <c r="F20">
        <f t="shared" si="0"/>
        <v>1.0995492063492063</v>
      </c>
      <c r="G20">
        <f t="shared" si="1"/>
        <v>1.7118730158730158</v>
      </c>
    </row>
    <row r="21" spans="1:7" x14ac:dyDescent="0.75">
      <c r="B21">
        <v>2019</v>
      </c>
      <c r="C21">
        <f>'NG Sector Price Historicals'!U101</f>
        <v>2.7376800000000001</v>
      </c>
      <c r="D21">
        <f>'NG Sector Price Historicals'!V101</f>
        <v>5.4027699999999994</v>
      </c>
      <c r="E21">
        <f>'EIA Henry Hub Nat Gas Spot'!B26</f>
        <v>2.56</v>
      </c>
      <c r="F21">
        <f t="shared" si="0"/>
        <v>1.0694062500000001</v>
      </c>
      <c r="G21">
        <f t="shared" si="1"/>
        <v>2.1104570312499997</v>
      </c>
    </row>
    <row r="22" spans="1:7" x14ac:dyDescent="0.75">
      <c r="B22">
        <v>2020</v>
      </c>
      <c r="C22">
        <f>'NG Sector Price Historicals'!U102</f>
        <v>2.1776999999999997</v>
      </c>
      <c r="D22">
        <f>'NG Sector Price Historicals'!V102</f>
        <v>5.848679999999999</v>
      </c>
      <c r="E22">
        <f>'EIA Henry Hub Nat Gas Spot'!B27</f>
        <v>2.0299999999999998</v>
      </c>
      <c r="F22">
        <f t="shared" si="0"/>
        <v>1.0727586206896551</v>
      </c>
      <c r="G22">
        <f t="shared" si="1"/>
        <v>2.8811231527093595</v>
      </c>
    </row>
    <row r="23" spans="1:7" x14ac:dyDescent="0.75">
      <c r="B23">
        <v>2021</v>
      </c>
      <c r="C23">
        <f>'NG Sector Price Historicals'!U103</f>
        <v>5.1227799999999997</v>
      </c>
      <c r="D23">
        <f>'NG Sector Price Historicals'!V103</f>
        <v>7.9019399999999997</v>
      </c>
      <c r="E23">
        <f>'EIA Henry Hub Nat Gas Spot'!B28</f>
        <v>3.89</v>
      </c>
      <c r="F23">
        <f t="shared" si="0"/>
        <v>1.3169100257069408</v>
      </c>
      <c r="G23">
        <f t="shared" si="1"/>
        <v>2.0313470437017993</v>
      </c>
    </row>
    <row r="24" spans="1:7" x14ac:dyDescent="0.75">
      <c r="B24">
        <v>2022</v>
      </c>
      <c r="C24">
        <f>'NG Sector Price Historicals'!U104</f>
        <v>6.5642099999999992</v>
      </c>
      <c r="D24">
        <f>'NG Sector Price Historicals'!V104</f>
        <v>12.692879999999999</v>
      </c>
      <c r="E24">
        <f>'EIA Henry Hub Nat Gas Spot'!B29</f>
        <v>6.45</v>
      </c>
      <c r="F24">
        <f t="shared" ref="F24" si="2">C24/E24</f>
        <v>1.017706976744186</v>
      </c>
      <c r="G24">
        <f t="shared" ref="G24" si="3">D24/E24</f>
        <v>1.9678883720930229</v>
      </c>
    </row>
    <row r="25" spans="1:7" x14ac:dyDescent="0.75">
      <c r="A25" s="19" t="s">
        <v>1445</v>
      </c>
      <c r="B25" s="19"/>
      <c r="C25" s="19"/>
      <c r="D25" s="19"/>
      <c r="E25" s="19">
        <f>AVERAGE(E3:E24)</f>
        <v>4.5145454545454546</v>
      </c>
      <c r="F25" s="19">
        <f t="shared" ref="F25:G25" si="4">AVERAGE(F3:F24)</f>
        <v>1.1001579732539335</v>
      </c>
      <c r="G25" s="19">
        <f t="shared" si="4"/>
        <v>2.0740612576365471</v>
      </c>
    </row>
    <row r="27" spans="1:7" x14ac:dyDescent="0.75">
      <c r="A27" s="18" t="s">
        <v>1489</v>
      </c>
      <c r="B27" s="18"/>
      <c r="C27" s="18" t="s">
        <v>1468</v>
      </c>
      <c r="D27" s="18" t="s">
        <v>1480</v>
      </c>
      <c r="E27" s="18"/>
      <c r="F27" s="18"/>
      <c r="G27" s="18"/>
    </row>
    <row r="28" spans="1:7" x14ac:dyDescent="0.75">
      <c r="B28">
        <v>2023</v>
      </c>
      <c r="C28" s="20">
        <f t="shared" ref="C28:C55" si="5">$E28*F$25</f>
        <v>3.0035660121452845</v>
      </c>
      <c r="D28" s="20">
        <f t="shared" ref="D28:D55" si="6">$E28*G$25</f>
        <v>5.6624412602484986</v>
      </c>
      <c r="E28" s="33">
        <f>'NG Calcs'!D32</f>
        <v>2.7301224780125417</v>
      </c>
      <c r="G28" s="34" t="s">
        <v>1531</v>
      </c>
    </row>
    <row r="29" spans="1:7" x14ac:dyDescent="0.75">
      <c r="B29">
        <v>2024</v>
      </c>
      <c r="C29" s="20">
        <f t="shared" si="5"/>
        <v>3.9732273937935165</v>
      </c>
      <c r="D29" s="20">
        <f t="shared" si="6"/>
        <v>7.490485189934879</v>
      </c>
      <c r="E29" s="33">
        <f>'NG Calcs'!E32</f>
        <v>3.611506247636342</v>
      </c>
      <c r="G29" s="26" t="s">
        <v>1532</v>
      </c>
    </row>
    <row r="30" spans="1:7" x14ac:dyDescent="0.75">
      <c r="B30">
        <v>2025</v>
      </c>
      <c r="C30" s="20">
        <f t="shared" si="5"/>
        <v>4.6325889148354129</v>
      </c>
      <c r="D30" s="20">
        <f t="shared" si="6"/>
        <v>8.7335395683206354</v>
      </c>
      <c r="E30" s="33">
        <f>'NG Calcs'!F32</f>
        <v>4.2108397407088916</v>
      </c>
      <c r="G30" s="10" t="s">
        <v>1720</v>
      </c>
    </row>
    <row r="31" spans="1:7" x14ac:dyDescent="0.75">
      <c r="B31">
        <v>2026</v>
      </c>
      <c r="C31" s="20">
        <f t="shared" si="5"/>
        <v>4.7088522795314054</v>
      </c>
      <c r="D31" s="20">
        <f t="shared" si="6"/>
        <v>8.8773142751703542</v>
      </c>
      <c r="E31" s="33">
        <f>'NG Calcs'!G32</f>
        <v>4.280160117009423</v>
      </c>
      <c r="F31" s="20"/>
      <c r="G31" s="43" t="s">
        <v>1822</v>
      </c>
    </row>
    <row r="32" spans="1:7" x14ac:dyDescent="0.75">
      <c r="B32">
        <v>2027</v>
      </c>
      <c r="C32" s="20">
        <f t="shared" si="5"/>
        <v>4.400573956229282</v>
      </c>
      <c r="D32" s="20">
        <f t="shared" si="6"/>
        <v>8.2961358058283814</v>
      </c>
      <c r="E32" s="35">
        <f>E31-(($E$31-$E$35)/4)</f>
        <v>3.9999473377570673</v>
      </c>
    </row>
    <row r="33" spans="2:6" x14ac:dyDescent="0.75">
      <c r="B33">
        <v>2028</v>
      </c>
      <c r="C33" s="20">
        <f t="shared" si="5"/>
        <v>4.0922956329271587</v>
      </c>
      <c r="D33" s="20">
        <f t="shared" si="6"/>
        <v>7.7149573364864086</v>
      </c>
      <c r="E33" s="35">
        <f t="shared" ref="E33:E34" si="7">E32-(($E$31-$E$35)/4)</f>
        <v>3.7197345585047117</v>
      </c>
    </row>
    <row r="34" spans="2:6" x14ac:dyDescent="0.75">
      <c r="B34">
        <v>2029</v>
      </c>
      <c r="C34" s="20">
        <f t="shared" si="5"/>
        <v>3.7840173096250354</v>
      </c>
      <c r="D34" s="20">
        <f t="shared" si="6"/>
        <v>7.1337788671444358</v>
      </c>
      <c r="E34" s="35">
        <f t="shared" si="7"/>
        <v>3.439521779252356</v>
      </c>
      <c r="F34" s="20"/>
    </row>
    <row r="35" spans="2:6" x14ac:dyDescent="0.75">
      <c r="B35">
        <v>2030</v>
      </c>
      <c r="C35" s="20">
        <f>$E35*F$25</f>
        <v>3.4757389863229111</v>
      </c>
      <c r="D35" s="20">
        <f t="shared" si="6"/>
        <v>6.5526003978024621</v>
      </c>
      <c r="E35" s="42" cm="1">
        <f t="array" ref="E35:E55">TRANSPOSE('AEO 2025 Table 13'!L29:AF29)</f>
        <v>3.1593089999999999</v>
      </c>
    </row>
    <row r="36" spans="2:6" x14ac:dyDescent="0.75">
      <c r="B36">
        <v>2031</v>
      </c>
      <c r="C36" s="20">
        <f t="shared" si="5"/>
        <v>3.6525739783118554</v>
      </c>
      <c r="D36" s="20">
        <f t="shared" si="6"/>
        <v>6.8859767081099301</v>
      </c>
      <c r="E36" s="42">
        <v>3.3200449999999999</v>
      </c>
    </row>
    <row r="37" spans="2:6" x14ac:dyDescent="0.75">
      <c r="B37">
        <v>2032</v>
      </c>
      <c r="C37" s="20">
        <f t="shared" si="5"/>
        <v>4.144396299781107</v>
      </c>
      <c r="D37" s="20">
        <f t="shared" si="6"/>
        <v>7.8131795711525758</v>
      </c>
      <c r="E37" s="42">
        <v>3.7670919999999999</v>
      </c>
    </row>
    <row r="38" spans="2:6" x14ac:dyDescent="0.75">
      <c r="B38">
        <v>2033</v>
      </c>
      <c r="C38" s="20">
        <f t="shared" si="5"/>
        <v>4.5742687257764292</v>
      </c>
      <c r="D38" s="20">
        <f t="shared" si="6"/>
        <v>8.6235920447777072</v>
      </c>
      <c r="E38" s="42">
        <v>4.1578290000000004</v>
      </c>
    </row>
    <row r="39" spans="2:6" x14ac:dyDescent="0.75">
      <c r="B39">
        <v>2034</v>
      </c>
      <c r="C39" s="20">
        <f t="shared" si="5"/>
        <v>4.8802534625615994</v>
      </c>
      <c r="D39" s="20">
        <f t="shared" si="6"/>
        <v>9.2004465542416458</v>
      </c>
      <c r="E39" s="42">
        <v>4.4359570000000001</v>
      </c>
    </row>
    <row r="40" spans="2:6" x14ac:dyDescent="0.75">
      <c r="B40">
        <v>2035</v>
      </c>
      <c r="C40" s="20">
        <f t="shared" si="5"/>
        <v>4.9774898248696742</v>
      </c>
      <c r="D40" s="20">
        <f t="shared" si="6"/>
        <v>9.3837603844365933</v>
      </c>
      <c r="E40" s="42">
        <v>4.5243409999999997</v>
      </c>
    </row>
    <row r="41" spans="2:6" x14ac:dyDescent="0.75">
      <c r="B41">
        <v>2036</v>
      </c>
      <c r="C41" s="20">
        <f t="shared" si="5"/>
        <v>4.9949592333269734</v>
      </c>
      <c r="D41" s="20">
        <f t="shared" si="6"/>
        <v>9.4166944031466038</v>
      </c>
      <c r="E41" s="42">
        <v>4.5402199999999997</v>
      </c>
    </row>
    <row r="42" spans="2:6" x14ac:dyDescent="0.75">
      <c r="B42">
        <v>2037</v>
      </c>
      <c r="C42" s="20">
        <f t="shared" si="5"/>
        <v>4.9600853257327975</v>
      </c>
      <c r="D42" s="20">
        <f t="shared" si="6"/>
        <v>9.3509487353407827</v>
      </c>
      <c r="E42" s="42">
        <v>4.508521</v>
      </c>
    </row>
    <row r="43" spans="2:6" x14ac:dyDescent="0.75">
      <c r="B43">
        <v>2038</v>
      </c>
      <c r="C43" s="20">
        <f t="shared" si="5"/>
        <v>4.9039684678330602</v>
      </c>
      <c r="D43" s="20">
        <f t="shared" si="6"/>
        <v>9.245155018711257</v>
      </c>
      <c r="E43" s="42">
        <v>4.4575129999999996</v>
      </c>
    </row>
    <row r="44" spans="2:6" x14ac:dyDescent="0.75">
      <c r="B44">
        <v>2039</v>
      </c>
      <c r="C44" s="20">
        <f t="shared" si="5"/>
        <v>4.8411384459805289</v>
      </c>
      <c r="D44" s="20">
        <f t="shared" si="6"/>
        <v>9.1267053802876354</v>
      </c>
      <c r="E44" s="42">
        <v>4.4004029999999998</v>
      </c>
    </row>
    <row r="45" spans="2:6" x14ac:dyDescent="0.75">
      <c r="B45">
        <v>2040</v>
      </c>
      <c r="C45" s="20">
        <f t="shared" si="5"/>
        <v>4.8792303156464731</v>
      </c>
      <c r="D45" s="20">
        <f t="shared" si="6"/>
        <v>9.1985176772720418</v>
      </c>
      <c r="E45" s="42">
        <v>4.4350269999999998</v>
      </c>
    </row>
    <row r="46" spans="2:6" x14ac:dyDescent="0.75">
      <c r="B46">
        <v>2041</v>
      </c>
      <c r="C46" s="20">
        <f t="shared" si="5"/>
        <v>4.975142087754751</v>
      </c>
      <c r="D46" s="20">
        <f t="shared" si="6"/>
        <v>9.3793343377127965</v>
      </c>
      <c r="E46" s="42">
        <v>4.5222069999999999</v>
      </c>
    </row>
    <row r="47" spans="2:6" x14ac:dyDescent="0.75">
      <c r="B47">
        <v>2042</v>
      </c>
      <c r="C47" s="20">
        <f t="shared" si="5"/>
        <v>5.0682572582950174</v>
      </c>
      <c r="D47" s="20">
        <f t="shared" si="6"/>
        <v>9.5548787344366382</v>
      </c>
      <c r="E47" s="42">
        <v>4.6068449999999999</v>
      </c>
    </row>
    <row r="48" spans="2:6" x14ac:dyDescent="0.75">
      <c r="B48">
        <v>2043</v>
      </c>
      <c r="C48" s="20">
        <f t="shared" si="5"/>
        <v>5.1832226663420808</v>
      </c>
      <c r="D48" s="20">
        <f t="shared" si="6"/>
        <v>9.7716160617984009</v>
      </c>
      <c r="E48" s="42">
        <v>4.7113440000000004</v>
      </c>
    </row>
    <row r="49" spans="1:7" x14ac:dyDescent="0.75">
      <c r="B49">
        <v>2044</v>
      </c>
      <c r="C49" s="20">
        <f t="shared" si="5"/>
        <v>5.277225664366763</v>
      </c>
      <c r="D49" s="20">
        <f t="shared" si="6"/>
        <v>9.9488342259571567</v>
      </c>
      <c r="E49" s="42">
        <v>4.7967890000000004</v>
      </c>
    </row>
    <row r="50" spans="1:7" x14ac:dyDescent="0.75">
      <c r="B50">
        <v>2045</v>
      </c>
      <c r="C50" s="20">
        <f t="shared" si="5"/>
        <v>5.332878255601786</v>
      </c>
      <c r="D50" s="20">
        <f t="shared" si="6"/>
        <v>10.053752688735958</v>
      </c>
      <c r="E50" s="42">
        <v>4.8473750000000004</v>
      </c>
    </row>
    <row r="51" spans="1:7" x14ac:dyDescent="0.75">
      <c r="B51">
        <v>2046</v>
      </c>
      <c r="C51" s="20">
        <f t="shared" si="5"/>
        <v>5.3662405461407117</v>
      </c>
      <c r="D51" s="20">
        <f t="shared" si="6"/>
        <v>10.116648596373786</v>
      </c>
      <c r="E51" s="42">
        <v>4.8776999999999999</v>
      </c>
    </row>
    <row r="52" spans="1:7" x14ac:dyDescent="0.75">
      <c r="B52">
        <v>2047</v>
      </c>
      <c r="C52" s="20">
        <f t="shared" si="5"/>
        <v>5.3769098781653284</v>
      </c>
      <c r="D52" s="20">
        <f t="shared" si="6"/>
        <v>10.136762842450345</v>
      </c>
      <c r="E52" s="42">
        <v>4.8873980000000001</v>
      </c>
    </row>
    <row r="53" spans="1:7" x14ac:dyDescent="0.75">
      <c r="B53">
        <v>2048</v>
      </c>
      <c r="C53" s="20">
        <f t="shared" si="5"/>
        <v>5.413035765533067</v>
      </c>
      <c r="D53" s="20">
        <f t="shared" si="6"/>
        <v>10.204868791967357</v>
      </c>
      <c r="E53" s="42">
        <v>4.9202349999999999</v>
      </c>
    </row>
    <row r="54" spans="1:7" x14ac:dyDescent="0.75">
      <c r="B54">
        <v>2049</v>
      </c>
      <c r="C54" s="20">
        <f t="shared" si="5"/>
        <v>5.5158147237103972</v>
      </c>
      <c r="D54" s="20">
        <f t="shared" si="6"/>
        <v>10.398631742778278</v>
      </c>
      <c r="E54" s="42">
        <v>5.0136570000000003</v>
      </c>
    </row>
    <row r="55" spans="1:7" x14ac:dyDescent="0.75">
      <c r="B55">
        <v>2050</v>
      </c>
      <c r="C55" s="20">
        <f t="shared" si="5"/>
        <v>5.6403878113378862</v>
      </c>
      <c r="D55" s="20">
        <f t="shared" si="6"/>
        <v>10.63348184710298</v>
      </c>
      <c r="E55" s="42">
        <v>5.1268890000000003</v>
      </c>
    </row>
    <row r="57" spans="1:7" x14ac:dyDescent="0.75">
      <c r="A57" s="18" t="s">
        <v>1491</v>
      </c>
      <c r="B57" s="18"/>
      <c r="C57" s="18" t="s">
        <v>1468</v>
      </c>
      <c r="D57" s="18" t="s">
        <v>1480</v>
      </c>
      <c r="E57" s="18" t="s">
        <v>1492</v>
      </c>
      <c r="F57" s="18" t="s">
        <v>1493</v>
      </c>
      <c r="G57" s="18"/>
    </row>
    <row r="58" spans="1:7" x14ac:dyDescent="0.75">
      <c r="B58">
        <v>2021</v>
      </c>
      <c r="C58" s="34">
        <f>SUM('AEO 2022 Table 60'!C23:D23)</f>
        <v>3.1695950000000002</v>
      </c>
      <c r="D58" s="34">
        <f>'AEO 2022 Table 60'!E23</f>
        <v>3.5793599999999999</v>
      </c>
      <c r="E58" s="21">
        <f>C58/SUM(C58:D58)</f>
        <v>0.46964233722109572</v>
      </c>
      <c r="F58" s="21">
        <f>D58/SUM(C58:D58)</f>
        <v>0.53035766277890428</v>
      </c>
      <c r="G58" s="45">
        <f>SUM(E58:F58)</f>
        <v>1</v>
      </c>
    </row>
    <row r="59" spans="1:7" x14ac:dyDescent="0.75">
      <c r="B59">
        <v>2022</v>
      </c>
      <c r="C59" s="34">
        <f>SUM('AEO 2023 Table 60'!C23:D23)</f>
        <v>3.1344249999999998</v>
      </c>
      <c r="D59" s="34">
        <f>'AEO 2023 Table 60'!E23</f>
        <v>3.9587500000000002</v>
      </c>
      <c r="E59" s="21">
        <f>C59/SUM(C59:D59)</f>
        <v>0.44189308736919641</v>
      </c>
      <c r="F59" s="21">
        <f>D59/SUM(C59:D59)</f>
        <v>0.55810691263080359</v>
      </c>
      <c r="G59" s="45">
        <f t="shared" ref="G59:G87" si="8">SUM(E59:F59)</f>
        <v>1</v>
      </c>
    </row>
    <row r="60" spans="1:7" x14ac:dyDescent="0.75">
      <c r="B60">
        <v>2023</v>
      </c>
      <c r="C60" s="34">
        <f>SUM('AEO 2023 Table 60'!C24:D24)</f>
        <v>3.375197</v>
      </c>
      <c r="D60" s="34">
        <f>'AEO 2023 Table 60'!E24</f>
        <v>4.4998100000000001</v>
      </c>
      <c r="E60" s="21">
        <f t="shared" ref="E60:E87" si="9">C60/SUM(C60:D60)</f>
        <v>0.42859606347016582</v>
      </c>
      <c r="F60" s="21">
        <f t="shared" ref="F60:F86" si="10">D60/SUM(C60:D60)</f>
        <v>0.57140393652983423</v>
      </c>
      <c r="G60" s="45">
        <f t="shared" si="8"/>
        <v>1</v>
      </c>
    </row>
    <row r="61" spans="1:7" x14ac:dyDescent="0.75">
      <c r="B61">
        <v>2024</v>
      </c>
      <c r="C61" s="43">
        <f>SUM('AEO 2025 Table 61'!C23:D23)</f>
        <v>3.3637920000000001</v>
      </c>
      <c r="D61" s="43">
        <f>'AEO 2025 Table 61'!E23</f>
        <v>4.3852209999999996</v>
      </c>
      <c r="E61" s="21">
        <f t="shared" si="9"/>
        <v>0.43409296125842095</v>
      </c>
      <c r="F61" s="21">
        <f t="shared" si="10"/>
        <v>0.5659070387415791</v>
      </c>
      <c r="G61" s="45">
        <f t="shared" si="8"/>
        <v>1</v>
      </c>
    </row>
    <row r="62" spans="1:7" x14ac:dyDescent="0.75">
      <c r="B62">
        <v>2025</v>
      </c>
      <c r="C62" s="43">
        <f>SUM('AEO 2025 Table 61'!C24:D24)</f>
        <v>3.5051739999999998</v>
      </c>
      <c r="D62" s="43">
        <f>'AEO 2025 Table 61'!E24</f>
        <v>5.0099</v>
      </c>
      <c r="E62" s="21">
        <f t="shared" si="9"/>
        <v>0.41164339851890891</v>
      </c>
      <c r="F62" s="21">
        <f t="shared" si="10"/>
        <v>0.58835660148109103</v>
      </c>
      <c r="G62" s="45">
        <f t="shared" si="8"/>
        <v>1</v>
      </c>
    </row>
    <row r="63" spans="1:7" x14ac:dyDescent="0.75">
      <c r="B63">
        <v>2026</v>
      </c>
      <c r="C63" s="43">
        <f>SUM('AEO 2025 Table 61'!C25:D25)</f>
        <v>3.6925530000000002</v>
      </c>
      <c r="D63" s="43">
        <f>'AEO 2025 Table 61'!E25</f>
        <v>5.3350179999999998</v>
      </c>
      <c r="E63" s="21">
        <f t="shared" si="9"/>
        <v>0.40903062407374036</v>
      </c>
      <c r="F63" s="21">
        <f t="shared" si="10"/>
        <v>0.59096937592625964</v>
      </c>
      <c r="G63" s="45">
        <f t="shared" si="8"/>
        <v>1</v>
      </c>
    </row>
    <row r="64" spans="1:7" x14ac:dyDescent="0.75">
      <c r="B64">
        <v>2027</v>
      </c>
      <c r="C64" s="43">
        <f>SUM('AEO 2025 Table 61'!C26:D26)</f>
        <v>3.5845910000000001</v>
      </c>
      <c r="D64" s="43">
        <f>'AEO 2025 Table 61'!E26</f>
        <v>5.3445510000000001</v>
      </c>
      <c r="E64" s="21">
        <f t="shared" si="9"/>
        <v>0.40144853783263834</v>
      </c>
      <c r="F64" s="21">
        <f t="shared" si="10"/>
        <v>0.59855146216736166</v>
      </c>
      <c r="G64" s="45">
        <f t="shared" si="8"/>
        <v>1</v>
      </c>
    </row>
    <row r="65" spans="2:7" x14ac:dyDescent="0.75">
      <c r="B65">
        <v>2028</v>
      </c>
      <c r="C65" s="43">
        <f>SUM('AEO 2025 Table 61'!C27:D27)</f>
        <v>3.564927</v>
      </c>
      <c r="D65" s="43">
        <f>'AEO 2025 Table 61'!E27</f>
        <v>6.3753890000000002</v>
      </c>
      <c r="E65" s="21">
        <f t="shared" si="9"/>
        <v>0.35863316618908292</v>
      </c>
      <c r="F65" s="21">
        <f t="shared" si="10"/>
        <v>0.64136683381091719</v>
      </c>
      <c r="G65" s="45">
        <f t="shared" si="8"/>
        <v>1</v>
      </c>
    </row>
    <row r="66" spans="2:7" x14ac:dyDescent="0.75">
      <c r="B66">
        <v>2029</v>
      </c>
      <c r="C66" s="43">
        <f>SUM('AEO 2025 Table 61'!C28:D28)</f>
        <v>3.4658689999999996</v>
      </c>
      <c r="D66" s="43">
        <f>'AEO 2025 Table 61'!E28</f>
        <v>7.0974329999999997</v>
      </c>
      <c r="E66" s="21">
        <f t="shared" si="9"/>
        <v>0.32810469680787313</v>
      </c>
      <c r="F66" s="21">
        <f t="shared" si="10"/>
        <v>0.67189530319212676</v>
      </c>
      <c r="G66" s="45">
        <f t="shared" si="8"/>
        <v>0.99999999999999989</v>
      </c>
    </row>
    <row r="67" spans="2:7" x14ac:dyDescent="0.75">
      <c r="B67">
        <v>2030</v>
      </c>
      <c r="C67" s="43">
        <f>SUM('AEO 2025 Table 61'!C29:D29)</f>
        <v>3.3508250000000004</v>
      </c>
      <c r="D67" s="43">
        <f>'AEO 2025 Table 61'!E29</f>
        <v>7.8480470000000002</v>
      </c>
      <c r="E67" s="21">
        <f t="shared" si="9"/>
        <v>0.29921093838736618</v>
      </c>
      <c r="F67" s="21">
        <f t="shared" si="10"/>
        <v>0.70078906161263377</v>
      </c>
      <c r="G67" s="45">
        <f t="shared" si="8"/>
        <v>1</v>
      </c>
    </row>
    <row r="68" spans="2:7" x14ac:dyDescent="0.75">
      <c r="B68">
        <v>2031</v>
      </c>
      <c r="C68" s="43">
        <f>SUM('AEO 2025 Table 61'!C30:D30)</f>
        <v>3.4081389999999998</v>
      </c>
      <c r="D68" s="43">
        <f>'AEO 2025 Table 61'!E30</f>
        <v>8.0510610000000007</v>
      </c>
      <c r="E68" s="21">
        <f t="shared" si="9"/>
        <v>0.29741509005864281</v>
      </c>
      <c r="F68" s="21">
        <f t="shared" si="10"/>
        <v>0.70258490994135714</v>
      </c>
      <c r="G68" s="45">
        <f t="shared" si="8"/>
        <v>1</v>
      </c>
    </row>
    <row r="69" spans="2:7" x14ac:dyDescent="0.75">
      <c r="B69">
        <v>2032</v>
      </c>
      <c r="C69" s="43">
        <f>SUM('AEO 2025 Table 61'!C31:D31)</f>
        <v>3.4544239999999999</v>
      </c>
      <c r="D69" s="43">
        <f>'AEO 2025 Table 61'!E31</f>
        <v>8.2701030000000006</v>
      </c>
      <c r="E69" s="21">
        <f t="shared" si="9"/>
        <v>0.29463226960030031</v>
      </c>
      <c r="F69" s="21">
        <f t="shared" si="10"/>
        <v>0.7053677303996998</v>
      </c>
      <c r="G69" s="45">
        <f t="shared" si="8"/>
        <v>1</v>
      </c>
    </row>
    <row r="70" spans="2:7" x14ac:dyDescent="0.75">
      <c r="B70">
        <v>2033</v>
      </c>
      <c r="C70" s="43">
        <f>SUM('AEO 2025 Table 61'!C32:D32)</f>
        <v>3.5389910000000002</v>
      </c>
      <c r="D70" s="43">
        <f>'AEO 2025 Table 61'!E32</f>
        <v>8.45106</v>
      </c>
      <c r="E70" s="21">
        <f t="shared" si="9"/>
        <v>0.29516062942517923</v>
      </c>
      <c r="F70" s="21">
        <f t="shared" si="10"/>
        <v>0.70483937057482071</v>
      </c>
      <c r="G70" s="45">
        <f t="shared" si="8"/>
        <v>1</v>
      </c>
    </row>
    <row r="71" spans="2:7" x14ac:dyDescent="0.75">
      <c r="B71">
        <v>2034</v>
      </c>
      <c r="C71" s="43">
        <f>SUM('AEO 2025 Table 61'!C33:D33)</f>
        <v>3.6083889999999998</v>
      </c>
      <c r="D71" s="43">
        <f>'AEO 2025 Table 61'!E33</f>
        <v>8.6505960000000002</v>
      </c>
      <c r="E71" s="21">
        <f t="shared" si="9"/>
        <v>0.29434647321943863</v>
      </c>
      <c r="F71" s="21">
        <f t="shared" si="10"/>
        <v>0.70565352678056137</v>
      </c>
      <c r="G71" s="45">
        <f t="shared" si="8"/>
        <v>1</v>
      </c>
    </row>
    <row r="72" spans="2:7" x14ac:dyDescent="0.75">
      <c r="B72">
        <v>2035</v>
      </c>
      <c r="C72" s="43">
        <f>SUM('AEO 2025 Table 61'!C34:D34)</f>
        <v>3.6472829999999998</v>
      </c>
      <c r="D72" s="43">
        <f>'AEO 2025 Table 61'!E34</f>
        <v>8.7505919999999993</v>
      </c>
      <c r="E72" s="21">
        <f t="shared" si="9"/>
        <v>0.29418614077009164</v>
      </c>
      <c r="F72" s="21">
        <f t="shared" si="10"/>
        <v>0.70581385922990836</v>
      </c>
      <c r="G72" s="45">
        <f t="shared" si="8"/>
        <v>1</v>
      </c>
    </row>
    <row r="73" spans="2:7" x14ac:dyDescent="0.75">
      <c r="B73">
        <v>2036</v>
      </c>
      <c r="C73" s="43">
        <f>SUM('AEO 2025 Table 61'!C35:D35)</f>
        <v>3.7046840000000003</v>
      </c>
      <c r="D73" s="43">
        <f>'AEO 2025 Table 61'!E35</f>
        <v>8.8701039999999995</v>
      </c>
      <c r="E73" s="21">
        <f t="shared" si="9"/>
        <v>0.2946120443541474</v>
      </c>
      <c r="F73" s="21">
        <f t="shared" si="10"/>
        <v>0.70538795564585266</v>
      </c>
      <c r="G73" s="45">
        <f t="shared" si="8"/>
        <v>1</v>
      </c>
    </row>
    <row r="74" spans="2:7" x14ac:dyDescent="0.75">
      <c r="B74">
        <v>2037</v>
      </c>
      <c r="C74" s="43">
        <f>SUM('AEO 2025 Table 61'!C36:D36)</f>
        <v>3.7558259999999999</v>
      </c>
      <c r="D74" s="43">
        <f>'AEO 2025 Table 61'!E36</f>
        <v>8.95106</v>
      </c>
      <c r="E74" s="21">
        <f t="shared" si="9"/>
        <v>0.29557406905200845</v>
      </c>
      <c r="F74" s="21">
        <f t="shared" si="10"/>
        <v>0.70442593094799144</v>
      </c>
      <c r="G74" s="45">
        <f t="shared" si="8"/>
        <v>0.99999999999999989</v>
      </c>
    </row>
    <row r="75" spans="2:7" x14ac:dyDescent="0.75">
      <c r="B75">
        <v>2038</v>
      </c>
      <c r="C75" s="43">
        <f>SUM('AEO 2025 Table 61'!C37:D37)</f>
        <v>3.8114759999999999</v>
      </c>
      <c r="D75" s="43">
        <f>'AEO 2025 Table 61'!E37</f>
        <v>8.95106</v>
      </c>
      <c r="E75" s="21">
        <f t="shared" si="9"/>
        <v>0.29864566101909523</v>
      </c>
      <c r="F75" s="21">
        <f t="shared" si="10"/>
        <v>0.70135433898090471</v>
      </c>
      <c r="G75" s="45">
        <f t="shared" si="8"/>
        <v>1</v>
      </c>
    </row>
    <row r="76" spans="2:7" x14ac:dyDescent="0.75">
      <c r="B76">
        <v>2039</v>
      </c>
      <c r="C76" s="43">
        <f>SUM('AEO 2025 Table 61'!C38:D38)</f>
        <v>3.8746350000000005</v>
      </c>
      <c r="D76" s="43">
        <f>'AEO 2025 Table 61'!E38</f>
        <v>8.95106</v>
      </c>
      <c r="E76" s="21">
        <f t="shared" si="9"/>
        <v>0.30209941839409099</v>
      </c>
      <c r="F76" s="21">
        <f t="shared" si="10"/>
        <v>0.69790058160590906</v>
      </c>
      <c r="G76" s="45">
        <f t="shared" si="8"/>
        <v>1</v>
      </c>
    </row>
    <row r="77" spans="2:7" x14ac:dyDescent="0.75">
      <c r="B77">
        <v>2040</v>
      </c>
      <c r="C77" s="43">
        <f>SUM('AEO 2025 Table 61'!C39:D39)</f>
        <v>3.9608800000000004</v>
      </c>
      <c r="D77" s="43">
        <f>'AEO 2025 Table 61'!E39</f>
        <v>8.9701039999999992</v>
      </c>
      <c r="E77" s="21">
        <f t="shared" si="9"/>
        <v>0.30630924916464214</v>
      </c>
      <c r="F77" s="21">
        <f t="shared" si="10"/>
        <v>0.69369075083535792</v>
      </c>
      <c r="G77" s="45">
        <f t="shared" si="8"/>
        <v>1</v>
      </c>
    </row>
    <row r="78" spans="2:7" x14ac:dyDescent="0.75">
      <c r="B78">
        <v>2041</v>
      </c>
      <c r="C78" s="43">
        <f>SUM('AEO 2025 Table 61'!C40:D40)</f>
        <v>4.0314309999999995</v>
      </c>
      <c r="D78" s="43">
        <f>'AEO 2025 Table 61'!E40</f>
        <v>8.95106</v>
      </c>
      <c r="E78" s="21">
        <f t="shared" si="9"/>
        <v>0.31052831078411686</v>
      </c>
      <c r="F78" s="21">
        <f t="shared" si="10"/>
        <v>0.6894716892158832</v>
      </c>
      <c r="G78" s="45">
        <f t="shared" si="8"/>
        <v>1</v>
      </c>
    </row>
    <row r="79" spans="2:7" x14ac:dyDescent="0.75">
      <c r="B79">
        <v>2042</v>
      </c>
      <c r="C79" s="43">
        <f>SUM('AEO 2025 Table 61'!C41:D41)</f>
        <v>4.0656489999999996</v>
      </c>
      <c r="D79" s="43">
        <f>'AEO 2025 Table 61'!E41</f>
        <v>8.9500600000000006</v>
      </c>
      <c r="E79" s="21">
        <f t="shared" si="9"/>
        <v>0.31236477398196283</v>
      </c>
      <c r="F79" s="21">
        <f t="shared" si="10"/>
        <v>0.68763522601803706</v>
      </c>
      <c r="G79" s="45">
        <f t="shared" si="8"/>
        <v>0.99999999999999989</v>
      </c>
    </row>
    <row r="80" spans="2:7" x14ac:dyDescent="0.75">
      <c r="B80">
        <v>2043</v>
      </c>
      <c r="C80" s="43">
        <f>SUM('AEO 2025 Table 61'!C42:D42)</f>
        <v>4.0893370000000004</v>
      </c>
      <c r="D80" s="43">
        <f>'AEO 2025 Table 61'!E42</f>
        <v>8.9112449999999992</v>
      </c>
      <c r="E80" s="21">
        <f t="shared" si="9"/>
        <v>0.31455030244030618</v>
      </c>
      <c r="F80" s="21">
        <f t="shared" si="10"/>
        <v>0.68544969755969387</v>
      </c>
      <c r="G80" s="45">
        <f t="shared" si="8"/>
        <v>1</v>
      </c>
    </row>
    <row r="81" spans="1:7" x14ac:dyDescent="0.75">
      <c r="B81">
        <v>2044</v>
      </c>
      <c r="C81" s="43">
        <f>SUM('AEO 2025 Table 61'!C43:D43)</f>
        <v>4.1048480000000005</v>
      </c>
      <c r="D81" s="43">
        <f>'AEO 2025 Table 61'!E43</f>
        <v>8.8884950000000007</v>
      </c>
      <c r="E81" s="21">
        <f t="shared" si="9"/>
        <v>0.31591931345151131</v>
      </c>
      <c r="F81" s="21">
        <f t="shared" si="10"/>
        <v>0.68408068654848875</v>
      </c>
      <c r="G81" s="45">
        <f t="shared" si="8"/>
        <v>1</v>
      </c>
    </row>
    <row r="82" spans="1:7" x14ac:dyDescent="0.75">
      <c r="B82">
        <v>2045</v>
      </c>
      <c r="C82" s="43">
        <f>SUM('AEO 2025 Table 61'!C44:D44)</f>
        <v>4.1451019999999996</v>
      </c>
      <c r="D82" s="43">
        <f>'AEO 2025 Table 61'!E44</f>
        <v>8.8667350000000003</v>
      </c>
      <c r="E82" s="21">
        <f t="shared" si="9"/>
        <v>0.31856393528446442</v>
      </c>
      <c r="F82" s="21">
        <f t="shared" si="10"/>
        <v>0.68143606471553553</v>
      </c>
      <c r="G82" s="45">
        <f t="shared" si="8"/>
        <v>1</v>
      </c>
    </row>
    <row r="83" spans="1:7" x14ac:dyDescent="0.75">
      <c r="B83">
        <v>2046</v>
      </c>
      <c r="C83" s="43">
        <f>SUM('AEO 2025 Table 61'!C45:D45)</f>
        <v>4.2071079999999998</v>
      </c>
      <c r="D83" s="43">
        <f>'AEO 2025 Table 61'!E45</f>
        <v>8.8337579999999996</v>
      </c>
      <c r="E83" s="21">
        <f t="shared" si="9"/>
        <v>0.32260955675796377</v>
      </c>
      <c r="F83" s="21">
        <f t="shared" si="10"/>
        <v>0.67739044324203623</v>
      </c>
      <c r="G83" s="45">
        <f t="shared" si="8"/>
        <v>1</v>
      </c>
    </row>
    <row r="84" spans="1:7" x14ac:dyDescent="0.75">
      <c r="B84">
        <v>2047</v>
      </c>
      <c r="C84" s="43">
        <f>SUM('AEO 2025 Table 61'!C46:D46)</f>
        <v>4.2417850000000001</v>
      </c>
      <c r="D84" s="43">
        <f>'AEO 2025 Table 61'!E46</f>
        <v>8.8383870000000009</v>
      </c>
      <c r="E84" s="21">
        <f t="shared" si="9"/>
        <v>0.32429122491661422</v>
      </c>
      <c r="F84" s="21">
        <f t="shared" si="10"/>
        <v>0.67570877508338578</v>
      </c>
      <c r="G84" s="45">
        <f t="shared" si="8"/>
        <v>1</v>
      </c>
    </row>
    <row r="85" spans="1:7" x14ac:dyDescent="0.75">
      <c r="B85">
        <v>2048</v>
      </c>
      <c r="C85" s="43">
        <f>SUM('AEO 2025 Table 61'!C47:D47)</f>
        <v>4.2661110000000004</v>
      </c>
      <c r="D85" s="43">
        <f>'AEO 2025 Table 61'!E47</f>
        <v>8.8282710000000009</v>
      </c>
      <c r="E85" s="21">
        <f t="shared" si="9"/>
        <v>0.32579704792482761</v>
      </c>
      <c r="F85" s="21">
        <f t="shared" si="10"/>
        <v>0.67420295207517233</v>
      </c>
      <c r="G85" s="45">
        <f t="shared" si="8"/>
        <v>1</v>
      </c>
    </row>
    <row r="86" spans="1:7" x14ac:dyDescent="0.75">
      <c r="B86">
        <v>2049</v>
      </c>
      <c r="C86" s="43">
        <f>SUM('AEO 2025 Table 61'!C48:D48)</f>
        <v>4.2771590000000002</v>
      </c>
      <c r="D86" s="43">
        <f>'AEO 2025 Table 61'!E48</f>
        <v>8.8046530000000001</v>
      </c>
      <c r="E86" s="21">
        <f t="shared" si="9"/>
        <v>0.32695462983262569</v>
      </c>
      <c r="F86" s="21">
        <f t="shared" si="10"/>
        <v>0.67304537016737442</v>
      </c>
      <c r="G86" s="45">
        <f t="shared" si="8"/>
        <v>1</v>
      </c>
    </row>
    <row r="87" spans="1:7" x14ac:dyDescent="0.75">
      <c r="B87">
        <v>2050</v>
      </c>
      <c r="C87" s="43">
        <f>SUM('AEO 2025 Table 61'!C49:D49)</f>
        <v>4.2926739999999999</v>
      </c>
      <c r="D87" s="43">
        <f>'AEO 2025 Table 61'!E49</f>
        <v>8.8412989999999994</v>
      </c>
      <c r="E87" s="21">
        <f t="shared" si="9"/>
        <v>0.32683743144591509</v>
      </c>
      <c r="F87" s="21">
        <f>D87/SUM(C87:D87)</f>
        <v>0.67316256855408485</v>
      </c>
      <c r="G87" s="45">
        <f t="shared" si="8"/>
        <v>1</v>
      </c>
    </row>
    <row r="89" spans="1:7" x14ac:dyDescent="0.75">
      <c r="A89" s="17" t="s">
        <v>1494</v>
      </c>
      <c r="B89" s="18" t="s">
        <v>1722</v>
      </c>
      <c r="C89" s="18"/>
      <c r="D89" s="18" t="s">
        <v>1505</v>
      </c>
    </row>
    <row r="90" spans="1:7" x14ac:dyDescent="0.75">
      <c r="B90">
        <v>2021</v>
      </c>
      <c r="C90" s="23">
        <f>E58*C23+F58*D23</f>
        <v>6.5967288020886192</v>
      </c>
      <c r="D90" s="4">
        <f>C90*About!$B$29/10^6</f>
        <v>5.58742929536906E-6</v>
      </c>
    </row>
    <row r="91" spans="1:7" x14ac:dyDescent="0.75">
      <c r="B91">
        <v>2022</v>
      </c>
      <c r="C91" s="23">
        <f>E59*C24+F59*D24</f>
        <v>9.9846630922330259</v>
      </c>
      <c r="D91" s="4">
        <f>C91*About!$B$30/10^6</f>
        <v>7.8379605274029258E-6</v>
      </c>
    </row>
    <row r="92" spans="1:7" x14ac:dyDescent="0.75">
      <c r="B92">
        <v>2023</v>
      </c>
      <c r="C92" s="23">
        <f t="shared" ref="C92:C119" si="11">E60*C28+D28*F60</f>
        <v>4.5228577956532003</v>
      </c>
      <c r="D92" s="4">
        <f>C92*About!$B$30/10^6</f>
        <v>3.5504433695877621E-6</v>
      </c>
    </row>
    <row r="93" spans="1:7" x14ac:dyDescent="0.75">
      <c r="B93">
        <v>2024</v>
      </c>
      <c r="C93" s="23">
        <f t="shared" si="11"/>
        <v>5.9636683376986079</v>
      </c>
      <c r="D93" s="4">
        <f>C93*About!$B$30/10^6</f>
        <v>4.6814796450934071E-6</v>
      </c>
    </row>
    <row r="94" spans="1:7" x14ac:dyDescent="0.75">
      <c r="B94">
        <v>2025</v>
      </c>
      <c r="C94" s="23">
        <f t="shared" si="11"/>
        <v>7.0454103041616376</v>
      </c>
      <c r="D94" s="4">
        <f>C94*About!$B$30/10^6</f>
        <v>5.5306470887668856E-6</v>
      </c>
    </row>
    <row r="95" spans="1:7" x14ac:dyDescent="0.75">
      <c r="B95">
        <v>2026</v>
      </c>
      <c r="C95" s="23">
        <f t="shared" si="11"/>
        <v>7.1722856636664858</v>
      </c>
      <c r="D95" s="4">
        <f>C95*About!$B$30/10^6</f>
        <v>5.630244245978192E-6</v>
      </c>
    </row>
    <row r="96" spans="1:7" x14ac:dyDescent="0.75">
      <c r="B96">
        <v>2027</v>
      </c>
      <c r="C96" s="23">
        <f t="shared" si="11"/>
        <v>6.7322681972702147</v>
      </c>
      <c r="D96" s="4">
        <f>C96*About!$B$30/10^6</f>
        <v>5.2848305348571192E-6</v>
      </c>
    </row>
    <row r="97" spans="2:4" x14ac:dyDescent="0.75">
      <c r="B97">
        <v>2028</v>
      </c>
      <c r="C97" s="23">
        <f t="shared" si="11"/>
        <v>6.4157506997070186</v>
      </c>
      <c r="D97" s="4">
        <f>C97*About!$B$30/10^6</f>
        <v>5.0363642992700095E-6</v>
      </c>
    </row>
    <row r="98" spans="2:4" x14ac:dyDescent="0.75">
      <c r="B98">
        <v>2029</v>
      </c>
      <c r="C98" s="23">
        <f t="shared" si="11"/>
        <v>6.0347063669358629</v>
      </c>
      <c r="D98" s="4">
        <f>C98*About!$B$30/10^6</f>
        <v>4.7372444980446526E-6</v>
      </c>
    </row>
    <row r="99" spans="2:4" x14ac:dyDescent="0.75">
      <c r="B99">
        <v>2030</v>
      </c>
      <c r="C99" s="44">
        <f>E67*C35+D35*F67</f>
        <v>5.6319698075857891</v>
      </c>
      <c r="D99" s="4">
        <f>C99*About!$B$31/10^6</f>
        <v>4.1221288473706489E-6</v>
      </c>
    </row>
    <row r="100" spans="2:4" x14ac:dyDescent="0.75">
      <c r="B100">
        <v>2031</v>
      </c>
      <c r="C100" s="44">
        <f t="shared" si="11"/>
        <v>5.9243139440311738</v>
      </c>
      <c r="D100" s="4">
        <f>C100*About!$B$31/10^6</f>
        <v>4.3361002000895574E-6</v>
      </c>
    </row>
    <row r="101" spans="2:4" x14ac:dyDescent="0.75">
      <c r="B101">
        <v>2032</v>
      </c>
      <c r="C101" s="44">
        <f t="shared" si="11"/>
        <v>6.7322376292367858</v>
      </c>
      <c r="D101" s="4">
        <f>C101*About!$B$31/10^6</f>
        <v>4.9274324769022511E-6</v>
      </c>
    </row>
    <row r="102" spans="2:4" x14ac:dyDescent="0.75">
      <c r="B102">
        <v>2033</v>
      </c>
      <c r="C102" s="44">
        <f t="shared" si="11"/>
        <v>7.4283912251952335</v>
      </c>
      <c r="D102" s="4">
        <f>C102*About!$B$31/10^6</f>
        <v>5.4369584364050835E-6</v>
      </c>
    </row>
    <row r="103" spans="2:4" x14ac:dyDescent="0.75">
      <c r="B103">
        <v>2034</v>
      </c>
      <c r="C103" s="44">
        <f t="shared" si="11"/>
        <v>7.9288129540786407</v>
      </c>
      <c r="D103" s="4">
        <f>C103*About!$B$31/10^6</f>
        <v>5.8032251095152562E-6</v>
      </c>
    </row>
    <row r="104" spans="2:4" x14ac:dyDescent="0.75">
      <c r="B104">
        <v>2035</v>
      </c>
      <c r="C104" s="44">
        <f t="shared" si="11"/>
        <v>8.0874966533287296</v>
      </c>
      <c r="D104" s="4">
        <f>C104*About!$B$31/10^6</f>
        <v>5.9193682488845832E-6</v>
      </c>
    </row>
    <row r="105" spans="2:4" x14ac:dyDescent="0.75">
      <c r="B105">
        <v>2036</v>
      </c>
      <c r="C105" s="44">
        <f t="shared" si="11"/>
        <v>8.1139979651734091</v>
      </c>
      <c r="D105" s="4">
        <f>C105*About!$B$31/10^6</f>
        <v>5.9387649832031841E-6</v>
      </c>
    </row>
    <row r="106" spans="2:4" x14ac:dyDescent="0.75">
      <c r="B106">
        <v>2037</v>
      </c>
      <c r="C106" s="44">
        <f t="shared" si="11"/>
        <v>8.0531233707113739</v>
      </c>
      <c r="D106" s="4">
        <f>C106*About!$B$31/10^6</f>
        <v>5.8942098931588513E-6</v>
      </c>
    </row>
    <row r="107" spans="2:4" x14ac:dyDescent="0.75">
      <c r="B107">
        <v>2038</v>
      </c>
      <c r="C107" s="44">
        <f t="shared" si="11"/>
        <v>7.9486784916170317</v>
      </c>
      <c r="D107" s="4">
        <f>C107*About!$B$31/10^6</f>
        <v>5.8177650144070094E-6</v>
      </c>
    </row>
    <row r="108" spans="2:4" x14ac:dyDescent="0.75">
      <c r="B108">
        <v>2039</v>
      </c>
      <c r="C108" s="44">
        <f t="shared" si="11"/>
        <v>7.8320381019445113</v>
      </c>
      <c r="D108" s="4">
        <f>C108*About!$B$31/10^6</f>
        <v>5.732394046261896E-6</v>
      </c>
    </row>
    <row r="109" spans="2:4" x14ac:dyDescent="0.75">
      <c r="B109">
        <v>2040</v>
      </c>
      <c r="C109" s="44">
        <f t="shared" si="11"/>
        <v>7.8754800086061856</v>
      </c>
      <c r="D109" s="4">
        <f>C109*About!$B$31/10^6</f>
        <v>5.7641898730778836E-6</v>
      </c>
    </row>
    <row r="110" spans="2:4" x14ac:dyDescent="0.75">
      <c r="B110">
        <v>2041</v>
      </c>
      <c r="C110" s="44">
        <f t="shared" si="11"/>
        <v>8.0117079579648269</v>
      </c>
      <c r="D110" s="4">
        <f>C110*About!$B$31/10^6</f>
        <v>5.863897289675367E-6</v>
      </c>
    </row>
    <row r="111" spans="2:4" x14ac:dyDescent="0.75">
      <c r="B111">
        <v>2042</v>
      </c>
      <c r="C111" s="44">
        <f t="shared" si="11"/>
        <v>8.1534162310990403</v>
      </c>
      <c r="D111" s="4">
        <f>C111*About!$B$31/10^6</f>
        <v>5.9676158429621463E-6</v>
      </c>
    </row>
    <row r="112" spans="2:4" x14ac:dyDescent="0.75">
      <c r="B112">
        <v>2043</v>
      </c>
      <c r="C112" s="44">
        <f t="shared" si="11"/>
        <v>8.3283355315425123</v>
      </c>
      <c r="D112" s="4">
        <f>C112*About!$B$31/10^6</f>
        <v>6.0956420787116264E-6</v>
      </c>
    </row>
    <row r="113" spans="2:4" x14ac:dyDescent="0.75">
      <c r="B113">
        <v>2044</v>
      </c>
      <c r="C113" s="44">
        <f t="shared" si="11"/>
        <v>8.4729828564653182</v>
      </c>
      <c r="D113" s="4">
        <f>C113*About!$B$31/10^6</f>
        <v>6.201511771044882E-6</v>
      </c>
    </row>
    <row r="114" spans="2:4" x14ac:dyDescent="0.75">
      <c r="B114">
        <v>2045</v>
      </c>
      <c r="C114" s="44">
        <f t="shared" si="11"/>
        <v>8.5498523513329197</v>
      </c>
      <c r="D114" s="4">
        <f>C114*About!$B$31/10^6</f>
        <v>6.2577737847101111E-6</v>
      </c>
    </row>
    <row r="115" spans="2:4" x14ac:dyDescent="0.75">
      <c r="B115">
        <v>2046</v>
      </c>
      <c r="C115" s="44">
        <f t="shared" si="11"/>
        <v>8.5841215608686312</v>
      </c>
      <c r="D115" s="4">
        <f>C115*About!$B$31/10^6</f>
        <v>6.282855967681596E-6</v>
      </c>
    </row>
    <row r="116" spans="2:4" x14ac:dyDescent="0.75">
      <c r="B116">
        <v>2047</v>
      </c>
      <c r="C116" s="44">
        <f t="shared" si="11"/>
        <v>8.5931842942393803</v>
      </c>
      <c r="D116" s="4">
        <f>C116*About!$B$31/10^6</f>
        <v>6.2894891272935805E-6</v>
      </c>
    </row>
    <row r="117" spans="2:4" x14ac:dyDescent="0.75">
      <c r="B117">
        <v>2048</v>
      </c>
      <c r="C117" s="44">
        <f t="shared" si="11"/>
        <v>8.6437037378063728</v>
      </c>
      <c r="D117" s="4">
        <f>C117*About!$B$31/10^6</f>
        <v>6.326465116653488E-6</v>
      </c>
    </row>
    <row r="118" spans="2:4" x14ac:dyDescent="0.75">
      <c r="B118">
        <v>2049</v>
      </c>
      <c r="C118" s="44">
        <f t="shared" si="11"/>
        <v>8.8021721117684955</v>
      </c>
      <c r="D118" s="4">
        <f>C118*About!$B$31/10^6</f>
        <v>6.4424506559980606E-6</v>
      </c>
    </row>
    <row r="119" spans="2:4" x14ac:dyDescent="0.75">
      <c r="B119">
        <v>2050</v>
      </c>
      <c r="C119" s="44">
        <f t="shared" si="11"/>
        <v>9.0015518174855984</v>
      </c>
      <c r="D119" s="4">
        <f>C119*About!$B$31/10^6</f>
        <v>6.5883798538800791E-6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151"/>
  <sheetViews>
    <sheetView topLeftCell="A140" workbookViewId="0">
      <selection activeCell="E154" sqref="E154"/>
    </sheetView>
  </sheetViews>
  <sheetFormatPr defaultRowHeight="14.75" x14ac:dyDescent="0.75"/>
  <cols>
    <col min="1" max="1" width="39.54296875" customWidth="1"/>
  </cols>
  <sheetData>
    <row r="1" spans="1:81" x14ac:dyDescent="0.75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81" s="3" customFormat="1" x14ac:dyDescent="0.75">
      <c r="A2" s="5" t="s">
        <v>22</v>
      </c>
    </row>
    <row r="3" spans="1:81" x14ac:dyDescent="0.75">
      <c r="A3" t="s">
        <v>30</v>
      </c>
      <c r="B3">
        <v>2021</v>
      </c>
      <c r="C3">
        <v>2022</v>
      </c>
      <c r="D3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81" x14ac:dyDescent="0.75">
      <c r="A4" t="s">
        <v>52</v>
      </c>
      <c r="B4">
        <v>0</v>
      </c>
      <c r="C4">
        <v>0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</row>
    <row r="5" spans="1:81" x14ac:dyDescent="0.75">
      <c r="A5" t="s">
        <v>53</v>
      </c>
      <c r="B5">
        <v>1.6429965100310878E-6</v>
      </c>
      <c r="C5">
        <v>1.7402500295330958E-6</v>
      </c>
      <c r="D5">
        <v>1.8797637449808972E-6</v>
      </c>
      <c r="E5" s="1">
        <v>1.7043115175252253E-6</v>
      </c>
      <c r="F5" s="1">
        <v>1.6618772655662696E-6</v>
      </c>
      <c r="G5" s="1">
        <v>1.6263232422281187E-6</v>
      </c>
      <c r="H5" s="1">
        <v>1.5925408969391293E-6</v>
      </c>
      <c r="I5" s="1">
        <v>1.5243216615871371E-6</v>
      </c>
      <c r="J5" s="1">
        <v>1.5244768915322962E-6</v>
      </c>
      <c r="K5" s="1">
        <v>1.538952614409747E-6</v>
      </c>
      <c r="L5" s="1">
        <v>1.5184534473301435E-6</v>
      </c>
      <c r="M5" s="1">
        <v>1.4713366702010846E-6</v>
      </c>
      <c r="N5" s="1">
        <v>1.4739781909187541E-6</v>
      </c>
      <c r="O5" s="1">
        <v>1.4644835374487301E-6</v>
      </c>
      <c r="P5" s="1">
        <v>1.4552376436384567E-6</v>
      </c>
      <c r="Q5" s="1">
        <v>1.455255109047639E-6</v>
      </c>
      <c r="R5" s="1">
        <v>1.4764150235699366E-6</v>
      </c>
      <c r="S5" s="1">
        <v>1.4735283342112278E-6</v>
      </c>
      <c r="T5" s="1">
        <v>1.515625846552032E-6</v>
      </c>
      <c r="U5" s="1">
        <v>1.5135962680682213E-6</v>
      </c>
      <c r="V5" s="1">
        <v>1.511718981423353E-6</v>
      </c>
      <c r="W5" s="1">
        <v>1.5107165975188102E-6</v>
      </c>
      <c r="X5" s="1">
        <v>1.5112678188908408E-6</v>
      </c>
      <c r="Y5" s="1">
        <v>1.5110861459897242E-6</v>
      </c>
      <c r="Z5" s="1">
        <v>1.5035086068266296E-6</v>
      </c>
      <c r="AA5" s="1">
        <v>1.2925599256745844E-6</v>
      </c>
      <c r="AB5" s="1">
        <v>1.4913562730547403E-6</v>
      </c>
      <c r="AC5" s="1">
        <v>1.4912253640999373E-6</v>
      </c>
      <c r="AD5" s="1">
        <v>1.5030987410092863E-6</v>
      </c>
      <c r="AE5" s="1">
        <v>1.5007823707130218E-6</v>
      </c>
      <c r="AF5" s="1">
        <v>1.5007823707130218E-6</v>
      </c>
      <c r="AG5" s="1">
        <v>1.5007823707130218E-6</v>
      </c>
      <c r="AH5" s="1">
        <v>1.5007823707130218E-6</v>
      </c>
      <c r="AI5" s="1">
        <v>1.5007823707130218E-6</v>
      </c>
      <c r="AJ5" s="1">
        <v>1.5007823707130218E-6</v>
      </c>
      <c r="AK5" s="1">
        <v>1.5007823707130218E-6</v>
      </c>
      <c r="AL5" s="1">
        <v>1.5007823707130218E-6</v>
      </c>
      <c r="AM5" s="1">
        <v>1.5007823707130218E-6</v>
      </c>
      <c r="AN5" s="1">
        <v>1.5007823707130218E-6</v>
      </c>
      <c r="AO5" s="1">
        <v>1.5007823707130218E-6</v>
      </c>
      <c r="AP5" s="1">
        <v>1.5007823707130218E-6</v>
      </c>
      <c r="AQ5" s="1">
        <v>1.5007823707130218E-6</v>
      </c>
      <c r="AR5" s="1">
        <v>1.5007823707130218E-6</v>
      </c>
      <c r="AS5" s="1">
        <v>1.5007823707130218E-6</v>
      </c>
      <c r="AT5" s="1">
        <v>1.5007823707130218E-6</v>
      </c>
      <c r="AU5" s="1">
        <v>1.5007823707130218E-6</v>
      </c>
      <c r="AV5" s="1">
        <v>1.5007823707130218E-6</v>
      </c>
      <c r="AW5" s="1">
        <v>1.5007823707130218E-6</v>
      </c>
      <c r="AX5" s="1">
        <v>1.5007823707130218E-6</v>
      </c>
      <c r="AY5" s="1">
        <v>1.5007823707130218E-6</v>
      </c>
      <c r="AZ5" s="1">
        <v>1.5007823707130218E-6</v>
      </c>
      <c r="BA5" s="1">
        <v>1.5007823707130218E-6</v>
      </c>
      <c r="BB5" s="1">
        <v>1.5007823707130218E-6</v>
      </c>
      <c r="BC5" s="1">
        <v>1.5007823707130218E-6</v>
      </c>
      <c r="BD5" s="1">
        <v>1.5007823707130218E-6</v>
      </c>
      <c r="BE5" s="1">
        <v>1.5007823707130218E-6</v>
      </c>
      <c r="BF5" s="1">
        <v>1.5007823707130218E-6</v>
      </c>
      <c r="BG5" s="1">
        <v>1.5007823707130218E-6</v>
      </c>
      <c r="BH5" s="1">
        <v>1.5007823707130218E-6</v>
      </c>
      <c r="BI5" s="1">
        <v>1.5007823707130218E-6</v>
      </c>
      <c r="BJ5" s="1">
        <v>1.5007823707130218E-6</v>
      </c>
      <c r="BK5" s="1">
        <v>1.5007823707130218E-6</v>
      </c>
      <c r="BL5" s="1">
        <v>1.5007823707130218E-6</v>
      </c>
      <c r="BM5" s="1">
        <v>1.5007823707130218E-6</v>
      </c>
      <c r="BN5" s="1">
        <v>1.5007823707130218E-6</v>
      </c>
      <c r="BO5" s="1">
        <v>1.5007823707130218E-6</v>
      </c>
      <c r="BP5" s="1">
        <v>1.5007823707130218E-6</v>
      </c>
      <c r="BQ5" s="1">
        <v>1.5007823707130218E-6</v>
      </c>
      <c r="BR5" s="1">
        <v>1.5007823707130218E-6</v>
      </c>
      <c r="BS5" s="1">
        <v>1.5007823707130218E-6</v>
      </c>
      <c r="BT5" s="1">
        <v>1.5007823707130218E-6</v>
      </c>
      <c r="BU5" s="1">
        <v>1.5007823707130218E-6</v>
      </c>
      <c r="BV5" s="1">
        <v>1.5007823707130218E-6</v>
      </c>
      <c r="BW5" s="1">
        <v>1.5007823707130218E-6</v>
      </c>
      <c r="BX5" s="1">
        <v>1.5007823707130218E-6</v>
      </c>
      <c r="BY5" s="1">
        <v>1.5007823707130218E-6</v>
      </c>
      <c r="BZ5" s="1">
        <v>1.5007823707130218E-6</v>
      </c>
      <c r="CA5" s="1">
        <v>1.5007823707130218E-6</v>
      </c>
      <c r="CB5" s="1">
        <v>1.5007823707130218E-6</v>
      </c>
      <c r="CC5" s="1">
        <v>1.5007823707130218E-6</v>
      </c>
    </row>
    <row r="6" spans="1:81" x14ac:dyDescent="0.75">
      <c r="A6" t="s">
        <v>54</v>
      </c>
      <c r="B6">
        <v>0</v>
      </c>
      <c r="C6">
        <v>0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</row>
    <row r="7" spans="1:81" x14ac:dyDescent="0.75">
      <c r="A7" t="s">
        <v>55</v>
      </c>
      <c r="B7">
        <v>0</v>
      </c>
      <c r="C7">
        <v>0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</row>
    <row r="8" spans="1:81" x14ac:dyDescent="0.75">
      <c r="A8" t="s">
        <v>56</v>
      </c>
      <c r="B8">
        <v>4.9035847570226958E-6</v>
      </c>
      <c r="C8">
        <v>5.1938415365625578E-6</v>
      </c>
      <c r="D8">
        <v>5.6102254572152535E-6</v>
      </c>
      <c r="E8" s="1">
        <v>5.6816941223725817E-6</v>
      </c>
      <c r="F8" s="1">
        <v>5.4263596240098268E-6</v>
      </c>
      <c r="G8" s="1">
        <v>5.3751647858181799E-6</v>
      </c>
      <c r="H8" s="1">
        <v>5.3521877667369213E-6</v>
      </c>
      <c r="I8" s="1">
        <v>5.3231029909543444E-6</v>
      </c>
      <c r="J8" s="1">
        <v>5.3107544633578178E-6</v>
      </c>
      <c r="K8" s="1">
        <v>5.3057240548116118E-6</v>
      </c>
      <c r="L8" s="1">
        <v>5.3077498860203287E-6</v>
      </c>
      <c r="M8" s="1">
        <v>5.3206938195118843E-6</v>
      </c>
      <c r="N8" s="1">
        <v>5.3161073335885736E-6</v>
      </c>
      <c r="O8" s="1">
        <v>5.2872987529852491E-6</v>
      </c>
      <c r="P8" s="1">
        <v>5.2997515459930034E-6</v>
      </c>
      <c r="Q8" s="1">
        <v>5.2983655960873826E-6</v>
      </c>
      <c r="R8" s="1">
        <v>5.2961757460855903E-6</v>
      </c>
      <c r="S8" s="1">
        <v>5.2965499356194246E-6</v>
      </c>
      <c r="T8" s="1">
        <v>5.281969953338627E-6</v>
      </c>
      <c r="U8" s="1">
        <v>5.277609835319297E-6</v>
      </c>
      <c r="V8" s="1">
        <v>5.2556024728419827E-6</v>
      </c>
      <c r="W8" s="1">
        <v>5.2506545632397933E-6</v>
      </c>
      <c r="X8" s="1">
        <v>5.2425423989283914E-6</v>
      </c>
      <c r="Y8" s="1">
        <v>5.2449123236678722E-6</v>
      </c>
      <c r="Z8" s="1">
        <v>5.2535836823896206E-6</v>
      </c>
      <c r="AA8" s="1">
        <v>5.2500851669794493E-6</v>
      </c>
      <c r="AB8" s="1">
        <v>5.2444836720018834E-6</v>
      </c>
      <c r="AC8" s="1">
        <v>5.2437147786203435E-6</v>
      </c>
      <c r="AD8" s="1">
        <v>5.2492193237602531E-6</v>
      </c>
      <c r="AE8" s="1">
        <v>5.2450892126520479E-6</v>
      </c>
      <c r="AF8" s="1">
        <v>5.2450892126520479E-6</v>
      </c>
      <c r="AG8" s="1">
        <v>5.2450892126520479E-6</v>
      </c>
      <c r="AH8" s="1">
        <v>5.2450892126520479E-6</v>
      </c>
      <c r="AI8" s="1">
        <v>5.2450892126520479E-6</v>
      </c>
      <c r="AJ8" s="1">
        <v>5.2450892126520479E-6</v>
      </c>
      <c r="AK8" s="1">
        <v>5.2450892126520479E-6</v>
      </c>
      <c r="AL8" s="1">
        <v>5.2450892126520479E-6</v>
      </c>
      <c r="AM8" s="1">
        <v>5.2450892126520479E-6</v>
      </c>
      <c r="AN8" s="1">
        <v>5.2450892126520479E-6</v>
      </c>
      <c r="AO8" s="1">
        <v>5.2450892126520479E-6</v>
      </c>
      <c r="AP8" s="1">
        <v>5.2450892126520479E-6</v>
      </c>
      <c r="AQ8" s="1">
        <v>5.2450892126520479E-6</v>
      </c>
      <c r="AR8" s="1">
        <v>5.2450892126520479E-6</v>
      </c>
      <c r="AS8" s="1">
        <v>5.2450892126520479E-6</v>
      </c>
      <c r="AT8" s="1">
        <v>5.2450892126520479E-6</v>
      </c>
      <c r="AU8" s="1">
        <v>5.2450892126520479E-6</v>
      </c>
      <c r="AV8" s="1">
        <v>5.2450892126520479E-6</v>
      </c>
      <c r="AW8" s="1">
        <v>5.2450892126520479E-6</v>
      </c>
      <c r="AX8" s="1">
        <v>5.2450892126520479E-6</v>
      </c>
      <c r="AY8" s="1">
        <v>5.2450892126520479E-6</v>
      </c>
      <c r="AZ8" s="1">
        <v>5.2450892126520479E-6</v>
      </c>
      <c r="BA8" s="1">
        <v>5.2450892126520479E-6</v>
      </c>
      <c r="BB8" s="1">
        <v>5.2450892126520479E-6</v>
      </c>
      <c r="BC8" s="1">
        <v>5.2450892126520479E-6</v>
      </c>
      <c r="BD8" s="1">
        <v>5.2450892126520479E-6</v>
      </c>
      <c r="BE8" s="1">
        <v>5.2450892126520479E-6</v>
      </c>
      <c r="BF8" s="1">
        <v>5.2450892126520479E-6</v>
      </c>
      <c r="BG8" s="1">
        <v>5.2450892126520479E-6</v>
      </c>
      <c r="BH8" s="1">
        <v>5.2450892126520479E-6</v>
      </c>
      <c r="BI8" s="1">
        <v>5.2450892126520479E-6</v>
      </c>
      <c r="BJ8" s="1">
        <v>5.2450892126520479E-6</v>
      </c>
      <c r="BK8" s="1">
        <v>5.2450892126520479E-6</v>
      </c>
      <c r="BL8" s="1">
        <v>5.2450892126520479E-6</v>
      </c>
      <c r="BM8" s="1">
        <v>5.2450892126520479E-6</v>
      </c>
      <c r="BN8" s="1">
        <v>5.2450892126520479E-6</v>
      </c>
      <c r="BO8" s="1">
        <v>5.2450892126520479E-6</v>
      </c>
      <c r="BP8" s="1">
        <v>5.2450892126520479E-6</v>
      </c>
      <c r="BQ8" s="1">
        <v>5.2450892126520479E-6</v>
      </c>
      <c r="BR8" s="1">
        <v>5.2450892126520479E-6</v>
      </c>
      <c r="BS8" s="1">
        <v>5.2450892126520479E-6</v>
      </c>
      <c r="BT8" s="1">
        <v>5.2450892126520479E-6</v>
      </c>
      <c r="BU8" s="1">
        <v>5.2450892126520479E-6</v>
      </c>
      <c r="BV8" s="1">
        <v>5.2450892126520479E-6</v>
      </c>
      <c r="BW8" s="1">
        <v>5.2450892126520479E-6</v>
      </c>
      <c r="BX8" s="1">
        <v>5.2450892126520479E-6</v>
      </c>
      <c r="BY8" s="1">
        <v>5.2450892126520479E-6</v>
      </c>
      <c r="BZ8" s="1">
        <v>5.2450892126520479E-6</v>
      </c>
      <c r="CA8" s="1">
        <v>5.2450892126520479E-6</v>
      </c>
      <c r="CB8" s="1">
        <v>5.2450892126520479E-6</v>
      </c>
      <c r="CC8" s="1">
        <v>5.2450892126520479E-6</v>
      </c>
    </row>
    <row r="9" spans="1:81" x14ac:dyDescent="0.75">
      <c r="A9" t="s">
        <v>57</v>
      </c>
      <c r="B9">
        <v>1.6429965100310878E-6</v>
      </c>
      <c r="C9">
        <v>1.7402500295330958E-6</v>
      </c>
      <c r="D9">
        <v>1.8797637449808972E-6</v>
      </c>
      <c r="E9" s="1">
        <v>1.7043115175252253E-6</v>
      </c>
      <c r="F9" s="1">
        <v>1.6618772655662696E-6</v>
      </c>
      <c r="G9" s="1">
        <v>1.6263232422281187E-6</v>
      </c>
      <c r="H9" s="1">
        <v>1.5925408969391293E-6</v>
      </c>
      <c r="I9" s="1">
        <v>1.5243216615871371E-6</v>
      </c>
      <c r="J9" s="1">
        <v>1.5244768915322962E-6</v>
      </c>
      <c r="K9" s="1">
        <v>1.538952614409747E-6</v>
      </c>
      <c r="L9" s="1">
        <v>1.5184534473301435E-6</v>
      </c>
      <c r="M9" s="1">
        <v>1.4713366702010846E-6</v>
      </c>
      <c r="N9" s="1">
        <v>1.4739781909187541E-6</v>
      </c>
      <c r="O9" s="1">
        <v>1.4644835374487301E-6</v>
      </c>
      <c r="P9" s="1">
        <v>1.4552376436384567E-6</v>
      </c>
      <c r="Q9" s="1">
        <v>1.455255109047639E-6</v>
      </c>
      <c r="R9" s="1">
        <v>1.4764150235699366E-6</v>
      </c>
      <c r="S9" s="1">
        <v>1.4735283342112278E-6</v>
      </c>
      <c r="T9" s="1">
        <v>1.515625846552032E-6</v>
      </c>
      <c r="U9" s="1">
        <v>1.5135962680682213E-6</v>
      </c>
      <c r="V9" s="1">
        <v>1.511718981423353E-6</v>
      </c>
      <c r="W9" s="1">
        <v>1.5107165975188102E-6</v>
      </c>
      <c r="X9" s="1">
        <v>1.5112678188908408E-6</v>
      </c>
      <c r="Y9" s="1">
        <v>1.5110861459897242E-6</v>
      </c>
      <c r="Z9" s="1">
        <v>1.5035086068266296E-6</v>
      </c>
      <c r="AA9" s="1">
        <v>1.2925599256745844E-6</v>
      </c>
      <c r="AB9" s="1">
        <v>1.4913562730547403E-6</v>
      </c>
      <c r="AC9" s="1">
        <v>1.4912253640999373E-6</v>
      </c>
      <c r="AD9" s="1">
        <v>1.5030987410092863E-6</v>
      </c>
      <c r="AE9" s="1">
        <v>1.5007823707130218E-6</v>
      </c>
      <c r="AF9" s="1">
        <v>1.5007823707130218E-6</v>
      </c>
      <c r="AG9" s="1">
        <v>1.5007823707130218E-6</v>
      </c>
      <c r="AH9" s="1">
        <v>1.5007823707130218E-6</v>
      </c>
      <c r="AI9" s="1">
        <v>1.5007823707130218E-6</v>
      </c>
      <c r="AJ9" s="1">
        <v>1.5007823707130218E-6</v>
      </c>
      <c r="AK9" s="1">
        <v>1.5007823707130218E-6</v>
      </c>
      <c r="AL9" s="1">
        <v>1.5007823707130218E-6</v>
      </c>
      <c r="AM9" s="1">
        <v>1.5007823707130218E-6</v>
      </c>
      <c r="AN9" s="1">
        <v>1.5007823707130218E-6</v>
      </c>
      <c r="AO9" s="1">
        <v>1.5007823707130218E-6</v>
      </c>
      <c r="AP9" s="1">
        <v>1.5007823707130218E-6</v>
      </c>
      <c r="AQ9" s="1">
        <v>1.5007823707130218E-6</v>
      </c>
      <c r="AR9" s="1">
        <v>1.5007823707130218E-6</v>
      </c>
      <c r="AS9" s="1">
        <v>1.5007823707130218E-6</v>
      </c>
      <c r="AT9" s="1">
        <v>1.5007823707130218E-6</v>
      </c>
      <c r="AU9" s="1">
        <v>1.5007823707130218E-6</v>
      </c>
      <c r="AV9" s="1">
        <v>1.5007823707130218E-6</v>
      </c>
      <c r="AW9" s="1">
        <v>1.5007823707130218E-6</v>
      </c>
      <c r="AX9" s="1">
        <v>1.5007823707130218E-6</v>
      </c>
      <c r="AY9" s="1">
        <v>1.5007823707130218E-6</v>
      </c>
      <c r="AZ9" s="1">
        <v>1.5007823707130218E-6</v>
      </c>
      <c r="BA9" s="1">
        <v>1.5007823707130218E-6</v>
      </c>
      <c r="BB9" s="1">
        <v>1.5007823707130218E-6</v>
      </c>
      <c r="BC9" s="1">
        <v>1.5007823707130218E-6</v>
      </c>
      <c r="BD9" s="1">
        <v>1.5007823707130218E-6</v>
      </c>
      <c r="BE9" s="1">
        <v>1.5007823707130218E-6</v>
      </c>
      <c r="BF9" s="1">
        <v>1.5007823707130218E-6</v>
      </c>
      <c r="BG9" s="1">
        <v>1.5007823707130218E-6</v>
      </c>
      <c r="BH9" s="1">
        <v>1.5007823707130218E-6</v>
      </c>
      <c r="BI9" s="1">
        <v>1.5007823707130218E-6</v>
      </c>
      <c r="BJ9" s="1">
        <v>1.5007823707130218E-6</v>
      </c>
      <c r="BK9" s="1">
        <v>1.5007823707130218E-6</v>
      </c>
      <c r="BL9" s="1">
        <v>1.5007823707130218E-6</v>
      </c>
      <c r="BM9" s="1">
        <v>1.5007823707130218E-6</v>
      </c>
      <c r="BN9" s="1">
        <v>1.5007823707130218E-6</v>
      </c>
      <c r="BO9" s="1">
        <v>1.5007823707130218E-6</v>
      </c>
      <c r="BP9" s="1">
        <v>1.5007823707130218E-6</v>
      </c>
      <c r="BQ9" s="1">
        <v>1.5007823707130218E-6</v>
      </c>
      <c r="BR9" s="1">
        <v>1.5007823707130218E-6</v>
      </c>
      <c r="BS9" s="1">
        <v>1.5007823707130218E-6</v>
      </c>
      <c r="BT9" s="1">
        <v>1.5007823707130218E-6</v>
      </c>
      <c r="BU9" s="1">
        <v>1.5007823707130218E-6</v>
      </c>
      <c r="BV9" s="1">
        <v>1.5007823707130218E-6</v>
      </c>
      <c r="BW9" s="1">
        <v>1.5007823707130218E-6</v>
      </c>
      <c r="BX9" s="1">
        <v>1.5007823707130218E-6</v>
      </c>
      <c r="BY9" s="1">
        <v>1.5007823707130218E-6</v>
      </c>
      <c r="BZ9" s="1">
        <v>1.5007823707130218E-6</v>
      </c>
      <c r="CA9" s="1">
        <v>1.5007823707130218E-6</v>
      </c>
      <c r="CB9" s="1">
        <v>1.5007823707130218E-6</v>
      </c>
      <c r="CC9" s="1">
        <v>1.5007823707130218E-6</v>
      </c>
    </row>
    <row r="10" spans="1:81" x14ac:dyDescent="0.75">
      <c r="A10" t="s">
        <v>58</v>
      </c>
      <c r="B10">
        <v>0</v>
      </c>
      <c r="C10">
        <v>0</v>
      </c>
      <c r="D10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</row>
    <row r="11" spans="1:81" x14ac:dyDescent="0.75">
      <c r="A11" t="s">
        <v>59</v>
      </c>
      <c r="B11">
        <v>4.9035847570226958E-6</v>
      </c>
      <c r="C11">
        <v>5.1938415365625578E-6</v>
      </c>
      <c r="D11">
        <v>5.6102254572152535E-6</v>
      </c>
      <c r="E11" s="1">
        <v>5.6816941223725817E-6</v>
      </c>
      <c r="F11" s="1">
        <v>5.4263596240098268E-6</v>
      </c>
      <c r="G11" s="1">
        <v>5.3751647858181799E-6</v>
      </c>
      <c r="H11" s="1">
        <v>5.3521877667369213E-6</v>
      </c>
      <c r="I11" s="1">
        <v>5.3231029909543444E-6</v>
      </c>
      <c r="J11" s="1">
        <v>5.3107544633578178E-6</v>
      </c>
      <c r="K11" s="1">
        <v>5.3057240548116118E-6</v>
      </c>
      <c r="L11" s="1">
        <v>5.3077498860203287E-6</v>
      </c>
      <c r="M11" s="1">
        <v>5.3206938195118843E-6</v>
      </c>
      <c r="N11" s="1">
        <v>5.3161073335885736E-6</v>
      </c>
      <c r="O11" s="1">
        <v>5.2872987529852491E-6</v>
      </c>
      <c r="P11" s="1">
        <v>5.2997515459930034E-6</v>
      </c>
      <c r="Q11" s="1">
        <v>5.2983655960873826E-6</v>
      </c>
      <c r="R11" s="1">
        <v>5.2961757460855903E-6</v>
      </c>
      <c r="S11" s="1">
        <v>5.2965499356194246E-6</v>
      </c>
      <c r="T11" s="1">
        <v>5.281969953338627E-6</v>
      </c>
      <c r="U11" s="1">
        <v>5.277609835319297E-6</v>
      </c>
      <c r="V11" s="1">
        <v>5.2556024728419827E-6</v>
      </c>
      <c r="W11" s="1">
        <v>5.2506545632397933E-6</v>
      </c>
      <c r="X11" s="1">
        <v>5.2425423989283914E-6</v>
      </c>
      <c r="Y11" s="1">
        <v>5.2449123236678722E-6</v>
      </c>
      <c r="Z11" s="1">
        <v>5.2535836823896206E-6</v>
      </c>
      <c r="AA11" s="1">
        <v>5.2500851669794493E-6</v>
      </c>
      <c r="AB11" s="1">
        <v>5.2444836720018834E-6</v>
      </c>
      <c r="AC11" s="1">
        <v>5.2437147786203435E-6</v>
      </c>
      <c r="AD11" s="1">
        <v>5.2492193237602531E-6</v>
      </c>
      <c r="AE11" s="1">
        <v>5.2450892126520479E-6</v>
      </c>
      <c r="AF11" s="1">
        <v>5.2450892126520479E-6</v>
      </c>
      <c r="AG11" s="1">
        <v>5.2450892126520479E-6</v>
      </c>
      <c r="AH11" s="1">
        <v>5.2450892126520479E-6</v>
      </c>
      <c r="AI11" s="1">
        <v>5.2450892126520479E-6</v>
      </c>
      <c r="AJ11" s="1">
        <v>5.2450892126520479E-6</v>
      </c>
      <c r="AK11" s="1">
        <v>5.2450892126520479E-6</v>
      </c>
      <c r="AL11" s="1">
        <v>5.2450892126520479E-6</v>
      </c>
      <c r="AM11" s="1">
        <v>5.2450892126520479E-6</v>
      </c>
      <c r="AN11" s="1">
        <v>5.2450892126520479E-6</v>
      </c>
      <c r="AO11" s="1">
        <v>5.2450892126520479E-6</v>
      </c>
      <c r="AP11" s="1">
        <v>5.2450892126520479E-6</v>
      </c>
      <c r="AQ11" s="1">
        <v>5.2450892126520479E-6</v>
      </c>
      <c r="AR11" s="1">
        <v>5.2450892126520479E-6</v>
      </c>
      <c r="AS11" s="1">
        <v>5.2450892126520479E-6</v>
      </c>
      <c r="AT11" s="1">
        <v>5.2450892126520479E-6</v>
      </c>
      <c r="AU11" s="1">
        <v>5.2450892126520479E-6</v>
      </c>
      <c r="AV11" s="1">
        <v>5.2450892126520479E-6</v>
      </c>
      <c r="AW11" s="1">
        <v>5.2450892126520479E-6</v>
      </c>
      <c r="AX11" s="1">
        <v>5.2450892126520479E-6</v>
      </c>
      <c r="AY11" s="1">
        <v>5.2450892126520479E-6</v>
      </c>
      <c r="AZ11" s="1">
        <v>5.2450892126520479E-6</v>
      </c>
      <c r="BA11" s="1">
        <v>5.2450892126520479E-6</v>
      </c>
      <c r="BB11" s="1">
        <v>5.2450892126520479E-6</v>
      </c>
      <c r="BC11" s="1">
        <v>5.2450892126520479E-6</v>
      </c>
      <c r="BD11" s="1">
        <v>5.2450892126520479E-6</v>
      </c>
      <c r="BE11" s="1">
        <v>5.2450892126520479E-6</v>
      </c>
      <c r="BF11" s="1">
        <v>5.2450892126520479E-6</v>
      </c>
      <c r="BG11" s="1">
        <v>5.2450892126520479E-6</v>
      </c>
      <c r="BH11" s="1">
        <v>5.2450892126520479E-6</v>
      </c>
      <c r="BI11" s="1">
        <v>5.2450892126520479E-6</v>
      </c>
      <c r="BJ11" s="1">
        <v>5.2450892126520479E-6</v>
      </c>
      <c r="BK11" s="1">
        <v>5.2450892126520479E-6</v>
      </c>
      <c r="BL11" s="1">
        <v>5.2450892126520479E-6</v>
      </c>
      <c r="BM11" s="1">
        <v>5.2450892126520479E-6</v>
      </c>
      <c r="BN11" s="1">
        <v>5.2450892126520479E-6</v>
      </c>
      <c r="BO11" s="1">
        <v>5.2450892126520479E-6</v>
      </c>
      <c r="BP11" s="1">
        <v>5.2450892126520479E-6</v>
      </c>
      <c r="BQ11" s="1">
        <v>5.2450892126520479E-6</v>
      </c>
      <c r="BR11" s="1">
        <v>5.2450892126520479E-6</v>
      </c>
      <c r="BS11" s="1">
        <v>5.2450892126520479E-6</v>
      </c>
      <c r="BT11" s="1">
        <v>5.2450892126520479E-6</v>
      </c>
      <c r="BU11" s="1">
        <v>5.2450892126520479E-6</v>
      </c>
      <c r="BV11" s="1">
        <v>5.2450892126520479E-6</v>
      </c>
      <c r="BW11" s="1">
        <v>5.2450892126520479E-6</v>
      </c>
      <c r="BX11" s="1">
        <v>5.2450892126520479E-6</v>
      </c>
      <c r="BY11" s="1">
        <v>5.2450892126520479E-6</v>
      </c>
      <c r="BZ11" s="1">
        <v>5.2450892126520479E-6</v>
      </c>
      <c r="CA11" s="1">
        <v>5.2450892126520479E-6</v>
      </c>
      <c r="CB11" s="1">
        <v>5.2450892126520479E-6</v>
      </c>
      <c r="CC11" s="1">
        <v>5.2450892126520479E-6</v>
      </c>
    </row>
    <row r="12" spans="1:81" s="3" customFormat="1" x14ac:dyDescent="0.75">
      <c r="A12" s="5" t="s">
        <v>31</v>
      </c>
    </row>
    <row r="13" spans="1:81" x14ac:dyDescent="0.75">
      <c r="A13" t="s">
        <v>30</v>
      </c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81" x14ac:dyDescent="0.75">
      <c r="A14" t="s">
        <v>52</v>
      </c>
      <c r="B14">
        <v>9.9734042987535055E-6</v>
      </c>
      <c r="C14">
        <v>1.5857682323610852E-5</v>
      </c>
      <c r="D14">
        <v>7.0014694744081596E-6</v>
      </c>
      <c r="E14" s="1">
        <v>9.9729703909285908E-6</v>
      </c>
      <c r="F14" s="1">
        <v>1.1348049760985236E-5</v>
      </c>
      <c r="G14" s="1">
        <v>1.2223687027114281E-5</v>
      </c>
      <c r="H14" s="1">
        <v>1.2604258778921621E-5</v>
      </c>
      <c r="I14" s="1">
        <v>1.1855956625756194E-5</v>
      </c>
      <c r="J14" s="1">
        <v>1.1107654472590767E-5</v>
      </c>
      <c r="K14" s="1">
        <v>1.0359352319425342E-5</v>
      </c>
      <c r="L14" s="1">
        <v>1.0436421066821367E-5</v>
      </c>
      <c r="M14" s="1">
        <v>1.0687080551685789E-5</v>
      </c>
      <c r="N14" s="1">
        <v>1.0848307033718051E-5</v>
      </c>
      <c r="O14" s="1">
        <v>1.0926404292523345E-5</v>
      </c>
      <c r="P14" s="1">
        <v>1.0925342603326678E-5</v>
      </c>
      <c r="Q14" s="1">
        <v>1.0851477789321324E-5</v>
      </c>
      <c r="R14" s="1">
        <v>1.0758591043875749E-5</v>
      </c>
      <c r="S14" s="1">
        <v>1.067622490975888E-5</v>
      </c>
      <c r="T14" s="1">
        <v>1.0556723073373426E-5</v>
      </c>
      <c r="U14" s="1">
        <v>1.0507353224638882E-5</v>
      </c>
      <c r="V14" s="1">
        <v>1.0517076267980378E-5</v>
      </c>
      <c r="W14" s="1">
        <v>1.0515999616252144E-5</v>
      </c>
      <c r="X14" s="1">
        <v>1.0515048519680141E-5</v>
      </c>
      <c r="Y14" s="1">
        <v>1.0494596690657652E-5</v>
      </c>
      <c r="Z14" s="1">
        <v>1.047888603250849E-5</v>
      </c>
      <c r="AA14" s="1">
        <v>1.0473531397840761E-5</v>
      </c>
      <c r="AB14" s="1">
        <v>1.0424388589259182E-5</v>
      </c>
      <c r="AC14" s="1">
        <v>1.037935917576982E-5</v>
      </c>
      <c r="AD14" s="1">
        <v>1.0373411244198074E-5</v>
      </c>
      <c r="AE14" s="1">
        <v>1.0362482090703014E-5</v>
      </c>
      <c r="AF14" s="1">
        <v>1.0362482090703014E-5</v>
      </c>
      <c r="AG14" s="1">
        <v>1.0362482090703014E-5</v>
      </c>
      <c r="AH14" s="1">
        <v>1.0362482090703014E-5</v>
      </c>
      <c r="AI14" s="1">
        <v>1.0362482090703014E-5</v>
      </c>
      <c r="AJ14" s="1">
        <v>1.0362482090703014E-5</v>
      </c>
      <c r="AK14" s="1">
        <v>1.0362482090703014E-5</v>
      </c>
      <c r="AL14" s="1">
        <v>1.0362482090703014E-5</v>
      </c>
      <c r="AM14" s="1">
        <v>1.0362482090703014E-5</v>
      </c>
      <c r="AN14" s="1">
        <v>1.0362482090703014E-5</v>
      </c>
      <c r="AO14" s="1">
        <v>1.0362482090703014E-5</v>
      </c>
      <c r="AP14" s="1">
        <v>1.0362482090703014E-5</v>
      </c>
      <c r="AQ14" s="1">
        <v>1.0362482090703014E-5</v>
      </c>
      <c r="AR14" s="1">
        <v>1.0362482090703014E-5</v>
      </c>
      <c r="AS14" s="1">
        <v>1.0362482090703014E-5</v>
      </c>
      <c r="AT14" s="1">
        <v>1.0362482090703014E-5</v>
      </c>
      <c r="AU14" s="1">
        <v>1.0362482090703014E-5</v>
      </c>
      <c r="AV14" s="1">
        <v>1.0362482090703014E-5</v>
      </c>
      <c r="AW14" s="1">
        <v>1.0362482090703014E-5</v>
      </c>
      <c r="AX14" s="1">
        <v>1.0362482090703014E-5</v>
      </c>
      <c r="AY14" s="1">
        <v>1.0362482090703014E-5</v>
      </c>
      <c r="AZ14" s="1">
        <v>1.0362482090703014E-5</v>
      </c>
      <c r="BA14" s="1">
        <v>1.0362482090703014E-5</v>
      </c>
      <c r="BB14" s="1">
        <v>1.0362482090703014E-5</v>
      </c>
      <c r="BC14" s="1">
        <v>1.0362482090703014E-5</v>
      </c>
      <c r="BD14" s="1">
        <v>1.0362482090703014E-5</v>
      </c>
      <c r="BE14" s="1">
        <v>1.0362482090703014E-5</v>
      </c>
      <c r="BF14" s="1">
        <v>1.0362482090703014E-5</v>
      </c>
      <c r="BG14" s="1">
        <v>1.0362482090703014E-5</v>
      </c>
      <c r="BH14" s="1">
        <v>1.0362482090703014E-5</v>
      </c>
      <c r="BI14" s="1">
        <v>1.0362482090703014E-5</v>
      </c>
      <c r="BJ14" s="1">
        <v>1.0362482090703014E-5</v>
      </c>
      <c r="BK14" s="1">
        <v>1.0362482090703014E-5</v>
      </c>
      <c r="BL14" s="1">
        <v>1.0362482090703014E-5</v>
      </c>
      <c r="BM14" s="1">
        <v>1.0362482090703014E-5</v>
      </c>
      <c r="BN14" s="1">
        <v>1.0362482090703014E-5</v>
      </c>
      <c r="BO14" s="1">
        <v>1.0362482090703014E-5</v>
      </c>
      <c r="BP14" s="1">
        <v>1.0362482090703014E-5</v>
      </c>
      <c r="BQ14" s="1">
        <v>1.0362482090703014E-5</v>
      </c>
      <c r="BR14" s="1">
        <v>1.0362482090703014E-5</v>
      </c>
      <c r="BS14" s="1">
        <v>1.0362482090703014E-5</v>
      </c>
      <c r="BT14" s="1">
        <v>1.0362482090703014E-5</v>
      </c>
      <c r="BU14" s="1">
        <v>1.0362482090703014E-5</v>
      </c>
      <c r="BV14" s="1">
        <v>1.0362482090703014E-5</v>
      </c>
      <c r="BW14" s="1">
        <v>1.0362482090703014E-5</v>
      </c>
      <c r="BX14" s="1">
        <v>1.0362482090703014E-5</v>
      </c>
      <c r="BY14" s="1">
        <v>1.0362482090703014E-5</v>
      </c>
      <c r="BZ14" s="1">
        <v>1.0362482090703014E-5</v>
      </c>
      <c r="CA14" s="1">
        <v>1.0362482090703014E-5</v>
      </c>
      <c r="CB14" s="1">
        <v>1.0362482090703014E-5</v>
      </c>
      <c r="CC14" s="1">
        <v>1.0362482090703014E-5</v>
      </c>
    </row>
    <row r="15" spans="1:81" x14ac:dyDescent="0.75">
      <c r="A15" t="s">
        <v>53</v>
      </c>
      <c r="B15">
        <v>3.3241875256561793E-6</v>
      </c>
      <c r="C15">
        <v>5.2854479961826045E-6</v>
      </c>
      <c r="D15">
        <v>2.3336261913095196E-6</v>
      </c>
      <c r="E15" s="1">
        <v>1.9509367522609968E-6</v>
      </c>
      <c r="F15" s="1">
        <v>3.1290330607606272E-6</v>
      </c>
      <c r="G15" s="1">
        <v>3.3704752479787024E-6</v>
      </c>
      <c r="H15" s="1">
        <v>3.4754114809419035E-6</v>
      </c>
      <c r="I15" s="1">
        <v>3.1363699920875313E-6</v>
      </c>
      <c r="J15" s="1">
        <v>2.797328503233159E-6</v>
      </c>
      <c r="K15" s="1">
        <v>2.4582870143787871E-6</v>
      </c>
      <c r="L15" s="1">
        <v>2.5210021401846255E-6</v>
      </c>
      <c r="M15" s="1">
        <v>2.8631958877496076E-6</v>
      </c>
      <c r="N15" s="1">
        <v>3.0750955851251859E-6</v>
      </c>
      <c r="O15" s="1">
        <v>3.2182788804454044E-6</v>
      </c>
      <c r="P15" s="1">
        <v>3.2670420961064882E-6</v>
      </c>
      <c r="Q15" s="1">
        <v>3.2637126075595994E-6</v>
      </c>
      <c r="R15" s="1">
        <v>3.2399387712560075E-6</v>
      </c>
      <c r="S15" s="1">
        <v>3.2167279815208675E-6</v>
      </c>
      <c r="T15" s="1">
        <v>3.178777797098962E-6</v>
      </c>
      <c r="U15" s="1">
        <v>3.1998466679125254E-6</v>
      </c>
      <c r="V15" s="1">
        <v>3.2535153170217948E-6</v>
      </c>
      <c r="W15" s="1">
        <v>3.3031076520953463E-6</v>
      </c>
      <c r="X15" s="1">
        <v>3.3625570427496826E-6</v>
      </c>
      <c r="Y15" s="1">
        <v>3.4208165868717296E-6</v>
      </c>
      <c r="Z15" s="1">
        <v>3.451365522524984E-6</v>
      </c>
      <c r="AA15" s="1">
        <v>3.4902076039374683E-6</v>
      </c>
      <c r="AB15" s="1">
        <v>3.4958754759509054E-6</v>
      </c>
      <c r="AC15" s="1">
        <v>3.5114973347279114E-6</v>
      </c>
      <c r="AD15" s="1">
        <v>3.5592047160959895E-6</v>
      </c>
      <c r="AE15" s="1">
        <v>3.6137457458503106E-6</v>
      </c>
      <c r="AF15" s="1">
        <v>3.6137457458503106E-6</v>
      </c>
      <c r="AG15" s="1">
        <v>3.6137457458503106E-6</v>
      </c>
      <c r="AH15" s="1">
        <v>3.6137457458503106E-6</v>
      </c>
      <c r="AI15" s="1">
        <v>3.6137457458503106E-6</v>
      </c>
      <c r="AJ15" s="1">
        <v>3.6137457458503106E-6</v>
      </c>
      <c r="AK15" s="1">
        <v>3.6137457458503106E-6</v>
      </c>
      <c r="AL15" s="1">
        <v>3.6137457458503106E-6</v>
      </c>
      <c r="AM15" s="1">
        <v>3.6137457458503106E-6</v>
      </c>
      <c r="AN15" s="1">
        <v>3.6137457458503106E-6</v>
      </c>
      <c r="AO15" s="1">
        <v>3.6137457458503106E-6</v>
      </c>
      <c r="AP15" s="1">
        <v>3.6137457458503106E-6</v>
      </c>
      <c r="AQ15" s="1">
        <v>3.6137457458503106E-6</v>
      </c>
      <c r="AR15" s="1">
        <v>3.6137457458503106E-6</v>
      </c>
      <c r="AS15" s="1">
        <v>3.6137457458503106E-6</v>
      </c>
      <c r="AT15" s="1">
        <v>3.6137457458503106E-6</v>
      </c>
      <c r="AU15" s="1">
        <v>3.6137457458503106E-6</v>
      </c>
      <c r="AV15" s="1">
        <v>3.6137457458503106E-6</v>
      </c>
      <c r="AW15" s="1">
        <v>3.6137457458503106E-6</v>
      </c>
      <c r="AX15" s="1">
        <v>3.6137457458503106E-6</v>
      </c>
      <c r="AY15" s="1">
        <v>3.6137457458503106E-6</v>
      </c>
      <c r="AZ15" s="1">
        <v>3.6137457458503106E-6</v>
      </c>
      <c r="BA15" s="1">
        <v>3.6137457458503106E-6</v>
      </c>
      <c r="BB15" s="1">
        <v>3.6137457458503106E-6</v>
      </c>
      <c r="BC15" s="1">
        <v>3.6137457458503106E-6</v>
      </c>
      <c r="BD15" s="1">
        <v>3.6137457458503106E-6</v>
      </c>
      <c r="BE15" s="1">
        <v>3.6137457458503106E-6</v>
      </c>
      <c r="BF15" s="1">
        <v>3.6137457458503106E-6</v>
      </c>
      <c r="BG15" s="1">
        <v>3.6137457458503106E-6</v>
      </c>
      <c r="BH15" s="1">
        <v>3.6137457458503106E-6</v>
      </c>
      <c r="BI15" s="1">
        <v>3.6137457458503106E-6</v>
      </c>
      <c r="BJ15" s="1">
        <v>3.6137457458503106E-6</v>
      </c>
      <c r="BK15" s="1">
        <v>3.6137457458503106E-6</v>
      </c>
      <c r="BL15" s="1">
        <v>3.6137457458503106E-6</v>
      </c>
      <c r="BM15" s="1">
        <v>3.6137457458503106E-6</v>
      </c>
      <c r="BN15" s="1">
        <v>3.6137457458503106E-6</v>
      </c>
      <c r="BO15" s="1">
        <v>3.6137457458503106E-6</v>
      </c>
      <c r="BP15" s="1">
        <v>3.6137457458503106E-6</v>
      </c>
      <c r="BQ15" s="1">
        <v>3.6137457458503106E-6</v>
      </c>
      <c r="BR15" s="1">
        <v>3.6137457458503106E-6</v>
      </c>
      <c r="BS15" s="1">
        <v>3.6137457458503106E-6</v>
      </c>
      <c r="BT15" s="1">
        <v>3.6137457458503106E-6</v>
      </c>
      <c r="BU15" s="1">
        <v>3.6137457458503106E-6</v>
      </c>
      <c r="BV15" s="1">
        <v>3.6137457458503106E-6</v>
      </c>
      <c r="BW15" s="1">
        <v>3.6137457458503106E-6</v>
      </c>
      <c r="BX15" s="1">
        <v>3.6137457458503106E-6</v>
      </c>
      <c r="BY15" s="1">
        <v>3.6137457458503106E-6</v>
      </c>
      <c r="BZ15" s="1">
        <v>3.6137457458503106E-6</v>
      </c>
      <c r="CA15" s="1">
        <v>3.6137457458503106E-6</v>
      </c>
      <c r="CB15" s="1">
        <v>3.6137457458503106E-6</v>
      </c>
      <c r="CC15" s="1">
        <v>3.6137457458503106E-6</v>
      </c>
    </row>
    <row r="16" spans="1:81" x14ac:dyDescent="0.75">
      <c r="A16" t="s">
        <v>54</v>
      </c>
      <c r="B16">
        <v>9.9734042987535055E-6</v>
      </c>
      <c r="C16">
        <v>1.5857682323610852E-5</v>
      </c>
      <c r="D16">
        <v>7.0014694744081596E-6</v>
      </c>
      <c r="E16" s="1">
        <v>9.9729703909285908E-6</v>
      </c>
      <c r="F16" s="1">
        <v>1.1348049760985236E-5</v>
      </c>
      <c r="G16" s="1">
        <v>1.2223687027114281E-5</v>
      </c>
      <c r="H16" s="1">
        <v>1.2604258778921621E-5</v>
      </c>
      <c r="I16" s="1">
        <v>1.1046843852784643E-5</v>
      </c>
      <c r="J16" s="1">
        <v>9.4894289266476654E-6</v>
      </c>
      <c r="K16" s="1">
        <v>7.9320140005106859E-6</v>
      </c>
      <c r="L16" s="1">
        <v>8.0693505239834759E-6</v>
      </c>
      <c r="M16" s="1">
        <v>8.3628822156116912E-6</v>
      </c>
      <c r="N16" s="1">
        <v>8.6234716170801958E-6</v>
      </c>
      <c r="O16" s="1">
        <v>8.8007717612884148E-6</v>
      </c>
      <c r="P16" s="1">
        <v>8.899529674013328E-6</v>
      </c>
      <c r="Q16" s="1">
        <v>8.9096183235610338E-6</v>
      </c>
      <c r="R16" s="1">
        <v>8.9008665436819192E-6</v>
      </c>
      <c r="S16" s="1">
        <v>8.8860230618190112E-6</v>
      </c>
      <c r="T16" s="1">
        <v>8.846500510492489E-6</v>
      </c>
      <c r="U16" s="1">
        <v>8.868116814798083E-6</v>
      </c>
      <c r="V16" s="1">
        <v>8.9534221105513097E-6</v>
      </c>
      <c r="W16" s="1">
        <v>9.027955034118532E-6</v>
      </c>
      <c r="X16" s="1">
        <v>9.0910767504561796E-6</v>
      </c>
      <c r="Y16" s="1">
        <v>9.1306337806598001E-6</v>
      </c>
      <c r="Z16" s="1">
        <v>9.1895028853071333E-6</v>
      </c>
      <c r="AA16" s="1">
        <v>9.2556021454273413E-6</v>
      </c>
      <c r="AB16" s="1">
        <v>9.2857392861899745E-6</v>
      </c>
      <c r="AC16" s="1">
        <v>9.3051925288663388E-6</v>
      </c>
      <c r="AD16" s="1">
        <v>9.3609305611463095E-6</v>
      </c>
      <c r="AE16" s="1">
        <v>9.4099504167510754E-6</v>
      </c>
      <c r="AF16" s="1">
        <v>9.4099504167510754E-6</v>
      </c>
      <c r="AG16" s="1">
        <v>9.4099504167510754E-6</v>
      </c>
      <c r="AH16" s="1">
        <v>9.4099504167510754E-6</v>
      </c>
      <c r="AI16" s="1">
        <v>9.4099504167510754E-6</v>
      </c>
      <c r="AJ16" s="1">
        <v>9.4099504167510754E-6</v>
      </c>
      <c r="AK16" s="1">
        <v>9.4099504167510754E-6</v>
      </c>
      <c r="AL16" s="1">
        <v>9.4099504167510754E-6</v>
      </c>
      <c r="AM16" s="1">
        <v>9.4099504167510754E-6</v>
      </c>
      <c r="AN16" s="1">
        <v>9.4099504167510754E-6</v>
      </c>
      <c r="AO16" s="1">
        <v>9.4099504167510754E-6</v>
      </c>
      <c r="AP16" s="1">
        <v>9.4099504167510754E-6</v>
      </c>
      <c r="AQ16" s="1">
        <v>9.4099504167510754E-6</v>
      </c>
      <c r="AR16" s="1">
        <v>9.4099504167510754E-6</v>
      </c>
      <c r="AS16" s="1">
        <v>9.4099504167510754E-6</v>
      </c>
      <c r="AT16" s="1">
        <v>9.4099504167510754E-6</v>
      </c>
      <c r="AU16" s="1">
        <v>9.4099504167510754E-6</v>
      </c>
      <c r="AV16" s="1">
        <v>9.4099504167510754E-6</v>
      </c>
      <c r="AW16" s="1">
        <v>9.4099504167510754E-6</v>
      </c>
      <c r="AX16" s="1">
        <v>9.4099504167510754E-6</v>
      </c>
      <c r="AY16" s="1">
        <v>9.4099504167510754E-6</v>
      </c>
      <c r="AZ16" s="1">
        <v>9.4099504167510754E-6</v>
      </c>
      <c r="BA16" s="1">
        <v>9.4099504167510754E-6</v>
      </c>
      <c r="BB16" s="1">
        <v>9.4099504167510754E-6</v>
      </c>
      <c r="BC16" s="1">
        <v>9.4099504167510754E-6</v>
      </c>
      <c r="BD16" s="1">
        <v>9.4099504167510754E-6</v>
      </c>
      <c r="BE16" s="1">
        <v>9.4099504167510754E-6</v>
      </c>
      <c r="BF16" s="1">
        <v>9.4099504167510754E-6</v>
      </c>
      <c r="BG16" s="1">
        <v>9.4099504167510754E-6</v>
      </c>
      <c r="BH16" s="1">
        <v>9.4099504167510754E-6</v>
      </c>
      <c r="BI16" s="1">
        <v>9.4099504167510754E-6</v>
      </c>
      <c r="BJ16" s="1">
        <v>9.4099504167510754E-6</v>
      </c>
      <c r="BK16" s="1">
        <v>9.4099504167510754E-6</v>
      </c>
      <c r="BL16" s="1">
        <v>9.4099504167510754E-6</v>
      </c>
      <c r="BM16" s="1">
        <v>9.4099504167510754E-6</v>
      </c>
      <c r="BN16" s="1">
        <v>9.4099504167510754E-6</v>
      </c>
      <c r="BO16" s="1">
        <v>9.4099504167510754E-6</v>
      </c>
      <c r="BP16" s="1">
        <v>9.4099504167510754E-6</v>
      </c>
      <c r="BQ16" s="1">
        <v>9.4099504167510754E-6</v>
      </c>
      <c r="BR16" s="1">
        <v>9.4099504167510754E-6</v>
      </c>
      <c r="BS16" s="1">
        <v>9.4099504167510754E-6</v>
      </c>
      <c r="BT16" s="1">
        <v>9.4099504167510754E-6</v>
      </c>
      <c r="BU16" s="1">
        <v>9.4099504167510754E-6</v>
      </c>
      <c r="BV16" s="1">
        <v>9.4099504167510754E-6</v>
      </c>
      <c r="BW16" s="1">
        <v>9.4099504167510754E-6</v>
      </c>
      <c r="BX16" s="1">
        <v>9.4099504167510754E-6</v>
      </c>
      <c r="BY16" s="1">
        <v>9.4099504167510754E-6</v>
      </c>
      <c r="BZ16" s="1">
        <v>9.4099504167510754E-6</v>
      </c>
      <c r="CA16" s="1">
        <v>9.4099504167510754E-6</v>
      </c>
      <c r="CB16" s="1">
        <v>9.4099504167510754E-6</v>
      </c>
      <c r="CC16" s="1">
        <v>9.4099504167510754E-6</v>
      </c>
    </row>
    <row r="17" spans="1:81" x14ac:dyDescent="0.75">
      <c r="A17" t="s">
        <v>55</v>
      </c>
      <c r="B17">
        <v>7.2177446744039708E-6</v>
      </c>
      <c r="C17">
        <v>1.1476191951221433E-5</v>
      </c>
      <c r="D17">
        <v>5.0669578308609629E-6</v>
      </c>
      <c r="E17" s="1">
        <v>6.9033146618466028E-6</v>
      </c>
      <c r="F17" s="1">
        <v>8.0668188238689539E-6</v>
      </c>
      <c r="G17" s="1">
        <v>8.6892700229794579E-6</v>
      </c>
      <c r="H17" s="1">
        <v>8.9598013861628454E-6</v>
      </c>
      <c r="I17" s="1">
        <v>8.0142261942152796E-6</v>
      </c>
      <c r="J17" s="1">
        <v>7.0686510022677138E-6</v>
      </c>
      <c r="K17" s="1">
        <v>6.1230758103201488E-6</v>
      </c>
      <c r="L17" s="1">
        <v>6.2220451501216055E-6</v>
      </c>
      <c r="M17" s="1">
        <v>6.4616271572649615E-6</v>
      </c>
      <c r="N17" s="1">
        <v>6.6767285111242273E-6</v>
      </c>
      <c r="O17" s="1">
        <v>6.8135953412146663E-6</v>
      </c>
      <c r="P17" s="1">
        <v>6.879498136789898E-6</v>
      </c>
      <c r="Q17" s="1">
        <v>6.8674155672741963E-6</v>
      </c>
      <c r="R17" s="1">
        <v>6.8396587701209877E-6</v>
      </c>
      <c r="S17" s="1">
        <v>6.8063853526321788E-6</v>
      </c>
      <c r="T17" s="1">
        <v>6.7495303348432175E-6</v>
      </c>
      <c r="U17" s="1">
        <v>6.7496994765044498E-6</v>
      </c>
      <c r="V17" s="1">
        <v>6.8087273140954059E-6</v>
      </c>
      <c r="W17" s="1">
        <v>6.8575676193213225E-6</v>
      </c>
      <c r="X17" s="1">
        <v>6.8976255690601314E-6</v>
      </c>
      <c r="Y17" s="1">
        <v>6.9152084952901667E-6</v>
      </c>
      <c r="Z17" s="1">
        <v>6.9521158563160812E-6</v>
      </c>
      <c r="AA17" s="1">
        <v>6.9978179331812759E-6</v>
      </c>
      <c r="AB17" s="1">
        <v>7.0089318414139904E-6</v>
      </c>
      <c r="AC17" s="1">
        <v>7.012199528200045E-6</v>
      </c>
      <c r="AD17" s="1">
        <v>7.0509693991340756E-6</v>
      </c>
      <c r="AE17" s="1">
        <v>7.0834543562636009E-6</v>
      </c>
      <c r="AF17" s="1">
        <v>7.0834543562636009E-6</v>
      </c>
      <c r="AG17" s="1">
        <v>7.0834543562636009E-6</v>
      </c>
      <c r="AH17" s="1">
        <v>7.0834543562636009E-6</v>
      </c>
      <c r="AI17" s="1">
        <v>7.0834543562636009E-6</v>
      </c>
      <c r="AJ17" s="1">
        <v>7.0834543562636009E-6</v>
      </c>
      <c r="AK17" s="1">
        <v>7.0834543562636009E-6</v>
      </c>
      <c r="AL17" s="1">
        <v>7.0834543562636009E-6</v>
      </c>
      <c r="AM17" s="1">
        <v>7.0834543562636009E-6</v>
      </c>
      <c r="AN17" s="1">
        <v>7.0834543562636009E-6</v>
      </c>
      <c r="AO17" s="1">
        <v>7.0834543562636009E-6</v>
      </c>
      <c r="AP17" s="1">
        <v>7.0834543562636009E-6</v>
      </c>
      <c r="AQ17" s="1">
        <v>7.0834543562636009E-6</v>
      </c>
      <c r="AR17" s="1">
        <v>7.0834543562636009E-6</v>
      </c>
      <c r="AS17" s="1">
        <v>7.0834543562636009E-6</v>
      </c>
      <c r="AT17" s="1">
        <v>7.0834543562636009E-6</v>
      </c>
      <c r="AU17" s="1">
        <v>7.0834543562636009E-6</v>
      </c>
      <c r="AV17" s="1">
        <v>7.0834543562636009E-6</v>
      </c>
      <c r="AW17" s="1">
        <v>7.0834543562636009E-6</v>
      </c>
      <c r="AX17" s="1">
        <v>7.0834543562636009E-6</v>
      </c>
      <c r="AY17" s="1">
        <v>7.0834543562636009E-6</v>
      </c>
      <c r="AZ17" s="1">
        <v>7.0834543562636009E-6</v>
      </c>
      <c r="BA17" s="1">
        <v>7.0834543562636009E-6</v>
      </c>
      <c r="BB17" s="1">
        <v>7.0834543562636009E-6</v>
      </c>
      <c r="BC17" s="1">
        <v>7.0834543562636009E-6</v>
      </c>
      <c r="BD17" s="1">
        <v>7.0834543562636009E-6</v>
      </c>
      <c r="BE17" s="1">
        <v>7.0834543562636009E-6</v>
      </c>
      <c r="BF17" s="1">
        <v>7.0834543562636009E-6</v>
      </c>
      <c r="BG17" s="1">
        <v>7.0834543562636009E-6</v>
      </c>
      <c r="BH17" s="1">
        <v>7.0834543562636009E-6</v>
      </c>
      <c r="BI17" s="1">
        <v>7.0834543562636009E-6</v>
      </c>
      <c r="BJ17" s="1">
        <v>7.0834543562636009E-6</v>
      </c>
      <c r="BK17" s="1">
        <v>7.0834543562636009E-6</v>
      </c>
      <c r="BL17" s="1">
        <v>7.0834543562636009E-6</v>
      </c>
      <c r="BM17" s="1">
        <v>7.0834543562636009E-6</v>
      </c>
      <c r="BN17" s="1">
        <v>7.0834543562636009E-6</v>
      </c>
      <c r="BO17" s="1">
        <v>7.0834543562636009E-6</v>
      </c>
      <c r="BP17" s="1">
        <v>7.0834543562636009E-6</v>
      </c>
      <c r="BQ17" s="1">
        <v>7.0834543562636009E-6</v>
      </c>
      <c r="BR17" s="1">
        <v>7.0834543562636009E-6</v>
      </c>
      <c r="BS17" s="1">
        <v>7.0834543562636009E-6</v>
      </c>
      <c r="BT17" s="1">
        <v>7.0834543562636009E-6</v>
      </c>
      <c r="BU17" s="1">
        <v>7.0834543562636009E-6</v>
      </c>
      <c r="BV17" s="1">
        <v>7.0834543562636009E-6</v>
      </c>
      <c r="BW17" s="1">
        <v>7.0834543562636009E-6</v>
      </c>
      <c r="BX17" s="1">
        <v>7.0834543562636009E-6</v>
      </c>
      <c r="BY17" s="1">
        <v>7.0834543562636009E-6</v>
      </c>
      <c r="BZ17" s="1">
        <v>7.0834543562636009E-6</v>
      </c>
      <c r="CA17" s="1">
        <v>7.0834543562636009E-6</v>
      </c>
      <c r="CB17" s="1">
        <v>7.0834543562636009E-6</v>
      </c>
      <c r="CC17" s="1">
        <v>7.0834543562636009E-6</v>
      </c>
    </row>
    <row r="18" spans="1:81" x14ac:dyDescent="0.75">
      <c r="A18" t="s">
        <v>56</v>
      </c>
      <c r="B18">
        <v>3.911341666677885E-6</v>
      </c>
      <c r="C18">
        <v>6.2190212841399076E-6</v>
      </c>
      <c r="D18">
        <v>2.7458166201733734E-6</v>
      </c>
      <c r="E18" s="1">
        <v>2.6603682985377227E-6</v>
      </c>
      <c r="F18" s="1">
        <v>3.7674561238231056E-6</v>
      </c>
      <c r="G18" s="1">
        <v>4.0581602580142818E-6</v>
      </c>
      <c r="H18" s="1">
        <v>4.1845068468202303E-6</v>
      </c>
      <c r="I18" s="1">
        <v>3.7516463226451815E-6</v>
      </c>
      <c r="J18" s="1">
        <v>3.3187857984701328E-6</v>
      </c>
      <c r="K18" s="1">
        <v>2.8859252742950844E-6</v>
      </c>
      <c r="L18" s="1">
        <v>2.9946830371955563E-6</v>
      </c>
      <c r="M18" s="1">
        <v>3.2952786700872308E-6</v>
      </c>
      <c r="N18" s="1">
        <v>3.5328924537841985E-6</v>
      </c>
      <c r="O18" s="1">
        <v>3.6920056408683241E-6</v>
      </c>
      <c r="P18" s="1">
        <v>3.7477452995104227E-6</v>
      </c>
      <c r="Q18" s="1">
        <v>3.7391220022393625E-6</v>
      </c>
      <c r="R18" s="1">
        <v>3.7045953100953007E-6</v>
      </c>
      <c r="S18" s="1">
        <v>3.663589841781159E-6</v>
      </c>
      <c r="T18" s="1">
        <v>3.6087232143289639E-6</v>
      </c>
      <c r="U18" s="1">
        <v>3.6226520301315115E-6</v>
      </c>
      <c r="V18" s="1">
        <v>3.6860694191038923E-6</v>
      </c>
      <c r="W18" s="1">
        <v>3.7425750943079219E-6</v>
      </c>
      <c r="X18" s="1">
        <v>3.7935765095285162E-6</v>
      </c>
      <c r="Y18" s="1">
        <v>3.8307102601625456E-6</v>
      </c>
      <c r="Z18" s="1">
        <v>3.8647867752697866E-6</v>
      </c>
      <c r="AA18" s="1">
        <v>3.8999158719457786E-6</v>
      </c>
      <c r="AB18" s="1">
        <v>3.9036809002703426E-6</v>
      </c>
      <c r="AC18" s="1">
        <v>3.913401991977292E-6</v>
      </c>
      <c r="AD18" s="1">
        <v>3.9548797558531828E-6</v>
      </c>
      <c r="AE18" s="1">
        <v>3.99937572256481E-6</v>
      </c>
      <c r="AF18" s="1">
        <v>3.99937572256481E-6</v>
      </c>
      <c r="AG18" s="1">
        <v>3.99937572256481E-6</v>
      </c>
      <c r="AH18" s="1">
        <v>3.99937572256481E-6</v>
      </c>
      <c r="AI18" s="1">
        <v>3.99937572256481E-6</v>
      </c>
      <c r="AJ18" s="1">
        <v>3.99937572256481E-6</v>
      </c>
      <c r="AK18" s="1">
        <v>3.99937572256481E-6</v>
      </c>
      <c r="AL18" s="1">
        <v>3.99937572256481E-6</v>
      </c>
      <c r="AM18" s="1">
        <v>3.99937572256481E-6</v>
      </c>
      <c r="AN18" s="1">
        <v>3.99937572256481E-6</v>
      </c>
      <c r="AO18" s="1">
        <v>3.99937572256481E-6</v>
      </c>
      <c r="AP18" s="1">
        <v>3.99937572256481E-6</v>
      </c>
      <c r="AQ18" s="1">
        <v>3.99937572256481E-6</v>
      </c>
      <c r="AR18" s="1">
        <v>3.99937572256481E-6</v>
      </c>
      <c r="AS18" s="1">
        <v>3.99937572256481E-6</v>
      </c>
      <c r="AT18" s="1">
        <v>3.99937572256481E-6</v>
      </c>
      <c r="AU18" s="1">
        <v>3.99937572256481E-6</v>
      </c>
      <c r="AV18" s="1">
        <v>3.99937572256481E-6</v>
      </c>
      <c r="AW18" s="1">
        <v>3.99937572256481E-6</v>
      </c>
      <c r="AX18" s="1">
        <v>3.99937572256481E-6</v>
      </c>
      <c r="AY18" s="1">
        <v>3.99937572256481E-6</v>
      </c>
      <c r="AZ18" s="1">
        <v>3.99937572256481E-6</v>
      </c>
      <c r="BA18" s="1">
        <v>3.99937572256481E-6</v>
      </c>
      <c r="BB18" s="1">
        <v>3.99937572256481E-6</v>
      </c>
      <c r="BC18" s="1">
        <v>3.99937572256481E-6</v>
      </c>
      <c r="BD18" s="1">
        <v>3.99937572256481E-6</v>
      </c>
      <c r="BE18" s="1">
        <v>3.99937572256481E-6</v>
      </c>
      <c r="BF18" s="1">
        <v>3.99937572256481E-6</v>
      </c>
      <c r="BG18" s="1">
        <v>3.99937572256481E-6</v>
      </c>
      <c r="BH18" s="1">
        <v>3.99937572256481E-6</v>
      </c>
      <c r="BI18" s="1">
        <v>3.99937572256481E-6</v>
      </c>
      <c r="BJ18" s="1">
        <v>3.99937572256481E-6</v>
      </c>
      <c r="BK18" s="1">
        <v>3.99937572256481E-6</v>
      </c>
      <c r="BL18" s="1">
        <v>3.99937572256481E-6</v>
      </c>
      <c r="BM18" s="1">
        <v>3.99937572256481E-6</v>
      </c>
      <c r="BN18" s="1">
        <v>3.99937572256481E-6</v>
      </c>
      <c r="BO18" s="1">
        <v>3.99937572256481E-6</v>
      </c>
      <c r="BP18" s="1">
        <v>3.99937572256481E-6</v>
      </c>
      <c r="BQ18" s="1">
        <v>3.99937572256481E-6</v>
      </c>
      <c r="BR18" s="1">
        <v>3.99937572256481E-6</v>
      </c>
      <c r="BS18" s="1">
        <v>3.99937572256481E-6</v>
      </c>
      <c r="BT18" s="1">
        <v>3.99937572256481E-6</v>
      </c>
      <c r="BU18" s="1">
        <v>3.99937572256481E-6</v>
      </c>
      <c r="BV18" s="1">
        <v>3.99937572256481E-6</v>
      </c>
      <c r="BW18" s="1">
        <v>3.99937572256481E-6</v>
      </c>
      <c r="BX18" s="1">
        <v>3.99937572256481E-6</v>
      </c>
      <c r="BY18" s="1">
        <v>3.99937572256481E-6</v>
      </c>
      <c r="BZ18" s="1">
        <v>3.99937572256481E-6</v>
      </c>
      <c r="CA18" s="1">
        <v>3.99937572256481E-6</v>
      </c>
      <c r="CB18" s="1">
        <v>3.99937572256481E-6</v>
      </c>
      <c r="CC18" s="1">
        <v>3.99937572256481E-6</v>
      </c>
    </row>
    <row r="19" spans="1:81" x14ac:dyDescent="0.75">
      <c r="A19" t="s">
        <v>57</v>
      </c>
      <c r="B19">
        <v>3.3241875256561793E-6</v>
      </c>
      <c r="C19">
        <v>5.2854479961826045E-6</v>
      </c>
      <c r="D19">
        <v>2.3336261913095196E-6</v>
      </c>
      <c r="E19" s="1">
        <v>1.9509367522609968E-6</v>
      </c>
      <c r="F19" s="1">
        <v>3.1290330607606272E-6</v>
      </c>
      <c r="G19" s="1">
        <v>3.3704752479787024E-6</v>
      </c>
      <c r="H19" s="1">
        <v>3.4754114809419035E-6</v>
      </c>
      <c r="I19" s="1">
        <v>3.1363699920875313E-6</v>
      </c>
      <c r="J19" s="1">
        <v>2.797328503233159E-6</v>
      </c>
      <c r="K19" s="1">
        <v>2.4582870143787871E-6</v>
      </c>
      <c r="L19" s="1">
        <v>2.5210021401846255E-6</v>
      </c>
      <c r="M19" s="1">
        <v>2.8631958877496076E-6</v>
      </c>
      <c r="N19" s="1">
        <v>3.0750955851251859E-6</v>
      </c>
      <c r="O19" s="1">
        <v>3.2182788804454044E-6</v>
      </c>
      <c r="P19" s="1">
        <v>3.2670420961064882E-6</v>
      </c>
      <c r="Q19" s="1">
        <v>3.2637126075595994E-6</v>
      </c>
      <c r="R19" s="1">
        <v>3.2399387712560075E-6</v>
      </c>
      <c r="S19" s="1">
        <v>3.2167279815208675E-6</v>
      </c>
      <c r="T19" s="1">
        <v>3.178777797098962E-6</v>
      </c>
      <c r="U19" s="1">
        <v>3.1998466679125254E-6</v>
      </c>
      <c r="V19" s="1">
        <v>3.2535153170217948E-6</v>
      </c>
      <c r="W19" s="1">
        <v>3.3031076520953463E-6</v>
      </c>
      <c r="X19" s="1">
        <v>3.3625570427496826E-6</v>
      </c>
      <c r="Y19" s="1">
        <v>3.4208165868717296E-6</v>
      </c>
      <c r="Z19" s="1">
        <v>3.451365522524984E-6</v>
      </c>
      <c r="AA19" s="1">
        <v>3.4902076039374683E-6</v>
      </c>
      <c r="AB19" s="1">
        <v>3.4958754759509054E-6</v>
      </c>
      <c r="AC19" s="1">
        <v>3.5114973347279114E-6</v>
      </c>
      <c r="AD19" s="1">
        <v>3.5592047160959895E-6</v>
      </c>
      <c r="AE19" s="1">
        <v>3.6137457458503106E-6</v>
      </c>
      <c r="AF19" s="1">
        <v>3.6137457458503106E-6</v>
      </c>
      <c r="AG19" s="1">
        <v>3.6137457458503106E-6</v>
      </c>
      <c r="AH19" s="1">
        <v>3.6137457458503106E-6</v>
      </c>
      <c r="AI19" s="1">
        <v>3.6137457458503106E-6</v>
      </c>
      <c r="AJ19" s="1">
        <v>3.6137457458503106E-6</v>
      </c>
      <c r="AK19" s="1">
        <v>3.6137457458503106E-6</v>
      </c>
      <c r="AL19" s="1">
        <v>3.6137457458503106E-6</v>
      </c>
      <c r="AM19" s="1">
        <v>3.6137457458503106E-6</v>
      </c>
      <c r="AN19" s="1">
        <v>3.6137457458503106E-6</v>
      </c>
      <c r="AO19" s="1">
        <v>3.6137457458503106E-6</v>
      </c>
      <c r="AP19" s="1">
        <v>3.6137457458503106E-6</v>
      </c>
      <c r="AQ19" s="1">
        <v>3.6137457458503106E-6</v>
      </c>
      <c r="AR19" s="1">
        <v>3.6137457458503106E-6</v>
      </c>
      <c r="AS19" s="1">
        <v>3.6137457458503106E-6</v>
      </c>
      <c r="AT19" s="1">
        <v>3.6137457458503106E-6</v>
      </c>
      <c r="AU19" s="1">
        <v>3.6137457458503106E-6</v>
      </c>
      <c r="AV19" s="1">
        <v>3.6137457458503106E-6</v>
      </c>
      <c r="AW19" s="1">
        <v>3.6137457458503106E-6</v>
      </c>
      <c r="AX19" s="1">
        <v>3.6137457458503106E-6</v>
      </c>
      <c r="AY19" s="1">
        <v>3.6137457458503106E-6</v>
      </c>
      <c r="AZ19" s="1">
        <v>3.6137457458503106E-6</v>
      </c>
      <c r="BA19" s="1">
        <v>3.6137457458503106E-6</v>
      </c>
      <c r="BB19" s="1">
        <v>3.6137457458503106E-6</v>
      </c>
      <c r="BC19" s="1">
        <v>3.6137457458503106E-6</v>
      </c>
      <c r="BD19" s="1">
        <v>3.6137457458503106E-6</v>
      </c>
      <c r="BE19" s="1">
        <v>3.6137457458503106E-6</v>
      </c>
      <c r="BF19" s="1">
        <v>3.6137457458503106E-6</v>
      </c>
      <c r="BG19" s="1">
        <v>3.6137457458503106E-6</v>
      </c>
      <c r="BH19" s="1">
        <v>3.6137457458503106E-6</v>
      </c>
      <c r="BI19" s="1">
        <v>3.6137457458503106E-6</v>
      </c>
      <c r="BJ19" s="1">
        <v>3.6137457458503106E-6</v>
      </c>
      <c r="BK19" s="1">
        <v>3.6137457458503106E-6</v>
      </c>
      <c r="BL19" s="1">
        <v>3.6137457458503106E-6</v>
      </c>
      <c r="BM19" s="1">
        <v>3.6137457458503106E-6</v>
      </c>
      <c r="BN19" s="1">
        <v>3.6137457458503106E-6</v>
      </c>
      <c r="BO19" s="1">
        <v>3.6137457458503106E-6</v>
      </c>
      <c r="BP19" s="1">
        <v>3.6137457458503106E-6</v>
      </c>
      <c r="BQ19" s="1">
        <v>3.6137457458503106E-6</v>
      </c>
      <c r="BR19" s="1">
        <v>3.6137457458503106E-6</v>
      </c>
      <c r="BS19" s="1">
        <v>3.6137457458503106E-6</v>
      </c>
      <c r="BT19" s="1">
        <v>3.6137457458503106E-6</v>
      </c>
      <c r="BU19" s="1">
        <v>3.6137457458503106E-6</v>
      </c>
      <c r="BV19" s="1">
        <v>3.6137457458503106E-6</v>
      </c>
      <c r="BW19" s="1">
        <v>3.6137457458503106E-6</v>
      </c>
      <c r="BX19" s="1">
        <v>3.6137457458503106E-6</v>
      </c>
      <c r="BY19" s="1">
        <v>3.6137457458503106E-6</v>
      </c>
      <c r="BZ19" s="1">
        <v>3.6137457458503106E-6</v>
      </c>
      <c r="CA19" s="1">
        <v>3.6137457458503106E-6</v>
      </c>
      <c r="CB19" s="1">
        <v>3.6137457458503106E-6</v>
      </c>
      <c r="CC19" s="1">
        <v>3.6137457458503106E-6</v>
      </c>
    </row>
    <row r="20" spans="1:81" x14ac:dyDescent="0.75">
      <c r="A20" t="s">
        <v>58</v>
      </c>
      <c r="B20">
        <v>0</v>
      </c>
      <c r="C20">
        <v>0</v>
      </c>
      <c r="D20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</row>
    <row r="21" spans="1:81" x14ac:dyDescent="0.75">
      <c r="A21" t="s">
        <v>59</v>
      </c>
      <c r="B21">
        <v>3.911341666677885E-6</v>
      </c>
      <c r="C21">
        <v>6.2190212841399076E-6</v>
      </c>
      <c r="D21">
        <v>2.7458166201733734E-6</v>
      </c>
      <c r="E21" s="1">
        <v>2.6603682985377227E-6</v>
      </c>
      <c r="F21" s="1">
        <v>3.7674561238231056E-6</v>
      </c>
      <c r="G21" s="1">
        <v>4.0581602580142818E-6</v>
      </c>
      <c r="H21" s="1">
        <v>4.1845068468202303E-6</v>
      </c>
      <c r="I21" s="1">
        <v>3.7516463226451815E-6</v>
      </c>
      <c r="J21" s="1">
        <v>3.3187857984701328E-6</v>
      </c>
      <c r="K21" s="1">
        <v>2.8859252742950844E-6</v>
      </c>
      <c r="L21" s="1">
        <v>2.9946830371955563E-6</v>
      </c>
      <c r="M21" s="1">
        <v>3.2952786700872308E-6</v>
      </c>
      <c r="N21" s="1">
        <v>3.5328924537841985E-6</v>
      </c>
      <c r="O21" s="1">
        <v>3.6920056408683241E-6</v>
      </c>
      <c r="P21" s="1">
        <v>3.7477452995104227E-6</v>
      </c>
      <c r="Q21" s="1">
        <v>3.7391220022393625E-6</v>
      </c>
      <c r="R21" s="1">
        <v>3.7045953100953007E-6</v>
      </c>
      <c r="S21" s="1">
        <v>3.663589841781159E-6</v>
      </c>
      <c r="T21" s="1">
        <v>3.6087232143289639E-6</v>
      </c>
      <c r="U21" s="1">
        <v>3.6226520301315115E-6</v>
      </c>
      <c r="V21" s="1">
        <v>3.6860694191038923E-6</v>
      </c>
      <c r="W21" s="1">
        <v>3.7425750943079219E-6</v>
      </c>
      <c r="X21" s="1">
        <v>3.7935765095285162E-6</v>
      </c>
      <c r="Y21" s="1">
        <v>3.8307102601625456E-6</v>
      </c>
      <c r="Z21" s="1">
        <v>3.8647867752697866E-6</v>
      </c>
      <c r="AA21" s="1">
        <v>3.8999158719457786E-6</v>
      </c>
      <c r="AB21" s="1">
        <v>3.9036809002703426E-6</v>
      </c>
      <c r="AC21" s="1">
        <v>3.913401991977292E-6</v>
      </c>
      <c r="AD21" s="1">
        <v>3.9548797558531828E-6</v>
      </c>
      <c r="AE21" s="1">
        <v>3.99937572256481E-6</v>
      </c>
      <c r="AF21" s="1">
        <v>3.99937572256481E-6</v>
      </c>
      <c r="AG21" s="1">
        <v>3.99937572256481E-6</v>
      </c>
      <c r="AH21" s="1">
        <v>3.99937572256481E-6</v>
      </c>
      <c r="AI21" s="1">
        <v>3.99937572256481E-6</v>
      </c>
      <c r="AJ21" s="1">
        <v>3.99937572256481E-6</v>
      </c>
      <c r="AK21" s="1">
        <v>3.99937572256481E-6</v>
      </c>
      <c r="AL21" s="1">
        <v>3.99937572256481E-6</v>
      </c>
      <c r="AM21" s="1">
        <v>3.99937572256481E-6</v>
      </c>
      <c r="AN21" s="1">
        <v>3.99937572256481E-6</v>
      </c>
      <c r="AO21" s="1">
        <v>3.99937572256481E-6</v>
      </c>
      <c r="AP21" s="1">
        <v>3.99937572256481E-6</v>
      </c>
      <c r="AQ21" s="1">
        <v>3.99937572256481E-6</v>
      </c>
      <c r="AR21" s="1">
        <v>3.99937572256481E-6</v>
      </c>
      <c r="AS21" s="1">
        <v>3.99937572256481E-6</v>
      </c>
      <c r="AT21" s="1">
        <v>3.99937572256481E-6</v>
      </c>
      <c r="AU21" s="1">
        <v>3.99937572256481E-6</v>
      </c>
      <c r="AV21" s="1">
        <v>3.99937572256481E-6</v>
      </c>
      <c r="AW21" s="1">
        <v>3.99937572256481E-6</v>
      </c>
      <c r="AX21" s="1">
        <v>3.99937572256481E-6</v>
      </c>
      <c r="AY21" s="1">
        <v>3.99937572256481E-6</v>
      </c>
      <c r="AZ21" s="1">
        <v>3.99937572256481E-6</v>
      </c>
      <c r="BA21" s="1">
        <v>3.99937572256481E-6</v>
      </c>
      <c r="BB21" s="1">
        <v>3.99937572256481E-6</v>
      </c>
      <c r="BC21" s="1">
        <v>3.99937572256481E-6</v>
      </c>
      <c r="BD21" s="1">
        <v>3.99937572256481E-6</v>
      </c>
      <c r="BE21" s="1">
        <v>3.99937572256481E-6</v>
      </c>
      <c r="BF21" s="1">
        <v>3.99937572256481E-6</v>
      </c>
      <c r="BG21" s="1">
        <v>3.99937572256481E-6</v>
      </c>
      <c r="BH21" s="1">
        <v>3.99937572256481E-6</v>
      </c>
      <c r="BI21" s="1">
        <v>3.99937572256481E-6</v>
      </c>
      <c r="BJ21" s="1">
        <v>3.99937572256481E-6</v>
      </c>
      <c r="BK21" s="1">
        <v>3.99937572256481E-6</v>
      </c>
      <c r="BL21" s="1">
        <v>3.99937572256481E-6</v>
      </c>
      <c r="BM21" s="1">
        <v>3.99937572256481E-6</v>
      </c>
      <c r="BN21" s="1">
        <v>3.99937572256481E-6</v>
      </c>
      <c r="BO21" s="1">
        <v>3.99937572256481E-6</v>
      </c>
      <c r="BP21" s="1">
        <v>3.99937572256481E-6</v>
      </c>
      <c r="BQ21" s="1">
        <v>3.99937572256481E-6</v>
      </c>
      <c r="BR21" s="1">
        <v>3.99937572256481E-6</v>
      </c>
      <c r="BS21" s="1">
        <v>3.99937572256481E-6</v>
      </c>
      <c r="BT21" s="1">
        <v>3.99937572256481E-6</v>
      </c>
      <c r="BU21" s="1">
        <v>3.99937572256481E-6</v>
      </c>
      <c r="BV21" s="1">
        <v>3.99937572256481E-6</v>
      </c>
      <c r="BW21" s="1">
        <v>3.99937572256481E-6</v>
      </c>
      <c r="BX21" s="1">
        <v>3.99937572256481E-6</v>
      </c>
      <c r="BY21" s="1">
        <v>3.99937572256481E-6</v>
      </c>
      <c r="BZ21" s="1">
        <v>3.99937572256481E-6</v>
      </c>
      <c r="CA21" s="1">
        <v>3.99937572256481E-6</v>
      </c>
      <c r="CB21" s="1">
        <v>3.99937572256481E-6</v>
      </c>
      <c r="CC21" s="1">
        <v>3.99937572256481E-6</v>
      </c>
    </row>
    <row r="22" spans="1:81" s="3" customFormat="1" x14ac:dyDescent="0.75">
      <c r="A22" s="5" t="s">
        <v>32</v>
      </c>
    </row>
    <row r="23" spans="1:81" x14ac:dyDescent="0.75">
      <c r="A23" t="s">
        <v>30</v>
      </c>
      <c r="B23">
        <v>2021</v>
      </c>
      <c r="C23">
        <v>2022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S23">
        <v>2038</v>
      </c>
      <c r="T23">
        <v>2039</v>
      </c>
      <c r="U23">
        <v>2040</v>
      </c>
      <c r="V23">
        <v>2041</v>
      </c>
      <c r="W23">
        <v>2042</v>
      </c>
      <c r="X23">
        <v>2043</v>
      </c>
      <c r="Y23">
        <v>2044</v>
      </c>
      <c r="Z23">
        <v>2045</v>
      </c>
      <c r="AA23">
        <v>2046</v>
      </c>
      <c r="AB23">
        <v>2047</v>
      </c>
      <c r="AC23">
        <v>2048</v>
      </c>
      <c r="AD23">
        <v>2049</v>
      </c>
      <c r="AE23">
        <v>2050</v>
      </c>
    </row>
    <row r="24" spans="1:81" x14ac:dyDescent="0.75">
      <c r="A24" t="s">
        <v>52</v>
      </c>
      <c r="B24">
        <v>0</v>
      </c>
      <c r="C24">
        <v>0</v>
      </c>
      <c r="D24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</row>
    <row r="25" spans="1:81" x14ac:dyDescent="0.75">
      <c r="A25" t="s">
        <v>53</v>
      </c>
      <c r="B25">
        <v>5.9347690793701971E-7</v>
      </c>
      <c r="C25">
        <v>5.2008817263999997E-7</v>
      </c>
      <c r="D25">
        <v>5.2003549600000001E-7</v>
      </c>
      <c r="E25" s="1">
        <v>5.1387916114226921E-7</v>
      </c>
      <c r="F25" s="1">
        <v>5.1383459881998284E-7</v>
      </c>
      <c r="G25" s="1">
        <v>5.1378267720907061E-7</v>
      </c>
      <c r="H25" s="1">
        <v>5.1373831818205007E-7</v>
      </c>
      <c r="I25" s="1">
        <v>5.1369383717787007E-7</v>
      </c>
      <c r="J25" s="1">
        <v>5.1364195622601093E-7</v>
      </c>
      <c r="K25" s="1">
        <v>5.1359743456277775E-7</v>
      </c>
      <c r="L25" s="1">
        <v>5.1354555361091881E-7</v>
      </c>
      <c r="M25" s="1">
        <v>5.1350099128863233E-7</v>
      </c>
      <c r="N25" s="1">
        <v>5.1345655094350542E-7</v>
      </c>
      <c r="O25" s="1">
        <v>5.134046293325933E-7</v>
      </c>
      <c r="P25" s="1">
        <v>5.133601483284132E-7</v>
      </c>
      <c r="Q25" s="1">
        <v>5.1330826737655426E-7</v>
      </c>
      <c r="R25" s="1">
        <v>5.1326378637237427E-7</v>
      </c>
      <c r="S25" s="1">
        <v>5.1321926470914098E-7</v>
      </c>
      <c r="T25" s="1">
        <v>5.1316738375728204E-7</v>
      </c>
      <c r="U25" s="1">
        <v>5.1312286209404875E-7</v>
      </c>
      <c r="V25" s="1">
        <v>5.1307850306702821E-7</v>
      </c>
      <c r="W25" s="1">
        <v>5.130265407970628E-7</v>
      </c>
      <c r="X25" s="1">
        <v>5.1298201913382961E-7</v>
      </c>
      <c r="Y25" s="1">
        <v>5.1293013818197058E-7</v>
      </c>
      <c r="Z25" s="1">
        <v>5.1288565717779047E-7</v>
      </c>
      <c r="AA25" s="1">
        <v>5.1284113551455729E-7</v>
      </c>
      <c r="AB25" s="1">
        <v>5.1278925456269825E-7</v>
      </c>
      <c r="AC25" s="1">
        <v>5.1274485487662452E-7</v>
      </c>
      <c r="AD25" s="1">
        <v>5.1270037387244453E-7</v>
      </c>
      <c r="AE25" s="1">
        <v>5.1264841160247911E-7</v>
      </c>
      <c r="AF25" s="1">
        <v>5.1264841160247911E-7</v>
      </c>
      <c r="AG25" s="1">
        <v>5.1264841160247911E-7</v>
      </c>
      <c r="AH25" s="1">
        <v>5.1264841160247911E-7</v>
      </c>
      <c r="AI25" s="1">
        <v>5.1264841160247911E-7</v>
      </c>
      <c r="AJ25" s="1">
        <v>5.1264841160247911E-7</v>
      </c>
      <c r="AK25" s="1">
        <v>5.1264841160247911E-7</v>
      </c>
      <c r="AL25" s="1">
        <v>5.1264841160247911E-7</v>
      </c>
      <c r="AM25" s="1">
        <v>5.1264841160247911E-7</v>
      </c>
      <c r="AN25" s="1">
        <v>5.1264841160247911E-7</v>
      </c>
      <c r="AO25" s="1">
        <v>5.1264841160247911E-7</v>
      </c>
      <c r="AP25" s="1">
        <v>5.1264841160247911E-7</v>
      </c>
      <c r="AQ25" s="1">
        <v>5.1264841160247911E-7</v>
      </c>
      <c r="AR25" s="1">
        <v>5.1264841160247911E-7</v>
      </c>
      <c r="AS25" s="1">
        <v>5.1264841160247911E-7</v>
      </c>
      <c r="AT25" s="1">
        <v>5.1264841160247911E-7</v>
      </c>
      <c r="AU25" s="1">
        <v>5.1264841160247911E-7</v>
      </c>
      <c r="AV25" s="1">
        <v>5.1264841160247911E-7</v>
      </c>
      <c r="AW25" s="1">
        <v>5.1264841160247911E-7</v>
      </c>
      <c r="AX25" s="1">
        <v>5.1264841160247911E-7</v>
      </c>
      <c r="AY25" s="1">
        <v>5.1264841160247911E-7</v>
      </c>
      <c r="AZ25" s="1">
        <v>5.1264841160247911E-7</v>
      </c>
      <c r="BA25" s="1">
        <v>5.1264841160247911E-7</v>
      </c>
      <c r="BB25" s="1">
        <v>5.1264841160247911E-7</v>
      </c>
      <c r="BC25" s="1">
        <v>5.1264841160247911E-7</v>
      </c>
      <c r="BD25" s="1">
        <v>5.1264841160247911E-7</v>
      </c>
      <c r="BE25" s="1">
        <v>5.1264841160247911E-7</v>
      </c>
      <c r="BF25" s="1">
        <v>5.1264841160247911E-7</v>
      </c>
      <c r="BG25" s="1">
        <v>5.1264841160247911E-7</v>
      </c>
      <c r="BH25" s="1">
        <v>5.1264841160247911E-7</v>
      </c>
      <c r="BI25" s="1">
        <v>5.1264841160247911E-7</v>
      </c>
      <c r="BJ25" s="1">
        <v>5.1264841160247911E-7</v>
      </c>
      <c r="BK25" s="1">
        <v>5.1264841160247911E-7</v>
      </c>
      <c r="BL25" s="1">
        <v>5.1264841160247911E-7</v>
      </c>
      <c r="BM25" s="1">
        <v>5.1264841160247911E-7</v>
      </c>
      <c r="BN25" s="1">
        <v>5.1264841160247911E-7</v>
      </c>
      <c r="BO25" s="1">
        <v>5.1264841160247911E-7</v>
      </c>
      <c r="BP25" s="1">
        <v>5.1264841160247911E-7</v>
      </c>
      <c r="BQ25" s="1">
        <v>5.1264841160247911E-7</v>
      </c>
      <c r="BR25" s="1">
        <v>5.1264841160247911E-7</v>
      </c>
      <c r="BS25" s="1">
        <v>5.1264841160247911E-7</v>
      </c>
      <c r="BT25" s="1">
        <v>5.1264841160247911E-7</v>
      </c>
      <c r="BU25" s="1">
        <v>5.1264841160247911E-7</v>
      </c>
      <c r="BV25" s="1">
        <v>5.1264841160247911E-7</v>
      </c>
      <c r="BW25" s="1">
        <v>5.1264841160247911E-7</v>
      </c>
      <c r="BX25" s="1">
        <v>5.1264841160247911E-7</v>
      </c>
      <c r="BY25" s="1">
        <v>5.1264841160247911E-7</v>
      </c>
      <c r="BZ25" s="1">
        <v>5.1264841160247911E-7</v>
      </c>
      <c r="CA25" s="1">
        <v>5.1264841160247911E-7</v>
      </c>
      <c r="CB25" s="1">
        <v>5.1264841160247911E-7</v>
      </c>
      <c r="CC25" s="1">
        <v>5.1264841160247911E-7</v>
      </c>
    </row>
    <row r="26" spans="1:81" x14ac:dyDescent="0.75">
      <c r="A26" t="s">
        <v>54</v>
      </c>
      <c r="B26">
        <v>0</v>
      </c>
      <c r="C26">
        <v>0</v>
      </c>
      <c r="D26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</row>
    <row r="27" spans="1:81" x14ac:dyDescent="0.75">
      <c r="A27" t="s">
        <v>55</v>
      </c>
      <c r="B27">
        <v>0</v>
      </c>
      <c r="C27">
        <v>0</v>
      </c>
      <c r="D27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</row>
    <row r="28" spans="1:81" x14ac:dyDescent="0.75">
      <c r="A28" t="s">
        <v>56</v>
      </c>
      <c r="B28">
        <v>0</v>
      </c>
      <c r="C28">
        <v>0</v>
      </c>
      <c r="D28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</row>
    <row r="29" spans="1:81" x14ac:dyDescent="0.75">
      <c r="A29" t="s">
        <v>57</v>
      </c>
      <c r="B29">
        <v>0</v>
      </c>
      <c r="C29">
        <v>0</v>
      </c>
      <c r="D29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</row>
    <row r="30" spans="1:81" x14ac:dyDescent="0.75">
      <c r="A30" t="s">
        <v>58</v>
      </c>
      <c r="B30">
        <v>0</v>
      </c>
      <c r="C30">
        <v>0</v>
      </c>
      <c r="D30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</row>
    <row r="31" spans="1:81" x14ac:dyDescent="0.75">
      <c r="A31" t="s">
        <v>59</v>
      </c>
      <c r="B31">
        <v>0</v>
      </c>
      <c r="C31">
        <v>0</v>
      </c>
      <c r="D3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</row>
    <row r="32" spans="1:81" s="3" customFormat="1" x14ac:dyDescent="0.75">
      <c r="A32" s="5" t="s">
        <v>33</v>
      </c>
    </row>
    <row r="33" spans="1:81" x14ac:dyDescent="0.75">
      <c r="A33" t="s">
        <v>30</v>
      </c>
      <c r="B33">
        <v>2021</v>
      </c>
      <c r="C33">
        <v>2022</v>
      </c>
      <c r="D33">
        <v>2023</v>
      </c>
      <c r="E33">
        <v>2024</v>
      </c>
      <c r="F33">
        <v>2025</v>
      </c>
      <c r="G33">
        <v>2026</v>
      </c>
      <c r="H33">
        <v>2027</v>
      </c>
      <c r="I33">
        <v>2028</v>
      </c>
      <c r="J33">
        <v>2029</v>
      </c>
      <c r="K33">
        <v>2030</v>
      </c>
      <c r="L33">
        <v>2031</v>
      </c>
      <c r="M33">
        <v>2032</v>
      </c>
      <c r="N33">
        <v>2033</v>
      </c>
      <c r="O33">
        <v>2034</v>
      </c>
      <c r="P33">
        <v>2035</v>
      </c>
      <c r="Q33">
        <v>2036</v>
      </c>
      <c r="R33">
        <v>2037</v>
      </c>
      <c r="S33">
        <v>2038</v>
      </c>
      <c r="T33">
        <v>2039</v>
      </c>
      <c r="U33">
        <v>2040</v>
      </c>
      <c r="V33">
        <v>2041</v>
      </c>
      <c r="W33">
        <v>2042</v>
      </c>
      <c r="X33">
        <v>2043</v>
      </c>
      <c r="Y33">
        <v>2044</v>
      </c>
      <c r="Z33">
        <v>2045</v>
      </c>
      <c r="AA33">
        <v>2046</v>
      </c>
      <c r="AB33">
        <v>2047</v>
      </c>
      <c r="AC33">
        <v>2048</v>
      </c>
      <c r="AD33">
        <v>2049</v>
      </c>
      <c r="AE33">
        <v>2050</v>
      </c>
    </row>
    <row r="34" spans="1:81" x14ac:dyDescent="0.75">
      <c r="A34" t="s">
        <v>52</v>
      </c>
      <c r="B34">
        <v>0</v>
      </c>
      <c r="C34">
        <v>0</v>
      </c>
      <c r="D34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</row>
    <row r="35" spans="1:81" x14ac:dyDescent="0.75">
      <c r="A35" t="s">
        <v>53</v>
      </c>
      <c r="B35">
        <v>1.8911025600000004E-6</v>
      </c>
      <c r="C35">
        <v>1.8911025600000004E-6</v>
      </c>
      <c r="D35">
        <v>1.8911025600000004E-6</v>
      </c>
      <c r="E35" s="1">
        <v>1.9522972288990548E-6</v>
      </c>
      <c r="F35" s="1">
        <v>1.9522972288990548E-6</v>
      </c>
      <c r="G35" s="1">
        <v>1.9522972288990548E-6</v>
      </c>
      <c r="H35" s="1">
        <v>1.9522972288990548E-6</v>
      </c>
      <c r="I35" s="1">
        <v>1.9522972288990548E-6</v>
      </c>
      <c r="J35" s="1">
        <v>1.9522972288990548E-6</v>
      </c>
      <c r="K35" s="1">
        <v>1.9522972288990548E-6</v>
      </c>
      <c r="L35" s="1">
        <v>1.9522972288990548E-6</v>
      </c>
      <c r="M35" s="1">
        <v>1.9522972288990548E-6</v>
      </c>
      <c r="N35" s="1">
        <v>1.9522972288990548E-6</v>
      </c>
      <c r="O35" s="1">
        <v>1.9522972288990548E-6</v>
      </c>
      <c r="P35" s="1">
        <v>1.9522972288990548E-6</v>
      </c>
      <c r="Q35" s="1">
        <v>1.9522972288990548E-6</v>
      </c>
      <c r="R35" s="1">
        <v>1.9522972288990548E-6</v>
      </c>
      <c r="S35" s="1">
        <v>1.9522972288990548E-6</v>
      </c>
      <c r="T35" s="1">
        <v>1.9522972288990548E-6</v>
      </c>
      <c r="U35" s="1">
        <v>1.9522972288990548E-6</v>
      </c>
      <c r="V35" s="1">
        <v>1.9522972288990548E-6</v>
      </c>
      <c r="W35" s="1">
        <v>1.9522972288990548E-6</v>
      </c>
      <c r="X35" s="1">
        <v>1.9522972288990548E-6</v>
      </c>
      <c r="Y35" s="1">
        <v>1.9522972288990548E-6</v>
      </c>
      <c r="Z35" s="1">
        <v>1.9522972288990548E-6</v>
      </c>
      <c r="AA35" s="1">
        <v>1.9522972288990548E-6</v>
      </c>
      <c r="AB35" s="1">
        <v>1.9522972288990548E-6</v>
      </c>
      <c r="AC35" s="1">
        <v>1.9522972288990548E-6</v>
      </c>
      <c r="AD35" s="1">
        <v>1.9522972288990548E-6</v>
      </c>
      <c r="AE35" s="1">
        <v>1.9522972288990548E-6</v>
      </c>
      <c r="AF35" s="1">
        <v>1.9522972288990548E-6</v>
      </c>
      <c r="AG35" s="1">
        <v>1.9522972288990548E-6</v>
      </c>
      <c r="AH35" s="1">
        <v>1.9522972288990548E-6</v>
      </c>
      <c r="AI35" s="1">
        <v>1.9522972288990548E-6</v>
      </c>
      <c r="AJ35" s="1">
        <v>1.9522972288990548E-6</v>
      </c>
      <c r="AK35" s="1">
        <v>1.9522972288990548E-6</v>
      </c>
      <c r="AL35" s="1">
        <v>1.9522972288990548E-6</v>
      </c>
      <c r="AM35" s="1">
        <v>1.9522972288990548E-6</v>
      </c>
      <c r="AN35" s="1">
        <v>1.9522972288990548E-6</v>
      </c>
      <c r="AO35" s="1">
        <v>1.9522972288990548E-6</v>
      </c>
      <c r="AP35" s="1">
        <v>1.9522972288990548E-6</v>
      </c>
      <c r="AQ35" s="1">
        <v>1.9522972288990548E-6</v>
      </c>
      <c r="AR35" s="1">
        <v>1.9522972288990548E-6</v>
      </c>
      <c r="AS35" s="1">
        <v>1.9522972288990548E-6</v>
      </c>
      <c r="AT35" s="1">
        <v>1.9522972288990548E-6</v>
      </c>
      <c r="AU35" s="1">
        <v>1.9522972288990548E-6</v>
      </c>
      <c r="AV35" s="1">
        <v>1.9522972288990548E-6</v>
      </c>
      <c r="AW35" s="1">
        <v>1.9522972288990548E-6</v>
      </c>
      <c r="AX35" s="1">
        <v>1.9522972288990548E-6</v>
      </c>
      <c r="AY35" s="1">
        <v>1.9522972288990548E-6</v>
      </c>
      <c r="AZ35" s="1">
        <v>1.9522972288990548E-6</v>
      </c>
      <c r="BA35" s="1">
        <v>1.9522972288990548E-6</v>
      </c>
      <c r="BB35" s="1">
        <v>1.9522972288990548E-6</v>
      </c>
      <c r="BC35" s="1">
        <v>1.9522972288990548E-6</v>
      </c>
      <c r="BD35" s="1">
        <v>1.9522972288990548E-6</v>
      </c>
      <c r="BE35" s="1">
        <v>1.9522972288990548E-6</v>
      </c>
      <c r="BF35" s="1">
        <v>1.9522972288990548E-6</v>
      </c>
      <c r="BG35" s="1">
        <v>1.9522972288990548E-6</v>
      </c>
      <c r="BH35" s="1">
        <v>1.9522972288990548E-6</v>
      </c>
      <c r="BI35" s="1">
        <v>1.9522972288990548E-6</v>
      </c>
      <c r="BJ35" s="1">
        <v>1.9522972288990548E-6</v>
      </c>
      <c r="BK35" s="1">
        <v>1.9522972288990548E-6</v>
      </c>
      <c r="BL35" s="1">
        <v>1.9522972288990548E-6</v>
      </c>
      <c r="BM35" s="1">
        <v>1.9522972288990548E-6</v>
      </c>
      <c r="BN35" s="1">
        <v>1.9522972288990548E-6</v>
      </c>
      <c r="BO35" s="1">
        <v>1.9522972288990548E-6</v>
      </c>
      <c r="BP35" s="1">
        <v>1.9522972288990548E-6</v>
      </c>
      <c r="BQ35" s="1">
        <v>1.9522972288990548E-6</v>
      </c>
      <c r="BR35" s="1">
        <v>1.9522972288990548E-6</v>
      </c>
      <c r="BS35" s="1">
        <v>1.9522972288990548E-6</v>
      </c>
      <c r="BT35" s="1">
        <v>1.9522972288990548E-6</v>
      </c>
      <c r="BU35" s="1">
        <v>1.9522972288990548E-6</v>
      </c>
      <c r="BV35" s="1">
        <v>1.9522972288990548E-6</v>
      </c>
      <c r="BW35" s="1">
        <v>1.9522972288990548E-6</v>
      </c>
      <c r="BX35" s="1">
        <v>1.9522972288990548E-6</v>
      </c>
      <c r="BY35" s="1">
        <v>1.9522972288990548E-6</v>
      </c>
      <c r="BZ35" s="1">
        <v>1.9522972288990548E-6</v>
      </c>
      <c r="CA35" s="1">
        <v>1.9522972288990548E-6</v>
      </c>
      <c r="CB35" s="1">
        <v>1.9522972288990548E-6</v>
      </c>
      <c r="CC35" s="1">
        <v>1.9522972288990548E-6</v>
      </c>
    </row>
    <row r="36" spans="1:81" x14ac:dyDescent="0.75">
      <c r="A36" t="s">
        <v>54</v>
      </c>
      <c r="B36">
        <v>7.5388547999999995E-6</v>
      </c>
      <c r="C36">
        <v>7.5388547999999995E-6</v>
      </c>
      <c r="D36">
        <v>7.5388547999999995E-6</v>
      </c>
      <c r="E36" s="1">
        <v>8.3780237196999036E-6</v>
      </c>
      <c r="F36" s="1">
        <v>8.3780237196999036E-6</v>
      </c>
      <c r="G36" s="1">
        <v>8.3780237196999036E-6</v>
      </c>
      <c r="H36" s="1">
        <v>8.3780237196999036E-6</v>
      </c>
      <c r="I36" s="1">
        <v>8.3780237196999036E-6</v>
      </c>
      <c r="J36" s="1">
        <v>8.3780237196999036E-6</v>
      </c>
      <c r="K36" s="1">
        <v>8.3780237196999036E-6</v>
      </c>
      <c r="L36" s="1">
        <v>8.3780237196999036E-6</v>
      </c>
      <c r="M36" s="1">
        <v>8.3780237196999036E-6</v>
      </c>
      <c r="N36" s="1">
        <v>8.3780237196999036E-6</v>
      </c>
      <c r="O36" s="1">
        <v>8.3780237196999036E-6</v>
      </c>
      <c r="P36" s="1">
        <v>8.3780237196999036E-6</v>
      </c>
      <c r="Q36" s="1">
        <v>8.3780237196999036E-6</v>
      </c>
      <c r="R36" s="1">
        <v>8.3780237196999036E-6</v>
      </c>
      <c r="S36" s="1">
        <v>8.3780237196999036E-6</v>
      </c>
      <c r="T36" s="1">
        <v>8.3780237196999036E-6</v>
      </c>
      <c r="U36" s="1">
        <v>8.3780237196999036E-6</v>
      </c>
      <c r="V36" s="1">
        <v>8.3780237196999036E-6</v>
      </c>
      <c r="W36" s="1">
        <v>8.3780237196999036E-6</v>
      </c>
      <c r="X36" s="1">
        <v>8.3780237196999036E-6</v>
      </c>
      <c r="Y36" s="1">
        <v>8.3780237196999036E-6</v>
      </c>
      <c r="Z36" s="1">
        <v>8.3780237196999036E-6</v>
      </c>
      <c r="AA36" s="1">
        <v>8.3780237196999036E-6</v>
      </c>
      <c r="AB36" s="1">
        <v>8.3780237196999036E-6</v>
      </c>
      <c r="AC36" s="1">
        <v>8.3780237196999036E-6</v>
      </c>
      <c r="AD36" s="1">
        <v>8.3780237196999036E-6</v>
      </c>
      <c r="AE36" s="1">
        <v>8.3780237196999036E-6</v>
      </c>
      <c r="AF36" s="1">
        <v>8.3780237196999036E-6</v>
      </c>
      <c r="AG36" s="1">
        <v>8.3780237196999036E-6</v>
      </c>
      <c r="AH36" s="1">
        <v>8.3780237196999036E-6</v>
      </c>
      <c r="AI36" s="1">
        <v>8.3780237196999036E-6</v>
      </c>
      <c r="AJ36" s="1">
        <v>8.3780237196999036E-6</v>
      </c>
      <c r="AK36" s="1">
        <v>8.3780237196999036E-6</v>
      </c>
      <c r="AL36" s="1">
        <v>8.3780237196999036E-6</v>
      </c>
      <c r="AM36" s="1">
        <v>8.3780237196999036E-6</v>
      </c>
      <c r="AN36" s="1">
        <v>8.3780237196999036E-6</v>
      </c>
      <c r="AO36" s="1">
        <v>8.3780237196999036E-6</v>
      </c>
      <c r="AP36" s="1">
        <v>8.3780237196999036E-6</v>
      </c>
      <c r="AQ36" s="1">
        <v>8.3780237196999036E-6</v>
      </c>
      <c r="AR36" s="1">
        <v>8.3780237196999036E-6</v>
      </c>
      <c r="AS36" s="1">
        <v>8.3780237196999036E-6</v>
      </c>
      <c r="AT36" s="1">
        <v>8.3780237196999036E-6</v>
      </c>
      <c r="AU36" s="1">
        <v>8.3780237196999036E-6</v>
      </c>
      <c r="AV36" s="1">
        <v>8.3780237196999036E-6</v>
      </c>
      <c r="AW36" s="1">
        <v>8.3780237196999036E-6</v>
      </c>
      <c r="AX36" s="1">
        <v>8.3780237196999036E-6</v>
      </c>
      <c r="AY36" s="1">
        <v>8.3780237196999036E-6</v>
      </c>
      <c r="AZ36" s="1">
        <v>8.3780237196999036E-6</v>
      </c>
      <c r="BA36" s="1">
        <v>8.3780237196999036E-6</v>
      </c>
      <c r="BB36" s="1">
        <v>8.3780237196999036E-6</v>
      </c>
      <c r="BC36" s="1">
        <v>8.3780237196999036E-6</v>
      </c>
      <c r="BD36" s="1">
        <v>8.3780237196999036E-6</v>
      </c>
      <c r="BE36" s="1">
        <v>8.3780237196999036E-6</v>
      </c>
      <c r="BF36" s="1">
        <v>8.3780237196999036E-6</v>
      </c>
      <c r="BG36" s="1">
        <v>8.3780237196999036E-6</v>
      </c>
      <c r="BH36" s="1">
        <v>8.3780237196999036E-6</v>
      </c>
      <c r="BI36" s="1">
        <v>8.3780237196999036E-6</v>
      </c>
      <c r="BJ36" s="1">
        <v>8.3780237196999036E-6</v>
      </c>
      <c r="BK36" s="1">
        <v>8.3780237196999036E-6</v>
      </c>
      <c r="BL36" s="1">
        <v>8.3780237196999036E-6</v>
      </c>
      <c r="BM36" s="1">
        <v>8.3780237196999036E-6</v>
      </c>
      <c r="BN36" s="1">
        <v>8.3780237196999036E-6</v>
      </c>
      <c r="BO36" s="1">
        <v>8.3780237196999036E-6</v>
      </c>
      <c r="BP36" s="1">
        <v>8.3780237196999036E-6</v>
      </c>
      <c r="BQ36" s="1">
        <v>8.3780237196999036E-6</v>
      </c>
      <c r="BR36" s="1">
        <v>8.3780237196999036E-6</v>
      </c>
      <c r="BS36" s="1">
        <v>8.3780237196999036E-6</v>
      </c>
      <c r="BT36" s="1">
        <v>8.3780237196999036E-6</v>
      </c>
      <c r="BU36" s="1">
        <v>8.3780237196999036E-6</v>
      </c>
      <c r="BV36" s="1">
        <v>8.3780237196999036E-6</v>
      </c>
      <c r="BW36" s="1">
        <v>8.3780237196999036E-6</v>
      </c>
      <c r="BX36" s="1">
        <v>8.3780237196999036E-6</v>
      </c>
      <c r="BY36" s="1">
        <v>8.3780237196999036E-6</v>
      </c>
      <c r="BZ36" s="1">
        <v>8.3780237196999036E-6</v>
      </c>
      <c r="CA36" s="1">
        <v>8.3780237196999036E-6</v>
      </c>
      <c r="CB36" s="1">
        <v>8.3780237196999036E-6</v>
      </c>
      <c r="CC36" s="1">
        <v>8.3780237196999036E-6</v>
      </c>
    </row>
    <row r="37" spans="1:81" x14ac:dyDescent="0.75">
      <c r="A37" t="s">
        <v>55</v>
      </c>
      <c r="B37">
        <v>3.5010952800000005E-6</v>
      </c>
      <c r="C37">
        <v>3.5010952800000005E-6</v>
      </c>
      <c r="D37">
        <v>3.5010952800000005E-6</v>
      </c>
      <c r="E37" s="1">
        <v>2.9144005395435541E-6</v>
      </c>
      <c r="F37" s="1">
        <v>2.9144005395435541E-6</v>
      </c>
      <c r="G37" s="1">
        <v>2.9144005395435541E-6</v>
      </c>
      <c r="H37" s="1">
        <v>2.9144005395435541E-6</v>
      </c>
      <c r="I37" s="1">
        <v>2.9144005395435541E-6</v>
      </c>
      <c r="J37" s="1">
        <v>2.9144005395435541E-6</v>
      </c>
      <c r="K37" s="1">
        <v>2.9144005395435541E-6</v>
      </c>
      <c r="L37" s="1">
        <v>2.9144005395435541E-6</v>
      </c>
      <c r="M37" s="1">
        <v>2.9144005395435541E-6</v>
      </c>
      <c r="N37" s="1">
        <v>2.9144005395435541E-6</v>
      </c>
      <c r="O37" s="1">
        <v>2.9144005395435541E-6</v>
      </c>
      <c r="P37" s="1">
        <v>2.9144005395435541E-6</v>
      </c>
      <c r="Q37" s="1">
        <v>2.9144005395435541E-6</v>
      </c>
      <c r="R37" s="1">
        <v>2.9144005395435541E-6</v>
      </c>
      <c r="S37" s="1">
        <v>2.9144005395435541E-6</v>
      </c>
      <c r="T37" s="1">
        <v>2.9144005395435541E-6</v>
      </c>
      <c r="U37" s="1">
        <v>2.9144005395435541E-6</v>
      </c>
      <c r="V37" s="1">
        <v>2.9144005395435541E-6</v>
      </c>
      <c r="W37" s="1">
        <v>2.9144005395435541E-6</v>
      </c>
      <c r="X37" s="1">
        <v>2.9144005395435541E-6</v>
      </c>
      <c r="Y37" s="1">
        <v>2.9144005395435541E-6</v>
      </c>
      <c r="Z37" s="1">
        <v>2.9144005395435541E-6</v>
      </c>
      <c r="AA37" s="1">
        <v>2.9144005395435541E-6</v>
      </c>
      <c r="AB37" s="1">
        <v>2.9144005395435541E-6</v>
      </c>
      <c r="AC37" s="1">
        <v>2.9144005395435541E-6</v>
      </c>
      <c r="AD37" s="1">
        <v>2.9144005395435541E-6</v>
      </c>
      <c r="AE37" s="1">
        <v>2.9144005395435541E-6</v>
      </c>
      <c r="AF37" s="1">
        <v>2.9144005395435541E-6</v>
      </c>
      <c r="AG37" s="1">
        <v>2.9144005395435541E-6</v>
      </c>
      <c r="AH37" s="1">
        <v>2.9144005395435541E-6</v>
      </c>
      <c r="AI37" s="1">
        <v>2.9144005395435541E-6</v>
      </c>
      <c r="AJ37" s="1">
        <v>2.9144005395435541E-6</v>
      </c>
      <c r="AK37" s="1">
        <v>2.9144005395435541E-6</v>
      </c>
      <c r="AL37" s="1">
        <v>2.9144005395435541E-6</v>
      </c>
      <c r="AM37" s="1">
        <v>2.9144005395435541E-6</v>
      </c>
      <c r="AN37" s="1">
        <v>2.9144005395435541E-6</v>
      </c>
      <c r="AO37" s="1">
        <v>2.9144005395435541E-6</v>
      </c>
      <c r="AP37" s="1">
        <v>2.9144005395435541E-6</v>
      </c>
      <c r="AQ37" s="1">
        <v>2.9144005395435541E-6</v>
      </c>
      <c r="AR37" s="1">
        <v>2.9144005395435541E-6</v>
      </c>
      <c r="AS37" s="1">
        <v>2.9144005395435541E-6</v>
      </c>
      <c r="AT37" s="1">
        <v>2.9144005395435541E-6</v>
      </c>
      <c r="AU37" s="1">
        <v>2.9144005395435541E-6</v>
      </c>
      <c r="AV37" s="1">
        <v>2.9144005395435541E-6</v>
      </c>
      <c r="AW37" s="1">
        <v>2.9144005395435541E-6</v>
      </c>
      <c r="AX37" s="1">
        <v>2.9144005395435541E-6</v>
      </c>
      <c r="AY37" s="1">
        <v>2.9144005395435541E-6</v>
      </c>
      <c r="AZ37" s="1">
        <v>2.9144005395435541E-6</v>
      </c>
      <c r="BA37" s="1">
        <v>2.9144005395435541E-6</v>
      </c>
      <c r="BB37" s="1">
        <v>2.9144005395435541E-6</v>
      </c>
      <c r="BC37" s="1">
        <v>2.9144005395435541E-6</v>
      </c>
      <c r="BD37" s="1">
        <v>2.9144005395435541E-6</v>
      </c>
      <c r="BE37" s="1">
        <v>2.9144005395435541E-6</v>
      </c>
      <c r="BF37" s="1">
        <v>2.9144005395435541E-6</v>
      </c>
      <c r="BG37" s="1">
        <v>2.9144005395435541E-6</v>
      </c>
      <c r="BH37" s="1">
        <v>2.9144005395435541E-6</v>
      </c>
      <c r="BI37" s="1">
        <v>2.9144005395435541E-6</v>
      </c>
      <c r="BJ37" s="1">
        <v>2.9144005395435541E-6</v>
      </c>
      <c r="BK37" s="1">
        <v>2.9144005395435541E-6</v>
      </c>
      <c r="BL37" s="1">
        <v>2.9144005395435541E-6</v>
      </c>
      <c r="BM37" s="1">
        <v>2.9144005395435541E-6</v>
      </c>
      <c r="BN37" s="1">
        <v>2.9144005395435541E-6</v>
      </c>
      <c r="BO37" s="1">
        <v>2.9144005395435541E-6</v>
      </c>
      <c r="BP37" s="1">
        <v>2.9144005395435541E-6</v>
      </c>
      <c r="BQ37" s="1">
        <v>2.9144005395435541E-6</v>
      </c>
      <c r="BR37" s="1">
        <v>2.9144005395435541E-6</v>
      </c>
      <c r="BS37" s="1">
        <v>2.9144005395435541E-6</v>
      </c>
      <c r="BT37" s="1">
        <v>2.9144005395435541E-6</v>
      </c>
      <c r="BU37" s="1">
        <v>2.9144005395435541E-6</v>
      </c>
      <c r="BV37" s="1">
        <v>2.9144005395435541E-6</v>
      </c>
      <c r="BW37" s="1">
        <v>2.9144005395435541E-6</v>
      </c>
      <c r="BX37" s="1">
        <v>2.9144005395435541E-6</v>
      </c>
      <c r="BY37" s="1">
        <v>2.9144005395435541E-6</v>
      </c>
      <c r="BZ37" s="1">
        <v>2.9144005395435541E-6</v>
      </c>
      <c r="CA37" s="1">
        <v>2.9144005395435541E-6</v>
      </c>
      <c r="CB37" s="1">
        <v>2.9144005395435541E-6</v>
      </c>
      <c r="CC37" s="1">
        <v>2.9144005395435541E-6</v>
      </c>
    </row>
    <row r="38" spans="1:81" x14ac:dyDescent="0.75">
      <c r="A38" t="s">
        <v>56</v>
      </c>
      <c r="B38">
        <v>2.2403602399999999E-6</v>
      </c>
      <c r="C38">
        <v>2.2403602399999999E-6</v>
      </c>
      <c r="D38">
        <v>2.2403602399999999E-6</v>
      </c>
      <c r="E38" s="1">
        <v>2.1770220897795219E-6</v>
      </c>
      <c r="F38" s="1">
        <v>2.1770220897795219E-6</v>
      </c>
      <c r="G38" s="1">
        <v>2.1770220897795219E-6</v>
      </c>
      <c r="H38" s="1">
        <v>2.1770220897795219E-6</v>
      </c>
      <c r="I38" s="1">
        <v>2.1770220897795219E-6</v>
      </c>
      <c r="J38" s="1">
        <v>2.1770220897795219E-6</v>
      </c>
      <c r="K38" s="1">
        <v>2.1770220897795219E-6</v>
      </c>
      <c r="L38" s="1">
        <v>2.1770220897795219E-6</v>
      </c>
      <c r="M38" s="1">
        <v>2.1770220897795219E-6</v>
      </c>
      <c r="N38" s="1">
        <v>2.1770220897795219E-6</v>
      </c>
      <c r="O38" s="1">
        <v>2.1770220897795219E-6</v>
      </c>
      <c r="P38" s="1">
        <v>2.1770220897795219E-6</v>
      </c>
      <c r="Q38" s="1">
        <v>2.1770220897795219E-6</v>
      </c>
      <c r="R38" s="1">
        <v>2.1770220897795219E-6</v>
      </c>
      <c r="S38" s="1">
        <v>2.1770220897795219E-6</v>
      </c>
      <c r="T38" s="1">
        <v>2.1770220897795219E-6</v>
      </c>
      <c r="U38" s="1">
        <v>2.1770220897795219E-6</v>
      </c>
      <c r="V38" s="1">
        <v>2.1770220897795219E-6</v>
      </c>
      <c r="W38" s="1">
        <v>2.1770220897795219E-6</v>
      </c>
      <c r="X38" s="1">
        <v>2.1770220897795219E-6</v>
      </c>
      <c r="Y38" s="1">
        <v>2.1770220897795219E-6</v>
      </c>
      <c r="Z38" s="1">
        <v>2.1770220897795219E-6</v>
      </c>
      <c r="AA38" s="1">
        <v>2.1770220897795219E-6</v>
      </c>
      <c r="AB38" s="1">
        <v>2.1770220897795219E-6</v>
      </c>
      <c r="AC38" s="1">
        <v>2.1770220897795219E-6</v>
      </c>
      <c r="AD38" s="1">
        <v>2.1770220897795219E-6</v>
      </c>
      <c r="AE38" s="1">
        <v>2.1770220897795219E-6</v>
      </c>
      <c r="AF38" s="1">
        <v>2.1770220897795219E-6</v>
      </c>
      <c r="AG38" s="1">
        <v>2.1770220897795219E-6</v>
      </c>
      <c r="AH38" s="1">
        <v>2.1770220897795219E-6</v>
      </c>
      <c r="AI38" s="1">
        <v>2.1770220897795219E-6</v>
      </c>
      <c r="AJ38" s="1">
        <v>2.1770220897795219E-6</v>
      </c>
      <c r="AK38" s="1">
        <v>2.1770220897795219E-6</v>
      </c>
      <c r="AL38" s="1">
        <v>2.1770220897795219E-6</v>
      </c>
      <c r="AM38" s="1">
        <v>2.1770220897795219E-6</v>
      </c>
      <c r="AN38" s="1">
        <v>2.1770220897795219E-6</v>
      </c>
      <c r="AO38" s="1">
        <v>2.1770220897795219E-6</v>
      </c>
      <c r="AP38" s="1">
        <v>2.1770220897795219E-6</v>
      </c>
      <c r="AQ38" s="1">
        <v>2.1770220897795219E-6</v>
      </c>
      <c r="AR38" s="1">
        <v>2.1770220897795219E-6</v>
      </c>
      <c r="AS38" s="1">
        <v>2.1770220897795219E-6</v>
      </c>
      <c r="AT38" s="1">
        <v>2.1770220897795219E-6</v>
      </c>
      <c r="AU38" s="1">
        <v>2.1770220897795219E-6</v>
      </c>
      <c r="AV38" s="1">
        <v>2.1770220897795219E-6</v>
      </c>
      <c r="AW38" s="1">
        <v>2.1770220897795219E-6</v>
      </c>
      <c r="AX38" s="1">
        <v>2.1770220897795219E-6</v>
      </c>
      <c r="AY38" s="1">
        <v>2.1770220897795219E-6</v>
      </c>
      <c r="AZ38" s="1">
        <v>2.1770220897795219E-6</v>
      </c>
      <c r="BA38" s="1">
        <v>2.1770220897795219E-6</v>
      </c>
      <c r="BB38" s="1">
        <v>2.1770220897795219E-6</v>
      </c>
      <c r="BC38" s="1">
        <v>2.1770220897795219E-6</v>
      </c>
      <c r="BD38" s="1">
        <v>2.1770220897795219E-6</v>
      </c>
      <c r="BE38" s="1">
        <v>2.1770220897795219E-6</v>
      </c>
      <c r="BF38" s="1">
        <v>2.1770220897795219E-6</v>
      </c>
      <c r="BG38" s="1">
        <v>2.1770220897795219E-6</v>
      </c>
      <c r="BH38" s="1">
        <v>2.1770220897795219E-6</v>
      </c>
      <c r="BI38" s="1">
        <v>2.1770220897795219E-6</v>
      </c>
      <c r="BJ38" s="1">
        <v>2.1770220897795219E-6</v>
      </c>
      <c r="BK38" s="1">
        <v>2.1770220897795219E-6</v>
      </c>
      <c r="BL38" s="1">
        <v>2.1770220897795219E-6</v>
      </c>
      <c r="BM38" s="1">
        <v>2.1770220897795219E-6</v>
      </c>
      <c r="BN38" s="1">
        <v>2.1770220897795219E-6</v>
      </c>
      <c r="BO38" s="1">
        <v>2.1770220897795219E-6</v>
      </c>
      <c r="BP38" s="1">
        <v>2.1770220897795219E-6</v>
      </c>
      <c r="BQ38" s="1">
        <v>2.1770220897795219E-6</v>
      </c>
      <c r="BR38" s="1">
        <v>2.1770220897795219E-6</v>
      </c>
      <c r="BS38" s="1">
        <v>2.1770220897795219E-6</v>
      </c>
      <c r="BT38" s="1">
        <v>2.1770220897795219E-6</v>
      </c>
      <c r="BU38" s="1">
        <v>2.1770220897795219E-6</v>
      </c>
      <c r="BV38" s="1">
        <v>2.1770220897795219E-6</v>
      </c>
      <c r="BW38" s="1">
        <v>2.1770220897795219E-6</v>
      </c>
      <c r="BX38" s="1">
        <v>2.1770220897795219E-6</v>
      </c>
      <c r="BY38" s="1">
        <v>2.1770220897795219E-6</v>
      </c>
      <c r="BZ38" s="1">
        <v>2.1770220897795219E-6</v>
      </c>
      <c r="CA38" s="1">
        <v>2.1770220897795219E-6</v>
      </c>
      <c r="CB38" s="1">
        <v>2.1770220897795219E-6</v>
      </c>
      <c r="CC38" s="1">
        <v>2.1770220897795219E-6</v>
      </c>
    </row>
    <row r="39" spans="1:81" x14ac:dyDescent="0.75">
      <c r="A39" t="s">
        <v>57</v>
      </c>
      <c r="B39">
        <v>1.8911025600000004E-6</v>
      </c>
      <c r="C39">
        <v>1.8911025600000004E-6</v>
      </c>
      <c r="D39">
        <v>1.8911025600000004E-6</v>
      </c>
      <c r="E39" s="1">
        <v>1.9522972288990548E-6</v>
      </c>
      <c r="F39" s="1">
        <v>1.9522972288990548E-6</v>
      </c>
      <c r="G39" s="1">
        <v>1.9522972288990548E-6</v>
      </c>
      <c r="H39" s="1">
        <v>1.9522972288990548E-6</v>
      </c>
      <c r="I39" s="1">
        <v>1.9522972288990548E-6</v>
      </c>
      <c r="J39" s="1">
        <v>1.9522972288990548E-6</v>
      </c>
      <c r="K39" s="1">
        <v>1.9522972288990548E-6</v>
      </c>
      <c r="L39" s="1">
        <v>1.9522972288990548E-6</v>
      </c>
      <c r="M39" s="1">
        <v>1.9522972288990548E-6</v>
      </c>
      <c r="N39" s="1">
        <v>1.9522972288990548E-6</v>
      </c>
      <c r="O39" s="1">
        <v>1.9522972288990548E-6</v>
      </c>
      <c r="P39" s="1">
        <v>1.9522972288990548E-6</v>
      </c>
      <c r="Q39" s="1">
        <v>1.9522972288990548E-6</v>
      </c>
      <c r="R39" s="1">
        <v>1.9522972288990548E-6</v>
      </c>
      <c r="S39" s="1">
        <v>1.9522972288990548E-6</v>
      </c>
      <c r="T39" s="1">
        <v>1.9522972288990548E-6</v>
      </c>
      <c r="U39" s="1">
        <v>1.9522972288990548E-6</v>
      </c>
      <c r="V39" s="1">
        <v>1.9522972288990548E-6</v>
      </c>
      <c r="W39" s="1">
        <v>1.9522972288990548E-6</v>
      </c>
      <c r="X39" s="1">
        <v>1.9522972288990548E-6</v>
      </c>
      <c r="Y39" s="1">
        <v>1.9522972288990548E-6</v>
      </c>
      <c r="Z39" s="1">
        <v>1.9522972288990548E-6</v>
      </c>
      <c r="AA39" s="1">
        <v>1.9522972288990548E-6</v>
      </c>
      <c r="AB39" s="1">
        <v>1.9522972288990548E-6</v>
      </c>
      <c r="AC39" s="1">
        <v>1.9522972288990548E-6</v>
      </c>
      <c r="AD39" s="1">
        <v>1.9522972288990548E-6</v>
      </c>
      <c r="AE39" s="1">
        <v>1.9522972288990548E-6</v>
      </c>
      <c r="AF39" s="1">
        <v>1.9522972288990548E-6</v>
      </c>
      <c r="AG39" s="1">
        <v>1.9522972288990548E-6</v>
      </c>
      <c r="AH39" s="1">
        <v>1.9522972288990548E-6</v>
      </c>
      <c r="AI39" s="1">
        <v>1.9522972288990548E-6</v>
      </c>
      <c r="AJ39" s="1">
        <v>1.9522972288990548E-6</v>
      </c>
      <c r="AK39" s="1">
        <v>1.9522972288990548E-6</v>
      </c>
      <c r="AL39" s="1">
        <v>1.9522972288990548E-6</v>
      </c>
      <c r="AM39" s="1">
        <v>1.9522972288990548E-6</v>
      </c>
      <c r="AN39" s="1">
        <v>1.9522972288990548E-6</v>
      </c>
      <c r="AO39" s="1">
        <v>1.9522972288990548E-6</v>
      </c>
      <c r="AP39" s="1">
        <v>1.9522972288990548E-6</v>
      </c>
      <c r="AQ39" s="1">
        <v>1.9522972288990548E-6</v>
      </c>
      <c r="AR39" s="1">
        <v>1.9522972288990548E-6</v>
      </c>
      <c r="AS39" s="1">
        <v>1.9522972288990548E-6</v>
      </c>
      <c r="AT39" s="1">
        <v>1.9522972288990548E-6</v>
      </c>
      <c r="AU39" s="1">
        <v>1.9522972288990548E-6</v>
      </c>
      <c r="AV39" s="1">
        <v>1.9522972288990548E-6</v>
      </c>
      <c r="AW39" s="1">
        <v>1.9522972288990548E-6</v>
      </c>
      <c r="AX39" s="1">
        <v>1.9522972288990548E-6</v>
      </c>
      <c r="AY39" s="1">
        <v>1.9522972288990548E-6</v>
      </c>
      <c r="AZ39" s="1">
        <v>1.9522972288990548E-6</v>
      </c>
      <c r="BA39" s="1">
        <v>1.9522972288990548E-6</v>
      </c>
      <c r="BB39" s="1">
        <v>1.9522972288990548E-6</v>
      </c>
      <c r="BC39" s="1">
        <v>1.9522972288990548E-6</v>
      </c>
      <c r="BD39" s="1">
        <v>1.9522972288990548E-6</v>
      </c>
      <c r="BE39" s="1">
        <v>1.9522972288990548E-6</v>
      </c>
      <c r="BF39" s="1">
        <v>1.9522972288990548E-6</v>
      </c>
      <c r="BG39" s="1">
        <v>1.9522972288990548E-6</v>
      </c>
      <c r="BH39" s="1">
        <v>1.9522972288990548E-6</v>
      </c>
      <c r="BI39" s="1">
        <v>1.9522972288990548E-6</v>
      </c>
      <c r="BJ39" s="1">
        <v>1.9522972288990548E-6</v>
      </c>
      <c r="BK39" s="1">
        <v>1.9522972288990548E-6</v>
      </c>
      <c r="BL39" s="1">
        <v>1.9522972288990548E-6</v>
      </c>
      <c r="BM39" s="1">
        <v>1.9522972288990548E-6</v>
      </c>
      <c r="BN39" s="1">
        <v>1.9522972288990548E-6</v>
      </c>
      <c r="BO39" s="1">
        <v>1.9522972288990548E-6</v>
      </c>
      <c r="BP39" s="1">
        <v>1.9522972288990548E-6</v>
      </c>
      <c r="BQ39" s="1">
        <v>1.9522972288990548E-6</v>
      </c>
      <c r="BR39" s="1">
        <v>1.9522972288990548E-6</v>
      </c>
      <c r="BS39" s="1">
        <v>1.9522972288990548E-6</v>
      </c>
      <c r="BT39" s="1">
        <v>1.9522972288990548E-6</v>
      </c>
      <c r="BU39" s="1">
        <v>1.9522972288990548E-6</v>
      </c>
      <c r="BV39" s="1">
        <v>1.9522972288990548E-6</v>
      </c>
      <c r="BW39" s="1">
        <v>1.9522972288990548E-6</v>
      </c>
      <c r="BX39" s="1">
        <v>1.9522972288990548E-6</v>
      </c>
      <c r="BY39" s="1">
        <v>1.9522972288990548E-6</v>
      </c>
      <c r="BZ39" s="1">
        <v>1.9522972288990548E-6</v>
      </c>
      <c r="CA39" s="1">
        <v>1.9522972288990548E-6</v>
      </c>
      <c r="CB39" s="1">
        <v>1.9522972288990548E-6</v>
      </c>
      <c r="CC39" s="1">
        <v>1.9522972288990548E-6</v>
      </c>
    </row>
    <row r="40" spans="1:81" x14ac:dyDescent="0.75">
      <c r="A40" t="s">
        <v>58</v>
      </c>
      <c r="B40">
        <v>0</v>
      </c>
      <c r="C40">
        <v>0</v>
      </c>
      <c r="D40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</row>
    <row r="41" spans="1:81" x14ac:dyDescent="0.75">
      <c r="A41" t="s">
        <v>59</v>
      </c>
      <c r="B41">
        <v>2.2403602399999999E-6</v>
      </c>
      <c r="C41">
        <v>2.2403602399999999E-6</v>
      </c>
      <c r="D41">
        <v>2.2403602399999999E-6</v>
      </c>
      <c r="E41" s="1">
        <v>2.1770220897795219E-6</v>
      </c>
      <c r="F41" s="1">
        <v>2.1770220897795219E-6</v>
      </c>
      <c r="G41" s="1">
        <v>2.1770220897795219E-6</v>
      </c>
      <c r="H41" s="1">
        <v>2.1770220897795219E-6</v>
      </c>
      <c r="I41" s="1">
        <v>2.1770220897795219E-6</v>
      </c>
      <c r="J41" s="1">
        <v>2.1770220897795219E-6</v>
      </c>
      <c r="K41" s="1">
        <v>2.1770220897795219E-6</v>
      </c>
      <c r="L41" s="1">
        <v>2.1770220897795219E-6</v>
      </c>
      <c r="M41" s="1">
        <v>2.1770220897795219E-6</v>
      </c>
      <c r="N41" s="1">
        <v>2.1770220897795219E-6</v>
      </c>
      <c r="O41" s="1">
        <v>2.1770220897795219E-6</v>
      </c>
      <c r="P41" s="1">
        <v>2.1770220897795219E-6</v>
      </c>
      <c r="Q41" s="1">
        <v>2.1770220897795219E-6</v>
      </c>
      <c r="R41" s="1">
        <v>2.1770220897795219E-6</v>
      </c>
      <c r="S41" s="1">
        <v>2.1770220897795219E-6</v>
      </c>
      <c r="T41" s="1">
        <v>2.1770220897795219E-6</v>
      </c>
      <c r="U41" s="1">
        <v>2.1770220897795219E-6</v>
      </c>
      <c r="V41" s="1">
        <v>2.1770220897795219E-6</v>
      </c>
      <c r="W41" s="1">
        <v>2.1770220897795219E-6</v>
      </c>
      <c r="X41" s="1">
        <v>2.1770220897795219E-6</v>
      </c>
      <c r="Y41" s="1">
        <v>2.1770220897795219E-6</v>
      </c>
      <c r="Z41" s="1">
        <v>2.1770220897795219E-6</v>
      </c>
      <c r="AA41" s="1">
        <v>2.1770220897795219E-6</v>
      </c>
      <c r="AB41" s="1">
        <v>2.1770220897795219E-6</v>
      </c>
      <c r="AC41" s="1">
        <v>2.1770220897795219E-6</v>
      </c>
      <c r="AD41" s="1">
        <v>2.1770220897795219E-6</v>
      </c>
      <c r="AE41" s="1">
        <v>2.1770220897795219E-6</v>
      </c>
      <c r="AF41" s="1">
        <v>2.1770220897795219E-6</v>
      </c>
      <c r="AG41" s="1">
        <v>2.1770220897795219E-6</v>
      </c>
      <c r="AH41" s="1">
        <v>2.1770220897795219E-6</v>
      </c>
      <c r="AI41" s="1">
        <v>2.1770220897795219E-6</v>
      </c>
      <c r="AJ41" s="1">
        <v>2.1770220897795219E-6</v>
      </c>
      <c r="AK41" s="1">
        <v>2.1770220897795219E-6</v>
      </c>
      <c r="AL41" s="1">
        <v>2.1770220897795219E-6</v>
      </c>
      <c r="AM41" s="1">
        <v>2.1770220897795219E-6</v>
      </c>
      <c r="AN41" s="1">
        <v>2.1770220897795219E-6</v>
      </c>
      <c r="AO41" s="1">
        <v>2.1770220897795219E-6</v>
      </c>
      <c r="AP41" s="1">
        <v>2.1770220897795219E-6</v>
      </c>
      <c r="AQ41" s="1">
        <v>2.1770220897795219E-6</v>
      </c>
      <c r="AR41" s="1">
        <v>2.1770220897795219E-6</v>
      </c>
      <c r="AS41" s="1">
        <v>2.1770220897795219E-6</v>
      </c>
      <c r="AT41" s="1">
        <v>2.1770220897795219E-6</v>
      </c>
      <c r="AU41" s="1">
        <v>2.1770220897795219E-6</v>
      </c>
      <c r="AV41" s="1">
        <v>2.1770220897795219E-6</v>
      </c>
      <c r="AW41" s="1">
        <v>2.1770220897795219E-6</v>
      </c>
      <c r="AX41" s="1">
        <v>2.1770220897795219E-6</v>
      </c>
      <c r="AY41" s="1">
        <v>2.1770220897795219E-6</v>
      </c>
      <c r="AZ41" s="1">
        <v>2.1770220897795219E-6</v>
      </c>
      <c r="BA41" s="1">
        <v>2.1770220897795219E-6</v>
      </c>
      <c r="BB41" s="1">
        <v>2.1770220897795219E-6</v>
      </c>
      <c r="BC41" s="1">
        <v>2.1770220897795219E-6</v>
      </c>
      <c r="BD41" s="1">
        <v>2.1770220897795219E-6</v>
      </c>
      <c r="BE41" s="1">
        <v>2.1770220897795219E-6</v>
      </c>
      <c r="BF41" s="1">
        <v>2.1770220897795219E-6</v>
      </c>
      <c r="BG41" s="1">
        <v>2.1770220897795219E-6</v>
      </c>
      <c r="BH41" s="1">
        <v>2.1770220897795219E-6</v>
      </c>
      <c r="BI41" s="1">
        <v>2.1770220897795219E-6</v>
      </c>
      <c r="BJ41" s="1">
        <v>2.1770220897795219E-6</v>
      </c>
      <c r="BK41" s="1">
        <v>2.1770220897795219E-6</v>
      </c>
      <c r="BL41" s="1">
        <v>2.1770220897795219E-6</v>
      </c>
      <c r="BM41" s="1">
        <v>2.1770220897795219E-6</v>
      </c>
      <c r="BN41" s="1">
        <v>2.1770220897795219E-6</v>
      </c>
      <c r="BO41" s="1">
        <v>2.1770220897795219E-6</v>
      </c>
      <c r="BP41" s="1">
        <v>2.1770220897795219E-6</v>
      </c>
      <c r="BQ41" s="1">
        <v>2.1770220897795219E-6</v>
      </c>
      <c r="BR41" s="1">
        <v>2.1770220897795219E-6</v>
      </c>
      <c r="BS41" s="1">
        <v>2.1770220897795219E-6</v>
      </c>
      <c r="BT41" s="1">
        <v>2.1770220897795219E-6</v>
      </c>
      <c r="BU41" s="1">
        <v>2.1770220897795219E-6</v>
      </c>
      <c r="BV41" s="1">
        <v>2.1770220897795219E-6</v>
      </c>
      <c r="BW41" s="1">
        <v>2.1770220897795219E-6</v>
      </c>
      <c r="BX41" s="1">
        <v>2.1770220897795219E-6</v>
      </c>
      <c r="BY41" s="1">
        <v>2.1770220897795219E-6</v>
      </c>
      <c r="BZ41" s="1">
        <v>2.1770220897795219E-6</v>
      </c>
      <c r="CA41" s="1">
        <v>2.1770220897795219E-6</v>
      </c>
      <c r="CB41" s="1">
        <v>2.1770220897795219E-6</v>
      </c>
      <c r="CC41" s="1">
        <v>2.1770220897795219E-6</v>
      </c>
    </row>
    <row r="42" spans="1:81" s="3" customFormat="1" x14ac:dyDescent="0.75">
      <c r="A42" s="5" t="s">
        <v>34</v>
      </c>
    </row>
    <row r="43" spans="1:81" x14ac:dyDescent="0.75">
      <c r="A43" t="s">
        <v>30</v>
      </c>
      <c r="B43">
        <v>2021</v>
      </c>
      <c r="C43">
        <v>2022</v>
      </c>
      <c r="D43">
        <v>2023</v>
      </c>
      <c r="E43">
        <v>2024</v>
      </c>
      <c r="F43">
        <v>2025</v>
      </c>
      <c r="G43">
        <v>2026</v>
      </c>
      <c r="H43">
        <v>2027</v>
      </c>
      <c r="I43">
        <v>2028</v>
      </c>
      <c r="J43">
        <v>2029</v>
      </c>
      <c r="K43">
        <v>2030</v>
      </c>
      <c r="L43">
        <v>2031</v>
      </c>
      <c r="M43">
        <v>2032</v>
      </c>
      <c r="N43">
        <v>2033</v>
      </c>
      <c r="O43">
        <v>2034</v>
      </c>
      <c r="P43">
        <v>2035</v>
      </c>
      <c r="Q43">
        <v>2036</v>
      </c>
      <c r="R43">
        <v>2037</v>
      </c>
      <c r="S43">
        <v>2038</v>
      </c>
      <c r="T43">
        <v>2039</v>
      </c>
      <c r="U43">
        <v>2040</v>
      </c>
      <c r="V43">
        <v>2041</v>
      </c>
      <c r="W43">
        <v>2042</v>
      </c>
      <c r="X43">
        <v>2043</v>
      </c>
      <c r="Y43">
        <v>2044</v>
      </c>
      <c r="Z43">
        <v>2045</v>
      </c>
      <c r="AA43">
        <v>2046</v>
      </c>
      <c r="AB43">
        <v>2047</v>
      </c>
      <c r="AC43">
        <v>2048</v>
      </c>
      <c r="AD43">
        <v>2049</v>
      </c>
      <c r="AE43">
        <v>2050</v>
      </c>
    </row>
    <row r="44" spans="1:81" x14ac:dyDescent="0.75">
      <c r="A44" t="s">
        <v>52</v>
      </c>
      <c r="B44">
        <v>1.633434080668372E-5</v>
      </c>
      <c r="C44">
        <v>2.1468663139597249E-5</v>
      </c>
      <c r="D44">
        <v>1.8166409052201025E-5</v>
      </c>
      <c r="E44" s="1">
        <v>1.8189628281494245E-5</v>
      </c>
      <c r="F44" s="1">
        <v>1.7917978950187411E-5</v>
      </c>
      <c r="G44" s="1">
        <v>1.719370714734499E-5</v>
      </c>
      <c r="H44" s="1">
        <v>1.5712003125588135E-5</v>
      </c>
      <c r="I44" s="1">
        <v>1.4230299103831276E-5</v>
      </c>
      <c r="J44" s="1">
        <v>1.4317580754937715E-5</v>
      </c>
      <c r="K44" s="1">
        <v>1.435332831551019E-5</v>
      </c>
      <c r="L44" s="1">
        <v>1.4574279560314934E-5</v>
      </c>
      <c r="M44" s="1">
        <v>1.4494560629945209E-5</v>
      </c>
      <c r="N44" s="1">
        <v>1.4586278199812258E-5</v>
      </c>
      <c r="O44" s="1">
        <v>1.509021737817875E-5</v>
      </c>
      <c r="P44" s="1">
        <v>1.5407761779977488E-5</v>
      </c>
      <c r="Q44" s="1">
        <v>1.5631120820549688E-5</v>
      </c>
      <c r="R44" s="1">
        <v>1.5743545955862731E-5</v>
      </c>
      <c r="S44" s="1">
        <v>1.5939684308074328E-5</v>
      </c>
      <c r="T44" s="1">
        <v>1.6165216330396906E-5</v>
      </c>
      <c r="U44" s="1">
        <v>1.6206163475867053E-5</v>
      </c>
      <c r="V44" s="1">
        <v>1.6214429392423213E-5</v>
      </c>
      <c r="W44" s="1">
        <v>1.6126639012465353E-5</v>
      </c>
      <c r="X44" s="1">
        <v>1.6298139581221956E-5</v>
      </c>
      <c r="Y44" s="1">
        <v>1.6345616489588074E-5</v>
      </c>
      <c r="Z44" s="1">
        <v>1.6506083205188972E-5</v>
      </c>
      <c r="AA44" s="1">
        <v>1.6633543141458724E-5</v>
      </c>
      <c r="AB44" s="1">
        <v>1.65985306908081E-5</v>
      </c>
      <c r="AC44" s="1">
        <v>1.6694430548648227E-5</v>
      </c>
      <c r="AD44" s="1">
        <v>1.6855372458780801E-5</v>
      </c>
      <c r="AE44" s="1">
        <v>1.7388398267828185E-5</v>
      </c>
      <c r="AF44" s="1">
        <v>1.7388398267828185E-5</v>
      </c>
      <c r="AG44" s="1">
        <v>1.7388398267828185E-5</v>
      </c>
      <c r="AH44" s="1">
        <v>1.7388398267828185E-5</v>
      </c>
      <c r="AI44" s="1">
        <v>1.7388398267828185E-5</v>
      </c>
      <c r="AJ44" s="1">
        <v>1.7388398267828185E-5</v>
      </c>
      <c r="AK44" s="1">
        <v>1.7388398267828185E-5</v>
      </c>
      <c r="AL44" s="1">
        <v>1.7388398267828185E-5</v>
      </c>
      <c r="AM44" s="1">
        <v>1.7388398267828185E-5</v>
      </c>
      <c r="AN44" s="1">
        <v>1.7388398267828185E-5</v>
      </c>
      <c r="AO44" s="1">
        <v>1.7388398267828185E-5</v>
      </c>
      <c r="AP44" s="1">
        <v>1.7388398267828185E-5</v>
      </c>
      <c r="AQ44" s="1">
        <v>1.7388398267828185E-5</v>
      </c>
      <c r="AR44" s="1">
        <v>1.7388398267828185E-5</v>
      </c>
      <c r="AS44" s="1">
        <v>1.7388398267828185E-5</v>
      </c>
      <c r="AT44" s="1">
        <v>1.7388398267828185E-5</v>
      </c>
      <c r="AU44" s="1">
        <v>1.7388398267828185E-5</v>
      </c>
      <c r="AV44" s="1">
        <v>1.7388398267828185E-5</v>
      </c>
      <c r="AW44" s="1">
        <v>1.7388398267828185E-5</v>
      </c>
      <c r="AX44" s="1">
        <v>1.7388398267828185E-5</v>
      </c>
      <c r="AY44" s="1">
        <v>1.7388398267828185E-5</v>
      </c>
      <c r="AZ44" s="1">
        <v>1.7388398267828185E-5</v>
      </c>
      <c r="BA44" s="1">
        <v>1.7388398267828185E-5</v>
      </c>
      <c r="BB44" s="1">
        <v>1.7388398267828185E-5</v>
      </c>
      <c r="BC44" s="1">
        <v>1.7388398267828185E-5</v>
      </c>
      <c r="BD44" s="1">
        <v>1.7388398267828185E-5</v>
      </c>
      <c r="BE44" s="1">
        <v>1.7388398267828185E-5</v>
      </c>
      <c r="BF44" s="1">
        <v>1.7388398267828185E-5</v>
      </c>
      <c r="BG44" s="1">
        <v>1.7388398267828185E-5</v>
      </c>
      <c r="BH44" s="1">
        <v>1.7388398267828185E-5</v>
      </c>
      <c r="BI44" s="1">
        <v>1.7388398267828185E-5</v>
      </c>
      <c r="BJ44" s="1">
        <v>1.7388398267828185E-5</v>
      </c>
      <c r="BK44" s="1">
        <v>1.7388398267828185E-5</v>
      </c>
      <c r="BL44" s="1">
        <v>1.7388398267828185E-5</v>
      </c>
      <c r="BM44" s="1">
        <v>1.7388398267828185E-5</v>
      </c>
      <c r="BN44" s="1">
        <v>1.7388398267828185E-5</v>
      </c>
      <c r="BO44" s="1">
        <v>1.7388398267828185E-5</v>
      </c>
      <c r="BP44" s="1">
        <v>1.7388398267828185E-5</v>
      </c>
      <c r="BQ44" s="1">
        <v>1.7388398267828185E-5</v>
      </c>
      <c r="BR44" s="1">
        <v>1.7388398267828185E-5</v>
      </c>
      <c r="BS44" s="1">
        <v>1.7388398267828185E-5</v>
      </c>
      <c r="BT44" s="1">
        <v>1.7388398267828185E-5</v>
      </c>
      <c r="BU44" s="1">
        <v>1.7388398267828185E-5</v>
      </c>
      <c r="BV44" s="1">
        <v>1.7388398267828185E-5</v>
      </c>
      <c r="BW44" s="1">
        <v>1.7388398267828185E-5</v>
      </c>
      <c r="BX44" s="1">
        <v>1.7388398267828185E-5</v>
      </c>
      <c r="BY44" s="1">
        <v>1.7388398267828185E-5</v>
      </c>
      <c r="BZ44" s="1">
        <v>1.7388398267828185E-5</v>
      </c>
      <c r="CA44" s="1">
        <v>1.7388398267828185E-5</v>
      </c>
      <c r="CB44" s="1">
        <v>1.7388398267828185E-5</v>
      </c>
      <c r="CC44" s="1">
        <v>1.7388398267828185E-5</v>
      </c>
    </row>
    <row r="45" spans="1:81" x14ac:dyDescent="0.75">
      <c r="A45" t="s">
        <v>53</v>
      </c>
      <c r="B45">
        <v>0</v>
      </c>
      <c r="C45">
        <v>0</v>
      </c>
      <c r="D45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</row>
    <row r="46" spans="1:81" x14ac:dyDescent="0.75">
      <c r="A46" t="s">
        <v>54</v>
      </c>
      <c r="B46">
        <v>0</v>
      </c>
      <c r="C46">
        <v>0</v>
      </c>
      <c r="D46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</row>
    <row r="47" spans="1:81" x14ac:dyDescent="0.75">
      <c r="A47" t="s">
        <v>55</v>
      </c>
      <c r="B47">
        <v>0</v>
      </c>
      <c r="C47">
        <v>0</v>
      </c>
      <c r="D47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</row>
    <row r="48" spans="1:81" x14ac:dyDescent="0.75">
      <c r="A48" t="s">
        <v>56</v>
      </c>
      <c r="B48">
        <v>0</v>
      </c>
      <c r="C48">
        <v>0</v>
      </c>
      <c r="D48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</row>
    <row r="49" spans="1:81" x14ac:dyDescent="0.75">
      <c r="A49" t="s">
        <v>57</v>
      </c>
      <c r="B49">
        <v>0</v>
      </c>
      <c r="C49">
        <v>0</v>
      </c>
      <c r="D49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</row>
    <row r="50" spans="1:81" x14ac:dyDescent="0.75">
      <c r="A50" t="s">
        <v>58</v>
      </c>
      <c r="B50">
        <v>0</v>
      </c>
      <c r="C50">
        <v>0</v>
      </c>
      <c r="D50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</row>
    <row r="51" spans="1:81" x14ac:dyDescent="0.75">
      <c r="A51" t="s">
        <v>59</v>
      </c>
      <c r="B51">
        <v>0</v>
      </c>
      <c r="C51">
        <v>0</v>
      </c>
      <c r="D5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</row>
    <row r="52" spans="1:81" s="3" customFormat="1" x14ac:dyDescent="0.75">
      <c r="A52" s="5" t="s">
        <v>35</v>
      </c>
    </row>
    <row r="53" spans="1:81" x14ac:dyDescent="0.75">
      <c r="A53" t="s">
        <v>30</v>
      </c>
      <c r="B53">
        <v>2021</v>
      </c>
      <c r="C53">
        <v>2022</v>
      </c>
      <c r="D53">
        <v>2023</v>
      </c>
      <c r="E53">
        <v>2024</v>
      </c>
      <c r="F53">
        <v>2025</v>
      </c>
      <c r="G53">
        <v>2026</v>
      </c>
      <c r="H53">
        <v>2027</v>
      </c>
      <c r="I53">
        <v>2028</v>
      </c>
      <c r="J53">
        <v>2029</v>
      </c>
      <c r="K53">
        <v>2030</v>
      </c>
      <c r="L53">
        <v>2031</v>
      </c>
      <c r="M53">
        <v>2032</v>
      </c>
      <c r="N53">
        <v>2033</v>
      </c>
      <c r="O53">
        <v>2034</v>
      </c>
      <c r="P53">
        <v>2035</v>
      </c>
      <c r="Q53">
        <v>2036</v>
      </c>
      <c r="R53">
        <v>2037</v>
      </c>
      <c r="S53">
        <v>2038</v>
      </c>
      <c r="T53">
        <v>2039</v>
      </c>
      <c r="U53">
        <v>2040</v>
      </c>
      <c r="V53">
        <v>2041</v>
      </c>
      <c r="W53">
        <v>2042</v>
      </c>
      <c r="X53">
        <v>2043</v>
      </c>
      <c r="Y53">
        <v>2044</v>
      </c>
      <c r="Z53">
        <v>2045</v>
      </c>
      <c r="AA53">
        <v>2046</v>
      </c>
      <c r="AB53">
        <v>2047</v>
      </c>
      <c r="AC53">
        <v>2048</v>
      </c>
      <c r="AD53">
        <v>2049</v>
      </c>
      <c r="AE53">
        <v>2050</v>
      </c>
    </row>
    <row r="54" spans="1:81" x14ac:dyDescent="0.75">
      <c r="A54" t="s">
        <v>52</v>
      </c>
      <c r="B54">
        <v>1.566221022625209E-5</v>
      </c>
      <c r="C54">
        <v>2.3950845778433688E-5</v>
      </c>
      <c r="D54">
        <v>1.8669078757961399E-5</v>
      </c>
      <c r="E54" s="1">
        <v>1.5773075475190465E-5</v>
      </c>
      <c r="F54" s="1">
        <v>1.5826995444092882E-5</v>
      </c>
      <c r="G54" s="1">
        <v>1.4679645666309927E-5</v>
      </c>
      <c r="H54" s="1">
        <v>1.4833827028023308E-5</v>
      </c>
      <c r="I54" s="1">
        <v>1.4988008389736689E-5</v>
      </c>
      <c r="J54" s="1">
        <v>1.5336230199010228E-5</v>
      </c>
      <c r="K54" s="1">
        <v>1.5587861220070215E-5</v>
      </c>
      <c r="L54" s="1">
        <v>1.5851264551451771E-5</v>
      </c>
      <c r="M54" s="1">
        <v>1.5666745831470716E-5</v>
      </c>
      <c r="N54" s="1">
        <v>1.580594135266279E-5</v>
      </c>
      <c r="O54" s="1">
        <v>1.6141378254469464E-5</v>
      </c>
      <c r="P54" s="1">
        <v>1.6543254257803414E-5</v>
      </c>
      <c r="Q54" s="1">
        <v>1.6587629496915805E-5</v>
      </c>
      <c r="R54" s="1">
        <v>1.6790454757821606E-5</v>
      </c>
      <c r="S54" s="1">
        <v>1.6911281292589188E-5</v>
      </c>
      <c r="T54" s="1">
        <v>1.7066619921400298E-5</v>
      </c>
      <c r="U54" s="1">
        <v>1.7216671660256746E-5</v>
      </c>
      <c r="V54" s="1">
        <v>1.7283041413573309E-5</v>
      </c>
      <c r="W54" s="1">
        <v>1.7231607922173628E-5</v>
      </c>
      <c r="X54" s="1">
        <v>1.7410238846233913E-5</v>
      </c>
      <c r="Y54" s="1">
        <v>1.7527719000125785E-5</v>
      </c>
      <c r="Z54" s="1">
        <v>1.7697361240457405E-5</v>
      </c>
      <c r="AA54" s="1">
        <v>1.8075201996155875E-5</v>
      </c>
      <c r="AB54" s="1">
        <v>1.8077015442605023E-5</v>
      </c>
      <c r="AC54" s="1">
        <v>1.8167461816955246E-5</v>
      </c>
      <c r="AD54" s="1">
        <v>1.8375618371064561E-5</v>
      </c>
      <c r="AE54" s="1">
        <v>1.8606078082267771E-5</v>
      </c>
      <c r="AF54" s="1">
        <v>1.8606078082267771E-5</v>
      </c>
      <c r="AG54" s="1">
        <v>1.8606078082267771E-5</v>
      </c>
      <c r="AH54" s="1">
        <v>1.8606078082267771E-5</v>
      </c>
      <c r="AI54" s="1">
        <v>1.8606078082267771E-5</v>
      </c>
      <c r="AJ54" s="1">
        <v>1.8606078082267771E-5</v>
      </c>
      <c r="AK54" s="1">
        <v>1.8606078082267771E-5</v>
      </c>
      <c r="AL54" s="1">
        <v>1.8606078082267771E-5</v>
      </c>
      <c r="AM54" s="1">
        <v>1.8606078082267771E-5</v>
      </c>
      <c r="AN54" s="1">
        <v>1.8606078082267771E-5</v>
      </c>
      <c r="AO54" s="1">
        <v>1.8606078082267771E-5</v>
      </c>
      <c r="AP54" s="1">
        <v>1.8606078082267771E-5</v>
      </c>
      <c r="AQ54" s="1">
        <v>1.8606078082267771E-5</v>
      </c>
      <c r="AR54" s="1">
        <v>1.8606078082267771E-5</v>
      </c>
      <c r="AS54" s="1">
        <v>1.8606078082267771E-5</v>
      </c>
      <c r="AT54" s="1">
        <v>1.8606078082267771E-5</v>
      </c>
      <c r="AU54" s="1">
        <v>1.8606078082267771E-5</v>
      </c>
      <c r="AV54" s="1">
        <v>1.8606078082267771E-5</v>
      </c>
      <c r="AW54" s="1">
        <v>1.8606078082267771E-5</v>
      </c>
      <c r="AX54" s="1">
        <v>1.8606078082267771E-5</v>
      </c>
      <c r="AY54" s="1">
        <v>1.8606078082267771E-5</v>
      </c>
      <c r="AZ54" s="1">
        <v>1.8606078082267771E-5</v>
      </c>
      <c r="BA54" s="1">
        <v>1.8606078082267771E-5</v>
      </c>
      <c r="BB54" s="1">
        <v>1.8606078082267771E-5</v>
      </c>
      <c r="BC54" s="1">
        <v>1.8606078082267771E-5</v>
      </c>
      <c r="BD54" s="1">
        <v>1.8606078082267771E-5</v>
      </c>
      <c r="BE54" s="1">
        <v>1.8606078082267771E-5</v>
      </c>
      <c r="BF54" s="1">
        <v>1.8606078082267771E-5</v>
      </c>
      <c r="BG54" s="1">
        <v>1.8606078082267771E-5</v>
      </c>
      <c r="BH54" s="1">
        <v>1.8606078082267771E-5</v>
      </c>
      <c r="BI54" s="1">
        <v>1.8606078082267771E-5</v>
      </c>
      <c r="BJ54" s="1">
        <v>1.8606078082267771E-5</v>
      </c>
      <c r="BK54" s="1">
        <v>1.8606078082267771E-5</v>
      </c>
      <c r="BL54" s="1">
        <v>1.8606078082267771E-5</v>
      </c>
      <c r="BM54" s="1">
        <v>1.8606078082267771E-5</v>
      </c>
      <c r="BN54" s="1">
        <v>1.8606078082267771E-5</v>
      </c>
      <c r="BO54" s="1">
        <v>1.8606078082267771E-5</v>
      </c>
      <c r="BP54" s="1">
        <v>1.8606078082267771E-5</v>
      </c>
      <c r="BQ54" s="1">
        <v>1.8606078082267771E-5</v>
      </c>
      <c r="BR54" s="1">
        <v>1.8606078082267771E-5</v>
      </c>
      <c r="BS54" s="1">
        <v>1.8606078082267771E-5</v>
      </c>
      <c r="BT54" s="1">
        <v>1.8606078082267771E-5</v>
      </c>
      <c r="BU54" s="1">
        <v>1.8606078082267771E-5</v>
      </c>
      <c r="BV54" s="1">
        <v>1.8606078082267771E-5</v>
      </c>
      <c r="BW54" s="1">
        <v>1.8606078082267771E-5</v>
      </c>
      <c r="BX54" s="1">
        <v>1.8606078082267771E-5</v>
      </c>
      <c r="BY54" s="1">
        <v>1.8606078082267771E-5</v>
      </c>
      <c r="BZ54" s="1">
        <v>1.8606078082267771E-5</v>
      </c>
      <c r="CA54" s="1">
        <v>1.8606078082267771E-5</v>
      </c>
      <c r="CB54" s="1">
        <v>1.8606078082267771E-5</v>
      </c>
      <c r="CC54" s="1">
        <v>1.8606078082267771E-5</v>
      </c>
    </row>
    <row r="55" spans="1:81" x14ac:dyDescent="0.75">
      <c r="A55" t="s">
        <v>53</v>
      </c>
      <c r="B55">
        <v>1.4875677808514538E-5</v>
      </c>
      <c r="C55">
        <v>2.2748070667843274E-5</v>
      </c>
      <c r="D55">
        <v>1.8698124848415443E-5</v>
      </c>
      <c r="E55" s="1">
        <v>1.5687286178294519E-5</v>
      </c>
      <c r="F55" s="1">
        <v>1.4565284734228718E-5</v>
      </c>
      <c r="G55" s="1">
        <v>1.3830875817464345E-5</v>
      </c>
      <c r="H55" s="1">
        <v>1.354613210597504E-5</v>
      </c>
      <c r="I55" s="1">
        <v>1.3419286430636858E-5</v>
      </c>
      <c r="J55" s="1">
        <v>1.3469743693032828E-5</v>
      </c>
      <c r="K55" s="1">
        <v>1.3466771387460951E-5</v>
      </c>
      <c r="L55" s="1">
        <v>1.3635239701454592E-5</v>
      </c>
      <c r="M55" s="1">
        <v>1.3976404244392019E-5</v>
      </c>
      <c r="N55" s="1">
        <v>1.4105303187435821E-5</v>
      </c>
      <c r="O55" s="1">
        <v>1.4408978309869138E-5</v>
      </c>
      <c r="P55" s="1">
        <v>1.4503749437996052E-5</v>
      </c>
      <c r="Q55" s="1">
        <v>1.4449690709975684E-5</v>
      </c>
      <c r="R55" s="1">
        <v>1.4635374591551909E-5</v>
      </c>
      <c r="S55" s="1">
        <v>1.4746671864526351E-5</v>
      </c>
      <c r="T55" s="1">
        <v>1.4874437649742661E-5</v>
      </c>
      <c r="U55" s="1">
        <v>1.503607428788746E-5</v>
      </c>
      <c r="V55" s="1">
        <v>1.5068043231039366E-5</v>
      </c>
      <c r="W55" s="1">
        <v>1.5052366365066899E-5</v>
      </c>
      <c r="X55" s="1">
        <v>1.5206803773508139E-5</v>
      </c>
      <c r="Y55" s="1">
        <v>1.5280464546377487E-5</v>
      </c>
      <c r="Z55" s="1">
        <v>1.5498402731045645E-5</v>
      </c>
      <c r="AA55" s="1">
        <v>1.5858767590683089E-5</v>
      </c>
      <c r="AB55" s="1">
        <v>1.582444299787279E-5</v>
      </c>
      <c r="AC55" s="1">
        <v>1.5912210792350581E-5</v>
      </c>
      <c r="AD55" s="1">
        <v>1.6052665839596676E-5</v>
      </c>
      <c r="AE55" s="1">
        <v>1.6255146613612963E-5</v>
      </c>
      <c r="AF55" s="1">
        <v>1.6255146613612963E-5</v>
      </c>
      <c r="AG55" s="1">
        <v>1.6255146613612963E-5</v>
      </c>
      <c r="AH55" s="1">
        <v>1.6255146613612963E-5</v>
      </c>
      <c r="AI55" s="1">
        <v>1.6255146613612963E-5</v>
      </c>
      <c r="AJ55" s="1">
        <v>1.6255146613612963E-5</v>
      </c>
      <c r="AK55" s="1">
        <v>1.6255146613612963E-5</v>
      </c>
      <c r="AL55" s="1">
        <v>1.6255146613612963E-5</v>
      </c>
      <c r="AM55" s="1">
        <v>1.6255146613612963E-5</v>
      </c>
      <c r="AN55" s="1">
        <v>1.6255146613612963E-5</v>
      </c>
      <c r="AO55" s="1">
        <v>1.6255146613612963E-5</v>
      </c>
      <c r="AP55" s="1">
        <v>1.6255146613612963E-5</v>
      </c>
      <c r="AQ55" s="1">
        <v>1.6255146613612963E-5</v>
      </c>
      <c r="AR55" s="1">
        <v>1.6255146613612963E-5</v>
      </c>
      <c r="AS55" s="1">
        <v>1.6255146613612963E-5</v>
      </c>
      <c r="AT55" s="1">
        <v>1.6255146613612963E-5</v>
      </c>
      <c r="AU55" s="1">
        <v>1.6255146613612963E-5</v>
      </c>
      <c r="AV55" s="1">
        <v>1.6255146613612963E-5</v>
      </c>
      <c r="AW55" s="1">
        <v>1.6255146613612963E-5</v>
      </c>
      <c r="AX55" s="1">
        <v>1.6255146613612963E-5</v>
      </c>
      <c r="AY55" s="1">
        <v>1.6255146613612963E-5</v>
      </c>
      <c r="AZ55" s="1">
        <v>1.6255146613612963E-5</v>
      </c>
      <c r="BA55" s="1">
        <v>1.6255146613612963E-5</v>
      </c>
      <c r="BB55" s="1">
        <v>1.6255146613612963E-5</v>
      </c>
      <c r="BC55" s="1">
        <v>1.6255146613612963E-5</v>
      </c>
      <c r="BD55" s="1">
        <v>1.6255146613612963E-5</v>
      </c>
      <c r="BE55" s="1">
        <v>1.6255146613612963E-5</v>
      </c>
      <c r="BF55" s="1">
        <v>1.6255146613612963E-5</v>
      </c>
      <c r="BG55" s="1">
        <v>1.6255146613612963E-5</v>
      </c>
      <c r="BH55" s="1">
        <v>1.6255146613612963E-5</v>
      </c>
      <c r="BI55" s="1">
        <v>1.6255146613612963E-5</v>
      </c>
      <c r="BJ55" s="1">
        <v>1.6255146613612963E-5</v>
      </c>
      <c r="BK55" s="1">
        <v>1.6255146613612963E-5</v>
      </c>
      <c r="BL55" s="1">
        <v>1.6255146613612963E-5</v>
      </c>
      <c r="BM55" s="1">
        <v>1.6255146613612963E-5</v>
      </c>
      <c r="BN55" s="1">
        <v>1.6255146613612963E-5</v>
      </c>
      <c r="BO55" s="1">
        <v>1.6255146613612963E-5</v>
      </c>
      <c r="BP55" s="1">
        <v>1.6255146613612963E-5</v>
      </c>
      <c r="BQ55" s="1">
        <v>1.6255146613612963E-5</v>
      </c>
      <c r="BR55" s="1">
        <v>1.6255146613612963E-5</v>
      </c>
      <c r="BS55" s="1">
        <v>1.6255146613612963E-5</v>
      </c>
      <c r="BT55" s="1">
        <v>1.6255146613612963E-5</v>
      </c>
      <c r="BU55" s="1">
        <v>1.6255146613612963E-5</v>
      </c>
      <c r="BV55" s="1">
        <v>1.6255146613612963E-5</v>
      </c>
      <c r="BW55" s="1">
        <v>1.6255146613612963E-5</v>
      </c>
      <c r="BX55" s="1">
        <v>1.6255146613612963E-5</v>
      </c>
      <c r="BY55" s="1">
        <v>1.6255146613612963E-5</v>
      </c>
      <c r="BZ55" s="1">
        <v>1.6255146613612963E-5</v>
      </c>
      <c r="CA55" s="1">
        <v>1.6255146613612963E-5</v>
      </c>
      <c r="CB55" s="1">
        <v>1.6255146613612963E-5</v>
      </c>
      <c r="CC55" s="1">
        <v>1.6255146613612963E-5</v>
      </c>
    </row>
    <row r="56" spans="1:81" x14ac:dyDescent="0.75">
      <c r="A56" t="s">
        <v>54</v>
      </c>
      <c r="B56">
        <v>1.486854318519487E-5</v>
      </c>
      <c r="C56">
        <v>2.2737160313535158E-5</v>
      </c>
      <c r="D56">
        <v>1.8651004283998972E-5</v>
      </c>
      <c r="E56" s="1">
        <v>1.5700334565053882E-5</v>
      </c>
      <c r="F56" s="1">
        <v>1.4554993346776052E-5</v>
      </c>
      <c r="G56" s="1">
        <v>1.4515316492159314E-5</v>
      </c>
      <c r="H56" s="1">
        <v>1.4918281967230933E-5</v>
      </c>
      <c r="I56" s="1">
        <v>1.5530821831362927E-5</v>
      </c>
      <c r="J56" s="1">
        <v>1.6244891688081566E-5</v>
      </c>
      <c r="K56" s="1">
        <v>1.6913378960824878E-5</v>
      </c>
      <c r="L56" s="1">
        <v>1.7174978565161122E-5</v>
      </c>
      <c r="M56" s="1">
        <v>1.7033848422223248E-5</v>
      </c>
      <c r="N56" s="1">
        <v>1.7173340951363896E-5</v>
      </c>
      <c r="O56" s="1">
        <v>1.750315623267918E-5</v>
      </c>
      <c r="P56" s="1">
        <v>1.7657066654063901E-5</v>
      </c>
      <c r="Q56" s="1">
        <v>1.7641794883950171E-5</v>
      </c>
      <c r="R56" s="1">
        <v>1.7839296731119859E-5</v>
      </c>
      <c r="S56" s="1">
        <v>1.7976658277317654E-5</v>
      </c>
      <c r="T56" s="1">
        <v>1.8141980901564998E-5</v>
      </c>
      <c r="U56" s="1">
        <v>1.8288439302045301E-5</v>
      </c>
      <c r="V56" s="1">
        <v>1.8361558591334262E-5</v>
      </c>
      <c r="W56" s="1">
        <v>1.8333500763006845E-5</v>
      </c>
      <c r="X56" s="1">
        <v>1.8500086035711896E-5</v>
      </c>
      <c r="Y56" s="1">
        <v>1.8607858449537394E-5</v>
      </c>
      <c r="Z56" s="1">
        <v>1.8818157918719237E-5</v>
      </c>
      <c r="AA56" s="1">
        <v>1.9117883350987443E-5</v>
      </c>
      <c r="AB56" s="1">
        <v>1.9132114686336195E-5</v>
      </c>
      <c r="AC56" s="1">
        <v>1.9222512058998278E-5</v>
      </c>
      <c r="AD56" s="1">
        <v>1.9377499449964501E-5</v>
      </c>
      <c r="AE56" s="1">
        <v>1.959980466348688E-5</v>
      </c>
      <c r="AF56" s="1">
        <v>1.959980466348688E-5</v>
      </c>
      <c r="AG56" s="1">
        <v>1.959980466348688E-5</v>
      </c>
      <c r="AH56" s="1">
        <v>1.959980466348688E-5</v>
      </c>
      <c r="AI56" s="1">
        <v>1.959980466348688E-5</v>
      </c>
      <c r="AJ56" s="1">
        <v>1.959980466348688E-5</v>
      </c>
      <c r="AK56" s="1">
        <v>1.959980466348688E-5</v>
      </c>
      <c r="AL56" s="1">
        <v>1.959980466348688E-5</v>
      </c>
      <c r="AM56" s="1">
        <v>1.959980466348688E-5</v>
      </c>
      <c r="AN56" s="1">
        <v>1.959980466348688E-5</v>
      </c>
      <c r="AO56" s="1">
        <v>1.959980466348688E-5</v>
      </c>
      <c r="AP56" s="1">
        <v>1.959980466348688E-5</v>
      </c>
      <c r="AQ56" s="1">
        <v>1.959980466348688E-5</v>
      </c>
      <c r="AR56" s="1">
        <v>1.959980466348688E-5</v>
      </c>
      <c r="AS56" s="1">
        <v>1.959980466348688E-5</v>
      </c>
      <c r="AT56" s="1">
        <v>1.959980466348688E-5</v>
      </c>
      <c r="AU56" s="1">
        <v>1.959980466348688E-5</v>
      </c>
      <c r="AV56" s="1">
        <v>1.959980466348688E-5</v>
      </c>
      <c r="AW56" s="1">
        <v>1.959980466348688E-5</v>
      </c>
      <c r="AX56" s="1">
        <v>1.959980466348688E-5</v>
      </c>
      <c r="AY56" s="1">
        <v>1.959980466348688E-5</v>
      </c>
      <c r="AZ56" s="1">
        <v>1.959980466348688E-5</v>
      </c>
      <c r="BA56" s="1">
        <v>1.959980466348688E-5</v>
      </c>
      <c r="BB56" s="1">
        <v>1.959980466348688E-5</v>
      </c>
      <c r="BC56" s="1">
        <v>1.959980466348688E-5</v>
      </c>
      <c r="BD56" s="1">
        <v>1.959980466348688E-5</v>
      </c>
      <c r="BE56" s="1">
        <v>1.959980466348688E-5</v>
      </c>
      <c r="BF56" s="1">
        <v>1.959980466348688E-5</v>
      </c>
      <c r="BG56" s="1">
        <v>1.959980466348688E-5</v>
      </c>
      <c r="BH56" s="1">
        <v>1.959980466348688E-5</v>
      </c>
      <c r="BI56" s="1">
        <v>1.959980466348688E-5</v>
      </c>
      <c r="BJ56" s="1">
        <v>1.959980466348688E-5</v>
      </c>
      <c r="BK56" s="1">
        <v>1.959980466348688E-5</v>
      </c>
      <c r="BL56" s="1">
        <v>1.959980466348688E-5</v>
      </c>
      <c r="BM56" s="1">
        <v>1.959980466348688E-5</v>
      </c>
      <c r="BN56" s="1">
        <v>1.959980466348688E-5</v>
      </c>
      <c r="BO56" s="1">
        <v>1.959980466348688E-5</v>
      </c>
      <c r="BP56" s="1">
        <v>1.959980466348688E-5</v>
      </c>
      <c r="BQ56" s="1">
        <v>1.959980466348688E-5</v>
      </c>
      <c r="BR56" s="1">
        <v>1.959980466348688E-5</v>
      </c>
      <c r="BS56" s="1">
        <v>1.959980466348688E-5</v>
      </c>
      <c r="BT56" s="1">
        <v>1.959980466348688E-5</v>
      </c>
      <c r="BU56" s="1">
        <v>1.959980466348688E-5</v>
      </c>
      <c r="BV56" s="1">
        <v>1.959980466348688E-5</v>
      </c>
      <c r="BW56" s="1">
        <v>1.959980466348688E-5</v>
      </c>
      <c r="BX56" s="1">
        <v>1.959980466348688E-5</v>
      </c>
      <c r="BY56" s="1">
        <v>1.959980466348688E-5</v>
      </c>
      <c r="BZ56" s="1">
        <v>1.959980466348688E-5</v>
      </c>
      <c r="CA56" s="1">
        <v>1.959980466348688E-5</v>
      </c>
      <c r="CB56" s="1">
        <v>1.959980466348688E-5</v>
      </c>
      <c r="CC56" s="1">
        <v>1.959980466348688E-5</v>
      </c>
    </row>
    <row r="57" spans="1:81" x14ac:dyDescent="0.75">
      <c r="A57" t="s">
        <v>55</v>
      </c>
      <c r="B57">
        <v>1.4877486883364912E-5</v>
      </c>
      <c r="C57">
        <v>2.2750837127501078E-5</v>
      </c>
      <c r="D57">
        <v>1.8739330058129988E-5</v>
      </c>
      <c r="E57" s="1">
        <v>1.5730076369581703E-5</v>
      </c>
      <c r="F57" s="1">
        <v>1.4608064022308588E-5</v>
      </c>
      <c r="G57" s="1">
        <v>1.3884970423995965E-5</v>
      </c>
      <c r="H57" s="1">
        <v>1.3594642113846302E-5</v>
      </c>
      <c r="I57" s="1">
        <v>1.3503894609841421E-5</v>
      </c>
      <c r="J57" s="1">
        <v>1.3505738906502374E-5</v>
      </c>
      <c r="K57" s="1">
        <v>1.3457338237110519E-5</v>
      </c>
      <c r="L57" s="1">
        <v>1.370231247925585E-5</v>
      </c>
      <c r="M57" s="1">
        <v>1.3558334553937865E-5</v>
      </c>
      <c r="N57" s="1">
        <v>1.3680311060703609E-5</v>
      </c>
      <c r="O57" s="1">
        <v>1.3986113486304824E-5</v>
      </c>
      <c r="P57" s="1">
        <v>1.4263723441041648E-5</v>
      </c>
      <c r="Q57" s="1">
        <v>1.4266387931153384E-5</v>
      </c>
      <c r="R57" s="1">
        <v>1.445028931556231E-5</v>
      </c>
      <c r="S57" s="1">
        <v>1.4571117072938192E-5</v>
      </c>
      <c r="T57" s="1">
        <v>1.4713863695197982E-5</v>
      </c>
      <c r="U57" s="1">
        <v>1.4850432763500835E-5</v>
      </c>
      <c r="V57" s="1">
        <v>1.4911283349545872E-5</v>
      </c>
      <c r="W57" s="1">
        <v>1.4880947534059944E-5</v>
      </c>
      <c r="X57" s="1">
        <v>1.5041256251180467E-5</v>
      </c>
      <c r="Y57" s="1">
        <v>1.5149396364597265E-5</v>
      </c>
      <c r="Z57" s="1">
        <v>1.5346135590663705E-5</v>
      </c>
      <c r="AA57" s="1">
        <v>1.5626747951021684E-5</v>
      </c>
      <c r="AB57" s="1">
        <v>1.5629940816614636E-5</v>
      </c>
      <c r="AC57" s="1">
        <v>1.5711930068437321E-5</v>
      </c>
      <c r="AD57" s="1">
        <v>1.5882643750316645E-5</v>
      </c>
      <c r="AE57" s="1">
        <v>1.6090250366024303E-5</v>
      </c>
      <c r="AF57" s="1">
        <v>1.6090250366024303E-5</v>
      </c>
      <c r="AG57" s="1">
        <v>1.6090250366024303E-5</v>
      </c>
      <c r="AH57" s="1">
        <v>1.6090250366024303E-5</v>
      </c>
      <c r="AI57" s="1">
        <v>1.6090250366024303E-5</v>
      </c>
      <c r="AJ57" s="1">
        <v>1.6090250366024303E-5</v>
      </c>
      <c r="AK57" s="1">
        <v>1.6090250366024303E-5</v>
      </c>
      <c r="AL57" s="1">
        <v>1.6090250366024303E-5</v>
      </c>
      <c r="AM57" s="1">
        <v>1.6090250366024303E-5</v>
      </c>
      <c r="AN57" s="1">
        <v>1.6090250366024303E-5</v>
      </c>
      <c r="AO57" s="1">
        <v>1.6090250366024303E-5</v>
      </c>
      <c r="AP57" s="1">
        <v>1.6090250366024303E-5</v>
      </c>
      <c r="AQ57" s="1">
        <v>1.6090250366024303E-5</v>
      </c>
      <c r="AR57" s="1">
        <v>1.6090250366024303E-5</v>
      </c>
      <c r="AS57" s="1">
        <v>1.6090250366024303E-5</v>
      </c>
      <c r="AT57" s="1">
        <v>1.6090250366024303E-5</v>
      </c>
      <c r="AU57" s="1">
        <v>1.6090250366024303E-5</v>
      </c>
      <c r="AV57" s="1">
        <v>1.6090250366024303E-5</v>
      </c>
      <c r="AW57" s="1">
        <v>1.6090250366024303E-5</v>
      </c>
      <c r="AX57" s="1">
        <v>1.6090250366024303E-5</v>
      </c>
      <c r="AY57" s="1">
        <v>1.6090250366024303E-5</v>
      </c>
      <c r="AZ57" s="1">
        <v>1.6090250366024303E-5</v>
      </c>
      <c r="BA57" s="1">
        <v>1.6090250366024303E-5</v>
      </c>
      <c r="BB57" s="1">
        <v>1.6090250366024303E-5</v>
      </c>
      <c r="BC57" s="1">
        <v>1.6090250366024303E-5</v>
      </c>
      <c r="BD57" s="1">
        <v>1.6090250366024303E-5</v>
      </c>
      <c r="BE57" s="1">
        <v>1.6090250366024303E-5</v>
      </c>
      <c r="BF57" s="1">
        <v>1.6090250366024303E-5</v>
      </c>
      <c r="BG57" s="1">
        <v>1.6090250366024303E-5</v>
      </c>
      <c r="BH57" s="1">
        <v>1.6090250366024303E-5</v>
      </c>
      <c r="BI57" s="1">
        <v>1.6090250366024303E-5</v>
      </c>
      <c r="BJ57" s="1">
        <v>1.6090250366024303E-5</v>
      </c>
      <c r="BK57" s="1">
        <v>1.6090250366024303E-5</v>
      </c>
      <c r="BL57" s="1">
        <v>1.6090250366024303E-5</v>
      </c>
      <c r="BM57" s="1">
        <v>1.6090250366024303E-5</v>
      </c>
      <c r="BN57" s="1">
        <v>1.6090250366024303E-5</v>
      </c>
      <c r="BO57" s="1">
        <v>1.6090250366024303E-5</v>
      </c>
      <c r="BP57" s="1">
        <v>1.6090250366024303E-5</v>
      </c>
      <c r="BQ57" s="1">
        <v>1.6090250366024303E-5</v>
      </c>
      <c r="BR57" s="1">
        <v>1.6090250366024303E-5</v>
      </c>
      <c r="BS57" s="1">
        <v>1.6090250366024303E-5</v>
      </c>
      <c r="BT57" s="1">
        <v>1.6090250366024303E-5</v>
      </c>
      <c r="BU57" s="1">
        <v>1.6090250366024303E-5</v>
      </c>
      <c r="BV57" s="1">
        <v>1.6090250366024303E-5</v>
      </c>
      <c r="BW57" s="1">
        <v>1.6090250366024303E-5</v>
      </c>
      <c r="BX57" s="1">
        <v>1.6090250366024303E-5</v>
      </c>
      <c r="BY57" s="1">
        <v>1.6090250366024303E-5</v>
      </c>
      <c r="BZ57" s="1">
        <v>1.6090250366024303E-5</v>
      </c>
      <c r="CA57" s="1">
        <v>1.6090250366024303E-5</v>
      </c>
      <c r="CB57" s="1">
        <v>1.6090250366024303E-5</v>
      </c>
      <c r="CC57" s="1">
        <v>1.6090250366024303E-5</v>
      </c>
    </row>
    <row r="58" spans="1:81" x14ac:dyDescent="0.75">
      <c r="A58" t="s">
        <v>56</v>
      </c>
      <c r="B58">
        <v>1.4845257252990646E-5</v>
      </c>
      <c r="C58">
        <v>2.2701551177725221E-5</v>
      </c>
      <c r="D58">
        <v>1.8639037778823949E-5</v>
      </c>
      <c r="E58" s="1">
        <v>1.5660341110812948E-5</v>
      </c>
      <c r="F58" s="1">
        <v>1.4544990650446322E-5</v>
      </c>
      <c r="G58" s="1">
        <v>1.3802030299564086E-5</v>
      </c>
      <c r="H58" s="1">
        <v>1.3493823521257097E-5</v>
      </c>
      <c r="I58" s="1">
        <v>1.3386155039504388E-5</v>
      </c>
      <c r="J58" s="1">
        <v>1.3367414134414437E-5</v>
      </c>
      <c r="K58" s="1">
        <v>1.3296103189813827E-5</v>
      </c>
      <c r="L58" s="1">
        <v>1.3543005292206493E-5</v>
      </c>
      <c r="M58" s="1">
        <v>1.3388442913572888E-5</v>
      </c>
      <c r="N58" s="1">
        <v>1.3517676301944264E-5</v>
      </c>
      <c r="O58" s="1">
        <v>1.3825760094192987E-5</v>
      </c>
      <c r="P58" s="1">
        <v>1.3942640207230155E-5</v>
      </c>
      <c r="Q58" s="1">
        <v>1.3922394168475102E-5</v>
      </c>
      <c r="R58" s="1">
        <v>1.4111088469952483E-5</v>
      </c>
      <c r="S58" s="1">
        <v>1.4230055720269828E-5</v>
      </c>
      <c r="T58" s="1">
        <v>1.4368650387118311E-5</v>
      </c>
      <c r="U58" s="1">
        <v>1.4505657432521857E-5</v>
      </c>
      <c r="V58" s="1">
        <v>1.4568832614120587E-5</v>
      </c>
      <c r="W58" s="1">
        <v>1.454183482202267E-5</v>
      </c>
      <c r="X58" s="1">
        <v>1.4706445406263144E-5</v>
      </c>
      <c r="Y58" s="1">
        <v>1.4825219734766291E-5</v>
      </c>
      <c r="Z58" s="1">
        <v>1.5022896427011773E-5</v>
      </c>
      <c r="AA58" s="1">
        <v>1.5301326912415525E-5</v>
      </c>
      <c r="AB58" s="1">
        <v>1.530394801183988E-5</v>
      </c>
      <c r="AC58" s="1">
        <v>1.5388639024002265E-5</v>
      </c>
      <c r="AD58" s="1">
        <v>1.5534915701206566E-5</v>
      </c>
      <c r="AE58" s="1">
        <v>1.5747600728041452E-5</v>
      </c>
      <c r="AF58" s="1">
        <v>1.5747600728041452E-5</v>
      </c>
      <c r="AG58" s="1">
        <v>1.5747600728041452E-5</v>
      </c>
      <c r="AH58" s="1">
        <v>1.5747600728041452E-5</v>
      </c>
      <c r="AI58" s="1">
        <v>1.5747600728041452E-5</v>
      </c>
      <c r="AJ58" s="1">
        <v>1.5747600728041452E-5</v>
      </c>
      <c r="AK58" s="1">
        <v>1.5747600728041452E-5</v>
      </c>
      <c r="AL58" s="1">
        <v>1.5747600728041452E-5</v>
      </c>
      <c r="AM58" s="1">
        <v>1.5747600728041452E-5</v>
      </c>
      <c r="AN58" s="1">
        <v>1.5747600728041452E-5</v>
      </c>
      <c r="AO58" s="1">
        <v>1.5747600728041452E-5</v>
      </c>
      <c r="AP58" s="1">
        <v>1.5747600728041452E-5</v>
      </c>
      <c r="AQ58" s="1">
        <v>1.5747600728041452E-5</v>
      </c>
      <c r="AR58" s="1">
        <v>1.5747600728041452E-5</v>
      </c>
      <c r="AS58" s="1">
        <v>1.5747600728041452E-5</v>
      </c>
      <c r="AT58" s="1">
        <v>1.5747600728041452E-5</v>
      </c>
      <c r="AU58" s="1">
        <v>1.5747600728041452E-5</v>
      </c>
      <c r="AV58" s="1">
        <v>1.5747600728041452E-5</v>
      </c>
      <c r="AW58" s="1">
        <v>1.5747600728041452E-5</v>
      </c>
      <c r="AX58" s="1">
        <v>1.5747600728041452E-5</v>
      </c>
      <c r="AY58" s="1">
        <v>1.5747600728041452E-5</v>
      </c>
      <c r="AZ58" s="1">
        <v>1.5747600728041452E-5</v>
      </c>
      <c r="BA58" s="1">
        <v>1.5747600728041452E-5</v>
      </c>
      <c r="BB58" s="1">
        <v>1.5747600728041452E-5</v>
      </c>
      <c r="BC58" s="1">
        <v>1.5747600728041452E-5</v>
      </c>
      <c r="BD58" s="1">
        <v>1.5747600728041452E-5</v>
      </c>
      <c r="BE58" s="1">
        <v>1.5747600728041452E-5</v>
      </c>
      <c r="BF58" s="1">
        <v>1.5747600728041452E-5</v>
      </c>
      <c r="BG58" s="1">
        <v>1.5747600728041452E-5</v>
      </c>
      <c r="BH58" s="1">
        <v>1.5747600728041452E-5</v>
      </c>
      <c r="BI58" s="1">
        <v>1.5747600728041452E-5</v>
      </c>
      <c r="BJ58" s="1">
        <v>1.5747600728041452E-5</v>
      </c>
      <c r="BK58" s="1">
        <v>1.5747600728041452E-5</v>
      </c>
      <c r="BL58" s="1">
        <v>1.5747600728041452E-5</v>
      </c>
      <c r="BM58" s="1">
        <v>1.5747600728041452E-5</v>
      </c>
      <c r="BN58" s="1">
        <v>1.5747600728041452E-5</v>
      </c>
      <c r="BO58" s="1">
        <v>1.5747600728041452E-5</v>
      </c>
      <c r="BP58" s="1">
        <v>1.5747600728041452E-5</v>
      </c>
      <c r="BQ58" s="1">
        <v>1.5747600728041452E-5</v>
      </c>
      <c r="BR58" s="1">
        <v>1.5747600728041452E-5</v>
      </c>
      <c r="BS58" s="1">
        <v>1.5747600728041452E-5</v>
      </c>
      <c r="BT58" s="1">
        <v>1.5747600728041452E-5</v>
      </c>
      <c r="BU58" s="1">
        <v>1.5747600728041452E-5</v>
      </c>
      <c r="BV58" s="1">
        <v>1.5747600728041452E-5</v>
      </c>
      <c r="BW58" s="1">
        <v>1.5747600728041452E-5</v>
      </c>
      <c r="BX58" s="1">
        <v>1.5747600728041452E-5</v>
      </c>
      <c r="BY58" s="1">
        <v>1.5747600728041452E-5</v>
      </c>
      <c r="BZ58" s="1">
        <v>1.5747600728041452E-5</v>
      </c>
      <c r="CA58" s="1">
        <v>1.5747600728041452E-5</v>
      </c>
      <c r="CB58" s="1">
        <v>1.5747600728041452E-5</v>
      </c>
      <c r="CC58" s="1">
        <v>1.5747600728041452E-5</v>
      </c>
    </row>
    <row r="59" spans="1:81" x14ac:dyDescent="0.75">
      <c r="A59" t="s">
        <v>57</v>
      </c>
      <c r="B59">
        <v>1.4875677808514538E-5</v>
      </c>
      <c r="C59">
        <v>2.2748070667843274E-5</v>
      </c>
      <c r="D59">
        <v>1.8698124848415443E-5</v>
      </c>
      <c r="E59" s="1">
        <v>1.6572253359926162E-5</v>
      </c>
      <c r="F59" s="1">
        <v>1.5784011627603834E-5</v>
      </c>
      <c r="G59" s="1">
        <v>1.4995769895281509E-5</v>
      </c>
      <c r="H59" s="1">
        <v>1.4207528162959184E-5</v>
      </c>
      <c r="I59" s="1">
        <v>1.3419286430636858E-5</v>
      </c>
      <c r="J59" s="1">
        <v>1.3469743693032828E-5</v>
      </c>
      <c r="K59" s="1">
        <v>1.3466771387460951E-5</v>
      </c>
      <c r="L59" s="1">
        <v>1.3635239701454592E-5</v>
      </c>
      <c r="M59" s="1">
        <v>1.3976404244392019E-5</v>
      </c>
      <c r="N59" s="1">
        <v>1.4105303187435821E-5</v>
      </c>
      <c r="O59" s="1">
        <v>1.4408978309869138E-5</v>
      </c>
      <c r="P59" s="1">
        <v>1.4503749437996052E-5</v>
      </c>
      <c r="Q59" s="1">
        <v>1.4449690709975684E-5</v>
      </c>
      <c r="R59" s="1">
        <v>1.4635374591551909E-5</v>
      </c>
      <c r="S59" s="1">
        <v>1.4746671864526351E-5</v>
      </c>
      <c r="T59" s="1">
        <v>1.4874437649742661E-5</v>
      </c>
      <c r="U59" s="1">
        <v>1.503607428788746E-5</v>
      </c>
      <c r="V59" s="1">
        <v>1.5068043231039366E-5</v>
      </c>
      <c r="W59" s="1">
        <v>1.5052366365066899E-5</v>
      </c>
      <c r="X59" s="1">
        <v>1.5206803773508139E-5</v>
      </c>
      <c r="Y59" s="1">
        <v>1.5280464546377487E-5</v>
      </c>
      <c r="Z59" s="1">
        <v>1.5498402731045645E-5</v>
      </c>
      <c r="AA59" s="1">
        <v>1.5858767590683089E-5</v>
      </c>
      <c r="AB59" s="1">
        <v>1.582444299787279E-5</v>
      </c>
      <c r="AC59" s="1">
        <v>1.5912210792350581E-5</v>
      </c>
      <c r="AD59" s="1">
        <v>1.6052665839596676E-5</v>
      </c>
      <c r="AE59" s="1">
        <v>1.6255146613612963E-5</v>
      </c>
      <c r="AF59" s="1">
        <v>1.6255146613612963E-5</v>
      </c>
      <c r="AG59" s="1">
        <v>1.6255146613612963E-5</v>
      </c>
      <c r="AH59" s="1">
        <v>1.6255146613612963E-5</v>
      </c>
      <c r="AI59" s="1">
        <v>1.6255146613612963E-5</v>
      </c>
      <c r="AJ59" s="1">
        <v>1.6255146613612963E-5</v>
      </c>
      <c r="AK59" s="1">
        <v>1.6255146613612963E-5</v>
      </c>
      <c r="AL59" s="1">
        <v>1.6255146613612963E-5</v>
      </c>
      <c r="AM59" s="1">
        <v>1.6255146613612963E-5</v>
      </c>
      <c r="AN59" s="1">
        <v>1.6255146613612963E-5</v>
      </c>
      <c r="AO59" s="1">
        <v>1.6255146613612963E-5</v>
      </c>
      <c r="AP59" s="1">
        <v>1.6255146613612963E-5</v>
      </c>
      <c r="AQ59" s="1">
        <v>1.6255146613612963E-5</v>
      </c>
      <c r="AR59" s="1">
        <v>1.6255146613612963E-5</v>
      </c>
      <c r="AS59" s="1">
        <v>1.6255146613612963E-5</v>
      </c>
      <c r="AT59" s="1">
        <v>1.6255146613612963E-5</v>
      </c>
      <c r="AU59" s="1">
        <v>1.6255146613612963E-5</v>
      </c>
      <c r="AV59" s="1">
        <v>1.6255146613612963E-5</v>
      </c>
      <c r="AW59" s="1">
        <v>1.6255146613612963E-5</v>
      </c>
      <c r="AX59" s="1">
        <v>1.6255146613612963E-5</v>
      </c>
      <c r="AY59" s="1">
        <v>1.6255146613612963E-5</v>
      </c>
      <c r="AZ59" s="1">
        <v>1.6255146613612963E-5</v>
      </c>
      <c r="BA59" s="1">
        <v>1.6255146613612963E-5</v>
      </c>
      <c r="BB59" s="1">
        <v>1.6255146613612963E-5</v>
      </c>
      <c r="BC59" s="1">
        <v>1.6255146613612963E-5</v>
      </c>
      <c r="BD59" s="1">
        <v>1.6255146613612963E-5</v>
      </c>
      <c r="BE59" s="1">
        <v>1.6255146613612963E-5</v>
      </c>
      <c r="BF59" s="1">
        <v>1.6255146613612963E-5</v>
      </c>
      <c r="BG59" s="1">
        <v>1.6255146613612963E-5</v>
      </c>
      <c r="BH59" s="1">
        <v>1.6255146613612963E-5</v>
      </c>
      <c r="BI59" s="1">
        <v>1.6255146613612963E-5</v>
      </c>
      <c r="BJ59" s="1">
        <v>1.6255146613612963E-5</v>
      </c>
      <c r="BK59" s="1">
        <v>1.6255146613612963E-5</v>
      </c>
      <c r="BL59" s="1">
        <v>1.6255146613612963E-5</v>
      </c>
      <c r="BM59" s="1">
        <v>1.6255146613612963E-5</v>
      </c>
      <c r="BN59" s="1">
        <v>1.6255146613612963E-5</v>
      </c>
      <c r="BO59" s="1">
        <v>1.6255146613612963E-5</v>
      </c>
      <c r="BP59" s="1">
        <v>1.6255146613612963E-5</v>
      </c>
      <c r="BQ59" s="1">
        <v>1.6255146613612963E-5</v>
      </c>
      <c r="BR59" s="1">
        <v>1.6255146613612963E-5</v>
      </c>
      <c r="BS59" s="1">
        <v>1.6255146613612963E-5</v>
      </c>
      <c r="BT59" s="1">
        <v>1.6255146613612963E-5</v>
      </c>
      <c r="BU59" s="1">
        <v>1.6255146613612963E-5</v>
      </c>
      <c r="BV59" s="1">
        <v>1.6255146613612963E-5</v>
      </c>
      <c r="BW59" s="1">
        <v>1.6255146613612963E-5</v>
      </c>
      <c r="BX59" s="1">
        <v>1.6255146613612963E-5</v>
      </c>
      <c r="BY59" s="1">
        <v>1.6255146613612963E-5</v>
      </c>
      <c r="BZ59" s="1">
        <v>1.6255146613612963E-5</v>
      </c>
      <c r="CA59" s="1">
        <v>1.6255146613612963E-5</v>
      </c>
      <c r="CB59" s="1">
        <v>1.6255146613612963E-5</v>
      </c>
      <c r="CC59" s="1">
        <v>1.6255146613612963E-5</v>
      </c>
    </row>
    <row r="60" spans="1:81" x14ac:dyDescent="0.75">
      <c r="A60" t="s">
        <v>58</v>
      </c>
      <c r="B60">
        <v>0</v>
      </c>
      <c r="C60">
        <v>0</v>
      </c>
      <c r="D60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</row>
    <row r="61" spans="1:81" x14ac:dyDescent="0.75">
      <c r="A61" t="s">
        <v>59</v>
      </c>
      <c r="B61">
        <v>1.4845257252990646E-5</v>
      </c>
      <c r="C61">
        <v>2.2701551177725221E-5</v>
      </c>
      <c r="D61">
        <v>1.8639037778823949E-5</v>
      </c>
      <c r="E61" s="1">
        <v>1.5660341110812948E-5</v>
      </c>
      <c r="F61" s="1">
        <v>1.4544990650446322E-5</v>
      </c>
      <c r="G61" s="1">
        <v>1.3802030299564086E-5</v>
      </c>
      <c r="H61" s="1">
        <v>1.3493823521257097E-5</v>
      </c>
      <c r="I61" s="1">
        <v>1.3386155039504388E-5</v>
      </c>
      <c r="J61" s="1">
        <v>1.3367414134414437E-5</v>
      </c>
      <c r="K61" s="1">
        <v>1.3296103189813827E-5</v>
      </c>
      <c r="L61" s="1">
        <v>1.3543005292206493E-5</v>
      </c>
      <c r="M61" s="1">
        <v>1.3388442913572888E-5</v>
      </c>
      <c r="N61" s="1">
        <v>1.3517676301944264E-5</v>
      </c>
      <c r="O61" s="1">
        <v>1.3825760094192987E-5</v>
      </c>
      <c r="P61" s="1">
        <v>1.3942640207230155E-5</v>
      </c>
      <c r="Q61" s="1">
        <v>1.3922394168475102E-5</v>
      </c>
      <c r="R61" s="1">
        <v>1.4111088469952483E-5</v>
      </c>
      <c r="S61" s="1">
        <v>1.4230055720269828E-5</v>
      </c>
      <c r="T61" s="1">
        <v>1.4368650387118311E-5</v>
      </c>
      <c r="U61" s="1">
        <v>1.4505657432521857E-5</v>
      </c>
      <c r="V61" s="1">
        <v>1.4568832614120587E-5</v>
      </c>
      <c r="W61" s="1">
        <v>1.454183482202267E-5</v>
      </c>
      <c r="X61" s="1">
        <v>1.4706445406263144E-5</v>
      </c>
      <c r="Y61" s="1">
        <v>1.4825219734766291E-5</v>
      </c>
      <c r="Z61" s="1">
        <v>1.5022896427011773E-5</v>
      </c>
      <c r="AA61" s="1">
        <v>1.5301326912415525E-5</v>
      </c>
      <c r="AB61" s="1">
        <v>1.530394801183988E-5</v>
      </c>
      <c r="AC61" s="1">
        <v>1.5388639024002265E-5</v>
      </c>
      <c r="AD61" s="1">
        <v>1.5534915701206566E-5</v>
      </c>
      <c r="AE61" s="1">
        <v>1.5747600728041452E-5</v>
      </c>
      <c r="AF61" s="1">
        <v>1.5747600728041452E-5</v>
      </c>
      <c r="AG61" s="1">
        <v>1.5747600728041452E-5</v>
      </c>
      <c r="AH61" s="1">
        <v>1.5747600728041452E-5</v>
      </c>
      <c r="AI61" s="1">
        <v>1.5747600728041452E-5</v>
      </c>
      <c r="AJ61" s="1">
        <v>1.5747600728041452E-5</v>
      </c>
      <c r="AK61" s="1">
        <v>1.5747600728041452E-5</v>
      </c>
      <c r="AL61" s="1">
        <v>1.5747600728041452E-5</v>
      </c>
      <c r="AM61" s="1">
        <v>1.5747600728041452E-5</v>
      </c>
      <c r="AN61" s="1">
        <v>1.5747600728041452E-5</v>
      </c>
      <c r="AO61" s="1">
        <v>1.5747600728041452E-5</v>
      </c>
      <c r="AP61" s="1">
        <v>1.5747600728041452E-5</v>
      </c>
      <c r="AQ61" s="1">
        <v>1.5747600728041452E-5</v>
      </c>
      <c r="AR61" s="1">
        <v>1.5747600728041452E-5</v>
      </c>
      <c r="AS61" s="1">
        <v>1.5747600728041452E-5</v>
      </c>
      <c r="AT61" s="1">
        <v>1.5747600728041452E-5</v>
      </c>
      <c r="AU61" s="1">
        <v>1.5747600728041452E-5</v>
      </c>
      <c r="AV61" s="1">
        <v>1.5747600728041452E-5</v>
      </c>
      <c r="AW61" s="1">
        <v>1.5747600728041452E-5</v>
      </c>
      <c r="AX61" s="1">
        <v>1.5747600728041452E-5</v>
      </c>
      <c r="AY61" s="1">
        <v>1.5747600728041452E-5</v>
      </c>
      <c r="AZ61" s="1">
        <v>1.5747600728041452E-5</v>
      </c>
      <c r="BA61" s="1">
        <v>1.5747600728041452E-5</v>
      </c>
      <c r="BB61" s="1">
        <v>1.5747600728041452E-5</v>
      </c>
      <c r="BC61" s="1">
        <v>1.5747600728041452E-5</v>
      </c>
      <c r="BD61" s="1">
        <v>1.5747600728041452E-5</v>
      </c>
      <c r="BE61" s="1">
        <v>1.5747600728041452E-5</v>
      </c>
      <c r="BF61" s="1">
        <v>1.5747600728041452E-5</v>
      </c>
      <c r="BG61" s="1">
        <v>1.5747600728041452E-5</v>
      </c>
      <c r="BH61" s="1">
        <v>1.5747600728041452E-5</v>
      </c>
      <c r="BI61" s="1">
        <v>1.5747600728041452E-5</v>
      </c>
      <c r="BJ61" s="1">
        <v>1.5747600728041452E-5</v>
      </c>
      <c r="BK61" s="1">
        <v>1.5747600728041452E-5</v>
      </c>
      <c r="BL61" s="1">
        <v>1.5747600728041452E-5</v>
      </c>
      <c r="BM61" s="1">
        <v>1.5747600728041452E-5</v>
      </c>
      <c r="BN61" s="1">
        <v>1.5747600728041452E-5</v>
      </c>
      <c r="BO61" s="1">
        <v>1.5747600728041452E-5</v>
      </c>
      <c r="BP61" s="1">
        <v>1.5747600728041452E-5</v>
      </c>
      <c r="BQ61" s="1">
        <v>1.5747600728041452E-5</v>
      </c>
      <c r="BR61" s="1">
        <v>1.5747600728041452E-5</v>
      </c>
      <c r="BS61" s="1">
        <v>1.5747600728041452E-5</v>
      </c>
      <c r="BT61" s="1">
        <v>1.5747600728041452E-5</v>
      </c>
      <c r="BU61" s="1">
        <v>1.5747600728041452E-5</v>
      </c>
      <c r="BV61" s="1">
        <v>1.5747600728041452E-5</v>
      </c>
      <c r="BW61" s="1">
        <v>1.5747600728041452E-5</v>
      </c>
      <c r="BX61" s="1">
        <v>1.5747600728041452E-5</v>
      </c>
      <c r="BY61" s="1">
        <v>1.5747600728041452E-5</v>
      </c>
      <c r="BZ61" s="1">
        <v>1.5747600728041452E-5</v>
      </c>
      <c r="CA61" s="1">
        <v>1.5747600728041452E-5</v>
      </c>
      <c r="CB61" s="1">
        <v>1.5747600728041452E-5</v>
      </c>
      <c r="CC61" s="1">
        <v>1.5747600728041452E-5</v>
      </c>
    </row>
    <row r="62" spans="1:81" s="3" customFormat="1" x14ac:dyDescent="0.75">
      <c r="A62" s="5" t="s">
        <v>36</v>
      </c>
    </row>
    <row r="63" spans="1:81" x14ac:dyDescent="0.75">
      <c r="A63" t="s">
        <v>30</v>
      </c>
      <c r="B63">
        <v>2021</v>
      </c>
      <c r="C63">
        <v>2022</v>
      </c>
      <c r="D63">
        <v>2023</v>
      </c>
      <c r="E63">
        <v>2024</v>
      </c>
      <c r="F63">
        <v>2025</v>
      </c>
      <c r="G63">
        <v>2026</v>
      </c>
      <c r="H63">
        <v>2027</v>
      </c>
      <c r="I63">
        <v>2028</v>
      </c>
      <c r="J63">
        <v>2029</v>
      </c>
      <c r="K63">
        <v>2030</v>
      </c>
      <c r="L63">
        <v>2031</v>
      </c>
      <c r="M63">
        <v>2032</v>
      </c>
      <c r="N63">
        <v>2033</v>
      </c>
      <c r="O63">
        <v>2034</v>
      </c>
      <c r="P63">
        <v>2035</v>
      </c>
      <c r="Q63">
        <v>2036</v>
      </c>
      <c r="R63">
        <v>2037</v>
      </c>
      <c r="S63">
        <v>2038</v>
      </c>
      <c r="T63">
        <v>2039</v>
      </c>
      <c r="U63">
        <v>2040</v>
      </c>
      <c r="V63">
        <v>2041</v>
      </c>
      <c r="W63">
        <v>2042</v>
      </c>
      <c r="X63">
        <v>2043</v>
      </c>
      <c r="Y63">
        <v>2044</v>
      </c>
      <c r="Z63">
        <v>2045</v>
      </c>
      <c r="AA63">
        <v>2046</v>
      </c>
      <c r="AB63">
        <v>2047</v>
      </c>
      <c r="AC63">
        <v>2048</v>
      </c>
      <c r="AD63">
        <v>2049</v>
      </c>
      <c r="AE63">
        <v>2050</v>
      </c>
    </row>
    <row r="64" spans="1:81" x14ac:dyDescent="0.75">
      <c r="A64" t="s">
        <v>52</v>
      </c>
      <c r="B64">
        <v>1.718528058414327E-5</v>
      </c>
      <c r="C64">
        <v>2.5512358988837882E-5</v>
      </c>
      <c r="D64">
        <v>2.2003045659485652E-5</v>
      </c>
      <c r="E64" s="1">
        <v>1.7138132992055537E-5</v>
      </c>
      <c r="F64" s="1">
        <v>1.6970862424237651E-5</v>
      </c>
      <c r="G64" s="1">
        <v>1.7251741880443909E-5</v>
      </c>
      <c r="H64" s="1">
        <v>1.7151594953069665E-5</v>
      </c>
      <c r="I64" s="1">
        <v>1.6884258890799325E-5</v>
      </c>
      <c r="J64" s="1">
        <v>1.6842950256559515E-5</v>
      </c>
      <c r="K64" s="1">
        <v>1.6833793052675904E-5</v>
      </c>
      <c r="L64" s="1">
        <v>1.7097343336346152E-5</v>
      </c>
      <c r="M64" s="1">
        <v>1.7036346948215787E-5</v>
      </c>
      <c r="N64" s="1">
        <v>1.7107416268065899E-5</v>
      </c>
      <c r="O64" s="1">
        <v>1.7713867970514694E-5</v>
      </c>
      <c r="P64" s="1">
        <v>1.7962499982455237E-5</v>
      </c>
      <c r="Q64" s="1">
        <v>1.8196313300139121E-5</v>
      </c>
      <c r="R64" s="1">
        <v>1.8252277803218659E-5</v>
      </c>
      <c r="S64" s="1">
        <v>1.856812292115619E-5</v>
      </c>
      <c r="T64" s="1">
        <v>1.8724998729789607E-5</v>
      </c>
      <c r="U64" s="1">
        <v>1.8724992843719838E-5</v>
      </c>
      <c r="V64" s="1">
        <v>1.8706347355627358E-5</v>
      </c>
      <c r="W64" s="1">
        <v>1.8597772152408732E-5</v>
      </c>
      <c r="X64" s="1">
        <v>1.8792265160975553E-5</v>
      </c>
      <c r="Y64" s="1">
        <v>1.8840506518008335E-5</v>
      </c>
      <c r="Z64" s="1">
        <v>1.9016108230181652E-5</v>
      </c>
      <c r="AA64" s="1">
        <v>1.9144365027223541E-5</v>
      </c>
      <c r="AB64" s="1">
        <v>1.9104893708316491E-5</v>
      </c>
      <c r="AC64" s="1">
        <v>1.9215774832192841E-5</v>
      </c>
      <c r="AD64" s="1">
        <v>1.9373373381548491E-5</v>
      </c>
      <c r="AE64" s="1">
        <v>2.0036010882641555E-5</v>
      </c>
      <c r="AF64" s="1">
        <v>2.0036010882641555E-5</v>
      </c>
      <c r="AG64" s="1">
        <v>2.0036010882641555E-5</v>
      </c>
      <c r="AH64" s="1">
        <v>2.0036010882641555E-5</v>
      </c>
      <c r="AI64" s="1">
        <v>2.0036010882641555E-5</v>
      </c>
      <c r="AJ64" s="1">
        <v>2.0036010882641555E-5</v>
      </c>
      <c r="AK64" s="1">
        <v>2.0036010882641555E-5</v>
      </c>
      <c r="AL64" s="1">
        <v>2.0036010882641555E-5</v>
      </c>
      <c r="AM64" s="1">
        <v>2.0036010882641555E-5</v>
      </c>
      <c r="AN64" s="1">
        <v>2.0036010882641555E-5</v>
      </c>
      <c r="AO64" s="1">
        <v>2.0036010882641555E-5</v>
      </c>
      <c r="AP64" s="1">
        <v>2.0036010882641555E-5</v>
      </c>
      <c r="AQ64" s="1">
        <v>2.0036010882641555E-5</v>
      </c>
      <c r="AR64" s="1">
        <v>2.0036010882641555E-5</v>
      </c>
      <c r="AS64" s="1">
        <v>2.0036010882641555E-5</v>
      </c>
      <c r="AT64" s="1">
        <v>2.0036010882641555E-5</v>
      </c>
      <c r="AU64" s="1">
        <v>2.0036010882641555E-5</v>
      </c>
      <c r="AV64" s="1">
        <v>2.0036010882641555E-5</v>
      </c>
      <c r="AW64" s="1">
        <v>2.0036010882641555E-5</v>
      </c>
      <c r="AX64" s="1">
        <v>2.0036010882641555E-5</v>
      </c>
      <c r="AY64" s="1">
        <v>2.0036010882641555E-5</v>
      </c>
      <c r="AZ64" s="1">
        <v>2.0036010882641555E-5</v>
      </c>
      <c r="BA64" s="1">
        <v>2.0036010882641555E-5</v>
      </c>
      <c r="BB64" s="1">
        <v>2.0036010882641555E-5</v>
      </c>
      <c r="BC64" s="1">
        <v>2.0036010882641555E-5</v>
      </c>
      <c r="BD64" s="1">
        <v>2.0036010882641555E-5</v>
      </c>
      <c r="BE64" s="1">
        <v>2.0036010882641555E-5</v>
      </c>
      <c r="BF64" s="1">
        <v>2.0036010882641555E-5</v>
      </c>
      <c r="BG64" s="1">
        <v>2.0036010882641555E-5</v>
      </c>
      <c r="BH64" s="1">
        <v>2.0036010882641555E-5</v>
      </c>
      <c r="BI64" s="1">
        <v>2.0036010882641555E-5</v>
      </c>
      <c r="BJ64" s="1">
        <v>2.0036010882641555E-5</v>
      </c>
      <c r="BK64" s="1">
        <v>2.0036010882641555E-5</v>
      </c>
      <c r="BL64" s="1">
        <v>2.0036010882641555E-5</v>
      </c>
      <c r="BM64" s="1">
        <v>2.0036010882641555E-5</v>
      </c>
      <c r="BN64" s="1">
        <v>2.0036010882641555E-5</v>
      </c>
      <c r="BO64" s="1">
        <v>2.0036010882641555E-5</v>
      </c>
      <c r="BP64" s="1">
        <v>2.0036010882641555E-5</v>
      </c>
      <c r="BQ64" s="1">
        <v>2.0036010882641555E-5</v>
      </c>
      <c r="BR64" s="1">
        <v>2.0036010882641555E-5</v>
      </c>
      <c r="BS64" s="1">
        <v>2.0036010882641555E-5</v>
      </c>
      <c r="BT64" s="1">
        <v>2.0036010882641555E-5</v>
      </c>
      <c r="BU64" s="1">
        <v>2.0036010882641555E-5</v>
      </c>
      <c r="BV64" s="1">
        <v>2.0036010882641555E-5</v>
      </c>
      <c r="BW64" s="1">
        <v>2.0036010882641555E-5</v>
      </c>
      <c r="BX64" s="1">
        <v>2.0036010882641555E-5</v>
      </c>
      <c r="BY64" s="1">
        <v>2.0036010882641555E-5</v>
      </c>
      <c r="BZ64" s="1">
        <v>2.0036010882641555E-5</v>
      </c>
      <c r="CA64" s="1">
        <v>2.0036010882641555E-5</v>
      </c>
      <c r="CB64" s="1">
        <v>2.0036010882641555E-5</v>
      </c>
      <c r="CC64" s="1">
        <v>2.0036010882641555E-5</v>
      </c>
    </row>
    <row r="65" spans="1:81" x14ac:dyDescent="0.75">
      <c r="A65" t="s">
        <v>53</v>
      </c>
      <c r="B65">
        <v>0</v>
      </c>
      <c r="C65">
        <v>0</v>
      </c>
      <c r="D65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</row>
    <row r="66" spans="1:81" x14ac:dyDescent="0.75">
      <c r="A66" t="s">
        <v>54</v>
      </c>
      <c r="B66">
        <v>0</v>
      </c>
      <c r="C66">
        <v>0</v>
      </c>
      <c r="D66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</row>
    <row r="67" spans="1:81" x14ac:dyDescent="0.75">
      <c r="A67" t="s">
        <v>55</v>
      </c>
      <c r="B67">
        <v>0</v>
      </c>
      <c r="C67">
        <v>0</v>
      </c>
      <c r="D67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</row>
    <row r="68" spans="1:81" x14ac:dyDescent="0.75">
      <c r="A68" t="s">
        <v>56</v>
      </c>
      <c r="B68">
        <v>0</v>
      </c>
      <c r="C68">
        <v>0</v>
      </c>
      <c r="D68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</row>
    <row r="69" spans="1:81" x14ac:dyDescent="0.75">
      <c r="A69" t="s">
        <v>57</v>
      </c>
      <c r="B69">
        <v>0</v>
      </c>
      <c r="C69">
        <v>0</v>
      </c>
      <c r="D69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</row>
    <row r="70" spans="1:81" x14ac:dyDescent="0.75">
      <c r="A70" t="s">
        <v>58</v>
      </c>
      <c r="B70">
        <v>0</v>
      </c>
      <c r="C70">
        <v>0</v>
      </c>
      <c r="D70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</row>
    <row r="71" spans="1:81" x14ac:dyDescent="0.75">
      <c r="A71" t="s">
        <v>59</v>
      </c>
      <c r="B71">
        <v>0</v>
      </c>
      <c r="C71">
        <v>0</v>
      </c>
      <c r="D7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</row>
    <row r="72" spans="1:81" s="3" customFormat="1" x14ac:dyDescent="0.75">
      <c r="A72" s="5" t="s">
        <v>37</v>
      </c>
    </row>
    <row r="73" spans="1:81" x14ac:dyDescent="0.75">
      <c r="A73" t="s">
        <v>30</v>
      </c>
      <c r="B73">
        <v>2021</v>
      </c>
      <c r="C73">
        <v>2022</v>
      </c>
      <c r="D73">
        <v>2023</v>
      </c>
      <c r="E73">
        <v>2024</v>
      </c>
      <c r="F73">
        <v>2025</v>
      </c>
      <c r="G73">
        <v>2026</v>
      </c>
      <c r="H73">
        <v>2027</v>
      </c>
      <c r="I73">
        <v>2028</v>
      </c>
      <c r="J73">
        <v>2029</v>
      </c>
      <c r="K73">
        <v>2030</v>
      </c>
      <c r="L73">
        <v>2031</v>
      </c>
      <c r="M73">
        <v>2032</v>
      </c>
      <c r="N73">
        <v>2033</v>
      </c>
      <c r="O73">
        <v>2034</v>
      </c>
      <c r="P73">
        <v>2035</v>
      </c>
      <c r="Q73">
        <v>2036</v>
      </c>
      <c r="R73">
        <v>2037</v>
      </c>
      <c r="S73">
        <v>2038</v>
      </c>
      <c r="T73">
        <v>2039</v>
      </c>
      <c r="U73">
        <v>2040</v>
      </c>
      <c r="V73">
        <v>2041</v>
      </c>
      <c r="W73">
        <v>2042</v>
      </c>
      <c r="X73">
        <v>2043</v>
      </c>
      <c r="Y73">
        <v>2044</v>
      </c>
      <c r="Z73">
        <v>2045</v>
      </c>
      <c r="AA73">
        <v>2046</v>
      </c>
      <c r="AB73">
        <v>2047</v>
      </c>
      <c r="AC73">
        <v>2048</v>
      </c>
      <c r="AD73">
        <v>2049</v>
      </c>
      <c r="AE73">
        <v>2050</v>
      </c>
    </row>
    <row r="74" spans="1:81" x14ac:dyDescent="0.75">
      <c r="A74" t="s">
        <v>52</v>
      </c>
      <c r="B74">
        <v>1.3437778241268125E-5</v>
      </c>
      <c r="C74">
        <v>1.3357804492437658E-5</v>
      </c>
      <c r="D74">
        <v>1.2601039665282731E-5</v>
      </c>
      <c r="E74" s="1">
        <v>1.4691962405211299E-5</v>
      </c>
      <c r="F74" s="1">
        <v>1.3214679759208406E-5</v>
      </c>
      <c r="G74" s="1">
        <v>1.1139631598759148E-5</v>
      </c>
      <c r="H74" s="1">
        <v>9.5503514889061451E-6</v>
      </c>
      <c r="I74" s="1">
        <v>8.3034290697327837E-6</v>
      </c>
      <c r="J74" s="1">
        <v>7.3944528601052258E-6</v>
      </c>
      <c r="K74" s="1">
        <v>6.6827382081646811E-6</v>
      </c>
      <c r="L74" s="1">
        <v>6.1423731284710068E-6</v>
      </c>
      <c r="M74" s="1">
        <v>5.547664701585941E-6</v>
      </c>
      <c r="N74" s="1">
        <v>5.0760480881945043E-6</v>
      </c>
      <c r="O74" s="1">
        <v>4.7540190334528954E-6</v>
      </c>
      <c r="P74" s="1">
        <v>4.565354673769901E-6</v>
      </c>
      <c r="Q74" s="1">
        <v>4.3771128507751137E-6</v>
      </c>
      <c r="R74" s="1">
        <v>4.2551097940820308E-6</v>
      </c>
      <c r="S74" s="1">
        <v>4.1622241952897805E-6</v>
      </c>
      <c r="T74" s="1">
        <v>4.1098946269166514E-6</v>
      </c>
      <c r="U74" s="1">
        <v>4.0935215228029396E-6</v>
      </c>
      <c r="V74" s="1">
        <v>4.0893513332261058E-6</v>
      </c>
      <c r="W74" s="1">
        <v>4.0682531172056958E-6</v>
      </c>
      <c r="X74" s="1">
        <v>4.0983951717227512E-6</v>
      </c>
      <c r="Y74" s="1">
        <v>4.1539489727883788E-6</v>
      </c>
      <c r="Z74" s="1">
        <v>4.2528927811448828E-6</v>
      </c>
      <c r="AA74" s="1">
        <v>4.4549366888080521E-6</v>
      </c>
      <c r="AB74" s="1">
        <v>4.6513715852465795E-6</v>
      </c>
      <c r="AC74" s="1">
        <v>4.8843810293940862E-6</v>
      </c>
      <c r="AD74" s="1">
        <v>5.1926374346234299E-6</v>
      </c>
      <c r="AE74" s="1">
        <v>5.5901227131002173E-6</v>
      </c>
      <c r="AF74" s="1">
        <v>5.5901227131002173E-6</v>
      </c>
      <c r="AG74" s="1">
        <v>5.5901227131002173E-6</v>
      </c>
      <c r="AH74" s="1">
        <v>5.5901227131002173E-6</v>
      </c>
      <c r="AI74" s="1">
        <v>5.5901227131002173E-6</v>
      </c>
      <c r="AJ74" s="1">
        <v>5.5901227131002173E-6</v>
      </c>
      <c r="AK74" s="1">
        <v>5.5901227131002173E-6</v>
      </c>
      <c r="AL74" s="1">
        <v>5.5901227131002173E-6</v>
      </c>
      <c r="AM74" s="1">
        <v>5.5901227131002173E-6</v>
      </c>
      <c r="AN74" s="1">
        <v>5.5901227131002173E-6</v>
      </c>
      <c r="AO74" s="1">
        <v>5.5901227131002173E-6</v>
      </c>
      <c r="AP74" s="1">
        <v>5.5901227131002173E-6</v>
      </c>
      <c r="AQ74" s="1">
        <v>5.5901227131002173E-6</v>
      </c>
      <c r="AR74" s="1">
        <v>5.5901227131002173E-6</v>
      </c>
      <c r="AS74" s="1">
        <v>5.5901227131002173E-6</v>
      </c>
      <c r="AT74" s="1">
        <v>5.5901227131002173E-6</v>
      </c>
      <c r="AU74" s="1">
        <v>5.5901227131002173E-6</v>
      </c>
      <c r="AV74" s="1">
        <v>5.5901227131002173E-6</v>
      </c>
      <c r="AW74" s="1">
        <v>5.5901227131002173E-6</v>
      </c>
      <c r="AX74" s="1">
        <v>5.5901227131002173E-6</v>
      </c>
      <c r="AY74" s="1">
        <v>5.5901227131002173E-6</v>
      </c>
      <c r="AZ74" s="1">
        <v>5.5901227131002173E-6</v>
      </c>
      <c r="BA74" s="1">
        <v>5.5901227131002173E-6</v>
      </c>
      <c r="BB74" s="1">
        <v>5.5901227131002173E-6</v>
      </c>
      <c r="BC74" s="1">
        <v>5.5901227131002173E-6</v>
      </c>
      <c r="BD74" s="1">
        <v>5.5901227131002173E-6</v>
      </c>
      <c r="BE74" s="1">
        <v>5.5901227131002173E-6</v>
      </c>
      <c r="BF74" s="1">
        <v>5.5901227131002173E-6</v>
      </c>
      <c r="BG74" s="1">
        <v>5.5901227131002173E-6</v>
      </c>
      <c r="BH74" s="1">
        <v>5.5901227131002173E-6</v>
      </c>
      <c r="BI74" s="1">
        <v>5.5901227131002173E-6</v>
      </c>
      <c r="BJ74" s="1">
        <v>5.5901227131002173E-6</v>
      </c>
      <c r="BK74" s="1">
        <v>5.5901227131002173E-6</v>
      </c>
      <c r="BL74" s="1">
        <v>5.5901227131002173E-6</v>
      </c>
      <c r="BM74" s="1">
        <v>5.5901227131002173E-6</v>
      </c>
      <c r="BN74" s="1">
        <v>5.5901227131002173E-6</v>
      </c>
      <c r="BO74" s="1">
        <v>5.5901227131002173E-6</v>
      </c>
      <c r="BP74" s="1">
        <v>5.5901227131002173E-6</v>
      </c>
      <c r="BQ74" s="1">
        <v>5.5901227131002173E-6</v>
      </c>
      <c r="BR74" s="1">
        <v>5.5901227131002173E-6</v>
      </c>
      <c r="BS74" s="1">
        <v>5.5901227131002173E-6</v>
      </c>
      <c r="BT74" s="1">
        <v>5.5901227131002173E-6</v>
      </c>
      <c r="BU74" s="1">
        <v>5.5901227131002173E-6</v>
      </c>
      <c r="BV74" s="1">
        <v>5.5901227131002173E-6</v>
      </c>
      <c r="BW74" s="1">
        <v>5.5901227131002173E-6</v>
      </c>
      <c r="BX74" s="1">
        <v>5.5901227131002173E-6</v>
      </c>
      <c r="BY74" s="1">
        <v>5.5901227131002173E-6</v>
      </c>
      <c r="BZ74" s="1">
        <v>5.5901227131002173E-6</v>
      </c>
      <c r="CA74" s="1">
        <v>5.5901227131002173E-6</v>
      </c>
      <c r="CB74" s="1">
        <v>5.5901227131002173E-6</v>
      </c>
      <c r="CC74" s="1">
        <v>5.5901227131002173E-6</v>
      </c>
    </row>
    <row r="75" spans="1:81" x14ac:dyDescent="0.75">
      <c r="A75" t="s">
        <v>53</v>
      </c>
      <c r="B75">
        <v>0</v>
      </c>
      <c r="C75">
        <v>0</v>
      </c>
      <c r="D75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</row>
    <row r="76" spans="1:81" x14ac:dyDescent="0.75">
      <c r="A76" t="s">
        <v>54</v>
      </c>
      <c r="B76">
        <v>0</v>
      </c>
      <c r="C76">
        <v>0</v>
      </c>
      <c r="D76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</row>
    <row r="77" spans="1:81" x14ac:dyDescent="0.75">
      <c r="A77" t="s">
        <v>55</v>
      </c>
      <c r="B77">
        <v>0</v>
      </c>
      <c r="C77">
        <v>0</v>
      </c>
      <c r="D77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</row>
    <row r="78" spans="1:81" x14ac:dyDescent="0.75">
      <c r="A78" t="s">
        <v>56</v>
      </c>
      <c r="B78">
        <v>0</v>
      </c>
      <c r="C78">
        <v>0</v>
      </c>
      <c r="D78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</row>
    <row r="79" spans="1:81" x14ac:dyDescent="0.75">
      <c r="A79" t="s">
        <v>57</v>
      </c>
      <c r="B79">
        <v>0</v>
      </c>
      <c r="C79">
        <v>0</v>
      </c>
      <c r="D79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</row>
    <row r="80" spans="1:81" x14ac:dyDescent="0.75">
      <c r="A80" t="s">
        <v>58</v>
      </c>
      <c r="B80">
        <v>0</v>
      </c>
      <c r="C80">
        <v>0</v>
      </c>
      <c r="D80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</row>
    <row r="81" spans="1:81" x14ac:dyDescent="0.75">
      <c r="A81" t="s">
        <v>59</v>
      </c>
      <c r="B81">
        <v>0</v>
      </c>
      <c r="C81">
        <v>0</v>
      </c>
      <c r="D8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</row>
    <row r="82" spans="1:81" s="3" customFormat="1" x14ac:dyDescent="0.75">
      <c r="A82" s="5" t="s">
        <v>38</v>
      </c>
    </row>
    <row r="83" spans="1:81" x14ac:dyDescent="0.75">
      <c r="A83" t="s">
        <v>30</v>
      </c>
      <c r="B83">
        <v>2021</v>
      </c>
      <c r="C83">
        <v>2022</v>
      </c>
      <c r="D83">
        <v>2023</v>
      </c>
      <c r="E83">
        <v>2024</v>
      </c>
      <c r="F83">
        <v>2025</v>
      </c>
      <c r="G83">
        <v>2026</v>
      </c>
      <c r="H83">
        <v>2027</v>
      </c>
      <c r="I83">
        <v>2028</v>
      </c>
      <c r="J83">
        <v>2029</v>
      </c>
      <c r="K83">
        <v>2030</v>
      </c>
      <c r="L83">
        <v>2031</v>
      </c>
      <c r="M83">
        <v>2032</v>
      </c>
      <c r="N83">
        <v>2033</v>
      </c>
      <c r="O83">
        <v>2034</v>
      </c>
      <c r="P83">
        <v>2035</v>
      </c>
      <c r="Q83">
        <v>2036</v>
      </c>
      <c r="R83">
        <v>2037</v>
      </c>
      <c r="S83">
        <v>2038</v>
      </c>
      <c r="T83">
        <v>2039</v>
      </c>
      <c r="U83">
        <v>2040</v>
      </c>
      <c r="V83">
        <v>2041</v>
      </c>
      <c r="W83">
        <v>2042</v>
      </c>
      <c r="X83">
        <v>2043</v>
      </c>
      <c r="Y83">
        <v>2044</v>
      </c>
      <c r="Z83">
        <v>2045</v>
      </c>
      <c r="AA83">
        <v>2046</v>
      </c>
      <c r="AB83">
        <v>2047</v>
      </c>
      <c r="AC83">
        <v>2048</v>
      </c>
      <c r="AD83">
        <v>2049</v>
      </c>
      <c r="AE83">
        <v>2050</v>
      </c>
    </row>
    <row r="84" spans="1:81" x14ac:dyDescent="0.75">
      <c r="A84" t="s">
        <v>52</v>
      </c>
      <c r="B84">
        <v>1.0938898050720583E-5</v>
      </c>
      <c r="C84">
        <v>1.9084544076731431E-5</v>
      </c>
      <c r="D84">
        <v>1.3590068654061632E-5</v>
      </c>
      <c r="E84" s="1">
        <v>1.0317931950915548E-5</v>
      </c>
      <c r="F84" s="1">
        <v>9.065851687260685E-6</v>
      </c>
      <c r="G84" s="1">
        <v>7.2855911254721142E-6</v>
      </c>
      <c r="H84" s="1">
        <v>9.6894186045968491E-6</v>
      </c>
      <c r="I84" s="1">
        <v>1.2093246083721582E-5</v>
      </c>
      <c r="J84" s="1">
        <v>1.2628767582702511E-5</v>
      </c>
      <c r="K84" s="1">
        <v>1.3122046099333793E-5</v>
      </c>
      <c r="L84" s="1">
        <v>1.3391328853367725E-5</v>
      </c>
      <c r="M84" s="1">
        <v>1.3277096703659793E-5</v>
      </c>
      <c r="N84" s="1">
        <v>1.3379553628193321E-5</v>
      </c>
      <c r="O84" s="1">
        <v>1.3692838368555932E-5</v>
      </c>
      <c r="P84" s="1">
        <v>1.3797362917628993E-5</v>
      </c>
      <c r="Q84" s="1">
        <v>1.3774745354324151E-5</v>
      </c>
      <c r="R84" s="1">
        <v>1.3961698657165743E-5</v>
      </c>
      <c r="S84" s="1">
        <v>1.4088580759487116E-5</v>
      </c>
      <c r="T84" s="1">
        <v>1.4240463557187789E-5</v>
      </c>
      <c r="U84" s="1">
        <v>1.4365010254834519E-5</v>
      </c>
      <c r="V84" s="1">
        <v>1.4433810135898857E-5</v>
      </c>
      <c r="W84" s="1">
        <v>1.4426193653388895E-5</v>
      </c>
      <c r="X84" s="1">
        <v>1.4598439967614241E-5</v>
      </c>
      <c r="Y84" s="1">
        <v>1.4708113206878385E-5</v>
      </c>
      <c r="Z84" s="1">
        <v>1.4916705346302677E-5</v>
      </c>
      <c r="AA84" s="1">
        <v>1.5185398104417246E-5</v>
      </c>
      <c r="AB84" s="1">
        <v>1.5187256683835681E-5</v>
      </c>
      <c r="AC84" s="1">
        <v>1.527000979130304E-5</v>
      </c>
      <c r="AD84" s="1">
        <v>1.5424025167572484E-5</v>
      </c>
      <c r="AE84" s="1">
        <v>1.5624974742500502E-5</v>
      </c>
      <c r="AF84" s="1">
        <v>1.5624974742500502E-5</v>
      </c>
      <c r="AG84" s="1">
        <v>1.5624974742500502E-5</v>
      </c>
      <c r="AH84" s="1">
        <v>1.5624974742500502E-5</v>
      </c>
      <c r="AI84" s="1">
        <v>1.5624974742500502E-5</v>
      </c>
      <c r="AJ84" s="1">
        <v>1.5624974742500502E-5</v>
      </c>
      <c r="AK84" s="1">
        <v>1.5624974742500502E-5</v>
      </c>
      <c r="AL84" s="1">
        <v>1.5624974742500502E-5</v>
      </c>
      <c r="AM84" s="1">
        <v>1.5624974742500502E-5</v>
      </c>
      <c r="AN84" s="1">
        <v>1.5624974742500502E-5</v>
      </c>
      <c r="AO84" s="1">
        <v>1.5624974742500502E-5</v>
      </c>
      <c r="AP84" s="1">
        <v>1.5624974742500502E-5</v>
      </c>
      <c r="AQ84" s="1">
        <v>1.5624974742500502E-5</v>
      </c>
      <c r="AR84" s="1">
        <v>1.5624974742500502E-5</v>
      </c>
      <c r="AS84" s="1">
        <v>1.5624974742500502E-5</v>
      </c>
      <c r="AT84" s="1">
        <v>1.5624974742500502E-5</v>
      </c>
      <c r="AU84" s="1">
        <v>1.5624974742500502E-5</v>
      </c>
      <c r="AV84" s="1">
        <v>1.5624974742500502E-5</v>
      </c>
      <c r="AW84" s="1">
        <v>1.5624974742500502E-5</v>
      </c>
      <c r="AX84" s="1">
        <v>1.5624974742500502E-5</v>
      </c>
      <c r="AY84" s="1">
        <v>1.5624974742500502E-5</v>
      </c>
      <c r="AZ84" s="1">
        <v>1.5624974742500502E-5</v>
      </c>
      <c r="BA84" s="1">
        <v>1.5624974742500502E-5</v>
      </c>
      <c r="BB84" s="1">
        <v>1.5624974742500502E-5</v>
      </c>
      <c r="BC84" s="1">
        <v>1.5624974742500502E-5</v>
      </c>
      <c r="BD84" s="1">
        <v>1.5624974742500502E-5</v>
      </c>
      <c r="BE84" s="1">
        <v>1.5624974742500502E-5</v>
      </c>
      <c r="BF84" s="1">
        <v>1.5624974742500502E-5</v>
      </c>
      <c r="BG84" s="1">
        <v>1.5624974742500502E-5</v>
      </c>
      <c r="BH84" s="1">
        <v>1.5624974742500502E-5</v>
      </c>
      <c r="BI84" s="1">
        <v>1.5624974742500502E-5</v>
      </c>
      <c r="BJ84" s="1">
        <v>1.5624974742500502E-5</v>
      </c>
      <c r="BK84" s="1">
        <v>1.5624974742500502E-5</v>
      </c>
      <c r="BL84" s="1">
        <v>1.5624974742500502E-5</v>
      </c>
      <c r="BM84" s="1">
        <v>1.5624974742500502E-5</v>
      </c>
      <c r="BN84" s="1">
        <v>1.5624974742500502E-5</v>
      </c>
      <c r="BO84" s="1">
        <v>1.5624974742500502E-5</v>
      </c>
      <c r="BP84" s="1">
        <v>1.5624974742500502E-5</v>
      </c>
      <c r="BQ84" s="1">
        <v>1.5624974742500502E-5</v>
      </c>
      <c r="BR84" s="1">
        <v>1.5624974742500502E-5</v>
      </c>
      <c r="BS84" s="1">
        <v>1.5624974742500502E-5</v>
      </c>
      <c r="BT84" s="1">
        <v>1.5624974742500502E-5</v>
      </c>
      <c r="BU84" s="1">
        <v>1.5624974742500502E-5</v>
      </c>
      <c r="BV84" s="1">
        <v>1.5624974742500502E-5</v>
      </c>
      <c r="BW84" s="1">
        <v>1.5624974742500502E-5</v>
      </c>
      <c r="BX84" s="1">
        <v>1.5624974742500502E-5</v>
      </c>
      <c r="BY84" s="1">
        <v>1.5624974742500502E-5</v>
      </c>
      <c r="BZ84" s="1">
        <v>1.5624974742500502E-5</v>
      </c>
      <c r="CA84" s="1">
        <v>1.5624974742500502E-5</v>
      </c>
      <c r="CB84" s="1">
        <v>1.5624974742500502E-5</v>
      </c>
      <c r="CC84" s="1">
        <v>1.5624974742500502E-5</v>
      </c>
    </row>
    <row r="85" spans="1:81" x14ac:dyDescent="0.75">
      <c r="A85" t="s">
        <v>53</v>
      </c>
      <c r="B85">
        <v>0</v>
      </c>
      <c r="C85">
        <v>0</v>
      </c>
      <c r="D85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</row>
    <row r="86" spans="1:81" x14ac:dyDescent="0.75">
      <c r="A86" t="s">
        <v>54</v>
      </c>
      <c r="B86">
        <v>1.4417230291119363E-5</v>
      </c>
      <c r="C86">
        <v>2.5153015018467072E-5</v>
      </c>
      <c r="D86">
        <v>1.976725483249486E-5</v>
      </c>
      <c r="E86" s="1">
        <v>1.6152185723048059E-5</v>
      </c>
      <c r="F86" s="1">
        <v>1.6714584960302534E-5</v>
      </c>
      <c r="G86" s="1">
        <v>1.7276984197557008E-5</v>
      </c>
      <c r="H86" s="1">
        <v>1.7839383434811483E-5</v>
      </c>
      <c r="I86" s="1">
        <v>1.8401782672065957E-5</v>
      </c>
      <c r="J86" s="1">
        <v>1.9163062126479491E-5</v>
      </c>
      <c r="K86" s="1">
        <v>1.9888678493252826E-5</v>
      </c>
      <c r="L86" s="1">
        <v>2.0115576383119045E-5</v>
      </c>
      <c r="M86" s="1">
        <v>1.9964754535575243E-5</v>
      </c>
      <c r="N86" s="1">
        <v>2.0071504000202997E-5</v>
      </c>
      <c r="O86" s="1">
        <v>2.0363293382323221E-5</v>
      </c>
      <c r="P86" s="1">
        <v>2.0427098275672379E-5</v>
      </c>
      <c r="Q86" s="1">
        <v>2.0375231136545085E-5</v>
      </c>
      <c r="R86" s="1">
        <v>2.0544583260798331E-5</v>
      </c>
      <c r="S86" s="1">
        <v>2.0660456353523162E-5</v>
      </c>
      <c r="T86" s="1">
        <v>2.0802986754572534E-5</v>
      </c>
      <c r="U86" s="1">
        <v>2.0923574684797094E-5</v>
      </c>
      <c r="V86" s="1">
        <v>2.0975445275495452E-5</v>
      </c>
      <c r="W86" s="1">
        <v>2.0932665701040884E-5</v>
      </c>
      <c r="X86" s="1">
        <v>2.1072846208582529E-5</v>
      </c>
      <c r="Y86" s="1">
        <v>2.1155981209069321E-5</v>
      </c>
      <c r="Z86" s="1">
        <v>2.1349672387821119E-5</v>
      </c>
      <c r="AA86" s="1">
        <v>2.1607926969188127E-5</v>
      </c>
      <c r="AB86" s="1">
        <v>2.1603906379452913E-5</v>
      </c>
      <c r="AC86" s="1">
        <v>2.1672981759014805E-5</v>
      </c>
      <c r="AD86" s="1">
        <v>2.1796962586362672E-5</v>
      </c>
      <c r="AE86" s="1">
        <v>2.1995193982492774E-5</v>
      </c>
      <c r="AF86" s="1">
        <v>2.1995193982492774E-5</v>
      </c>
      <c r="AG86" s="1">
        <v>2.1995193982492774E-5</v>
      </c>
      <c r="AH86" s="1">
        <v>2.1995193982492774E-5</v>
      </c>
      <c r="AI86" s="1">
        <v>2.1995193982492774E-5</v>
      </c>
      <c r="AJ86" s="1">
        <v>2.1995193982492774E-5</v>
      </c>
      <c r="AK86" s="1">
        <v>2.1995193982492774E-5</v>
      </c>
      <c r="AL86" s="1">
        <v>2.1995193982492774E-5</v>
      </c>
      <c r="AM86" s="1">
        <v>2.1995193982492774E-5</v>
      </c>
      <c r="AN86" s="1">
        <v>2.1995193982492774E-5</v>
      </c>
      <c r="AO86" s="1">
        <v>2.1995193982492774E-5</v>
      </c>
      <c r="AP86" s="1">
        <v>2.1995193982492774E-5</v>
      </c>
      <c r="AQ86" s="1">
        <v>2.1995193982492774E-5</v>
      </c>
      <c r="AR86" s="1">
        <v>2.1995193982492774E-5</v>
      </c>
      <c r="AS86" s="1">
        <v>2.1995193982492774E-5</v>
      </c>
      <c r="AT86" s="1">
        <v>2.1995193982492774E-5</v>
      </c>
      <c r="AU86" s="1">
        <v>2.1995193982492774E-5</v>
      </c>
      <c r="AV86" s="1">
        <v>2.1995193982492774E-5</v>
      </c>
      <c r="AW86" s="1">
        <v>2.1995193982492774E-5</v>
      </c>
      <c r="AX86" s="1">
        <v>2.1995193982492774E-5</v>
      </c>
      <c r="AY86" s="1">
        <v>2.1995193982492774E-5</v>
      </c>
      <c r="AZ86" s="1">
        <v>2.1995193982492774E-5</v>
      </c>
      <c r="BA86" s="1">
        <v>2.1995193982492774E-5</v>
      </c>
      <c r="BB86" s="1">
        <v>2.1995193982492774E-5</v>
      </c>
      <c r="BC86" s="1">
        <v>2.1995193982492774E-5</v>
      </c>
      <c r="BD86" s="1">
        <v>2.1995193982492774E-5</v>
      </c>
      <c r="BE86" s="1">
        <v>2.1995193982492774E-5</v>
      </c>
      <c r="BF86" s="1">
        <v>2.1995193982492774E-5</v>
      </c>
      <c r="BG86" s="1">
        <v>2.1995193982492774E-5</v>
      </c>
      <c r="BH86" s="1">
        <v>2.1995193982492774E-5</v>
      </c>
      <c r="BI86" s="1">
        <v>2.1995193982492774E-5</v>
      </c>
      <c r="BJ86" s="1">
        <v>2.1995193982492774E-5</v>
      </c>
      <c r="BK86" s="1">
        <v>2.1995193982492774E-5</v>
      </c>
      <c r="BL86" s="1">
        <v>2.1995193982492774E-5</v>
      </c>
      <c r="BM86" s="1">
        <v>2.1995193982492774E-5</v>
      </c>
      <c r="BN86" s="1">
        <v>2.1995193982492774E-5</v>
      </c>
      <c r="BO86" s="1">
        <v>2.1995193982492774E-5</v>
      </c>
      <c r="BP86" s="1">
        <v>2.1995193982492774E-5</v>
      </c>
      <c r="BQ86" s="1">
        <v>2.1995193982492774E-5</v>
      </c>
      <c r="BR86" s="1">
        <v>2.1995193982492774E-5</v>
      </c>
      <c r="BS86" s="1">
        <v>2.1995193982492774E-5</v>
      </c>
      <c r="BT86" s="1">
        <v>2.1995193982492774E-5</v>
      </c>
      <c r="BU86" s="1">
        <v>2.1995193982492774E-5</v>
      </c>
      <c r="BV86" s="1">
        <v>2.1995193982492774E-5</v>
      </c>
      <c r="BW86" s="1">
        <v>2.1995193982492774E-5</v>
      </c>
      <c r="BX86" s="1">
        <v>2.1995193982492774E-5</v>
      </c>
      <c r="BY86" s="1">
        <v>2.1995193982492774E-5</v>
      </c>
      <c r="BZ86" s="1">
        <v>2.1995193982492774E-5</v>
      </c>
      <c r="CA86" s="1">
        <v>2.1995193982492774E-5</v>
      </c>
      <c r="CB86" s="1">
        <v>2.1995193982492774E-5</v>
      </c>
      <c r="CC86" s="1">
        <v>2.1995193982492774E-5</v>
      </c>
    </row>
    <row r="87" spans="1:81" x14ac:dyDescent="0.75">
      <c r="A87" t="s">
        <v>55</v>
      </c>
      <c r="B87">
        <v>1.442590251640504E-5</v>
      </c>
      <c r="C87">
        <v>2.516814501281755E-5</v>
      </c>
      <c r="D87">
        <v>1.9860866847104879E-5</v>
      </c>
      <c r="E87" s="1">
        <v>1.5963015676385438E-5</v>
      </c>
      <c r="F87" s="1">
        <v>1.6262416136956773E-5</v>
      </c>
      <c r="G87" s="1">
        <v>1.6561816597528108E-5</v>
      </c>
      <c r="H87" s="1">
        <v>1.6861217058099444E-5</v>
      </c>
      <c r="I87" s="1">
        <v>1.7160617518670782E-5</v>
      </c>
      <c r="J87" s="1">
        <v>1.7087355275743762E-5</v>
      </c>
      <c r="K87" s="1">
        <v>1.6972394888223117E-5</v>
      </c>
      <c r="L87" s="1">
        <v>1.7212286123572522E-5</v>
      </c>
      <c r="M87" s="1">
        <v>1.7043781373322689E-5</v>
      </c>
      <c r="N87" s="1">
        <v>1.7148633096867529E-5</v>
      </c>
      <c r="O87" s="1">
        <v>1.7451674695338345E-5</v>
      </c>
      <c r="P87" s="1">
        <v>1.7698214062804699E-5</v>
      </c>
      <c r="Q87" s="1">
        <v>1.767185815453894E-5</v>
      </c>
      <c r="R87" s="1">
        <v>1.7848616620503392E-5</v>
      </c>
      <c r="S87" s="1">
        <v>1.7961070058257111E-5</v>
      </c>
      <c r="T87" s="1">
        <v>1.8095730836837414E-5</v>
      </c>
      <c r="U87" s="1">
        <v>1.8222449701381289E-5</v>
      </c>
      <c r="V87" s="1">
        <v>1.8269433509089402E-5</v>
      </c>
      <c r="W87" s="1">
        <v>1.8222926954269862E-5</v>
      </c>
      <c r="X87" s="1">
        <v>1.8375618753840482E-5</v>
      </c>
      <c r="Y87" s="1">
        <v>1.8473131402857597E-5</v>
      </c>
      <c r="Z87" s="1">
        <v>1.8673320425097397E-5</v>
      </c>
      <c r="AA87" s="1">
        <v>1.8943067872956097E-5</v>
      </c>
      <c r="AB87" s="1">
        <v>1.8929321901216834E-5</v>
      </c>
      <c r="AC87" s="1">
        <v>1.8999688159927641E-5</v>
      </c>
      <c r="AD87" s="1">
        <v>1.9161497741489374E-5</v>
      </c>
      <c r="AE87" s="1">
        <v>1.9366327297669907E-5</v>
      </c>
      <c r="AF87" s="1">
        <v>1.9366327297669907E-5</v>
      </c>
      <c r="AG87" s="1">
        <v>1.9366327297669907E-5</v>
      </c>
      <c r="AH87" s="1">
        <v>1.9366327297669907E-5</v>
      </c>
      <c r="AI87" s="1">
        <v>1.9366327297669907E-5</v>
      </c>
      <c r="AJ87" s="1">
        <v>1.9366327297669907E-5</v>
      </c>
      <c r="AK87" s="1">
        <v>1.9366327297669907E-5</v>
      </c>
      <c r="AL87" s="1">
        <v>1.9366327297669907E-5</v>
      </c>
      <c r="AM87" s="1">
        <v>1.9366327297669907E-5</v>
      </c>
      <c r="AN87" s="1">
        <v>1.9366327297669907E-5</v>
      </c>
      <c r="AO87" s="1">
        <v>1.9366327297669907E-5</v>
      </c>
      <c r="AP87" s="1">
        <v>1.9366327297669907E-5</v>
      </c>
      <c r="AQ87" s="1">
        <v>1.9366327297669907E-5</v>
      </c>
      <c r="AR87" s="1">
        <v>1.9366327297669907E-5</v>
      </c>
      <c r="AS87" s="1">
        <v>1.9366327297669907E-5</v>
      </c>
      <c r="AT87" s="1">
        <v>1.9366327297669907E-5</v>
      </c>
      <c r="AU87" s="1">
        <v>1.9366327297669907E-5</v>
      </c>
      <c r="AV87" s="1">
        <v>1.9366327297669907E-5</v>
      </c>
      <c r="AW87" s="1">
        <v>1.9366327297669907E-5</v>
      </c>
      <c r="AX87" s="1">
        <v>1.9366327297669907E-5</v>
      </c>
      <c r="AY87" s="1">
        <v>1.9366327297669907E-5</v>
      </c>
      <c r="AZ87" s="1">
        <v>1.9366327297669907E-5</v>
      </c>
      <c r="BA87" s="1">
        <v>1.9366327297669907E-5</v>
      </c>
      <c r="BB87" s="1">
        <v>1.9366327297669907E-5</v>
      </c>
      <c r="BC87" s="1">
        <v>1.9366327297669907E-5</v>
      </c>
      <c r="BD87" s="1">
        <v>1.9366327297669907E-5</v>
      </c>
      <c r="BE87" s="1">
        <v>1.9366327297669907E-5</v>
      </c>
      <c r="BF87" s="1">
        <v>1.9366327297669907E-5</v>
      </c>
      <c r="BG87" s="1">
        <v>1.9366327297669907E-5</v>
      </c>
      <c r="BH87" s="1">
        <v>1.9366327297669907E-5</v>
      </c>
      <c r="BI87" s="1">
        <v>1.9366327297669907E-5</v>
      </c>
      <c r="BJ87" s="1">
        <v>1.9366327297669907E-5</v>
      </c>
      <c r="BK87" s="1">
        <v>1.9366327297669907E-5</v>
      </c>
      <c r="BL87" s="1">
        <v>1.9366327297669907E-5</v>
      </c>
      <c r="BM87" s="1">
        <v>1.9366327297669907E-5</v>
      </c>
      <c r="BN87" s="1">
        <v>1.9366327297669907E-5</v>
      </c>
      <c r="BO87" s="1">
        <v>1.9366327297669907E-5</v>
      </c>
      <c r="BP87" s="1">
        <v>1.9366327297669907E-5</v>
      </c>
      <c r="BQ87" s="1">
        <v>1.9366327297669907E-5</v>
      </c>
      <c r="BR87" s="1">
        <v>1.9366327297669907E-5</v>
      </c>
      <c r="BS87" s="1">
        <v>1.9366327297669907E-5</v>
      </c>
      <c r="BT87" s="1">
        <v>1.9366327297669907E-5</v>
      </c>
      <c r="BU87" s="1">
        <v>1.9366327297669907E-5</v>
      </c>
      <c r="BV87" s="1">
        <v>1.9366327297669907E-5</v>
      </c>
      <c r="BW87" s="1">
        <v>1.9366327297669907E-5</v>
      </c>
      <c r="BX87" s="1">
        <v>1.9366327297669907E-5</v>
      </c>
      <c r="BY87" s="1">
        <v>1.9366327297669907E-5</v>
      </c>
      <c r="BZ87" s="1">
        <v>1.9366327297669907E-5</v>
      </c>
      <c r="CA87" s="1">
        <v>1.9366327297669907E-5</v>
      </c>
      <c r="CB87" s="1">
        <v>1.9366327297669907E-5</v>
      </c>
      <c r="CC87" s="1">
        <v>1.9366327297669907E-5</v>
      </c>
    </row>
    <row r="88" spans="1:81" x14ac:dyDescent="0.75">
      <c r="A88" t="s">
        <v>56</v>
      </c>
      <c r="B88">
        <v>0</v>
      </c>
      <c r="C88">
        <v>0</v>
      </c>
      <c r="D88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</row>
    <row r="89" spans="1:81" x14ac:dyDescent="0.75">
      <c r="A89" t="s">
        <v>57</v>
      </c>
      <c r="B89">
        <v>0</v>
      </c>
      <c r="C89">
        <v>0</v>
      </c>
      <c r="D89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</row>
    <row r="90" spans="1:81" x14ac:dyDescent="0.75">
      <c r="A90" t="s">
        <v>58</v>
      </c>
      <c r="B90">
        <v>0</v>
      </c>
      <c r="C90">
        <v>0</v>
      </c>
      <c r="D90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</row>
    <row r="91" spans="1:81" x14ac:dyDescent="0.75">
      <c r="A91" t="s">
        <v>59</v>
      </c>
      <c r="B91">
        <v>0</v>
      </c>
      <c r="C91">
        <v>0</v>
      </c>
      <c r="D9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</row>
    <row r="92" spans="1:81" s="3" customFormat="1" x14ac:dyDescent="0.75">
      <c r="A92" s="5" t="s">
        <v>39</v>
      </c>
    </row>
    <row r="93" spans="1:81" x14ac:dyDescent="0.75">
      <c r="A93" t="s">
        <v>30</v>
      </c>
      <c r="B93">
        <v>2021</v>
      </c>
      <c r="C93">
        <v>2022</v>
      </c>
      <c r="D93">
        <v>2023</v>
      </c>
      <c r="E93">
        <v>2024</v>
      </c>
      <c r="F93">
        <v>2025</v>
      </c>
      <c r="G93">
        <v>2026</v>
      </c>
      <c r="H93">
        <v>2027</v>
      </c>
      <c r="I93">
        <v>2028</v>
      </c>
      <c r="J93">
        <v>2029</v>
      </c>
      <c r="K93">
        <v>2030</v>
      </c>
      <c r="L93">
        <v>2031</v>
      </c>
      <c r="M93">
        <v>2032</v>
      </c>
      <c r="N93">
        <v>2033</v>
      </c>
      <c r="O93">
        <v>2034</v>
      </c>
      <c r="P93">
        <v>2035</v>
      </c>
      <c r="Q93">
        <v>2036</v>
      </c>
      <c r="R93">
        <v>2037</v>
      </c>
      <c r="S93">
        <v>2038</v>
      </c>
      <c r="T93">
        <v>2039</v>
      </c>
      <c r="U93">
        <v>2040</v>
      </c>
      <c r="V93">
        <v>2041</v>
      </c>
      <c r="W93">
        <v>2042</v>
      </c>
      <c r="X93">
        <v>2043</v>
      </c>
      <c r="Y93">
        <v>2044</v>
      </c>
      <c r="Z93">
        <v>2045</v>
      </c>
      <c r="AA93">
        <v>2046</v>
      </c>
      <c r="AB93">
        <v>2047</v>
      </c>
      <c r="AC93">
        <v>2048</v>
      </c>
      <c r="AD93">
        <v>2049</v>
      </c>
      <c r="AE93">
        <v>2050</v>
      </c>
    </row>
    <row r="94" spans="1:81" x14ac:dyDescent="0.75">
      <c r="A94" t="s">
        <v>52</v>
      </c>
      <c r="B94">
        <v>0</v>
      </c>
      <c r="C94">
        <v>0</v>
      </c>
      <c r="D94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</row>
    <row r="95" spans="1:81" x14ac:dyDescent="0.75">
      <c r="A95" t="s">
        <v>53</v>
      </c>
      <c r="B95">
        <v>1.4394778228514913E-6</v>
      </c>
      <c r="C95">
        <v>1.5963145339022116E-6</v>
      </c>
      <c r="D95">
        <v>1.7242891167888867E-6</v>
      </c>
      <c r="E95" s="1">
        <v>1.551167378923024E-6</v>
      </c>
      <c r="F95" s="1">
        <v>1.5197672295521129E-6</v>
      </c>
      <c r="G95" s="1">
        <v>1.5072071698037481E-6</v>
      </c>
      <c r="H95" s="1">
        <v>1.4608223740698111E-6</v>
      </c>
      <c r="I95" s="1">
        <v>1.3982455287682784E-6</v>
      </c>
      <c r="J95" s="1">
        <v>1.3983879196967938E-6</v>
      </c>
      <c r="K95" s="1">
        <v>1.4116663603954646E-6</v>
      </c>
      <c r="L95" s="1">
        <v>1.3928626725421506E-6</v>
      </c>
      <c r="M95" s="1">
        <v>1.3496429082293595E-6</v>
      </c>
      <c r="N95" s="1">
        <v>1.3520659496553957E-6</v>
      </c>
      <c r="O95" s="1">
        <v>1.343356595785923E-6</v>
      </c>
      <c r="P95" s="1">
        <v>1.3348754267482671E-6</v>
      </c>
      <c r="Q95" s="1">
        <v>1.33489144759932E-6</v>
      </c>
      <c r="R95" s="1">
        <v>1.3543012326961977E-6</v>
      </c>
      <c r="S95" s="1">
        <v>1.3516533004451039E-6</v>
      </c>
      <c r="T95" s="1">
        <v>1.3902689416749924E-6</v>
      </c>
      <c r="U95" s="1">
        <v>1.3884072289461202E-6</v>
      </c>
      <c r="V95" s="1">
        <v>1.3866852120493252E-6</v>
      </c>
      <c r="W95" s="1">
        <v>1.3857657349809636E-6</v>
      </c>
      <c r="X95" s="1">
        <v>1.3862713650183933E-6</v>
      </c>
      <c r="Y95" s="1">
        <v>1.3861047182219291E-6</v>
      </c>
      <c r="Z95" s="1">
        <v>1.3791539147787559E-6</v>
      </c>
      <c r="AA95" s="1">
        <v>1.1856527282160067E-6</v>
      </c>
      <c r="AB95" s="1">
        <v>1.368006696452834E-6</v>
      </c>
      <c r="AC95" s="1">
        <v>1.3678866149337283E-6</v>
      </c>
      <c r="AD95" s="1">
        <v>1.3787779488255472E-6</v>
      </c>
      <c r="AE95" s="1">
        <v>1.3766531647387349E-6</v>
      </c>
      <c r="AF95" s="1">
        <v>1.3766531647387349E-6</v>
      </c>
      <c r="AG95" s="1">
        <v>1.3766531647387349E-6</v>
      </c>
      <c r="AH95" s="1">
        <v>1.3766531647387349E-6</v>
      </c>
      <c r="AI95" s="1">
        <v>1.3766531647387349E-6</v>
      </c>
      <c r="AJ95" s="1">
        <v>1.3766531647387349E-6</v>
      </c>
      <c r="AK95" s="1">
        <v>1.3766531647387349E-6</v>
      </c>
      <c r="AL95" s="1">
        <v>1.3766531647387349E-6</v>
      </c>
      <c r="AM95" s="1">
        <v>1.3766531647387349E-6</v>
      </c>
      <c r="AN95" s="1">
        <v>1.3766531647387349E-6</v>
      </c>
      <c r="AO95" s="1">
        <v>1.3766531647387349E-6</v>
      </c>
      <c r="AP95" s="1">
        <v>1.3766531647387349E-6</v>
      </c>
      <c r="AQ95" s="1">
        <v>1.3766531647387349E-6</v>
      </c>
      <c r="AR95" s="1">
        <v>1.3766531647387349E-6</v>
      </c>
      <c r="AS95" s="1">
        <v>1.3766531647387349E-6</v>
      </c>
      <c r="AT95" s="1">
        <v>1.3766531647387349E-6</v>
      </c>
      <c r="AU95" s="1">
        <v>1.3766531647387349E-6</v>
      </c>
      <c r="AV95" s="1">
        <v>1.3766531647387349E-6</v>
      </c>
      <c r="AW95" s="1">
        <v>1.3766531647387349E-6</v>
      </c>
      <c r="AX95" s="1">
        <v>1.3766531647387349E-6</v>
      </c>
      <c r="AY95" s="1">
        <v>1.3766531647387349E-6</v>
      </c>
      <c r="AZ95" s="1">
        <v>1.3766531647387349E-6</v>
      </c>
      <c r="BA95" s="1">
        <v>1.3766531647387349E-6</v>
      </c>
      <c r="BB95" s="1">
        <v>1.3766531647387349E-6</v>
      </c>
      <c r="BC95" s="1">
        <v>1.3766531647387349E-6</v>
      </c>
      <c r="BD95" s="1">
        <v>1.3766531647387349E-6</v>
      </c>
      <c r="BE95" s="1">
        <v>1.3766531647387349E-6</v>
      </c>
      <c r="BF95" s="1">
        <v>1.3766531647387349E-6</v>
      </c>
      <c r="BG95" s="1">
        <v>1.3766531647387349E-6</v>
      </c>
      <c r="BH95" s="1">
        <v>1.3766531647387349E-6</v>
      </c>
      <c r="BI95" s="1">
        <v>1.3766531647387349E-6</v>
      </c>
      <c r="BJ95" s="1">
        <v>1.3766531647387349E-6</v>
      </c>
      <c r="BK95" s="1">
        <v>1.3766531647387349E-6</v>
      </c>
      <c r="BL95" s="1">
        <v>1.3766531647387349E-6</v>
      </c>
      <c r="BM95" s="1">
        <v>1.3766531647387349E-6</v>
      </c>
      <c r="BN95" s="1">
        <v>1.3766531647387349E-6</v>
      </c>
      <c r="BO95" s="1">
        <v>1.3766531647387349E-6</v>
      </c>
      <c r="BP95" s="1">
        <v>1.3766531647387349E-6</v>
      </c>
      <c r="BQ95" s="1">
        <v>1.3766531647387349E-6</v>
      </c>
      <c r="BR95" s="1">
        <v>1.3766531647387349E-6</v>
      </c>
      <c r="BS95" s="1">
        <v>1.3766531647387349E-6</v>
      </c>
      <c r="BT95" s="1">
        <v>1.3766531647387349E-6</v>
      </c>
      <c r="BU95" s="1">
        <v>1.3766531647387349E-6</v>
      </c>
      <c r="BV95" s="1">
        <v>1.3766531647387349E-6</v>
      </c>
      <c r="BW95" s="1">
        <v>1.3766531647387349E-6</v>
      </c>
      <c r="BX95" s="1">
        <v>1.3766531647387349E-6</v>
      </c>
      <c r="BY95" s="1">
        <v>1.3766531647387349E-6</v>
      </c>
      <c r="BZ95" s="1">
        <v>1.3766531647387349E-6</v>
      </c>
      <c r="CA95" s="1">
        <v>1.3766531647387349E-6</v>
      </c>
      <c r="CB95" s="1">
        <v>1.3766531647387349E-6</v>
      </c>
      <c r="CC95" s="1">
        <v>1.3766531647387349E-6</v>
      </c>
    </row>
    <row r="96" spans="1:81" x14ac:dyDescent="0.75">
      <c r="A96" t="s">
        <v>54</v>
      </c>
      <c r="B96">
        <v>0</v>
      </c>
      <c r="C96">
        <v>0</v>
      </c>
      <c r="D96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</row>
    <row r="97" spans="1:81" x14ac:dyDescent="0.75">
      <c r="A97" t="s">
        <v>55</v>
      </c>
      <c r="B97">
        <v>0</v>
      </c>
      <c r="C97">
        <v>0</v>
      </c>
      <c r="D97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</row>
    <row r="98" spans="1:81" x14ac:dyDescent="0.75">
      <c r="A98" t="s">
        <v>56</v>
      </c>
      <c r="B98">
        <v>0</v>
      </c>
      <c r="C98">
        <v>0</v>
      </c>
      <c r="D98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</row>
    <row r="99" spans="1:81" x14ac:dyDescent="0.75">
      <c r="A99" t="s">
        <v>57</v>
      </c>
      <c r="B99">
        <v>0</v>
      </c>
      <c r="C99">
        <v>0</v>
      </c>
      <c r="D99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</row>
    <row r="100" spans="1:81" x14ac:dyDescent="0.75">
      <c r="A100" t="s">
        <v>58</v>
      </c>
      <c r="B100">
        <v>0</v>
      </c>
      <c r="C100">
        <v>0</v>
      </c>
      <c r="D100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</row>
    <row r="101" spans="1:81" x14ac:dyDescent="0.75">
      <c r="A101" t="s">
        <v>59</v>
      </c>
      <c r="B101">
        <v>0</v>
      </c>
      <c r="C101">
        <v>0</v>
      </c>
      <c r="D10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</row>
    <row r="102" spans="1:81" s="3" customFormat="1" x14ac:dyDescent="0.75">
      <c r="A102" s="5" t="s">
        <v>46</v>
      </c>
    </row>
    <row r="103" spans="1:81" x14ac:dyDescent="0.75">
      <c r="A103" t="s">
        <v>30</v>
      </c>
      <c r="B103">
        <v>2021</v>
      </c>
      <c r="C103">
        <v>2022</v>
      </c>
      <c r="D103">
        <v>2023</v>
      </c>
      <c r="E103">
        <v>2024</v>
      </c>
      <c r="F103">
        <v>2025</v>
      </c>
      <c r="G103">
        <v>2026</v>
      </c>
      <c r="H103">
        <v>2027</v>
      </c>
      <c r="I103">
        <v>2028</v>
      </c>
      <c r="J103">
        <v>2029</v>
      </c>
      <c r="K103">
        <v>2030</v>
      </c>
      <c r="L103">
        <v>2031</v>
      </c>
      <c r="M103">
        <v>2032</v>
      </c>
      <c r="N103">
        <v>2033</v>
      </c>
      <c r="O103">
        <v>2034</v>
      </c>
      <c r="P103">
        <v>2035</v>
      </c>
      <c r="Q103">
        <v>2036</v>
      </c>
      <c r="R103">
        <v>2037</v>
      </c>
      <c r="S103">
        <v>2038</v>
      </c>
      <c r="T103">
        <v>2039</v>
      </c>
      <c r="U103">
        <v>2040</v>
      </c>
      <c r="V103">
        <v>2041</v>
      </c>
      <c r="W103">
        <v>2042</v>
      </c>
      <c r="X103">
        <v>2043</v>
      </c>
      <c r="Y103">
        <v>2044</v>
      </c>
      <c r="Z103">
        <v>2045</v>
      </c>
      <c r="AA103">
        <v>2046</v>
      </c>
      <c r="AB103">
        <v>2047</v>
      </c>
      <c r="AC103">
        <v>2048</v>
      </c>
      <c r="AD103">
        <v>2049</v>
      </c>
      <c r="AE103">
        <v>2050</v>
      </c>
    </row>
    <row r="104" spans="1:81" x14ac:dyDescent="0.75">
      <c r="A104" t="s">
        <v>52</v>
      </c>
      <c r="B104">
        <v>0</v>
      </c>
      <c r="C104">
        <v>0</v>
      </c>
      <c r="D104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</row>
    <row r="105" spans="1:81" x14ac:dyDescent="0.75">
      <c r="A105" t="s">
        <v>53</v>
      </c>
      <c r="B105">
        <v>1.010572034981499E-5</v>
      </c>
      <c r="C105">
        <v>1.4061485389252906E-5</v>
      </c>
      <c r="D105">
        <v>1.0907244277281626E-5</v>
      </c>
      <c r="E105" s="1">
        <v>9.4884162761654525E-6</v>
      </c>
      <c r="F105" s="1">
        <v>8.2431736221717939E-6</v>
      </c>
      <c r="G105" s="1">
        <v>6.222373878434911E-6</v>
      </c>
      <c r="H105" s="1">
        <v>8.1538604327725013E-6</v>
      </c>
      <c r="I105" s="1">
        <v>1.0085346987110093E-5</v>
      </c>
      <c r="J105" s="1">
        <v>1.0165895745183614E-5</v>
      </c>
      <c r="K105" s="1">
        <v>1.0173359406092931E-5</v>
      </c>
      <c r="L105" s="1">
        <v>1.0398503412779694E-5</v>
      </c>
      <c r="M105" s="1">
        <v>1.0227797067876952E-5</v>
      </c>
      <c r="N105" s="1">
        <v>1.0351942432387018E-5</v>
      </c>
      <c r="O105" s="1">
        <v>1.0649022304305715E-5</v>
      </c>
      <c r="P105" s="1">
        <v>1.0716089800451591E-5</v>
      </c>
      <c r="Q105" s="1">
        <v>1.0755848147987751E-5</v>
      </c>
      <c r="R105" s="1">
        <v>1.0948957192511546E-5</v>
      </c>
      <c r="S105" s="1">
        <v>1.1071603771111642E-5</v>
      </c>
      <c r="T105" s="1">
        <v>1.1233966711714263E-5</v>
      </c>
      <c r="U105" s="1">
        <v>1.1339020375313828E-5</v>
      </c>
      <c r="V105" s="1">
        <v>1.1378038605768718E-5</v>
      </c>
      <c r="W105" s="1">
        <v>1.1335429147576459E-5</v>
      </c>
      <c r="X105" s="1">
        <v>1.1429540209421617E-5</v>
      </c>
      <c r="Y105" s="1">
        <v>1.1491443484930471E-5</v>
      </c>
      <c r="Z105" s="1">
        <v>1.1595688682905637E-5</v>
      </c>
      <c r="AA105" s="1">
        <v>1.1917823177918667E-5</v>
      </c>
      <c r="AB105" s="1">
        <v>1.1930454965096033E-5</v>
      </c>
      <c r="AC105" s="1">
        <v>1.2001565765771667E-5</v>
      </c>
      <c r="AD105" s="1">
        <v>1.2146394375839298E-5</v>
      </c>
      <c r="AE105" s="1">
        <v>1.230811386372878E-5</v>
      </c>
      <c r="AF105" s="1">
        <v>1.230811386372878E-5</v>
      </c>
      <c r="AG105" s="1">
        <v>1.230811386372878E-5</v>
      </c>
      <c r="AH105" s="1">
        <v>1.230811386372878E-5</v>
      </c>
      <c r="AI105" s="1">
        <v>1.230811386372878E-5</v>
      </c>
      <c r="AJ105" s="1">
        <v>1.230811386372878E-5</v>
      </c>
      <c r="AK105" s="1">
        <v>1.230811386372878E-5</v>
      </c>
      <c r="AL105" s="1">
        <v>1.230811386372878E-5</v>
      </c>
      <c r="AM105" s="1">
        <v>1.230811386372878E-5</v>
      </c>
      <c r="AN105" s="1">
        <v>1.230811386372878E-5</v>
      </c>
      <c r="AO105" s="1">
        <v>1.230811386372878E-5</v>
      </c>
      <c r="AP105" s="1">
        <v>1.230811386372878E-5</v>
      </c>
      <c r="AQ105" s="1">
        <v>1.230811386372878E-5</v>
      </c>
      <c r="AR105" s="1">
        <v>1.230811386372878E-5</v>
      </c>
      <c r="AS105" s="1">
        <v>1.230811386372878E-5</v>
      </c>
      <c r="AT105" s="1">
        <v>1.230811386372878E-5</v>
      </c>
      <c r="AU105" s="1">
        <v>1.230811386372878E-5</v>
      </c>
      <c r="AV105" s="1">
        <v>1.230811386372878E-5</v>
      </c>
      <c r="AW105" s="1">
        <v>1.230811386372878E-5</v>
      </c>
      <c r="AX105" s="1">
        <v>1.230811386372878E-5</v>
      </c>
      <c r="AY105" s="1">
        <v>1.230811386372878E-5</v>
      </c>
      <c r="AZ105" s="1">
        <v>1.230811386372878E-5</v>
      </c>
      <c r="BA105" s="1">
        <v>1.230811386372878E-5</v>
      </c>
      <c r="BB105" s="1">
        <v>1.230811386372878E-5</v>
      </c>
      <c r="BC105" s="1">
        <v>1.230811386372878E-5</v>
      </c>
      <c r="BD105" s="1">
        <v>1.230811386372878E-5</v>
      </c>
      <c r="BE105" s="1">
        <v>1.230811386372878E-5</v>
      </c>
      <c r="BF105" s="1">
        <v>1.230811386372878E-5</v>
      </c>
      <c r="BG105" s="1">
        <v>1.230811386372878E-5</v>
      </c>
      <c r="BH105" s="1">
        <v>1.230811386372878E-5</v>
      </c>
      <c r="BI105" s="1">
        <v>1.230811386372878E-5</v>
      </c>
      <c r="BJ105" s="1">
        <v>1.230811386372878E-5</v>
      </c>
      <c r="BK105" s="1">
        <v>1.230811386372878E-5</v>
      </c>
      <c r="BL105" s="1">
        <v>1.230811386372878E-5</v>
      </c>
      <c r="BM105" s="1">
        <v>1.230811386372878E-5</v>
      </c>
      <c r="BN105" s="1">
        <v>1.230811386372878E-5</v>
      </c>
      <c r="BO105" s="1">
        <v>1.230811386372878E-5</v>
      </c>
      <c r="BP105" s="1">
        <v>1.230811386372878E-5</v>
      </c>
      <c r="BQ105" s="1">
        <v>1.230811386372878E-5</v>
      </c>
      <c r="BR105" s="1">
        <v>1.230811386372878E-5</v>
      </c>
      <c r="BS105" s="1">
        <v>1.230811386372878E-5</v>
      </c>
      <c r="BT105" s="1">
        <v>1.230811386372878E-5</v>
      </c>
      <c r="BU105" s="1">
        <v>1.230811386372878E-5</v>
      </c>
      <c r="BV105" s="1">
        <v>1.230811386372878E-5</v>
      </c>
      <c r="BW105" s="1">
        <v>1.230811386372878E-5</v>
      </c>
      <c r="BX105" s="1">
        <v>1.230811386372878E-5</v>
      </c>
      <c r="BY105" s="1">
        <v>1.230811386372878E-5</v>
      </c>
      <c r="BZ105" s="1">
        <v>1.230811386372878E-5</v>
      </c>
      <c r="CA105" s="1">
        <v>1.230811386372878E-5</v>
      </c>
      <c r="CB105" s="1">
        <v>1.230811386372878E-5</v>
      </c>
      <c r="CC105" s="1">
        <v>1.230811386372878E-5</v>
      </c>
    </row>
    <row r="106" spans="1:81" x14ac:dyDescent="0.75">
      <c r="A106" t="s">
        <v>54</v>
      </c>
      <c r="B106">
        <v>0</v>
      </c>
      <c r="C106">
        <v>0</v>
      </c>
      <c r="D106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</row>
    <row r="107" spans="1:81" x14ac:dyDescent="0.75">
      <c r="A107" t="s">
        <v>55</v>
      </c>
      <c r="B107">
        <v>0</v>
      </c>
      <c r="C107">
        <v>0</v>
      </c>
      <c r="D107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</row>
    <row r="108" spans="1:81" x14ac:dyDescent="0.75">
      <c r="A108" t="s">
        <v>56</v>
      </c>
      <c r="B108">
        <v>1.010572034981499E-5</v>
      </c>
      <c r="C108">
        <v>1.4061485389252906E-5</v>
      </c>
      <c r="D108">
        <v>1.0907244277281626E-5</v>
      </c>
      <c r="E108" s="1">
        <v>9.4884162761654525E-6</v>
      </c>
      <c r="F108" s="1">
        <v>8.2431736221717939E-6</v>
      </c>
      <c r="G108" s="1">
        <v>6.222373878434911E-6</v>
      </c>
      <c r="H108" s="1">
        <v>8.1538604327725013E-6</v>
      </c>
      <c r="I108" s="1">
        <v>1.0085346987110093E-5</v>
      </c>
      <c r="J108" s="1">
        <v>1.0165895745183614E-5</v>
      </c>
      <c r="K108" s="1">
        <v>1.0173359406092931E-5</v>
      </c>
      <c r="L108" s="1">
        <v>1.0398503412779694E-5</v>
      </c>
      <c r="M108" s="1">
        <v>1.0227797067876952E-5</v>
      </c>
      <c r="N108" s="1">
        <v>1.0351942432387018E-5</v>
      </c>
      <c r="O108" s="1">
        <v>1.0649022304305715E-5</v>
      </c>
      <c r="P108" s="1">
        <v>1.0716089800451591E-5</v>
      </c>
      <c r="Q108" s="1">
        <v>1.0755848147987751E-5</v>
      </c>
      <c r="R108" s="1">
        <v>1.0948957192511546E-5</v>
      </c>
      <c r="S108" s="1">
        <v>1.1071603771111642E-5</v>
      </c>
      <c r="T108" s="1">
        <v>1.1233966711714263E-5</v>
      </c>
      <c r="U108" s="1">
        <v>1.1339020375313828E-5</v>
      </c>
      <c r="V108" s="1">
        <v>1.1378038605768718E-5</v>
      </c>
      <c r="W108" s="1">
        <v>1.1335429147576459E-5</v>
      </c>
      <c r="X108" s="1">
        <v>1.1429540209421617E-5</v>
      </c>
      <c r="Y108" s="1">
        <v>1.1491443484930471E-5</v>
      </c>
      <c r="Z108" s="1">
        <v>1.1595688682905637E-5</v>
      </c>
      <c r="AA108" s="1">
        <v>1.1917823177918667E-5</v>
      </c>
      <c r="AB108" s="1">
        <v>1.1930454965096033E-5</v>
      </c>
      <c r="AC108" s="1">
        <v>1.2001565765771667E-5</v>
      </c>
      <c r="AD108" s="1">
        <v>1.2146394375839298E-5</v>
      </c>
      <c r="AE108" s="1">
        <v>1.230811386372878E-5</v>
      </c>
      <c r="AF108" s="1">
        <v>1.230811386372878E-5</v>
      </c>
      <c r="AG108" s="1">
        <v>1.230811386372878E-5</v>
      </c>
      <c r="AH108" s="1">
        <v>1.230811386372878E-5</v>
      </c>
      <c r="AI108" s="1">
        <v>1.230811386372878E-5</v>
      </c>
      <c r="AJ108" s="1">
        <v>1.230811386372878E-5</v>
      </c>
      <c r="AK108" s="1">
        <v>1.230811386372878E-5</v>
      </c>
      <c r="AL108" s="1">
        <v>1.230811386372878E-5</v>
      </c>
      <c r="AM108" s="1">
        <v>1.230811386372878E-5</v>
      </c>
      <c r="AN108" s="1">
        <v>1.230811386372878E-5</v>
      </c>
      <c r="AO108" s="1">
        <v>1.230811386372878E-5</v>
      </c>
      <c r="AP108" s="1">
        <v>1.230811386372878E-5</v>
      </c>
      <c r="AQ108" s="1">
        <v>1.230811386372878E-5</v>
      </c>
      <c r="AR108" s="1">
        <v>1.230811386372878E-5</v>
      </c>
      <c r="AS108" s="1">
        <v>1.230811386372878E-5</v>
      </c>
      <c r="AT108" s="1">
        <v>1.230811386372878E-5</v>
      </c>
      <c r="AU108" s="1">
        <v>1.230811386372878E-5</v>
      </c>
      <c r="AV108" s="1">
        <v>1.230811386372878E-5</v>
      </c>
      <c r="AW108" s="1">
        <v>1.230811386372878E-5</v>
      </c>
      <c r="AX108" s="1">
        <v>1.230811386372878E-5</v>
      </c>
      <c r="AY108" s="1">
        <v>1.230811386372878E-5</v>
      </c>
      <c r="AZ108" s="1">
        <v>1.230811386372878E-5</v>
      </c>
      <c r="BA108" s="1">
        <v>1.230811386372878E-5</v>
      </c>
      <c r="BB108" s="1">
        <v>1.230811386372878E-5</v>
      </c>
      <c r="BC108" s="1">
        <v>1.230811386372878E-5</v>
      </c>
      <c r="BD108" s="1">
        <v>1.230811386372878E-5</v>
      </c>
      <c r="BE108" s="1">
        <v>1.230811386372878E-5</v>
      </c>
      <c r="BF108" s="1">
        <v>1.230811386372878E-5</v>
      </c>
      <c r="BG108" s="1">
        <v>1.230811386372878E-5</v>
      </c>
      <c r="BH108" s="1">
        <v>1.230811386372878E-5</v>
      </c>
      <c r="BI108" s="1">
        <v>1.230811386372878E-5</v>
      </c>
      <c r="BJ108" s="1">
        <v>1.230811386372878E-5</v>
      </c>
      <c r="BK108" s="1">
        <v>1.230811386372878E-5</v>
      </c>
      <c r="BL108" s="1">
        <v>1.230811386372878E-5</v>
      </c>
      <c r="BM108" s="1">
        <v>1.230811386372878E-5</v>
      </c>
      <c r="BN108" s="1">
        <v>1.230811386372878E-5</v>
      </c>
      <c r="BO108" s="1">
        <v>1.230811386372878E-5</v>
      </c>
      <c r="BP108" s="1">
        <v>1.230811386372878E-5</v>
      </c>
      <c r="BQ108" s="1">
        <v>1.230811386372878E-5</v>
      </c>
      <c r="BR108" s="1">
        <v>1.230811386372878E-5</v>
      </c>
      <c r="BS108" s="1">
        <v>1.230811386372878E-5</v>
      </c>
      <c r="BT108" s="1">
        <v>1.230811386372878E-5</v>
      </c>
      <c r="BU108" s="1">
        <v>1.230811386372878E-5</v>
      </c>
      <c r="BV108" s="1">
        <v>1.230811386372878E-5</v>
      </c>
      <c r="BW108" s="1">
        <v>1.230811386372878E-5</v>
      </c>
      <c r="BX108" s="1">
        <v>1.230811386372878E-5</v>
      </c>
      <c r="BY108" s="1">
        <v>1.230811386372878E-5</v>
      </c>
      <c r="BZ108" s="1">
        <v>1.230811386372878E-5</v>
      </c>
      <c r="CA108" s="1">
        <v>1.230811386372878E-5</v>
      </c>
      <c r="CB108" s="1">
        <v>1.230811386372878E-5</v>
      </c>
      <c r="CC108" s="1">
        <v>1.230811386372878E-5</v>
      </c>
    </row>
    <row r="109" spans="1:81" x14ac:dyDescent="0.75">
      <c r="A109" t="s">
        <v>57</v>
      </c>
      <c r="B109">
        <v>0</v>
      </c>
      <c r="C109">
        <v>0</v>
      </c>
      <c r="D109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</row>
    <row r="110" spans="1:81" x14ac:dyDescent="0.75">
      <c r="A110" t="s">
        <v>58</v>
      </c>
      <c r="B110">
        <v>0</v>
      </c>
      <c r="C110">
        <v>0</v>
      </c>
      <c r="D110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</row>
    <row r="111" spans="1:81" x14ac:dyDescent="0.75">
      <c r="A111" t="s">
        <v>59</v>
      </c>
      <c r="B111">
        <v>1.010572034981499E-5</v>
      </c>
      <c r="C111">
        <v>1.4061485389252906E-5</v>
      </c>
      <c r="D111">
        <v>1.0907244277281626E-5</v>
      </c>
      <c r="E111" s="1">
        <v>9.4884162761654525E-6</v>
      </c>
      <c r="F111" s="1">
        <v>8.2431736221717939E-6</v>
      </c>
      <c r="G111" s="1">
        <v>6.222373878434911E-6</v>
      </c>
      <c r="H111" s="1">
        <v>8.1538604327725013E-6</v>
      </c>
      <c r="I111" s="1">
        <v>1.0085346987110093E-5</v>
      </c>
      <c r="J111" s="1">
        <v>1.0165895745183614E-5</v>
      </c>
      <c r="K111" s="1">
        <v>1.0173359406092931E-5</v>
      </c>
      <c r="L111" s="1">
        <v>1.0398503412779694E-5</v>
      </c>
      <c r="M111" s="1">
        <v>1.0227797067876952E-5</v>
      </c>
      <c r="N111" s="1">
        <v>1.0351942432387018E-5</v>
      </c>
      <c r="O111" s="1">
        <v>1.0649022304305715E-5</v>
      </c>
      <c r="P111" s="1">
        <v>1.0716089800451591E-5</v>
      </c>
      <c r="Q111" s="1">
        <v>1.0755848147987751E-5</v>
      </c>
      <c r="R111" s="1">
        <v>1.0948957192511546E-5</v>
      </c>
      <c r="S111" s="1">
        <v>1.1071603771111642E-5</v>
      </c>
      <c r="T111" s="1">
        <v>1.1233966711714263E-5</v>
      </c>
      <c r="U111" s="1">
        <v>1.1339020375313828E-5</v>
      </c>
      <c r="V111" s="1">
        <v>1.1378038605768718E-5</v>
      </c>
      <c r="W111" s="1">
        <v>1.1335429147576459E-5</v>
      </c>
      <c r="X111" s="1">
        <v>1.1429540209421617E-5</v>
      </c>
      <c r="Y111" s="1">
        <v>1.1491443484930471E-5</v>
      </c>
      <c r="Z111" s="1">
        <v>1.1595688682905637E-5</v>
      </c>
      <c r="AA111" s="1">
        <v>1.1917823177918667E-5</v>
      </c>
      <c r="AB111" s="1">
        <v>1.1930454965096033E-5</v>
      </c>
      <c r="AC111" s="1">
        <v>1.2001565765771667E-5</v>
      </c>
      <c r="AD111" s="1">
        <v>1.2146394375839298E-5</v>
      </c>
      <c r="AE111" s="1">
        <v>1.230811386372878E-5</v>
      </c>
      <c r="AF111" s="1">
        <v>1.230811386372878E-5</v>
      </c>
      <c r="AG111" s="1">
        <v>1.230811386372878E-5</v>
      </c>
      <c r="AH111" s="1">
        <v>1.230811386372878E-5</v>
      </c>
      <c r="AI111" s="1">
        <v>1.230811386372878E-5</v>
      </c>
      <c r="AJ111" s="1">
        <v>1.230811386372878E-5</v>
      </c>
      <c r="AK111" s="1">
        <v>1.230811386372878E-5</v>
      </c>
      <c r="AL111" s="1">
        <v>1.230811386372878E-5</v>
      </c>
      <c r="AM111" s="1">
        <v>1.230811386372878E-5</v>
      </c>
      <c r="AN111" s="1">
        <v>1.230811386372878E-5</v>
      </c>
      <c r="AO111" s="1">
        <v>1.230811386372878E-5</v>
      </c>
      <c r="AP111" s="1">
        <v>1.230811386372878E-5</v>
      </c>
      <c r="AQ111" s="1">
        <v>1.230811386372878E-5</v>
      </c>
      <c r="AR111" s="1">
        <v>1.230811386372878E-5</v>
      </c>
      <c r="AS111" s="1">
        <v>1.230811386372878E-5</v>
      </c>
      <c r="AT111" s="1">
        <v>1.230811386372878E-5</v>
      </c>
      <c r="AU111" s="1">
        <v>1.230811386372878E-5</v>
      </c>
      <c r="AV111" s="1">
        <v>1.230811386372878E-5</v>
      </c>
      <c r="AW111" s="1">
        <v>1.230811386372878E-5</v>
      </c>
      <c r="AX111" s="1">
        <v>1.230811386372878E-5</v>
      </c>
      <c r="AY111" s="1">
        <v>1.230811386372878E-5</v>
      </c>
      <c r="AZ111" s="1">
        <v>1.230811386372878E-5</v>
      </c>
      <c r="BA111" s="1">
        <v>1.230811386372878E-5</v>
      </c>
      <c r="BB111" s="1">
        <v>1.230811386372878E-5</v>
      </c>
      <c r="BC111" s="1">
        <v>1.230811386372878E-5</v>
      </c>
      <c r="BD111" s="1">
        <v>1.230811386372878E-5</v>
      </c>
      <c r="BE111" s="1">
        <v>1.230811386372878E-5</v>
      </c>
      <c r="BF111" s="1">
        <v>1.230811386372878E-5</v>
      </c>
      <c r="BG111" s="1">
        <v>1.230811386372878E-5</v>
      </c>
      <c r="BH111" s="1">
        <v>1.230811386372878E-5</v>
      </c>
      <c r="BI111" s="1">
        <v>1.230811386372878E-5</v>
      </c>
      <c r="BJ111" s="1">
        <v>1.230811386372878E-5</v>
      </c>
      <c r="BK111" s="1">
        <v>1.230811386372878E-5</v>
      </c>
      <c r="BL111" s="1">
        <v>1.230811386372878E-5</v>
      </c>
      <c r="BM111" s="1">
        <v>1.230811386372878E-5</v>
      </c>
      <c r="BN111" s="1">
        <v>1.230811386372878E-5</v>
      </c>
      <c r="BO111" s="1">
        <v>1.230811386372878E-5</v>
      </c>
      <c r="BP111" s="1">
        <v>1.230811386372878E-5</v>
      </c>
      <c r="BQ111" s="1">
        <v>1.230811386372878E-5</v>
      </c>
      <c r="BR111" s="1">
        <v>1.230811386372878E-5</v>
      </c>
      <c r="BS111" s="1">
        <v>1.230811386372878E-5</v>
      </c>
      <c r="BT111" s="1">
        <v>1.230811386372878E-5</v>
      </c>
      <c r="BU111" s="1">
        <v>1.230811386372878E-5</v>
      </c>
      <c r="BV111" s="1">
        <v>1.230811386372878E-5</v>
      </c>
      <c r="BW111" s="1">
        <v>1.230811386372878E-5</v>
      </c>
      <c r="BX111" s="1">
        <v>1.230811386372878E-5</v>
      </c>
      <c r="BY111" s="1">
        <v>1.230811386372878E-5</v>
      </c>
      <c r="BZ111" s="1">
        <v>1.230811386372878E-5</v>
      </c>
      <c r="CA111" s="1">
        <v>1.230811386372878E-5</v>
      </c>
      <c r="CB111" s="1">
        <v>1.230811386372878E-5</v>
      </c>
      <c r="CC111" s="1">
        <v>1.230811386372878E-5</v>
      </c>
    </row>
    <row r="112" spans="1:81" s="3" customFormat="1" x14ac:dyDescent="0.75">
      <c r="A112" s="5" t="s">
        <v>47</v>
      </c>
    </row>
    <row r="113" spans="1:81" x14ac:dyDescent="0.75">
      <c r="A113" t="s">
        <v>30</v>
      </c>
      <c r="B113">
        <v>2021</v>
      </c>
      <c r="C113">
        <v>2022</v>
      </c>
      <c r="D113">
        <v>2023</v>
      </c>
      <c r="E113">
        <v>2024</v>
      </c>
      <c r="F113">
        <v>2025</v>
      </c>
      <c r="G113">
        <v>2026</v>
      </c>
      <c r="H113">
        <v>2027</v>
      </c>
      <c r="I113">
        <v>2028</v>
      </c>
      <c r="J113">
        <v>2029</v>
      </c>
      <c r="K113">
        <v>2030</v>
      </c>
      <c r="L113">
        <v>2031</v>
      </c>
      <c r="M113">
        <v>2032</v>
      </c>
      <c r="N113">
        <v>2033</v>
      </c>
      <c r="O113">
        <v>2034</v>
      </c>
      <c r="P113">
        <v>2035</v>
      </c>
      <c r="Q113">
        <v>2036</v>
      </c>
      <c r="R113">
        <v>2037</v>
      </c>
      <c r="S113">
        <v>2038</v>
      </c>
      <c r="T113">
        <v>2039</v>
      </c>
      <c r="U113">
        <v>2040</v>
      </c>
      <c r="V113">
        <v>2041</v>
      </c>
      <c r="W113">
        <v>2042</v>
      </c>
      <c r="X113">
        <v>2043</v>
      </c>
      <c r="Y113">
        <v>2044</v>
      </c>
      <c r="Z113">
        <v>2045</v>
      </c>
      <c r="AA113">
        <v>2046</v>
      </c>
      <c r="AB113">
        <v>2047</v>
      </c>
      <c r="AC113">
        <v>2048</v>
      </c>
      <c r="AD113">
        <v>2049</v>
      </c>
      <c r="AE113">
        <v>2050</v>
      </c>
    </row>
    <row r="114" spans="1:81" x14ac:dyDescent="0.75">
      <c r="A114" t="s">
        <v>52</v>
      </c>
      <c r="B114">
        <v>1.700361010830325E-5</v>
      </c>
      <c r="C114">
        <v>2.641227436823105E-5</v>
      </c>
      <c r="D114">
        <v>2.1141155234657041E-5</v>
      </c>
      <c r="E114" s="1">
        <v>1.3105788410335773E-5</v>
      </c>
      <c r="F114" s="1">
        <v>1.3105788410335772E-5</v>
      </c>
      <c r="G114" s="1">
        <v>1.2086449311754101E-5</v>
      </c>
      <c r="H114" s="1">
        <v>1.063308103052346E-5</v>
      </c>
      <c r="I114" s="1">
        <v>9.1797127492928201E-6</v>
      </c>
      <c r="J114" s="1">
        <v>9.2185639578774818E-6</v>
      </c>
      <c r="K114" s="1">
        <v>9.2450282899342299E-6</v>
      </c>
      <c r="L114" s="1">
        <v>9.3985729289642608E-6</v>
      </c>
      <c r="M114" s="1">
        <v>9.3339379475820991E-6</v>
      </c>
      <c r="N114" s="1">
        <v>9.4247636412983145E-6</v>
      </c>
      <c r="O114" s="1">
        <v>9.6299225925596225E-6</v>
      </c>
      <c r="P114" s="1">
        <v>9.6938860888059891E-6</v>
      </c>
      <c r="Q114" s="1">
        <v>9.6434234922442165E-6</v>
      </c>
      <c r="R114" s="1">
        <v>9.6777557873474391E-6</v>
      </c>
      <c r="S114" s="1">
        <v>9.7969478889988418E-6</v>
      </c>
      <c r="T114" s="1">
        <v>9.8733799288842247E-6</v>
      </c>
      <c r="U114" s="1">
        <v>9.8913976480217753E-6</v>
      </c>
      <c r="V114" s="1">
        <v>9.9333354546007136E-6</v>
      </c>
      <c r="W114" s="1">
        <v>9.9226866217195091E-6</v>
      </c>
      <c r="X114" s="1">
        <v>1.0001013059378865E-5</v>
      </c>
      <c r="Y114" s="1">
        <v>1.0097956108323903E-5</v>
      </c>
      <c r="Z114" s="1">
        <v>1.018685389981032E-5</v>
      </c>
      <c r="AA114" s="1">
        <v>1.0190916315080938E-5</v>
      </c>
      <c r="AB114" s="1">
        <v>1.0185806187555815E-5</v>
      </c>
      <c r="AC114" s="1">
        <v>1.0237081267171712E-5</v>
      </c>
      <c r="AD114" s="1">
        <v>1.0319279563509094E-5</v>
      </c>
      <c r="AE114" s="1">
        <v>1.0456409113205928E-5</v>
      </c>
      <c r="AF114" s="1">
        <v>1.0456409113205928E-5</v>
      </c>
      <c r="AG114" s="1">
        <v>1.0456409113205928E-5</v>
      </c>
      <c r="AH114" s="1">
        <v>1.0456409113205928E-5</v>
      </c>
      <c r="AI114" s="1">
        <v>1.0456409113205928E-5</v>
      </c>
      <c r="AJ114" s="1">
        <v>1.0456409113205928E-5</v>
      </c>
      <c r="AK114" s="1">
        <v>1.0456409113205928E-5</v>
      </c>
      <c r="AL114" s="1">
        <v>1.0456409113205928E-5</v>
      </c>
      <c r="AM114" s="1">
        <v>1.0456409113205928E-5</v>
      </c>
      <c r="AN114" s="1">
        <v>1.0456409113205928E-5</v>
      </c>
      <c r="AO114" s="1">
        <v>1.0456409113205928E-5</v>
      </c>
      <c r="AP114" s="1">
        <v>1.0456409113205928E-5</v>
      </c>
      <c r="AQ114" s="1">
        <v>1.0456409113205928E-5</v>
      </c>
      <c r="AR114" s="1">
        <v>1.0456409113205928E-5</v>
      </c>
      <c r="AS114" s="1">
        <v>1.0456409113205928E-5</v>
      </c>
      <c r="AT114" s="1">
        <v>1.0456409113205928E-5</v>
      </c>
      <c r="AU114" s="1">
        <v>1.0456409113205928E-5</v>
      </c>
      <c r="AV114" s="1">
        <v>1.0456409113205928E-5</v>
      </c>
      <c r="AW114" s="1">
        <v>1.0456409113205928E-5</v>
      </c>
      <c r="AX114" s="1">
        <v>1.0456409113205928E-5</v>
      </c>
      <c r="AY114" s="1">
        <v>1.0456409113205928E-5</v>
      </c>
      <c r="AZ114" s="1">
        <v>1.0456409113205928E-5</v>
      </c>
      <c r="BA114" s="1">
        <v>1.0456409113205928E-5</v>
      </c>
      <c r="BB114" s="1">
        <v>1.0456409113205928E-5</v>
      </c>
      <c r="BC114" s="1">
        <v>1.0456409113205928E-5</v>
      </c>
      <c r="BD114" s="1">
        <v>1.0456409113205928E-5</v>
      </c>
      <c r="BE114" s="1">
        <v>1.0456409113205928E-5</v>
      </c>
      <c r="BF114" s="1">
        <v>1.0456409113205928E-5</v>
      </c>
      <c r="BG114" s="1">
        <v>1.0456409113205928E-5</v>
      </c>
      <c r="BH114" s="1">
        <v>1.0456409113205928E-5</v>
      </c>
      <c r="BI114" s="1">
        <v>1.0456409113205928E-5</v>
      </c>
      <c r="BJ114" s="1">
        <v>1.0456409113205928E-5</v>
      </c>
      <c r="BK114" s="1">
        <v>1.0456409113205928E-5</v>
      </c>
      <c r="BL114" s="1">
        <v>1.0456409113205928E-5</v>
      </c>
      <c r="BM114" s="1">
        <v>1.0456409113205928E-5</v>
      </c>
      <c r="BN114" s="1">
        <v>1.0456409113205928E-5</v>
      </c>
      <c r="BO114" s="1">
        <v>1.0456409113205928E-5</v>
      </c>
      <c r="BP114" s="1">
        <v>1.0456409113205928E-5</v>
      </c>
      <c r="BQ114" s="1">
        <v>1.0456409113205928E-5</v>
      </c>
      <c r="BR114" s="1">
        <v>1.0456409113205928E-5</v>
      </c>
      <c r="BS114" s="1">
        <v>1.0456409113205928E-5</v>
      </c>
      <c r="BT114" s="1">
        <v>1.0456409113205928E-5</v>
      </c>
      <c r="BU114" s="1">
        <v>1.0456409113205928E-5</v>
      </c>
      <c r="BV114" s="1">
        <v>1.0456409113205928E-5</v>
      </c>
      <c r="BW114" s="1">
        <v>1.0456409113205928E-5</v>
      </c>
      <c r="BX114" s="1">
        <v>1.0456409113205928E-5</v>
      </c>
      <c r="BY114" s="1">
        <v>1.0456409113205928E-5</v>
      </c>
      <c r="BZ114" s="1">
        <v>1.0456409113205928E-5</v>
      </c>
      <c r="CA114" s="1">
        <v>1.0456409113205928E-5</v>
      </c>
      <c r="CB114" s="1">
        <v>1.0456409113205928E-5</v>
      </c>
      <c r="CC114" s="1">
        <v>1.0456409113205928E-5</v>
      </c>
    </row>
    <row r="115" spans="1:81" x14ac:dyDescent="0.75">
      <c r="A115" t="s">
        <v>53</v>
      </c>
      <c r="B115">
        <v>1.7895894821792879E-5</v>
      </c>
      <c r="C115">
        <v>3.7317160546000643E-5</v>
      </c>
      <c r="D115">
        <v>2.5262351143948089E-5</v>
      </c>
      <c r="E115" s="1">
        <v>1.6496803791870166E-5</v>
      </c>
      <c r="F115" s="1">
        <v>1.5796282022652626E-5</v>
      </c>
      <c r="G115" s="1">
        <v>1.5095760253435084E-5</v>
      </c>
      <c r="H115" s="1">
        <v>1.4395238484217543E-5</v>
      </c>
      <c r="I115" s="1">
        <v>1.3694716715000001E-5</v>
      </c>
      <c r="J115" s="1">
        <v>1.374066355E-5</v>
      </c>
      <c r="K115" s="1">
        <v>1.3804506029999999E-5</v>
      </c>
      <c r="L115" s="1">
        <v>1.3837776685000001E-5</v>
      </c>
      <c r="M115" s="1">
        <v>1.3905235660000001E-5</v>
      </c>
      <c r="N115" s="1">
        <v>1.3964619340000001E-5</v>
      </c>
      <c r="O115" s="1">
        <v>1.4020533319999999E-5</v>
      </c>
      <c r="P115" s="1">
        <v>1.4113751285E-5</v>
      </c>
      <c r="Q115" s="1">
        <v>1.415505092E-5</v>
      </c>
      <c r="R115" s="1">
        <v>1.4203701294999999E-5</v>
      </c>
      <c r="S115" s="1">
        <v>1.4259440219999998E-5</v>
      </c>
      <c r="T115" s="1">
        <v>1.430455888E-5</v>
      </c>
      <c r="U115" s="1">
        <v>1.4314474214999998E-5</v>
      </c>
      <c r="V115" s="1">
        <v>1.4295083145000001E-5</v>
      </c>
      <c r="W115" s="1">
        <v>1.4213215495000002E-5</v>
      </c>
      <c r="X115" s="1">
        <v>1.4120440270000001E-5</v>
      </c>
      <c r="Y115" s="1">
        <v>1.3970152805E-5</v>
      </c>
      <c r="Z115" s="1">
        <v>1.3800121805E-5</v>
      </c>
      <c r="AA115" s="1">
        <v>1.3972320975E-5</v>
      </c>
      <c r="AB115" s="1">
        <v>1.399364079E-5</v>
      </c>
      <c r="AC115" s="1">
        <v>1.4076134084999999E-5</v>
      </c>
      <c r="AD115" s="1">
        <v>1.415107097E-5</v>
      </c>
      <c r="AE115" s="1">
        <v>1.420262663E-5</v>
      </c>
      <c r="AF115" s="1">
        <v>1.420262663E-5</v>
      </c>
      <c r="AG115" s="1">
        <v>1.420262663E-5</v>
      </c>
      <c r="AH115" s="1">
        <v>1.420262663E-5</v>
      </c>
      <c r="AI115" s="1">
        <v>1.420262663E-5</v>
      </c>
      <c r="AJ115" s="1">
        <v>1.420262663E-5</v>
      </c>
      <c r="AK115" s="1">
        <v>1.420262663E-5</v>
      </c>
      <c r="AL115" s="1">
        <v>1.420262663E-5</v>
      </c>
      <c r="AM115" s="1">
        <v>1.420262663E-5</v>
      </c>
      <c r="AN115" s="1">
        <v>1.420262663E-5</v>
      </c>
      <c r="AO115" s="1">
        <v>1.420262663E-5</v>
      </c>
      <c r="AP115" s="1">
        <v>1.420262663E-5</v>
      </c>
      <c r="AQ115" s="1">
        <v>1.420262663E-5</v>
      </c>
      <c r="AR115" s="1">
        <v>1.420262663E-5</v>
      </c>
      <c r="AS115" s="1">
        <v>1.420262663E-5</v>
      </c>
      <c r="AT115" s="1">
        <v>1.420262663E-5</v>
      </c>
      <c r="AU115" s="1">
        <v>1.420262663E-5</v>
      </c>
      <c r="AV115" s="1">
        <v>1.420262663E-5</v>
      </c>
      <c r="AW115" s="1">
        <v>1.420262663E-5</v>
      </c>
      <c r="AX115" s="1">
        <v>1.420262663E-5</v>
      </c>
      <c r="AY115" s="1">
        <v>1.420262663E-5</v>
      </c>
      <c r="AZ115" s="1">
        <v>1.420262663E-5</v>
      </c>
      <c r="BA115" s="1">
        <v>1.420262663E-5</v>
      </c>
      <c r="BB115" s="1">
        <v>1.420262663E-5</v>
      </c>
      <c r="BC115" s="1">
        <v>1.420262663E-5</v>
      </c>
      <c r="BD115" s="1">
        <v>1.420262663E-5</v>
      </c>
      <c r="BE115" s="1">
        <v>1.420262663E-5</v>
      </c>
      <c r="BF115" s="1">
        <v>1.420262663E-5</v>
      </c>
      <c r="BG115" s="1">
        <v>1.420262663E-5</v>
      </c>
      <c r="BH115" s="1">
        <v>1.420262663E-5</v>
      </c>
      <c r="BI115" s="1">
        <v>1.420262663E-5</v>
      </c>
      <c r="BJ115" s="1">
        <v>1.420262663E-5</v>
      </c>
      <c r="BK115" s="1">
        <v>1.420262663E-5</v>
      </c>
      <c r="BL115" s="1">
        <v>1.420262663E-5</v>
      </c>
      <c r="BM115" s="1">
        <v>1.420262663E-5</v>
      </c>
      <c r="BN115" s="1">
        <v>1.420262663E-5</v>
      </c>
      <c r="BO115" s="1">
        <v>1.420262663E-5</v>
      </c>
      <c r="BP115" s="1">
        <v>1.420262663E-5</v>
      </c>
      <c r="BQ115" s="1">
        <v>1.420262663E-5</v>
      </c>
      <c r="BR115" s="1">
        <v>1.420262663E-5</v>
      </c>
      <c r="BS115" s="1">
        <v>1.420262663E-5</v>
      </c>
      <c r="BT115" s="1">
        <v>1.420262663E-5</v>
      </c>
      <c r="BU115" s="1">
        <v>1.420262663E-5</v>
      </c>
      <c r="BV115" s="1">
        <v>1.420262663E-5</v>
      </c>
      <c r="BW115" s="1">
        <v>1.420262663E-5</v>
      </c>
      <c r="BX115" s="1">
        <v>1.420262663E-5</v>
      </c>
      <c r="BY115" s="1">
        <v>1.420262663E-5</v>
      </c>
      <c r="BZ115" s="1">
        <v>1.420262663E-5</v>
      </c>
      <c r="CA115" s="1">
        <v>1.420262663E-5</v>
      </c>
      <c r="CB115" s="1">
        <v>1.420262663E-5</v>
      </c>
      <c r="CC115" s="1">
        <v>1.420262663E-5</v>
      </c>
    </row>
    <row r="116" spans="1:81" x14ac:dyDescent="0.75">
      <c r="A116" t="s">
        <v>54</v>
      </c>
      <c r="B116">
        <v>8.9573387735846202E-6</v>
      </c>
      <c r="C116">
        <v>2.1671296678884299E-5</v>
      </c>
      <c r="D116">
        <v>1.0691695223889337E-5</v>
      </c>
      <c r="E116" s="1">
        <v>7.2810443478551944E-6</v>
      </c>
      <c r="F116" s="1">
        <v>7.2837256281778003E-6</v>
      </c>
      <c r="G116" s="1">
        <v>7.2864069085004062E-6</v>
      </c>
      <c r="H116" s="1">
        <v>7.2890881888230121E-6</v>
      </c>
      <c r="I116" s="1">
        <v>7.2917694691456197E-6</v>
      </c>
      <c r="J116" s="1">
        <v>8.1561900138979583E-6</v>
      </c>
      <c r="K116" s="1">
        <v>9.0089635721888638E-6</v>
      </c>
      <c r="L116" s="1">
        <v>9.2094346916705316E-6</v>
      </c>
      <c r="M116" s="1">
        <v>9.1213800956560922E-6</v>
      </c>
      <c r="N116" s="1">
        <v>9.2383951056873798E-6</v>
      </c>
      <c r="O116" s="1">
        <v>9.4955278440707439E-6</v>
      </c>
      <c r="P116" s="1">
        <v>9.5661252225734599E-6</v>
      </c>
      <c r="Q116" s="1">
        <v>9.4455001074253953E-6</v>
      </c>
      <c r="R116" s="1">
        <v>9.4924412460764675E-6</v>
      </c>
      <c r="S116" s="1">
        <v>9.6757385399020584E-6</v>
      </c>
      <c r="T116" s="1">
        <v>9.7815909820625951E-6</v>
      </c>
      <c r="U116" s="1">
        <v>9.8605065397371355E-6</v>
      </c>
      <c r="V116" s="1">
        <v>9.9163424134042793E-6</v>
      </c>
      <c r="W116" s="1">
        <v>9.9046584324395121E-6</v>
      </c>
      <c r="X116" s="1">
        <v>1.0007540146182225E-5</v>
      </c>
      <c r="Y116" s="1">
        <v>1.0096011453866177E-5</v>
      </c>
      <c r="Z116" s="1">
        <v>1.0246385035752832E-5</v>
      </c>
      <c r="AA116" s="1">
        <v>1.0253510316694845E-5</v>
      </c>
      <c r="AB116" s="1">
        <v>1.0248832257048157E-5</v>
      </c>
      <c r="AC116" s="1">
        <v>1.0314396289070388E-5</v>
      </c>
      <c r="AD116" s="1">
        <v>1.041782943031547E-5</v>
      </c>
      <c r="AE116" s="1">
        <v>1.05891698214631E-5</v>
      </c>
      <c r="AF116" s="1">
        <v>1.05891698214631E-5</v>
      </c>
      <c r="AG116" s="1">
        <v>1.05891698214631E-5</v>
      </c>
      <c r="AH116" s="1">
        <v>1.05891698214631E-5</v>
      </c>
      <c r="AI116" s="1">
        <v>1.05891698214631E-5</v>
      </c>
      <c r="AJ116" s="1">
        <v>1.05891698214631E-5</v>
      </c>
      <c r="AK116" s="1">
        <v>1.05891698214631E-5</v>
      </c>
      <c r="AL116" s="1">
        <v>1.05891698214631E-5</v>
      </c>
      <c r="AM116" s="1">
        <v>1.05891698214631E-5</v>
      </c>
      <c r="AN116" s="1">
        <v>1.05891698214631E-5</v>
      </c>
      <c r="AO116" s="1">
        <v>1.05891698214631E-5</v>
      </c>
      <c r="AP116" s="1">
        <v>1.05891698214631E-5</v>
      </c>
      <c r="AQ116" s="1">
        <v>1.05891698214631E-5</v>
      </c>
      <c r="AR116" s="1">
        <v>1.05891698214631E-5</v>
      </c>
      <c r="AS116" s="1">
        <v>1.05891698214631E-5</v>
      </c>
      <c r="AT116" s="1">
        <v>1.05891698214631E-5</v>
      </c>
      <c r="AU116" s="1">
        <v>1.05891698214631E-5</v>
      </c>
      <c r="AV116" s="1">
        <v>1.05891698214631E-5</v>
      </c>
      <c r="AW116" s="1">
        <v>1.05891698214631E-5</v>
      </c>
      <c r="AX116" s="1">
        <v>1.05891698214631E-5</v>
      </c>
      <c r="AY116" s="1">
        <v>1.05891698214631E-5</v>
      </c>
      <c r="AZ116" s="1">
        <v>1.05891698214631E-5</v>
      </c>
      <c r="BA116" s="1">
        <v>1.05891698214631E-5</v>
      </c>
      <c r="BB116" s="1">
        <v>1.05891698214631E-5</v>
      </c>
      <c r="BC116" s="1">
        <v>1.05891698214631E-5</v>
      </c>
      <c r="BD116" s="1">
        <v>1.05891698214631E-5</v>
      </c>
      <c r="BE116" s="1">
        <v>1.05891698214631E-5</v>
      </c>
      <c r="BF116" s="1">
        <v>1.05891698214631E-5</v>
      </c>
      <c r="BG116" s="1">
        <v>1.05891698214631E-5</v>
      </c>
      <c r="BH116" s="1">
        <v>1.05891698214631E-5</v>
      </c>
      <c r="BI116" s="1">
        <v>1.05891698214631E-5</v>
      </c>
      <c r="BJ116" s="1">
        <v>1.05891698214631E-5</v>
      </c>
      <c r="BK116" s="1">
        <v>1.05891698214631E-5</v>
      </c>
      <c r="BL116" s="1">
        <v>1.05891698214631E-5</v>
      </c>
      <c r="BM116" s="1">
        <v>1.05891698214631E-5</v>
      </c>
      <c r="BN116" s="1">
        <v>1.05891698214631E-5</v>
      </c>
      <c r="BO116" s="1">
        <v>1.05891698214631E-5</v>
      </c>
      <c r="BP116" s="1">
        <v>1.05891698214631E-5</v>
      </c>
      <c r="BQ116" s="1">
        <v>1.05891698214631E-5</v>
      </c>
      <c r="BR116" s="1">
        <v>1.05891698214631E-5</v>
      </c>
      <c r="BS116" s="1">
        <v>1.05891698214631E-5</v>
      </c>
      <c r="BT116" s="1">
        <v>1.05891698214631E-5</v>
      </c>
      <c r="BU116" s="1">
        <v>1.05891698214631E-5</v>
      </c>
      <c r="BV116" s="1">
        <v>1.05891698214631E-5</v>
      </c>
      <c r="BW116" s="1">
        <v>1.05891698214631E-5</v>
      </c>
      <c r="BX116" s="1">
        <v>1.05891698214631E-5</v>
      </c>
      <c r="BY116" s="1">
        <v>1.05891698214631E-5</v>
      </c>
      <c r="BZ116" s="1">
        <v>1.05891698214631E-5</v>
      </c>
      <c r="CA116" s="1">
        <v>1.05891698214631E-5</v>
      </c>
      <c r="CB116" s="1">
        <v>1.05891698214631E-5</v>
      </c>
      <c r="CC116" s="1">
        <v>1.05891698214631E-5</v>
      </c>
    </row>
    <row r="117" spans="1:81" x14ac:dyDescent="0.75">
      <c r="A117" t="s">
        <v>55</v>
      </c>
      <c r="B117">
        <v>8.9573387735846202E-6</v>
      </c>
      <c r="C117">
        <v>2.1671296678884299E-5</v>
      </c>
      <c r="D117">
        <v>1.0691695223889337E-5</v>
      </c>
      <c r="E117" s="1">
        <v>7.2810443478551944E-6</v>
      </c>
      <c r="F117" s="1">
        <v>7.2837256281778003E-6</v>
      </c>
      <c r="G117" s="1">
        <v>7.2864069085004062E-6</v>
      </c>
      <c r="H117" s="1">
        <v>7.2890881888230121E-6</v>
      </c>
      <c r="I117" s="1">
        <v>7.2917694691456197E-6</v>
      </c>
      <c r="J117" s="1">
        <v>8.1561900138979583E-6</v>
      </c>
      <c r="K117" s="1">
        <v>9.0089635721888638E-6</v>
      </c>
      <c r="L117" s="1">
        <v>9.2094346916705316E-6</v>
      </c>
      <c r="M117" s="1">
        <v>9.1213800956560922E-6</v>
      </c>
      <c r="N117" s="1">
        <v>9.2383951056873798E-6</v>
      </c>
      <c r="O117" s="1">
        <v>9.4955278440707439E-6</v>
      </c>
      <c r="P117" s="1">
        <v>9.5661252225734599E-6</v>
      </c>
      <c r="Q117" s="1">
        <v>9.4455001074253953E-6</v>
      </c>
      <c r="R117" s="1">
        <v>9.4924412460764675E-6</v>
      </c>
      <c r="S117" s="1">
        <v>9.6757385399020584E-6</v>
      </c>
      <c r="T117" s="1">
        <v>9.7815909820625951E-6</v>
      </c>
      <c r="U117" s="1">
        <v>9.8605065397371355E-6</v>
      </c>
      <c r="V117" s="1">
        <v>9.9163424134042793E-6</v>
      </c>
      <c r="W117" s="1">
        <v>9.9046584324395121E-6</v>
      </c>
      <c r="X117" s="1">
        <v>1.0007540146182225E-5</v>
      </c>
      <c r="Y117" s="1">
        <v>1.0096011453866177E-5</v>
      </c>
      <c r="Z117" s="1">
        <v>1.0246385035752832E-5</v>
      </c>
      <c r="AA117" s="1">
        <v>1.0253510316694845E-5</v>
      </c>
      <c r="AB117" s="1">
        <v>1.0248832257048157E-5</v>
      </c>
      <c r="AC117" s="1">
        <v>1.0314396289070388E-5</v>
      </c>
      <c r="AD117" s="1">
        <v>1.041782943031547E-5</v>
      </c>
      <c r="AE117" s="1">
        <v>1.05891698214631E-5</v>
      </c>
      <c r="AF117" s="1">
        <v>1.05891698214631E-5</v>
      </c>
      <c r="AG117" s="1">
        <v>1.05891698214631E-5</v>
      </c>
      <c r="AH117" s="1">
        <v>1.05891698214631E-5</v>
      </c>
      <c r="AI117" s="1">
        <v>1.05891698214631E-5</v>
      </c>
      <c r="AJ117" s="1">
        <v>1.05891698214631E-5</v>
      </c>
      <c r="AK117" s="1">
        <v>1.05891698214631E-5</v>
      </c>
      <c r="AL117" s="1">
        <v>1.05891698214631E-5</v>
      </c>
      <c r="AM117" s="1">
        <v>1.05891698214631E-5</v>
      </c>
      <c r="AN117" s="1">
        <v>1.05891698214631E-5</v>
      </c>
      <c r="AO117" s="1">
        <v>1.05891698214631E-5</v>
      </c>
      <c r="AP117" s="1">
        <v>1.05891698214631E-5</v>
      </c>
      <c r="AQ117" s="1">
        <v>1.05891698214631E-5</v>
      </c>
      <c r="AR117" s="1">
        <v>1.05891698214631E-5</v>
      </c>
      <c r="AS117" s="1">
        <v>1.05891698214631E-5</v>
      </c>
      <c r="AT117" s="1">
        <v>1.05891698214631E-5</v>
      </c>
      <c r="AU117" s="1">
        <v>1.05891698214631E-5</v>
      </c>
      <c r="AV117" s="1">
        <v>1.05891698214631E-5</v>
      </c>
      <c r="AW117" s="1">
        <v>1.05891698214631E-5</v>
      </c>
      <c r="AX117" s="1">
        <v>1.05891698214631E-5</v>
      </c>
      <c r="AY117" s="1">
        <v>1.05891698214631E-5</v>
      </c>
      <c r="AZ117" s="1">
        <v>1.05891698214631E-5</v>
      </c>
      <c r="BA117" s="1">
        <v>1.05891698214631E-5</v>
      </c>
      <c r="BB117" s="1">
        <v>1.05891698214631E-5</v>
      </c>
      <c r="BC117" s="1">
        <v>1.05891698214631E-5</v>
      </c>
      <c r="BD117" s="1">
        <v>1.05891698214631E-5</v>
      </c>
      <c r="BE117" s="1">
        <v>1.05891698214631E-5</v>
      </c>
      <c r="BF117" s="1">
        <v>1.05891698214631E-5</v>
      </c>
      <c r="BG117" s="1">
        <v>1.05891698214631E-5</v>
      </c>
      <c r="BH117" s="1">
        <v>1.05891698214631E-5</v>
      </c>
      <c r="BI117" s="1">
        <v>1.05891698214631E-5</v>
      </c>
      <c r="BJ117" s="1">
        <v>1.05891698214631E-5</v>
      </c>
      <c r="BK117" s="1">
        <v>1.05891698214631E-5</v>
      </c>
      <c r="BL117" s="1">
        <v>1.05891698214631E-5</v>
      </c>
      <c r="BM117" s="1">
        <v>1.05891698214631E-5</v>
      </c>
      <c r="BN117" s="1">
        <v>1.05891698214631E-5</v>
      </c>
      <c r="BO117" s="1">
        <v>1.05891698214631E-5</v>
      </c>
      <c r="BP117" s="1">
        <v>1.05891698214631E-5</v>
      </c>
      <c r="BQ117" s="1">
        <v>1.05891698214631E-5</v>
      </c>
      <c r="BR117" s="1">
        <v>1.05891698214631E-5</v>
      </c>
      <c r="BS117" s="1">
        <v>1.05891698214631E-5</v>
      </c>
      <c r="BT117" s="1">
        <v>1.05891698214631E-5</v>
      </c>
      <c r="BU117" s="1">
        <v>1.05891698214631E-5</v>
      </c>
      <c r="BV117" s="1">
        <v>1.05891698214631E-5</v>
      </c>
      <c r="BW117" s="1">
        <v>1.05891698214631E-5</v>
      </c>
      <c r="BX117" s="1">
        <v>1.05891698214631E-5</v>
      </c>
      <c r="BY117" s="1">
        <v>1.05891698214631E-5</v>
      </c>
      <c r="BZ117" s="1">
        <v>1.05891698214631E-5</v>
      </c>
      <c r="CA117" s="1">
        <v>1.05891698214631E-5</v>
      </c>
      <c r="CB117" s="1">
        <v>1.05891698214631E-5</v>
      </c>
      <c r="CC117" s="1">
        <v>1.05891698214631E-5</v>
      </c>
    </row>
    <row r="118" spans="1:81" x14ac:dyDescent="0.75">
      <c r="A118" t="s">
        <v>56</v>
      </c>
      <c r="B118">
        <v>9.7583626398075181E-6</v>
      </c>
      <c r="C118">
        <v>2.2900215327839849E-5</v>
      </c>
      <c r="D118">
        <v>1.1549577958782708E-5</v>
      </c>
      <c r="E118" s="1">
        <v>8.0363321535797844E-6</v>
      </c>
      <c r="F118" s="1">
        <v>8.210298246353254E-6</v>
      </c>
      <c r="G118" s="1">
        <v>8.3842643391267236E-6</v>
      </c>
      <c r="H118" s="1">
        <v>8.5582304319001932E-6</v>
      </c>
      <c r="I118" s="1">
        <v>8.7321965246736594E-6</v>
      </c>
      <c r="J118" s="1">
        <v>9.7686680342412469E-6</v>
      </c>
      <c r="K118" s="1">
        <v>1.0800683451182093E-5</v>
      </c>
      <c r="L118" s="1">
        <v>1.1002732072126232E-5</v>
      </c>
      <c r="M118" s="1">
        <v>1.0942659978823799E-5</v>
      </c>
      <c r="N118" s="1">
        <v>1.1091480489580364E-5</v>
      </c>
      <c r="O118" s="1">
        <v>1.1368151909794524E-5</v>
      </c>
      <c r="P118" s="1">
        <v>1.1449636142416804E-5</v>
      </c>
      <c r="Q118" s="1">
        <v>1.1347208832856425E-5</v>
      </c>
      <c r="R118" s="1">
        <v>1.1404757621828395E-5</v>
      </c>
      <c r="S118" s="1">
        <v>1.1576477032132719E-5</v>
      </c>
      <c r="T118" s="1">
        <v>1.1681378087349296E-5</v>
      </c>
      <c r="U118" s="1">
        <v>1.1756835007967832E-5</v>
      </c>
      <c r="V118" s="1">
        <v>1.1824075658801068E-5</v>
      </c>
      <c r="W118" s="1">
        <v>1.1826944477832384E-5</v>
      </c>
      <c r="X118" s="1">
        <v>1.1912813606112751E-5</v>
      </c>
      <c r="Y118" s="1">
        <v>1.2009437664717808E-5</v>
      </c>
      <c r="Z118" s="1">
        <v>1.2156021055037547E-5</v>
      </c>
      <c r="AA118" s="1">
        <v>1.2165882533206502E-5</v>
      </c>
      <c r="AB118" s="1">
        <v>1.2163820613153337E-5</v>
      </c>
      <c r="AC118" s="1">
        <v>1.2230054734292372E-5</v>
      </c>
      <c r="AD118" s="1">
        <v>1.2334437866462424E-5</v>
      </c>
      <c r="AE118" s="1">
        <v>1.2506075609655637E-5</v>
      </c>
      <c r="AF118" s="1">
        <v>1.2506075609655637E-5</v>
      </c>
      <c r="AG118" s="1">
        <v>1.2506075609655637E-5</v>
      </c>
      <c r="AH118" s="1">
        <v>1.2506075609655637E-5</v>
      </c>
      <c r="AI118" s="1">
        <v>1.2506075609655637E-5</v>
      </c>
      <c r="AJ118" s="1">
        <v>1.2506075609655637E-5</v>
      </c>
      <c r="AK118" s="1">
        <v>1.2506075609655637E-5</v>
      </c>
      <c r="AL118" s="1">
        <v>1.2506075609655637E-5</v>
      </c>
      <c r="AM118" s="1">
        <v>1.2506075609655637E-5</v>
      </c>
      <c r="AN118" s="1">
        <v>1.2506075609655637E-5</v>
      </c>
      <c r="AO118" s="1">
        <v>1.2506075609655637E-5</v>
      </c>
      <c r="AP118" s="1">
        <v>1.2506075609655637E-5</v>
      </c>
      <c r="AQ118" s="1">
        <v>1.2506075609655637E-5</v>
      </c>
      <c r="AR118" s="1">
        <v>1.2506075609655637E-5</v>
      </c>
      <c r="AS118" s="1">
        <v>1.2506075609655637E-5</v>
      </c>
      <c r="AT118" s="1">
        <v>1.2506075609655637E-5</v>
      </c>
      <c r="AU118" s="1">
        <v>1.2506075609655637E-5</v>
      </c>
      <c r="AV118" s="1">
        <v>1.2506075609655637E-5</v>
      </c>
      <c r="AW118" s="1">
        <v>1.2506075609655637E-5</v>
      </c>
      <c r="AX118" s="1">
        <v>1.2506075609655637E-5</v>
      </c>
      <c r="AY118" s="1">
        <v>1.2506075609655637E-5</v>
      </c>
      <c r="AZ118" s="1">
        <v>1.2506075609655637E-5</v>
      </c>
      <c r="BA118" s="1">
        <v>1.2506075609655637E-5</v>
      </c>
      <c r="BB118" s="1">
        <v>1.2506075609655637E-5</v>
      </c>
      <c r="BC118" s="1">
        <v>1.2506075609655637E-5</v>
      </c>
      <c r="BD118" s="1">
        <v>1.2506075609655637E-5</v>
      </c>
      <c r="BE118" s="1">
        <v>1.2506075609655637E-5</v>
      </c>
      <c r="BF118" s="1">
        <v>1.2506075609655637E-5</v>
      </c>
      <c r="BG118" s="1">
        <v>1.2506075609655637E-5</v>
      </c>
      <c r="BH118" s="1">
        <v>1.2506075609655637E-5</v>
      </c>
      <c r="BI118" s="1">
        <v>1.2506075609655637E-5</v>
      </c>
      <c r="BJ118" s="1">
        <v>1.2506075609655637E-5</v>
      </c>
      <c r="BK118" s="1">
        <v>1.2506075609655637E-5</v>
      </c>
      <c r="BL118" s="1">
        <v>1.2506075609655637E-5</v>
      </c>
      <c r="BM118" s="1">
        <v>1.2506075609655637E-5</v>
      </c>
      <c r="BN118" s="1">
        <v>1.2506075609655637E-5</v>
      </c>
      <c r="BO118" s="1">
        <v>1.2506075609655637E-5</v>
      </c>
      <c r="BP118" s="1">
        <v>1.2506075609655637E-5</v>
      </c>
      <c r="BQ118" s="1">
        <v>1.2506075609655637E-5</v>
      </c>
      <c r="BR118" s="1">
        <v>1.2506075609655637E-5</v>
      </c>
      <c r="BS118" s="1">
        <v>1.2506075609655637E-5</v>
      </c>
      <c r="BT118" s="1">
        <v>1.2506075609655637E-5</v>
      </c>
      <c r="BU118" s="1">
        <v>1.2506075609655637E-5</v>
      </c>
      <c r="BV118" s="1">
        <v>1.2506075609655637E-5</v>
      </c>
      <c r="BW118" s="1">
        <v>1.2506075609655637E-5</v>
      </c>
      <c r="BX118" s="1">
        <v>1.2506075609655637E-5</v>
      </c>
      <c r="BY118" s="1">
        <v>1.2506075609655637E-5</v>
      </c>
      <c r="BZ118" s="1">
        <v>1.2506075609655637E-5</v>
      </c>
      <c r="CA118" s="1">
        <v>1.2506075609655637E-5</v>
      </c>
      <c r="CB118" s="1">
        <v>1.2506075609655637E-5</v>
      </c>
      <c r="CC118" s="1">
        <v>1.2506075609655637E-5</v>
      </c>
    </row>
    <row r="119" spans="1:81" x14ac:dyDescent="0.75">
      <c r="A119" t="s">
        <v>57</v>
      </c>
      <c r="B119">
        <v>9.7583626398075181E-6</v>
      </c>
      <c r="C119">
        <v>2.2900215327839849E-5</v>
      </c>
      <c r="D119">
        <v>1.1549577958782708E-5</v>
      </c>
      <c r="E119" s="1">
        <v>8.0363321535797844E-6</v>
      </c>
      <c r="F119" s="1">
        <v>8.210298246353254E-6</v>
      </c>
      <c r="G119" s="1">
        <v>8.3842643391267236E-6</v>
      </c>
      <c r="H119" s="1">
        <v>8.5582304319001932E-6</v>
      </c>
      <c r="I119" s="1">
        <v>8.7321965246736594E-6</v>
      </c>
      <c r="J119" s="1">
        <v>9.7686680342412469E-6</v>
      </c>
      <c r="K119" s="1">
        <v>1.0800683451182093E-5</v>
      </c>
      <c r="L119" s="1">
        <v>1.1002732072126232E-5</v>
      </c>
      <c r="M119" s="1">
        <v>1.0942659978823799E-5</v>
      </c>
      <c r="N119" s="1">
        <v>1.1091480489580364E-5</v>
      </c>
      <c r="O119" s="1">
        <v>1.1368151909794524E-5</v>
      </c>
      <c r="P119" s="1">
        <v>1.1449636142416804E-5</v>
      </c>
      <c r="Q119" s="1">
        <v>1.1347208832856425E-5</v>
      </c>
      <c r="R119" s="1">
        <v>1.1404757621828395E-5</v>
      </c>
      <c r="S119" s="1">
        <v>1.1576477032132719E-5</v>
      </c>
      <c r="T119" s="1">
        <v>1.1681378087349296E-5</v>
      </c>
      <c r="U119" s="1">
        <v>1.1756835007967832E-5</v>
      </c>
      <c r="V119" s="1">
        <v>1.1824075658801068E-5</v>
      </c>
      <c r="W119" s="1">
        <v>1.1826944477832384E-5</v>
      </c>
      <c r="X119" s="1">
        <v>1.1912813606112751E-5</v>
      </c>
      <c r="Y119" s="1">
        <v>1.2009437664717808E-5</v>
      </c>
      <c r="Z119" s="1">
        <v>1.2156021055037547E-5</v>
      </c>
      <c r="AA119" s="1">
        <v>1.2165882533206502E-5</v>
      </c>
      <c r="AB119" s="1">
        <v>1.2163820613153337E-5</v>
      </c>
      <c r="AC119" s="1">
        <v>1.2230054734292372E-5</v>
      </c>
      <c r="AD119" s="1">
        <v>1.2334437866462424E-5</v>
      </c>
      <c r="AE119" s="1">
        <v>1.2506075609655637E-5</v>
      </c>
      <c r="AF119" s="1">
        <v>1.2506075609655637E-5</v>
      </c>
      <c r="AG119" s="1">
        <v>1.2506075609655637E-5</v>
      </c>
      <c r="AH119" s="1">
        <v>1.2506075609655637E-5</v>
      </c>
      <c r="AI119" s="1">
        <v>1.2506075609655637E-5</v>
      </c>
      <c r="AJ119" s="1">
        <v>1.2506075609655637E-5</v>
      </c>
      <c r="AK119" s="1">
        <v>1.2506075609655637E-5</v>
      </c>
      <c r="AL119" s="1">
        <v>1.2506075609655637E-5</v>
      </c>
      <c r="AM119" s="1">
        <v>1.2506075609655637E-5</v>
      </c>
      <c r="AN119" s="1">
        <v>1.2506075609655637E-5</v>
      </c>
      <c r="AO119" s="1">
        <v>1.2506075609655637E-5</v>
      </c>
      <c r="AP119" s="1">
        <v>1.2506075609655637E-5</v>
      </c>
      <c r="AQ119" s="1">
        <v>1.2506075609655637E-5</v>
      </c>
      <c r="AR119" s="1">
        <v>1.2506075609655637E-5</v>
      </c>
      <c r="AS119" s="1">
        <v>1.2506075609655637E-5</v>
      </c>
      <c r="AT119" s="1">
        <v>1.2506075609655637E-5</v>
      </c>
      <c r="AU119" s="1">
        <v>1.2506075609655637E-5</v>
      </c>
      <c r="AV119" s="1">
        <v>1.2506075609655637E-5</v>
      </c>
      <c r="AW119" s="1">
        <v>1.2506075609655637E-5</v>
      </c>
      <c r="AX119" s="1">
        <v>1.2506075609655637E-5</v>
      </c>
      <c r="AY119" s="1">
        <v>1.2506075609655637E-5</v>
      </c>
      <c r="AZ119" s="1">
        <v>1.2506075609655637E-5</v>
      </c>
      <c r="BA119" s="1">
        <v>1.2506075609655637E-5</v>
      </c>
      <c r="BB119" s="1">
        <v>1.2506075609655637E-5</v>
      </c>
      <c r="BC119" s="1">
        <v>1.2506075609655637E-5</v>
      </c>
      <c r="BD119" s="1">
        <v>1.2506075609655637E-5</v>
      </c>
      <c r="BE119" s="1">
        <v>1.2506075609655637E-5</v>
      </c>
      <c r="BF119" s="1">
        <v>1.2506075609655637E-5</v>
      </c>
      <c r="BG119" s="1">
        <v>1.2506075609655637E-5</v>
      </c>
      <c r="BH119" s="1">
        <v>1.2506075609655637E-5</v>
      </c>
      <c r="BI119" s="1">
        <v>1.2506075609655637E-5</v>
      </c>
      <c r="BJ119" s="1">
        <v>1.2506075609655637E-5</v>
      </c>
      <c r="BK119" s="1">
        <v>1.2506075609655637E-5</v>
      </c>
      <c r="BL119" s="1">
        <v>1.2506075609655637E-5</v>
      </c>
      <c r="BM119" s="1">
        <v>1.2506075609655637E-5</v>
      </c>
      <c r="BN119" s="1">
        <v>1.2506075609655637E-5</v>
      </c>
      <c r="BO119" s="1">
        <v>1.2506075609655637E-5</v>
      </c>
      <c r="BP119" s="1">
        <v>1.2506075609655637E-5</v>
      </c>
      <c r="BQ119" s="1">
        <v>1.2506075609655637E-5</v>
      </c>
      <c r="BR119" s="1">
        <v>1.2506075609655637E-5</v>
      </c>
      <c r="BS119" s="1">
        <v>1.2506075609655637E-5</v>
      </c>
      <c r="BT119" s="1">
        <v>1.2506075609655637E-5</v>
      </c>
      <c r="BU119" s="1">
        <v>1.2506075609655637E-5</v>
      </c>
      <c r="BV119" s="1">
        <v>1.2506075609655637E-5</v>
      </c>
      <c r="BW119" s="1">
        <v>1.2506075609655637E-5</v>
      </c>
      <c r="BX119" s="1">
        <v>1.2506075609655637E-5</v>
      </c>
      <c r="BY119" s="1">
        <v>1.2506075609655637E-5</v>
      </c>
      <c r="BZ119" s="1">
        <v>1.2506075609655637E-5</v>
      </c>
      <c r="CA119" s="1">
        <v>1.2506075609655637E-5</v>
      </c>
      <c r="CB119" s="1">
        <v>1.2506075609655637E-5</v>
      </c>
      <c r="CC119" s="1">
        <v>1.2506075609655637E-5</v>
      </c>
    </row>
    <row r="120" spans="1:81" x14ac:dyDescent="0.75">
      <c r="A120" t="s">
        <v>58</v>
      </c>
      <c r="B120">
        <v>0</v>
      </c>
      <c r="C120">
        <v>0</v>
      </c>
      <c r="D120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</row>
    <row r="121" spans="1:81" x14ac:dyDescent="0.75">
      <c r="A121" t="s">
        <v>59</v>
      </c>
      <c r="B121">
        <v>9.7583626398075181E-6</v>
      </c>
      <c r="C121">
        <v>2.2900215327839849E-5</v>
      </c>
      <c r="D121">
        <v>1.1549577958782708E-5</v>
      </c>
      <c r="E121" s="1">
        <v>8.0363321535797844E-6</v>
      </c>
      <c r="F121" s="1">
        <v>8.210298246353254E-6</v>
      </c>
      <c r="G121" s="1">
        <v>8.3842643391267236E-6</v>
      </c>
      <c r="H121" s="1">
        <v>8.5582304319001932E-6</v>
      </c>
      <c r="I121" s="1">
        <v>8.7321965246736594E-6</v>
      </c>
      <c r="J121" s="1">
        <v>9.7686680342412469E-6</v>
      </c>
      <c r="K121" s="1">
        <v>1.0800683451182093E-5</v>
      </c>
      <c r="L121" s="1">
        <v>1.1002732072126232E-5</v>
      </c>
      <c r="M121" s="1">
        <v>1.0942659978823799E-5</v>
      </c>
      <c r="N121" s="1">
        <v>1.1091480489580364E-5</v>
      </c>
      <c r="O121" s="1">
        <v>1.1368151909794524E-5</v>
      </c>
      <c r="P121" s="1">
        <v>1.1449636142416804E-5</v>
      </c>
      <c r="Q121" s="1">
        <v>1.1347208832856425E-5</v>
      </c>
      <c r="R121" s="1">
        <v>1.1404757621828395E-5</v>
      </c>
      <c r="S121" s="1">
        <v>1.1576477032132719E-5</v>
      </c>
      <c r="T121" s="1">
        <v>1.1681378087349296E-5</v>
      </c>
      <c r="U121" s="1">
        <v>1.1756835007967832E-5</v>
      </c>
      <c r="V121" s="1">
        <v>1.1824075658801068E-5</v>
      </c>
      <c r="W121" s="1">
        <v>1.1826944477832384E-5</v>
      </c>
      <c r="X121" s="1">
        <v>1.1912813606112751E-5</v>
      </c>
      <c r="Y121" s="1">
        <v>1.2009437664717808E-5</v>
      </c>
      <c r="Z121" s="1">
        <v>1.2156021055037547E-5</v>
      </c>
      <c r="AA121" s="1">
        <v>1.2165882533206502E-5</v>
      </c>
      <c r="AB121" s="1">
        <v>1.2163820613153337E-5</v>
      </c>
      <c r="AC121" s="1">
        <v>1.2230054734292372E-5</v>
      </c>
      <c r="AD121" s="1">
        <v>1.2334437866462424E-5</v>
      </c>
      <c r="AE121" s="1">
        <v>1.2506075609655637E-5</v>
      </c>
      <c r="AF121" s="1">
        <v>1.2506075609655637E-5</v>
      </c>
      <c r="AG121" s="1">
        <v>1.2506075609655637E-5</v>
      </c>
      <c r="AH121" s="1">
        <v>1.2506075609655637E-5</v>
      </c>
      <c r="AI121" s="1">
        <v>1.2506075609655637E-5</v>
      </c>
      <c r="AJ121" s="1">
        <v>1.2506075609655637E-5</v>
      </c>
      <c r="AK121" s="1">
        <v>1.2506075609655637E-5</v>
      </c>
      <c r="AL121" s="1">
        <v>1.2506075609655637E-5</v>
      </c>
      <c r="AM121" s="1">
        <v>1.2506075609655637E-5</v>
      </c>
      <c r="AN121" s="1">
        <v>1.2506075609655637E-5</v>
      </c>
      <c r="AO121" s="1">
        <v>1.2506075609655637E-5</v>
      </c>
      <c r="AP121" s="1">
        <v>1.2506075609655637E-5</v>
      </c>
      <c r="AQ121" s="1">
        <v>1.2506075609655637E-5</v>
      </c>
      <c r="AR121" s="1">
        <v>1.2506075609655637E-5</v>
      </c>
      <c r="AS121" s="1">
        <v>1.2506075609655637E-5</v>
      </c>
      <c r="AT121" s="1">
        <v>1.2506075609655637E-5</v>
      </c>
      <c r="AU121" s="1">
        <v>1.2506075609655637E-5</v>
      </c>
      <c r="AV121" s="1">
        <v>1.2506075609655637E-5</v>
      </c>
      <c r="AW121" s="1">
        <v>1.2506075609655637E-5</v>
      </c>
      <c r="AX121" s="1">
        <v>1.2506075609655637E-5</v>
      </c>
      <c r="AY121" s="1">
        <v>1.2506075609655637E-5</v>
      </c>
      <c r="AZ121" s="1">
        <v>1.2506075609655637E-5</v>
      </c>
      <c r="BA121" s="1">
        <v>1.2506075609655637E-5</v>
      </c>
      <c r="BB121" s="1">
        <v>1.2506075609655637E-5</v>
      </c>
      <c r="BC121" s="1">
        <v>1.2506075609655637E-5</v>
      </c>
      <c r="BD121" s="1">
        <v>1.2506075609655637E-5</v>
      </c>
      <c r="BE121" s="1">
        <v>1.2506075609655637E-5</v>
      </c>
      <c r="BF121" s="1">
        <v>1.2506075609655637E-5</v>
      </c>
      <c r="BG121" s="1">
        <v>1.2506075609655637E-5</v>
      </c>
      <c r="BH121" s="1">
        <v>1.2506075609655637E-5</v>
      </c>
      <c r="BI121" s="1">
        <v>1.2506075609655637E-5</v>
      </c>
      <c r="BJ121" s="1">
        <v>1.2506075609655637E-5</v>
      </c>
      <c r="BK121" s="1">
        <v>1.2506075609655637E-5</v>
      </c>
      <c r="BL121" s="1">
        <v>1.2506075609655637E-5</v>
      </c>
      <c r="BM121" s="1">
        <v>1.2506075609655637E-5</v>
      </c>
      <c r="BN121" s="1">
        <v>1.2506075609655637E-5</v>
      </c>
      <c r="BO121" s="1">
        <v>1.2506075609655637E-5</v>
      </c>
      <c r="BP121" s="1">
        <v>1.2506075609655637E-5</v>
      </c>
      <c r="BQ121" s="1">
        <v>1.2506075609655637E-5</v>
      </c>
      <c r="BR121" s="1">
        <v>1.2506075609655637E-5</v>
      </c>
      <c r="BS121" s="1">
        <v>1.2506075609655637E-5</v>
      </c>
      <c r="BT121" s="1">
        <v>1.2506075609655637E-5</v>
      </c>
      <c r="BU121" s="1">
        <v>1.2506075609655637E-5</v>
      </c>
      <c r="BV121" s="1">
        <v>1.2506075609655637E-5</v>
      </c>
      <c r="BW121" s="1">
        <v>1.2506075609655637E-5</v>
      </c>
      <c r="BX121" s="1">
        <v>1.2506075609655637E-5</v>
      </c>
      <c r="BY121" s="1">
        <v>1.2506075609655637E-5</v>
      </c>
      <c r="BZ121" s="1">
        <v>1.2506075609655637E-5</v>
      </c>
      <c r="CA121" s="1">
        <v>1.2506075609655637E-5</v>
      </c>
      <c r="CB121" s="1">
        <v>1.2506075609655637E-5</v>
      </c>
      <c r="CC121" s="1">
        <v>1.2506075609655637E-5</v>
      </c>
    </row>
    <row r="122" spans="1:81" s="3" customFormat="1" x14ac:dyDescent="0.75">
      <c r="A122" s="5" t="s">
        <v>48</v>
      </c>
    </row>
    <row r="123" spans="1:81" x14ac:dyDescent="0.75">
      <c r="A123" t="s">
        <v>30</v>
      </c>
      <c r="B123">
        <v>2021</v>
      </c>
      <c r="C123">
        <v>2022</v>
      </c>
      <c r="D123">
        <v>2023</v>
      </c>
      <c r="E123">
        <v>2024</v>
      </c>
      <c r="F123">
        <v>2025</v>
      </c>
      <c r="G123">
        <v>2026</v>
      </c>
      <c r="H123">
        <v>2027</v>
      </c>
      <c r="I123">
        <v>2028</v>
      </c>
      <c r="J123">
        <v>2029</v>
      </c>
      <c r="K123">
        <v>2030</v>
      </c>
      <c r="L123">
        <v>2031</v>
      </c>
      <c r="M123">
        <v>2032</v>
      </c>
      <c r="N123">
        <v>2033</v>
      </c>
      <c r="O123">
        <v>2034</v>
      </c>
      <c r="P123">
        <v>2035</v>
      </c>
      <c r="Q123">
        <v>2036</v>
      </c>
      <c r="R123">
        <v>2037</v>
      </c>
      <c r="S123">
        <v>2038</v>
      </c>
      <c r="T123">
        <v>2039</v>
      </c>
      <c r="U123">
        <v>2040</v>
      </c>
      <c r="V123">
        <v>2041</v>
      </c>
      <c r="W123">
        <v>2042</v>
      </c>
      <c r="X123">
        <v>2043</v>
      </c>
      <c r="Y123">
        <v>2044</v>
      </c>
      <c r="Z123">
        <v>2045</v>
      </c>
      <c r="AA123">
        <v>2046</v>
      </c>
      <c r="AB123">
        <v>2047</v>
      </c>
      <c r="AC123">
        <v>2048</v>
      </c>
      <c r="AD123">
        <v>2049</v>
      </c>
      <c r="AE123">
        <v>2050</v>
      </c>
    </row>
    <row r="124" spans="1:81" x14ac:dyDescent="0.75">
      <c r="A124" t="s">
        <v>52</v>
      </c>
      <c r="B124">
        <v>1.4034002357819414E-5</v>
      </c>
      <c r="C124">
        <v>1.8783433364719997E-5</v>
      </c>
      <c r="D124">
        <v>1.76530212035E-5</v>
      </c>
      <c r="E124" s="1">
        <v>1.1998454066482005E-5</v>
      </c>
      <c r="F124" s="1">
        <v>1.211892196197104E-5</v>
      </c>
      <c r="G124" s="1">
        <v>1.2676399866498391E-5</v>
      </c>
      <c r="H124" s="1">
        <v>1.2510382121639276E-5</v>
      </c>
      <c r="I124" s="1">
        <v>1.2557014477641247E-5</v>
      </c>
      <c r="J124" s="1">
        <v>1.2798045248167552E-5</v>
      </c>
      <c r="K124" s="1">
        <v>1.3063658807519535E-5</v>
      </c>
      <c r="L124" s="1">
        <v>1.3346346567028152E-5</v>
      </c>
      <c r="M124" s="1">
        <v>1.3794143910784038E-5</v>
      </c>
      <c r="N124" s="1">
        <v>1.4300438247532545E-5</v>
      </c>
      <c r="O124" s="1">
        <v>1.4779215838177824E-5</v>
      </c>
      <c r="P124" s="1">
        <v>1.5112771000667751E-5</v>
      </c>
      <c r="Q124" s="1">
        <v>1.5185435559423201E-5</v>
      </c>
      <c r="R124" s="1">
        <v>1.5244062661386005E-5</v>
      </c>
      <c r="S124" s="1">
        <v>1.5307238372946281E-5</v>
      </c>
      <c r="T124" s="1">
        <v>1.5393693181451034E-5</v>
      </c>
      <c r="U124" s="1">
        <v>1.550492854441614E-5</v>
      </c>
      <c r="V124" s="1">
        <v>1.5669889804437406E-5</v>
      </c>
      <c r="W124" s="1">
        <v>1.5785642550847147E-5</v>
      </c>
      <c r="X124" s="1">
        <v>1.5968932261497566E-5</v>
      </c>
      <c r="Y124" s="1">
        <v>1.6127243652052957E-5</v>
      </c>
      <c r="Z124" s="1">
        <v>1.625028510297214E-5</v>
      </c>
      <c r="AA124" s="1">
        <v>1.6544353494102343E-5</v>
      </c>
      <c r="AB124" s="1">
        <v>1.657917846106054E-5</v>
      </c>
      <c r="AC124" s="1">
        <v>1.666313777951726E-5</v>
      </c>
      <c r="AD124" s="1">
        <v>1.6844067313448628E-5</v>
      </c>
      <c r="AE124" s="1">
        <v>1.7021664756653703E-5</v>
      </c>
      <c r="AF124" s="1">
        <v>1.7021664756653703E-5</v>
      </c>
      <c r="AG124" s="1">
        <v>1.7021664756653703E-5</v>
      </c>
      <c r="AH124" s="1">
        <v>1.7021664756653703E-5</v>
      </c>
      <c r="AI124" s="1">
        <v>1.7021664756653703E-5</v>
      </c>
      <c r="AJ124" s="1">
        <v>1.7021664756653703E-5</v>
      </c>
      <c r="AK124" s="1">
        <v>1.7021664756653703E-5</v>
      </c>
      <c r="AL124" s="1">
        <v>1.7021664756653703E-5</v>
      </c>
      <c r="AM124" s="1">
        <v>1.7021664756653703E-5</v>
      </c>
      <c r="AN124" s="1">
        <v>1.7021664756653703E-5</v>
      </c>
      <c r="AO124" s="1">
        <v>1.7021664756653703E-5</v>
      </c>
      <c r="AP124" s="1">
        <v>1.7021664756653703E-5</v>
      </c>
      <c r="AQ124" s="1">
        <v>1.7021664756653703E-5</v>
      </c>
      <c r="AR124" s="1">
        <v>1.7021664756653703E-5</v>
      </c>
      <c r="AS124" s="1">
        <v>1.7021664756653703E-5</v>
      </c>
      <c r="AT124" s="1">
        <v>1.7021664756653703E-5</v>
      </c>
      <c r="AU124" s="1">
        <v>1.7021664756653703E-5</v>
      </c>
      <c r="AV124" s="1">
        <v>1.7021664756653703E-5</v>
      </c>
      <c r="AW124" s="1">
        <v>1.7021664756653703E-5</v>
      </c>
      <c r="AX124" s="1">
        <v>1.7021664756653703E-5</v>
      </c>
      <c r="AY124" s="1">
        <v>1.7021664756653703E-5</v>
      </c>
      <c r="AZ124" s="1">
        <v>1.7021664756653703E-5</v>
      </c>
      <c r="BA124" s="1">
        <v>1.7021664756653703E-5</v>
      </c>
      <c r="BB124" s="1">
        <v>1.7021664756653703E-5</v>
      </c>
      <c r="BC124" s="1">
        <v>1.7021664756653703E-5</v>
      </c>
      <c r="BD124" s="1">
        <v>1.7021664756653703E-5</v>
      </c>
      <c r="BE124" s="1">
        <v>1.7021664756653703E-5</v>
      </c>
      <c r="BF124" s="1">
        <v>1.7021664756653703E-5</v>
      </c>
      <c r="BG124" s="1">
        <v>1.7021664756653703E-5</v>
      </c>
      <c r="BH124" s="1">
        <v>1.7021664756653703E-5</v>
      </c>
      <c r="BI124" s="1">
        <v>1.7021664756653703E-5</v>
      </c>
      <c r="BJ124" s="1">
        <v>1.7021664756653703E-5</v>
      </c>
      <c r="BK124" s="1">
        <v>1.7021664756653703E-5</v>
      </c>
      <c r="BL124" s="1">
        <v>1.7021664756653703E-5</v>
      </c>
      <c r="BM124" s="1">
        <v>1.7021664756653703E-5</v>
      </c>
      <c r="BN124" s="1">
        <v>1.7021664756653703E-5</v>
      </c>
      <c r="BO124" s="1">
        <v>1.7021664756653703E-5</v>
      </c>
      <c r="BP124" s="1">
        <v>1.7021664756653703E-5</v>
      </c>
      <c r="BQ124" s="1">
        <v>1.7021664756653703E-5</v>
      </c>
      <c r="BR124" s="1">
        <v>1.7021664756653703E-5</v>
      </c>
      <c r="BS124" s="1">
        <v>1.7021664756653703E-5</v>
      </c>
      <c r="BT124" s="1">
        <v>1.7021664756653703E-5</v>
      </c>
      <c r="BU124" s="1">
        <v>1.7021664756653703E-5</v>
      </c>
      <c r="BV124" s="1">
        <v>1.7021664756653703E-5</v>
      </c>
      <c r="BW124" s="1">
        <v>1.7021664756653703E-5</v>
      </c>
      <c r="BX124" s="1">
        <v>1.7021664756653703E-5</v>
      </c>
      <c r="BY124" s="1">
        <v>1.7021664756653703E-5</v>
      </c>
      <c r="BZ124" s="1">
        <v>1.7021664756653703E-5</v>
      </c>
      <c r="CA124" s="1">
        <v>1.7021664756653703E-5</v>
      </c>
      <c r="CB124" s="1">
        <v>1.7021664756653703E-5</v>
      </c>
      <c r="CC124" s="1">
        <v>1.7021664756653703E-5</v>
      </c>
    </row>
    <row r="125" spans="1:81" x14ac:dyDescent="0.75">
      <c r="A125" t="s">
        <v>53</v>
      </c>
      <c r="B125">
        <v>0</v>
      </c>
      <c r="C125">
        <v>0</v>
      </c>
      <c r="D125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</row>
    <row r="126" spans="1:81" x14ac:dyDescent="0.75">
      <c r="A126" t="s">
        <v>54</v>
      </c>
      <c r="B126">
        <v>1.6993709852156E-5</v>
      </c>
      <c r="C126">
        <v>2.1314554696159999E-5</v>
      </c>
      <c r="D126">
        <v>2.2904653946060002E-5</v>
      </c>
      <c r="E126" s="1">
        <v>1.8140997431465237E-5</v>
      </c>
      <c r="F126" s="1">
        <v>1.7534184807625287E-5</v>
      </c>
      <c r="G126" s="1">
        <v>1.7657290011939862E-5</v>
      </c>
      <c r="H126" s="1">
        <v>1.7527441259700898E-5</v>
      </c>
      <c r="I126" s="1">
        <v>1.7511983012953893E-5</v>
      </c>
      <c r="J126" s="1">
        <v>1.7697232164695211E-5</v>
      </c>
      <c r="K126" s="1">
        <v>1.7994131727016519E-5</v>
      </c>
      <c r="L126" s="1">
        <v>1.8365998776865447E-5</v>
      </c>
      <c r="M126" s="1">
        <v>1.8914164782397067E-5</v>
      </c>
      <c r="N126" s="1">
        <v>1.9594430425351745E-5</v>
      </c>
      <c r="O126" s="1">
        <v>2.0324229854343401E-5</v>
      </c>
      <c r="P126" s="1">
        <v>2.0985291413299622E-5</v>
      </c>
      <c r="Q126" s="1">
        <v>2.1336096423055921E-5</v>
      </c>
      <c r="R126" s="1">
        <v>2.1568249858546892E-5</v>
      </c>
      <c r="S126" s="1">
        <v>2.1747955067068871E-5</v>
      </c>
      <c r="T126" s="1">
        <v>2.1916889855039411E-5</v>
      </c>
      <c r="U126" s="1">
        <v>2.209826175946938E-5</v>
      </c>
      <c r="V126" s="1">
        <v>2.2329605917165836E-5</v>
      </c>
      <c r="W126" s="1">
        <v>2.2541571644843779E-5</v>
      </c>
      <c r="X126" s="1">
        <v>2.2805539325722993E-5</v>
      </c>
      <c r="Y126" s="1">
        <v>2.3070373532343607E-5</v>
      </c>
      <c r="Z126" s="1">
        <v>2.3308566626230302E-5</v>
      </c>
      <c r="AA126" s="1">
        <v>2.3681552613222773E-5</v>
      </c>
      <c r="AB126" s="1">
        <v>2.389099162469983E-5</v>
      </c>
      <c r="AC126" s="1">
        <v>2.4078613964057233E-5</v>
      </c>
      <c r="AD126" s="1">
        <v>2.4337020787550979E-5</v>
      </c>
      <c r="AE126" s="1">
        <v>2.4606052309549573E-5</v>
      </c>
      <c r="AF126" s="1">
        <v>2.4606052309549573E-5</v>
      </c>
      <c r="AG126" s="1">
        <v>2.4606052309549573E-5</v>
      </c>
      <c r="AH126" s="1">
        <v>2.4606052309549573E-5</v>
      </c>
      <c r="AI126" s="1">
        <v>2.4606052309549573E-5</v>
      </c>
      <c r="AJ126" s="1">
        <v>2.4606052309549573E-5</v>
      </c>
      <c r="AK126" s="1">
        <v>2.4606052309549573E-5</v>
      </c>
      <c r="AL126" s="1">
        <v>2.4606052309549573E-5</v>
      </c>
      <c r="AM126" s="1">
        <v>2.4606052309549573E-5</v>
      </c>
      <c r="AN126" s="1">
        <v>2.4606052309549573E-5</v>
      </c>
      <c r="AO126" s="1">
        <v>2.4606052309549573E-5</v>
      </c>
      <c r="AP126" s="1">
        <v>2.4606052309549573E-5</v>
      </c>
      <c r="AQ126" s="1">
        <v>2.4606052309549573E-5</v>
      </c>
      <c r="AR126" s="1">
        <v>2.4606052309549573E-5</v>
      </c>
      <c r="AS126" s="1">
        <v>2.4606052309549573E-5</v>
      </c>
      <c r="AT126" s="1">
        <v>2.4606052309549573E-5</v>
      </c>
      <c r="AU126" s="1">
        <v>2.4606052309549573E-5</v>
      </c>
      <c r="AV126" s="1">
        <v>2.4606052309549573E-5</v>
      </c>
      <c r="AW126" s="1">
        <v>2.4606052309549573E-5</v>
      </c>
      <c r="AX126" s="1">
        <v>2.4606052309549573E-5</v>
      </c>
      <c r="AY126" s="1">
        <v>2.4606052309549573E-5</v>
      </c>
      <c r="AZ126" s="1">
        <v>2.4606052309549573E-5</v>
      </c>
      <c r="BA126" s="1">
        <v>2.4606052309549573E-5</v>
      </c>
      <c r="BB126" s="1">
        <v>2.4606052309549573E-5</v>
      </c>
      <c r="BC126" s="1">
        <v>2.4606052309549573E-5</v>
      </c>
      <c r="BD126" s="1">
        <v>2.4606052309549573E-5</v>
      </c>
      <c r="BE126" s="1">
        <v>2.4606052309549573E-5</v>
      </c>
      <c r="BF126" s="1">
        <v>2.4606052309549573E-5</v>
      </c>
      <c r="BG126" s="1">
        <v>2.4606052309549573E-5</v>
      </c>
      <c r="BH126" s="1">
        <v>2.4606052309549573E-5</v>
      </c>
      <c r="BI126" s="1">
        <v>2.4606052309549573E-5</v>
      </c>
      <c r="BJ126" s="1">
        <v>2.4606052309549573E-5</v>
      </c>
      <c r="BK126" s="1">
        <v>2.4606052309549573E-5</v>
      </c>
      <c r="BL126" s="1">
        <v>2.4606052309549573E-5</v>
      </c>
      <c r="BM126" s="1">
        <v>2.4606052309549573E-5</v>
      </c>
      <c r="BN126" s="1">
        <v>2.4606052309549573E-5</v>
      </c>
      <c r="BO126" s="1">
        <v>2.4606052309549573E-5</v>
      </c>
      <c r="BP126" s="1">
        <v>2.4606052309549573E-5</v>
      </c>
      <c r="BQ126" s="1">
        <v>2.4606052309549573E-5</v>
      </c>
      <c r="BR126" s="1">
        <v>2.4606052309549573E-5</v>
      </c>
      <c r="BS126" s="1">
        <v>2.4606052309549573E-5</v>
      </c>
      <c r="BT126" s="1">
        <v>2.4606052309549573E-5</v>
      </c>
      <c r="BU126" s="1">
        <v>2.4606052309549573E-5</v>
      </c>
      <c r="BV126" s="1">
        <v>2.4606052309549573E-5</v>
      </c>
      <c r="BW126" s="1">
        <v>2.4606052309549573E-5</v>
      </c>
      <c r="BX126" s="1">
        <v>2.4606052309549573E-5</v>
      </c>
      <c r="BY126" s="1">
        <v>2.4606052309549573E-5</v>
      </c>
      <c r="BZ126" s="1">
        <v>2.4606052309549573E-5</v>
      </c>
      <c r="CA126" s="1">
        <v>2.4606052309549573E-5</v>
      </c>
      <c r="CB126" s="1">
        <v>2.4606052309549573E-5</v>
      </c>
      <c r="CC126" s="1">
        <v>2.4606052309549573E-5</v>
      </c>
    </row>
    <row r="127" spans="1:81" x14ac:dyDescent="0.75">
      <c r="A127" t="s">
        <v>55</v>
      </c>
      <c r="B127">
        <v>1.4863726170580947E-5</v>
      </c>
      <c r="C127">
        <v>2.035779766328E-5</v>
      </c>
      <c r="D127">
        <v>1.9570870117759999E-5</v>
      </c>
      <c r="E127" s="1">
        <v>1.302001245238318E-5</v>
      </c>
      <c r="F127" s="1">
        <v>1.302166613739416E-5</v>
      </c>
      <c r="G127" s="1">
        <v>1.361994231170064E-5</v>
      </c>
      <c r="H127" s="1">
        <v>1.3472154134653353E-5</v>
      </c>
      <c r="I127" s="1">
        <v>1.3519227560064227E-5</v>
      </c>
      <c r="J127" s="1">
        <v>1.3788700151471736E-5</v>
      </c>
      <c r="K127" s="1">
        <v>1.410090052868613E-5</v>
      </c>
      <c r="L127" s="1">
        <v>1.4437346712493435E-5</v>
      </c>
      <c r="M127" s="1">
        <v>1.4960772497345457E-5</v>
      </c>
      <c r="N127" s="1">
        <v>1.5563727390219583E-5</v>
      </c>
      <c r="O127" s="1">
        <v>1.6144747211811183E-5</v>
      </c>
      <c r="P127" s="1">
        <v>1.6582164461926158E-5</v>
      </c>
      <c r="Q127" s="1">
        <v>1.6691065669966254E-5</v>
      </c>
      <c r="R127" s="1">
        <v>1.6766069588005529E-5</v>
      </c>
      <c r="S127" s="1">
        <v>1.6843855235827234E-5</v>
      </c>
      <c r="T127" s="1">
        <v>1.6947775872488865E-5</v>
      </c>
      <c r="U127" s="1">
        <v>1.7081512280756787E-5</v>
      </c>
      <c r="V127" s="1">
        <v>1.7278252656744352E-5</v>
      </c>
      <c r="W127" s="1">
        <v>1.7423743109378277E-5</v>
      </c>
      <c r="X127" s="1">
        <v>1.7643169285406301E-5</v>
      </c>
      <c r="Y127" s="1">
        <v>1.7838807638416442E-5</v>
      </c>
      <c r="Z127" s="1">
        <v>1.7993494193062641E-5</v>
      </c>
      <c r="AA127" s="1">
        <v>1.8340152629939324E-5</v>
      </c>
      <c r="AB127" s="1">
        <v>1.8403978886350491E-5</v>
      </c>
      <c r="AC127" s="1">
        <v>1.8507356968606476E-5</v>
      </c>
      <c r="AD127" s="1">
        <v>1.8725472947304798E-5</v>
      </c>
      <c r="AE127" s="1">
        <v>1.8941646399078337E-5</v>
      </c>
      <c r="AF127" s="1">
        <v>1.8941646399078337E-5</v>
      </c>
      <c r="AG127" s="1">
        <v>1.8941646399078337E-5</v>
      </c>
      <c r="AH127" s="1">
        <v>1.8941646399078337E-5</v>
      </c>
      <c r="AI127" s="1">
        <v>1.8941646399078337E-5</v>
      </c>
      <c r="AJ127" s="1">
        <v>1.8941646399078337E-5</v>
      </c>
      <c r="AK127" s="1">
        <v>1.8941646399078337E-5</v>
      </c>
      <c r="AL127" s="1">
        <v>1.8941646399078337E-5</v>
      </c>
      <c r="AM127" s="1">
        <v>1.8941646399078337E-5</v>
      </c>
      <c r="AN127" s="1">
        <v>1.8941646399078337E-5</v>
      </c>
      <c r="AO127" s="1">
        <v>1.8941646399078337E-5</v>
      </c>
      <c r="AP127" s="1">
        <v>1.8941646399078337E-5</v>
      </c>
      <c r="AQ127" s="1">
        <v>1.8941646399078337E-5</v>
      </c>
      <c r="AR127" s="1">
        <v>1.8941646399078337E-5</v>
      </c>
      <c r="AS127" s="1">
        <v>1.8941646399078337E-5</v>
      </c>
      <c r="AT127" s="1">
        <v>1.8941646399078337E-5</v>
      </c>
      <c r="AU127" s="1">
        <v>1.8941646399078337E-5</v>
      </c>
      <c r="AV127" s="1">
        <v>1.8941646399078337E-5</v>
      </c>
      <c r="AW127" s="1">
        <v>1.8941646399078337E-5</v>
      </c>
      <c r="AX127" s="1">
        <v>1.8941646399078337E-5</v>
      </c>
      <c r="AY127" s="1">
        <v>1.8941646399078337E-5</v>
      </c>
      <c r="AZ127" s="1">
        <v>1.8941646399078337E-5</v>
      </c>
      <c r="BA127" s="1">
        <v>1.8941646399078337E-5</v>
      </c>
      <c r="BB127" s="1">
        <v>1.8941646399078337E-5</v>
      </c>
      <c r="BC127" s="1">
        <v>1.8941646399078337E-5</v>
      </c>
      <c r="BD127" s="1">
        <v>1.8941646399078337E-5</v>
      </c>
      <c r="BE127" s="1">
        <v>1.8941646399078337E-5</v>
      </c>
      <c r="BF127" s="1">
        <v>1.8941646399078337E-5</v>
      </c>
      <c r="BG127" s="1">
        <v>1.8941646399078337E-5</v>
      </c>
      <c r="BH127" s="1">
        <v>1.8941646399078337E-5</v>
      </c>
      <c r="BI127" s="1">
        <v>1.8941646399078337E-5</v>
      </c>
      <c r="BJ127" s="1">
        <v>1.8941646399078337E-5</v>
      </c>
      <c r="BK127" s="1">
        <v>1.8941646399078337E-5</v>
      </c>
      <c r="BL127" s="1">
        <v>1.8941646399078337E-5</v>
      </c>
      <c r="BM127" s="1">
        <v>1.8941646399078337E-5</v>
      </c>
      <c r="BN127" s="1">
        <v>1.8941646399078337E-5</v>
      </c>
      <c r="BO127" s="1">
        <v>1.8941646399078337E-5</v>
      </c>
      <c r="BP127" s="1">
        <v>1.8941646399078337E-5</v>
      </c>
      <c r="BQ127" s="1">
        <v>1.8941646399078337E-5</v>
      </c>
      <c r="BR127" s="1">
        <v>1.8941646399078337E-5</v>
      </c>
      <c r="BS127" s="1">
        <v>1.8941646399078337E-5</v>
      </c>
      <c r="BT127" s="1">
        <v>1.8941646399078337E-5</v>
      </c>
      <c r="BU127" s="1">
        <v>1.8941646399078337E-5</v>
      </c>
      <c r="BV127" s="1">
        <v>1.8941646399078337E-5</v>
      </c>
      <c r="BW127" s="1">
        <v>1.8941646399078337E-5</v>
      </c>
      <c r="BX127" s="1">
        <v>1.8941646399078337E-5</v>
      </c>
      <c r="BY127" s="1">
        <v>1.8941646399078337E-5</v>
      </c>
      <c r="BZ127" s="1">
        <v>1.8941646399078337E-5</v>
      </c>
      <c r="CA127" s="1">
        <v>1.8941646399078337E-5</v>
      </c>
      <c r="CB127" s="1">
        <v>1.8941646399078337E-5</v>
      </c>
      <c r="CC127" s="1">
        <v>1.8941646399078337E-5</v>
      </c>
    </row>
    <row r="128" spans="1:81" x14ac:dyDescent="0.75">
      <c r="A128" t="s">
        <v>56</v>
      </c>
      <c r="B128">
        <v>1.079015742253188E-5</v>
      </c>
      <c r="C128">
        <v>1.7145529332400001E-5</v>
      </c>
      <c r="D128">
        <v>1.5707245622220002E-5</v>
      </c>
      <c r="E128" s="1">
        <v>8.6361728547491045E-6</v>
      </c>
      <c r="F128" s="1">
        <v>8.6104438058961407E-6</v>
      </c>
      <c r="G128" s="1">
        <v>9.1833474299279549E-6</v>
      </c>
      <c r="H128" s="1">
        <v>9.045991390109638E-6</v>
      </c>
      <c r="I128" s="1">
        <v>9.0916394717522026E-6</v>
      </c>
      <c r="J128" s="1">
        <v>9.3557014816348044E-6</v>
      </c>
      <c r="K128" s="1">
        <v>9.6674985210416378E-6</v>
      </c>
      <c r="L128" s="1">
        <v>1.0008002803628846E-5</v>
      </c>
      <c r="M128" s="1">
        <v>1.0542896393112469E-5</v>
      </c>
      <c r="N128" s="1">
        <v>1.1171640184965842E-5</v>
      </c>
      <c r="O128" s="1">
        <v>1.179029923054062E-5</v>
      </c>
      <c r="P128" s="1">
        <v>1.209330090356333E-5</v>
      </c>
      <c r="Q128" s="1">
        <v>1.2185303558556538E-5</v>
      </c>
      <c r="R128" s="1">
        <v>1.2268219403072413E-5</v>
      </c>
      <c r="S128" s="1">
        <v>1.2353465499244203E-5</v>
      </c>
      <c r="T128" s="1">
        <v>1.246687107983191E-5</v>
      </c>
      <c r="U128" s="1">
        <v>1.2613083637250328E-5</v>
      </c>
      <c r="V128" s="1">
        <v>1.2828649480133132E-5</v>
      </c>
      <c r="W128" s="1">
        <v>1.2990429575833509E-5</v>
      </c>
      <c r="X128" s="1">
        <v>1.3233303990467256E-5</v>
      </c>
      <c r="Y128" s="1">
        <v>1.3452291699265775E-5</v>
      </c>
      <c r="Z128" s="1">
        <v>1.362693566884778E-5</v>
      </c>
      <c r="AA128" s="1">
        <v>1.4015476183225194E-5</v>
      </c>
      <c r="AB128" s="1">
        <v>1.4092638609079744E-5</v>
      </c>
      <c r="AC128" s="1">
        <v>1.4210781457271671E-5</v>
      </c>
      <c r="AD128" s="1">
        <v>1.4428404322973012E-5</v>
      </c>
      <c r="AE128" s="1">
        <v>1.467612139347683E-5</v>
      </c>
      <c r="AF128" s="1">
        <v>1.467612139347683E-5</v>
      </c>
      <c r="AG128" s="1">
        <v>1.467612139347683E-5</v>
      </c>
      <c r="AH128" s="1">
        <v>1.467612139347683E-5</v>
      </c>
      <c r="AI128" s="1">
        <v>1.467612139347683E-5</v>
      </c>
      <c r="AJ128" s="1">
        <v>1.467612139347683E-5</v>
      </c>
      <c r="AK128" s="1">
        <v>1.467612139347683E-5</v>
      </c>
      <c r="AL128" s="1">
        <v>1.467612139347683E-5</v>
      </c>
      <c r="AM128" s="1">
        <v>1.467612139347683E-5</v>
      </c>
      <c r="AN128" s="1">
        <v>1.467612139347683E-5</v>
      </c>
      <c r="AO128" s="1">
        <v>1.467612139347683E-5</v>
      </c>
      <c r="AP128" s="1">
        <v>1.467612139347683E-5</v>
      </c>
      <c r="AQ128" s="1">
        <v>1.467612139347683E-5</v>
      </c>
      <c r="AR128" s="1">
        <v>1.467612139347683E-5</v>
      </c>
      <c r="AS128" s="1">
        <v>1.467612139347683E-5</v>
      </c>
      <c r="AT128" s="1">
        <v>1.467612139347683E-5</v>
      </c>
      <c r="AU128" s="1">
        <v>1.467612139347683E-5</v>
      </c>
      <c r="AV128" s="1">
        <v>1.467612139347683E-5</v>
      </c>
      <c r="AW128" s="1">
        <v>1.467612139347683E-5</v>
      </c>
      <c r="AX128" s="1">
        <v>1.467612139347683E-5</v>
      </c>
      <c r="AY128" s="1">
        <v>1.467612139347683E-5</v>
      </c>
      <c r="AZ128" s="1">
        <v>1.467612139347683E-5</v>
      </c>
      <c r="BA128" s="1">
        <v>1.467612139347683E-5</v>
      </c>
      <c r="BB128" s="1">
        <v>1.467612139347683E-5</v>
      </c>
      <c r="BC128" s="1">
        <v>1.467612139347683E-5</v>
      </c>
      <c r="BD128" s="1">
        <v>1.467612139347683E-5</v>
      </c>
      <c r="BE128" s="1">
        <v>1.467612139347683E-5</v>
      </c>
      <c r="BF128" s="1">
        <v>1.467612139347683E-5</v>
      </c>
      <c r="BG128" s="1">
        <v>1.467612139347683E-5</v>
      </c>
      <c r="BH128" s="1">
        <v>1.467612139347683E-5</v>
      </c>
      <c r="BI128" s="1">
        <v>1.467612139347683E-5</v>
      </c>
      <c r="BJ128" s="1">
        <v>1.467612139347683E-5</v>
      </c>
      <c r="BK128" s="1">
        <v>1.467612139347683E-5</v>
      </c>
      <c r="BL128" s="1">
        <v>1.467612139347683E-5</v>
      </c>
      <c r="BM128" s="1">
        <v>1.467612139347683E-5</v>
      </c>
      <c r="BN128" s="1">
        <v>1.467612139347683E-5</v>
      </c>
      <c r="BO128" s="1">
        <v>1.467612139347683E-5</v>
      </c>
      <c r="BP128" s="1">
        <v>1.467612139347683E-5</v>
      </c>
      <c r="BQ128" s="1">
        <v>1.467612139347683E-5</v>
      </c>
      <c r="BR128" s="1">
        <v>1.467612139347683E-5</v>
      </c>
      <c r="BS128" s="1">
        <v>1.467612139347683E-5</v>
      </c>
      <c r="BT128" s="1">
        <v>1.467612139347683E-5</v>
      </c>
      <c r="BU128" s="1">
        <v>1.467612139347683E-5</v>
      </c>
      <c r="BV128" s="1">
        <v>1.467612139347683E-5</v>
      </c>
      <c r="BW128" s="1">
        <v>1.467612139347683E-5</v>
      </c>
      <c r="BX128" s="1">
        <v>1.467612139347683E-5</v>
      </c>
      <c r="BY128" s="1">
        <v>1.467612139347683E-5</v>
      </c>
      <c r="BZ128" s="1">
        <v>1.467612139347683E-5</v>
      </c>
      <c r="CA128" s="1">
        <v>1.467612139347683E-5</v>
      </c>
      <c r="CB128" s="1">
        <v>1.467612139347683E-5</v>
      </c>
      <c r="CC128" s="1">
        <v>1.467612139347683E-5</v>
      </c>
    </row>
    <row r="129" spans="1:81" x14ac:dyDescent="0.75">
      <c r="A129" t="s">
        <v>57</v>
      </c>
      <c r="B129">
        <v>0</v>
      </c>
      <c r="C129">
        <v>0</v>
      </c>
      <c r="D129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</row>
    <row r="130" spans="1:81" x14ac:dyDescent="0.75">
      <c r="A130" t="s">
        <v>58</v>
      </c>
      <c r="B130">
        <v>0</v>
      </c>
      <c r="C130">
        <v>0</v>
      </c>
      <c r="D130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</row>
    <row r="131" spans="1:81" x14ac:dyDescent="0.75">
      <c r="A131" t="s">
        <v>59</v>
      </c>
      <c r="B131">
        <v>1.079015742253188E-5</v>
      </c>
      <c r="C131">
        <v>1.7145529332400001E-5</v>
      </c>
      <c r="D131">
        <v>1.5707245622220002E-5</v>
      </c>
      <c r="E131" s="1">
        <v>8.6361728547491045E-6</v>
      </c>
      <c r="F131" s="1">
        <v>8.6104438058961407E-6</v>
      </c>
      <c r="G131" s="1">
        <v>9.1833474299279549E-6</v>
      </c>
      <c r="H131" s="1">
        <v>9.045991390109638E-6</v>
      </c>
      <c r="I131" s="1">
        <v>9.0916394717522026E-6</v>
      </c>
      <c r="J131" s="1">
        <v>9.3557014816348044E-6</v>
      </c>
      <c r="K131" s="1">
        <v>9.6674985210416378E-6</v>
      </c>
      <c r="L131" s="1">
        <v>1.0008002803628846E-5</v>
      </c>
      <c r="M131" s="1">
        <v>1.0542896393112469E-5</v>
      </c>
      <c r="N131" s="1">
        <v>1.1171640184965842E-5</v>
      </c>
      <c r="O131" s="1">
        <v>1.179029923054062E-5</v>
      </c>
      <c r="P131" s="1">
        <v>1.209330090356333E-5</v>
      </c>
      <c r="Q131" s="1">
        <v>1.2185303558556538E-5</v>
      </c>
      <c r="R131" s="1">
        <v>1.2268219403072413E-5</v>
      </c>
      <c r="S131" s="1">
        <v>1.2353465499244203E-5</v>
      </c>
      <c r="T131" s="1">
        <v>1.246687107983191E-5</v>
      </c>
      <c r="U131" s="1">
        <v>1.2613083637250328E-5</v>
      </c>
      <c r="V131" s="1">
        <v>1.2828649480133132E-5</v>
      </c>
      <c r="W131" s="1">
        <v>1.2990429575833509E-5</v>
      </c>
      <c r="X131" s="1">
        <v>1.3233303990467256E-5</v>
      </c>
      <c r="Y131" s="1">
        <v>1.3452291699265775E-5</v>
      </c>
      <c r="Z131" s="1">
        <v>1.362693566884778E-5</v>
      </c>
      <c r="AA131" s="1">
        <v>1.4015476183225194E-5</v>
      </c>
      <c r="AB131" s="1">
        <v>1.4092638609079744E-5</v>
      </c>
      <c r="AC131" s="1">
        <v>1.4210781457271671E-5</v>
      </c>
      <c r="AD131" s="1">
        <v>1.4428404322973012E-5</v>
      </c>
      <c r="AE131" s="1">
        <v>1.467612139347683E-5</v>
      </c>
      <c r="AF131" s="1">
        <v>1.467612139347683E-5</v>
      </c>
      <c r="AG131" s="1">
        <v>1.467612139347683E-5</v>
      </c>
      <c r="AH131" s="1">
        <v>1.467612139347683E-5</v>
      </c>
      <c r="AI131" s="1">
        <v>1.467612139347683E-5</v>
      </c>
      <c r="AJ131" s="1">
        <v>1.467612139347683E-5</v>
      </c>
      <c r="AK131" s="1">
        <v>1.467612139347683E-5</v>
      </c>
      <c r="AL131" s="1">
        <v>1.467612139347683E-5</v>
      </c>
      <c r="AM131" s="1">
        <v>1.467612139347683E-5</v>
      </c>
      <c r="AN131" s="1">
        <v>1.467612139347683E-5</v>
      </c>
      <c r="AO131" s="1">
        <v>1.467612139347683E-5</v>
      </c>
      <c r="AP131" s="1">
        <v>1.467612139347683E-5</v>
      </c>
      <c r="AQ131" s="1">
        <v>1.467612139347683E-5</v>
      </c>
      <c r="AR131" s="1">
        <v>1.467612139347683E-5</v>
      </c>
      <c r="AS131" s="1">
        <v>1.467612139347683E-5</v>
      </c>
      <c r="AT131" s="1">
        <v>1.467612139347683E-5</v>
      </c>
      <c r="AU131" s="1">
        <v>1.467612139347683E-5</v>
      </c>
      <c r="AV131" s="1">
        <v>1.467612139347683E-5</v>
      </c>
      <c r="AW131" s="1">
        <v>1.467612139347683E-5</v>
      </c>
      <c r="AX131" s="1">
        <v>1.467612139347683E-5</v>
      </c>
      <c r="AY131" s="1">
        <v>1.467612139347683E-5</v>
      </c>
      <c r="AZ131" s="1">
        <v>1.467612139347683E-5</v>
      </c>
      <c r="BA131" s="1">
        <v>1.467612139347683E-5</v>
      </c>
      <c r="BB131" s="1">
        <v>1.467612139347683E-5</v>
      </c>
      <c r="BC131" s="1">
        <v>1.467612139347683E-5</v>
      </c>
      <c r="BD131" s="1">
        <v>1.467612139347683E-5</v>
      </c>
      <c r="BE131" s="1">
        <v>1.467612139347683E-5</v>
      </c>
      <c r="BF131" s="1">
        <v>1.467612139347683E-5</v>
      </c>
      <c r="BG131" s="1">
        <v>1.467612139347683E-5</v>
      </c>
      <c r="BH131" s="1">
        <v>1.467612139347683E-5</v>
      </c>
      <c r="BI131" s="1">
        <v>1.467612139347683E-5</v>
      </c>
      <c r="BJ131" s="1">
        <v>1.467612139347683E-5</v>
      </c>
      <c r="BK131" s="1">
        <v>1.467612139347683E-5</v>
      </c>
      <c r="BL131" s="1">
        <v>1.467612139347683E-5</v>
      </c>
      <c r="BM131" s="1">
        <v>1.467612139347683E-5</v>
      </c>
      <c r="BN131" s="1">
        <v>1.467612139347683E-5</v>
      </c>
      <c r="BO131" s="1">
        <v>1.467612139347683E-5</v>
      </c>
      <c r="BP131" s="1">
        <v>1.467612139347683E-5</v>
      </c>
      <c r="BQ131" s="1">
        <v>1.467612139347683E-5</v>
      </c>
      <c r="BR131" s="1">
        <v>1.467612139347683E-5</v>
      </c>
      <c r="BS131" s="1">
        <v>1.467612139347683E-5</v>
      </c>
      <c r="BT131" s="1">
        <v>1.467612139347683E-5</v>
      </c>
      <c r="BU131" s="1">
        <v>1.467612139347683E-5</v>
      </c>
      <c r="BV131" s="1">
        <v>1.467612139347683E-5</v>
      </c>
      <c r="BW131" s="1">
        <v>1.467612139347683E-5</v>
      </c>
      <c r="BX131" s="1">
        <v>1.467612139347683E-5</v>
      </c>
      <c r="BY131" s="1">
        <v>1.467612139347683E-5</v>
      </c>
      <c r="BZ131" s="1">
        <v>1.467612139347683E-5</v>
      </c>
      <c r="CA131" s="1">
        <v>1.467612139347683E-5</v>
      </c>
      <c r="CB131" s="1">
        <v>1.467612139347683E-5</v>
      </c>
      <c r="CC131" s="1">
        <v>1.467612139347683E-5</v>
      </c>
    </row>
    <row r="132" spans="1:81" s="3" customFormat="1" x14ac:dyDescent="0.75">
      <c r="A132" s="5" t="s">
        <v>49</v>
      </c>
    </row>
    <row r="133" spans="1:81" x14ac:dyDescent="0.75">
      <c r="A133" t="s">
        <v>30</v>
      </c>
      <c r="B133">
        <v>2021</v>
      </c>
      <c r="C133">
        <v>2022</v>
      </c>
      <c r="D133">
        <v>2023</v>
      </c>
      <c r="E133">
        <v>2024</v>
      </c>
      <c r="F133">
        <v>2025</v>
      </c>
      <c r="G133">
        <v>2026</v>
      </c>
      <c r="H133">
        <v>2027</v>
      </c>
      <c r="I133">
        <v>2028</v>
      </c>
      <c r="J133">
        <v>2029</v>
      </c>
      <c r="K133">
        <v>2030</v>
      </c>
      <c r="L133">
        <v>2031</v>
      </c>
      <c r="M133">
        <v>2032</v>
      </c>
      <c r="N133">
        <v>2033</v>
      </c>
      <c r="O133">
        <v>2034</v>
      </c>
      <c r="P133">
        <v>2035</v>
      </c>
      <c r="Q133">
        <v>2036</v>
      </c>
      <c r="R133">
        <v>2037</v>
      </c>
      <c r="S133">
        <v>2038</v>
      </c>
      <c r="T133">
        <v>2039</v>
      </c>
      <c r="U133">
        <v>2040</v>
      </c>
      <c r="V133">
        <v>2041</v>
      </c>
      <c r="W133">
        <v>2042</v>
      </c>
      <c r="X133">
        <v>2043</v>
      </c>
      <c r="Y133">
        <v>2044</v>
      </c>
      <c r="Z133">
        <v>2045</v>
      </c>
      <c r="AA133">
        <v>2046</v>
      </c>
      <c r="AB133">
        <v>2047</v>
      </c>
      <c r="AC133">
        <v>2048</v>
      </c>
      <c r="AD133">
        <v>2049</v>
      </c>
      <c r="AE133">
        <v>2050</v>
      </c>
    </row>
    <row r="134" spans="1:81" x14ac:dyDescent="0.75">
      <c r="A134" t="s">
        <v>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81" x14ac:dyDescent="0.75">
      <c r="A135" t="s">
        <v>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81" x14ac:dyDescent="0.75">
      <c r="A136" t="s">
        <v>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81" x14ac:dyDescent="0.75">
      <c r="A137" t="s">
        <v>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81" x14ac:dyDescent="0.75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81" x14ac:dyDescent="0.75">
      <c r="A139" t="s">
        <v>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81" x14ac:dyDescent="0.75">
      <c r="A140" t="s">
        <v>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81" x14ac:dyDescent="0.75">
      <c r="A141" t="s">
        <v>59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81" s="3" customFormat="1" x14ac:dyDescent="0.75">
      <c r="A142" s="5" t="s">
        <v>50</v>
      </c>
    </row>
    <row r="143" spans="1:81" x14ac:dyDescent="0.75">
      <c r="A143" t="s">
        <v>30</v>
      </c>
      <c r="B143">
        <v>2021</v>
      </c>
      <c r="C143">
        <v>2022</v>
      </c>
      <c r="D143">
        <v>2023</v>
      </c>
      <c r="E143">
        <v>2024</v>
      </c>
      <c r="F143">
        <v>2025</v>
      </c>
      <c r="G143">
        <v>2026</v>
      </c>
      <c r="H143">
        <v>2027</v>
      </c>
      <c r="I143">
        <v>2028</v>
      </c>
      <c r="J143">
        <v>2029</v>
      </c>
      <c r="K143">
        <v>2030</v>
      </c>
      <c r="L143">
        <v>2031</v>
      </c>
      <c r="M143">
        <v>2032</v>
      </c>
      <c r="N143">
        <v>2033</v>
      </c>
      <c r="O143">
        <v>2034</v>
      </c>
      <c r="P143">
        <v>2035</v>
      </c>
      <c r="Q143">
        <v>2036</v>
      </c>
      <c r="R143">
        <v>2037</v>
      </c>
      <c r="S143">
        <v>2038</v>
      </c>
      <c r="T143">
        <v>2039</v>
      </c>
      <c r="U143">
        <v>2040</v>
      </c>
      <c r="V143">
        <v>2041</v>
      </c>
      <c r="W143">
        <v>2042</v>
      </c>
      <c r="X143">
        <v>2043</v>
      </c>
      <c r="Y143">
        <v>2044</v>
      </c>
      <c r="Z143">
        <v>2045</v>
      </c>
      <c r="AA143">
        <v>2046</v>
      </c>
      <c r="AB143">
        <v>2047</v>
      </c>
      <c r="AC143">
        <v>2048</v>
      </c>
      <c r="AD143">
        <v>2049</v>
      </c>
      <c r="AE143">
        <v>2050</v>
      </c>
    </row>
    <row r="144" spans="1:81" x14ac:dyDescent="0.75">
      <c r="A144" t="s">
        <v>52</v>
      </c>
      <c r="B144">
        <v>6.6407640789389056E-5</v>
      </c>
      <c r="C144">
        <v>6.049136759400544E-5</v>
      </c>
      <c r="D144">
        <v>5.457509439862026E-5</v>
      </c>
      <c r="E144" s="1">
        <v>4.124814496314033E-5</v>
      </c>
      <c r="F144" s="1">
        <v>4.1437115231428779E-5</v>
      </c>
      <c r="G144" s="1">
        <v>4.1303758741353784E-5</v>
      </c>
      <c r="H144" s="1">
        <v>4.1231868330970901E-5</v>
      </c>
      <c r="I144" s="1">
        <v>4.1291445228416013E-5</v>
      </c>
      <c r="J144" s="1">
        <v>4.1431986335824312E-5</v>
      </c>
      <c r="K144" s="1">
        <v>4.1605317505897203E-5</v>
      </c>
      <c r="L144" s="1">
        <v>4.2169074469325409E-5</v>
      </c>
      <c r="M144" s="1">
        <v>4.2324406364463702E-5</v>
      </c>
      <c r="N144" s="1">
        <v>4.2754257777962744E-5</v>
      </c>
      <c r="O144" s="1">
        <v>4.3008740514915899E-5</v>
      </c>
      <c r="P144" s="1">
        <v>4.3110610634207491E-5</v>
      </c>
      <c r="Q144" s="1">
        <v>4.3005532027711267E-5</v>
      </c>
      <c r="R144" s="1">
        <v>4.294067270607687E-5</v>
      </c>
      <c r="S144" s="1">
        <v>4.3114628399206627E-5</v>
      </c>
      <c r="T144" s="1">
        <v>4.3204026272616835E-5</v>
      </c>
      <c r="U144" s="1">
        <v>4.3184595799010258E-5</v>
      </c>
      <c r="V144" s="1">
        <v>4.3065788093980715E-5</v>
      </c>
      <c r="W144" s="1">
        <v>4.295463079639771E-5</v>
      </c>
      <c r="X144" s="1">
        <v>4.299074123998128E-5</v>
      </c>
      <c r="Y144" s="1">
        <v>4.3146637808050146E-5</v>
      </c>
      <c r="Z144" s="1">
        <v>4.3122107062812532E-5</v>
      </c>
      <c r="AA144" s="1">
        <v>4.3236053896716189E-5</v>
      </c>
      <c r="AB144" s="1">
        <v>4.3217817823455844E-5</v>
      </c>
      <c r="AC144" s="1">
        <v>4.3254224915491426E-5</v>
      </c>
      <c r="AD144" s="1">
        <v>4.298647106358E-5</v>
      </c>
      <c r="AE144" s="1">
        <v>4.3044296694286493E-5</v>
      </c>
      <c r="AF144" s="1">
        <v>4.3044296694286493E-5</v>
      </c>
      <c r="AG144" s="1">
        <v>4.3044296694286493E-5</v>
      </c>
      <c r="AH144" s="1">
        <v>4.3044296694286493E-5</v>
      </c>
      <c r="AI144" s="1">
        <v>4.3044296694286493E-5</v>
      </c>
      <c r="AJ144" s="1">
        <v>4.3044296694286493E-5</v>
      </c>
      <c r="AK144" s="1">
        <v>4.3044296694286493E-5</v>
      </c>
      <c r="AL144" s="1">
        <v>4.3044296694286493E-5</v>
      </c>
      <c r="AM144" s="1">
        <v>4.3044296694286493E-5</v>
      </c>
      <c r="AN144" s="1">
        <v>4.3044296694286493E-5</v>
      </c>
      <c r="AO144" s="1">
        <v>4.3044296694286493E-5</v>
      </c>
      <c r="AP144" s="1">
        <v>4.3044296694286493E-5</v>
      </c>
      <c r="AQ144" s="1">
        <v>4.3044296694286493E-5</v>
      </c>
      <c r="AR144" s="1">
        <v>4.3044296694286493E-5</v>
      </c>
      <c r="AS144" s="1">
        <v>4.3044296694286493E-5</v>
      </c>
      <c r="AT144" s="1">
        <v>4.3044296694286493E-5</v>
      </c>
      <c r="AU144" s="1">
        <v>4.3044296694286493E-5</v>
      </c>
      <c r="AV144" s="1">
        <v>4.3044296694286493E-5</v>
      </c>
      <c r="AW144" s="1">
        <v>4.3044296694286493E-5</v>
      </c>
      <c r="AX144" s="1">
        <v>4.3044296694286493E-5</v>
      </c>
      <c r="AY144" s="1">
        <v>4.3044296694286493E-5</v>
      </c>
      <c r="AZ144" s="1">
        <v>4.3044296694286493E-5</v>
      </c>
      <c r="BA144" s="1">
        <v>4.3044296694286493E-5</v>
      </c>
      <c r="BB144" s="1">
        <v>4.3044296694286493E-5</v>
      </c>
      <c r="BC144" s="1">
        <v>4.3044296694286493E-5</v>
      </c>
      <c r="BD144" s="1">
        <v>4.3044296694286493E-5</v>
      </c>
      <c r="BE144" s="1">
        <v>4.3044296694286493E-5</v>
      </c>
      <c r="BF144" s="1">
        <v>4.3044296694286493E-5</v>
      </c>
      <c r="BG144" s="1">
        <v>4.3044296694286493E-5</v>
      </c>
      <c r="BH144" s="1">
        <v>4.3044296694286493E-5</v>
      </c>
      <c r="BI144" s="1">
        <v>4.3044296694286493E-5</v>
      </c>
      <c r="BJ144" s="1">
        <v>4.3044296694286493E-5</v>
      </c>
      <c r="BK144" s="1">
        <v>4.3044296694286493E-5</v>
      </c>
      <c r="BL144" s="1">
        <v>4.3044296694286493E-5</v>
      </c>
      <c r="BM144" s="1">
        <v>4.3044296694286493E-5</v>
      </c>
      <c r="BN144" s="1">
        <v>4.3044296694286493E-5</v>
      </c>
      <c r="BO144" s="1">
        <v>4.3044296694286493E-5</v>
      </c>
      <c r="BP144" s="1">
        <v>4.3044296694286493E-5</v>
      </c>
      <c r="BQ144" s="1">
        <v>4.3044296694286493E-5</v>
      </c>
      <c r="BR144" s="1">
        <v>4.3044296694286493E-5</v>
      </c>
      <c r="BS144" s="1">
        <v>4.3044296694286493E-5</v>
      </c>
      <c r="BT144" s="1">
        <v>4.3044296694286493E-5</v>
      </c>
      <c r="BU144" s="1">
        <v>4.3044296694286493E-5</v>
      </c>
      <c r="BV144" s="1">
        <v>4.3044296694286493E-5</v>
      </c>
      <c r="BW144" s="1">
        <v>4.3044296694286493E-5</v>
      </c>
      <c r="BX144" s="1">
        <v>4.3044296694286493E-5</v>
      </c>
      <c r="BY144" s="1">
        <v>4.3044296694286493E-5</v>
      </c>
      <c r="BZ144" s="1">
        <v>4.3044296694286493E-5</v>
      </c>
      <c r="CA144" s="1">
        <v>4.3044296694286493E-5</v>
      </c>
      <c r="CB144" s="1">
        <v>4.3044296694286493E-5</v>
      </c>
      <c r="CC144" s="1">
        <v>4.3044296694286493E-5</v>
      </c>
    </row>
    <row r="145" spans="1:81" x14ac:dyDescent="0.75">
      <c r="A145" t="s">
        <v>53</v>
      </c>
      <c r="B145">
        <v>0</v>
      </c>
      <c r="C145">
        <v>0</v>
      </c>
      <c r="D145">
        <v>0</v>
      </c>
      <c r="E145" s="1">
        <v>6.5034916700547125E-6</v>
      </c>
      <c r="F145" s="1">
        <v>7.2441890263885872E-6</v>
      </c>
      <c r="G145" s="1">
        <v>7.1721691575803738E-6</v>
      </c>
      <c r="H145" s="1">
        <v>7.1121362281947852E-6</v>
      </c>
      <c r="I145" s="1">
        <v>7.2020402254989968E-6</v>
      </c>
      <c r="J145" s="1">
        <v>7.358768840432153E-6</v>
      </c>
      <c r="K145" s="1">
        <v>7.5484306378971092E-6</v>
      </c>
      <c r="L145" s="1">
        <v>7.721668780056331E-6</v>
      </c>
      <c r="M145" s="1">
        <v>7.940135402429283E-6</v>
      </c>
      <c r="N145" s="1">
        <v>8.2921445707045962E-6</v>
      </c>
      <c r="O145" s="1">
        <v>8.5436699307655636E-6</v>
      </c>
      <c r="P145" s="1">
        <v>8.6405907048315408E-6</v>
      </c>
      <c r="Q145" s="1">
        <v>8.6060890586642419E-6</v>
      </c>
      <c r="R145" s="1">
        <v>8.5493511389484391E-6</v>
      </c>
      <c r="S145" s="1">
        <v>8.6920364421853027E-6</v>
      </c>
      <c r="T145" s="1">
        <v>8.7398488865467973E-6</v>
      </c>
      <c r="U145" s="1">
        <v>8.7319909552928158E-6</v>
      </c>
      <c r="V145" s="1">
        <v>8.6466303632272671E-6</v>
      </c>
      <c r="W145" s="1">
        <v>8.586190843309865E-6</v>
      </c>
      <c r="X145" s="1">
        <v>8.6304070757356082E-6</v>
      </c>
      <c r="Y145" s="1">
        <v>8.7484178633228043E-6</v>
      </c>
      <c r="Z145" s="1">
        <v>8.7264853942196767E-6</v>
      </c>
      <c r="AA145" s="1">
        <v>8.7403530588062449E-6</v>
      </c>
      <c r="AB145" s="1">
        <v>8.7244446350224177E-6</v>
      </c>
      <c r="AC145" s="1">
        <v>8.7477965929902042E-6</v>
      </c>
      <c r="AD145" s="1">
        <v>8.6531976134970687E-6</v>
      </c>
      <c r="AE145" s="1">
        <v>8.7199135901359231E-6</v>
      </c>
      <c r="AF145" s="1">
        <v>8.7199135901359231E-6</v>
      </c>
      <c r="AG145" s="1">
        <v>8.7199135901359231E-6</v>
      </c>
      <c r="AH145" s="1">
        <v>8.7199135901359231E-6</v>
      </c>
      <c r="AI145" s="1">
        <v>8.7199135901359231E-6</v>
      </c>
      <c r="AJ145" s="1">
        <v>8.7199135901359231E-6</v>
      </c>
      <c r="AK145" s="1">
        <v>8.7199135901359231E-6</v>
      </c>
      <c r="AL145" s="1">
        <v>8.7199135901359231E-6</v>
      </c>
      <c r="AM145" s="1">
        <v>8.7199135901359231E-6</v>
      </c>
      <c r="AN145" s="1">
        <v>8.7199135901359231E-6</v>
      </c>
      <c r="AO145" s="1">
        <v>8.7199135901359231E-6</v>
      </c>
      <c r="AP145" s="1">
        <v>8.7199135901359231E-6</v>
      </c>
      <c r="AQ145" s="1">
        <v>8.7199135901359231E-6</v>
      </c>
      <c r="AR145" s="1">
        <v>8.7199135901359231E-6</v>
      </c>
      <c r="AS145" s="1">
        <v>8.7199135901359231E-6</v>
      </c>
      <c r="AT145" s="1">
        <v>8.7199135901359231E-6</v>
      </c>
      <c r="AU145" s="1">
        <v>8.7199135901359231E-6</v>
      </c>
      <c r="AV145" s="1">
        <v>8.7199135901359231E-6</v>
      </c>
      <c r="AW145" s="1">
        <v>8.7199135901359231E-6</v>
      </c>
      <c r="AX145" s="1">
        <v>8.7199135901359231E-6</v>
      </c>
      <c r="AY145" s="1">
        <v>8.7199135901359231E-6</v>
      </c>
      <c r="AZ145" s="1">
        <v>8.7199135901359231E-6</v>
      </c>
      <c r="BA145" s="1">
        <v>8.7199135901359231E-6</v>
      </c>
      <c r="BB145" s="1">
        <v>8.7199135901359231E-6</v>
      </c>
      <c r="BC145" s="1">
        <v>8.7199135901359231E-6</v>
      </c>
      <c r="BD145" s="1">
        <v>8.7199135901359231E-6</v>
      </c>
      <c r="BE145" s="1">
        <v>8.7199135901359231E-6</v>
      </c>
      <c r="BF145" s="1">
        <v>8.7199135901359231E-6</v>
      </c>
      <c r="BG145" s="1">
        <v>8.7199135901359231E-6</v>
      </c>
      <c r="BH145" s="1">
        <v>8.7199135901359231E-6</v>
      </c>
      <c r="BI145" s="1">
        <v>8.7199135901359231E-6</v>
      </c>
      <c r="BJ145" s="1">
        <v>8.7199135901359231E-6</v>
      </c>
      <c r="BK145" s="1">
        <v>8.7199135901359231E-6</v>
      </c>
      <c r="BL145" s="1">
        <v>8.7199135901359231E-6</v>
      </c>
      <c r="BM145" s="1">
        <v>8.7199135901359231E-6</v>
      </c>
      <c r="BN145" s="1">
        <v>8.7199135901359231E-6</v>
      </c>
      <c r="BO145" s="1">
        <v>8.7199135901359231E-6</v>
      </c>
      <c r="BP145" s="1">
        <v>8.7199135901359231E-6</v>
      </c>
      <c r="BQ145" s="1">
        <v>8.7199135901359231E-6</v>
      </c>
      <c r="BR145" s="1">
        <v>8.7199135901359231E-6</v>
      </c>
      <c r="BS145" s="1">
        <v>8.7199135901359231E-6</v>
      </c>
      <c r="BT145" s="1">
        <v>8.7199135901359231E-6</v>
      </c>
      <c r="BU145" s="1">
        <v>8.7199135901359231E-6</v>
      </c>
      <c r="BV145" s="1">
        <v>8.7199135901359231E-6</v>
      </c>
      <c r="BW145" s="1">
        <v>8.7199135901359231E-6</v>
      </c>
      <c r="BX145" s="1">
        <v>8.7199135901359231E-6</v>
      </c>
      <c r="BY145" s="1">
        <v>8.7199135901359231E-6</v>
      </c>
      <c r="BZ145" s="1">
        <v>8.7199135901359231E-6</v>
      </c>
      <c r="CA145" s="1">
        <v>8.7199135901359231E-6</v>
      </c>
      <c r="CB145" s="1">
        <v>8.7199135901359231E-6</v>
      </c>
      <c r="CC145" s="1">
        <v>8.7199135901359231E-6</v>
      </c>
    </row>
    <row r="146" spans="1:81" x14ac:dyDescent="0.75">
      <c r="A146" t="s">
        <v>54</v>
      </c>
      <c r="B146">
        <v>6.6407640789389056E-5</v>
      </c>
      <c r="C146">
        <v>6.049136759400544E-5</v>
      </c>
      <c r="D146">
        <v>5.457509439862026E-5</v>
      </c>
      <c r="E146" s="1">
        <v>6.5034916700547125E-6</v>
      </c>
      <c r="F146" s="1">
        <v>7.2441890263885872E-6</v>
      </c>
      <c r="G146" s="1">
        <v>7.1721691575803738E-6</v>
      </c>
      <c r="H146" s="1">
        <v>7.1121362281947852E-6</v>
      </c>
      <c r="I146" s="1">
        <v>7.2020402254989968E-6</v>
      </c>
      <c r="J146" s="1">
        <v>7.358768840432153E-6</v>
      </c>
      <c r="K146" s="1">
        <v>7.5484306378971092E-6</v>
      </c>
      <c r="L146" s="1">
        <v>7.721668780056331E-6</v>
      </c>
      <c r="M146" s="1">
        <v>7.940135402429283E-6</v>
      </c>
      <c r="N146" s="1">
        <v>8.2921445707045962E-6</v>
      </c>
      <c r="O146" s="1">
        <v>8.5436699307655636E-6</v>
      </c>
      <c r="P146" s="1">
        <v>8.6405907048315408E-6</v>
      </c>
      <c r="Q146" s="1">
        <v>8.6060890586642419E-6</v>
      </c>
      <c r="R146" s="1">
        <v>8.5493511389484391E-6</v>
      </c>
      <c r="S146" s="1">
        <v>8.6920364421853027E-6</v>
      </c>
      <c r="T146" s="1">
        <v>8.7398488865467973E-6</v>
      </c>
      <c r="U146" s="1">
        <v>8.7319909552928158E-6</v>
      </c>
      <c r="V146" s="1">
        <v>8.6466303632272671E-6</v>
      </c>
      <c r="W146" s="1">
        <v>8.586190843309865E-6</v>
      </c>
      <c r="X146" s="1">
        <v>8.6304070757356082E-6</v>
      </c>
      <c r="Y146" s="1">
        <v>8.7484178633228043E-6</v>
      </c>
      <c r="Z146" s="1">
        <v>8.7264853942196767E-6</v>
      </c>
      <c r="AA146" s="1">
        <v>8.7403530588062449E-6</v>
      </c>
      <c r="AB146" s="1">
        <v>8.7244446350224177E-6</v>
      </c>
      <c r="AC146" s="1">
        <v>8.7477965929902042E-6</v>
      </c>
      <c r="AD146" s="1">
        <v>8.6531976134970687E-6</v>
      </c>
      <c r="AE146" s="1">
        <v>8.7199135901359231E-6</v>
      </c>
      <c r="AF146" s="1">
        <v>8.7199135901359231E-6</v>
      </c>
      <c r="AG146" s="1">
        <v>8.7199135901359231E-6</v>
      </c>
      <c r="AH146" s="1">
        <v>8.7199135901359231E-6</v>
      </c>
      <c r="AI146" s="1">
        <v>8.7199135901359231E-6</v>
      </c>
      <c r="AJ146" s="1">
        <v>8.7199135901359231E-6</v>
      </c>
      <c r="AK146" s="1">
        <v>8.7199135901359231E-6</v>
      </c>
      <c r="AL146" s="1">
        <v>8.7199135901359231E-6</v>
      </c>
      <c r="AM146" s="1">
        <v>8.7199135901359231E-6</v>
      </c>
      <c r="AN146" s="1">
        <v>8.7199135901359231E-6</v>
      </c>
      <c r="AO146" s="1">
        <v>8.7199135901359231E-6</v>
      </c>
      <c r="AP146" s="1">
        <v>8.7199135901359231E-6</v>
      </c>
      <c r="AQ146" s="1">
        <v>8.7199135901359231E-6</v>
      </c>
      <c r="AR146" s="1">
        <v>8.7199135901359231E-6</v>
      </c>
      <c r="AS146" s="1">
        <v>8.7199135901359231E-6</v>
      </c>
      <c r="AT146" s="1">
        <v>8.7199135901359231E-6</v>
      </c>
      <c r="AU146" s="1">
        <v>8.7199135901359231E-6</v>
      </c>
      <c r="AV146" s="1">
        <v>8.7199135901359231E-6</v>
      </c>
      <c r="AW146" s="1">
        <v>8.7199135901359231E-6</v>
      </c>
      <c r="AX146" s="1">
        <v>8.7199135901359231E-6</v>
      </c>
      <c r="AY146" s="1">
        <v>8.7199135901359231E-6</v>
      </c>
      <c r="AZ146" s="1">
        <v>8.7199135901359231E-6</v>
      </c>
      <c r="BA146" s="1">
        <v>8.7199135901359231E-6</v>
      </c>
      <c r="BB146" s="1">
        <v>8.7199135901359231E-6</v>
      </c>
      <c r="BC146" s="1">
        <v>8.7199135901359231E-6</v>
      </c>
      <c r="BD146" s="1">
        <v>8.7199135901359231E-6</v>
      </c>
      <c r="BE146" s="1">
        <v>8.7199135901359231E-6</v>
      </c>
      <c r="BF146" s="1">
        <v>8.7199135901359231E-6</v>
      </c>
      <c r="BG146" s="1">
        <v>8.7199135901359231E-6</v>
      </c>
      <c r="BH146" s="1">
        <v>8.7199135901359231E-6</v>
      </c>
      <c r="BI146" s="1">
        <v>8.7199135901359231E-6</v>
      </c>
      <c r="BJ146" s="1">
        <v>8.7199135901359231E-6</v>
      </c>
      <c r="BK146" s="1">
        <v>8.7199135901359231E-6</v>
      </c>
      <c r="BL146" s="1">
        <v>8.7199135901359231E-6</v>
      </c>
      <c r="BM146" s="1">
        <v>8.7199135901359231E-6</v>
      </c>
      <c r="BN146" s="1">
        <v>8.7199135901359231E-6</v>
      </c>
      <c r="BO146" s="1">
        <v>8.7199135901359231E-6</v>
      </c>
      <c r="BP146" s="1">
        <v>8.7199135901359231E-6</v>
      </c>
      <c r="BQ146" s="1">
        <v>8.7199135901359231E-6</v>
      </c>
      <c r="BR146" s="1">
        <v>8.7199135901359231E-6</v>
      </c>
      <c r="BS146" s="1">
        <v>8.7199135901359231E-6</v>
      </c>
      <c r="BT146" s="1">
        <v>8.7199135901359231E-6</v>
      </c>
      <c r="BU146" s="1">
        <v>8.7199135901359231E-6</v>
      </c>
      <c r="BV146" s="1">
        <v>8.7199135901359231E-6</v>
      </c>
      <c r="BW146" s="1">
        <v>8.7199135901359231E-6</v>
      </c>
      <c r="BX146" s="1">
        <v>8.7199135901359231E-6</v>
      </c>
      <c r="BY146" s="1">
        <v>8.7199135901359231E-6</v>
      </c>
      <c r="BZ146" s="1">
        <v>8.7199135901359231E-6</v>
      </c>
      <c r="CA146" s="1">
        <v>8.7199135901359231E-6</v>
      </c>
      <c r="CB146" s="1">
        <v>8.7199135901359231E-6</v>
      </c>
      <c r="CC146" s="1">
        <v>8.7199135901359231E-6</v>
      </c>
    </row>
    <row r="147" spans="1:81" x14ac:dyDescent="0.75">
      <c r="A147" t="s">
        <v>55</v>
      </c>
      <c r="B147">
        <v>6.6407640789389056E-5</v>
      </c>
      <c r="C147">
        <v>6.049136759400544E-5</v>
      </c>
      <c r="D147">
        <v>5.457509439862026E-5</v>
      </c>
      <c r="E147" s="1">
        <v>6.5034916700547125E-6</v>
      </c>
      <c r="F147" s="1">
        <v>7.2441890263885872E-6</v>
      </c>
      <c r="G147" s="1">
        <v>7.1721691575803738E-6</v>
      </c>
      <c r="H147" s="1">
        <v>7.1121362281947852E-6</v>
      </c>
      <c r="I147" s="1">
        <v>7.2020402254989968E-6</v>
      </c>
      <c r="J147" s="1">
        <v>7.358768840432153E-6</v>
      </c>
      <c r="K147" s="1">
        <v>7.5484306378971092E-6</v>
      </c>
      <c r="L147" s="1">
        <v>7.721668780056331E-6</v>
      </c>
      <c r="M147" s="1">
        <v>7.940135402429283E-6</v>
      </c>
      <c r="N147" s="1">
        <v>8.2921445707045962E-6</v>
      </c>
      <c r="O147" s="1">
        <v>8.5436699307655636E-6</v>
      </c>
      <c r="P147" s="1">
        <v>8.6405907048315408E-6</v>
      </c>
      <c r="Q147" s="1">
        <v>8.6060890586642419E-6</v>
      </c>
      <c r="R147" s="1">
        <v>8.5493511389484391E-6</v>
      </c>
      <c r="S147" s="1">
        <v>8.6920364421853027E-6</v>
      </c>
      <c r="T147" s="1">
        <v>8.7398488865467973E-6</v>
      </c>
      <c r="U147" s="1">
        <v>8.7319909552928158E-6</v>
      </c>
      <c r="V147" s="1">
        <v>8.6466303632272671E-6</v>
      </c>
      <c r="W147" s="1">
        <v>8.586190843309865E-6</v>
      </c>
      <c r="X147" s="1">
        <v>8.6304070757356082E-6</v>
      </c>
      <c r="Y147" s="1">
        <v>8.7484178633228043E-6</v>
      </c>
      <c r="Z147" s="1">
        <v>8.7264853942196767E-6</v>
      </c>
      <c r="AA147" s="1">
        <v>8.7403530588062449E-6</v>
      </c>
      <c r="AB147" s="1">
        <v>8.7244446350224177E-6</v>
      </c>
      <c r="AC147" s="1">
        <v>8.7477965929902042E-6</v>
      </c>
      <c r="AD147" s="1">
        <v>8.6531976134970687E-6</v>
      </c>
      <c r="AE147" s="1">
        <v>8.7199135901359231E-6</v>
      </c>
      <c r="AF147" s="1">
        <v>8.7199135901359231E-6</v>
      </c>
      <c r="AG147" s="1">
        <v>8.7199135901359231E-6</v>
      </c>
      <c r="AH147" s="1">
        <v>8.7199135901359231E-6</v>
      </c>
      <c r="AI147" s="1">
        <v>8.7199135901359231E-6</v>
      </c>
      <c r="AJ147" s="1">
        <v>8.7199135901359231E-6</v>
      </c>
      <c r="AK147" s="1">
        <v>8.7199135901359231E-6</v>
      </c>
      <c r="AL147" s="1">
        <v>8.7199135901359231E-6</v>
      </c>
      <c r="AM147" s="1">
        <v>8.7199135901359231E-6</v>
      </c>
      <c r="AN147" s="1">
        <v>8.7199135901359231E-6</v>
      </c>
      <c r="AO147" s="1">
        <v>8.7199135901359231E-6</v>
      </c>
      <c r="AP147" s="1">
        <v>8.7199135901359231E-6</v>
      </c>
      <c r="AQ147" s="1">
        <v>8.7199135901359231E-6</v>
      </c>
      <c r="AR147" s="1">
        <v>8.7199135901359231E-6</v>
      </c>
      <c r="AS147" s="1">
        <v>8.7199135901359231E-6</v>
      </c>
      <c r="AT147" s="1">
        <v>8.7199135901359231E-6</v>
      </c>
      <c r="AU147" s="1">
        <v>8.7199135901359231E-6</v>
      </c>
      <c r="AV147" s="1">
        <v>8.7199135901359231E-6</v>
      </c>
      <c r="AW147" s="1">
        <v>8.7199135901359231E-6</v>
      </c>
      <c r="AX147" s="1">
        <v>8.7199135901359231E-6</v>
      </c>
      <c r="AY147" s="1">
        <v>8.7199135901359231E-6</v>
      </c>
      <c r="AZ147" s="1">
        <v>8.7199135901359231E-6</v>
      </c>
      <c r="BA147" s="1">
        <v>8.7199135901359231E-6</v>
      </c>
      <c r="BB147" s="1">
        <v>8.7199135901359231E-6</v>
      </c>
      <c r="BC147" s="1">
        <v>8.7199135901359231E-6</v>
      </c>
      <c r="BD147" s="1">
        <v>8.7199135901359231E-6</v>
      </c>
      <c r="BE147" s="1">
        <v>8.7199135901359231E-6</v>
      </c>
      <c r="BF147" s="1">
        <v>8.7199135901359231E-6</v>
      </c>
      <c r="BG147" s="1">
        <v>8.7199135901359231E-6</v>
      </c>
      <c r="BH147" s="1">
        <v>8.7199135901359231E-6</v>
      </c>
      <c r="BI147" s="1">
        <v>8.7199135901359231E-6</v>
      </c>
      <c r="BJ147" s="1">
        <v>8.7199135901359231E-6</v>
      </c>
      <c r="BK147" s="1">
        <v>8.7199135901359231E-6</v>
      </c>
      <c r="BL147" s="1">
        <v>8.7199135901359231E-6</v>
      </c>
      <c r="BM147" s="1">
        <v>8.7199135901359231E-6</v>
      </c>
      <c r="BN147" s="1">
        <v>8.7199135901359231E-6</v>
      </c>
      <c r="BO147" s="1">
        <v>8.7199135901359231E-6</v>
      </c>
      <c r="BP147" s="1">
        <v>8.7199135901359231E-6</v>
      </c>
      <c r="BQ147" s="1">
        <v>8.7199135901359231E-6</v>
      </c>
      <c r="BR147" s="1">
        <v>8.7199135901359231E-6</v>
      </c>
      <c r="BS147" s="1">
        <v>8.7199135901359231E-6</v>
      </c>
      <c r="BT147" s="1">
        <v>8.7199135901359231E-6</v>
      </c>
      <c r="BU147" s="1">
        <v>8.7199135901359231E-6</v>
      </c>
      <c r="BV147" s="1">
        <v>8.7199135901359231E-6</v>
      </c>
      <c r="BW147" s="1">
        <v>8.7199135901359231E-6</v>
      </c>
      <c r="BX147" s="1">
        <v>8.7199135901359231E-6</v>
      </c>
      <c r="BY147" s="1">
        <v>8.7199135901359231E-6</v>
      </c>
      <c r="BZ147" s="1">
        <v>8.7199135901359231E-6</v>
      </c>
      <c r="CA147" s="1">
        <v>8.7199135901359231E-6</v>
      </c>
      <c r="CB147" s="1">
        <v>8.7199135901359231E-6</v>
      </c>
      <c r="CC147" s="1">
        <v>8.7199135901359231E-6</v>
      </c>
    </row>
    <row r="148" spans="1:81" x14ac:dyDescent="0.75">
      <c r="A148" t="s">
        <v>56</v>
      </c>
      <c r="B148">
        <v>6.6407640789389056E-5</v>
      </c>
      <c r="C148">
        <v>6.049136759400544E-5</v>
      </c>
      <c r="D148">
        <v>5.457509439862026E-5</v>
      </c>
      <c r="E148" s="1">
        <v>6.5034916700547125E-6</v>
      </c>
      <c r="F148" s="1">
        <v>7.2441890263885872E-6</v>
      </c>
      <c r="G148" s="1">
        <v>7.1721691575803738E-6</v>
      </c>
      <c r="H148" s="1">
        <v>7.1121362281947852E-6</v>
      </c>
      <c r="I148" s="1">
        <v>7.2020402254989968E-6</v>
      </c>
      <c r="J148" s="1">
        <v>7.358768840432153E-6</v>
      </c>
      <c r="K148" s="1">
        <v>7.5484306378971092E-6</v>
      </c>
      <c r="L148" s="1">
        <v>7.721668780056331E-6</v>
      </c>
      <c r="M148" s="1">
        <v>7.940135402429283E-6</v>
      </c>
      <c r="N148" s="1">
        <v>8.2921445707045962E-6</v>
      </c>
      <c r="O148" s="1">
        <v>8.5436699307655636E-6</v>
      </c>
      <c r="P148" s="1">
        <v>8.6405907048315408E-6</v>
      </c>
      <c r="Q148" s="1">
        <v>8.6060890586642419E-6</v>
      </c>
      <c r="R148" s="1">
        <v>8.5493511389484391E-6</v>
      </c>
      <c r="S148" s="1">
        <v>8.6920364421853027E-6</v>
      </c>
      <c r="T148" s="1">
        <v>8.7398488865467973E-6</v>
      </c>
      <c r="U148" s="1">
        <v>8.7319909552928158E-6</v>
      </c>
      <c r="V148" s="1">
        <v>8.6466303632272671E-6</v>
      </c>
      <c r="W148" s="1">
        <v>8.586190843309865E-6</v>
      </c>
      <c r="X148" s="1">
        <v>8.6304070757356082E-6</v>
      </c>
      <c r="Y148" s="1">
        <v>8.7484178633228043E-6</v>
      </c>
      <c r="Z148" s="1">
        <v>8.7264853942196767E-6</v>
      </c>
      <c r="AA148" s="1">
        <v>8.7403530588062449E-6</v>
      </c>
      <c r="AB148" s="1">
        <v>8.7244446350224177E-6</v>
      </c>
      <c r="AC148" s="1">
        <v>8.7477965929902042E-6</v>
      </c>
      <c r="AD148" s="1">
        <v>8.6531976134970687E-6</v>
      </c>
      <c r="AE148" s="1">
        <v>8.7199135901359231E-6</v>
      </c>
      <c r="AF148" s="1">
        <v>8.7199135901359231E-6</v>
      </c>
      <c r="AG148" s="1">
        <v>8.7199135901359231E-6</v>
      </c>
      <c r="AH148" s="1">
        <v>8.7199135901359231E-6</v>
      </c>
      <c r="AI148" s="1">
        <v>8.7199135901359231E-6</v>
      </c>
      <c r="AJ148" s="1">
        <v>8.7199135901359231E-6</v>
      </c>
      <c r="AK148" s="1">
        <v>8.7199135901359231E-6</v>
      </c>
      <c r="AL148" s="1">
        <v>8.7199135901359231E-6</v>
      </c>
      <c r="AM148" s="1">
        <v>8.7199135901359231E-6</v>
      </c>
      <c r="AN148" s="1">
        <v>8.7199135901359231E-6</v>
      </c>
      <c r="AO148" s="1">
        <v>8.7199135901359231E-6</v>
      </c>
      <c r="AP148" s="1">
        <v>8.7199135901359231E-6</v>
      </c>
      <c r="AQ148" s="1">
        <v>8.7199135901359231E-6</v>
      </c>
      <c r="AR148" s="1">
        <v>8.7199135901359231E-6</v>
      </c>
      <c r="AS148" s="1">
        <v>8.7199135901359231E-6</v>
      </c>
      <c r="AT148" s="1">
        <v>8.7199135901359231E-6</v>
      </c>
      <c r="AU148" s="1">
        <v>8.7199135901359231E-6</v>
      </c>
      <c r="AV148" s="1">
        <v>8.7199135901359231E-6</v>
      </c>
      <c r="AW148" s="1">
        <v>8.7199135901359231E-6</v>
      </c>
      <c r="AX148" s="1">
        <v>8.7199135901359231E-6</v>
      </c>
      <c r="AY148" s="1">
        <v>8.7199135901359231E-6</v>
      </c>
      <c r="AZ148" s="1">
        <v>8.7199135901359231E-6</v>
      </c>
      <c r="BA148" s="1">
        <v>8.7199135901359231E-6</v>
      </c>
      <c r="BB148" s="1">
        <v>8.7199135901359231E-6</v>
      </c>
      <c r="BC148" s="1">
        <v>8.7199135901359231E-6</v>
      </c>
      <c r="BD148" s="1">
        <v>8.7199135901359231E-6</v>
      </c>
      <c r="BE148" s="1">
        <v>8.7199135901359231E-6</v>
      </c>
      <c r="BF148" s="1">
        <v>8.7199135901359231E-6</v>
      </c>
      <c r="BG148" s="1">
        <v>8.7199135901359231E-6</v>
      </c>
      <c r="BH148" s="1">
        <v>8.7199135901359231E-6</v>
      </c>
      <c r="BI148" s="1">
        <v>8.7199135901359231E-6</v>
      </c>
      <c r="BJ148" s="1">
        <v>8.7199135901359231E-6</v>
      </c>
      <c r="BK148" s="1">
        <v>8.7199135901359231E-6</v>
      </c>
      <c r="BL148" s="1">
        <v>8.7199135901359231E-6</v>
      </c>
      <c r="BM148" s="1">
        <v>8.7199135901359231E-6</v>
      </c>
      <c r="BN148" s="1">
        <v>8.7199135901359231E-6</v>
      </c>
      <c r="BO148" s="1">
        <v>8.7199135901359231E-6</v>
      </c>
      <c r="BP148" s="1">
        <v>8.7199135901359231E-6</v>
      </c>
      <c r="BQ148" s="1">
        <v>8.7199135901359231E-6</v>
      </c>
      <c r="BR148" s="1">
        <v>8.7199135901359231E-6</v>
      </c>
      <c r="BS148" s="1">
        <v>8.7199135901359231E-6</v>
      </c>
      <c r="BT148" s="1">
        <v>8.7199135901359231E-6</v>
      </c>
      <c r="BU148" s="1">
        <v>8.7199135901359231E-6</v>
      </c>
      <c r="BV148" s="1">
        <v>8.7199135901359231E-6</v>
      </c>
      <c r="BW148" s="1">
        <v>8.7199135901359231E-6</v>
      </c>
      <c r="BX148" s="1">
        <v>8.7199135901359231E-6</v>
      </c>
      <c r="BY148" s="1">
        <v>8.7199135901359231E-6</v>
      </c>
      <c r="BZ148" s="1">
        <v>8.7199135901359231E-6</v>
      </c>
      <c r="CA148" s="1">
        <v>8.7199135901359231E-6</v>
      </c>
      <c r="CB148" s="1">
        <v>8.7199135901359231E-6</v>
      </c>
      <c r="CC148" s="1">
        <v>8.7199135901359231E-6</v>
      </c>
    </row>
    <row r="149" spans="1:81" x14ac:dyDescent="0.75">
      <c r="A149" t="s">
        <v>57</v>
      </c>
      <c r="B149">
        <v>6.6407640789389056E-5</v>
      </c>
      <c r="C149">
        <v>6.049136759400544E-5</v>
      </c>
      <c r="D149">
        <v>5.457509439862026E-5</v>
      </c>
      <c r="E149" s="1">
        <v>6.5034916700547125E-6</v>
      </c>
      <c r="F149" s="1">
        <v>7.2441890263885872E-6</v>
      </c>
      <c r="G149" s="1">
        <v>7.1721691575803738E-6</v>
      </c>
      <c r="H149" s="1">
        <v>7.1121362281947852E-6</v>
      </c>
      <c r="I149" s="1">
        <v>7.2020402254989968E-6</v>
      </c>
      <c r="J149" s="1">
        <v>7.358768840432153E-6</v>
      </c>
      <c r="K149" s="1">
        <v>7.5484306378971092E-6</v>
      </c>
      <c r="L149" s="1">
        <v>7.721668780056331E-6</v>
      </c>
      <c r="M149" s="1">
        <v>7.940135402429283E-6</v>
      </c>
      <c r="N149" s="1">
        <v>8.2921445707045962E-6</v>
      </c>
      <c r="O149" s="1">
        <v>8.5436699307655636E-6</v>
      </c>
      <c r="P149" s="1">
        <v>8.6405907048315408E-6</v>
      </c>
      <c r="Q149" s="1">
        <v>8.6060890586642419E-6</v>
      </c>
      <c r="R149" s="1">
        <v>8.5493511389484391E-6</v>
      </c>
      <c r="S149" s="1">
        <v>8.6920364421853027E-6</v>
      </c>
      <c r="T149" s="1">
        <v>8.7398488865467973E-6</v>
      </c>
      <c r="U149" s="1">
        <v>8.7319909552928158E-6</v>
      </c>
      <c r="V149" s="1">
        <v>8.6466303632272671E-6</v>
      </c>
      <c r="W149" s="1">
        <v>8.586190843309865E-6</v>
      </c>
      <c r="X149" s="1">
        <v>8.6304070757356082E-6</v>
      </c>
      <c r="Y149" s="1">
        <v>8.7484178633228043E-6</v>
      </c>
      <c r="Z149" s="1">
        <v>8.7264853942196767E-6</v>
      </c>
      <c r="AA149" s="1">
        <v>8.7403530588062449E-6</v>
      </c>
      <c r="AB149" s="1">
        <v>8.7244446350224177E-6</v>
      </c>
      <c r="AC149" s="1">
        <v>8.7477965929902042E-6</v>
      </c>
      <c r="AD149" s="1">
        <v>8.6531976134970687E-6</v>
      </c>
      <c r="AE149" s="1">
        <v>8.7199135901359231E-6</v>
      </c>
      <c r="AF149" s="1">
        <v>8.7199135901359231E-6</v>
      </c>
      <c r="AG149" s="1">
        <v>8.7199135901359231E-6</v>
      </c>
      <c r="AH149" s="1">
        <v>8.7199135901359231E-6</v>
      </c>
      <c r="AI149" s="1">
        <v>8.7199135901359231E-6</v>
      </c>
      <c r="AJ149" s="1">
        <v>8.7199135901359231E-6</v>
      </c>
      <c r="AK149" s="1">
        <v>8.7199135901359231E-6</v>
      </c>
      <c r="AL149" s="1">
        <v>8.7199135901359231E-6</v>
      </c>
      <c r="AM149" s="1">
        <v>8.7199135901359231E-6</v>
      </c>
      <c r="AN149" s="1">
        <v>8.7199135901359231E-6</v>
      </c>
      <c r="AO149" s="1">
        <v>8.7199135901359231E-6</v>
      </c>
      <c r="AP149" s="1">
        <v>8.7199135901359231E-6</v>
      </c>
      <c r="AQ149" s="1">
        <v>8.7199135901359231E-6</v>
      </c>
      <c r="AR149" s="1">
        <v>8.7199135901359231E-6</v>
      </c>
      <c r="AS149" s="1">
        <v>8.7199135901359231E-6</v>
      </c>
      <c r="AT149" s="1">
        <v>8.7199135901359231E-6</v>
      </c>
      <c r="AU149" s="1">
        <v>8.7199135901359231E-6</v>
      </c>
      <c r="AV149" s="1">
        <v>8.7199135901359231E-6</v>
      </c>
      <c r="AW149" s="1">
        <v>8.7199135901359231E-6</v>
      </c>
      <c r="AX149" s="1">
        <v>8.7199135901359231E-6</v>
      </c>
      <c r="AY149" s="1">
        <v>8.7199135901359231E-6</v>
      </c>
      <c r="AZ149" s="1">
        <v>8.7199135901359231E-6</v>
      </c>
      <c r="BA149" s="1">
        <v>8.7199135901359231E-6</v>
      </c>
      <c r="BB149" s="1">
        <v>8.7199135901359231E-6</v>
      </c>
      <c r="BC149" s="1">
        <v>8.7199135901359231E-6</v>
      </c>
      <c r="BD149" s="1">
        <v>8.7199135901359231E-6</v>
      </c>
      <c r="BE149" s="1">
        <v>8.7199135901359231E-6</v>
      </c>
      <c r="BF149" s="1">
        <v>8.7199135901359231E-6</v>
      </c>
      <c r="BG149" s="1">
        <v>8.7199135901359231E-6</v>
      </c>
      <c r="BH149" s="1">
        <v>8.7199135901359231E-6</v>
      </c>
      <c r="BI149" s="1">
        <v>8.7199135901359231E-6</v>
      </c>
      <c r="BJ149" s="1">
        <v>8.7199135901359231E-6</v>
      </c>
      <c r="BK149" s="1">
        <v>8.7199135901359231E-6</v>
      </c>
      <c r="BL149" s="1">
        <v>8.7199135901359231E-6</v>
      </c>
      <c r="BM149" s="1">
        <v>8.7199135901359231E-6</v>
      </c>
      <c r="BN149" s="1">
        <v>8.7199135901359231E-6</v>
      </c>
      <c r="BO149" s="1">
        <v>8.7199135901359231E-6</v>
      </c>
      <c r="BP149" s="1">
        <v>8.7199135901359231E-6</v>
      </c>
      <c r="BQ149" s="1">
        <v>8.7199135901359231E-6</v>
      </c>
      <c r="BR149" s="1">
        <v>8.7199135901359231E-6</v>
      </c>
      <c r="BS149" s="1">
        <v>8.7199135901359231E-6</v>
      </c>
      <c r="BT149" s="1">
        <v>8.7199135901359231E-6</v>
      </c>
      <c r="BU149" s="1">
        <v>8.7199135901359231E-6</v>
      </c>
      <c r="BV149" s="1">
        <v>8.7199135901359231E-6</v>
      </c>
      <c r="BW149" s="1">
        <v>8.7199135901359231E-6</v>
      </c>
      <c r="BX149" s="1">
        <v>8.7199135901359231E-6</v>
      </c>
      <c r="BY149" s="1">
        <v>8.7199135901359231E-6</v>
      </c>
      <c r="BZ149" s="1">
        <v>8.7199135901359231E-6</v>
      </c>
      <c r="CA149" s="1">
        <v>8.7199135901359231E-6</v>
      </c>
      <c r="CB149" s="1">
        <v>8.7199135901359231E-6</v>
      </c>
      <c r="CC149" s="1">
        <v>8.7199135901359231E-6</v>
      </c>
    </row>
    <row r="150" spans="1:81" x14ac:dyDescent="0.75">
      <c r="A150" t="s">
        <v>58</v>
      </c>
      <c r="B150">
        <v>0</v>
      </c>
      <c r="C150">
        <v>0</v>
      </c>
      <c r="D150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</row>
    <row r="151" spans="1:81" x14ac:dyDescent="0.75">
      <c r="A151" t="s">
        <v>59</v>
      </c>
      <c r="B151">
        <v>6.6407640789389056E-5</v>
      </c>
      <c r="C151">
        <v>6.049136759400544E-5</v>
      </c>
      <c r="D151">
        <v>5.457509439862026E-5</v>
      </c>
      <c r="E151" s="1">
        <v>6.5034916700547125E-6</v>
      </c>
      <c r="F151" s="1">
        <v>7.2441890263885872E-6</v>
      </c>
      <c r="G151" s="1">
        <v>7.1721691575803738E-6</v>
      </c>
      <c r="H151" s="1">
        <v>7.1121362281947852E-6</v>
      </c>
      <c r="I151" s="1">
        <v>7.2020402254989968E-6</v>
      </c>
      <c r="J151" s="1">
        <v>7.358768840432153E-6</v>
      </c>
      <c r="K151" s="1">
        <v>7.5484306378971092E-6</v>
      </c>
      <c r="L151" s="1">
        <v>7.721668780056331E-6</v>
      </c>
      <c r="M151" s="1">
        <v>7.940135402429283E-6</v>
      </c>
      <c r="N151" s="1">
        <v>8.2921445707045962E-6</v>
      </c>
      <c r="O151" s="1">
        <v>8.5436699307655636E-6</v>
      </c>
      <c r="P151" s="1">
        <v>8.6405907048315408E-6</v>
      </c>
      <c r="Q151" s="1">
        <v>8.6060890586642419E-6</v>
      </c>
      <c r="R151" s="1">
        <v>8.5493511389484391E-6</v>
      </c>
      <c r="S151" s="1">
        <v>8.6920364421853027E-6</v>
      </c>
      <c r="T151" s="1">
        <v>8.7398488865467973E-6</v>
      </c>
      <c r="U151" s="1">
        <v>8.7319909552928158E-6</v>
      </c>
      <c r="V151" s="1">
        <v>8.6466303632272671E-6</v>
      </c>
      <c r="W151" s="1">
        <v>8.586190843309865E-6</v>
      </c>
      <c r="X151" s="1">
        <v>8.6304070757356082E-6</v>
      </c>
      <c r="Y151" s="1">
        <v>8.7484178633228043E-6</v>
      </c>
      <c r="Z151" s="1">
        <v>8.7264853942196767E-6</v>
      </c>
      <c r="AA151" s="1">
        <v>8.7403530588062449E-6</v>
      </c>
      <c r="AB151" s="1">
        <v>8.7244446350224177E-6</v>
      </c>
      <c r="AC151" s="1">
        <v>8.7477965929902042E-6</v>
      </c>
      <c r="AD151" s="1">
        <v>8.6531976134970687E-6</v>
      </c>
      <c r="AE151" s="1">
        <v>8.7199135901359231E-6</v>
      </c>
      <c r="AF151" s="1">
        <v>8.7199135901359231E-6</v>
      </c>
      <c r="AG151" s="1">
        <v>8.7199135901359231E-6</v>
      </c>
      <c r="AH151" s="1">
        <v>8.7199135901359231E-6</v>
      </c>
      <c r="AI151" s="1">
        <v>8.7199135901359231E-6</v>
      </c>
      <c r="AJ151" s="1">
        <v>8.7199135901359231E-6</v>
      </c>
      <c r="AK151" s="1">
        <v>8.7199135901359231E-6</v>
      </c>
      <c r="AL151" s="1">
        <v>8.7199135901359231E-6</v>
      </c>
      <c r="AM151" s="1">
        <v>8.7199135901359231E-6</v>
      </c>
      <c r="AN151" s="1">
        <v>8.7199135901359231E-6</v>
      </c>
      <c r="AO151" s="1">
        <v>8.7199135901359231E-6</v>
      </c>
      <c r="AP151" s="1">
        <v>8.7199135901359231E-6</v>
      </c>
      <c r="AQ151" s="1">
        <v>8.7199135901359231E-6</v>
      </c>
      <c r="AR151" s="1">
        <v>8.7199135901359231E-6</v>
      </c>
      <c r="AS151" s="1">
        <v>8.7199135901359231E-6</v>
      </c>
      <c r="AT151" s="1">
        <v>8.7199135901359231E-6</v>
      </c>
      <c r="AU151" s="1">
        <v>8.7199135901359231E-6</v>
      </c>
      <c r="AV151" s="1">
        <v>8.7199135901359231E-6</v>
      </c>
      <c r="AW151" s="1">
        <v>8.7199135901359231E-6</v>
      </c>
      <c r="AX151" s="1">
        <v>8.7199135901359231E-6</v>
      </c>
      <c r="AY151" s="1">
        <v>8.7199135901359231E-6</v>
      </c>
      <c r="AZ151" s="1">
        <v>8.7199135901359231E-6</v>
      </c>
      <c r="BA151" s="1">
        <v>8.7199135901359231E-6</v>
      </c>
      <c r="BB151" s="1">
        <v>8.7199135901359231E-6</v>
      </c>
      <c r="BC151" s="1">
        <v>8.7199135901359231E-6</v>
      </c>
      <c r="BD151" s="1">
        <v>8.7199135901359231E-6</v>
      </c>
      <c r="BE151" s="1">
        <v>8.7199135901359231E-6</v>
      </c>
      <c r="BF151" s="1">
        <v>8.7199135901359231E-6</v>
      </c>
      <c r="BG151" s="1">
        <v>8.7199135901359231E-6</v>
      </c>
      <c r="BH151" s="1">
        <v>8.7199135901359231E-6</v>
      </c>
      <c r="BI151" s="1">
        <v>8.7199135901359231E-6</v>
      </c>
      <c r="BJ151" s="1">
        <v>8.7199135901359231E-6</v>
      </c>
      <c r="BK151" s="1">
        <v>8.7199135901359231E-6</v>
      </c>
      <c r="BL151" s="1">
        <v>8.7199135901359231E-6</v>
      </c>
      <c r="BM151" s="1">
        <v>8.7199135901359231E-6</v>
      </c>
      <c r="BN151" s="1">
        <v>8.7199135901359231E-6</v>
      </c>
      <c r="BO151" s="1">
        <v>8.7199135901359231E-6</v>
      </c>
      <c r="BP151" s="1">
        <v>8.7199135901359231E-6</v>
      </c>
      <c r="BQ151" s="1">
        <v>8.7199135901359231E-6</v>
      </c>
      <c r="BR151" s="1">
        <v>8.7199135901359231E-6</v>
      </c>
      <c r="BS151" s="1">
        <v>8.7199135901359231E-6</v>
      </c>
      <c r="BT151" s="1">
        <v>8.7199135901359231E-6</v>
      </c>
      <c r="BU151" s="1">
        <v>8.7199135901359231E-6</v>
      </c>
      <c r="BV151" s="1">
        <v>8.7199135901359231E-6</v>
      </c>
      <c r="BW151" s="1">
        <v>8.7199135901359231E-6</v>
      </c>
      <c r="BX151" s="1">
        <v>8.7199135901359231E-6</v>
      </c>
      <c r="BY151" s="1">
        <v>8.7199135901359231E-6</v>
      </c>
      <c r="BZ151" s="1">
        <v>8.7199135901359231E-6</v>
      </c>
      <c r="CA151" s="1">
        <v>8.7199135901359231E-6</v>
      </c>
      <c r="CB151" s="1">
        <v>8.7199135901359231E-6</v>
      </c>
      <c r="CC151" s="1">
        <v>8.7199135901359231E-6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151"/>
  <sheetViews>
    <sheetView tabSelected="1" topLeftCell="A137" workbookViewId="0">
      <selection activeCell="E143" sqref="E143"/>
    </sheetView>
  </sheetViews>
  <sheetFormatPr defaultRowHeight="14.75" x14ac:dyDescent="0.75"/>
  <cols>
    <col min="1" max="1" width="39.54296875" customWidth="1"/>
  </cols>
  <sheetData>
    <row r="1" spans="1:81" x14ac:dyDescent="0.75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81" s="3" customFormat="1" x14ac:dyDescent="0.75">
      <c r="A2" s="5" t="s">
        <v>22</v>
      </c>
    </row>
    <row r="3" spans="1:81" x14ac:dyDescent="0.75">
      <c r="A3" t="s">
        <v>30</v>
      </c>
      <c r="B3">
        <v>2021</v>
      </c>
      <c r="C3">
        <v>2022</v>
      </c>
      <c r="D3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81" x14ac:dyDescent="0.75">
      <c r="A4" t="s">
        <v>52</v>
      </c>
      <c r="B4">
        <v>0</v>
      </c>
      <c r="C4">
        <v>0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</row>
    <row r="5" spans="1:81" x14ac:dyDescent="0.75">
      <c r="A5" t="s">
        <v>53</v>
      </c>
      <c r="B5">
        <v>1.1449622308853772E-7</v>
      </c>
      <c r="C5">
        <v>1.2697103219769372E-7</v>
      </c>
      <c r="D5">
        <v>1.3715014448358479E-7</v>
      </c>
      <c r="E5" s="1">
        <v>1.2434890900398641E-7</v>
      </c>
      <c r="F5" s="1">
        <v>1.2125284770226004E-7</v>
      </c>
      <c r="G5" s="1">
        <v>1.1865877732994858E-7</v>
      </c>
      <c r="H5" s="1">
        <v>1.1619397102130988E-7</v>
      </c>
      <c r="I5" s="1">
        <v>1.1121660191837483E-7</v>
      </c>
      <c r="J5" s="1">
        <v>1.1122792770836497E-7</v>
      </c>
      <c r="K5" s="1">
        <v>1.122840963303249E-7</v>
      </c>
      <c r="L5" s="1">
        <v>1.1078844894683452E-7</v>
      </c>
      <c r="M5" s="1">
        <v>1.0735074417776155E-7</v>
      </c>
      <c r="N5" s="1">
        <v>1.0754347315716233E-7</v>
      </c>
      <c r="O5" s="1">
        <v>1.0685073020012196E-7</v>
      </c>
      <c r="P5" s="1">
        <v>1.0617613708950115E-7</v>
      </c>
      <c r="Q5" s="1">
        <v>1.0617741138974192E-7</v>
      </c>
      <c r="R5" s="1">
        <v>1.0772126781411556E-7</v>
      </c>
      <c r="S5" s="1">
        <v>1.0751065099395226E-7</v>
      </c>
      <c r="T5" s="1">
        <v>1.1058214331066329E-7</v>
      </c>
      <c r="U5" s="1">
        <v>1.1043406247708054E-7</v>
      </c>
      <c r="V5" s="1">
        <v>1.1029709306522318E-7</v>
      </c>
      <c r="W5" s="1">
        <v>1.1022395775888317E-7</v>
      </c>
      <c r="X5" s="1">
        <v>1.1026417562722874E-7</v>
      </c>
      <c r="Y5" s="1">
        <v>1.1025092052285543E-7</v>
      </c>
      <c r="Z5" s="1">
        <v>1.0969805285859531E-7</v>
      </c>
      <c r="AA5" s="1">
        <v>9.430694736681518E-8</v>
      </c>
      <c r="AB5" s="1">
        <v>1.088114018966978E-7</v>
      </c>
      <c r="AC5" s="1">
        <v>1.0880185059956626E-7</v>
      </c>
      <c r="AD5" s="1">
        <v>1.0966814848565609E-7</v>
      </c>
      <c r="AE5" s="1">
        <v>1.0949914292755954E-7</v>
      </c>
      <c r="AF5" s="1">
        <v>1.0949914292755954E-7</v>
      </c>
      <c r="AG5" s="1">
        <v>1.0949914292755954E-7</v>
      </c>
      <c r="AH5" s="1">
        <v>1.0949914292755954E-7</v>
      </c>
      <c r="AI5" s="1">
        <v>1.0949914292755954E-7</v>
      </c>
      <c r="AJ5" s="1">
        <v>1.0949914292755954E-7</v>
      </c>
      <c r="AK5" s="1">
        <v>1.0949914292755954E-7</v>
      </c>
      <c r="AL5" s="1">
        <v>1.0949914292755954E-7</v>
      </c>
      <c r="AM5" s="1">
        <v>1.0949914292755954E-7</v>
      </c>
      <c r="AN5" s="1">
        <v>1.0949914292755954E-7</v>
      </c>
      <c r="AO5" s="1">
        <v>1.0949914292755954E-7</v>
      </c>
      <c r="AP5" s="1">
        <v>1.0949914292755954E-7</v>
      </c>
      <c r="AQ5" s="1">
        <v>1.0949914292755954E-7</v>
      </c>
      <c r="AR5" s="1">
        <v>1.0949914292755954E-7</v>
      </c>
      <c r="AS5" s="1">
        <v>1.0949914292755954E-7</v>
      </c>
      <c r="AT5" s="1">
        <v>1.0949914292755954E-7</v>
      </c>
      <c r="AU5" s="1">
        <v>1.0949914292755954E-7</v>
      </c>
      <c r="AV5" s="1">
        <v>1.0949914292755954E-7</v>
      </c>
      <c r="AW5" s="1">
        <v>1.0949914292755954E-7</v>
      </c>
      <c r="AX5" s="1">
        <v>1.0949914292755954E-7</v>
      </c>
      <c r="AY5" s="1">
        <v>1.0949914292755954E-7</v>
      </c>
      <c r="AZ5" s="1">
        <v>1.0949914292755954E-7</v>
      </c>
      <c r="BA5" s="1">
        <v>1.0949914292755954E-7</v>
      </c>
      <c r="BB5" s="1">
        <v>1.0949914292755954E-7</v>
      </c>
      <c r="BC5" s="1">
        <v>1.0949914292755954E-7</v>
      </c>
      <c r="BD5" s="1">
        <v>1.0949914292755954E-7</v>
      </c>
      <c r="BE5" s="1">
        <v>1.0949914292755954E-7</v>
      </c>
      <c r="BF5" s="1">
        <v>1.0949914292755954E-7</v>
      </c>
      <c r="BG5" s="1">
        <v>1.0949914292755954E-7</v>
      </c>
      <c r="BH5" s="1">
        <v>1.0949914292755954E-7</v>
      </c>
      <c r="BI5" s="1">
        <v>1.0949914292755954E-7</v>
      </c>
      <c r="BJ5" s="1">
        <v>1.0949914292755954E-7</v>
      </c>
      <c r="BK5" s="1">
        <v>1.0949914292755954E-7</v>
      </c>
      <c r="BL5" s="1">
        <v>1.0949914292755954E-7</v>
      </c>
      <c r="BM5" s="1">
        <v>1.0949914292755954E-7</v>
      </c>
      <c r="BN5" s="1">
        <v>1.0949914292755954E-7</v>
      </c>
      <c r="BO5" s="1">
        <v>1.0949914292755954E-7</v>
      </c>
      <c r="BP5" s="1">
        <v>1.0949914292755954E-7</v>
      </c>
      <c r="BQ5" s="1">
        <v>1.0949914292755954E-7</v>
      </c>
      <c r="BR5" s="1">
        <v>1.0949914292755954E-7</v>
      </c>
      <c r="BS5" s="1">
        <v>1.0949914292755954E-7</v>
      </c>
      <c r="BT5" s="1">
        <v>1.0949914292755954E-7</v>
      </c>
      <c r="BU5" s="1">
        <v>1.0949914292755954E-7</v>
      </c>
      <c r="BV5" s="1">
        <v>1.0949914292755954E-7</v>
      </c>
      <c r="BW5" s="1">
        <v>1.0949914292755954E-7</v>
      </c>
      <c r="BX5" s="1">
        <v>1.0949914292755954E-7</v>
      </c>
      <c r="BY5" s="1">
        <v>1.0949914292755954E-7</v>
      </c>
      <c r="BZ5" s="1">
        <v>1.0949914292755954E-7</v>
      </c>
      <c r="CA5" s="1">
        <v>1.0949914292755954E-7</v>
      </c>
      <c r="CB5" s="1">
        <v>1.0949914292755954E-7</v>
      </c>
      <c r="CC5" s="1">
        <v>1.0949914292755954E-7</v>
      </c>
    </row>
    <row r="6" spans="1:81" x14ac:dyDescent="0.75">
      <c r="A6" t="s">
        <v>54</v>
      </c>
      <c r="B6">
        <v>0</v>
      </c>
      <c r="C6">
        <v>0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</row>
    <row r="7" spans="1:81" x14ac:dyDescent="0.75">
      <c r="A7" t="s">
        <v>55</v>
      </c>
      <c r="B7">
        <v>0</v>
      </c>
      <c r="C7">
        <v>0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</row>
    <row r="8" spans="1:81" x14ac:dyDescent="0.75">
      <c r="A8" t="s">
        <v>56</v>
      </c>
      <c r="B8">
        <v>3.4171827562981273E-7</v>
      </c>
      <c r="C8">
        <v>3.7894981168053008E-7</v>
      </c>
      <c r="D8">
        <v>4.0932975438909579E-7</v>
      </c>
      <c r="E8" s="1">
        <v>4.1454420635336437E-7</v>
      </c>
      <c r="F8" s="1">
        <v>3.959146506788286E-7</v>
      </c>
      <c r="G8" s="1">
        <v>3.9217940497385868E-7</v>
      </c>
      <c r="H8" s="1">
        <v>3.9050297010526903E-7</v>
      </c>
      <c r="I8" s="1">
        <v>3.8838090491941571E-7</v>
      </c>
      <c r="J8" s="1">
        <v>3.8747993938662196E-7</v>
      </c>
      <c r="K8" s="1">
        <v>3.8711291387037517E-7</v>
      </c>
      <c r="L8" s="1">
        <v>3.872607212976206E-7</v>
      </c>
      <c r="M8" s="1">
        <v>3.8820512846224056E-7</v>
      </c>
      <c r="N8" s="1">
        <v>3.8787049215023932E-7</v>
      </c>
      <c r="O8" s="1">
        <v>3.8576857854398814E-7</v>
      </c>
      <c r="P8" s="1">
        <v>3.8667715142438231E-7</v>
      </c>
      <c r="Q8" s="1">
        <v>3.8657603061581763E-7</v>
      </c>
      <c r="R8" s="1">
        <v>3.8641625615216758E-7</v>
      </c>
      <c r="S8" s="1">
        <v>3.864435575344645E-7</v>
      </c>
      <c r="T8" s="1">
        <v>3.853797820032475E-7</v>
      </c>
      <c r="U8" s="1">
        <v>3.8506166180441229E-7</v>
      </c>
      <c r="V8" s="1">
        <v>3.8345597441336365E-7</v>
      </c>
      <c r="W8" s="1">
        <v>3.830949681333755E-7</v>
      </c>
      <c r="X8" s="1">
        <v>3.8250309348404575E-7</v>
      </c>
      <c r="Y8" s="1">
        <v>3.8267600644787052E-7</v>
      </c>
      <c r="Z8" s="1">
        <v>3.8330868068937151E-7</v>
      </c>
      <c r="AA8" s="1">
        <v>3.8305342420021737E-7</v>
      </c>
      <c r="AB8" s="1">
        <v>3.8264473143361385E-7</v>
      </c>
      <c r="AC8" s="1">
        <v>3.8258863191650579E-7</v>
      </c>
      <c r="AD8" s="1">
        <v>3.8299025108980389E-7</v>
      </c>
      <c r="AE8" s="1">
        <v>3.8268891251109366E-7</v>
      </c>
      <c r="AF8" s="1">
        <v>3.8268891251109366E-7</v>
      </c>
      <c r="AG8" s="1">
        <v>3.8268891251109366E-7</v>
      </c>
      <c r="AH8" s="1">
        <v>3.8268891251109366E-7</v>
      </c>
      <c r="AI8" s="1">
        <v>3.8268891251109366E-7</v>
      </c>
      <c r="AJ8" s="1">
        <v>3.8268891251109366E-7</v>
      </c>
      <c r="AK8" s="1">
        <v>3.8268891251109366E-7</v>
      </c>
      <c r="AL8" s="1">
        <v>3.8268891251109366E-7</v>
      </c>
      <c r="AM8" s="1">
        <v>3.8268891251109366E-7</v>
      </c>
      <c r="AN8" s="1">
        <v>3.8268891251109366E-7</v>
      </c>
      <c r="AO8" s="1">
        <v>3.8268891251109366E-7</v>
      </c>
      <c r="AP8" s="1">
        <v>3.8268891251109366E-7</v>
      </c>
      <c r="AQ8" s="1">
        <v>3.8268891251109366E-7</v>
      </c>
      <c r="AR8" s="1">
        <v>3.8268891251109366E-7</v>
      </c>
      <c r="AS8" s="1">
        <v>3.8268891251109366E-7</v>
      </c>
      <c r="AT8" s="1">
        <v>3.8268891251109366E-7</v>
      </c>
      <c r="AU8" s="1">
        <v>3.8268891251109366E-7</v>
      </c>
      <c r="AV8" s="1">
        <v>3.8268891251109366E-7</v>
      </c>
      <c r="AW8" s="1">
        <v>3.8268891251109366E-7</v>
      </c>
      <c r="AX8" s="1">
        <v>3.8268891251109366E-7</v>
      </c>
      <c r="AY8" s="1">
        <v>3.8268891251109366E-7</v>
      </c>
      <c r="AZ8" s="1">
        <v>3.8268891251109366E-7</v>
      </c>
      <c r="BA8" s="1">
        <v>3.8268891251109366E-7</v>
      </c>
      <c r="BB8" s="1">
        <v>3.8268891251109366E-7</v>
      </c>
      <c r="BC8" s="1">
        <v>3.8268891251109366E-7</v>
      </c>
      <c r="BD8" s="1">
        <v>3.8268891251109366E-7</v>
      </c>
      <c r="BE8" s="1">
        <v>3.8268891251109366E-7</v>
      </c>
      <c r="BF8" s="1">
        <v>3.8268891251109366E-7</v>
      </c>
      <c r="BG8" s="1">
        <v>3.8268891251109366E-7</v>
      </c>
      <c r="BH8" s="1">
        <v>3.8268891251109366E-7</v>
      </c>
      <c r="BI8" s="1">
        <v>3.8268891251109366E-7</v>
      </c>
      <c r="BJ8" s="1">
        <v>3.8268891251109366E-7</v>
      </c>
      <c r="BK8" s="1">
        <v>3.8268891251109366E-7</v>
      </c>
      <c r="BL8" s="1">
        <v>3.8268891251109366E-7</v>
      </c>
      <c r="BM8" s="1">
        <v>3.8268891251109366E-7</v>
      </c>
      <c r="BN8" s="1">
        <v>3.8268891251109366E-7</v>
      </c>
      <c r="BO8" s="1">
        <v>3.8268891251109366E-7</v>
      </c>
      <c r="BP8" s="1">
        <v>3.8268891251109366E-7</v>
      </c>
      <c r="BQ8" s="1">
        <v>3.8268891251109366E-7</v>
      </c>
      <c r="BR8" s="1">
        <v>3.8268891251109366E-7</v>
      </c>
      <c r="BS8" s="1">
        <v>3.8268891251109366E-7</v>
      </c>
      <c r="BT8" s="1">
        <v>3.8268891251109366E-7</v>
      </c>
      <c r="BU8" s="1">
        <v>3.8268891251109366E-7</v>
      </c>
      <c r="BV8" s="1">
        <v>3.8268891251109366E-7</v>
      </c>
      <c r="BW8" s="1">
        <v>3.8268891251109366E-7</v>
      </c>
      <c r="BX8" s="1">
        <v>3.8268891251109366E-7</v>
      </c>
      <c r="BY8" s="1">
        <v>3.8268891251109366E-7</v>
      </c>
      <c r="BZ8" s="1">
        <v>3.8268891251109366E-7</v>
      </c>
      <c r="CA8" s="1">
        <v>3.8268891251109366E-7</v>
      </c>
      <c r="CB8" s="1">
        <v>3.8268891251109366E-7</v>
      </c>
      <c r="CC8" s="1">
        <v>3.8268891251109366E-7</v>
      </c>
    </row>
    <row r="9" spans="1:81" x14ac:dyDescent="0.75">
      <c r="A9" t="s">
        <v>57</v>
      </c>
      <c r="B9">
        <v>1.1449622308853772E-7</v>
      </c>
      <c r="C9">
        <v>1.2697103219769372E-7</v>
      </c>
      <c r="D9">
        <v>1.3715014448358479E-7</v>
      </c>
      <c r="E9" s="1">
        <v>1.2434890900398641E-7</v>
      </c>
      <c r="F9" s="1">
        <v>1.2125284770226004E-7</v>
      </c>
      <c r="G9" s="1">
        <v>1.1865877732994858E-7</v>
      </c>
      <c r="H9" s="1">
        <v>1.1619397102130988E-7</v>
      </c>
      <c r="I9" s="1">
        <v>1.1121660191837483E-7</v>
      </c>
      <c r="J9" s="1">
        <v>1.1122792770836497E-7</v>
      </c>
      <c r="K9" s="1">
        <v>1.122840963303249E-7</v>
      </c>
      <c r="L9" s="1">
        <v>1.1078844894683452E-7</v>
      </c>
      <c r="M9" s="1">
        <v>1.0735074417776155E-7</v>
      </c>
      <c r="N9" s="1">
        <v>1.0754347315716233E-7</v>
      </c>
      <c r="O9" s="1">
        <v>1.0685073020012196E-7</v>
      </c>
      <c r="P9" s="1">
        <v>1.0617613708950115E-7</v>
      </c>
      <c r="Q9" s="1">
        <v>1.0617741138974192E-7</v>
      </c>
      <c r="R9" s="1">
        <v>1.0772126781411556E-7</v>
      </c>
      <c r="S9" s="1">
        <v>1.0751065099395226E-7</v>
      </c>
      <c r="T9" s="1">
        <v>1.1058214331066329E-7</v>
      </c>
      <c r="U9" s="1">
        <v>1.1043406247708054E-7</v>
      </c>
      <c r="V9" s="1">
        <v>1.1029709306522318E-7</v>
      </c>
      <c r="W9" s="1">
        <v>1.1022395775888317E-7</v>
      </c>
      <c r="X9" s="1">
        <v>1.1026417562722874E-7</v>
      </c>
      <c r="Y9" s="1">
        <v>1.1025092052285543E-7</v>
      </c>
      <c r="Z9" s="1">
        <v>1.0969805285859531E-7</v>
      </c>
      <c r="AA9" s="1">
        <v>9.430694736681518E-8</v>
      </c>
      <c r="AB9" s="1">
        <v>1.088114018966978E-7</v>
      </c>
      <c r="AC9" s="1">
        <v>1.0880185059956626E-7</v>
      </c>
      <c r="AD9" s="1">
        <v>1.0966814848565609E-7</v>
      </c>
      <c r="AE9" s="1">
        <v>1.0949914292755954E-7</v>
      </c>
      <c r="AF9" s="1">
        <v>1.0949914292755954E-7</v>
      </c>
      <c r="AG9" s="1">
        <v>1.0949914292755954E-7</v>
      </c>
      <c r="AH9" s="1">
        <v>1.0949914292755954E-7</v>
      </c>
      <c r="AI9" s="1">
        <v>1.0949914292755954E-7</v>
      </c>
      <c r="AJ9" s="1">
        <v>1.0949914292755954E-7</v>
      </c>
      <c r="AK9" s="1">
        <v>1.0949914292755954E-7</v>
      </c>
      <c r="AL9" s="1">
        <v>1.0949914292755954E-7</v>
      </c>
      <c r="AM9" s="1">
        <v>1.0949914292755954E-7</v>
      </c>
      <c r="AN9" s="1">
        <v>1.0949914292755954E-7</v>
      </c>
      <c r="AO9" s="1">
        <v>1.0949914292755954E-7</v>
      </c>
      <c r="AP9" s="1">
        <v>1.0949914292755954E-7</v>
      </c>
      <c r="AQ9" s="1">
        <v>1.0949914292755954E-7</v>
      </c>
      <c r="AR9" s="1">
        <v>1.0949914292755954E-7</v>
      </c>
      <c r="AS9" s="1">
        <v>1.0949914292755954E-7</v>
      </c>
      <c r="AT9" s="1">
        <v>1.0949914292755954E-7</v>
      </c>
      <c r="AU9" s="1">
        <v>1.0949914292755954E-7</v>
      </c>
      <c r="AV9" s="1">
        <v>1.0949914292755954E-7</v>
      </c>
      <c r="AW9" s="1">
        <v>1.0949914292755954E-7</v>
      </c>
      <c r="AX9" s="1">
        <v>1.0949914292755954E-7</v>
      </c>
      <c r="AY9" s="1">
        <v>1.0949914292755954E-7</v>
      </c>
      <c r="AZ9" s="1">
        <v>1.0949914292755954E-7</v>
      </c>
      <c r="BA9" s="1">
        <v>1.0949914292755954E-7</v>
      </c>
      <c r="BB9" s="1">
        <v>1.0949914292755954E-7</v>
      </c>
      <c r="BC9" s="1">
        <v>1.0949914292755954E-7</v>
      </c>
      <c r="BD9" s="1">
        <v>1.0949914292755954E-7</v>
      </c>
      <c r="BE9" s="1">
        <v>1.0949914292755954E-7</v>
      </c>
      <c r="BF9" s="1">
        <v>1.0949914292755954E-7</v>
      </c>
      <c r="BG9" s="1">
        <v>1.0949914292755954E-7</v>
      </c>
      <c r="BH9" s="1">
        <v>1.0949914292755954E-7</v>
      </c>
      <c r="BI9" s="1">
        <v>1.0949914292755954E-7</v>
      </c>
      <c r="BJ9" s="1">
        <v>1.0949914292755954E-7</v>
      </c>
      <c r="BK9" s="1">
        <v>1.0949914292755954E-7</v>
      </c>
      <c r="BL9" s="1">
        <v>1.0949914292755954E-7</v>
      </c>
      <c r="BM9" s="1">
        <v>1.0949914292755954E-7</v>
      </c>
      <c r="BN9" s="1">
        <v>1.0949914292755954E-7</v>
      </c>
      <c r="BO9" s="1">
        <v>1.0949914292755954E-7</v>
      </c>
      <c r="BP9" s="1">
        <v>1.0949914292755954E-7</v>
      </c>
      <c r="BQ9" s="1">
        <v>1.0949914292755954E-7</v>
      </c>
      <c r="BR9" s="1">
        <v>1.0949914292755954E-7</v>
      </c>
      <c r="BS9" s="1">
        <v>1.0949914292755954E-7</v>
      </c>
      <c r="BT9" s="1">
        <v>1.0949914292755954E-7</v>
      </c>
      <c r="BU9" s="1">
        <v>1.0949914292755954E-7</v>
      </c>
      <c r="BV9" s="1">
        <v>1.0949914292755954E-7</v>
      </c>
      <c r="BW9" s="1">
        <v>1.0949914292755954E-7</v>
      </c>
      <c r="BX9" s="1">
        <v>1.0949914292755954E-7</v>
      </c>
      <c r="BY9" s="1">
        <v>1.0949914292755954E-7</v>
      </c>
      <c r="BZ9" s="1">
        <v>1.0949914292755954E-7</v>
      </c>
      <c r="CA9" s="1">
        <v>1.0949914292755954E-7</v>
      </c>
      <c r="CB9" s="1">
        <v>1.0949914292755954E-7</v>
      </c>
      <c r="CC9" s="1">
        <v>1.0949914292755954E-7</v>
      </c>
    </row>
    <row r="10" spans="1:81" x14ac:dyDescent="0.75">
      <c r="A10" t="s">
        <v>58</v>
      </c>
      <c r="B10">
        <v>0</v>
      </c>
      <c r="C10">
        <v>0</v>
      </c>
      <c r="D10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</row>
    <row r="11" spans="1:81" x14ac:dyDescent="0.75">
      <c r="A11" t="s">
        <v>59</v>
      </c>
      <c r="B11">
        <v>3.4171827562981273E-7</v>
      </c>
      <c r="C11">
        <v>3.7894981168053008E-7</v>
      </c>
      <c r="D11">
        <v>4.0932975438909579E-7</v>
      </c>
      <c r="E11" s="1">
        <v>4.1454420635336437E-7</v>
      </c>
      <c r="F11" s="1">
        <v>3.959146506788286E-7</v>
      </c>
      <c r="G11" s="1">
        <v>3.9217940497385868E-7</v>
      </c>
      <c r="H11" s="1">
        <v>3.9050297010526903E-7</v>
      </c>
      <c r="I11" s="1">
        <v>3.8838090491941571E-7</v>
      </c>
      <c r="J11" s="1">
        <v>3.8747993938662196E-7</v>
      </c>
      <c r="K11" s="1">
        <v>3.8711291387037517E-7</v>
      </c>
      <c r="L11" s="1">
        <v>3.872607212976206E-7</v>
      </c>
      <c r="M11" s="1">
        <v>3.8820512846224056E-7</v>
      </c>
      <c r="N11" s="1">
        <v>3.8787049215023932E-7</v>
      </c>
      <c r="O11" s="1">
        <v>3.8576857854398814E-7</v>
      </c>
      <c r="P11" s="1">
        <v>3.8667715142438231E-7</v>
      </c>
      <c r="Q11" s="1">
        <v>3.8657603061581763E-7</v>
      </c>
      <c r="R11" s="1">
        <v>3.8641625615216758E-7</v>
      </c>
      <c r="S11" s="1">
        <v>3.864435575344645E-7</v>
      </c>
      <c r="T11" s="1">
        <v>3.853797820032475E-7</v>
      </c>
      <c r="U11" s="1">
        <v>3.8506166180441229E-7</v>
      </c>
      <c r="V11" s="1">
        <v>3.8345597441336365E-7</v>
      </c>
      <c r="W11" s="1">
        <v>3.830949681333755E-7</v>
      </c>
      <c r="X11" s="1">
        <v>3.8250309348404575E-7</v>
      </c>
      <c r="Y11" s="1">
        <v>3.8267600644787052E-7</v>
      </c>
      <c r="Z11" s="1">
        <v>3.8330868068937151E-7</v>
      </c>
      <c r="AA11" s="1">
        <v>3.8305342420021737E-7</v>
      </c>
      <c r="AB11" s="1">
        <v>3.8264473143361385E-7</v>
      </c>
      <c r="AC11" s="1">
        <v>3.8258863191650579E-7</v>
      </c>
      <c r="AD11" s="1">
        <v>3.8299025108980389E-7</v>
      </c>
      <c r="AE11" s="1">
        <v>3.8268891251109366E-7</v>
      </c>
      <c r="AF11" s="1">
        <v>3.8268891251109366E-7</v>
      </c>
      <c r="AG11" s="1">
        <v>3.8268891251109366E-7</v>
      </c>
      <c r="AH11" s="1">
        <v>3.8268891251109366E-7</v>
      </c>
      <c r="AI11" s="1">
        <v>3.8268891251109366E-7</v>
      </c>
      <c r="AJ11" s="1">
        <v>3.8268891251109366E-7</v>
      </c>
      <c r="AK11" s="1">
        <v>3.8268891251109366E-7</v>
      </c>
      <c r="AL11" s="1">
        <v>3.8268891251109366E-7</v>
      </c>
      <c r="AM11" s="1">
        <v>3.8268891251109366E-7</v>
      </c>
      <c r="AN11" s="1">
        <v>3.8268891251109366E-7</v>
      </c>
      <c r="AO11" s="1">
        <v>3.8268891251109366E-7</v>
      </c>
      <c r="AP11" s="1">
        <v>3.8268891251109366E-7</v>
      </c>
      <c r="AQ11" s="1">
        <v>3.8268891251109366E-7</v>
      </c>
      <c r="AR11" s="1">
        <v>3.8268891251109366E-7</v>
      </c>
      <c r="AS11" s="1">
        <v>3.8268891251109366E-7</v>
      </c>
      <c r="AT11" s="1">
        <v>3.8268891251109366E-7</v>
      </c>
      <c r="AU11" s="1">
        <v>3.8268891251109366E-7</v>
      </c>
      <c r="AV11" s="1">
        <v>3.8268891251109366E-7</v>
      </c>
      <c r="AW11" s="1">
        <v>3.8268891251109366E-7</v>
      </c>
      <c r="AX11" s="1">
        <v>3.8268891251109366E-7</v>
      </c>
      <c r="AY11" s="1">
        <v>3.8268891251109366E-7</v>
      </c>
      <c r="AZ11" s="1">
        <v>3.8268891251109366E-7</v>
      </c>
      <c r="BA11" s="1">
        <v>3.8268891251109366E-7</v>
      </c>
      <c r="BB11" s="1">
        <v>3.8268891251109366E-7</v>
      </c>
      <c r="BC11" s="1">
        <v>3.8268891251109366E-7</v>
      </c>
      <c r="BD11" s="1">
        <v>3.8268891251109366E-7</v>
      </c>
      <c r="BE11" s="1">
        <v>3.8268891251109366E-7</v>
      </c>
      <c r="BF11" s="1">
        <v>3.8268891251109366E-7</v>
      </c>
      <c r="BG11" s="1">
        <v>3.8268891251109366E-7</v>
      </c>
      <c r="BH11" s="1">
        <v>3.8268891251109366E-7</v>
      </c>
      <c r="BI11" s="1">
        <v>3.8268891251109366E-7</v>
      </c>
      <c r="BJ11" s="1">
        <v>3.8268891251109366E-7</v>
      </c>
      <c r="BK11" s="1">
        <v>3.8268891251109366E-7</v>
      </c>
      <c r="BL11" s="1">
        <v>3.8268891251109366E-7</v>
      </c>
      <c r="BM11" s="1">
        <v>3.8268891251109366E-7</v>
      </c>
      <c r="BN11" s="1">
        <v>3.8268891251109366E-7</v>
      </c>
      <c r="BO11" s="1">
        <v>3.8268891251109366E-7</v>
      </c>
      <c r="BP11" s="1">
        <v>3.8268891251109366E-7</v>
      </c>
      <c r="BQ11" s="1">
        <v>3.8268891251109366E-7</v>
      </c>
      <c r="BR11" s="1">
        <v>3.8268891251109366E-7</v>
      </c>
      <c r="BS11" s="1">
        <v>3.8268891251109366E-7</v>
      </c>
      <c r="BT11" s="1">
        <v>3.8268891251109366E-7</v>
      </c>
      <c r="BU11" s="1">
        <v>3.8268891251109366E-7</v>
      </c>
      <c r="BV11" s="1">
        <v>3.8268891251109366E-7</v>
      </c>
      <c r="BW11" s="1">
        <v>3.8268891251109366E-7</v>
      </c>
      <c r="BX11" s="1">
        <v>3.8268891251109366E-7</v>
      </c>
      <c r="BY11" s="1">
        <v>3.8268891251109366E-7</v>
      </c>
      <c r="BZ11" s="1">
        <v>3.8268891251109366E-7</v>
      </c>
      <c r="CA11" s="1">
        <v>3.8268891251109366E-7</v>
      </c>
      <c r="CB11" s="1">
        <v>3.8268891251109366E-7</v>
      </c>
      <c r="CC11" s="1">
        <v>3.8268891251109366E-7</v>
      </c>
    </row>
    <row r="12" spans="1:81" s="3" customFormat="1" x14ac:dyDescent="0.75">
      <c r="A12" s="5" t="s">
        <v>31</v>
      </c>
    </row>
    <row r="13" spans="1:81" x14ac:dyDescent="0.75">
      <c r="A13" t="s">
        <v>30</v>
      </c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81" x14ac:dyDescent="0.75">
      <c r="A14" t="s">
        <v>52</v>
      </c>
      <c r="B14">
        <v>7.2767327501635025E-7</v>
      </c>
      <c r="C14">
        <v>1.1569982811218219E-6</v>
      </c>
      <c r="D14">
        <v>5.1083682860488721E-7</v>
      </c>
      <c r="E14" s="1">
        <v>7.2764161650551965E-7</v>
      </c>
      <c r="F14" s="1">
        <v>8.2796929586587568E-7</v>
      </c>
      <c r="G14" s="1">
        <v>8.9185699339460432E-7</v>
      </c>
      <c r="H14" s="1">
        <v>9.1962403108011829E-7</v>
      </c>
      <c r="I14" s="1">
        <v>8.6502687827405715E-7</v>
      </c>
      <c r="J14" s="1">
        <v>8.1042972546799602E-7</v>
      </c>
      <c r="K14" s="1">
        <v>7.5583257266193499E-7</v>
      </c>
      <c r="L14" s="1">
        <v>7.614556143174389E-7</v>
      </c>
      <c r="M14" s="1">
        <v>7.7974407458651687E-7</v>
      </c>
      <c r="N14" s="1">
        <v>7.9150738014251885E-7</v>
      </c>
      <c r="O14" s="1">
        <v>7.9720546340299094E-7</v>
      </c>
      <c r="P14" s="1">
        <v>7.9712800110108808E-7</v>
      </c>
      <c r="Q14" s="1">
        <v>7.9173872282601948E-7</v>
      </c>
      <c r="R14" s="1">
        <v>7.8496157830853108E-7</v>
      </c>
      <c r="S14" s="1">
        <v>7.7895203204249346E-7</v>
      </c>
      <c r="T14" s="1">
        <v>7.7023301393711697E-7</v>
      </c>
      <c r="U14" s="1">
        <v>7.6663092196936063E-7</v>
      </c>
      <c r="V14" s="1">
        <v>7.6734032856509211E-7</v>
      </c>
      <c r="W14" s="1">
        <v>7.6726177457633687E-7</v>
      </c>
      <c r="X14" s="1">
        <v>7.671923812642164E-7</v>
      </c>
      <c r="Y14" s="1">
        <v>7.6570018773038674E-7</v>
      </c>
      <c r="Z14" s="1">
        <v>7.6455391653495421E-7</v>
      </c>
      <c r="AA14" s="1">
        <v>7.6416323503559208E-7</v>
      </c>
      <c r="AB14" s="1">
        <v>7.6057770822921082E-7</v>
      </c>
      <c r="AC14" s="1">
        <v>7.5729230037805564E-7</v>
      </c>
      <c r="AD14" s="1">
        <v>7.5685833112174791E-7</v>
      </c>
      <c r="AE14" s="1">
        <v>7.5606092507275216E-7</v>
      </c>
      <c r="AF14" s="1">
        <v>7.5606092507275216E-7</v>
      </c>
      <c r="AG14" s="1">
        <v>7.5606092507275216E-7</v>
      </c>
      <c r="AH14" s="1">
        <v>7.5606092507275216E-7</v>
      </c>
      <c r="AI14" s="1">
        <v>7.5606092507275216E-7</v>
      </c>
      <c r="AJ14" s="1">
        <v>7.5606092507275216E-7</v>
      </c>
      <c r="AK14" s="1">
        <v>7.5606092507275216E-7</v>
      </c>
      <c r="AL14" s="1">
        <v>7.5606092507275216E-7</v>
      </c>
      <c r="AM14" s="1">
        <v>7.5606092507275216E-7</v>
      </c>
      <c r="AN14" s="1">
        <v>7.5606092507275216E-7</v>
      </c>
      <c r="AO14" s="1">
        <v>7.5606092507275216E-7</v>
      </c>
      <c r="AP14" s="1">
        <v>7.5606092507275216E-7</v>
      </c>
      <c r="AQ14" s="1">
        <v>7.5606092507275216E-7</v>
      </c>
      <c r="AR14" s="1">
        <v>7.5606092507275216E-7</v>
      </c>
      <c r="AS14" s="1">
        <v>7.5606092507275216E-7</v>
      </c>
      <c r="AT14" s="1">
        <v>7.5606092507275216E-7</v>
      </c>
      <c r="AU14" s="1">
        <v>7.5606092507275216E-7</v>
      </c>
      <c r="AV14" s="1">
        <v>7.5606092507275216E-7</v>
      </c>
      <c r="AW14" s="1">
        <v>7.5606092507275216E-7</v>
      </c>
      <c r="AX14" s="1">
        <v>7.5606092507275216E-7</v>
      </c>
      <c r="AY14" s="1">
        <v>7.5606092507275216E-7</v>
      </c>
      <c r="AZ14" s="1">
        <v>7.5606092507275216E-7</v>
      </c>
      <c r="BA14" s="1">
        <v>7.5606092507275216E-7</v>
      </c>
      <c r="BB14" s="1">
        <v>7.5606092507275216E-7</v>
      </c>
      <c r="BC14" s="1">
        <v>7.5606092507275216E-7</v>
      </c>
      <c r="BD14" s="1">
        <v>7.5606092507275216E-7</v>
      </c>
      <c r="BE14" s="1">
        <v>7.5606092507275216E-7</v>
      </c>
      <c r="BF14" s="1">
        <v>7.5606092507275216E-7</v>
      </c>
      <c r="BG14" s="1">
        <v>7.5606092507275216E-7</v>
      </c>
      <c r="BH14" s="1">
        <v>7.5606092507275216E-7</v>
      </c>
      <c r="BI14" s="1">
        <v>7.5606092507275216E-7</v>
      </c>
      <c r="BJ14" s="1">
        <v>7.5606092507275216E-7</v>
      </c>
      <c r="BK14" s="1">
        <v>7.5606092507275216E-7</v>
      </c>
      <c r="BL14" s="1">
        <v>7.5606092507275216E-7</v>
      </c>
      <c r="BM14" s="1">
        <v>7.5606092507275216E-7</v>
      </c>
      <c r="BN14" s="1">
        <v>7.5606092507275216E-7</v>
      </c>
      <c r="BO14" s="1">
        <v>7.5606092507275216E-7</v>
      </c>
      <c r="BP14" s="1">
        <v>7.5606092507275216E-7</v>
      </c>
      <c r="BQ14" s="1">
        <v>7.5606092507275216E-7</v>
      </c>
      <c r="BR14" s="1">
        <v>7.5606092507275216E-7</v>
      </c>
      <c r="BS14" s="1">
        <v>7.5606092507275216E-7</v>
      </c>
      <c r="BT14" s="1">
        <v>7.5606092507275216E-7</v>
      </c>
      <c r="BU14" s="1">
        <v>7.5606092507275216E-7</v>
      </c>
      <c r="BV14" s="1">
        <v>7.5606092507275216E-7</v>
      </c>
      <c r="BW14" s="1">
        <v>7.5606092507275216E-7</v>
      </c>
      <c r="BX14" s="1">
        <v>7.5606092507275216E-7</v>
      </c>
      <c r="BY14" s="1">
        <v>7.5606092507275216E-7</v>
      </c>
      <c r="BZ14" s="1">
        <v>7.5606092507275216E-7</v>
      </c>
      <c r="CA14" s="1">
        <v>7.5606092507275216E-7</v>
      </c>
      <c r="CB14" s="1">
        <v>7.5606092507275216E-7</v>
      </c>
      <c r="CC14" s="1">
        <v>7.5606092507275216E-7</v>
      </c>
    </row>
    <row r="15" spans="1:81" x14ac:dyDescent="0.75">
      <c r="A15" t="s">
        <v>53</v>
      </c>
      <c r="B15">
        <v>2.4253728727963544E-7</v>
      </c>
      <c r="C15">
        <v>3.8563354478585534E-7</v>
      </c>
      <c r="D15">
        <v>1.7026457189811949E-7</v>
      </c>
      <c r="E15" s="1">
        <v>1.4234302484307704E-7</v>
      </c>
      <c r="F15" s="1">
        <v>2.2829854949755653E-7</v>
      </c>
      <c r="G15" s="1">
        <v>2.4591450307140751E-7</v>
      </c>
      <c r="H15" s="1">
        <v>2.5357079474683423E-7</v>
      </c>
      <c r="I15" s="1">
        <v>2.2883386208363968E-7</v>
      </c>
      <c r="J15" s="1">
        <v>2.0409692942044514E-7</v>
      </c>
      <c r="K15" s="1">
        <v>1.793599967572506E-7</v>
      </c>
      <c r="L15" s="1">
        <v>1.8393577846840618E-7</v>
      </c>
      <c r="M15" s="1">
        <v>2.0890270425640917E-7</v>
      </c>
      <c r="N15" s="1">
        <v>2.2436319719797495E-7</v>
      </c>
      <c r="O15" s="1">
        <v>2.3481004707112396E-7</v>
      </c>
      <c r="P15" s="1">
        <v>2.3836787825669658E-7</v>
      </c>
      <c r="Q15" s="1">
        <v>2.3812495419962747E-7</v>
      </c>
      <c r="R15" s="1">
        <v>2.3639038245215508E-7</v>
      </c>
      <c r="S15" s="1">
        <v>2.3469689135559981E-7</v>
      </c>
      <c r="T15" s="1">
        <v>2.3192799377975263E-7</v>
      </c>
      <c r="U15" s="1">
        <v>2.3346520753009846E-7</v>
      </c>
      <c r="V15" s="1">
        <v>2.3738094587712672E-7</v>
      </c>
      <c r="W15" s="1">
        <v>2.4099927075373772E-7</v>
      </c>
      <c r="X15" s="1">
        <v>2.4533677994310995E-7</v>
      </c>
      <c r="Y15" s="1">
        <v>2.495874762953623E-7</v>
      </c>
      <c r="Z15" s="1">
        <v>2.5181636859624353E-7</v>
      </c>
      <c r="AA15" s="1">
        <v>2.5465034020144623E-7</v>
      </c>
      <c r="AB15" s="1">
        <v>2.550638759277485E-7</v>
      </c>
      <c r="AC15" s="1">
        <v>2.562036681990322E-7</v>
      </c>
      <c r="AD15" s="1">
        <v>2.5968446426451431E-7</v>
      </c>
      <c r="AE15" s="1">
        <v>2.6366385270152488E-7</v>
      </c>
      <c r="AF15" s="1">
        <v>2.6366385270152488E-7</v>
      </c>
      <c r="AG15" s="1">
        <v>2.6366385270152488E-7</v>
      </c>
      <c r="AH15" s="1">
        <v>2.6366385270152488E-7</v>
      </c>
      <c r="AI15" s="1">
        <v>2.6366385270152488E-7</v>
      </c>
      <c r="AJ15" s="1">
        <v>2.6366385270152488E-7</v>
      </c>
      <c r="AK15" s="1">
        <v>2.6366385270152488E-7</v>
      </c>
      <c r="AL15" s="1">
        <v>2.6366385270152488E-7</v>
      </c>
      <c r="AM15" s="1">
        <v>2.6366385270152488E-7</v>
      </c>
      <c r="AN15" s="1">
        <v>2.6366385270152488E-7</v>
      </c>
      <c r="AO15" s="1">
        <v>2.6366385270152488E-7</v>
      </c>
      <c r="AP15" s="1">
        <v>2.6366385270152488E-7</v>
      </c>
      <c r="AQ15" s="1">
        <v>2.6366385270152488E-7</v>
      </c>
      <c r="AR15" s="1">
        <v>2.6366385270152488E-7</v>
      </c>
      <c r="AS15" s="1">
        <v>2.6366385270152488E-7</v>
      </c>
      <c r="AT15" s="1">
        <v>2.6366385270152488E-7</v>
      </c>
      <c r="AU15" s="1">
        <v>2.6366385270152488E-7</v>
      </c>
      <c r="AV15" s="1">
        <v>2.6366385270152488E-7</v>
      </c>
      <c r="AW15" s="1">
        <v>2.6366385270152488E-7</v>
      </c>
      <c r="AX15" s="1">
        <v>2.6366385270152488E-7</v>
      </c>
      <c r="AY15" s="1">
        <v>2.6366385270152488E-7</v>
      </c>
      <c r="AZ15" s="1">
        <v>2.6366385270152488E-7</v>
      </c>
      <c r="BA15" s="1">
        <v>2.6366385270152488E-7</v>
      </c>
      <c r="BB15" s="1">
        <v>2.6366385270152488E-7</v>
      </c>
      <c r="BC15" s="1">
        <v>2.6366385270152488E-7</v>
      </c>
      <c r="BD15" s="1">
        <v>2.6366385270152488E-7</v>
      </c>
      <c r="BE15" s="1">
        <v>2.6366385270152488E-7</v>
      </c>
      <c r="BF15" s="1">
        <v>2.6366385270152488E-7</v>
      </c>
      <c r="BG15" s="1">
        <v>2.6366385270152488E-7</v>
      </c>
      <c r="BH15" s="1">
        <v>2.6366385270152488E-7</v>
      </c>
      <c r="BI15" s="1">
        <v>2.6366385270152488E-7</v>
      </c>
      <c r="BJ15" s="1">
        <v>2.6366385270152488E-7</v>
      </c>
      <c r="BK15" s="1">
        <v>2.6366385270152488E-7</v>
      </c>
      <c r="BL15" s="1">
        <v>2.6366385270152488E-7</v>
      </c>
      <c r="BM15" s="1">
        <v>2.6366385270152488E-7</v>
      </c>
      <c r="BN15" s="1">
        <v>2.6366385270152488E-7</v>
      </c>
      <c r="BO15" s="1">
        <v>2.6366385270152488E-7</v>
      </c>
      <c r="BP15" s="1">
        <v>2.6366385270152488E-7</v>
      </c>
      <c r="BQ15" s="1">
        <v>2.6366385270152488E-7</v>
      </c>
      <c r="BR15" s="1">
        <v>2.6366385270152488E-7</v>
      </c>
      <c r="BS15" s="1">
        <v>2.6366385270152488E-7</v>
      </c>
      <c r="BT15" s="1">
        <v>2.6366385270152488E-7</v>
      </c>
      <c r="BU15" s="1">
        <v>2.6366385270152488E-7</v>
      </c>
      <c r="BV15" s="1">
        <v>2.6366385270152488E-7</v>
      </c>
      <c r="BW15" s="1">
        <v>2.6366385270152488E-7</v>
      </c>
      <c r="BX15" s="1">
        <v>2.6366385270152488E-7</v>
      </c>
      <c r="BY15" s="1">
        <v>2.6366385270152488E-7</v>
      </c>
      <c r="BZ15" s="1">
        <v>2.6366385270152488E-7</v>
      </c>
      <c r="CA15" s="1">
        <v>2.6366385270152488E-7</v>
      </c>
      <c r="CB15" s="1">
        <v>2.6366385270152488E-7</v>
      </c>
      <c r="CC15" s="1">
        <v>2.6366385270152488E-7</v>
      </c>
    </row>
    <row r="16" spans="1:81" x14ac:dyDescent="0.75">
      <c r="A16" t="s">
        <v>54</v>
      </c>
      <c r="B16">
        <v>7.2767327501635025E-7</v>
      </c>
      <c r="C16">
        <v>1.1569982811218219E-6</v>
      </c>
      <c r="D16">
        <v>5.1083682860488721E-7</v>
      </c>
      <c r="E16" s="1">
        <v>7.2764161650551965E-7</v>
      </c>
      <c r="F16" s="1">
        <v>8.2796929586587568E-7</v>
      </c>
      <c r="G16" s="1">
        <v>8.9185699339460432E-7</v>
      </c>
      <c r="H16" s="1">
        <v>9.1962403108011829E-7</v>
      </c>
      <c r="I16" s="1">
        <v>8.0599289913020999E-7</v>
      </c>
      <c r="J16" s="1">
        <v>6.923617671803017E-7</v>
      </c>
      <c r="K16" s="1">
        <v>5.7873063523039351E-7</v>
      </c>
      <c r="L16" s="1">
        <v>5.8875089659965289E-7</v>
      </c>
      <c r="M16" s="1">
        <v>6.1016737195450111E-7</v>
      </c>
      <c r="N16" s="1">
        <v>6.2918033257666677E-7</v>
      </c>
      <c r="O16" s="1">
        <v>6.4211639460044242E-7</v>
      </c>
      <c r="P16" s="1">
        <v>6.4932190754603696E-7</v>
      </c>
      <c r="Q16" s="1">
        <v>6.5005798927269357E-7</v>
      </c>
      <c r="R16" s="1">
        <v>6.4941944739310154E-7</v>
      </c>
      <c r="S16" s="1">
        <v>6.4833644657048587E-7</v>
      </c>
      <c r="T16" s="1">
        <v>6.4545282694580396E-7</v>
      </c>
      <c r="U16" s="1">
        <v>6.470299821955684E-7</v>
      </c>
      <c r="V16" s="1">
        <v>6.5325397373121142E-7</v>
      </c>
      <c r="W16" s="1">
        <v>6.5869199819748946E-7</v>
      </c>
      <c r="X16" s="1">
        <v>6.6329744531225352E-7</v>
      </c>
      <c r="Y16" s="1">
        <v>6.6618358056316152E-7</v>
      </c>
      <c r="Z16" s="1">
        <v>6.7047875128850331E-7</v>
      </c>
      <c r="AA16" s="1">
        <v>6.7530144408697352E-7</v>
      </c>
      <c r="AB16" s="1">
        <v>6.7750029126707973E-7</v>
      </c>
      <c r="AC16" s="1">
        <v>6.7891962656964714E-7</v>
      </c>
      <c r="AD16" s="1">
        <v>6.8298634995488099E-7</v>
      </c>
      <c r="AE16" s="1">
        <v>6.8656290594321156E-7</v>
      </c>
      <c r="AF16" s="1">
        <v>6.8656290594321156E-7</v>
      </c>
      <c r="AG16" s="1">
        <v>6.8656290594321156E-7</v>
      </c>
      <c r="AH16" s="1">
        <v>6.8656290594321156E-7</v>
      </c>
      <c r="AI16" s="1">
        <v>6.8656290594321156E-7</v>
      </c>
      <c r="AJ16" s="1">
        <v>6.8656290594321156E-7</v>
      </c>
      <c r="AK16" s="1">
        <v>6.8656290594321156E-7</v>
      </c>
      <c r="AL16" s="1">
        <v>6.8656290594321156E-7</v>
      </c>
      <c r="AM16" s="1">
        <v>6.8656290594321156E-7</v>
      </c>
      <c r="AN16" s="1">
        <v>6.8656290594321156E-7</v>
      </c>
      <c r="AO16" s="1">
        <v>6.8656290594321156E-7</v>
      </c>
      <c r="AP16" s="1">
        <v>6.8656290594321156E-7</v>
      </c>
      <c r="AQ16" s="1">
        <v>6.8656290594321156E-7</v>
      </c>
      <c r="AR16" s="1">
        <v>6.8656290594321156E-7</v>
      </c>
      <c r="AS16" s="1">
        <v>6.8656290594321156E-7</v>
      </c>
      <c r="AT16" s="1">
        <v>6.8656290594321156E-7</v>
      </c>
      <c r="AU16" s="1">
        <v>6.8656290594321156E-7</v>
      </c>
      <c r="AV16" s="1">
        <v>6.8656290594321156E-7</v>
      </c>
      <c r="AW16" s="1">
        <v>6.8656290594321156E-7</v>
      </c>
      <c r="AX16" s="1">
        <v>6.8656290594321156E-7</v>
      </c>
      <c r="AY16" s="1">
        <v>6.8656290594321156E-7</v>
      </c>
      <c r="AZ16" s="1">
        <v>6.8656290594321156E-7</v>
      </c>
      <c r="BA16" s="1">
        <v>6.8656290594321156E-7</v>
      </c>
      <c r="BB16" s="1">
        <v>6.8656290594321156E-7</v>
      </c>
      <c r="BC16" s="1">
        <v>6.8656290594321156E-7</v>
      </c>
      <c r="BD16" s="1">
        <v>6.8656290594321156E-7</v>
      </c>
      <c r="BE16" s="1">
        <v>6.8656290594321156E-7</v>
      </c>
      <c r="BF16" s="1">
        <v>6.8656290594321156E-7</v>
      </c>
      <c r="BG16" s="1">
        <v>6.8656290594321156E-7</v>
      </c>
      <c r="BH16" s="1">
        <v>6.8656290594321156E-7</v>
      </c>
      <c r="BI16" s="1">
        <v>6.8656290594321156E-7</v>
      </c>
      <c r="BJ16" s="1">
        <v>6.8656290594321156E-7</v>
      </c>
      <c r="BK16" s="1">
        <v>6.8656290594321156E-7</v>
      </c>
      <c r="BL16" s="1">
        <v>6.8656290594321156E-7</v>
      </c>
      <c r="BM16" s="1">
        <v>6.8656290594321156E-7</v>
      </c>
      <c r="BN16" s="1">
        <v>6.8656290594321156E-7</v>
      </c>
      <c r="BO16" s="1">
        <v>6.8656290594321156E-7</v>
      </c>
      <c r="BP16" s="1">
        <v>6.8656290594321156E-7</v>
      </c>
      <c r="BQ16" s="1">
        <v>6.8656290594321156E-7</v>
      </c>
      <c r="BR16" s="1">
        <v>6.8656290594321156E-7</v>
      </c>
      <c r="BS16" s="1">
        <v>6.8656290594321156E-7</v>
      </c>
      <c r="BT16" s="1">
        <v>6.8656290594321156E-7</v>
      </c>
      <c r="BU16" s="1">
        <v>6.8656290594321156E-7</v>
      </c>
      <c r="BV16" s="1">
        <v>6.8656290594321156E-7</v>
      </c>
      <c r="BW16" s="1">
        <v>6.8656290594321156E-7</v>
      </c>
      <c r="BX16" s="1">
        <v>6.8656290594321156E-7</v>
      </c>
      <c r="BY16" s="1">
        <v>6.8656290594321156E-7</v>
      </c>
      <c r="BZ16" s="1">
        <v>6.8656290594321156E-7</v>
      </c>
      <c r="CA16" s="1">
        <v>6.8656290594321156E-7</v>
      </c>
      <c r="CB16" s="1">
        <v>6.8656290594321156E-7</v>
      </c>
      <c r="CC16" s="1">
        <v>6.8656290594321156E-7</v>
      </c>
    </row>
    <row r="17" spans="1:81" x14ac:dyDescent="0.75">
      <c r="A17" t="s">
        <v>55</v>
      </c>
      <c r="B17">
        <v>5.2661656422689918E-7</v>
      </c>
      <c r="C17">
        <v>8.3731872605478267E-7</v>
      </c>
      <c r="D17">
        <v>3.6969220225165832E-7</v>
      </c>
      <c r="E17" s="1">
        <v>5.0367531867550335E-7</v>
      </c>
      <c r="F17" s="1">
        <v>5.8856618028228421E-7</v>
      </c>
      <c r="G17" s="1">
        <v>6.3398107463798632E-7</v>
      </c>
      <c r="H17" s="1">
        <v>6.5371941444106604E-7</v>
      </c>
      <c r="I17" s="1">
        <v>5.8472894979253122E-7</v>
      </c>
      <c r="J17" s="1">
        <v>5.1573848514399639E-7</v>
      </c>
      <c r="K17" s="1">
        <v>4.4674802049546156E-7</v>
      </c>
      <c r="L17" s="1">
        <v>4.5396895945093267E-7</v>
      </c>
      <c r="M17" s="1">
        <v>4.7144919173177837E-7</v>
      </c>
      <c r="N17" s="1">
        <v>4.8714328192751881E-7</v>
      </c>
      <c r="O17" s="1">
        <v>4.9712927382252941E-7</v>
      </c>
      <c r="P17" s="1">
        <v>5.0193763229797544E-7</v>
      </c>
      <c r="Q17" s="1">
        <v>5.0105607143202296E-7</v>
      </c>
      <c r="R17" s="1">
        <v>4.9903089739080169E-7</v>
      </c>
      <c r="S17" s="1">
        <v>4.9660322315342083E-7</v>
      </c>
      <c r="T17" s="1">
        <v>4.9245500297139367E-7</v>
      </c>
      <c r="U17" s="1">
        <v>4.9246734377929473E-7</v>
      </c>
      <c r="V17" s="1">
        <v>4.9677409587820566E-7</v>
      </c>
      <c r="W17" s="1">
        <v>5.0033755162430251E-7</v>
      </c>
      <c r="X17" s="1">
        <v>5.03260234652456E-7</v>
      </c>
      <c r="Y17" s="1">
        <v>5.0454310909842427E-7</v>
      </c>
      <c r="Z17" s="1">
        <v>5.0723592084709611E-7</v>
      </c>
      <c r="AA17" s="1">
        <v>5.1057040714198161E-7</v>
      </c>
      <c r="AB17" s="1">
        <v>5.1138129315037704E-7</v>
      </c>
      <c r="AC17" s="1">
        <v>5.1161970806609782E-7</v>
      </c>
      <c r="AD17" s="1">
        <v>5.1444841109561928E-7</v>
      </c>
      <c r="AE17" s="1">
        <v>5.1681855818232294E-7</v>
      </c>
      <c r="AF17" s="1">
        <v>5.1681855818232294E-7</v>
      </c>
      <c r="AG17" s="1">
        <v>5.1681855818232294E-7</v>
      </c>
      <c r="AH17" s="1">
        <v>5.1681855818232294E-7</v>
      </c>
      <c r="AI17" s="1">
        <v>5.1681855818232294E-7</v>
      </c>
      <c r="AJ17" s="1">
        <v>5.1681855818232294E-7</v>
      </c>
      <c r="AK17" s="1">
        <v>5.1681855818232294E-7</v>
      </c>
      <c r="AL17" s="1">
        <v>5.1681855818232294E-7</v>
      </c>
      <c r="AM17" s="1">
        <v>5.1681855818232294E-7</v>
      </c>
      <c r="AN17" s="1">
        <v>5.1681855818232294E-7</v>
      </c>
      <c r="AO17" s="1">
        <v>5.1681855818232294E-7</v>
      </c>
      <c r="AP17" s="1">
        <v>5.1681855818232294E-7</v>
      </c>
      <c r="AQ17" s="1">
        <v>5.1681855818232294E-7</v>
      </c>
      <c r="AR17" s="1">
        <v>5.1681855818232294E-7</v>
      </c>
      <c r="AS17" s="1">
        <v>5.1681855818232294E-7</v>
      </c>
      <c r="AT17" s="1">
        <v>5.1681855818232294E-7</v>
      </c>
      <c r="AU17" s="1">
        <v>5.1681855818232294E-7</v>
      </c>
      <c r="AV17" s="1">
        <v>5.1681855818232294E-7</v>
      </c>
      <c r="AW17" s="1">
        <v>5.1681855818232294E-7</v>
      </c>
      <c r="AX17" s="1">
        <v>5.1681855818232294E-7</v>
      </c>
      <c r="AY17" s="1">
        <v>5.1681855818232294E-7</v>
      </c>
      <c r="AZ17" s="1">
        <v>5.1681855818232294E-7</v>
      </c>
      <c r="BA17" s="1">
        <v>5.1681855818232294E-7</v>
      </c>
      <c r="BB17" s="1">
        <v>5.1681855818232294E-7</v>
      </c>
      <c r="BC17" s="1">
        <v>5.1681855818232294E-7</v>
      </c>
      <c r="BD17" s="1">
        <v>5.1681855818232294E-7</v>
      </c>
      <c r="BE17" s="1">
        <v>5.1681855818232294E-7</v>
      </c>
      <c r="BF17" s="1">
        <v>5.1681855818232294E-7</v>
      </c>
      <c r="BG17" s="1">
        <v>5.1681855818232294E-7</v>
      </c>
      <c r="BH17" s="1">
        <v>5.1681855818232294E-7</v>
      </c>
      <c r="BI17" s="1">
        <v>5.1681855818232294E-7</v>
      </c>
      <c r="BJ17" s="1">
        <v>5.1681855818232294E-7</v>
      </c>
      <c r="BK17" s="1">
        <v>5.1681855818232294E-7</v>
      </c>
      <c r="BL17" s="1">
        <v>5.1681855818232294E-7</v>
      </c>
      <c r="BM17" s="1">
        <v>5.1681855818232294E-7</v>
      </c>
      <c r="BN17" s="1">
        <v>5.1681855818232294E-7</v>
      </c>
      <c r="BO17" s="1">
        <v>5.1681855818232294E-7</v>
      </c>
      <c r="BP17" s="1">
        <v>5.1681855818232294E-7</v>
      </c>
      <c r="BQ17" s="1">
        <v>5.1681855818232294E-7</v>
      </c>
      <c r="BR17" s="1">
        <v>5.1681855818232294E-7</v>
      </c>
      <c r="BS17" s="1">
        <v>5.1681855818232294E-7</v>
      </c>
      <c r="BT17" s="1">
        <v>5.1681855818232294E-7</v>
      </c>
      <c r="BU17" s="1">
        <v>5.1681855818232294E-7</v>
      </c>
      <c r="BV17" s="1">
        <v>5.1681855818232294E-7</v>
      </c>
      <c r="BW17" s="1">
        <v>5.1681855818232294E-7</v>
      </c>
      <c r="BX17" s="1">
        <v>5.1681855818232294E-7</v>
      </c>
      <c r="BY17" s="1">
        <v>5.1681855818232294E-7</v>
      </c>
      <c r="BZ17" s="1">
        <v>5.1681855818232294E-7</v>
      </c>
      <c r="CA17" s="1">
        <v>5.1681855818232294E-7</v>
      </c>
      <c r="CB17" s="1">
        <v>5.1681855818232294E-7</v>
      </c>
      <c r="CC17" s="1">
        <v>5.1681855818232294E-7</v>
      </c>
    </row>
    <row r="18" spans="1:81" x14ac:dyDescent="0.75">
      <c r="A18" t="s">
        <v>56</v>
      </c>
      <c r="B18">
        <v>2.8537685980053239E-7</v>
      </c>
      <c r="C18">
        <v>4.5374833403595903E-7</v>
      </c>
      <c r="D18">
        <v>2.0033855168646935E-7</v>
      </c>
      <c r="E18" s="1">
        <v>1.9410412478601415E-7</v>
      </c>
      <c r="F18" s="1">
        <v>2.7487877298280172E-7</v>
      </c>
      <c r="G18" s="1">
        <v>2.9608894586370302E-7</v>
      </c>
      <c r="H18" s="1">
        <v>3.0530736650619711E-7</v>
      </c>
      <c r="I18" s="1">
        <v>2.7372526817582873E-7</v>
      </c>
      <c r="J18" s="1">
        <v>2.4214316984546036E-7</v>
      </c>
      <c r="K18" s="1">
        <v>2.1056107151509203E-7</v>
      </c>
      <c r="L18" s="1">
        <v>2.1849618726319515E-7</v>
      </c>
      <c r="M18" s="1">
        <v>2.4042805747417564E-7</v>
      </c>
      <c r="N18" s="1">
        <v>2.5776468546923344E-7</v>
      </c>
      <c r="O18" s="1">
        <v>2.6937380212343997E-7</v>
      </c>
      <c r="P18" s="1">
        <v>2.734406441702884E-7</v>
      </c>
      <c r="Q18" s="1">
        <v>2.7281147655823677E-7</v>
      </c>
      <c r="R18" s="1">
        <v>2.7029236168077304E-7</v>
      </c>
      <c r="S18" s="1">
        <v>2.6730054639605025E-7</v>
      </c>
      <c r="T18" s="1">
        <v>2.6329740190383003E-7</v>
      </c>
      <c r="U18" s="1">
        <v>2.6431366743448802E-7</v>
      </c>
      <c r="V18" s="1">
        <v>2.689406872307561E-7</v>
      </c>
      <c r="W18" s="1">
        <v>2.7306341889800294E-7</v>
      </c>
      <c r="X18" s="1">
        <v>2.7678455219735959E-7</v>
      </c>
      <c r="Y18" s="1">
        <v>2.7949388164276091E-7</v>
      </c>
      <c r="Z18" s="1">
        <v>2.8198015098534925E-7</v>
      </c>
      <c r="AA18" s="1">
        <v>2.8454321812479935E-7</v>
      </c>
      <c r="AB18" s="1">
        <v>2.8481791976221387E-7</v>
      </c>
      <c r="AC18" s="1">
        <v>2.8552718396400845E-7</v>
      </c>
      <c r="AD18" s="1">
        <v>2.8855345858156273E-7</v>
      </c>
      <c r="AE18" s="1">
        <v>2.9179994542318361E-7</v>
      </c>
      <c r="AF18" s="1">
        <v>2.9179994542318361E-7</v>
      </c>
      <c r="AG18" s="1">
        <v>2.9179994542318361E-7</v>
      </c>
      <c r="AH18" s="1">
        <v>2.9179994542318361E-7</v>
      </c>
      <c r="AI18" s="1">
        <v>2.9179994542318361E-7</v>
      </c>
      <c r="AJ18" s="1">
        <v>2.9179994542318361E-7</v>
      </c>
      <c r="AK18" s="1">
        <v>2.9179994542318361E-7</v>
      </c>
      <c r="AL18" s="1">
        <v>2.9179994542318361E-7</v>
      </c>
      <c r="AM18" s="1">
        <v>2.9179994542318361E-7</v>
      </c>
      <c r="AN18" s="1">
        <v>2.9179994542318361E-7</v>
      </c>
      <c r="AO18" s="1">
        <v>2.9179994542318361E-7</v>
      </c>
      <c r="AP18" s="1">
        <v>2.9179994542318361E-7</v>
      </c>
      <c r="AQ18" s="1">
        <v>2.9179994542318361E-7</v>
      </c>
      <c r="AR18" s="1">
        <v>2.9179994542318361E-7</v>
      </c>
      <c r="AS18" s="1">
        <v>2.9179994542318361E-7</v>
      </c>
      <c r="AT18" s="1">
        <v>2.9179994542318361E-7</v>
      </c>
      <c r="AU18" s="1">
        <v>2.9179994542318361E-7</v>
      </c>
      <c r="AV18" s="1">
        <v>2.9179994542318361E-7</v>
      </c>
      <c r="AW18" s="1">
        <v>2.9179994542318361E-7</v>
      </c>
      <c r="AX18" s="1">
        <v>2.9179994542318361E-7</v>
      </c>
      <c r="AY18" s="1">
        <v>2.9179994542318361E-7</v>
      </c>
      <c r="AZ18" s="1">
        <v>2.9179994542318361E-7</v>
      </c>
      <c r="BA18" s="1">
        <v>2.9179994542318361E-7</v>
      </c>
      <c r="BB18" s="1">
        <v>2.9179994542318361E-7</v>
      </c>
      <c r="BC18" s="1">
        <v>2.9179994542318361E-7</v>
      </c>
      <c r="BD18" s="1">
        <v>2.9179994542318361E-7</v>
      </c>
      <c r="BE18" s="1">
        <v>2.9179994542318361E-7</v>
      </c>
      <c r="BF18" s="1">
        <v>2.9179994542318361E-7</v>
      </c>
      <c r="BG18" s="1">
        <v>2.9179994542318361E-7</v>
      </c>
      <c r="BH18" s="1">
        <v>2.9179994542318361E-7</v>
      </c>
      <c r="BI18" s="1">
        <v>2.9179994542318361E-7</v>
      </c>
      <c r="BJ18" s="1">
        <v>2.9179994542318361E-7</v>
      </c>
      <c r="BK18" s="1">
        <v>2.9179994542318361E-7</v>
      </c>
      <c r="BL18" s="1">
        <v>2.9179994542318361E-7</v>
      </c>
      <c r="BM18" s="1">
        <v>2.9179994542318361E-7</v>
      </c>
      <c r="BN18" s="1">
        <v>2.9179994542318361E-7</v>
      </c>
      <c r="BO18" s="1">
        <v>2.9179994542318361E-7</v>
      </c>
      <c r="BP18" s="1">
        <v>2.9179994542318361E-7</v>
      </c>
      <c r="BQ18" s="1">
        <v>2.9179994542318361E-7</v>
      </c>
      <c r="BR18" s="1">
        <v>2.9179994542318361E-7</v>
      </c>
      <c r="BS18" s="1">
        <v>2.9179994542318361E-7</v>
      </c>
      <c r="BT18" s="1">
        <v>2.9179994542318361E-7</v>
      </c>
      <c r="BU18" s="1">
        <v>2.9179994542318361E-7</v>
      </c>
      <c r="BV18" s="1">
        <v>2.9179994542318361E-7</v>
      </c>
      <c r="BW18" s="1">
        <v>2.9179994542318361E-7</v>
      </c>
      <c r="BX18" s="1">
        <v>2.9179994542318361E-7</v>
      </c>
      <c r="BY18" s="1">
        <v>2.9179994542318361E-7</v>
      </c>
      <c r="BZ18" s="1">
        <v>2.9179994542318361E-7</v>
      </c>
      <c r="CA18" s="1">
        <v>2.9179994542318361E-7</v>
      </c>
      <c r="CB18" s="1">
        <v>2.9179994542318361E-7</v>
      </c>
      <c r="CC18" s="1">
        <v>2.9179994542318361E-7</v>
      </c>
    </row>
    <row r="19" spans="1:81" x14ac:dyDescent="0.75">
      <c r="A19" t="s">
        <v>57</v>
      </c>
      <c r="B19">
        <v>2.4253728727963544E-7</v>
      </c>
      <c r="C19">
        <v>3.8563354478585534E-7</v>
      </c>
      <c r="D19">
        <v>1.7026457189811949E-7</v>
      </c>
      <c r="E19" s="1">
        <v>1.4234302484307704E-7</v>
      </c>
      <c r="F19" s="1">
        <v>2.2829854949755653E-7</v>
      </c>
      <c r="G19" s="1">
        <v>2.4591450307140751E-7</v>
      </c>
      <c r="H19" s="1">
        <v>2.5357079474683423E-7</v>
      </c>
      <c r="I19" s="1">
        <v>2.2883386208363968E-7</v>
      </c>
      <c r="J19" s="1">
        <v>2.0409692942044514E-7</v>
      </c>
      <c r="K19" s="1">
        <v>1.793599967572506E-7</v>
      </c>
      <c r="L19" s="1">
        <v>1.8393577846840618E-7</v>
      </c>
      <c r="M19" s="1">
        <v>2.0890270425640917E-7</v>
      </c>
      <c r="N19" s="1">
        <v>2.2436319719797495E-7</v>
      </c>
      <c r="O19" s="1">
        <v>2.3481004707112396E-7</v>
      </c>
      <c r="P19" s="1">
        <v>2.3836787825669658E-7</v>
      </c>
      <c r="Q19" s="1">
        <v>2.3812495419962747E-7</v>
      </c>
      <c r="R19" s="1">
        <v>2.3639038245215508E-7</v>
      </c>
      <c r="S19" s="1">
        <v>2.3469689135559981E-7</v>
      </c>
      <c r="T19" s="1">
        <v>2.3192799377975263E-7</v>
      </c>
      <c r="U19" s="1">
        <v>2.3346520753009846E-7</v>
      </c>
      <c r="V19" s="1">
        <v>2.3738094587712672E-7</v>
      </c>
      <c r="W19" s="1">
        <v>2.4099927075373772E-7</v>
      </c>
      <c r="X19" s="1">
        <v>2.4533677994310995E-7</v>
      </c>
      <c r="Y19" s="1">
        <v>2.495874762953623E-7</v>
      </c>
      <c r="Z19" s="1">
        <v>2.5181636859624353E-7</v>
      </c>
      <c r="AA19" s="1">
        <v>2.5465034020144623E-7</v>
      </c>
      <c r="AB19" s="1">
        <v>2.550638759277485E-7</v>
      </c>
      <c r="AC19" s="1">
        <v>2.562036681990322E-7</v>
      </c>
      <c r="AD19" s="1">
        <v>2.5968446426451431E-7</v>
      </c>
      <c r="AE19" s="1">
        <v>2.6366385270152488E-7</v>
      </c>
      <c r="AF19" s="1">
        <v>2.6366385270152488E-7</v>
      </c>
      <c r="AG19" s="1">
        <v>2.6366385270152488E-7</v>
      </c>
      <c r="AH19" s="1">
        <v>2.6366385270152488E-7</v>
      </c>
      <c r="AI19" s="1">
        <v>2.6366385270152488E-7</v>
      </c>
      <c r="AJ19" s="1">
        <v>2.6366385270152488E-7</v>
      </c>
      <c r="AK19" s="1">
        <v>2.6366385270152488E-7</v>
      </c>
      <c r="AL19" s="1">
        <v>2.6366385270152488E-7</v>
      </c>
      <c r="AM19" s="1">
        <v>2.6366385270152488E-7</v>
      </c>
      <c r="AN19" s="1">
        <v>2.6366385270152488E-7</v>
      </c>
      <c r="AO19" s="1">
        <v>2.6366385270152488E-7</v>
      </c>
      <c r="AP19" s="1">
        <v>2.6366385270152488E-7</v>
      </c>
      <c r="AQ19" s="1">
        <v>2.6366385270152488E-7</v>
      </c>
      <c r="AR19" s="1">
        <v>2.6366385270152488E-7</v>
      </c>
      <c r="AS19" s="1">
        <v>2.6366385270152488E-7</v>
      </c>
      <c r="AT19" s="1">
        <v>2.6366385270152488E-7</v>
      </c>
      <c r="AU19" s="1">
        <v>2.6366385270152488E-7</v>
      </c>
      <c r="AV19" s="1">
        <v>2.6366385270152488E-7</v>
      </c>
      <c r="AW19" s="1">
        <v>2.6366385270152488E-7</v>
      </c>
      <c r="AX19" s="1">
        <v>2.6366385270152488E-7</v>
      </c>
      <c r="AY19" s="1">
        <v>2.6366385270152488E-7</v>
      </c>
      <c r="AZ19" s="1">
        <v>2.6366385270152488E-7</v>
      </c>
      <c r="BA19" s="1">
        <v>2.6366385270152488E-7</v>
      </c>
      <c r="BB19" s="1">
        <v>2.6366385270152488E-7</v>
      </c>
      <c r="BC19" s="1">
        <v>2.6366385270152488E-7</v>
      </c>
      <c r="BD19" s="1">
        <v>2.6366385270152488E-7</v>
      </c>
      <c r="BE19" s="1">
        <v>2.6366385270152488E-7</v>
      </c>
      <c r="BF19" s="1">
        <v>2.6366385270152488E-7</v>
      </c>
      <c r="BG19" s="1">
        <v>2.6366385270152488E-7</v>
      </c>
      <c r="BH19" s="1">
        <v>2.6366385270152488E-7</v>
      </c>
      <c r="BI19" s="1">
        <v>2.6366385270152488E-7</v>
      </c>
      <c r="BJ19" s="1">
        <v>2.6366385270152488E-7</v>
      </c>
      <c r="BK19" s="1">
        <v>2.6366385270152488E-7</v>
      </c>
      <c r="BL19" s="1">
        <v>2.6366385270152488E-7</v>
      </c>
      <c r="BM19" s="1">
        <v>2.6366385270152488E-7</v>
      </c>
      <c r="BN19" s="1">
        <v>2.6366385270152488E-7</v>
      </c>
      <c r="BO19" s="1">
        <v>2.6366385270152488E-7</v>
      </c>
      <c r="BP19" s="1">
        <v>2.6366385270152488E-7</v>
      </c>
      <c r="BQ19" s="1">
        <v>2.6366385270152488E-7</v>
      </c>
      <c r="BR19" s="1">
        <v>2.6366385270152488E-7</v>
      </c>
      <c r="BS19" s="1">
        <v>2.6366385270152488E-7</v>
      </c>
      <c r="BT19" s="1">
        <v>2.6366385270152488E-7</v>
      </c>
      <c r="BU19" s="1">
        <v>2.6366385270152488E-7</v>
      </c>
      <c r="BV19" s="1">
        <v>2.6366385270152488E-7</v>
      </c>
      <c r="BW19" s="1">
        <v>2.6366385270152488E-7</v>
      </c>
      <c r="BX19" s="1">
        <v>2.6366385270152488E-7</v>
      </c>
      <c r="BY19" s="1">
        <v>2.6366385270152488E-7</v>
      </c>
      <c r="BZ19" s="1">
        <v>2.6366385270152488E-7</v>
      </c>
      <c r="CA19" s="1">
        <v>2.6366385270152488E-7</v>
      </c>
      <c r="CB19" s="1">
        <v>2.6366385270152488E-7</v>
      </c>
      <c r="CC19" s="1">
        <v>2.6366385270152488E-7</v>
      </c>
    </row>
    <row r="20" spans="1:81" x14ac:dyDescent="0.75">
      <c r="A20" t="s">
        <v>58</v>
      </c>
      <c r="B20">
        <v>0</v>
      </c>
      <c r="C20">
        <v>0</v>
      </c>
      <c r="D20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</row>
    <row r="21" spans="1:81" x14ac:dyDescent="0.75">
      <c r="A21" t="s">
        <v>59</v>
      </c>
      <c r="B21">
        <v>2.8537685980053239E-7</v>
      </c>
      <c r="C21">
        <v>4.5374833403595903E-7</v>
      </c>
      <c r="D21">
        <v>2.0033855168646935E-7</v>
      </c>
      <c r="E21" s="1">
        <v>1.9410412478601415E-7</v>
      </c>
      <c r="F21" s="1">
        <v>2.7487877298280172E-7</v>
      </c>
      <c r="G21" s="1">
        <v>2.9608894586370302E-7</v>
      </c>
      <c r="H21" s="1">
        <v>3.0530736650619711E-7</v>
      </c>
      <c r="I21" s="1">
        <v>2.7372526817582873E-7</v>
      </c>
      <c r="J21" s="1">
        <v>2.4214316984546036E-7</v>
      </c>
      <c r="K21" s="1">
        <v>2.1056107151509203E-7</v>
      </c>
      <c r="L21" s="1">
        <v>2.1849618726319515E-7</v>
      </c>
      <c r="M21" s="1">
        <v>2.4042805747417564E-7</v>
      </c>
      <c r="N21" s="1">
        <v>2.5776468546923344E-7</v>
      </c>
      <c r="O21" s="1">
        <v>2.6937380212343997E-7</v>
      </c>
      <c r="P21" s="1">
        <v>2.734406441702884E-7</v>
      </c>
      <c r="Q21" s="1">
        <v>2.7281147655823677E-7</v>
      </c>
      <c r="R21" s="1">
        <v>2.7029236168077304E-7</v>
      </c>
      <c r="S21" s="1">
        <v>2.6730054639605025E-7</v>
      </c>
      <c r="T21" s="1">
        <v>2.6329740190383003E-7</v>
      </c>
      <c r="U21" s="1">
        <v>2.6431366743448802E-7</v>
      </c>
      <c r="V21" s="1">
        <v>2.689406872307561E-7</v>
      </c>
      <c r="W21" s="1">
        <v>2.7306341889800294E-7</v>
      </c>
      <c r="X21" s="1">
        <v>2.7678455219735959E-7</v>
      </c>
      <c r="Y21" s="1">
        <v>2.7949388164276091E-7</v>
      </c>
      <c r="Z21" s="1">
        <v>2.8198015098534925E-7</v>
      </c>
      <c r="AA21" s="1">
        <v>2.8454321812479935E-7</v>
      </c>
      <c r="AB21" s="1">
        <v>2.8481791976221387E-7</v>
      </c>
      <c r="AC21" s="1">
        <v>2.8552718396400845E-7</v>
      </c>
      <c r="AD21" s="1">
        <v>2.8855345858156273E-7</v>
      </c>
      <c r="AE21" s="1">
        <v>2.9179994542318361E-7</v>
      </c>
      <c r="AF21" s="1">
        <v>2.9179994542318361E-7</v>
      </c>
      <c r="AG21" s="1">
        <v>2.9179994542318361E-7</v>
      </c>
      <c r="AH21" s="1">
        <v>2.9179994542318361E-7</v>
      </c>
      <c r="AI21" s="1">
        <v>2.9179994542318361E-7</v>
      </c>
      <c r="AJ21" s="1">
        <v>2.9179994542318361E-7</v>
      </c>
      <c r="AK21" s="1">
        <v>2.9179994542318361E-7</v>
      </c>
      <c r="AL21" s="1">
        <v>2.9179994542318361E-7</v>
      </c>
      <c r="AM21" s="1">
        <v>2.9179994542318361E-7</v>
      </c>
      <c r="AN21" s="1">
        <v>2.9179994542318361E-7</v>
      </c>
      <c r="AO21" s="1">
        <v>2.9179994542318361E-7</v>
      </c>
      <c r="AP21" s="1">
        <v>2.9179994542318361E-7</v>
      </c>
      <c r="AQ21" s="1">
        <v>2.9179994542318361E-7</v>
      </c>
      <c r="AR21" s="1">
        <v>2.9179994542318361E-7</v>
      </c>
      <c r="AS21" s="1">
        <v>2.9179994542318361E-7</v>
      </c>
      <c r="AT21" s="1">
        <v>2.9179994542318361E-7</v>
      </c>
      <c r="AU21" s="1">
        <v>2.9179994542318361E-7</v>
      </c>
      <c r="AV21" s="1">
        <v>2.9179994542318361E-7</v>
      </c>
      <c r="AW21" s="1">
        <v>2.9179994542318361E-7</v>
      </c>
      <c r="AX21" s="1">
        <v>2.9179994542318361E-7</v>
      </c>
      <c r="AY21" s="1">
        <v>2.9179994542318361E-7</v>
      </c>
      <c r="AZ21" s="1">
        <v>2.9179994542318361E-7</v>
      </c>
      <c r="BA21" s="1">
        <v>2.9179994542318361E-7</v>
      </c>
      <c r="BB21" s="1">
        <v>2.9179994542318361E-7</v>
      </c>
      <c r="BC21" s="1">
        <v>2.9179994542318361E-7</v>
      </c>
      <c r="BD21" s="1">
        <v>2.9179994542318361E-7</v>
      </c>
      <c r="BE21" s="1">
        <v>2.9179994542318361E-7</v>
      </c>
      <c r="BF21" s="1">
        <v>2.9179994542318361E-7</v>
      </c>
      <c r="BG21" s="1">
        <v>2.9179994542318361E-7</v>
      </c>
      <c r="BH21" s="1">
        <v>2.9179994542318361E-7</v>
      </c>
      <c r="BI21" s="1">
        <v>2.9179994542318361E-7</v>
      </c>
      <c r="BJ21" s="1">
        <v>2.9179994542318361E-7</v>
      </c>
      <c r="BK21" s="1">
        <v>2.9179994542318361E-7</v>
      </c>
      <c r="BL21" s="1">
        <v>2.9179994542318361E-7</v>
      </c>
      <c r="BM21" s="1">
        <v>2.9179994542318361E-7</v>
      </c>
      <c r="BN21" s="1">
        <v>2.9179994542318361E-7</v>
      </c>
      <c r="BO21" s="1">
        <v>2.9179994542318361E-7</v>
      </c>
      <c r="BP21" s="1">
        <v>2.9179994542318361E-7</v>
      </c>
      <c r="BQ21" s="1">
        <v>2.9179994542318361E-7</v>
      </c>
      <c r="BR21" s="1">
        <v>2.9179994542318361E-7</v>
      </c>
      <c r="BS21" s="1">
        <v>2.9179994542318361E-7</v>
      </c>
      <c r="BT21" s="1">
        <v>2.9179994542318361E-7</v>
      </c>
      <c r="BU21" s="1">
        <v>2.9179994542318361E-7</v>
      </c>
      <c r="BV21" s="1">
        <v>2.9179994542318361E-7</v>
      </c>
      <c r="BW21" s="1">
        <v>2.9179994542318361E-7</v>
      </c>
      <c r="BX21" s="1">
        <v>2.9179994542318361E-7</v>
      </c>
      <c r="BY21" s="1">
        <v>2.9179994542318361E-7</v>
      </c>
      <c r="BZ21" s="1">
        <v>2.9179994542318361E-7</v>
      </c>
      <c r="CA21" s="1">
        <v>2.9179994542318361E-7</v>
      </c>
      <c r="CB21" s="1">
        <v>2.9179994542318361E-7</v>
      </c>
      <c r="CC21" s="1">
        <v>2.9179994542318361E-7</v>
      </c>
    </row>
    <row r="22" spans="1:81" s="3" customFormat="1" x14ac:dyDescent="0.75">
      <c r="A22" s="5" t="s">
        <v>32</v>
      </c>
    </row>
    <row r="23" spans="1:81" x14ac:dyDescent="0.75">
      <c r="A23" t="s">
        <v>30</v>
      </c>
      <c r="B23">
        <v>2021</v>
      </c>
      <c r="C23">
        <v>2022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S23">
        <v>2038</v>
      </c>
      <c r="T23">
        <v>2039</v>
      </c>
      <c r="U23">
        <v>2040</v>
      </c>
      <c r="V23">
        <v>2041</v>
      </c>
      <c r="W23">
        <v>2042</v>
      </c>
      <c r="X23">
        <v>2043</v>
      </c>
      <c r="Y23">
        <v>2044</v>
      </c>
      <c r="Z23">
        <v>2045</v>
      </c>
      <c r="AA23">
        <v>2046</v>
      </c>
      <c r="AB23">
        <v>2047</v>
      </c>
      <c r="AC23">
        <v>2048</v>
      </c>
      <c r="AD23">
        <v>2049</v>
      </c>
      <c r="AE23">
        <v>2050</v>
      </c>
    </row>
    <row r="24" spans="1:81" x14ac:dyDescent="0.75">
      <c r="A24" t="s">
        <v>52</v>
      </c>
      <c r="B24">
        <v>0</v>
      </c>
      <c r="C24">
        <v>0</v>
      </c>
      <c r="D24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</row>
    <row r="25" spans="1:81" x14ac:dyDescent="0.75">
      <c r="A25" t="s">
        <v>53</v>
      </c>
      <c r="B25">
        <v>4.1357887271328925E-8</v>
      </c>
      <c r="C25">
        <v>3.7946347360000003E-8</v>
      </c>
      <c r="D25">
        <v>3.7942504000000005E-8</v>
      </c>
      <c r="E25" s="1">
        <v>3.74933293537278E-8</v>
      </c>
      <c r="F25" s="1">
        <v>3.7490078025492315E-8</v>
      </c>
      <c r="G25" s="1">
        <v>3.7486289753451508E-8</v>
      </c>
      <c r="H25" s="1">
        <v>3.7483053257917819E-8</v>
      </c>
      <c r="I25" s="1">
        <v>3.7479807862763054E-8</v>
      </c>
      <c r="J25" s="1">
        <v>3.747602255726261E-8</v>
      </c>
      <c r="K25" s="1">
        <v>3.7472774195567481E-8</v>
      </c>
      <c r="L25" s="1">
        <v>3.7468988890067044E-8</v>
      </c>
      <c r="M25" s="1">
        <v>3.7465737561831552E-8</v>
      </c>
      <c r="N25" s="1">
        <v>3.7462495133217137E-8</v>
      </c>
      <c r="O25" s="1">
        <v>3.7458706861176343E-8</v>
      </c>
      <c r="P25" s="1">
        <v>3.7455461466021571E-8</v>
      </c>
      <c r="Q25" s="1">
        <v>3.7451676160521134E-8</v>
      </c>
      <c r="R25" s="1">
        <v>3.7448430765366362E-8</v>
      </c>
      <c r="S25" s="1">
        <v>3.7445182403671233E-8</v>
      </c>
      <c r="T25" s="1">
        <v>3.7441397098170796E-8</v>
      </c>
      <c r="U25" s="1">
        <v>3.7438148736475668E-8</v>
      </c>
      <c r="V25" s="1">
        <v>3.7434912240941979E-8</v>
      </c>
      <c r="W25" s="1">
        <v>3.7431121002360815E-8</v>
      </c>
      <c r="X25" s="1">
        <v>3.7427872640665686E-8</v>
      </c>
      <c r="Y25" s="1">
        <v>3.7424087335165242E-8</v>
      </c>
      <c r="Z25" s="1">
        <v>3.742084194001047E-8</v>
      </c>
      <c r="AA25" s="1">
        <v>3.7417593578315342E-8</v>
      </c>
      <c r="AB25" s="1">
        <v>3.7413808272814905E-8</v>
      </c>
      <c r="AC25" s="1">
        <v>3.7410568810740852E-8</v>
      </c>
      <c r="AD25" s="1">
        <v>3.7407323415586087E-8</v>
      </c>
      <c r="AE25" s="1">
        <v>3.7403532177004917E-8</v>
      </c>
      <c r="AF25" s="1">
        <v>3.7403532177004917E-8</v>
      </c>
      <c r="AG25" s="1">
        <v>3.7403532177004917E-8</v>
      </c>
      <c r="AH25" s="1">
        <v>3.7403532177004917E-8</v>
      </c>
      <c r="AI25" s="1">
        <v>3.7403532177004917E-8</v>
      </c>
      <c r="AJ25" s="1">
        <v>3.7403532177004917E-8</v>
      </c>
      <c r="AK25" s="1">
        <v>3.7403532177004917E-8</v>
      </c>
      <c r="AL25" s="1">
        <v>3.7403532177004917E-8</v>
      </c>
      <c r="AM25" s="1">
        <v>3.7403532177004917E-8</v>
      </c>
      <c r="AN25" s="1">
        <v>3.7403532177004917E-8</v>
      </c>
      <c r="AO25" s="1">
        <v>3.7403532177004917E-8</v>
      </c>
      <c r="AP25" s="1">
        <v>3.7403532177004917E-8</v>
      </c>
      <c r="AQ25" s="1">
        <v>3.7403532177004917E-8</v>
      </c>
      <c r="AR25" s="1">
        <v>3.7403532177004917E-8</v>
      </c>
      <c r="AS25" s="1">
        <v>3.7403532177004917E-8</v>
      </c>
      <c r="AT25" s="1">
        <v>3.7403532177004917E-8</v>
      </c>
      <c r="AU25" s="1">
        <v>3.7403532177004917E-8</v>
      </c>
      <c r="AV25" s="1">
        <v>3.7403532177004917E-8</v>
      </c>
      <c r="AW25" s="1">
        <v>3.7403532177004917E-8</v>
      </c>
      <c r="AX25" s="1">
        <v>3.7403532177004917E-8</v>
      </c>
      <c r="AY25" s="1">
        <v>3.7403532177004917E-8</v>
      </c>
      <c r="AZ25" s="1">
        <v>3.7403532177004917E-8</v>
      </c>
      <c r="BA25" s="1">
        <v>3.7403532177004917E-8</v>
      </c>
      <c r="BB25" s="1">
        <v>3.7403532177004917E-8</v>
      </c>
      <c r="BC25" s="1">
        <v>3.7403532177004917E-8</v>
      </c>
      <c r="BD25" s="1">
        <v>3.7403532177004917E-8</v>
      </c>
      <c r="BE25" s="1">
        <v>3.7403532177004917E-8</v>
      </c>
      <c r="BF25" s="1">
        <v>3.7403532177004917E-8</v>
      </c>
      <c r="BG25" s="1">
        <v>3.7403532177004917E-8</v>
      </c>
      <c r="BH25" s="1">
        <v>3.7403532177004917E-8</v>
      </c>
      <c r="BI25" s="1">
        <v>3.7403532177004917E-8</v>
      </c>
      <c r="BJ25" s="1">
        <v>3.7403532177004917E-8</v>
      </c>
      <c r="BK25" s="1">
        <v>3.7403532177004917E-8</v>
      </c>
      <c r="BL25" s="1">
        <v>3.7403532177004917E-8</v>
      </c>
      <c r="BM25" s="1">
        <v>3.7403532177004917E-8</v>
      </c>
      <c r="BN25" s="1">
        <v>3.7403532177004917E-8</v>
      </c>
      <c r="BO25" s="1">
        <v>3.7403532177004917E-8</v>
      </c>
      <c r="BP25" s="1">
        <v>3.7403532177004917E-8</v>
      </c>
      <c r="BQ25" s="1">
        <v>3.7403532177004917E-8</v>
      </c>
      <c r="BR25" s="1">
        <v>3.7403532177004917E-8</v>
      </c>
      <c r="BS25" s="1">
        <v>3.7403532177004917E-8</v>
      </c>
      <c r="BT25" s="1">
        <v>3.7403532177004917E-8</v>
      </c>
      <c r="BU25" s="1">
        <v>3.7403532177004917E-8</v>
      </c>
      <c r="BV25" s="1">
        <v>3.7403532177004917E-8</v>
      </c>
      <c r="BW25" s="1">
        <v>3.7403532177004917E-8</v>
      </c>
      <c r="BX25" s="1">
        <v>3.7403532177004917E-8</v>
      </c>
      <c r="BY25" s="1">
        <v>3.7403532177004917E-8</v>
      </c>
      <c r="BZ25" s="1">
        <v>3.7403532177004917E-8</v>
      </c>
      <c r="CA25" s="1">
        <v>3.7403532177004917E-8</v>
      </c>
      <c r="CB25" s="1">
        <v>3.7403532177004917E-8</v>
      </c>
      <c r="CC25" s="1">
        <v>3.7403532177004917E-8</v>
      </c>
    </row>
    <row r="26" spans="1:81" x14ac:dyDescent="0.75">
      <c r="A26" t="s">
        <v>54</v>
      </c>
      <c r="B26">
        <v>0</v>
      </c>
      <c r="C26">
        <v>0</v>
      </c>
      <c r="D26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</row>
    <row r="27" spans="1:81" x14ac:dyDescent="0.75">
      <c r="A27" t="s">
        <v>55</v>
      </c>
      <c r="B27">
        <v>0</v>
      </c>
      <c r="C27">
        <v>0</v>
      </c>
      <c r="D27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</row>
    <row r="28" spans="1:81" x14ac:dyDescent="0.75">
      <c r="A28" t="s">
        <v>56</v>
      </c>
      <c r="B28">
        <v>0</v>
      </c>
      <c r="C28">
        <v>0</v>
      </c>
      <c r="D28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</row>
    <row r="29" spans="1:81" x14ac:dyDescent="0.75">
      <c r="A29" t="s">
        <v>57</v>
      </c>
      <c r="B29">
        <v>0</v>
      </c>
      <c r="C29">
        <v>0</v>
      </c>
      <c r="D29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</row>
    <row r="30" spans="1:81" x14ac:dyDescent="0.75">
      <c r="A30" t="s">
        <v>58</v>
      </c>
      <c r="B30">
        <v>0</v>
      </c>
      <c r="C30">
        <v>0</v>
      </c>
      <c r="D30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</row>
    <row r="31" spans="1:81" x14ac:dyDescent="0.75">
      <c r="A31" t="s">
        <v>59</v>
      </c>
      <c r="B31">
        <v>0</v>
      </c>
      <c r="C31">
        <v>0</v>
      </c>
      <c r="D3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</row>
    <row r="32" spans="1:81" s="3" customFormat="1" x14ac:dyDescent="0.75">
      <c r="A32" s="5" t="s">
        <v>33</v>
      </c>
    </row>
    <row r="33" spans="1:81" x14ac:dyDescent="0.75">
      <c r="A33" t="s">
        <v>30</v>
      </c>
      <c r="B33">
        <v>2021</v>
      </c>
      <c r="C33">
        <v>2022</v>
      </c>
      <c r="D33">
        <v>2023</v>
      </c>
      <c r="E33">
        <v>2024</v>
      </c>
      <c r="F33">
        <v>2025</v>
      </c>
      <c r="G33">
        <v>2026</v>
      </c>
      <c r="H33">
        <v>2027</v>
      </c>
      <c r="I33">
        <v>2028</v>
      </c>
      <c r="J33">
        <v>2029</v>
      </c>
      <c r="K33">
        <v>2030</v>
      </c>
      <c r="L33">
        <v>2031</v>
      </c>
      <c r="M33">
        <v>2032</v>
      </c>
      <c r="N33">
        <v>2033</v>
      </c>
      <c r="O33">
        <v>2034</v>
      </c>
      <c r="P33">
        <v>2035</v>
      </c>
      <c r="Q33">
        <v>2036</v>
      </c>
      <c r="R33">
        <v>2037</v>
      </c>
      <c r="S33">
        <v>2038</v>
      </c>
      <c r="T33">
        <v>2039</v>
      </c>
      <c r="U33">
        <v>2040</v>
      </c>
      <c r="V33">
        <v>2041</v>
      </c>
      <c r="W33">
        <v>2042</v>
      </c>
      <c r="X33">
        <v>2043</v>
      </c>
      <c r="Y33">
        <v>2044</v>
      </c>
      <c r="Z33">
        <v>2045</v>
      </c>
      <c r="AA33">
        <v>2046</v>
      </c>
      <c r="AB33">
        <v>2047</v>
      </c>
      <c r="AC33">
        <v>2048</v>
      </c>
      <c r="AD33">
        <v>2049</v>
      </c>
      <c r="AE33">
        <v>2050</v>
      </c>
    </row>
    <row r="34" spans="1:81" x14ac:dyDescent="0.75">
      <c r="A34" t="s">
        <v>52</v>
      </c>
      <c r="B34">
        <v>0</v>
      </c>
      <c r="C34">
        <v>0</v>
      </c>
      <c r="D34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</row>
    <row r="35" spans="1:81" x14ac:dyDescent="0.75">
      <c r="A35" t="s">
        <v>53</v>
      </c>
      <c r="B35">
        <v>1.3797744000000005E-7</v>
      </c>
      <c r="C35">
        <v>1.3797744000000005E-7</v>
      </c>
      <c r="D35">
        <v>1.3797744000000005E-7</v>
      </c>
      <c r="E35" s="1">
        <v>1.4244228708705554E-7</v>
      </c>
      <c r="F35" s="1">
        <v>1.4244228708705554E-7</v>
      </c>
      <c r="G35" s="1">
        <v>1.4244228708705554E-7</v>
      </c>
      <c r="H35" s="1">
        <v>1.4244228708705554E-7</v>
      </c>
      <c r="I35" s="1">
        <v>1.4244228708705554E-7</v>
      </c>
      <c r="J35" s="1">
        <v>1.4244228708705554E-7</v>
      </c>
      <c r="K35" s="1">
        <v>1.4244228708705554E-7</v>
      </c>
      <c r="L35" s="1">
        <v>1.4244228708705554E-7</v>
      </c>
      <c r="M35" s="1">
        <v>1.4244228708705554E-7</v>
      </c>
      <c r="N35" s="1">
        <v>1.4244228708705554E-7</v>
      </c>
      <c r="O35" s="1">
        <v>1.4244228708705554E-7</v>
      </c>
      <c r="P35" s="1">
        <v>1.4244228708705554E-7</v>
      </c>
      <c r="Q35" s="1">
        <v>1.4244228708705554E-7</v>
      </c>
      <c r="R35" s="1">
        <v>1.4244228708705554E-7</v>
      </c>
      <c r="S35" s="1">
        <v>1.4244228708705554E-7</v>
      </c>
      <c r="T35" s="1">
        <v>1.4244228708705554E-7</v>
      </c>
      <c r="U35" s="1">
        <v>1.4244228708705554E-7</v>
      </c>
      <c r="V35" s="1">
        <v>1.4244228708705554E-7</v>
      </c>
      <c r="W35" s="1">
        <v>1.4244228708705554E-7</v>
      </c>
      <c r="X35" s="1">
        <v>1.4244228708705554E-7</v>
      </c>
      <c r="Y35" s="1">
        <v>1.4244228708705554E-7</v>
      </c>
      <c r="Z35" s="1">
        <v>1.4244228708705554E-7</v>
      </c>
      <c r="AA35" s="1">
        <v>1.4244228708705554E-7</v>
      </c>
      <c r="AB35" s="1">
        <v>1.4244228708705554E-7</v>
      </c>
      <c r="AC35" s="1">
        <v>1.4244228708705554E-7</v>
      </c>
      <c r="AD35" s="1">
        <v>1.4244228708705554E-7</v>
      </c>
      <c r="AE35" s="1">
        <v>1.4244228708705554E-7</v>
      </c>
      <c r="AF35" s="1">
        <v>1.4244228708705554E-7</v>
      </c>
      <c r="AG35" s="1">
        <v>1.4244228708705554E-7</v>
      </c>
      <c r="AH35" s="1">
        <v>1.4244228708705554E-7</v>
      </c>
      <c r="AI35" s="1">
        <v>1.4244228708705554E-7</v>
      </c>
      <c r="AJ35" s="1">
        <v>1.4244228708705554E-7</v>
      </c>
      <c r="AK35" s="1">
        <v>1.4244228708705554E-7</v>
      </c>
      <c r="AL35" s="1">
        <v>1.4244228708705554E-7</v>
      </c>
      <c r="AM35" s="1">
        <v>1.4244228708705554E-7</v>
      </c>
      <c r="AN35" s="1">
        <v>1.4244228708705554E-7</v>
      </c>
      <c r="AO35" s="1">
        <v>1.4244228708705554E-7</v>
      </c>
      <c r="AP35" s="1">
        <v>1.4244228708705554E-7</v>
      </c>
      <c r="AQ35" s="1">
        <v>1.4244228708705554E-7</v>
      </c>
      <c r="AR35" s="1">
        <v>1.4244228708705554E-7</v>
      </c>
      <c r="AS35" s="1">
        <v>1.4244228708705554E-7</v>
      </c>
      <c r="AT35" s="1">
        <v>1.4244228708705554E-7</v>
      </c>
      <c r="AU35" s="1">
        <v>1.4244228708705554E-7</v>
      </c>
      <c r="AV35" s="1">
        <v>1.4244228708705554E-7</v>
      </c>
      <c r="AW35" s="1">
        <v>1.4244228708705554E-7</v>
      </c>
      <c r="AX35" s="1">
        <v>1.4244228708705554E-7</v>
      </c>
      <c r="AY35" s="1">
        <v>1.4244228708705554E-7</v>
      </c>
      <c r="AZ35" s="1">
        <v>1.4244228708705554E-7</v>
      </c>
      <c r="BA35" s="1">
        <v>1.4244228708705554E-7</v>
      </c>
      <c r="BB35" s="1">
        <v>1.4244228708705554E-7</v>
      </c>
      <c r="BC35" s="1">
        <v>1.4244228708705554E-7</v>
      </c>
      <c r="BD35" s="1">
        <v>1.4244228708705554E-7</v>
      </c>
      <c r="BE35" s="1">
        <v>1.4244228708705554E-7</v>
      </c>
      <c r="BF35" s="1">
        <v>1.4244228708705554E-7</v>
      </c>
      <c r="BG35" s="1">
        <v>1.4244228708705554E-7</v>
      </c>
      <c r="BH35" s="1">
        <v>1.4244228708705554E-7</v>
      </c>
      <c r="BI35" s="1">
        <v>1.4244228708705554E-7</v>
      </c>
      <c r="BJ35" s="1">
        <v>1.4244228708705554E-7</v>
      </c>
      <c r="BK35" s="1">
        <v>1.4244228708705554E-7</v>
      </c>
      <c r="BL35" s="1">
        <v>1.4244228708705554E-7</v>
      </c>
      <c r="BM35" s="1">
        <v>1.4244228708705554E-7</v>
      </c>
      <c r="BN35" s="1">
        <v>1.4244228708705554E-7</v>
      </c>
      <c r="BO35" s="1">
        <v>1.4244228708705554E-7</v>
      </c>
      <c r="BP35" s="1">
        <v>1.4244228708705554E-7</v>
      </c>
      <c r="BQ35" s="1">
        <v>1.4244228708705554E-7</v>
      </c>
      <c r="BR35" s="1">
        <v>1.4244228708705554E-7</v>
      </c>
      <c r="BS35" s="1">
        <v>1.4244228708705554E-7</v>
      </c>
      <c r="BT35" s="1">
        <v>1.4244228708705554E-7</v>
      </c>
      <c r="BU35" s="1">
        <v>1.4244228708705554E-7</v>
      </c>
      <c r="BV35" s="1">
        <v>1.4244228708705554E-7</v>
      </c>
      <c r="BW35" s="1">
        <v>1.4244228708705554E-7</v>
      </c>
      <c r="BX35" s="1">
        <v>1.4244228708705554E-7</v>
      </c>
      <c r="BY35" s="1">
        <v>1.4244228708705554E-7</v>
      </c>
      <c r="BZ35" s="1">
        <v>1.4244228708705554E-7</v>
      </c>
      <c r="CA35" s="1">
        <v>1.4244228708705554E-7</v>
      </c>
      <c r="CB35" s="1">
        <v>1.4244228708705554E-7</v>
      </c>
      <c r="CC35" s="1">
        <v>1.4244228708705554E-7</v>
      </c>
    </row>
    <row r="36" spans="1:81" x14ac:dyDescent="0.75">
      <c r="A36" t="s">
        <v>54</v>
      </c>
      <c r="B36">
        <v>5.5004519999999998E-7</v>
      </c>
      <c r="C36">
        <v>5.5004519999999998E-7</v>
      </c>
      <c r="D36">
        <v>5.5004519999999998E-7</v>
      </c>
      <c r="E36" s="1">
        <v>6.1127211688797581E-7</v>
      </c>
      <c r="F36" s="1">
        <v>6.1127211688797581E-7</v>
      </c>
      <c r="G36" s="1">
        <v>6.1127211688797581E-7</v>
      </c>
      <c r="H36" s="1">
        <v>6.1127211688797581E-7</v>
      </c>
      <c r="I36" s="1">
        <v>6.1127211688797581E-7</v>
      </c>
      <c r="J36" s="1">
        <v>6.1127211688797581E-7</v>
      </c>
      <c r="K36" s="1">
        <v>6.1127211688797581E-7</v>
      </c>
      <c r="L36" s="1">
        <v>6.1127211688797581E-7</v>
      </c>
      <c r="M36" s="1">
        <v>6.1127211688797581E-7</v>
      </c>
      <c r="N36" s="1">
        <v>6.1127211688797581E-7</v>
      </c>
      <c r="O36" s="1">
        <v>6.1127211688797581E-7</v>
      </c>
      <c r="P36" s="1">
        <v>6.1127211688797581E-7</v>
      </c>
      <c r="Q36" s="1">
        <v>6.1127211688797581E-7</v>
      </c>
      <c r="R36" s="1">
        <v>6.1127211688797581E-7</v>
      </c>
      <c r="S36" s="1">
        <v>6.1127211688797581E-7</v>
      </c>
      <c r="T36" s="1">
        <v>6.1127211688797581E-7</v>
      </c>
      <c r="U36" s="1">
        <v>6.1127211688797581E-7</v>
      </c>
      <c r="V36" s="1">
        <v>6.1127211688797581E-7</v>
      </c>
      <c r="W36" s="1">
        <v>6.1127211688797581E-7</v>
      </c>
      <c r="X36" s="1">
        <v>6.1127211688797581E-7</v>
      </c>
      <c r="Y36" s="1">
        <v>6.1127211688797581E-7</v>
      </c>
      <c r="Z36" s="1">
        <v>6.1127211688797581E-7</v>
      </c>
      <c r="AA36" s="1">
        <v>6.1127211688797581E-7</v>
      </c>
      <c r="AB36" s="1">
        <v>6.1127211688797581E-7</v>
      </c>
      <c r="AC36" s="1">
        <v>6.1127211688797581E-7</v>
      </c>
      <c r="AD36" s="1">
        <v>6.1127211688797581E-7</v>
      </c>
      <c r="AE36" s="1">
        <v>6.1127211688797581E-7</v>
      </c>
      <c r="AF36" s="1">
        <v>6.1127211688797581E-7</v>
      </c>
      <c r="AG36" s="1">
        <v>6.1127211688797581E-7</v>
      </c>
      <c r="AH36" s="1">
        <v>6.1127211688797581E-7</v>
      </c>
      <c r="AI36" s="1">
        <v>6.1127211688797581E-7</v>
      </c>
      <c r="AJ36" s="1">
        <v>6.1127211688797581E-7</v>
      </c>
      <c r="AK36" s="1">
        <v>6.1127211688797581E-7</v>
      </c>
      <c r="AL36" s="1">
        <v>6.1127211688797581E-7</v>
      </c>
      <c r="AM36" s="1">
        <v>6.1127211688797581E-7</v>
      </c>
      <c r="AN36" s="1">
        <v>6.1127211688797581E-7</v>
      </c>
      <c r="AO36" s="1">
        <v>6.1127211688797581E-7</v>
      </c>
      <c r="AP36" s="1">
        <v>6.1127211688797581E-7</v>
      </c>
      <c r="AQ36" s="1">
        <v>6.1127211688797581E-7</v>
      </c>
      <c r="AR36" s="1">
        <v>6.1127211688797581E-7</v>
      </c>
      <c r="AS36" s="1">
        <v>6.1127211688797581E-7</v>
      </c>
      <c r="AT36" s="1">
        <v>6.1127211688797581E-7</v>
      </c>
      <c r="AU36" s="1">
        <v>6.1127211688797581E-7</v>
      </c>
      <c r="AV36" s="1">
        <v>6.1127211688797581E-7</v>
      </c>
      <c r="AW36" s="1">
        <v>6.1127211688797581E-7</v>
      </c>
      <c r="AX36" s="1">
        <v>6.1127211688797581E-7</v>
      </c>
      <c r="AY36" s="1">
        <v>6.1127211688797581E-7</v>
      </c>
      <c r="AZ36" s="1">
        <v>6.1127211688797581E-7</v>
      </c>
      <c r="BA36" s="1">
        <v>6.1127211688797581E-7</v>
      </c>
      <c r="BB36" s="1">
        <v>6.1127211688797581E-7</v>
      </c>
      <c r="BC36" s="1">
        <v>6.1127211688797581E-7</v>
      </c>
      <c r="BD36" s="1">
        <v>6.1127211688797581E-7</v>
      </c>
      <c r="BE36" s="1">
        <v>6.1127211688797581E-7</v>
      </c>
      <c r="BF36" s="1">
        <v>6.1127211688797581E-7</v>
      </c>
      <c r="BG36" s="1">
        <v>6.1127211688797581E-7</v>
      </c>
      <c r="BH36" s="1">
        <v>6.1127211688797581E-7</v>
      </c>
      <c r="BI36" s="1">
        <v>6.1127211688797581E-7</v>
      </c>
      <c r="BJ36" s="1">
        <v>6.1127211688797581E-7</v>
      </c>
      <c r="BK36" s="1">
        <v>6.1127211688797581E-7</v>
      </c>
      <c r="BL36" s="1">
        <v>6.1127211688797581E-7</v>
      </c>
      <c r="BM36" s="1">
        <v>6.1127211688797581E-7</v>
      </c>
      <c r="BN36" s="1">
        <v>6.1127211688797581E-7</v>
      </c>
      <c r="BO36" s="1">
        <v>6.1127211688797581E-7</v>
      </c>
      <c r="BP36" s="1">
        <v>6.1127211688797581E-7</v>
      </c>
      <c r="BQ36" s="1">
        <v>6.1127211688797581E-7</v>
      </c>
      <c r="BR36" s="1">
        <v>6.1127211688797581E-7</v>
      </c>
      <c r="BS36" s="1">
        <v>6.1127211688797581E-7</v>
      </c>
      <c r="BT36" s="1">
        <v>6.1127211688797581E-7</v>
      </c>
      <c r="BU36" s="1">
        <v>6.1127211688797581E-7</v>
      </c>
      <c r="BV36" s="1">
        <v>6.1127211688797581E-7</v>
      </c>
      <c r="BW36" s="1">
        <v>6.1127211688797581E-7</v>
      </c>
      <c r="BX36" s="1">
        <v>6.1127211688797581E-7</v>
      </c>
      <c r="BY36" s="1">
        <v>6.1127211688797581E-7</v>
      </c>
      <c r="BZ36" s="1">
        <v>6.1127211688797581E-7</v>
      </c>
      <c r="CA36" s="1">
        <v>6.1127211688797581E-7</v>
      </c>
      <c r="CB36" s="1">
        <v>6.1127211688797581E-7</v>
      </c>
      <c r="CC36" s="1">
        <v>6.1127211688797581E-7</v>
      </c>
    </row>
    <row r="37" spans="1:81" x14ac:dyDescent="0.75">
      <c r="A37" t="s">
        <v>55</v>
      </c>
      <c r="B37">
        <v>2.5544472000000004E-7</v>
      </c>
      <c r="C37">
        <v>2.5544472000000004E-7</v>
      </c>
      <c r="D37">
        <v>2.5544472000000004E-7</v>
      </c>
      <c r="E37" s="1">
        <v>2.1263866597528078E-7</v>
      </c>
      <c r="F37" s="1">
        <v>2.1263866597528078E-7</v>
      </c>
      <c r="G37" s="1">
        <v>2.1263866597528078E-7</v>
      </c>
      <c r="H37" s="1">
        <v>2.1263866597528078E-7</v>
      </c>
      <c r="I37" s="1">
        <v>2.1263866597528078E-7</v>
      </c>
      <c r="J37" s="1">
        <v>2.1263866597528078E-7</v>
      </c>
      <c r="K37" s="1">
        <v>2.1263866597528078E-7</v>
      </c>
      <c r="L37" s="1">
        <v>2.1263866597528078E-7</v>
      </c>
      <c r="M37" s="1">
        <v>2.1263866597528078E-7</v>
      </c>
      <c r="N37" s="1">
        <v>2.1263866597528078E-7</v>
      </c>
      <c r="O37" s="1">
        <v>2.1263866597528078E-7</v>
      </c>
      <c r="P37" s="1">
        <v>2.1263866597528078E-7</v>
      </c>
      <c r="Q37" s="1">
        <v>2.1263866597528078E-7</v>
      </c>
      <c r="R37" s="1">
        <v>2.1263866597528078E-7</v>
      </c>
      <c r="S37" s="1">
        <v>2.1263866597528078E-7</v>
      </c>
      <c r="T37" s="1">
        <v>2.1263866597528078E-7</v>
      </c>
      <c r="U37" s="1">
        <v>2.1263866597528078E-7</v>
      </c>
      <c r="V37" s="1">
        <v>2.1263866597528078E-7</v>
      </c>
      <c r="W37" s="1">
        <v>2.1263866597528078E-7</v>
      </c>
      <c r="X37" s="1">
        <v>2.1263866597528078E-7</v>
      </c>
      <c r="Y37" s="1">
        <v>2.1263866597528078E-7</v>
      </c>
      <c r="Z37" s="1">
        <v>2.1263866597528078E-7</v>
      </c>
      <c r="AA37" s="1">
        <v>2.1263866597528078E-7</v>
      </c>
      <c r="AB37" s="1">
        <v>2.1263866597528078E-7</v>
      </c>
      <c r="AC37" s="1">
        <v>2.1263866597528078E-7</v>
      </c>
      <c r="AD37" s="1">
        <v>2.1263866597528078E-7</v>
      </c>
      <c r="AE37" s="1">
        <v>2.1263866597528078E-7</v>
      </c>
      <c r="AF37" s="1">
        <v>2.1263866597528078E-7</v>
      </c>
      <c r="AG37" s="1">
        <v>2.1263866597528078E-7</v>
      </c>
      <c r="AH37" s="1">
        <v>2.1263866597528078E-7</v>
      </c>
      <c r="AI37" s="1">
        <v>2.1263866597528078E-7</v>
      </c>
      <c r="AJ37" s="1">
        <v>2.1263866597528078E-7</v>
      </c>
      <c r="AK37" s="1">
        <v>2.1263866597528078E-7</v>
      </c>
      <c r="AL37" s="1">
        <v>2.1263866597528078E-7</v>
      </c>
      <c r="AM37" s="1">
        <v>2.1263866597528078E-7</v>
      </c>
      <c r="AN37" s="1">
        <v>2.1263866597528078E-7</v>
      </c>
      <c r="AO37" s="1">
        <v>2.1263866597528078E-7</v>
      </c>
      <c r="AP37" s="1">
        <v>2.1263866597528078E-7</v>
      </c>
      <c r="AQ37" s="1">
        <v>2.1263866597528078E-7</v>
      </c>
      <c r="AR37" s="1">
        <v>2.1263866597528078E-7</v>
      </c>
      <c r="AS37" s="1">
        <v>2.1263866597528078E-7</v>
      </c>
      <c r="AT37" s="1">
        <v>2.1263866597528078E-7</v>
      </c>
      <c r="AU37" s="1">
        <v>2.1263866597528078E-7</v>
      </c>
      <c r="AV37" s="1">
        <v>2.1263866597528078E-7</v>
      </c>
      <c r="AW37" s="1">
        <v>2.1263866597528078E-7</v>
      </c>
      <c r="AX37" s="1">
        <v>2.1263866597528078E-7</v>
      </c>
      <c r="AY37" s="1">
        <v>2.1263866597528078E-7</v>
      </c>
      <c r="AZ37" s="1">
        <v>2.1263866597528078E-7</v>
      </c>
      <c r="BA37" s="1">
        <v>2.1263866597528078E-7</v>
      </c>
      <c r="BB37" s="1">
        <v>2.1263866597528078E-7</v>
      </c>
      <c r="BC37" s="1">
        <v>2.1263866597528078E-7</v>
      </c>
      <c r="BD37" s="1">
        <v>2.1263866597528078E-7</v>
      </c>
      <c r="BE37" s="1">
        <v>2.1263866597528078E-7</v>
      </c>
      <c r="BF37" s="1">
        <v>2.1263866597528078E-7</v>
      </c>
      <c r="BG37" s="1">
        <v>2.1263866597528078E-7</v>
      </c>
      <c r="BH37" s="1">
        <v>2.1263866597528078E-7</v>
      </c>
      <c r="BI37" s="1">
        <v>2.1263866597528078E-7</v>
      </c>
      <c r="BJ37" s="1">
        <v>2.1263866597528078E-7</v>
      </c>
      <c r="BK37" s="1">
        <v>2.1263866597528078E-7</v>
      </c>
      <c r="BL37" s="1">
        <v>2.1263866597528078E-7</v>
      </c>
      <c r="BM37" s="1">
        <v>2.1263866597528078E-7</v>
      </c>
      <c r="BN37" s="1">
        <v>2.1263866597528078E-7</v>
      </c>
      <c r="BO37" s="1">
        <v>2.1263866597528078E-7</v>
      </c>
      <c r="BP37" s="1">
        <v>2.1263866597528078E-7</v>
      </c>
      <c r="BQ37" s="1">
        <v>2.1263866597528078E-7</v>
      </c>
      <c r="BR37" s="1">
        <v>2.1263866597528078E-7</v>
      </c>
      <c r="BS37" s="1">
        <v>2.1263866597528078E-7</v>
      </c>
      <c r="BT37" s="1">
        <v>2.1263866597528078E-7</v>
      </c>
      <c r="BU37" s="1">
        <v>2.1263866597528078E-7</v>
      </c>
      <c r="BV37" s="1">
        <v>2.1263866597528078E-7</v>
      </c>
      <c r="BW37" s="1">
        <v>2.1263866597528078E-7</v>
      </c>
      <c r="BX37" s="1">
        <v>2.1263866597528078E-7</v>
      </c>
      <c r="BY37" s="1">
        <v>2.1263866597528078E-7</v>
      </c>
      <c r="BZ37" s="1">
        <v>2.1263866597528078E-7</v>
      </c>
      <c r="CA37" s="1">
        <v>2.1263866597528078E-7</v>
      </c>
      <c r="CB37" s="1">
        <v>2.1263866597528078E-7</v>
      </c>
      <c r="CC37" s="1">
        <v>2.1263866597528078E-7</v>
      </c>
    </row>
    <row r="38" spans="1:81" x14ac:dyDescent="0.75">
      <c r="A38" t="s">
        <v>56</v>
      </c>
      <c r="B38">
        <v>1.6345976000000001E-7</v>
      </c>
      <c r="C38">
        <v>1.6345976000000001E-7</v>
      </c>
      <c r="D38">
        <v>1.6345976000000001E-7</v>
      </c>
      <c r="E38" s="1">
        <v>1.5883852157189647E-7</v>
      </c>
      <c r="F38" s="1">
        <v>1.5883852157189647E-7</v>
      </c>
      <c r="G38" s="1">
        <v>1.5883852157189647E-7</v>
      </c>
      <c r="H38" s="1">
        <v>1.5883852157189647E-7</v>
      </c>
      <c r="I38" s="1">
        <v>1.5883852157189647E-7</v>
      </c>
      <c r="J38" s="1">
        <v>1.5883852157189647E-7</v>
      </c>
      <c r="K38" s="1">
        <v>1.5883852157189647E-7</v>
      </c>
      <c r="L38" s="1">
        <v>1.5883852157189647E-7</v>
      </c>
      <c r="M38" s="1">
        <v>1.5883852157189647E-7</v>
      </c>
      <c r="N38" s="1">
        <v>1.5883852157189647E-7</v>
      </c>
      <c r="O38" s="1">
        <v>1.5883852157189647E-7</v>
      </c>
      <c r="P38" s="1">
        <v>1.5883852157189647E-7</v>
      </c>
      <c r="Q38" s="1">
        <v>1.5883852157189647E-7</v>
      </c>
      <c r="R38" s="1">
        <v>1.5883852157189647E-7</v>
      </c>
      <c r="S38" s="1">
        <v>1.5883852157189647E-7</v>
      </c>
      <c r="T38" s="1">
        <v>1.5883852157189647E-7</v>
      </c>
      <c r="U38" s="1">
        <v>1.5883852157189647E-7</v>
      </c>
      <c r="V38" s="1">
        <v>1.5883852157189647E-7</v>
      </c>
      <c r="W38" s="1">
        <v>1.5883852157189647E-7</v>
      </c>
      <c r="X38" s="1">
        <v>1.5883852157189647E-7</v>
      </c>
      <c r="Y38" s="1">
        <v>1.5883852157189647E-7</v>
      </c>
      <c r="Z38" s="1">
        <v>1.5883852157189647E-7</v>
      </c>
      <c r="AA38" s="1">
        <v>1.5883852157189647E-7</v>
      </c>
      <c r="AB38" s="1">
        <v>1.5883852157189647E-7</v>
      </c>
      <c r="AC38" s="1">
        <v>1.5883852157189647E-7</v>
      </c>
      <c r="AD38" s="1">
        <v>1.5883852157189647E-7</v>
      </c>
      <c r="AE38" s="1">
        <v>1.5883852157189647E-7</v>
      </c>
      <c r="AF38" s="1">
        <v>1.5883852157189647E-7</v>
      </c>
      <c r="AG38" s="1">
        <v>1.5883852157189647E-7</v>
      </c>
      <c r="AH38" s="1">
        <v>1.5883852157189647E-7</v>
      </c>
      <c r="AI38" s="1">
        <v>1.5883852157189647E-7</v>
      </c>
      <c r="AJ38" s="1">
        <v>1.5883852157189647E-7</v>
      </c>
      <c r="AK38" s="1">
        <v>1.5883852157189647E-7</v>
      </c>
      <c r="AL38" s="1">
        <v>1.5883852157189647E-7</v>
      </c>
      <c r="AM38" s="1">
        <v>1.5883852157189647E-7</v>
      </c>
      <c r="AN38" s="1">
        <v>1.5883852157189647E-7</v>
      </c>
      <c r="AO38" s="1">
        <v>1.5883852157189647E-7</v>
      </c>
      <c r="AP38" s="1">
        <v>1.5883852157189647E-7</v>
      </c>
      <c r="AQ38" s="1">
        <v>1.5883852157189647E-7</v>
      </c>
      <c r="AR38" s="1">
        <v>1.5883852157189647E-7</v>
      </c>
      <c r="AS38" s="1">
        <v>1.5883852157189647E-7</v>
      </c>
      <c r="AT38" s="1">
        <v>1.5883852157189647E-7</v>
      </c>
      <c r="AU38" s="1">
        <v>1.5883852157189647E-7</v>
      </c>
      <c r="AV38" s="1">
        <v>1.5883852157189647E-7</v>
      </c>
      <c r="AW38" s="1">
        <v>1.5883852157189647E-7</v>
      </c>
      <c r="AX38" s="1">
        <v>1.5883852157189647E-7</v>
      </c>
      <c r="AY38" s="1">
        <v>1.5883852157189647E-7</v>
      </c>
      <c r="AZ38" s="1">
        <v>1.5883852157189647E-7</v>
      </c>
      <c r="BA38" s="1">
        <v>1.5883852157189647E-7</v>
      </c>
      <c r="BB38" s="1">
        <v>1.5883852157189647E-7</v>
      </c>
      <c r="BC38" s="1">
        <v>1.5883852157189647E-7</v>
      </c>
      <c r="BD38" s="1">
        <v>1.5883852157189647E-7</v>
      </c>
      <c r="BE38" s="1">
        <v>1.5883852157189647E-7</v>
      </c>
      <c r="BF38" s="1">
        <v>1.5883852157189647E-7</v>
      </c>
      <c r="BG38" s="1">
        <v>1.5883852157189647E-7</v>
      </c>
      <c r="BH38" s="1">
        <v>1.5883852157189647E-7</v>
      </c>
      <c r="BI38" s="1">
        <v>1.5883852157189647E-7</v>
      </c>
      <c r="BJ38" s="1">
        <v>1.5883852157189647E-7</v>
      </c>
      <c r="BK38" s="1">
        <v>1.5883852157189647E-7</v>
      </c>
      <c r="BL38" s="1">
        <v>1.5883852157189647E-7</v>
      </c>
      <c r="BM38" s="1">
        <v>1.5883852157189647E-7</v>
      </c>
      <c r="BN38" s="1">
        <v>1.5883852157189647E-7</v>
      </c>
      <c r="BO38" s="1">
        <v>1.5883852157189647E-7</v>
      </c>
      <c r="BP38" s="1">
        <v>1.5883852157189647E-7</v>
      </c>
      <c r="BQ38" s="1">
        <v>1.5883852157189647E-7</v>
      </c>
      <c r="BR38" s="1">
        <v>1.5883852157189647E-7</v>
      </c>
      <c r="BS38" s="1">
        <v>1.5883852157189647E-7</v>
      </c>
      <c r="BT38" s="1">
        <v>1.5883852157189647E-7</v>
      </c>
      <c r="BU38" s="1">
        <v>1.5883852157189647E-7</v>
      </c>
      <c r="BV38" s="1">
        <v>1.5883852157189647E-7</v>
      </c>
      <c r="BW38" s="1">
        <v>1.5883852157189647E-7</v>
      </c>
      <c r="BX38" s="1">
        <v>1.5883852157189647E-7</v>
      </c>
      <c r="BY38" s="1">
        <v>1.5883852157189647E-7</v>
      </c>
      <c r="BZ38" s="1">
        <v>1.5883852157189647E-7</v>
      </c>
      <c r="CA38" s="1">
        <v>1.5883852157189647E-7</v>
      </c>
      <c r="CB38" s="1">
        <v>1.5883852157189647E-7</v>
      </c>
      <c r="CC38" s="1">
        <v>1.5883852157189647E-7</v>
      </c>
    </row>
    <row r="39" spans="1:81" x14ac:dyDescent="0.75">
      <c r="A39" t="s">
        <v>57</v>
      </c>
      <c r="B39">
        <v>1.3797744000000005E-7</v>
      </c>
      <c r="C39">
        <v>1.3797744000000005E-7</v>
      </c>
      <c r="D39">
        <v>1.3797744000000005E-7</v>
      </c>
      <c r="E39" s="1">
        <v>1.4244228708705554E-7</v>
      </c>
      <c r="F39" s="1">
        <v>1.4244228708705554E-7</v>
      </c>
      <c r="G39" s="1">
        <v>1.4244228708705554E-7</v>
      </c>
      <c r="H39" s="1">
        <v>1.4244228708705554E-7</v>
      </c>
      <c r="I39" s="1">
        <v>1.4244228708705554E-7</v>
      </c>
      <c r="J39" s="1">
        <v>1.4244228708705554E-7</v>
      </c>
      <c r="K39" s="1">
        <v>1.4244228708705554E-7</v>
      </c>
      <c r="L39" s="1">
        <v>1.4244228708705554E-7</v>
      </c>
      <c r="M39" s="1">
        <v>1.4244228708705554E-7</v>
      </c>
      <c r="N39" s="1">
        <v>1.4244228708705554E-7</v>
      </c>
      <c r="O39" s="1">
        <v>1.4244228708705554E-7</v>
      </c>
      <c r="P39" s="1">
        <v>1.4244228708705554E-7</v>
      </c>
      <c r="Q39" s="1">
        <v>1.4244228708705554E-7</v>
      </c>
      <c r="R39" s="1">
        <v>1.4244228708705554E-7</v>
      </c>
      <c r="S39" s="1">
        <v>1.4244228708705554E-7</v>
      </c>
      <c r="T39" s="1">
        <v>1.4244228708705554E-7</v>
      </c>
      <c r="U39" s="1">
        <v>1.4244228708705554E-7</v>
      </c>
      <c r="V39" s="1">
        <v>1.4244228708705554E-7</v>
      </c>
      <c r="W39" s="1">
        <v>1.4244228708705554E-7</v>
      </c>
      <c r="X39" s="1">
        <v>1.4244228708705554E-7</v>
      </c>
      <c r="Y39" s="1">
        <v>1.4244228708705554E-7</v>
      </c>
      <c r="Z39" s="1">
        <v>1.4244228708705554E-7</v>
      </c>
      <c r="AA39" s="1">
        <v>1.4244228708705554E-7</v>
      </c>
      <c r="AB39" s="1">
        <v>1.4244228708705554E-7</v>
      </c>
      <c r="AC39" s="1">
        <v>1.4244228708705554E-7</v>
      </c>
      <c r="AD39" s="1">
        <v>1.4244228708705554E-7</v>
      </c>
      <c r="AE39" s="1">
        <v>1.4244228708705554E-7</v>
      </c>
      <c r="AF39" s="1">
        <v>1.4244228708705554E-7</v>
      </c>
      <c r="AG39" s="1">
        <v>1.4244228708705554E-7</v>
      </c>
      <c r="AH39" s="1">
        <v>1.4244228708705554E-7</v>
      </c>
      <c r="AI39" s="1">
        <v>1.4244228708705554E-7</v>
      </c>
      <c r="AJ39" s="1">
        <v>1.4244228708705554E-7</v>
      </c>
      <c r="AK39" s="1">
        <v>1.4244228708705554E-7</v>
      </c>
      <c r="AL39" s="1">
        <v>1.4244228708705554E-7</v>
      </c>
      <c r="AM39" s="1">
        <v>1.4244228708705554E-7</v>
      </c>
      <c r="AN39" s="1">
        <v>1.4244228708705554E-7</v>
      </c>
      <c r="AO39" s="1">
        <v>1.4244228708705554E-7</v>
      </c>
      <c r="AP39" s="1">
        <v>1.4244228708705554E-7</v>
      </c>
      <c r="AQ39" s="1">
        <v>1.4244228708705554E-7</v>
      </c>
      <c r="AR39" s="1">
        <v>1.4244228708705554E-7</v>
      </c>
      <c r="AS39" s="1">
        <v>1.4244228708705554E-7</v>
      </c>
      <c r="AT39" s="1">
        <v>1.4244228708705554E-7</v>
      </c>
      <c r="AU39" s="1">
        <v>1.4244228708705554E-7</v>
      </c>
      <c r="AV39" s="1">
        <v>1.4244228708705554E-7</v>
      </c>
      <c r="AW39" s="1">
        <v>1.4244228708705554E-7</v>
      </c>
      <c r="AX39" s="1">
        <v>1.4244228708705554E-7</v>
      </c>
      <c r="AY39" s="1">
        <v>1.4244228708705554E-7</v>
      </c>
      <c r="AZ39" s="1">
        <v>1.4244228708705554E-7</v>
      </c>
      <c r="BA39" s="1">
        <v>1.4244228708705554E-7</v>
      </c>
      <c r="BB39" s="1">
        <v>1.4244228708705554E-7</v>
      </c>
      <c r="BC39" s="1">
        <v>1.4244228708705554E-7</v>
      </c>
      <c r="BD39" s="1">
        <v>1.4244228708705554E-7</v>
      </c>
      <c r="BE39" s="1">
        <v>1.4244228708705554E-7</v>
      </c>
      <c r="BF39" s="1">
        <v>1.4244228708705554E-7</v>
      </c>
      <c r="BG39" s="1">
        <v>1.4244228708705554E-7</v>
      </c>
      <c r="BH39" s="1">
        <v>1.4244228708705554E-7</v>
      </c>
      <c r="BI39" s="1">
        <v>1.4244228708705554E-7</v>
      </c>
      <c r="BJ39" s="1">
        <v>1.4244228708705554E-7</v>
      </c>
      <c r="BK39" s="1">
        <v>1.4244228708705554E-7</v>
      </c>
      <c r="BL39" s="1">
        <v>1.4244228708705554E-7</v>
      </c>
      <c r="BM39" s="1">
        <v>1.4244228708705554E-7</v>
      </c>
      <c r="BN39" s="1">
        <v>1.4244228708705554E-7</v>
      </c>
      <c r="BO39" s="1">
        <v>1.4244228708705554E-7</v>
      </c>
      <c r="BP39" s="1">
        <v>1.4244228708705554E-7</v>
      </c>
      <c r="BQ39" s="1">
        <v>1.4244228708705554E-7</v>
      </c>
      <c r="BR39" s="1">
        <v>1.4244228708705554E-7</v>
      </c>
      <c r="BS39" s="1">
        <v>1.4244228708705554E-7</v>
      </c>
      <c r="BT39" s="1">
        <v>1.4244228708705554E-7</v>
      </c>
      <c r="BU39" s="1">
        <v>1.4244228708705554E-7</v>
      </c>
      <c r="BV39" s="1">
        <v>1.4244228708705554E-7</v>
      </c>
      <c r="BW39" s="1">
        <v>1.4244228708705554E-7</v>
      </c>
      <c r="BX39" s="1">
        <v>1.4244228708705554E-7</v>
      </c>
      <c r="BY39" s="1">
        <v>1.4244228708705554E-7</v>
      </c>
      <c r="BZ39" s="1">
        <v>1.4244228708705554E-7</v>
      </c>
      <c r="CA39" s="1">
        <v>1.4244228708705554E-7</v>
      </c>
      <c r="CB39" s="1">
        <v>1.4244228708705554E-7</v>
      </c>
      <c r="CC39" s="1">
        <v>1.4244228708705554E-7</v>
      </c>
    </row>
    <row r="40" spans="1:81" x14ac:dyDescent="0.75">
      <c r="A40" t="s">
        <v>58</v>
      </c>
      <c r="B40">
        <v>0</v>
      </c>
      <c r="C40">
        <v>0</v>
      </c>
      <c r="D40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</row>
    <row r="41" spans="1:81" x14ac:dyDescent="0.75">
      <c r="A41" t="s">
        <v>59</v>
      </c>
      <c r="B41">
        <v>1.6345976000000001E-7</v>
      </c>
      <c r="C41">
        <v>1.6345976000000001E-7</v>
      </c>
      <c r="D41">
        <v>1.6345976000000001E-7</v>
      </c>
      <c r="E41" s="1">
        <v>1.5883852157189647E-7</v>
      </c>
      <c r="F41" s="1">
        <v>1.5883852157189647E-7</v>
      </c>
      <c r="G41" s="1">
        <v>1.5883852157189647E-7</v>
      </c>
      <c r="H41" s="1">
        <v>1.5883852157189647E-7</v>
      </c>
      <c r="I41" s="1">
        <v>1.5883852157189647E-7</v>
      </c>
      <c r="J41" s="1">
        <v>1.5883852157189647E-7</v>
      </c>
      <c r="K41" s="1">
        <v>1.5883852157189647E-7</v>
      </c>
      <c r="L41" s="1">
        <v>1.5883852157189647E-7</v>
      </c>
      <c r="M41" s="1">
        <v>1.5883852157189647E-7</v>
      </c>
      <c r="N41" s="1">
        <v>1.5883852157189647E-7</v>
      </c>
      <c r="O41" s="1">
        <v>1.5883852157189647E-7</v>
      </c>
      <c r="P41" s="1">
        <v>1.5883852157189647E-7</v>
      </c>
      <c r="Q41" s="1">
        <v>1.5883852157189647E-7</v>
      </c>
      <c r="R41" s="1">
        <v>1.5883852157189647E-7</v>
      </c>
      <c r="S41" s="1">
        <v>1.5883852157189647E-7</v>
      </c>
      <c r="T41" s="1">
        <v>1.5883852157189647E-7</v>
      </c>
      <c r="U41" s="1">
        <v>1.5883852157189647E-7</v>
      </c>
      <c r="V41" s="1">
        <v>1.5883852157189647E-7</v>
      </c>
      <c r="W41" s="1">
        <v>1.5883852157189647E-7</v>
      </c>
      <c r="X41" s="1">
        <v>1.5883852157189647E-7</v>
      </c>
      <c r="Y41" s="1">
        <v>1.5883852157189647E-7</v>
      </c>
      <c r="Z41" s="1">
        <v>1.5883852157189647E-7</v>
      </c>
      <c r="AA41" s="1">
        <v>1.5883852157189647E-7</v>
      </c>
      <c r="AB41" s="1">
        <v>1.5883852157189647E-7</v>
      </c>
      <c r="AC41" s="1">
        <v>1.5883852157189647E-7</v>
      </c>
      <c r="AD41" s="1">
        <v>1.5883852157189647E-7</v>
      </c>
      <c r="AE41" s="1">
        <v>1.5883852157189647E-7</v>
      </c>
      <c r="AF41" s="1">
        <v>1.5883852157189647E-7</v>
      </c>
      <c r="AG41" s="1">
        <v>1.5883852157189647E-7</v>
      </c>
      <c r="AH41" s="1">
        <v>1.5883852157189647E-7</v>
      </c>
      <c r="AI41" s="1">
        <v>1.5883852157189647E-7</v>
      </c>
      <c r="AJ41" s="1">
        <v>1.5883852157189647E-7</v>
      </c>
      <c r="AK41" s="1">
        <v>1.5883852157189647E-7</v>
      </c>
      <c r="AL41" s="1">
        <v>1.5883852157189647E-7</v>
      </c>
      <c r="AM41" s="1">
        <v>1.5883852157189647E-7</v>
      </c>
      <c r="AN41" s="1">
        <v>1.5883852157189647E-7</v>
      </c>
      <c r="AO41" s="1">
        <v>1.5883852157189647E-7</v>
      </c>
      <c r="AP41" s="1">
        <v>1.5883852157189647E-7</v>
      </c>
      <c r="AQ41" s="1">
        <v>1.5883852157189647E-7</v>
      </c>
      <c r="AR41" s="1">
        <v>1.5883852157189647E-7</v>
      </c>
      <c r="AS41" s="1">
        <v>1.5883852157189647E-7</v>
      </c>
      <c r="AT41" s="1">
        <v>1.5883852157189647E-7</v>
      </c>
      <c r="AU41" s="1">
        <v>1.5883852157189647E-7</v>
      </c>
      <c r="AV41" s="1">
        <v>1.5883852157189647E-7</v>
      </c>
      <c r="AW41" s="1">
        <v>1.5883852157189647E-7</v>
      </c>
      <c r="AX41" s="1">
        <v>1.5883852157189647E-7</v>
      </c>
      <c r="AY41" s="1">
        <v>1.5883852157189647E-7</v>
      </c>
      <c r="AZ41" s="1">
        <v>1.5883852157189647E-7</v>
      </c>
      <c r="BA41" s="1">
        <v>1.5883852157189647E-7</v>
      </c>
      <c r="BB41" s="1">
        <v>1.5883852157189647E-7</v>
      </c>
      <c r="BC41" s="1">
        <v>1.5883852157189647E-7</v>
      </c>
      <c r="BD41" s="1">
        <v>1.5883852157189647E-7</v>
      </c>
      <c r="BE41" s="1">
        <v>1.5883852157189647E-7</v>
      </c>
      <c r="BF41" s="1">
        <v>1.5883852157189647E-7</v>
      </c>
      <c r="BG41" s="1">
        <v>1.5883852157189647E-7</v>
      </c>
      <c r="BH41" s="1">
        <v>1.5883852157189647E-7</v>
      </c>
      <c r="BI41" s="1">
        <v>1.5883852157189647E-7</v>
      </c>
      <c r="BJ41" s="1">
        <v>1.5883852157189647E-7</v>
      </c>
      <c r="BK41" s="1">
        <v>1.5883852157189647E-7</v>
      </c>
      <c r="BL41" s="1">
        <v>1.5883852157189647E-7</v>
      </c>
      <c r="BM41" s="1">
        <v>1.5883852157189647E-7</v>
      </c>
      <c r="BN41" s="1">
        <v>1.5883852157189647E-7</v>
      </c>
      <c r="BO41" s="1">
        <v>1.5883852157189647E-7</v>
      </c>
      <c r="BP41" s="1">
        <v>1.5883852157189647E-7</v>
      </c>
      <c r="BQ41" s="1">
        <v>1.5883852157189647E-7</v>
      </c>
      <c r="BR41" s="1">
        <v>1.5883852157189647E-7</v>
      </c>
      <c r="BS41" s="1">
        <v>1.5883852157189647E-7</v>
      </c>
      <c r="BT41" s="1">
        <v>1.5883852157189647E-7</v>
      </c>
      <c r="BU41" s="1">
        <v>1.5883852157189647E-7</v>
      </c>
      <c r="BV41" s="1">
        <v>1.5883852157189647E-7</v>
      </c>
      <c r="BW41" s="1">
        <v>1.5883852157189647E-7</v>
      </c>
      <c r="BX41" s="1">
        <v>1.5883852157189647E-7</v>
      </c>
      <c r="BY41" s="1">
        <v>1.5883852157189647E-7</v>
      </c>
      <c r="BZ41" s="1">
        <v>1.5883852157189647E-7</v>
      </c>
      <c r="CA41" s="1">
        <v>1.5883852157189647E-7</v>
      </c>
      <c r="CB41" s="1">
        <v>1.5883852157189647E-7</v>
      </c>
      <c r="CC41" s="1">
        <v>1.5883852157189647E-7</v>
      </c>
    </row>
    <row r="42" spans="1:81" s="3" customFormat="1" x14ac:dyDescent="0.75">
      <c r="A42" s="5" t="s">
        <v>34</v>
      </c>
    </row>
    <row r="43" spans="1:81" x14ac:dyDescent="0.75">
      <c r="A43" t="s">
        <v>30</v>
      </c>
      <c r="B43">
        <v>2021</v>
      </c>
      <c r="C43">
        <v>2022</v>
      </c>
      <c r="D43">
        <v>2023</v>
      </c>
      <c r="E43">
        <v>2024</v>
      </c>
      <c r="F43">
        <v>2025</v>
      </c>
      <c r="G43">
        <v>2026</v>
      </c>
      <c r="H43">
        <v>2027</v>
      </c>
      <c r="I43">
        <v>2028</v>
      </c>
      <c r="J43">
        <v>2029</v>
      </c>
      <c r="K43">
        <v>2030</v>
      </c>
      <c r="L43">
        <v>2031</v>
      </c>
      <c r="M43">
        <v>2032</v>
      </c>
      <c r="N43">
        <v>2033</v>
      </c>
      <c r="O43">
        <v>2034</v>
      </c>
      <c r="P43">
        <v>2035</v>
      </c>
      <c r="Q43">
        <v>2036</v>
      </c>
      <c r="R43">
        <v>2037</v>
      </c>
      <c r="S43">
        <v>2038</v>
      </c>
      <c r="T43">
        <v>2039</v>
      </c>
      <c r="U43">
        <v>2040</v>
      </c>
      <c r="V43">
        <v>2041</v>
      </c>
      <c r="W43">
        <v>2042</v>
      </c>
      <c r="X43">
        <v>2043</v>
      </c>
      <c r="Y43">
        <v>2044</v>
      </c>
      <c r="Z43">
        <v>2045</v>
      </c>
      <c r="AA43">
        <v>2046</v>
      </c>
      <c r="AB43">
        <v>2047</v>
      </c>
      <c r="AC43">
        <v>2048</v>
      </c>
      <c r="AD43">
        <v>2049</v>
      </c>
      <c r="AE43">
        <v>2050</v>
      </c>
    </row>
    <row r="44" spans="1:81" x14ac:dyDescent="0.75">
      <c r="A44" t="s">
        <v>52</v>
      </c>
      <c r="B44">
        <v>3.9826855264708125E-6</v>
      </c>
      <c r="C44">
        <v>5.1555735252677961E-6</v>
      </c>
      <c r="D44">
        <v>4.313393083666313E-6</v>
      </c>
      <c r="E44" s="1">
        <v>4.6531302968655535E-6</v>
      </c>
      <c r="F44" s="1">
        <v>4.378011470711648E-6</v>
      </c>
      <c r="G44" s="1">
        <v>4.0694989761282258E-6</v>
      </c>
      <c r="H44" s="1">
        <v>3.9841899791554798E-6</v>
      </c>
      <c r="I44" s="1">
        <v>3.8988809821827337E-6</v>
      </c>
      <c r="J44" s="1">
        <v>3.866239514475633E-6</v>
      </c>
      <c r="K44" s="1">
        <v>3.8365464882772759E-6</v>
      </c>
      <c r="L44" s="1">
        <v>3.7963615548632027E-6</v>
      </c>
      <c r="M44" s="1">
        <v>3.766920176067668E-6</v>
      </c>
      <c r="N44" s="1">
        <v>3.7313490940937697E-6</v>
      </c>
      <c r="O44" s="1">
        <v>3.6870868617974255E-6</v>
      </c>
      <c r="P44" s="1">
        <v>3.6467918320760898E-6</v>
      </c>
      <c r="Q44" s="1">
        <v>3.6133053347881136E-6</v>
      </c>
      <c r="R44" s="1">
        <v>3.584110851858023E-6</v>
      </c>
      <c r="S44" s="1">
        <v>3.554196481183467E-6</v>
      </c>
      <c r="T44" s="1">
        <v>3.5247716229693732E-6</v>
      </c>
      <c r="U44" s="1">
        <v>3.4988149294497124E-6</v>
      </c>
      <c r="V44" s="1">
        <v>3.4739308027968298E-6</v>
      </c>
      <c r="W44" s="1">
        <v>3.4515096712874444E-6</v>
      </c>
      <c r="X44" s="1">
        <v>3.4229349230880241E-6</v>
      </c>
      <c r="Y44" s="1">
        <v>3.3980260577682494E-6</v>
      </c>
      <c r="Z44" s="1">
        <v>3.3724440933228897E-6</v>
      </c>
      <c r="AA44" s="1">
        <v>3.3463588682925424E-6</v>
      </c>
      <c r="AB44" s="1">
        <v>3.3239823741459328E-6</v>
      </c>
      <c r="AC44" s="1">
        <v>3.3001547888749902E-6</v>
      </c>
      <c r="AD44" s="1">
        <v>3.2752870380802852E-6</v>
      </c>
      <c r="AE44" s="1">
        <v>3.2468104136059855E-6</v>
      </c>
      <c r="AF44" s="1">
        <v>3.2468104136059855E-6</v>
      </c>
      <c r="AG44" s="1">
        <v>3.2468104136059855E-6</v>
      </c>
      <c r="AH44" s="1">
        <v>3.2468104136059855E-6</v>
      </c>
      <c r="AI44" s="1">
        <v>3.2468104136059855E-6</v>
      </c>
      <c r="AJ44" s="1">
        <v>3.2468104136059855E-6</v>
      </c>
      <c r="AK44" s="1">
        <v>3.2468104136059855E-6</v>
      </c>
      <c r="AL44" s="1">
        <v>3.2468104136059855E-6</v>
      </c>
      <c r="AM44" s="1">
        <v>3.2468104136059855E-6</v>
      </c>
      <c r="AN44" s="1">
        <v>3.2468104136059855E-6</v>
      </c>
      <c r="AO44" s="1">
        <v>3.2468104136059855E-6</v>
      </c>
      <c r="AP44" s="1">
        <v>3.2468104136059855E-6</v>
      </c>
      <c r="AQ44" s="1">
        <v>3.2468104136059855E-6</v>
      </c>
      <c r="AR44" s="1">
        <v>3.2468104136059855E-6</v>
      </c>
      <c r="AS44" s="1">
        <v>3.2468104136059855E-6</v>
      </c>
      <c r="AT44" s="1">
        <v>3.2468104136059855E-6</v>
      </c>
      <c r="AU44" s="1">
        <v>3.2468104136059855E-6</v>
      </c>
      <c r="AV44" s="1">
        <v>3.2468104136059855E-6</v>
      </c>
      <c r="AW44" s="1">
        <v>3.2468104136059855E-6</v>
      </c>
      <c r="AX44" s="1">
        <v>3.2468104136059855E-6</v>
      </c>
      <c r="AY44" s="1">
        <v>3.2468104136059855E-6</v>
      </c>
      <c r="AZ44" s="1">
        <v>3.2468104136059855E-6</v>
      </c>
      <c r="BA44" s="1">
        <v>3.2468104136059855E-6</v>
      </c>
      <c r="BB44" s="1">
        <v>3.2468104136059855E-6</v>
      </c>
      <c r="BC44" s="1">
        <v>3.2468104136059855E-6</v>
      </c>
      <c r="BD44" s="1">
        <v>3.2468104136059855E-6</v>
      </c>
      <c r="BE44" s="1">
        <v>3.2468104136059855E-6</v>
      </c>
      <c r="BF44" s="1">
        <v>3.2468104136059855E-6</v>
      </c>
      <c r="BG44" s="1">
        <v>3.2468104136059855E-6</v>
      </c>
      <c r="BH44" s="1">
        <v>3.2468104136059855E-6</v>
      </c>
      <c r="BI44" s="1">
        <v>3.2468104136059855E-6</v>
      </c>
      <c r="BJ44" s="1">
        <v>3.2468104136059855E-6</v>
      </c>
      <c r="BK44" s="1">
        <v>3.2468104136059855E-6</v>
      </c>
      <c r="BL44" s="1">
        <v>3.2468104136059855E-6</v>
      </c>
      <c r="BM44" s="1">
        <v>3.2468104136059855E-6</v>
      </c>
      <c r="BN44" s="1">
        <v>3.2468104136059855E-6</v>
      </c>
      <c r="BO44" s="1">
        <v>3.2468104136059855E-6</v>
      </c>
      <c r="BP44" s="1">
        <v>3.2468104136059855E-6</v>
      </c>
      <c r="BQ44" s="1">
        <v>3.2468104136059855E-6</v>
      </c>
      <c r="BR44" s="1">
        <v>3.2468104136059855E-6</v>
      </c>
      <c r="BS44" s="1">
        <v>3.2468104136059855E-6</v>
      </c>
      <c r="BT44" s="1">
        <v>3.2468104136059855E-6</v>
      </c>
      <c r="BU44" s="1">
        <v>3.2468104136059855E-6</v>
      </c>
      <c r="BV44" s="1">
        <v>3.2468104136059855E-6</v>
      </c>
      <c r="BW44" s="1">
        <v>3.2468104136059855E-6</v>
      </c>
      <c r="BX44" s="1">
        <v>3.2468104136059855E-6</v>
      </c>
      <c r="BY44" s="1">
        <v>3.2468104136059855E-6</v>
      </c>
      <c r="BZ44" s="1">
        <v>3.2468104136059855E-6</v>
      </c>
      <c r="CA44" s="1">
        <v>3.2468104136059855E-6</v>
      </c>
      <c r="CB44" s="1">
        <v>3.2468104136059855E-6</v>
      </c>
      <c r="CC44" s="1">
        <v>3.2468104136059855E-6</v>
      </c>
    </row>
    <row r="45" spans="1:81" x14ac:dyDescent="0.75">
      <c r="A45" t="s">
        <v>53</v>
      </c>
      <c r="B45">
        <v>0</v>
      </c>
      <c r="C45">
        <v>0</v>
      </c>
      <c r="D45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</row>
    <row r="46" spans="1:81" x14ac:dyDescent="0.75">
      <c r="A46" t="s">
        <v>54</v>
      </c>
      <c r="B46">
        <v>0</v>
      </c>
      <c r="C46">
        <v>0</v>
      </c>
      <c r="D46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</row>
    <row r="47" spans="1:81" x14ac:dyDescent="0.75">
      <c r="A47" t="s">
        <v>55</v>
      </c>
      <c r="B47">
        <v>0</v>
      </c>
      <c r="C47">
        <v>0</v>
      </c>
      <c r="D47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</row>
    <row r="48" spans="1:81" x14ac:dyDescent="0.75">
      <c r="A48" t="s">
        <v>56</v>
      </c>
      <c r="B48">
        <v>0</v>
      </c>
      <c r="C48">
        <v>0</v>
      </c>
      <c r="D48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</row>
    <row r="49" spans="1:81" x14ac:dyDescent="0.75">
      <c r="A49" t="s">
        <v>57</v>
      </c>
      <c r="B49">
        <v>0</v>
      </c>
      <c r="C49">
        <v>0</v>
      </c>
      <c r="D49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</row>
    <row r="50" spans="1:81" x14ac:dyDescent="0.75">
      <c r="A50" t="s">
        <v>58</v>
      </c>
      <c r="B50">
        <v>0</v>
      </c>
      <c r="C50">
        <v>0</v>
      </c>
      <c r="D50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</row>
    <row r="51" spans="1:81" x14ac:dyDescent="0.75">
      <c r="A51" t="s">
        <v>59</v>
      </c>
      <c r="B51">
        <v>0</v>
      </c>
      <c r="C51">
        <v>0</v>
      </c>
      <c r="D5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</row>
    <row r="52" spans="1:81" s="3" customFormat="1" x14ac:dyDescent="0.75">
      <c r="A52" s="5" t="s">
        <v>35</v>
      </c>
    </row>
    <row r="53" spans="1:81" x14ac:dyDescent="0.75">
      <c r="A53" t="s">
        <v>30</v>
      </c>
      <c r="B53">
        <v>2021</v>
      </c>
      <c r="C53">
        <v>2022</v>
      </c>
      <c r="D53">
        <v>2023</v>
      </c>
      <c r="E53">
        <v>2024</v>
      </c>
      <c r="F53">
        <v>2025</v>
      </c>
      <c r="G53">
        <v>2026</v>
      </c>
      <c r="H53">
        <v>2027</v>
      </c>
      <c r="I53">
        <v>2028</v>
      </c>
      <c r="J53">
        <v>2029</v>
      </c>
      <c r="K53">
        <v>2030</v>
      </c>
      <c r="L53">
        <v>2031</v>
      </c>
      <c r="M53">
        <v>2032</v>
      </c>
      <c r="N53">
        <v>2033</v>
      </c>
      <c r="O53">
        <v>2034</v>
      </c>
      <c r="P53">
        <v>2035</v>
      </c>
      <c r="Q53">
        <v>2036</v>
      </c>
      <c r="R53">
        <v>2037</v>
      </c>
      <c r="S53">
        <v>2038</v>
      </c>
      <c r="T53">
        <v>2039</v>
      </c>
      <c r="U53">
        <v>2040</v>
      </c>
      <c r="V53">
        <v>2041</v>
      </c>
      <c r="W53">
        <v>2042</v>
      </c>
      <c r="X53">
        <v>2043</v>
      </c>
      <c r="Y53">
        <v>2044</v>
      </c>
      <c r="Z53">
        <v>2045</v>
      </c>
      <c r="AA53">
        <v>2046</v>
      </c>
      <c r="AB53">
        <v>2047</v>
      </c>
      <c r="AC53">
        <v>2048</v>
      </c>
      <c r="AD53">
        <v>2049</v>
      </c>
      <c r="AE53">
        <v>2050</v>
      </c>
    </row>
    <row r="54" spans="1:81" x14ac:dyDescent="0.75">
      <c r="A54" t="s">
        <v>52</v>
      </c>
      <c r="B54">
        <v>3.1272580972353816E-6</v>
      </c>
      <c r="C54">
        <v>4.7187988975259153E-6</v>
      </c>
      <c r="D54">
        <v>3.6041511695769408E-6</v>
      </c>
      <c r="E54" s="1">
        <v>3.3965082451599395E-6</v>
      </c>
      <c r="F54" s="1">
        <v>3.3425882762575237E-6</v>
      </c>
      <c r="G54" s="1">
        <v>2.9989704313465555E-6</v>
      </c>
      <c r="H54" s="1">
        <v>3.2580610754836428E-6</v>
      </c>
      <c r="I54" s="1">
        <v>3.5171517196207297E-6</v>
      </c>
      <c r="J54" s="1">
        <v>3.4764491622571919E-6</v>
      </c>
      <c r="K54" s="1">
        <v>3.4391140367699207E-6</v>
      </c>
      <c r="L54" s="1">
        <v>3.3992510387349737E-6</v>
      </c>
      <c r="M54" s="1">
        <v>3.3736116634395828E-6</v>
      </c>
      <c r="N54" s="1">
        <v>3.3381417494716872E-6</v>
      </c>
      <c r="O54" s="1">
        <v>3.2975943157422654E-6</v>
      </c>
      <c r="P54" s="1">
        <v>3.2571490258031337E-6</v>
      </c>
      <c r="Q54" s="1">
        <v>3.22862558236012E-6</v>
      </c>
      <c r="R54" s="1">
        <v>3.1967568073787857E-6</v>
      </c>
      <c r="S54" s="1">
        <v>3.1676752448345436E-6</v>
      </c>
      <c r="T54" s="1">
        <v>3.138782432364229E-6</v>
      </c>
      <c r="U54" s="1">
        <v>3.1099428346425476E-6</v>
      </c>
      <c r="V54" s="1">
        <v>3.0832479411167234E-6</v>
      </c>
      <c r="W54" s="1">
        <v>3.0593648118066954E-6</v>
      </c>
      <c r="X54" s="1">
        <v>3.030364787528605E-6</v>
      </c>
      <c r="Y54" s="1">
        <v>3.0030646685685377E-6</v>
      </c>
      <c r="Z54" s="1">
        <v>2.9748503204142413E-6</v>
      </c>
      <c r="AA54" s="1">
        <v>2.943248799425068E-6</v>
      </c>
      <c r="AB54" s="1">
        <v>2.9193712727861727E-6</v>
      </c>
      <c r="AC54" s="1">
        <v>2.8941161933869544E-6</v>
      </c>
      <c r="AD54" s="1">
        <v>2.8673485751393396E-6</v>
      </c>
      <c r="AE54" s="1">
        <v>2.8407271812297293E-6</v>
      </c>
      <c r="AF54" s="1">
        <v>2.8407271812297293E-6</v>
      </c>
      <c r="AG54" s="1">
        <v>2.8407271812297293E-6</v>
      </c>
      <c r="AH54" s="1">
        <v>2.8407271812297293E-6</v>
      </c>
      <c r="AI54" s="1">
        <v>2.8407271812297293E-6</v>
      </c>
      <c r="AJ54" s="1">
        <v>2.8407271812297293E-6</v>
      </c>
      <c r="AK54" s="1">
        <v>2.8407271812297293E-6</v>
      </c>
      <c r="AL54" s="1">
        <v>2.8407271812297293E-6</v>
      </c>
      <c r="AM54" s="1">
        <v>2.8407271812297293E-6</v>
      </c>
      <c r="AN54" s="1">
        <v>2.8407271812297293E-6</v>
      </c>
      <c r="AO54" s="1">
        <v>2.8407271812297293E-6</v>
      </c>
      <c r="AP54" s="1">
        <v>2.8407271812297293E-6</v>
      </c>
      <c r="AQ54" s="1">
        <v>2.8407271812297293E-6</v>
      </c>
      <c r="AR54" s="1">
        <v>2.8407271812297293E-6</v>
      </c>
      <c r="AS54" s="1">
        <v>2.8407271812297293E-6</v>
      </c>
      <c r="AT54" s="1">
        <v>2.8407271812297293E-6</v>
      </c>
      <c r="AU54" s="1">
        <v>2.8407271812297293E-6</v>
      </c>
      <c r="AV54" s="1">
        <v>2.8407271812297293E-6</v>
      </c>
      <c r="AW54" s="1">
        <v>2.8407271812297293E-6</v>
      </c>
      <c r="AX54" s="1">
        <v>2.8407271812297293E-6</v>
      </c>
      <c r="AY54" s="1">
        <v>2.8407271812297293E-6</v>
      </c>
      <c r="AZ54" s="1">
        <v>2.8407271812297293E-6</v>
      </c>
      <c r="BA54" s="1">
        <v>2.8407271812297293E-6</v>
      </c>
      <c r="BB54" s="1">
        <v>2.8407271812297293E-6</v>
      </c>
      <c r="BC54" s="1">
        <v>2.8407271812297293E-6</v>
      </c>
      <c r="BD54" s="1">
        <v>2.8407271812297293E-6</v>
      </c>
      <c r="BE54" s="1">
        <v>2.8407271812297293E-6</v>
      </c>
      <c r="BF54" s="1">
        <v>2.8407271812297293E-6</v>
      </c>
      <c r="BG54" s="1">
        <v>2.8407271812297293E-6</v>
      </c>
      <c r="BH54" s="1">
        <v>2.8407271812297293E-6</v>
      </c>
      <c r="BI54" s="1">
        <v>2.8407271812297293E-6</v>
      </c>
      <c r="BJ54" s="1">
        <v>2.8407271812297293E-6</v>
      </c>
      <c r="BK54" s="1">
        <v>2.8407271812297293E-6</v>
      </c>
      <c r="BL54" s="1">
        <v>2.8407271812297293E-6</v>
      </c>
      <c r="BM54" s="1">
        <v>2.8407271812297293E-6</v>
      </c>
      <c r="BN54" s="1">
        <v>2.8407271812297293E-6</v>
      </c>
      <c r="BO54" s="1">
        <v>2.8407271812297293E-6</v>
      </c>
      <c r="BP54" s="1">
        <v>2.8407271812297293E-6</v>
      </c>
      <c r="BQ54" s="1">
        <v>2.8407271812297293E-6</v>
      </c>
      <c r="BR54" s="1">
        <v>2.8407271812297293E-6</v>
      </c>
      <c r="BS54" s="1">
        <v>2.8407271812297293E-6</v>
      </c>
      <c r="BT54" s="1">
        <v>2.8407271812297293E-6</v>
      </c>
      <c r="BU54" s="1">
        <v>2.8407271812297293E-6</v>
      </c>
      <c r="BV54" s="1">
        <v>2.8407271812297293E-6</v>
      </c>
      <c r="BW54" s="1">
        <v>2.8407271812297293E-6</v>
      </c>
      <c r="BX54" s="1">
        <v>2.8407271812297293E-6</v>
      </c>
      <c r="BY54" s="1">
        <v>2.8407271812297293E-6</v>
      </c>
      <c r="BZ54" s="1">
        <v>2.8407271812297293E-6</v>
      </c>
      <c r="CA54" s="1">
        <v>2.8407271812297293E-6</v>
      </c>
      <c r="CB54" s="1">
        <v>2.8407271812297293E-6</v>
      </c>
      <c r="CC54" s="1">
        <v>2.8407271812297293E-6</v>
      </c>
    </row>
    <row r="55" spans="1:81" x14ac:dyDescent="0.75">
      <c r="A55" t="s">
        <v>53</v>
      </c>
      <c r="B55">
        <v>2.9702119436864348E-6</v>
      </c>
      <c r="C55">
        <v>4.4818279814117035E-6</v>
      </c>
      <c r="D55">
        <v>3.6097586503872587E-6</v>
      </c>
      <c r="E55" s="1">
        <v>3.4425379858419763E-6</v>
      </c>
      <c r="F55" s="1">
        <v>3.465591882331233E-6</v>
      </c>
      <c r="G55" s="1">
        <v>3.3704528087969056E-6</v>
      </c>
      <c r="H55" s="1">
        <v>3.2707454536912144E-6</v>
      </c>
      <c r="I55" s="1">
        <v>3.1490285512461424E-6</v>
      </c>
      <c r="J55" s="1">
        <v>3.0533500455988978E-6</v>
      </c>
      <c r="K55" s="1">
        <v>2.9711428562731248E-6</v>
      </c>
      <c r="L55" s="1">
        <v>2.9240318693895532E-6</v>
      </c>
      <c r="M55" s="1">
        <v>3.0096205605833274E-6</v>
      </c>
      <c r="N55" s="1">
        <v>2.9789748303098181E-6</v>
      </c>
      <c r="O55" s="1">
        <v>2.9436745872132339E-6</v>
      </c>
      <c r="P55" s="1">
        <v>2.8555973701593919E-6</v>
      </c>
      <c r="Q55" s="1">
        <v>2.8124959682812509E-6</v>
      </c>
      <c r="R55" s="1">
        <v>2.7864482546124951E-6</v>
      </c>
      <c r="S55" s="1">
        <v>2.7622192902337018E-6</v>
      </c>
      <c r="T55" s="1">
        <v>2.7356104372938232E-6</v>
      </c>
      <c r="U55" s="1">
        <v>2.7160494441392697E-6</v>
      </c>
      <c r="V55" s="1">
        <v>2.6880982436501895E-6</v>
      </c>
      <c r="W55" s="1">
        <v>2.6724540274880748E-6</v>
      </c>
      <c r="X55" s="1">
        <v>2.6468426477712807E-6</v>
      </c>
      <c r="Y55" s="1">
        <v>2.6180373611769503E-6</v>
      </c>
      <c r="Z55" s="1">
        <v>2.6052148511813081E-6</v>
      </c>
      <c r="AA55" s="1">
        <v>2.5823389792028888E-6</v>
      </c>
      <c r="AB55" s="1">
        <v>2.5555891370735458E-6</v>
      </c>
      <c r="AC55" s="1">
        <v>2.5348497985419997E-6</v>
      </c>
      <c r="AD55" s="1">
        <v>2.5048729023908702E-6</v>
      </c>
      <c r="AE55" s="1">
        <v>2.4817931331897647E-6</v>
      </c>
      <c r="AF55" s="1">
        <v>2.4817931331897647E-6</v>
      </c>
      <c r="AG55" s="1">
        <v>2.4817931331897647E-6</v>
      </c>
      <c r="AH55" s="1">
        <v>2.4817931331897647E-6</v>
      </c>
      <c r="AI55" s="1">
        <v>2.4817931331897647E-6</v>
      </c>
      <c r="AJ55" s="1">
        <v>2.4817931331897647E-6</v>
      </c>
      <c r="AK55" s="1">
        <v>2.4817931331897647E-6</v>
      </c>
      <c r="AL55" s="1">
        <v>2.4817931331897647E-6</v>
      </c>
      <c r="AM55" s="1">
        <v>2.4817931331897647E-6</v>
      </c>
      <c r="AN55" s="1">
        <v>2.4817931331897647E-6</v>
      </c>
      <c r="AO55" s="1">
        <v>2.4817931331897647E-6</v>
      </c>
      <c r="AP55" s="1">
        <v>2.4817931331897647E-6</v>
      </c>
      <c r="AQ55" s="1">
        <v>2.4817931331897647E-6</v>
      </c>
      <c r="AR55" s="1">
        <v>2.4817931331897647E-6</v>
      </c>
      <c r="AS55" s="1">
        <v>2.4817931331897647E-6</v>
      </c>
      <c r="AT55" s="1">
        <v>2.4817931331897647E-6</v>
      </c>
      <c r="AU55" s="1">
        <v>2.4817931331897647E-6</v>
      </c>
      <c r="AV55" s="1">
        <v>2.4817931331897647E-6</v>
      </c>
      <c r="AW55" s="1">
        <v>2.4817931331897647E-6</v>
      </c>
      <c r="AX55" s="1">
        <v>2.4817931331897647E-6</v>
      </c>
      <c r="AY55" s="1">
        <v>2.4817931331897647E-6</v>
      </c>
      <c r="AZ55" s="1">
        <v>2.4817931331897647E-6</v>
      </c>
      <c r="BA55" s="1">
        <v>2.4817931331897647E-6</v>
      </c>
      <c r="BB55" s="1">
        <v>2.4817931331897647E-6</v>
      </c>
      <c r="BC55" s="1">
        <v>2.4817931331897647E-6</v>
      </c>
      <c r="BD55" s="1">
        <v>2.4817931331897647E-6</v>
      </c>
      <c r="BE55" s="1">
        <v>2.4817931331897647E-6</v>
      </c>
      <c r="BF55" s="1">
        <v>2.4817931331897647E-6</v>
      </c>
      <c r="BG55" s="1">
        <v>2.4817931331897647E-6</v>
      </c>
      <c r="BH55" s="1">
        <v>2.4817931331897647E-6</v>
      </c>
      <c r="BI55" s="1">
        <v>2.4817931331897647E-6</v>
      </c>
      <c r="BJ55" s="1">
        <v>2.4817931331897647E-6</v>
      </c>
      <c r="BK55" s="1">
        <v>2.4817931331897647E-6</v>
      </c>
      <c r="BL55" s="1">
        <v>2.4817931331897647E-6</v>
      </c>
      <c r="BM55" s="1">
        <v>2.4817931331897647E-6</v>
      </c>
      <c r="BN55" s="1">
        <v>2.4817931331897647E-6</v>
      </c>
      <c r="BO55" s="1">
        <v>2.4817931331897647E-6</v>
      </c>
      <c r="BP55" s="1">
        <v>2.4817931331897647E-6</v>
      </c>
      <c r="BQ55" s="1">
        <v>2.4817931331897647E-6</v>
      </c>
      <c r="BR55" s="1">
        <v>2.4817931331897647E-6</v>
      </c>
      <c r="BS55" s="1">
        <v>2.4817931331897647E-6</v>
      </c>
      <c r="BT55" s="1">
        <v>2.4817931331897647E-6</v>
      </c>
      <c r="BU55" s="1">
        <v>2.4817931331897647E-6</v>
      </c>
      <c r="BV55" s="1">
        <v>2.4817931331897647E-6</v>
      </c>
      <c r="BW55" s="1">
        <v>2.4817931331897647E-6</v>
      </c>
      <c r="BX55" s="1">
        <v>2.4817931331897647E-6</v>
      </c>
      <c r="BY55" s="1">
        <v>2.4817931331897647E-6</v>
      </c>
      <c r="BZ55" s="1">
        <v>2.4817931331897647E-6</v>
      </c>
      <c r="CA55" s="1">
        <v>2.4817931331897647E-6</v>
      </c>
      <c r="CB55" s="1">
        <v>2.4817931331897647E-6</v>
      </c>
      <c r="CC55" s="1">
        <v>2.4817931331897647E-6</v>
      </c>
    </row>
    <row r="56" spans="1:81" x14ac:dyDescent="0.75">
      <c r="A56" t="s">
        <v>54</v>
      </c>
      <c r="B56">
        <v>2.9687873804718662E-6</v>
      </c>
      <c r="C56">
        <v>4.4796784219198583E-6</v>
      </c>
      <c r="D56">
        <v>3.6006618095867812E-6</v>
      </c>
      <c r="E56" s="1">
        <v>3.4454014235687143E-6</v>
      </c>
      <c r="F56" s="1">
        <v>3.4631432004506744E-6</v>
      </c>
      <c r="G56" s="1">
        <v>3.5372444874241978E-6</v>
      </c>
      <c r="H56" s="1">
        <v>3.6020542646030878E-6</v>
      </c>
      <c r="I56" s="1">
        <v>3.644530700203387E-6</v>
      </c>
      <c r="J56" s="1">
        <v>3.6824264742475464E-6</v>
      </c>
      <c r="K56" s="1">
        <v>3.7315599729928743E-6</v>
      </c>
      <c r="L56" s="1">
        <v>3.6831171127307825E-6</v>
      </c>
      <c r="M56" s="1">
        <v>3.6679978298390322E-6</v>
      </c>
      <c r="N56" s="1">
        <v>3.6269302238048532E-6</v>
      </c>
      <c r="O56" s="1">
        <v>3.5757980260731315E-6</v>
      </c>
      <c r="P56" s="1">
        <v>3.4764440269481502E-6</v>
      </c>
      <c r="Q56" s="1">
        <v>3.433808929218123E-6</v>
      </c>
      <c r="R56" s="1">
        <v>3.3964472128124972E-6</v>
      </c>
      <c r="S56" s="1">
        <v>3.3672324659907969E-6</v>
      </c>
      <c r="T56" s="1">
        <v>3.3365558736511315E-6</v>
      </c>
      <c r="U56" s="1">
        <v>3.3035421646266539E-6</v>
      </c>
      <c r="V56" s="1">
        <v>3.2756524947029286E-6</v>
      </c>
      <c r="W56" s="1">
        <v>3.2549990322957153E-6</v>
      </c>
      <c r="X56" s="1">
        <v>3.22005974668165E-6</v>
      </c>
      <c r="Y56" s="1">
        <v>3.1881274606883681E-6</v>
      </c>
      <c r="Z56" s="1">
        <v>3.1632514222589732E-6</v>
      </c>
      <c r="AA56" s="1">
        <v>3.113032276613516E-6</v>
      </c>
      <c r="AB56" s="1">
        <v>3.0897659063398697E-6</v>
      </c>
      <c r="AC56" s="1">
        <v>3.062187992359107E-6</v>
      </c>
      <c r="AD56" s="1">
        <v>3.0236830301782191E-6</v>
      </c>
      <c r="AE56" s="1">
        <v>2.9924467482173551E-6</v>
      </c>
      <c r="AF56" s="1">
        <v>2.9924467482173551E-6</v>
      </c>
      <c r="AG56" s="1">
        <v>2.9924467482173551E-6</v>
      </c>
      <c r="AH56" s="1">
        <v>2.9924467482173551E-6</v>
      </c>
      <c r="AI56" s="1">
        <v>2.9924467482173551E-6</v>
      </c>
      <c r="AJ56" s="1">
        <v>2.9924467482173551E-6</v>
      </c>
      <c r="AK56" s="1">
        <v>2.9924467482173551E-6</v>
      </c>
      <c r="AL56" s="1">
        <v>2.9924467482173551E-6</v>
      </c>
      <c r="AM56" s="1">
        <v>2.9924467482173551E-6</v>
      </c>
      <c r="AN56" s="1">
        <v>2.9924467482173551E-6</v>
      </c>
      <c r="AO56" s="1">
        <v>2.9924467482173551E-6</v>
      </c>
      <c r="AP56" s="1">
        <v>2.9924467482173551E-6</v>
      </c>
      <c r="AQ56" s="1">
        <v>2.9924467482173551E-6</v>
      </c>
      <c r="AR56" s="1">
        <v>2.9924467482173551E-6</v>
      </c>
      <c r="AS56" s="1">
        <v>2.9924467482173551E-6</v>
      </c>
      <c r="AT56" s="1">
        <v>2.9924467482173551E-6</v>
      </c>
      <c r="AU56" s="1">
        <v>2.9924467482173551E-6</v>
      </c>
      <c r="AV56" s="1">
        <v>2.9924467482173551E-6</v>
      </c>
      <c r="AW56" s="1">
        <v>2.9924467482173551E-6</v>
      </c>
      <c r="AX56" s="1">
        <v>2.9924467482173551E-6</v>
      </c>
      <c r="AY56" s="1">
        <v>2.9924467482173551E-6</v>
      </c>
      <c r="AZ56" s="1">
        <v>2.9924467482173551E-6</v>
      </c>
      <c r="BA56" s="1">
        <v>2.9924467482173551E-6</v>
      </c>
      <c r="BB56" s="1">
        <v>2.9924467482173551E-6</v>
      </c>
      <c r="BC56" s="1">
        <v>2.9924467482173551E-6</v>
      </c>
      <c r="BD56" s="1">
        <v>2.9924467482173551E-6</v>
      </c>
      <c r="BE56" s="1">
        <v>2.9924467482173551E-6</v>
      </c>
      <c r="BF56" s="1">
        <v>2.9924467482173551E-6</v>
      </c>
      <c r="BG56" s="1">
        <v>2.9924467482173551E-6</v>
      </c>
      <c r="BH56" s="1">
        <v>2.9924467482173551E-6</v>
      </c>
      <c r="BI56" s="1">
        <v>2.9924467482173551E-6</v>
      </c>
      <c r="BJ56" s="1">
        <v>2.9924467482173551E-6</v>
      </c>
      <c r="BK56" s="1">
        <v>2.9924467482173551E-6</v>
      </c>
      <c r="BL56" s="1">
        <v>2.9924467482173551E-6</v>
      </c>
      <c r="BM56" s="1">
        <v>2.9924467482173551E-6</v>
      </c>
      <c r="BN56" s="1">
        <v>2.9924467482173551E-6</v>
      </c>
      <c r="BO56" s="1">
        <v>2.9924467482173551E-6</v>
      </c>
      <c r="BP56" s="1">
        <v>2.9924467482173551E-6</v>
      </c>
      <c r="BQ56" s="1">
        <v>2.9924467482173551E-6</v>
      </c>
      <c r="BR56" s="1">
        <v>2.9924467482173551E-6</v>
      </c>
      <c r="BS56" s="1">
        <v>2.9924467482173551E-6</v>
      </c>
      <c r="BT56" s="1">
        <v>2.9924467482173551E-6</v>
      </c>
      <c r="BU56" s="1">
        <v>2.9924467482173551E-6</v>
      </c>
      <c r="BV56" s="1">
        <v>2.9924467482173551E-6</v>
      </c>
      <c r="BW56" s="1">
        <v>2.9924467482173551E-6</v>
      </c>
      <c r="BX56" s="1">
        <v>2.9924467482173551E-6</v>
      </c>
      <c r="BY56" s="1">
        <v>2.9924467482173551E-6</v>
      </c>
      <c r="BZ56" s="1">
        <v>2.9924467482173551E-6</v>
      </c>
      <c r="CA56" s="1">
        <v>2.9924467482173551E-6</v>
      </c>
      <c r="CB56" s="1">
        <v>2.9924467482173551E-6</v>
      </c>
      <c r="CC56" s="1">
        <v>2.9924467482173551E-6</v>
      </c>
    </row>
    <row r="57" spans="1:81" x14ac:dyDescent="0.75">
      <c r="A57" t="s">
        <v>55</v>
      </c>
      <c r="B57">
        <v>2.9705731598808682E-6</v>
      </c>
      <c r="C57">
        <v>4.4823730296702935E-6</v>
      </c>
      <c r="D57">
        <v>3.6177135048667285E-6</v>
      </c>
      <c r="E57" s="1">
        <v>3.4519281924878776E-6</v>
      </c>
      <c r="F57" s="1">
        <v>3.4757705747637332E-6</v>
      </c>
      <c r="G57" s="1">
        <v>3.3836351495923479E-6</v>
      </c>
      <c r="H57" s="1">
        <v>3.2824583091736635E-6</v>
      </c>
      <c r="I57" s="1">
        <v>3.1688830772942514E-6</v>
      </c>
      <c r="J57" s="1">
        <v>3.0615095168697157E-6</v>
      </c>
      <c r="K57" s="1">
        <v>2.9690616419664847E-6</v>
      </c>
      <c r="L57" s="1">
        <v>2.9384154038307142E-6</v>
      </c>
      <c r="M57" s="1">
        <v>2.919595178221309E-6</v>
      </c>
      <c r="N57" s="1">
        <v>2.8892184577036046E-6</v>
      </c>
      <c r="O57" s="1">
        <v>2.8572856421969105E-6</v>
      </c>
      <c r="P57" s="1">
        <v>2.8083394105122634E-6</v>
      </c>
      <c r="Q57" s="1">
        <v>2.776817811789185E-6</v>
      </c>
      <c r="R57" s="1">
        <v>2.7512096250161344E-6</v>
      </c>
      <c r="S57" s="1">
        <v>2.729335881945201E-6</v>
      </c>
      <c r="T57" s="1">
        <v>2.7060787133823939E-6</v>
      </c>
      <c r="U57" s="1">
        <v>2.6825159865714498E-6</v>
      </c>
      <c r="V57" s="1">
        <v>2.6601327038879039E-6</v>
      </c>
      <c r="W57" s="1">
        <v>2.6420196802099614E-6</v>
      </c>
      <c r="X57" s="1">
        <v>2.6180280297321436E-6</v>
      </c>
      <c r="Y57" s="1">
        <v>2.5955811462025499E-6</v>
      </c>
      <c r="Z57" s="1">
        <v>2.5796193996787275E-6</v>
      </c>
      <c r="AA57" s="1">
        <v>2.5445584041353623E-6</v>
      </c>
      <c r="AB57" s="1">
        <v>2.524177752696398E-6</v>
      </c>
      <c r="AC57" s="1">
        <v>2.5029446434828779E-6</v>
      </c>
      <c r="AD57" s="1">
        <v>2.4783424975035449E-6</v>
      </c>
      <c r="AE57" s="1">
        <v>2.4566172067781512E-6</v>
      </c>
      <c r="AF57" s="1">
        <v>2.4566172067781512E-6</v>
      </c>
      <c r="AG57" s="1">
        <v>2.4566172067781512E-6</v>
      </c>
      <c r="AH57" s="1">
        <v>2.4566172067781512E-6</v>
      </c>
      <c r="AI57" s="1">
        <v>2.4566172067781512E-6</v>
      </c>
      <c r="AJ57" s="1">
        <v>2.4566172067781512E-6</v>
      </c>
      <c r="AK57" s="1">
        <v>2.4566172067781512E-6</v>
      </c>
      <c r="AL57" s="1">
        <v>2.4566172067781512E-6</v>
      </c>
      <c r="AM57" s="1">
        <v>2.4566172067781512E-6</v>
      </c>
      <c r="AN57" s="1">
        <v>2.4566172067781512E-6</v>
      </c>
      <c r="AO57" s="1">
        <v>2.4566172067781512E-6</v>
      </c>
      <c r="AP57" s="1">
        <v>2.4566172067781512E-6</v>
      </c>
      <c r="AQ57" s="1">
        <v>2.4566172067781512E-6</v>
      </c>
      <c r="AR57" s="1">
        <v>2.4566172067781512E-6</v>
      </c>
      <c r="AS57" s="1">
        <v>2.4566172067781512E-6</v>
      </c>
      <c r="AT57" s="1">
        <v>2.4566172067781512E-6</v>
      </c>
      <c r="AU57" s="1">
        <v>2.4566172067781512E-6</v>
      </c>
      <c r="AV57" s="1">
        <v>2.4566172067781512E-6</v>
      </c>
      <c r="AW57" s="1">
        <v>2.4566172067781512E-6</v>
      </c>
      <c r="AX57" s="1">
        <v>2.4566172067781512E-6</v>
      </c>
      <c r="AY57" s="1">
        <v>2.4566172067781512E-6</v>
      </c>
      <c r="AZ57" s="1">
        <v>2.4566172067781512E-6</v>
      </c>
      <c r="BA57" s="1">
        <v>2.4566172067781512E-6</v>
      </c>
      <c r="BB57" s="1">
        <v>2.4566172067781512E-6</v>
      </c>
      <c r="BC57" s="1">
        <v>2.4566172067781512E-6</v>
      </c>
      <c r="BD57" s="1">
        <v>2.4566172067781512E-6</v>
      </c>
      <c r="BE57" s="1">
        <v>2.4566172067781512E-6</v>
      </c>
      <c r="BF57" s="1">
        <v>2.4566172067781512E-6</v>
      </c>
      <c r="BG57" s="1">
        <v>2.4566172067781512E-6</v>
      </c>
      <c r="BH57" s="1">
        <v>2.4566172067781512E-6</v>
      </c>
      <c r="BI57" s="1">
        <v>2.4566172067781512E-6</v>
      </c>
      <c r="BJ57" s="1">
        <v>2.4566172067781512E-6</v>
      </c>
      <c r="BK57" s="1">
        <v>2.4566172067781512E-6</v>
      </c>
      <c r="BL57" s="1">
        <v>2.4566172067781512E-6</v>
      </c>
      <c r="BM57" s="1">
        <v>2.4566172067781512E-6</v>
      </c>
      <c r="BN57" s="1">
        <v>2.4566172067781512E-6</v>
      </c>
      <c r="BO57" s="1">
        <v>2.4566172067781512E-6</v>
      </c>
      <c r="BP57" s="1">
        <v>2.4566172067781512E-6</v>
      </c>
      <c r="BQ57" s="1">
        <v>2.4566172067781512E-6</v>
      </c>
      <c r="BR57" s="1">
        <v>2.4566172067781512E-6</v>
      </c>
      <c r="BS57" s="1">
        <v>2.4566172067781512E-6</v>
      </c>
      <c r="BT57" s="1">
        <v>2.4566172067781512E-6</v>
      </c>
      <c r="BU57" s="1">
        <v>2.4566172067781512E-6</v>
      </c>
      <c r="BV57" s="1">
        <v>2.4566172067781512E-6</v>
      </c>
      <c r="BW57" s="1">
        <v>2.4566172067781512E-6</v>
      </c>
      <c r="BX57" s="1">
        <v>2.4566172067781512E-6</v>
      </c>
      <c r="BY57" s="1">
        <v>2.4566172067781512E-6</v>
      </c>
      <c r="BZ57" s="1">
        <v>2.4566172067781512E-6</v>
      </c>
      <c r="CA57" s="1">
        <v>2.4566172067781512E-6</v>
      </c>
      <c r="CB57" s="1">
        <v>2.4566172067781512E-6</v>
      </c>
      <c r="CC57" s="1">
        <v>2.4566172067781512E-6</v>
      </c>
    </row>
    <row r="58" spans="1:81" x14ac:dyDescent="0.75">
      <c r="A58" t="s">
        <v>56</v>
      </c>
      <c r="B58">
        <v>2.9641379013124517E-6</v>
      </c>
      <c r="C58">
        <v>4.4726627051323914E-6</v>
      </c>
      <c r="D58">
        <v>3.5983516209491165E-6</v>
      </c>
      <c r="E58" s="1">
        <v>3.4366249542772986E-6</v>
      </c>
      <c r="F58" s="1">
        <v>3.4607632083094791E-6</v>
      </c>
      <c r="G58" s="1">
        <v>3.3634234306063091E-6</v>
      </c>
      <c r="H58" s="1">
        <v>3.2581154228959462E-6</v>
      </c>
      <c r="I58" s="1">
        <v>3.1412537938357588E-6</v>
      </c>
      <c r="J58" s="1">
        <v>3.0301537643931023E-6</v>
      </c>
      <c r="K58" s="1">
        <v>2.9334887236200368E-6</v>
      </c>
      <c r="L58" s="1">
        <v>2.9042525066500048E-6</v>
      </c>
      <c r="M58" s="1">
        <v>2.8830114214142728E-6</v>
      </c>
      <c r="N58" s="1">
        <v>2.8548707484456322E-6</v>
      </c>
      <c r="O58" s="1">
        <v>2.8245263309409734E-6</v>
      </c>
      <c r="P58" s="1">
        <v>2.745122347780031E-6</v>
      </c>
      <c r="Q58" s="1">
        <v>2.7098626713598712E-6</v>
      </c>
      <c r="R58" s="1">
        <v>2.6866287290301736E-6</v>
      </c>
      <c r="S58" s="1">
        <v>2.6654512131773294E-6</v>
      </c>
      <c r="T58" s="1">
        <v>2.6425893129147521E-6</v>
      </c>
      <c r="U58" s="1">
        <v>2.6202373074342537E-6</v>
      </c>
      <c r="V58" s="1">
        <v>2.5990404169652623E-6</v>
      </c>
      <c r="W58" s="1">
        <v>2.5818123273541575E-6</v>
      </c>
      <c r="X58" s="1">
        <v>2.5597520345616564E-6</v>
      </c>
      <c r="Y58" s="1">
        <v>2.5400392138259508E-6</v>
      </c>
      <c r="Z58" s="1">
        <v>2.5252842862968454E-6</v>
      </c>
      <c r="AA58" s="1">
        <v>2.4915689503307005E-6</v>
      </c>
      <c r="AB58" s="1">
        <v>2.4715311179454307E-6</v>
      </c>
      <c r="AC58" s="1">
        <v>2.4514436767378555E-6</v>
      </c>
      <c r="AD58" s="1">
        <v>2.4240826894242805E-6</v>
      </c>
      <c r="AE58" s="1">
        <v>2.4043023591271538E-6</v>
      </c>
      <c r="AF58" s="1">
        <v>2.4043023591271538E-6</v>
      </c>
      <c r="AG58" s="1">
        <v>2.4043023591271538E-6</v>
      </c>
      <c r="AH58" s="1">
        <v>2.4043023591271538E-6</v>
      </c>
      <c r="AI58" s="1">
        <v>2.4043023591271538E-6</v>
      </c>
      <c r="AJ58" s="1">
        <v>2.4043023591271538E-6</v>
      </c>
      <c r="AK58" s="1">
        <v>2.4043023591271538E-6</v>
      </c>
      <c r="AL58" s="1">
        <v>2.4043023591271538E-6</v>
      </c>
      <c r="AM58" s="1">
        <v>2.4043023591271538E-6</v>
      </c>
      <c r="AN58" s="1">
        <v>2.4043023591271538E-6</v>
      </c>
      <c r="AO58" s="1">
        <v>2.4043023591271538E-6</v>
      </c>
      <c r="AP58" s="1">
        <v>2.4043023591271538E-6</v>
      </c>
      <c r="AQ58" s="1">
        <v>2.4043023591271538E-6</v>
      </c>
      <c r="AR58" s="1">
        <v>2.4043023591271538E-6</v>
      </c>
      <c r="AS58" s="1">
        <v>2.4043023591271538E-6</v>
      </c>
      <c r="AT58" s="1">
        <v>2.4043023591271538E-6</v>
      </c>
      <c r="AU58" s="1">
        <v>2.4043023591271538E-6</v>
      </c>
      <c r="AV58" s="1">
        <v>2.4043023591271538E-6</v>
      </c>
      <c r="AW58" s="1">
        <v>2.4043023591271538E-6</v>
      </c>
      <c r="AX58" s="1">
        <v>2.4043023591271538E-6</v>
      </c>
      <c r="AY58" s="1">
        <v>2.4043023591271538E-6</v>
      </c>
      <c r="AZ58" s="1">
        <v>2.4043023591271538E-6</v>
      </c>
      <c r="BA58" s="1">
        <v>2.4043023591271538E-6</v>
      </c>
      <c r="BB58" s="1">
        <v>2.4043023591271538E-6</v>
      </c>
      <c r="BC58" s="1">
        <v>2.4043023591271538E-6</v>
      </c>
      <c r="BD58" s="1">
        <v>2.4043023591271538E-6</v>
      </c>
      <c r="BE58" s="1">
        <v>2.4043023591271538E-6</v>
      </c>
      <c r="BF58" s="1">
        <v>2.4043023591271538E-6</v>
      </c>
      <c r="BG58" s="1">
        <v>2.4043023591271538E-6</v>
      </c>
      <c r="BH58" s="1">
        <v>2.4043023591271538E-6</v>
      </c>
      <c r="BI58" s="1">
        <v>2.4043023591271538E-6</v>
      </c>
      <c r="BJ58" s="1">
        <v>2.4043023591271538E-6</v>
      </c>
      <c r="BK58" s="1">
        <v>2.4043023591271538E-6</v>
      </c>
      <c r="BL58" s="1">
        <v>2.4043023591271538E-6</v>
      </c>
      <c r="BM58" s="1">
        <v>2.4043023591271538E-6</v>
      </c>
      <c r="BN58" s="1">
        <v>2.4043023591271538E-6</v>
      </c>
      <c r="BO58" s="1">
        <v>2.4043023591271538E-6</v>
      </c>
      <c r="BP58" s="1">
        <v>2.4043023591271538E-6</v>
      </c>
      <c r="BQ58" s="1">
        <v>2.4043023591271538E-6</v>
      </c>
      <c r="BR58" s="1">
        <v>2.4043023591271538E-6</v>
      </c>
      <c r="BS58" s="1">
        <v>2.4043023591271538E-6</v>
      </c>
      <c r="BT58" s="1">
        <v>2.4043023591271538E-6</v>
      </c>
      <c r="BU58" s="1">
        <v>2.4043023591271538E-6</v>
      </c>
      <c r="BV58" s="1">
        <v>2.4043023591271538E-6</v>
      </c>
      <c r="BW58" s="1">
        <v>2.4043023591271538E-6</v>
      </c>
      <c r="BX58" s="1">
        <v>2.4043023591271538E-6</v>
      </c>
      <c r="BY58" s="1">
        <v>2.4043023591271538E-6</v>
      </c>
      <c r="BZ58" s="1">
        <v>2.4043023591271538E-6</v>
      </c>
      <c r="CA58" s="1">
        <v>2.4043023591271538E-6</v>
      </c>
      <c r="CB58" s="1">
        <v>2.4043023591271538E-6</v>
      </c>
      <c r="CC58" s="1">
        <v>2.4043023591271538E-6</v>
      </c>
    </row>
    <row r="59" spans="1:81" x14ac:dyDescent="0.75">
      <c r="A59" t="s">
        <v>57</v>
      </c>
      <c r="B59">
        <v>2.9702119436864348E-6</v>
      </c>
      <c r="C59">
        <v>4.4818279814117035E-6</v>
      </c>
      <c r="D59">
        <v>3.6097586503872587E-6</v>
      </c>
      <c r="E59" s="1">
        <v>3.608126122919361E-6</v>
      </c>
      <c r="F59" s="1">
        <v>3.4933517300010562E-6</v>
      </c>
      <c r="G59" s="1">
        <v>3.3785773370827513E-6</v>
      </c>
      <c r="H59" s="1">
        <v>3.2638029441644464E-6</v>
      </c>
      <c r="I59" s="1">
        <v>3.1490285512461424E-6</v>
      </c>
      <c r="J59" s="1">
        <v>3.0533500455988978E-6</v>
      </c>
      <c r="K59" s="1">
        <v>2.9711428562731248E-6</v>
      </c>
      <c r="L59" s="1">
        <v>2.9240318693895532E-6</v>
      </c>
      <c r="M59" s="1">
        <v>3.0096205605833274E-6</v>
      </c>
      <c r="N59" s="1">
        <v>2.9789748303098181E-6</v>
      </c>
      <c r="O59" s="1">
        <v>2.9436745872132339E-6</v>
      </c>
      <c r="P59" s="1">
        <v>2.8555973701593919E-6</v>
      </c>
      <c r="Q59" s="1">
        <v>2.8124959682812509E-6</v>
      </c>
      <c r="R59" s="1">
        <v>2.7864482546124951E-6</v>
      </c>
      <c r="S59" s="1">
        <v>2.7622192902337018E-6</v>
      </c>
      <c r="T59" s="1">
        <v>2.7356104372938232E-6</v>
      </c>
      <c r="U59" s="1">
        <v>2.7160494441392697E-6</v>
      </c>
      <c r="V59" s="1">
        <v>2.6880982436501895E-6</v>
      </c>
      <c r="W59" s="1">
        <v>2.6724540274880748E-6</v>
      </c>
      <c r="X59" s="1">
        <v>2.6468426477712807E-6</v>
      </c>
      <c r="Y59" s="1">
        <v>2.6180373611769503E-6</v>
      </c>
      <c r="Z59" s="1">
        <v>2.6052148511813081E-6</v>
      </c>
      <c r="AA59" s="1">
        <v>2.5823389792028888E-6</v>
      </c>
      <c r="AB59" s="1">
        <v>2.5555891370735458E-6</v>
      </c>
      <c r="AC59" s="1">
        <v>2.5348497985419997E-6</v>
      </c>
      <c r="AD59" s="1">
        <v>2.5048729023908702E-6</v>
      </c>
      <c r="AE59" s="1">
        <v>2.4817931331897647E-6</v>
      </c>
      <c r="AF59" s="1">
        <v>2.4817931331897647E-6</v>
      </c>
      <c r="AG59" s="1">
        <v>2.4817931331897647E-6</v>
      </c>
      <c r="AH59" s="1">
        <v>2.4817931331897647E-6</v>
      </c>
      <c r="AI59" s="1">
        <v>2.4817931331897647E-6</v>
      </c>
      <c r="AJ59" s="1">
        <v>2.4817931331897647E-6</v>
      </c>
      <c r="AK59" s="1">
        <v>2.4817931331897647E-6</v>
      </c>
      <c r="AL59" s="1">
        <v>2.4817931331897647E-6</v>
      </c>
      <c r="AM59" s="1">
        <v>2.4817931331897647E-6</v>
      </c>
      <c r="AN59" s="1">
        <v>2.4817931331897647E-6</v>
      </c>
      <c r="AO59" s="1">
        <v>2.4817931331897647E-6</v>
      </c>
      <c r="AP59" s="1">
        <v>2.4817931331897647E-6</v>
      </c>
      <c r="AQ59" s="1">
        <v>2.4817931331897647E-6</v>
      </c>
      <c r="AR59" s="1">
        <v>2.4817931331897647E-6</v>
      </c>
      <c r="AS59" s="1">
        <v>2.4817931331897647E-6</v>
      </c>
      <c r="AT59" s="1">
        <v>2.4817931331897647E-6</v>
      </c>
      <c r="AU59" s="1">
        <v>2.4817931331897647E-6</v>
      </c>
      <c r="AV59" s="1">
        <v>2.4817931331897647E-6</v>
      </c>
      <c r="AW59" s="1">
        <v>2.4817931331897647E-6</v>
      </c>
      <c r="AX59" s="1">
        <v>2.4817931331897647E-6</v>
      </c>
      <c r="AY59" s="1">
        <v>2.4817931331897647E-6</v>
      </c>
      <c r="AZ59" s="1">
        <v>2.4817931331897647E-6</v>
      </c>
      <c r="BA59" s="1">
        <v>2.4817931331897647E-6</v>
      </c>
      <c r="BB59" s="1">
        <v>2.4817931331897647E-6</v>
      </c>
      <c r="BC59" s="1">
        <v>2.4817931331897647E-6</v>
      </c>
      <c r="BD59" s="1">
        <v>2.4817931331897647E-6</v>
      </c>
      <c r="BE59" s="1">
        <v>2.4817931331897647E-6</v>
      </c>
      <c r="BF59" s="1">
        <v>2.4817931331897647E-6</v>
      </c>
      <c r="BG59" s="1">
        <v>2.4817931331897647E-6</v>
      </c>
      <c r="BH59" s="1">
        <v>2.4817931331897647E-6</v>
      </c>
      <c r="BI59" s="1">
        <v>2.4817931331897647E-6</v>
      </c>
      <c r="BJ59" s="1">
        <v>2.4817931331897647E-6</v>
      </c>
      <c r="BK59" s="1">
        <v>2.4817931331897647E-6</v>
      </c>
      <c r="BL59" s="1">
        <v>2.4817931331897647E-6</v>
      </c>
      <c r="BM59" s="1">
        <v>2.4817931331897647E-6</v>
      </c>
      <c r="BN59" s="1">
        <v>2.4817931331897647E-6</v>
      </c>
      <c r="BO59" s="1">
        <v>2.4817931331897647E-6</v>
      </c>
      <c r="BP59" s="1">
        <v>2.4817931331897647E-6</v>
      </c>
      <c r="BQ59" s="1">
        <v>2.4817931331897647E-6</v>
      </c>
      <c r="BR59" s="1">
        <v>2.4817931331897647E-6</v>
      </c>
      <c r="BS59" s="1">
        <v>2.4817931331897647E-6</v>
      </c>
      <c r="BT59" s="1">
        <v>2.4817931331897647E-6</v>
      </c>
      <c r="BU59" s="1">
        <v>2.4817931331897647E-6</v>
      </c>
      <c r="BV59" s="1">
        <v>2.4817931331897647E-6</v>
      </c>
      <c r="BW59" s="1">
        <v>2.4817931331897647E-6</v>
      </c>
      <c r="BX59" s="1">
        <v>2.4817931331897647E-6</v>
      </c>
      <c r="BY59" s="1">
        <v>2.4817931331897647E-6</v>
      </c>
      <c r="BZ59" s="1">
        <v>2.4817931331897647E-6</v>
      </c>
      <c r="CA59" s="1">
        <v>2.4817931331897647E-6</v>
      </c>
      <c r="CB59" s="1">
        <v>2.4817931331897647E-6</v>
      </c>
      <c r="CC59" s="1">
        <v>2.4817931331897647E-6</v>
      </c>
    </row>
    <row r="60" spans="1:81" x14ac:dyDescent="0.75">
      <c r="A60" t="s">
        <v>58</v>
      </c>
      <c r="B60">
        <v>0</v>
      </c>
      <c r="C60">
        <v>0</v>
      </c>
      <c r="D60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</row>
    <row r="61" spans="1:81" x14ac:dyDescent="0.75">
      <c r="A61" t="s">
        <v>59</v>
      </c>
      <c r="B61">
        <v>2.9641379013124517E-6</v>
      </c>
      <c r="C61">
        <v>4.4726627051323914E-6</v>
      </c>
      <c r="D61">
        <v>3.5983516209491165E-6</v>
      </c>
      <c r="E61" s="1">
        <v>3.4366249542772986E-6</v>
      </c>
      <c r="F61" s="1">
        <v>3.4607632083094791E-6</v>
      </c>
      <c r="G61" s="1">
        <v>3.3634234306063091E-6</v>
      </c>
      <c r="H61" s="1">
        <v>3.2581154228959462E-6</v>
      </c>
      <c r="I61" s="1">
        <v>3.1412537938357588E-6</v>
      </c>
      <c r="J61" s="1">
        <v>3.0301537643931023E-6</v>
      </c>
      <c r="K61" s="1">
        <v>2.9334887236200368E-6</v>
      </c>
      <c r="L61" s="1">
        <v>2.9042525066500048E-6</v>
      </c>
      <c r="M61" s="1">
        <v>2.8830114214142728E-6</v>
      </c>
      <c r="N61" s="1">
        <v>2.8548707484456322E-6</v>
      </c>
      <c r="O61" s="1">
        <v>2.8245263309409734E-6</v>
      </c>
      <c r="P61" s="1">
        <v>2.745122347780031E-6</v>
      </c>
      <c r="Q61" s="1">
        <v>2.7098626713598712E-6</v>
      </c>
      <c r="R61" s="1">
        <v>2.6866287290301736E-6</v>
      </c>
      <c r="S61" s="1">
        <v>2.6654512131773294E-6</v>
      </c>
      <c r="T61" s="1">
        <v>2.6425893129147521E-6</v>
      </c>
      <c r="U61" s="1">
        <v>2.6202373074342537E-6</v>
      </c>
      <c r="V61" s="1">
        <v>2.5990404169652623E-6</v>
      </c>
      <c r="W61" s="1">
        <v>2.5818123273541575E-6</v>
      </c>
      <c r="X61" s="1">
        <v>2.5597520345616564E-6</v>
      </c>
      <c r="Y61" s="1">
        <v>2.5400392138259508E-6</v>
      </c>
      <c r="Z61" s="1">
        <v>2.5252842862968454E-6</v>
      </c>
      <c r="AA61" s="1">
        <v>2.4915689503307005E-6</v>
      </c>
      <c r="AB61" s="1">
        <v>2.4715311179454307E-6</v>
      </c>
      <c r="AC61" s="1">
        <v>2.4514436767378555E-6</v>
      </c>
      <c r="AD61" s="1">
        <v>2.4240826894242805E-6</v>
      </c>
      <c r="AE61" s="1">
        <v>2.4043023591271538E-6</v>
      </c>
      <c r="AF61" s="1">
        <v>2.4043023591271538E-6</v>
      </c>
      <c r="AG61" s="1">
        <v>2.4043023591271538E-6</v>
      </c>
      <c r="AH61" s="1">
        <v>2.4043023591271538E-6</v>
      </c>
      <c r="AI61" s="1">
        <v>2.4043023591271538E-6</v>
      </c>
      <c r="AJ61" s="1">
        <v>2.4043023591271538E-6</v>
      </c>
      <c r="AK61" s="1">
        <v>2.4043023591271538E-6</v>
      </c>
      <c r="AL61" s="1">
        <v>2.4043023591271538E-6</v>
      </c>
      <c r="AM61" s="1">
        <v>2.4043023591271538E-6</v>
      </c>
      <c r="AN61" s="1">
        <v>2.4043023591271538E-6</v>
      </c>
      <c r="AO61" s="1">
        <v>2.4043023591271538E-6</v>
      </c>
      <c r="AP61" s="1">
        <v>2.4043023591271538E-6</v>
      </c>
      <c r="AQ61" s="1">
        <v>2.4043023591271538E-6</v>
      </c>
      <c r="AR61" s="1">
        <v>2.4043023591271538E-6</v>
      </c>
      <c r="AS61" s="1">
        <v>2.4043023591271538E-6</v>
      </c>
      <c r="AT61" s="1">
        <v>2.4043023591271538E-6</v>
      </c>
      <c r="AU61" s="1">
        <v>2.4043023591271538E-6</v>
      </c>
      <c r="AV61" s="1">
        <v>2.4043023591271538E-6</v>
      </c>
      <c r="AW61" s="1">
        <v>2.4043023591271538E-6</v>
      </c>
      <c r="AX61" s="1">
        <v>2.4043023591271538E-6</v>
      </c>
      <c r="AY61" s="1">
        <v>2.4043023591271538E-6</v>
      </c>
      <c r="AZ61" s="1">
        <v>2.4043023591271538E-6</v>
      </c>
      <c r="BA61" s="1">
        <v>2.4043023591271538E-6</v>
      </c>
      <c r="BB61" s="1">
        <v>2.4043023591271538E-6</v>
      </c>
      <c r="BC61" s="1">
        <v>2.4043023591271538E-6</v>
      </c>
      <c r="BD61" s="1">
        <v>2.4043023591271538E-6</v>
      </c>
      <c r="BE61" s="1">
        <v>2.4043023591271538E-6</v>
      </c>
      <c r="BF61" s="1">
        <v>2.4043023591271538E-6</v>
      </c>
      <c r="BG61" s="1">
        <v>2.4043023591271538E-6</v>
      </c>
      <c r="BH61" s="1">
        <v>2.4043023591271538E-6</v>
      </c>
      <c r="BI61" s="1">
        <v>2.4043023591271538E-6</v>
      </c>
      <c r="BJ61" s="1">
        <v>2.4043023591271538E-6</v>
      </c>
      <c r="BK61" s="1">
        <v>2.4043023591271538E-6</v>
      </c>
      <c r="BL61" s="1">
        <v>2.4043023591271538E-6</v>
      </c>
      <c r="BM61" s="1">
        <v>2.4043023591271538E-6</v>
      </c>
      <c r="BN61" s="1">
        <v>2.4043023591271538E-6</v>
      </c>
      <c r="BO61" s="1">
        <v>2.4043023591271538E-6</v>
      </c>
      <c r="BP61" s="1">
        <v>2.4043023591271538E-6</v>
      </c>
      <c r="BQ61" s="1">
        <v>2.4043023591271538E-6</v>
      </c>
      <c r="BR61" s="1">
        <v>2.4043023591271538E-6</v>
      </c>
      <c r="BS61" s="1">
        <v>2.4043023591271538E-6</v>
      </c>
      <c r="BT61" s="1">
        <v>2.4043023591271538E-6</v>
      </c>
      <c r="BU61" s="1">
        <v>2.4043023591271538E-6</v>
      </c>
      <c r="BV61" s="1">
        <v>2.4043023591271538E-6</v>
      </c>
      <c r="BW61" s="1">
        <v>2.4043023591271538E-6</v>
      </c>
      <c r="BX61" s="1">
        <v>2.4043023591271538E-6</v>
      </c>
      <c r="BY61" s="1">
        <v>2.4043023591271538E-6</v>
      </c>
      <c r="BZ61" s="1">
        <v>2.4043023591271538E-6</v>
      </c>
      <c r="CA61" s="1">
        <v>2.4043023591271538E-6</v>
      </c>
      <c r="CB61" s="1">
        <v>2.4043023591271538E-6</v>
      </c>
      <c r="CC61" s="1">
        <v>2.4043023591271538E-6</v>
      </c>
    </row>
    <row r="62" spans="1:81" s="3" customFormat="1" x14ac:dyDescent="0.75">
      <c r="A62" s="5" t="s">
        <v>36</v>
      </c>
    </row>
    <row r="63" spans="1:81" x14ac:dyDescent="0.75">
      <c r="A63" t="s">
        <v>30</v>
      </c>
      <c r="B63">
        <v>2021</v>
      </c>
      <c r="C63">
        <v>2022</v>
      </c>
      <c r="D63">
        <v>2023</v>
      </c>
      <c r="E63">
        <v>2024</v>
      </c>
      <c r="F63">
        <v>2025</v>
      </c>
      <c r="G63">
        <v>2026</v>
      </c>
      <c r="H63">
        <v>2027</v>
      </c>
      <c r="I63">
        <v>2028</v>
      </c>
      <c r="J63">
        <v>2029</v>
      </c>
      <c r="K63">
        <v>2030</v>
      </c>
      <c r="L63">
        <v>2031</v>
      </c>
      <c r="M63">
        <v>2032</v>
      </c>
      <c r="N63">
        <v>2033</v>
      </c>
      <c r="O63">
        <v>2034</v>
      </c>
      <c r="P63">
        <v>2035</v>
      </c>
      <c r="Q63">
        <v>2036</v>
      </c>
      <c r="R63">
        <v>2037</v>
      </c>
      <c r="S63">
        <v>2038</v>
      </c>
      <c r="T63">
        <v>2039</v>
      </c>
      <c r="U63">
        <v>2040</v>
      </c>
      <c r="V63">
        <v>2041</v>
      </c>
      <c r="W63">
        <v>2042</v>
      </c>
      <c r="X63">
        <v>2043</v>
      </c>
      <c r="Y63">
        <v>2044</v>
      </c>
      <c r="Z63">
        <v>2045</v>
      </c>
      <c r="AA63">
        <v>2046</v>
      </c>
      <c r="AB63">
        <v>2047</v>
      </c>
      <c r="AC63">
        <v>2048</v>
      </c>
      <c r="AD63">
        <v>2049</v>
      </c>
      <c r="AE63">
        <v>2050</v>
      </c>
    </row>
    <row r="64" spans="1:81" x14ac:dyDescent="0.75">
      <c r="A64" t="s">
        <v>52</v>
      </c>
      <c r="B64">
        <v>4.6649161216986992E-6</v>
      </c>
      <c r="C64">
        <v>4.4396472811621226E-6</v>
      </c>
      <c r="D64">
        <v>4.486032805514344E-6</v>
      </c>
      <c r="E64" s="1">
        <v>3.9561467632056685E-6</v>
      </c>
      <c r="F64" s="1">
        <v>4.2108793169753158E-6</v>
      </c>
      <c r="G64" s="1">
        <v>4.6517333042120805E-6</v>
      </c>
      <c r="H64" s="1">
        <v>4.6949226566580402E-6</v>
      </c>
      <c r="I64" s="1">
        <v>4.626024752344359E-6</v>
      </c>
      <c r="J64" s="1">
        <v>4.548176185407601E-6</v>
      </c>
      <c r="K64" s="1">
        <v>4.4995577472328242E-6</v>
      </c>
      <c r="L64" s="1">
        <v>4.4535784196936672E-6</v>
      </c>
      <c r="M64" s="1">
        <v>4.4274925390384516E-6</v>
      </c>
      <c r="N64" s="1">
        <v>4.3762871734445821E-6</v>
      </c>
      <c r="O64" s="1">
        <v>4.3281397629264357E-6</v>
      </c>
      <c r="P64" s="1">
        <v>4.2514609944716038E-6</v>
      </c>
      <c r="Q64" s="1">
        <v>4.2062777631678783E-6</v>
      </c>
      <c r="R64" s="1">
        <v>4.1552384150968385E-6</v>
      </c>
      <c r="S64" s="1">
        <v>4.1402800628319489E-6</v>
      </c>
      <c r="T64" s="1">
        <v>4.0829236561957855E-6</v>
      </c>
      <c r="U64" s="1">
        <v>4.0426153057758678E-6</v>
      </c>
      <c r="V64" s="1">
        <v>4.0078225828222682E-6</v>
      </c>
      <c r="W64" s="1">
        <v>3.9803948236716908E-6</v>
      </c>
      <c r="X64" s="1">
        <v>3.9467511235175497E-6</v>
      </c>
      <c r="Y64" s="1">
        <v>3.9166789536830892E-6</v>
      </c>
      <c r="Z64" s="1">
        <v>3.8852804194458613E-6</v>
      </c>
      <c r="AA64" s="1">
        <v>3.8514894356453292E-6</v>
      </c>
      <c r="AB64" s="1">
        <v>3.8259006853867399E-6</v>
      </c>
      <c r="AC64" s="1">
        <v>3.7985740902998049E-6</v>
      </c>
      <c r="AD64" s="1">
        <v>3.7645776665955188E-6</v>
      </c>
      <c r="AE64" s="1">
        <v>3.7411800545909975E-6</v>
      </c>
      <c r="AF64" s="1">
        <v>3.7411800545909975E-6</v>
      </c>
      <c r="AG64" s="1">
        <v>3.7411800545909975E-6</v>
      </c>
      <c r="AH64" s="1">
        <v>3.7411800545909975E-6</v>
      </c>
      <c r="AI64" s="1">
        <v>3.7411800545909975E-6</v>
      </c>
      <c r="AJ64" s="1">
        <v>3.7411800545909975E-6</v>
      </c>
      <c r="AK64" s="1">
        <v>3.7411800545909975E-6</v>
      </c>
      <c r="AL64" s="1">
        <v>3.7411800545909975E-6</v>
      </c>
      <c r="AM64" s="1">
        <v>3.7411800545909975E-6</v>
      </c>
      <c r="AN64" s="1">
        <v>3.7411800545909975E-6</v>
      </c>
      <c r="AO64" s="1">
        <v>3.7411800545909975E-6</v>
      </c>
      <c r="AP64" s="1">
        <v>3.7411800545909975E-6</v>
      </c>
      <c r="AQ64" s="1">
        <v>3.7411800545909975E-6</v>
      </c>
      <c r="AR64" s="1">
        <v>3.7411800545909975E-6</v>
      </c>
      <c r="AS64" s="1">
        <v>3.7411800545909975E-6</v>
      </c>
      <c r="AT64" s="1">
        <v>3.7411800545909975E-6</v>
      </c>
      <c r="AU64" s="1">
        <v>3.7411800545909975E-6</v>
      </c>
      <c r="AV64" s="1">
        <v>3.7411800545909975E-6</v>
      </c>
      <c r="AW64" s="1">
        <v>3.7411800545909975E-6</v>
      </c>
      <c r="AX64" s="1">
        <v>3.7411800545909975E-6</v>
      </c>
      <c r="AY64" s="1">
        <v>3.7411800545909975E-6</v>
      </c>
      <c r="AZ64" s="1">
        <v>3.7411800545909975E-6</v>
      </c>
      <c r="BA64" s="1">
        <v>3.7411800545909975E-6</v>
      </c>
      <c r="BB64" s="1">
        <v>3.7411800545909975E-6</v>
      </c>
      <c r="BC64" s="1">
        <v>3.7411800545909975E-6</v>
      </c>
      <c r="BD64" s="1">
        <v>3.7411800545909975E-6</v>
      </c>
      <c r="BE64" s="1">
        <v>3.7411800545909975E-6</v>
      </c>
      <c r="BF64" s="1">
        <v>3.7411800545909975E-6</v>
      </c>
      <c r="BG64" s="1">
        <v>3.7411800545909975E-6</v>
      </c>
      <c r="BH64" s="1">
        <v>3.7411800545909975E-6</v>
      </c>
      <c r="BI64" s="1">
        <v>3.7411800545909975E-6</v>
      </c>
      <c r="BJ64" s="1">
        <v>3.7411800545909975E-6</v>
      </c>
      <c r="BK64" s="1">
        <v>3.7411800545909975E-6</v>
      </c>
      <c r="BL64" s="1">
        <v>3.7411800545909975E-6</v>
      </c>
      <c r="BM64" s="1">
        <v>3.7411800545909975E-6</v>
      </c>
      <c r="BN64" s="1">
        <v>3.7411800545909975E-6</v>
      </c>
      <c r="BO64" s="1">
        <v>3.7411800545909975E-6</v>
      </c>
      <c r="BP64" s="1">
        <v>3.7411800545909975E-6</v>
      </c>
      <c r="BQ64" s="1">
        <v>3.7411800545909975E-6</v>
      </c>
      <c r="BR64" s="1">
        <v>3.7411800545909975E-6</v>
      </c>
      <c r="BS64" s="1">
        <v>3.7411800545909975E-6</v>
      </c>
      <c r="BT64" s="1">
        <v>3.7411800545909975E-6</v>
      </c>
      <c r="BU64" s="1">
        <v>3.7411800545909975E-6</v>
      </c>
      <c r="BV64" s="1">
        <v>3.7411800545909975E-6</v>
      </c>
      <c r="BW64" s="1">
        <v>3.7411800545909975E-6</v>
      </c>
      <c r="BX64" s="1">
        <v>3.7411800545909975E-6</v>
      </c>
      <c r="BY64" s="1">
        <v>3.7411800545909975E-6</v>
      </c>
      <c r="BZ64" s="1">
        <v>3.7411800545909975E-6</v>
      </c>
      <c r="CA64" s="1">
        <v>3.7411800545909975E-6</v>
      </c>
      <c r="CB64" s="1">
        <v>3.7411800545909975E-6</v>
      </c>
      <c r="CC64" s="1">
        <v>3.7411800545909975E-6</v>
      </c>
    </row>
    <row r="65" spans="1:81" x14ac:dyDescent="0.75">
      <c r="A65" t="s">
        <v>53</v>
      </c>
      <c r="B65">
        <v>0</v>
      </c>
      <c r="C65">
        <v>0</v>
      </c>
      <c r="D65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</row>
    <row r="66" spans="1:81" x14ac:dyDescent="0.75">
      <c r="A66" t="s">
        <v>54</v>
      </c>
      <c r="B66">
        <v>0</v>
      </c>
      <c r="C66">
        <v>0</v>
      </c>
      <c r="D66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</row>
    <row r="67" spans="1:81" x14ac:dyDescent="0.75">
      <c r="A67" t="s">
        <v>55</v>
      </c>
      <c r="B67">
        <v>0</v>
      </c>
      <c r="C67">
        <v>0</v>
      </c>
      <c r="D67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</row>
    <row r="68" spans="1:81" x14ac:dyDescent="0.75">
      <c r="A68" t="s">
        <v>56</v>
      </c>
      <c r="B68">
        <v>0</v>
      </c>
      <c r="C68">
        <v>0</v>
      </c>
      <c r="D68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</row>
    <row r="69" spans="1:81" x14ac:dyDescent="0.75">
      <c r="A69" t="s">
        <v>57</v>
      </c>
      <c r="B69">
        <v>0</v>
      </c>
      <c r="C69">
        <v>0</v>
      </c>
      <c r="D69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</row>
    <row r="70" spans="1:81" x14ac:dyDescent="0.75">
      <c r="A70" t="s">
        <v>58</v>
      </c>
      <c r="B70">
        <v>0</v>
      </c>
      <c r="C70">
        <v>0</v>
      </c>
      <c r="D70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</row>
    <row r="71" spans="1:81" x14ac:dyDescent="0.75">
      <c r="A71" t="s">
        <v>59</v>
      </c>
      <c r="B71">
        <v>0</v>
      </c>
      <c r="C71">
        <v>0</v>
      </c>
      <c r="D7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</row>
    <row r="72" spans="1:81" s="3" customFormat="1" x14ac:dyDescent="0.75">
      <c r="A72" s="5" t="s">
        <v>37</v>
      </c>
    </row>
    <row r="73" spans="1:81" x14ac:dyDescent="0.75">
      <c r="A73" t="s">
        <v>30</v>
      </c>
      <c r="B73">
        <v>2021</v>
      </c>
      <c r="C73">
        <v>2022</v>
      </c>
      <c r="D73">
        <v>2023</v>
      </c>
      <c r="E73">
        <v>2024</v>
      </c>
      <c r="F73">
        <v>2025</v>
      </c>
      <c r="G73">
        <v>2026</v>
      </c>
      <c r="H73">
        <v>2027</v>
      </c>
      <c r="I73">
        <v>2028</v>
      </c>
      <c r="J73">
        <v>2029</v>
      </c>
      <c r="K73">
        <v>2030</v>
      </c>
      <c r="L73">
        <v>2031</v>
      </c>
      <c r="M73">
        <v>2032</v>
      </c>
      <c r="N73">
        <v>2033</v>
      </c>
      <c r="O73">
        <v>2034</v>
      </c>
      <c r="P73">
        <v>2035</v>
      </c>
      <c r="Q73">
        <v>2036</v>
      </c>
      <c r="R73">
        <v>2037</v>
      </c>
      <c r="S73">
        <v>2038</v>
      </c>
      <c r="T73">
        <v>2039</v>
      </c>
      <c r="U73">
        <v>2040</v>
      </c>
      <c r="V73">
        <v>2041</v>
      </c>
      <c r="W73">
        <v>2042</v>
      </c>
      <c r="X73">
        <v>2043</v>
      </c>
      <c r="Y73">
        <v>2044</v>
      </c>
      <c r="Z73">
        <v>2045</v>
      </c>
      <c r="AA73">
        <v>2046</v>
      </c>
      <c r="AB73">
        <v>2047</v>
      </c>
      <c r="AC73">
        <v>2048</v>
      </c>
      <c r="AD73">
        <v>2049</v>
      </c>
      <c r="AE73">
        <v>2050</v>
      </c>
    </row>
    <row r="74" spans="1:81" x14ac:dyDescent="0.75">
      <c r="A74" t="s">
        <v>52</v>
      </c>
      <c r="B74">
        <v>3.6523460529341837E-6</v>
      </c>
      <c r="C74">
        <v>1.8710237478285657E-6</v>
      </c>
      <c r="D74">
        <v>2.0231328153756967E-6</v>
      </c>
      <c r="E74" s="1">
        <v>3.2241165292492169E-6</v>
      </c>
      <c r="F74" s="1">
        <v>3.1442356079381237E-6</v>
      </c>
      <c r="G74" s="1">
        <v>2.7146222051673278E-6</v>
      </c>
      <c r="H74" s="1">
        <v>2.305954826744582E-6</v>
      </c>
      <c r="I74" s="1">
        <v>1.9485190474911713E-6</v>
      </c>
      <c r="J74" s="1">
        <v>1.6761902447527267E-6</v>
      </c>
      <c r="K74" s="1">
        <v>1.4743971896648881E-6</v>
      </c>
      <c r="L74" s="1">
        <v>1.3172115176981618E-6</v>
      </c>
      <c r="M74" s="1">
        <v>1.1946109641050754E-6</v>
      </c>
      <c r="N74" s="1">
        <v>1.0720378917939869E-6</v>
      </c>
      <c r="O74" s="1">
        <v>9.7121979886097865E-7</v>
      </c>
      <c r="P74" s="1">
        <v>8.9885824737906412E-7</v>
      </c>
      <c r="Q74" s="1">
        <v>8.5196371968142811E-7</v>
      </c>
      <c r="R74" s="1">
        <v>8.1013596097147456E-7</v>
      </c>
      <c r="S74" s="1">
        <v>7.7963191072036176E-7</v>
      </c>
      <c r="T74" s="1">
        <v>7.5586525704825611E-7</v>
      </c>
      <c r="U74" s="1">
        <v>7.394354832057131E-7</v>
      </c>
      <c r="V74" s="1">
        <v>7.2952924065611462E-7</v>
      </c>
      <c r="W74" s="1">
        <v>7.2229303780096737E-7</v>
      </c>
      <c r="X74" s="1">
        <v>7.1335221322666824E-7</v>
      </c>
      <c r="Y74" s="1">
        <v>7.11705692858713E-7</v>
      </c>
      <c r="Z74" s="1">
        <v>7.1489298776099759E-7</v>
      </c>
      <c r="AA74" s="1">
        <v>7.254130307167558E-7</v>
      </c>
      <c r="AB74" s="1">
        <v>7.5117934307998281E-7</v>
      </c>
      <c r="AC74" s="1">
        <v>7.7809252466124432E-7</v>
      </c>
      <c r="AD74" s="1">
        <v>8.1026397309317391E-7</v>
      </c>
      <c r="AE74" s="1">
        <v>8.5348526794841642E-7</v>
      </c>
      <c r="AF74" s="1">
        <v>8.5348526794841642E-7</v>
      </c>
      <c r="AG74" s="1">
        <v>8.5348526794841642E-7</v>
      </c>
      <c r="AH74" s="1">
        <v>8.5348526794841642E-7</v>
      </c>
      <c r="AI74" s="1">
        <v>8.5348526794841642E-7</v>
      </c>
      <c r="AJ74" s="1">
        <v>8.5348526794841642E-7</v>
      </c>
      <c r="AK74" s="1">
        <v>8.5348526794841642E-7</v>
      </c>
      <c r="AL74" s="1">
        <v>8.5348526794841642E-7</v>
      </c>
      <c r="AM74" s="1">
        <v>8.5348526794841642E-7</v>
      </c>
      <c r="AN74" s="1">
        <v>8.5348526794841642E-7</v>
      </c>
      <c r="AO74" s="1">
        <v>8.5348526794841642E-7</v>
      </c>
      <c r="AP74" s="1">
        <v>8.5348526794841642E-7</v>
      </c>
      <c r="AQ74" s="1">
        <v>8.5348526794841642E-7</v>
      </c>
      <c r="AR74" s="1">
        <v>8.5348526794841642E-7</v>
      </c>
      <c r="AS74" s="1">
        <v>8.5348526794841642E-7</v>
      </c>
      <c r="AT74" s="1">
        <v>8.5348526794841642E-7</v>
      </c>
      <c r="AU74" s="1">
        <v>8.5348526794841642E-7</v>
      </c>
      <c r="AV74" s="1">
        <v>8.5348526794841642E-7</v>
      </c>
      <c r="AW74" s="1">
        <v>8.5348526794841642E-7</v>
      </c>
      <c r="AX74" s="1">
        <v>8.5348526794841642E-7</v>
      </c>
      <c r="AY74" s="1">
        <v>8.5348526794841642E-7</v>
      </c>
      <c r="AZ74" s="1">
        <v>8.5348526794841642E-7</v>
      </c>
      <c r="BA74" s="1">
        <v>8.5348526794841642E-7</v>
      </c>
      <c r="BB74" s="1">
        <v>8.5348526794841642E-7</v>
      </c>
      <c r="BC74" s="1">
        <v>8.5348526794841642E-7</v>
      </c>
      <c r="BD74" s="1">
        <v>8.5348526794841642E-7</v>
      </c>
      <c r="BE74" s="1">
        <v>8.5348526794841642E-7</v>
      </c>
      <c r="BF74" s="1">
        <v>8.5348526794841642E-7</v>
      </c>
      <c r="BG74" s="1">
        <v>8.5348526794841642E-7</v>
      </c>
      <c r="BH74" s="1">
        <v>8.5348526794841642E-7</v>
      </c>
      <c r="BI74" s="1">
        <v>8.5348526794841642E-7</v>
      </c>
      <c r="BJ74" s="1">
        <v>8.5348526794841642E-7</v>
      </c>
      <c r="BK74" s="1">
        <v>8.5348526794841642E-7</v>
      </c>
      <c r="BL74" s="1">
        <v>8.5348526794841642E-7</v>
      </c>
      <c r="BM74" s="1">
        <v>8.5348526794841642E-7</v>
      </c>
      <c r="BN74" s="1">
        <v>8.5348526794841642E-7</v>
      </c>
      <c r="BO74" s="1">
        <v>8.5348526794841642E-7</v>
      </c>
      <c r="BP74" s="1">
        <v>8.5348526794841642E-7</v>
      </c>
      <c r="BQ74" s="1">
        <v>8.5348526794841642E-7</v>
      </c>
      <c r="BR74" s="1">
        <v>8.5348526794841642E-7</v>
      </c>
      <c r="BS74" s="1">
        <v>8.5348526794841642E-7</v>
      </c>
      <c r="BT74" s="1">
        <v>8.5348526794841642E-7</v>
      </c>
      <c r="BU74" s="1">
        <v>8.5348526794841642E-7</v>
      </c>
      <c r="BV74" s="1">
        <v>8.5348526794841642E-7</v>
      </c>
      <c r="BW74" s="1">
        <v>8.5348526794841642E-7</v>
      </c>
      <c r="BX74" s="1">
        <v>8.5348526794841642E-7</v>
      </c>
      <c r="BY74" s="1">
        <v>8.5348526794841642E-7</v>
      </c>
      <c r="BZ74" s="1">
        <v>8.5348526794841642E-7</v>
      </c>
      <c r="CA74" s="1">
        <v>8.5348526794841642E-7</v>
      </c>
      <c r="CB74" s="1">
        <v>8.5348526794841642E-7</v>
      </c>
      <c r="CC74" s="1">
        <v>8.5348526794841642E-7</v>
      </c>
    </row>
    <row r="75" spans="1:81" x14ac:dyDescent="0.75">
      <c r="A75" t="s">
        <v>53</v>
      </c>
      <c r="B75">
        <v>0</v>
      </c>
      <c r="C75">
        <v>0</v>
      </c>
      <c r="D75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</row>
    <row r="76" spans="1:81" x14ac:dyDescent="0.75">
      <c r="A76" t="s">
        <v>54</v>
      </c>
      <c r="B76">
        <v>0</v>
      </c>
      <c r="C76">
        <v>0</v>
      </c>
      <c r="D76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</row>
    <row r="77" spans="1:81" x14ac:dyDescent="0.75">
      <c r="A77" t="s">
        <v>55</v>
      </c>
      <c r="B77">
        <v>0</v>
      </c>
      <c r="C77">
        <v>0</v>
      </c>
      <c r="D77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</row>
    <row r="78" spans="1:81" x14ac:dyDescent="0.75">
      <c r="A78" t="s">
        <v>56</v>
      </c>
      <c r="B78">
        <v>0</v>
      </c>
      <c r="C78">
        <v>0</v>
      </c>
      <c r="D78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</row>
    <row r="79" spans="1:81" x14ac:dyDescent="0.75">
      <c r="A79" t="s">
        <v>57</v>
      </c>
      <c r="B79">
        <v>0</v>
      </c>
      <c r="C79">
        <v>0</v>
      </c>
      <c r="D79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</row>
    <row r="80" spans="1:81" x14ac:dyDescent="0.75">
      <c r="A80" t="s">
        <v>58</v>
      </c>
      <c r="B80">
        <v>0</v>
      </c>
      <c r="C80">
        <v>0</v>
      </c>
      <c r="D80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</row>
    <row r="81" spans="1:81" x14ac:dyDescent="0.75">
      <c r="A81" t="s">
        <v>59</v>
      </c>
      <c r="B81">
        <v>0</v>
      </c>
      <c r="C81">
        <v>0</v>
      </c>
      <c r="D8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</row>
    <row r="82" spans="1:81" s="3" customFormat="1" x14ac:dyDescent="0.75">
      <c r="A82" s="5" t="s">
        <v>38</v>
      </c>
    </row>
    <row r="83" spans="1:81" x14ac:dyDescent="0.75">
      <c r="A83" t="s">
        <v>30</v>
      </c>
      <c r="B83">
        <v>2021</v>
      </c>
      <c r="C83">
        <v>2022</v>
      </c>
      <c r="D83">
        <v>2023</v>
      </c>
      <c r="E83">
        <v>2024</v>
      </c>
      <c r="F83">
        <v>2025</v>
      </c>
      <c r="G83">
        <v>2026</v>
      </c>
      <c r="H83">
        <v>2027</v>
      </c>
      <c r="I83">
        <v>2028</v>
      </c>
      <c r="J83">
        <v>2029</v>
      </c>
      <c r="K83">
        <v>2030</v>
      </c>
      <c r="L83">
        <v>2031</v>
      </c>
      <c r="M83">
        <v>2032</v>
      </c>
      <c r="N83">
        <v>2033</v>
      </c>
      <c r="O83">
        <v>2034</v>
      </c>
      <c r="P83">
        <v>2035</v>
      </c>
      <c r="Q83">
        <v>2036</v>
      </c>
      <c r="R83">
        <v>2037</v>
      </c>
      <c r="S83">
        <v>2038</v>
      </c>
      <c r="T83">
        <v>2039</v>
      </c>
      <c r="U83">
        <v>2040</v>
      </c>
      <c r="V83">
        <v>2041</v>
      </c>
      <c r="W83">
        <v>2042</v>
      </c>
      <c r="X83">
        <v>2043</v>
      </c>
      <c r="Y83">
        <v>2044</v>
      </c>
      <c r="Z83">
        <v>2045</v>
      </c>
      <c r="AA83">
        <v>2046</v>
      </c>
      <c r="AB83">
        <v>2047</v>
      </c>
      <c r="AC83">
        <v>2048</v>
      </c>
      <c r="AD83">
        <v>2049</v>
      </c>
      <c r="AE83">
        <v>2050</v>
      </c>
    </row>
    <row r="84" spans="1:81" x14ac:dyDescent="0.75">
      <c r="A84" t="s">
        <v>52</v>
      </c>
      <c r="B84">
        <v>4.0806972636946692E-7</v>
      </c>
      <c r="C84">
        <v>6.9741992296012322E-7</v>
      </c>
      <c r="D84">
        <v>4.8814695017830095E-7</v>
      </c>
      <c r="E84" s="1">
        <v>3.6262013635465663E-7</v>
      </c>
      <c r="F84" s="1">
        <v>3.1351638937761729E-7</v>
      </c>
      <c r="G84" s="1">
        <v>2.5043293610432308E-7</v>
      </c>
      <c r="H84" s="1">
        <v>3.7940300097129702E-7</v>
      </c>
      <c r="I84" s="1">
        <v>5.0837306583827102E-7</v>
      </c>
      <c r="J84" s="1">
        <v>5.0365707665717113E-7</v>
      </c>
      <c r="K84" s="1">
        <v>4.9896147537213209E-7</v>
      </c>
      <c r="L84" s="1">
        <v>4.9430947773480007E-7</v>
      </c>
      <c r="M84" s="1">
        <v>4.9018574116834402E-7</v>
      </c>
      <c r="N84" s="1">
        <v>4.8579217082200921E-7</v>
      </c>
      <c r="O84" s="1">
        <v>4.8123005074165432E-7</v>
      </c>
      <c r="P84" s="1">
        <v>4.7714208814447433E-7</v>
      </c>
      <c r="Q84" s="1">
        <v>4.7348936603263477E-7</v>
      </c>
      <c r="R84" s="1">
        <v>4.6969933919327017E-7</v>
      </c>
      <c r="S84" s="1">
        <v>4.6604104137607355E-7</v>
      </c>
      <c r="T84" s="1">
        <v>4.6244058911002696E-7</v>
      </c>
      <c r="U84" s="1">
        <v>4.5889244169208681E-7</v>
      </c>
      <c r="V84" s="1">
        <v>4.5538018088929641E-7</v>
      </c>
      <c r="W84" s="1">
        <v>4.5198207354180251E-7</v>
      </c>
      <c r="X84" s="1">
        <v>4.4842371437674343E-7</v>
      </c>
      <c r="Y84" s="1">
        <v>4.4494563993599653E-7</v>
      </c>
      <c r="Z84" s="1">
        <v>4.4138541404461624E-7</v>
      </c>
      <c r="AA84" s="1">
        <v>4.378176030502907E-7</v>
      </c>
      <c r="AB84" s="1">
        <v>4.3442759079615406E-7</v>
      </c>
      <c r="AC84" s="1">
        <v>4.3099488651140944E-7</v>
      </c>
      <c r="AD84" s="1">
        <v>4.2755970293962744E-7</v>
      </c>
      <c r="AE84" s="1">
        <v>4.2413843945531429E-7</v>
      </c>
      <c r="AF84" s="1">
        <v>4.2413843945531429E-7</v>
      </c>
      <c r="AG84" s="1">
        <v>4.2413843945531429E-7</v>
      </c>
      <c r="AH84" s="1">
        <v>4.2413843945531429E-7</v>
      </c>
      <c r="AI84" s="1">
        <v>4.2413843945531429E-7</v>
      </c>
      <c r="AJ84" s="1">
        <v>4.2413843945531429E-7</v>
      </c>
      <c r="AK84" s="1">
        <v>4.2413843945531429E-7</v>
      </c>
      <c r="AL84" s="1">
        <v>4.2413843945531429E-7</v>
      </c>
      <c r="AM84" s="1">
        <v>4.2413843945531429E-7</v>
      </c>
      <c r="AN84" s="1">
        <v>4.2413843945531429E-7</v>
      </c>
      <c r="AO84" s="1">
        <v>4.2413843945531429E-7</v>
      </c>
      <c r="AP84" s="1">
        <v>4.2413843945531429E-7</v>
      </c>
      <c r="AQ84" s="1">
        <v>4.2413843945531429E-7</v>
      </c>
      <c r="AR84" s="1">
        <v>4.2413843945531429E-7</v>
      </c>
      <c r="AS84" s="1">
        <v>4.2413843945531429E-7</v>
      </c>
      <c r="AT84" s="1">
        <v>4.2413843945531429E-7</v>
      </c>
      <c r="AU84" s="1">
        <v>4.2413843945531429E-7</v>
      </c>
      <c r="AV84" s="1">
        <v>4.2413843945531429E-7</v>
      </c>
      <c r="AW84" s="1">
        <v>4.2413843945531429E-7</v>
      </c>
      <c r="AX84" s="1">
        <v>4.2413843945531429E-7</v>
      </c>
      <c r="AY84" s="1">
        <v>4.2413843945531429E-7</v>
      </c>
      <c r="AZ84" s="1">
        <v>4.2413843945531429E-7</v>
      </c>
      <c r="BA84" s="1">
        <v>4.2413843945531429E-7</v>
      </c>
      <c r="BB84" s="1">
        <v>4.2413843945531429E-7</v>
      </c>
      <c r="BC84" s="1">
        <v>4.2413843945531429E-7</v>
      </c>
      <c r="BD84" s="1">
        <v>4.2413843945531429E-7</v>
      </c>
      <c r="BE84" s="1">
        <v>4.2413843945531429E-7</v>
      </c>
      <c r="BF84" s="1">
        <v>4.2413843945531429E-7</v>
      </c>
      <c r="BG84" s="1">
        <v>4.2413843945531429E-7</v>
      </c>
      <c r="BH84" s="1">
        <v>4.2413843945531429E-7</v>
      </c>
      <c r="BI84" s="1">
        <v>4.2413843945531429E-7</v>
      </c>
      <c r="BJ84" s="1">
        <v>4.2413843945531429E-7</v>
      </c>
      <c r="BK84" s="1">
        <v>4.2413843945531429E-7</v>
      </c>
      <c r="BL84" s="1">
        <v>4.2413843945531429E-7</v>
      </c>
      <c r="BM84" s="1">
        <v>4.2413843945531429E-7</v>
      </c>
      <c r="BN84" s="1">
        <v>4.2413843945531429E-7</v>
      </c>
      <c r="BO84" s="1">
        <v>4.2413843945531429E-7</v>
      </c>
      <c r="BP84" s="1">
        <v>4.2413843945531429E-7</v>
      </c>
      <c r="BQ84" s="1">
        <v>4.2413843945531429E-7</v>
      </c>
      <c r="BR84" s="1">
        <v>4.2413843945531429E-7</v>
      </c>
      <c r="BS84" s="1">
        <v>4.2413843945531429E-7</v>
      </c>
      <c r="BT84" s="1">
        <v>4.2413843945531429E-7</v>
      </c>
      <c r="BU84" s="1">
        <v>4.2413843945531429E-7</v>
      </c>
      <c r="BV84" s="1">
        <v>4.2413843945531429E-7</v>
      </c>
      <c r="BW84" s="1">
        <v>4.2413843945531429E-7</v>
      </c>
      <c r="BX84" s="1">
        <v>4.2413843945531429E-7</v>
      </c>
      <c r="BY84" s="1">
        <v>4.2413843945531429E-7</v>
      </c>
      <c r="BZ84" s="1">
        <v>4.2413843945531429E-7</v>
      </c>
      <c r="CA84" s="1">
        <v>4.2413843945531429E-7</v>
      </c>
      <c r="CB84" s="1">
        <v>4.2413843945531429E-7</v>
      </c>
      <c r="CC84" s="1">
        <v>4.2413843945531429E-7</v>
      </c>
    </row>
    <row r="85" spans="1:81" x14ac:dyDescent="0.75">
      <c r="A85" t="s">
        <v>53</v>
      </c>
      <c r="B85">
        <v>0</v>
      </c>
      <c r="C85">
        <v>0</v>
      </c>
      <c r="D85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</row>
    <row r="86" spans="1:81" x14ac:dyDescent="0.75">
      <c r="A86" t="s">
        <v>54</v>
      </c>
      <c r="B86">
        <v>5.3782704552357724E-7</v>
      </c>
      <c r="C86">
        <v>9.1918432663959916E-7</v>
      </c>
      <c r="D86">
        <v>7.1002769783622679E-7</v>
      </c>
      <c r="E86" s="1">
        <v>6.0754798595128259E-7</v>
      </c>
      <c r="F86" s="1">
        <v>6.4905345433855112E-7</v>
      </c>
      <c r="G86" s="1">
        <v>6.9055892272581964E-7</v>
      </c>
      <c r="H86" s="1">
        <v>7.3206439111308816E-7</v>
      </c>
      <c r="I86" s="1">
        <v>7.7356985950035668E-7</v>
      </c>
      <c r="J86" s="1">
        <v>7.6425603584962053E-7</v>
      </c>
      <c r="K86" s="1">
        <v>7.5626044056492442E-7</v>
      </c>
      <c r="L86" s="1">
        <v>7.4251929477285995E-7</v>
      </c>
      <c r="M86" s="1">
        <v>7.3709171648703931E-7</v>
      </c>
      <c r="N86" s="1">
        <v>7.287671749657543E-7</v>
      </c>
      <c r="O86" s="1">
        <v>7.1566087642908925E-7</v>
      </c>
      <c r="P86" s="1">
        <v>7.0641240533967326E-7</v>
      </c>
      <c r="Q86" s="1">
        <v>7.0037267662320998E-7</v>
      </c>
      <c r="R86" s="1">
        <v>6.9116068313402649E-7</v>
      </c>
      <c r="S86" s="1">
        <v>6.8343438978528966E-7</v>
      </c>
      <c r="T86" s="1">
        <v>6.7555002064359766E-7</v>
      </c>
      <c r="U86" s="1">
        <v>6.6840678187485804E-7</v>
      </c>
      <c r="V86" s="1">
        <v>6.6176581054173773E-7</v>
      </c>
      <c r="W86" s="1">
        <v>6.5583409426167489E-7</v>
      </c>
      <c r="X86" s="1">
        <v>6.4729957381101961E-7</v>
      </c>
      <c r="Y86" s="1">
        <v>6.4000470115643853E-7</v>
      </c>
      <c r="Z86" s="1">
        <v>6.3173695315709044E-7</v>
      </c>
      <c r="AA86" s="1">
        <v>6.2298865841283311E-7</v>
      </c>
      <c r="AB86" s="1">
        <v>6.1797421322315073E-7</v>
      </c>
      <c r="AC86" s="1">
        <v>6.1171829234258393E-7</v>
      </c>
      <c r="AD86" s="1">
        <v>6.0421989378004569E-7</v>
      </c>
      <c r="AE86" s="1">
        <v>5.9705742921146381E-7</v>
      </c>
      <c r="AF86" s="1">
        <v>5.9705742921146381E-7</v>
      </c>
      <c r="AG86" s="1">
        <v>5.9705742921146381E-7</v>
      </c>
      <c r="AH86" s="1">
        <v>5.9705742921146381E-7</v>
      </c>
      <c r="AI86" s="1">
        <v>5.9705742921146381E-7</v>
      </c>
      <c r="AJ86" s="1">
        <v>5.9705742921146381E-7</v>
      </c>
      <c r="AK86" s="1">
        <v>5.9705742921146381E-7</v>
      </c>
      <c r="AL86" s="1">
        <v>5.9705742921146381E-7</v>
      </c>
      <c r="AM86" s="1">
        <v>5.9705742921146381E-7</v>
      </c>
      <c r="AN86" s="1">
        <v>5.9705742921146381E-7</v>
      </c>
      <c r="AO86" s="1">
        <v>5.9705742921146381E-7</v>
      </c>
      <c r="AP86" s="1">
        <v>5.9705742921146381E-7</v>
      </c>
      <c r="AQ86" s="1">
        <v>5.9705742921146381E-7</v>
      </c>
      <c r="AR86" s="1">
        <v>5.9705742921146381E-7</v>
      </c>
      <c r="AS86" s="1">
        <v>5.9705742921146381E-7</v>
      </c>
      <c r="AT86" s="1">
        <v>5.9705742921146381E-7</v>
      </c>
      <c r="AU86" s="1">
        <v>5.9705742921146381E-7</v>
      </c>
      <c r="AV86" s="1">
        <v>5.9705742921146381E-7</v>
      </c>
      <c r="AW86" s="1">
        <v>5.9705742921146381E-7</v>
      </c>
      <c r="AX86" s="1">
        <v>5.9705742921146381E-7</v>
      </c>
      <c r="AY86" s="1">
        <v>5.9705742921146381E-7</v>
      </c>
      <c r="AZ86" s="1">
        <v>5.9705742921146381E-7</v>
      </c>
      <c r="BA86" s="1">
        <v>5.9705742921146381E-7</v>
      </c>
      <c r="BB86" s="1">
        <v>5.9705742921146381E-7</v>
      </c>
      <c r="BC86" s="1">
        <v>5.9705742921146381E-7</v>
      </c>
      <c r="BD86" s="1">
        <v>5.9705742921146381E-7</v>
      </c>
      <c r="BE86" s="1">
        <v>5.9705742921146381E-7</v>
      </c>
      <c r="BF86" s="1">
        <v>5.9705742921146381E-7</v>
      </c>
      <c r="BG86" s="1">
        <v>5.9705742921146381E-7</v>
      </c>
      <c r="BH86" s="1">
        <v>5.9705742921146381E-7</v>
      </c>
      <c r="BI86" s="1">
        <v>5.9705742921146381E-7</v>
      </c>
      <c r="BJ86" s="1">
        <v>5.9705742921146381E-7</v>
      </c>
      <c r="BK86" s="1">
        <v>5.9705742921146381E-7</v>
      </c>
      <c r="BL86" s="1">
        <v>5.9705742921146381E-7</v>
      </c>
      <c r="BM86" s="1">
        <v>5.9705742921146381E-7</v>
      </c>
      <c r="BN86" s="1">
        <v>5.9705742921146381E-7</v>
      </c>
      <c r="BO86" s="1">
        <v>5.9705742921146381E-7</v>
      </c>
      <c r="BP86" s="1">
        <v>5.9705742921146381E-7</v>
      </c>
      <c r="BQ86" s="1">
        <v>5.9705742921146381E-7</v>
      </c>
      <c r="BR86" s="1">
        <v>5.9705742921146381E-7</v>
      </c>
      <c r="BS86" s="1">
        <v>5.9705742921146381E-7</v>
      </c>
      <c r="BT86" s="1">
        <v>5.9705742921146381E-7</v>
      </c>
      <c r="BU86" s="1">
        <v>5.9705742921146381E-7</v>
      </c>
      <c r="BV86" s="1">
        <v>5.9705742921146381E-7</v>
      </c>
      <c r="BW86" s="1">
        <v>5.9705742921146381E-7</v>
      </c>
      <c r="BX86" s="1">
        <v>5.9705742921146381E-7</v>
      </c>
      <c r="BY86" s="1">
        <v>5.9705742921146381E-7</v>
      </c>
      <c r="BZ86" s="1">
        <v>5.9705742921146381E-7</v>
      </c>
      <c r="CA86" s="1">
        <v>5.9705742921146381E-7</v>
      </c>
      <c r="CB86" s="1">
        <v>5.9705742921146381E-7</v>
      </c>
      <c r="CC86" s="1">
        <v>5.9705742921146381E-7</v>
      </c>
    </row>
    <row r="87" spans="1:81" x14ac:dyDescent="0.75">
      <c r="A87" t="s">
        <v>55</v>
      </c>
      <c r="B87">
        <v>5.381505582378316E-7</v>
      </c>
      <c r="C87">
        <v>9.1973723266930936E-7</v>
      </c>
      <c r="D87">
        <v>7.1339018411905132E-7</v>
      </c>
      <c r="E87" s="1">
        <v>5.9925731476479746E-7</v>
      </c>
      <c r="F87" s="1">
        <v>6.2979149794643105E-7</v>
      </c>
      <c r="G87" s="1">
        <v>6.6032568112806465E-7</v>
      </c>
      <c r="H87" s="1">
        <v>6.9085986430969824E-7</v>
      </c>
      <c r="I87" s="1">
        <v>7.2139404749133172E-7</v>
      </c>
      <c r="J87" s="1">
        <v>6.8147325933619758E-7</v>
      </c>
      <c r="K87" s="1">
        <v>6.4536971825271889E-7</v>
      </c>
      <c r="L87" s="1">
        <v>6.3535114830858566E-7</v>
      </c>
      <c r="M87" s="1">
        <v>6.2925041454962609E-7</v>
      </c>
      <c r="N87" s="1">
        <v>6.2264197523025615E-7</v>
      </c>
      <c r="O87" s="1">
        <v>6.1333304849710367E-7</v>
      </c>
      <c r="P87" s="1">
        <v>6.1204179847765356E-7</v>
      </c>
      <c r="Q87" s="1">
        <v>6.0744766592615038E-7</v>
      </c>
      <c r="R87" s="1">
        <v>6.0046299795058954E-7</v>
      </c>
      <c r="S87" s="1">
        <v>5.9414045581149669E-7</v>
      </c>
      <c r="T87" s="1">
        <v>5.8763539508092602E-7</v>
      </c>
      <c r="U87" s="1">
        <v>5.8211893265191601E-7</v>
      </c>
      <c r="V87" s="1">
        <v>5.7639236333186056E-7</v>
      </c>
      <c r="W87" s="1">
        <v>5.7093620872452748E-7</v>
      </c>
      <c r="X87" s="1">
        <v>5.6444820363327708E-7</v>
      </c>
      <c r="Y87" s="1">
        <v>5.5884389507025846E-7</v>
      </c>
      <c r="Z87" s="1">
        <v>5.5254368012721625E-7</v>
      </c>
      <c r="AA87" s="1">
        <v>5.4615680889815443E-7</v>
      </c>
      <c r="AB87" s="1">
        <v>5.4146840868917246E-7</v>
      </c>
      <c r="AC87" s="1">
        <v>5.3626478005954238E-7</v>
      </c>
      <c r="AD87" s="1">
        <v>5.3116383001331342E-7</v>
      </c>
      <c r="AE87" s="1">
        <v>5.2569709541175621E-7</v>
      </c>
      <c r="AF87" s="1">
        <v>5.2569709541175621E-7</v>
      </c>
      <c r="AG87" s="1">
        <v>5.2569709541175621E-7</v>
      </c>
      <c r="AH87" s="1">
        <v>5.2569709541175621E-7</v>
      </c>
      <c r="AI87" s="1">
        <v>5.2569709541175621E-7</v>
      </c>
      <c r="AJ87" s="1">
        <v>5.2569709541175621E-7</v>
      </c>
      <c r="AK87" s="1">
        <v>5.2569709541175621E-7</v>
      </c>
      <c r="AL87" s="1">
        <v>5.2569709541175621E-7</v>
      </c>
      <c r="AM87" s="1">
        <v>5.2569709541175621E-7</v>
      </c>
      <c r="AN87" s="1">
        <v>5.2569709541175621E-7</v>
      </c>
      <c r="AO87" s="1">
        <v>5.2569709541175621E-7</v>
      </c>
      <c r="AP87" s="1">
        <v>5.2569709541175621E-7</v>
      </c>
      <c r="AQ87" s="1">
        <v>5.2569709541175621E-7</v>
      </c>
      <c r="AR87" s="1">
        <v>5.2569709541175621E-7</v>
      </c>
      <c r="AS87" s="1">
        <v>5.2569709541175621E-7</v>
      </c>
      <c r="AT87" s="1">
        <v>5.2569709541175621E-7</v>
      </c>
      <c r="AU87" s="1">
        <v>5.2569709541175621E-7</v>
      </c>
      <c r="AV87" s="1">
        <v>5.2569709541175621E-7</v>
      </c>
      <c r="AW87" s="1">
        <v>5.2569709541175621E-7</v>
      </c>
      <c r="AX87" s="1">
        <v>5.2569709541175621E-7</v>
      </c>
      <c r="AY87" s="1">
        <v>5.2569709541175621E-7</v>
      </c>
      <c r="AZ87" s="1">
        <v>5.2569709541175621E-7</v>
      </c>
      <c r="BA87" s="1">
        <v>5.2569709541175621E-7</v>
      </c>
      <c r="BB87" s="1">
        <v>5.2569709541175621E-7</v>
      </c>
      <c r="BC87" s="1">
        <v>5.2569709541175621E-7</v>
      </c>
      <c r="BD87" s="1">
        <v>5.2569709541175621E-7</v>
      </c>
      <c r="BE87" s="1">
        <v>5.2569709541175621E-7</v>
      </c>
      <c r="BF87" s="1">
        <v>5.2569709541175621E-7</v>
      </c>
      <c r="BG87" s="1">
        <v>5.2569709541175621E-7</v>
      </c>
      <c r="BH87" s="1">
        <v>5.2569709541175621E-7</v>
      </c>
      <c r="BI87" s="1">
        <v>5.2569709541175621E-7</v>
      </c>
      <c r="BJ87" s="1">
        <v>5.2569709541175621E-7</v>
      </c>
      <c r="BK87" s="1">
        <v>5.2569709541175621E-7</v>
      </c>
      <c r="BL87" s="1">
        <v>5.2569709541175621E-7</v>
      </c>
      <c r="BM87" s="1">
        <v>5.2569709541175621E-7</v>
      </c>
      <c r="BN87" s="1">
        <v>5.2569709541175621E-7</v>
      </c>
      <c r="BO87" s="1">
        <v>5.2569709541175621E-7</v>
      </c>
      <c r="BP87" s="1">
        <v>5.2569709541175621E-7</v>
      </c>
      <c r="BQ87" s="1">
        <v>5.2569709541175621E-7</v>
      </c>
      <c r="BR87" s="1">
        <v>5.2569709541175621E-7</v>
      </c>
      <c r="BS87" s="1">
        <v>5.2569709541175621E-7</v>
      </c>
      <c r="BT87" s="1">
        <v>5.2569709541175621E-7</v>
      </c>
      <c r="BU87" s="1">
        <v>5.2569709541175621E-7</v>
      </c>
      <c r="BV87" s="1">
        <v>5.2569709541175621E-7</v>
      </c>
      <c r="BW87" s="1">
        <v>5.2569709541175621E-7</v>
      </c>
      <c r="BX87" s="1">
        <v>5.2569709541175621E-7</v>
      </c>
      <c r="BY87" s="1">
        <v>5.2569709541175621E-7</v>
      </c>
      <c r="BZ87" s="1">
        <v>5.2569709541175621E-7</v>
      </c>
      <c r="CA87" s="1">
        <v>5.2569709541175621E-7</v>
      </c>
      <c r="CB87" s="1">
        <v>5.2569709541175621E-7</v>
      </c>
      <c r="CC87" s="1">
        <v>5.2569709541175621E-7</v>
      </c>
    </row>
    <row r="88" spans="1:81" x14ac:dyDescent="0.75">
      <c r="A88" t="s">
        <v>56</v>
      </c>
      <c r="B88">
        <v>0</v>
      </c>
      <c r="C88">
        <v>0</v>
      </c>
      <c r="D88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</row>
    <row r="89" spans="1:81" x14ac:dyDescent="0.75">
      <c r="A89" t="s">
        <v>57</v>
      </c>
      <c r="B89">
        <v>0</v>
      </c>
      <c r="C89">
        <v>0</v>
      </c>
      <c r="D89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</row>
    <row r="90" spans="1:81" x14ac:dyDescent="0.75">
      <c r="A90" t="s">
        <v>58</v>
      </c>
      <c r="B90">
        <v>0</v>
      </c>
      <c r="C90">
        <v>0</v>
      </c>
      <c r="D90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</row>
    <row r="91" spans="1:81" x14ac:dyDescent="0.75">
      <c r="A91" t="s">
        <v>59</v>
      </c>
      <c r="B91">
        <v>0</v>
      </c>
      <c r="C91">
        <v>0</v>
      </c>
      <c r="D9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</row>
    <row r="92" spans="1:81" s="3" customFormat="1" x14ac:dyDescent="0.75">
      <c r="A92" s="5" t="s">
        <v>39</v>
      </c>
    </row>
    <row r="93" spans="1:81" x14ac:dyDescent="0.75">
      <c r="A93" t="s">
        <v>30</v>
      </c>
      <c r="B93">
        <v>2021</v>
      </c>
      <c r="C93">
        <v>2022</v>
      </c>
      <c r="D93">
        <v>2023</v>
      </c>
      <c r="E93">
        <v>2024</v>
      </c>
      <c r="F93">
        <v>2025</v>
      </c>
      <c r="G93">
        <v>2026</v>
      </c>
      <c r="H93">
        <v>2027</v>
      </c>
      <c r="I93">
        <v>2028</v>
      </c>
      <c r="J93">
        <v>2029</v>
      </c>
      <c r="K93">
        <v>2030</v>
      </c>
      <c r="L93">
        <v>2031</v>
      </c>
      <c r="M93">
        <v>2032</v>
      </c>
      <c r="N93">
        <v>2033</v>
      </c>
      <c r="O93">
        <v>2034</v>
      </c>
      <c r="P93">
        <v>2035</v>
      </c>
      <c r="Q93">
        <v>2036</v>
      </c>
      <c r="R93">
        <v>2037</v>
      </c>
      <c r="S93">
        <v>2038</v>
      </c>
      <c r="T93">
        <v>2039</v>
      </c>
      <c r="U93">
        <v>2040</v>
      </c>
      <c r="V93">
        <v>2041</v>
      </c>
      <c r="W93">
        <v>2042</v>
      </c>
      <c r="X93">
        <v>2043</v>
      </c>
      <c r="Y93">
        <v>2044</v>
      </c>
      <c r="Z93">
        <v>2045</v>
      </c>
      <c r="AA93">
        <v>2046</v>
      </c>
      <c r="AB93">
        <v>2047</v>
      </c>
      <c r="AC93">
        <v>2048</v>
      </c>
      <c r="AD93">
        <v>2049</v>
      </c>
      <c r="AE93">
        <v>2050</v>
      </c>
    </row>
    <row r="94" spans="1:81" x14ac:dyDescent="0.75">
      <c r="A94" t="s">
        <v>52</v>
      </c>
      <c r="B94">
        <v>0</v>
      </c>
      <c r="C94">
        <v>0</v>
      </c>
      <c r="D94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</row>
    <row r="95" spans="1:81" x14ac:dyDescent="0.75">
      <c r="A95" t="s">
        <v>53</v>
      </c>
      <c r="B95">
        <v>1.0502627892049509E-7</v>
      </c>
      <c r="C95">
        <v>1.1646930075681375E-7</v>
      </c>
      <c r="D95">
        <v>1.2580650208330935E-7</v>
      </c>
      <c r="E95" s="1">
        <v>1.1317530232485585E-7</v>
      </c>
      <c r="F95" s="1">
        <v>1.1088430430208549E-7</v>
      </c>
      <c r="G95" s="1">
        <v>1.0996790509297735E-7</v>
      </c>
      <c r="H95" s="1">
        <v>1.0658360669178881E-7</v>
      </c>
      <c r="I95" s="1">
        <v>1.0201791411614049E-7</v>
      </c>
      <c r="J95" s="1">
        <v>1.0202830315384333E-7</v>
      </c>
      <c r="K95" s="1">
        <v>1.0299711642370343E-7</v>
      </c>
      <c r="L95" s="1">
        <v>1.0162517353311831E-7</v>
      </c>
      <c r="M95" s="1">
        <v>9.8471800171240825E-8</v>
      </c>
      <c r="N95" s="1">
        <v>9.8648588601466661E-8</v>
      </c>
      <c r="O95" s="1">
        <v>9.8013142181805555E-8</v>
      </c>
      <c r="P95" s="1">
        <v>9.73943444408607E-8</v>
      </c>
      <c r="Q95" s="1">
        <v>9.7395513344156409E-8</v>
      </c>
      <c r="R95" s="1">
        <v>9.8811677922040181E-8</v>
      </c>
      <c r="S95" s="1">
        <v>9.8618481148355228E-8</v>
      </c>
      <c r="T95" s="1">
        <v>1.0143593136684496E-7</v>
      </c>
      <c r="U95" s="1">
        <v>1.0130009824928775E-7</v>
      </c>
      <c r="V95" s="1">
        <v>1.0117445753149584E-7</v>
      </c>
      <c r="W95" s="1">
        <v>1.0110737122178707E-7</v>
      </c>
      <c r="X95" s="1">
        <v>1.0114426268374545E-7</v>
      </c>
      <c r="Y95" s="1">
        <v>1.0113210390460428E-7</v>
      </c>
      <c r="Z95" s="1">
        <v>1.0062496373922254E-7</v>
      </c>
      <c r="AA95" s="1">
        <v>8.6506851414901788E-8</v>
      </c>
      <c r="AB95" s="1">
        <v>9.9811647380678891E-8</v>
      </c>
      <c r="AC95" s="1">
        <v>9.9802886068126113E-8</v>
      </c>
      <c r="AD95" s="1">
        <v>1.0059753274692834E-7</v>
      </c>
      <c r="AE95" s="1">
        <v>1.0044250558179613E-7</v>
      </c>
      <c r="AF95" s="1">
        <v>1.0044250558179613E-7</v>
      </c>
      <c r="AG95" s="1">
        <v>1.0044250558179613E-7</v>
      </c>
      <c r="AH95" s="1">
        <v>1.0044250558179613E-7</v>
      </c>
      <c r="AI95" s="1">
        <v>1.0044250558179613E-7</v>
      </c>
      <c r="AJ95" s="1">
        <v>1.0044250558179613E-7</v>
      </c>
      <c r="AK95" s="1">
        <v>1.0044250558179613E-7</v>
      </c>
      <c r="AL95" s="1">
        <v>1.0044250558179613E-7</v>
      </c>
      <c r="AM95" s="1">
        <v>1.0044250558179613E-7</v>
      </c>
      <c r="AN95" s="1">
        <v>1.0044250558179613E-7</v>
      </c>
      <c r="AO95" s="1">
        <v>1.0044250558179613E-7</v>
      </c>
      <c r="AP95" s="1">
        <v>1.0044250558179613E-7</v>
      </c>
      <c r="AQ95" s="1">
        <v>1.0044250558179613E-7</v>
      </c>
      <c r="AR95" s="1">
        <v>1.0044250558179613E-7</v>
      </c>
      <c r="AS95" s="1">
        <v>1.0044250558179613E-7</v>
      </c>
      <c r="AT95" s="1">
        <v>1.0044250558179613E-7</v>
      </c>
      <c r="AU95" s="1">
        <v>1.0044250558179613E-7</v>
      </c>
      <c r="AV95" s="1">
        <v>1.0044250558179613E-7</v>
      </c>
      <c r="AW95" s="1">
        <v>1.0044250558179613E-7</v>
      </c>
      <c r="AX95" s="1">
        <v>1.0044250558179613E-7</v>
      </c>
      <c r="AY95" s="1">
        <v>1.0044250558179613E-7</v>
      </c>
      <c r="AZ95" s="1">
        <v>1.0044250558179613E-7</v>
      </c>
      <c r="BA95" s="1">
        <v>1.0044250558179613E-7</v>
      </c>
      <c r="BB95" s="1">
        <v>1.0044250558179613E-7</v>
      </c>
      <c r="BC95" s="1">
        <v>1.0044250558179613E-7</v>
      </c>
      <c r="BD95" s="1">
        <v>1.0044250558179613E-7</v>
      </c>
      <c r="BE95" s="1">
        <v>1.0044250558179613E-7</v>
      </c>
      <c r="BF95" s="1">
        <v>1.0044250558179613E-7</v>
      </c>
      <c r="BG95" s="1">
        <v>1.0044250558179613E-7</v>
      </c>
      <c r="BH95" s="1">
        <v>1.0044250558179613E-7</v>
      </c>
      <c r="BI95" s="1">
        <v>1.0044250558179613E-7</v>
      </c>
      <c r="BJ95" s="1">
        <v>1.0044250558179613E-7</v>
      </c>
      <c r="BK95" s="1">
        <v>1.0044250558179613E-7</v>
      </c>
      <c r="BL95" s="1">
        <v>1.0044250558179613E-7</v>
      </c>
      <c r="BM95" s="1">
        <v>1.0044250558179613E-7</v>
      </c>
      <c r="BN95" s="1">
        <v>1.0044250558179613E-7</v>
      </c>
      <c r="BO95" s="1">
        <v>1.0044250558179613E-7</v>
      </c>
      <c r="BP95" s="1">
        <v>1.0044250558179613E-7</v>
      </c>
      <c r="BQ95" s="1">
        <v>1.0044250558179613E-7</v>
      </c>
      <c r="BR95" s="1">
        <v>1.0044250558179613E-7</v>
      </c>
      <c r="BS95" s="1">
        <v>1.0044250558179613E-7</v>
      </c>
      <c r="BT95" s="1">
        <v>1.0044250558179613E-7</v>
      </c>
      <c r="BU95" s="1">
        <v>1.0044250558179613E-7</v>
      </c>
      <c r="BV95" s="1">
        <v>1.0044250558179613E-7</v>
      </c>
      <c r="BW95" s="1">
        <v>1.0044250558179613E-7</v>
      </c>
      <c r="BX95" s="1">
        <v>1.0044250558179613E-7</v>
      </c>
      <c r="BY95" s="1">
        <v>1.0044250558179613E-7</v>
      </c>
      <c r="BZ95" s="1">
        <v>1.0044250558179613E-7</v>
      </c>
      <c r="CA95" s="1">
        <v>1.0044250558179613E-7</v>
      </c>
      <c r="CB95" s="1">
        <v>1.0044250558179613E-7</v>
      </c>
      <c r="CC95" s="1">
        <v>1.0044250558179613E-7</v>
      </c>
    </row>
    <row r="96" spans="1:81" x14ac:dyDescent="0.75">
      <c r="A96" t="s">
        <v>54</v>
      </c>
      <c r="B96">
        <v>0</v>
      </c>
      <c r="C96">
        <v>0</v>
      </c>
      <c r="D96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</row>
    <row r="97" spans="1:81" x14ac:dyDescent="0.75">
      <c r="A97" t="s">
        <v>55</v>
      </c>
      <c r="B97">
        <v>0</v>
      </c>
      <c r="C97">
        <v>0</v>
      </c>
      <c r="D97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</row>
    <row r="98" spans="1:81" x14ac:dyDescent="0.75">
      <c r="A98" t="s">
        <v>56</v>
      </c>
      <c r="B98">
        <v>0</v>
      </c>
      <c r="C98">
        <v>0</v>
      </c>
      <c r="D98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</row>
    <row r="99" spans="1:81" x14ac:dyDescent="0.75">
      <c r="A99" t="s">
        <v>57</v>
      </c>
      <c r="B99">
        <v>0</v>
      </c>
      <c r="C99">
        <v>0</v>
      </c>
      <c r="D99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</row>
    <row r="100" spans="1:81" x14ac:dyDescent="0.75">
      <c r="A100" t="s">
        <v>58</v>
      </c>
      <c r="B100">
        <v>0</v>
      </c>
      <c r="C100">
        <v>0</v>
      </c>
      <c r="D100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</row>
    <row r="101" spans="1:81" x14ac:dyDescent="0.75">
      <c r="A101" t="s">
        <v>59</v>
      </c>
      <c r="B101">
        <v>0</v>
      </c>
      <c r="C101">
        <v>0</v>
      </c>
      <c r="D10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</row>
    <row r="102" spans="1:81" s="3" customFormat="1" x14ac:dyDescent="0.75">
      <c r="A102" s="5" t="s">
        <v>46</v>
      </c>
    </row>
    <row r="103" spans="1:81" x14ac:dyDescent="0.75">
      <c r="A103" t="s">
        <v>30</v>
      </c>
      <c r="B103">
        <v>2021</v>
      </c>
      <c r="C103">
        <v>2022</v>
      </c>
      <c r="D103">
        <v>2023</v>
      </c>
      <c r="E103">
        <v>2024</v>
      </c>
      <c r="F103">
        <v>2025</v>
      </c>
      <c r="G103">
        <v>2026</v>
      </c>
      <c r="H103">
        <v>2027</v>
      </c>
      <c r="I103">
        <v>2028</v>
      </c>
      <c r="J103">
        <v>2029</v>
      </c>
      <c r="K103">
        <v>2030</v>
      </c>
      <c r="L103">
        <v>2031</v>
      </c>
      <c r="M103">
        <v>2032</v>
      </c>
      <c r="N103">
        <v>2033</v>
      </c>
      <c r="O103">
        <v>2034</v>
      </c>
      <c r="P103">
        <v>2035</v>
      </c>
      <c r="Q103">
        <v>2036</v>
      </c>
      <c r="R103">
        <v>2037</v>
      </c>
      <c r="S103">
        <v>2038</v>
      </c>
      <c r="T103">
        <v>2039</v>
      </c>
      <c r="U103">
        <v>2040</v>
      </c>
      <c r="V103">
        <v>2041</v>
      </c>
      <c r="W103">
        <v>2042</v>
      </c>
      <c r="X103">
        <v>2043</v>
      </c>
      <c r="Y103">
        <v>2044</v>
      </c>
      <c r="Z103">
        <v>2045</v>
      </c>
      <c r="AA103">
        <v>2046</v>
      </c>
      <c r="AB103">
        <v>2047</v>
      </c>
      <c r="AC103">
        <v>2048</v>
      </c>
      <c r="AD103">
        <v>2049</v>
      </c>
      <c r="AE103">
        <v>2050</v>
      </c>
    </row>
    <row r="104" spans="1:81" x14ac:dyDescent="0.75">
      <c r="A104" t="s">
        <v>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81" x14ac:dyDescent="0.75">
      <c r="A105" t="s">
        <v>53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81" x14ac:dyDescent="0.75">
      <c r="A106" t="s">
        <v>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81" x14ac:dyDescent="0.75">
      <c r="A107" t="s">
        <v>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81" x14ac:dyDescent="0.75">
      <c r="A108" t="s">
        <v>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81" x14ac:dyDescent="0.75">
      <c r="A109" t="s">
        <v>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81" x14ac:dyDescent="0.75">
      <c r="A110" t="s">
        <v>58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81" x14ac:dyDescent="0.75">
      <c r="A111" t="s">
        <v>59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81" s="3" customFormat="1" x14ac:dyDescent="0.75">
      <c r="A112" s="5" t="s">
        <v>47</v>
      </c>
    </row>
    <row r="113" spans="1:81" x14ac:dyDescent="0.75">
      <c r="A113" t="s">
        <v>30</v>
      </c>
      <c r="B113">
        <v>2021</v>
      </c>
      <c r="C113">
        <v>2022</v>
      </c>
      <c r="D113">
        <v>2023</v>
      </c>
      <c r="E113">
        <v>2024</v>
      </c>
      <c r="F113">
        <v>2025</v>
      </c>
      <c r="G113">
        <v>2026</v>
      </c>
      <c r="H113">
        <v>2027</v>
      </c>
      <c r="I113">
        <v>2028</v>
      </c>
      <c r="J113">
        <v>2029</v>
      </c>
      <c r="K113">
        <v>2030</v>
      </c>
      <c r="L113">
        <v>2031</v>
      </c>
      <c r="M113">
        <v>2032</v>
      </c>
      <c r="N113">
        <v>2033</v>
      </c>
      <c r="O113">
        <v>2034</v>
      </c>
      <c r="P113">
        <v>2035</v>
      </c>
      <c r="Q113">
        <v>2036</v>
      </c>
      <c r="R113">
        <v>2037</v>
      </c>
      <c r="S113">
        <v>2038</v>
      </c>
      <c r="T113">
        <v>2039</v>
      </c>
      <c r="U113">
        <v>2040</v>
      </c>
      <c r="V113">
        <v>2041</v>
      </c>
      <c r="W113">
        <v>2042</v>
      </c>
      <c r="X113">
        <v>2043</v>
      </c>
      <c r="Y113">
        <v>2044</v>
      </c>
      <c r="Z113">
        <v>2045</v>
      </c>
      <c r="AA113">
        <v>2046</v>
      </c>
      <c r="AB113">
        <v>2047</v>
      </c>
      <c r="AC113">
        <v>2048</v>
      </c>
      <c r="AD113">
        <v>2049</v>
      </c>
      <c r="AE113">
        <v>2050</v>
      </c>
    </row>
    <row r="114" spans="1:81" x14ac:dyDescent="0.75">
      <c r="A114" t="s">
        <v>52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81" x14ac:dyDescent="0.75">
      <c r="A115" t="s">
        <v>53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81" x14ac:dyDescent="0.75">
      <c r="A116" t="s">
        <v>54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81" x14ac:dyDescent="0.75">
      <c r="A117" t="s">
        <v>55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81" x14ac:dyDescent="0.75">
      <c r="A118" t="s">
        <v>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81" x14ac:dyDescent="0.75">
      <c r="A119" t="s">
        <v>57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81" x14ac:dyDescent="0.75">
      <c r="A120" t="s">
        <v>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81" x14ac:dyDescent="0.75">
      <c r="A121" t="s">
        <v>59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81" s="3" customFormat="1" x14ac:dyDescent="0.75">
      <c r="A122" s="5" t="s">
        <v>48</v>
      </c>
    </row>
    <row r="123" spans="1:81" x14ac:dyDescent="0.75">
      <c r="A123" t="s">
        <v>30</v>
      </c>
      <c r="B123">
        <v>2021</v>
      </c>
      <c r="C123">
        <v>2022</v>
      </c>
      <c r="D123">
        <v>2023</v>
      </c>
      <c r="E123">
        <v>2024</v>
      </c>
      <c r="F123">
        <v>2025</v>
      </c>
      <c r="G123">
        <v>2026</v>
      </c>
      <c r="H123">
        <v>2027</v>
      </c>
      <c r="I123">
        <v>2028</v>
      </c>
      <c r="J123">
        <v>2029</v>
      </c>
      <c r="K123">
        <v>2030</v>
      </c>
      <c r="L123">
        <v>2031</v>
      </c>
      <c r="M123">
        <v>2032</v>
      </c>
      <c r="N123">
        <v>2033</v>
      </c>
      <c r="O123">
        <v>2034</v>
      </c>
      <c r="P123">
        <v>2035</v>
      </c>
      <c r="Q123">
        <v>2036</v>
      </c>
      <c r="R123">
        <v>2037</v>
      </c>
      <c r="S123">
        <v>2038</v>
      </c>
      <c r="T123">
        <v>2039</v>
      </c>
      <c r="U123">
        <v>2040</v>
      </c>
      <c r="V123">
        <v>2041</v>
      </c>
      <c r="W123">
        <v>2042</v>
      </c>
      <c r="X123">
        <v>2043</v>
      </c>
      <c r="Y123">
        <v>2044</v>
      </c>
      <c r="Z123">
        <v>2045</v>
      </c>
      <c r="AA123">
        <v>2046</v>
      </c>
      <c r="AB123">
        <v>2047</v>
      </c>
      <c r="AC123">
        <v>2048</v>
      </c>
      <c r="AD123">
        <v>2049</v>
      </c>
      <c r="AE123">
        <v>2050</v>
      </c>
    </row>
    <row r="124" spans="1:81" x14ac:dyDescent="0.75">
      <c r="A124" t="s">
        <v>52</v>
      </c>
      <c r="B124">
        <v>1.023940086192833E-6</v>
      </c>
      <c r="C124">
        <v>1.37046509528E-6</v>
      </c>
      <c r="D124">
        <v>1.2879886715000002E-6</v>
      </c>
      <c r="E124" s="1">
        <v>8.7542368725405194E-7</v>
      </c>
      <c r="F124" s="1">
        <v>8.8421319035840222E-7</v>
      </c>
      <c r="G124" s="1">
        <v>9.2488754390760803E-7</v>
      </c>
      <c r="H124" s="1">
        <v>9.127746612354838E-7</v>
      </c>
      <c r="I124" s="1">
        <v>9.1617702197382497E-7</v>
      </c>
      <c r="J124" s="1">
        <v>9.3376295802080869E-7</v>
      </c>
      <c r="K124" s="1">
        <v>9.5314248810228378E-7</v>
      </c>
      <c r="L124" s="1">
        <v>9.7376777527673222E-7</v>
      </c>
      <c r="M124" s="1">
        <v>1.0064396844778055E-6</v>
      </c>
      <c r="N124" s="1">
        <v>1.0433796146268383E-6</v>
      </c>
      <c r="O124" s="1">
        <v>1.0783118851889402E-6</v>
      </c>
      <c r="P124" s="1">
        <v>1.1026485279457159E-6</v>
      </c>
      <c r="Q124" s="1">
        <v>1.1079502339493323E-6</v>
      </c>
      <c r="R124" s="1">
        <v>1.112227747826447E-6</v>
      </c>
      <c r="S124" s="1">
        <v>1.1168371345068102E-6</v>
      </c>
      <c r="T124" s="1">
        <v>1.1231449960715347E-6</v>
      </c>
      <c r="U124" s="1">
        <v>1.1312608809230663E-6</v>
      </c>
      <c r="V124" s="1">
        <v>1.1432966810104548E-6</v>
      </c>
      <c r="W124" s="1">
        <v>1.1517421603622383E-6</v>
      </c>
      <c r="X124" s="1">
        <v>1.1651152293796509E-6</v>
      </c>
      <c r="Y124" s="1">
        <v>1.1766658458579412E-6</v>
      </c>
      <c r="Z124" s="1">
        <v>1.1856431191009718E-6</v>
      </c>
      <c r="AA124" s="1">
        <v>1.2070987527885832E-6</v>
      </c>
      <c r="AB124" s="1">
        <v>1.2096396302061342E-6</v>
      </c>
      <c r="AC124" s="1">
        <v>1.2157654173896715E-6</v>
      </c>
      <c r="AD124" s="1">
        <v>1.2289662846722177E-6</v>
      </c>
      <c r="AE124" s="1">
        <v>1.2419240380391116E-6</v>
      </c>
      <c r="AF124" s="1">
        <v>1.2419240380391116E-6</v>
      </c>
      <c r="AG124" s="1">
        <v>1.2419240380391116E-6</v>
      </c>
      <c r="AH124" s="1">
        <v>1.2419240380391116E-6</v>
      </c>
      <c r="AI124" s="1">
        <v>1.2419240380391116E-6</v>
      </c>
      <c r="AJ124" s="1">
        <v>1.2419240380391116E-6</v>
      </c>
      <c r="AK124" s="1">
        <v>1.2419240380391116E-6</v>
      </c>
      <c r="AL124" s="1">
        <v>1.2419240380391116E-6</v>
      </c>
      <c r="AM124" s="1">
        <v>1.2419240380391116E-6</v>
      </c>
      <c r="AN124" s="1">
        <v>1.2419240380391116E-6</v>
      </c>
      <c r="AO124" s="1">
        <v>1.2419240380391116E-6</v>
      </c>
      <c r="AP124" s="1">
        <v>1.2419240380391116E-6</v>
      </c>
      <c r="AQ124" s="1">
        <v>1.2419240380391116E-6</v>
      </c>
      <c r="AR124" s="1">
        <v>1.2419240380391116E-6</v>
      </c>
      <c r="AS124" s="1">
        <v>1.2419240380391116E-6</v>
      </c>
      <c r="AT124" s="1">
        <v>1.2419240380391116E-6</v>
      </c>
      <c r="AU124" s="1">
        <v>1.2419240380391116E-6</v>
      </c>
      <c r="AV124" s="1">
        <v>1.2419240380391116E-6</v>
      </c>
      <c r="AW124" s="1">
        <v>1.2419240380391116E-6</v>
      </c>
      <c r="AX124" s="1">
        <v>1.2419240380391116E-6</v>
      </c>
      <c r="AY124" s="1">
        <v>1.2419240380391116E-6</v>
      </c>
      <c r="AZ124" s="1">
        <v>1.2419240380391116E-6</v>
      </c>
      <c r="BA124" s="1">
        <v>1.2419240380391116E-6</v>
      </c>
      <c r="BB124" s="1">
        <v>1.2419240380391116E-6</v>
      </c>
      <c r="BC124" s="1">
        <v>1.2419240380391116E-6</v>
      </c>
      <c r="BD124" s="1">
        <v>1.2419240380391116E-6</v>
      </c>
      <c r="BE124" s="1">
        <v>1.2419240380391116E-6</v>
      </c>
      <c r="BF124" s="1">
        <v>1.2419240380391116E-6</v>
      </c>
      <c r="BG124" s="1">
        <v>1.2419240380391116E-6</v>
      </c>
      <c r="BH124" s="1">
        <v>1.2419240380391116E-6</v>
      </c>
      <c r="BI124" s="1">
        <v>1.2419240380391116E-6</v>
      </c>
      <c r="BJ124" s="1">
        <v>1.2419240380391116E-6</v>
      </c>
      <c r="BK124" s="1">
        <v>1.2419240380391116E-6</v>
      </c>
      <c r="BL124" s="1">
        <v>1.2419240380391116E-6</v>
      </c>
      <c r="BM124" s="1">
        <v>1.2419240380391116E-6</v>
      </c>
      <c r="BN124" s="1">
        <v>1.2419240380391116E-6</v>
      </c>
      <c r="BO124" s="1">
        <v>1.2419240380391116E-6</v>
      </c>
      <c r="BP124" s="1">
        <v>1.2419240380391116E-6</v>
      </c>
      <c r="BQ124" s="1">
        <v>1.2419240380391116E-6</v>
      </c>
      <c r="BR124" s="1">
        <v>1.2419240380391116E-6</v>
      </c>
      <c r="BS124" s="1">
        <v>1.2419240380391116E-6</v>
      </c>
      <c r="BT124" s="1">
        <v>1.2419240380391116E-6</v>
      </c>
      <c r="BU124" s="1">
        <v>1.2419240380391116E-6</v>
      </c>
      <c r="BV124" s="1">
        <v>1.2419240380391116E-6</v>
      </c>
      <c r="BW124" s="1">
        <v>1.2419240380391116E-6</v>
      </c>
      <c r="BX124" s="1">
        <v>1.2419240380391116E-6</v>
      </c>
      <c r="BY124" s="1">
        <v>1.2419240380391116E-6</v>
      </c>
      <c r="BZ124" s="1">
        <v>1.2419240380391116E-6</v>
      </c>
      <c r="CA124" s="1">
        <v>1.2419240380391116E-6</v>
      </c>
      <c r="CB124" s="1">
        <v>1.2419240380391116E-6</v>
      </c>
      <c r="CC124" s="1">
        <v>1.2419240380391116E-6</v>
      </c>
    </row>
    <row r="125" spans="1:81" x14ac:dyDescent="0.75">
      <c r="A125" t="s">
        <v>53</v>
      </c>
      <c r="B125">
        <v>0</v>
      </c>
      <c r="C125">
        <v>0</v>
      </c>
      <c r="D125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</row>
    <row r="126" spans="1:81" x14ac:dyDescent="0.75">
      <c r="A126" t="s">
        <v>54</v>
      </c>
      <c r="B126">
        <v>1.2398844098139572E-6</v>
      </c>
      <c r="C126">
        <v>1.5551391838400001E-6</v>
      </c>
      <c r="D126">
        <v>1.6711550089400004E-6</v>
      </c>
      <c r="E126" s="1">
        <v>1.323592087274288E-6</v>
      </c>
      <c r="F126" s="1">
        <v>1.2793182048481971E-6</v>
      </c>
      <c r="G126" s="1">
        <v>1.2883001296265136E-6</v>
      </c>
      <c r="H126" s="1">
        <v>1.2788261863301087E-6</v>
      </c>
      <c r="I126" s="1">
        <v>1.2776983314172368E-6</v>
      </c>
      <c r="J126" s="1">
        <v>1.2912143639477195E-6</v>
      </c>
      <c r="K126" s="1">
        <v>1.3128765637737377E-6</v>
      </c>
      <c r="L126" s="1">
        <v>1.3400084944494105E-6</v>
      </c>
      <c r="M126" s="1">
        <v>1.3800034390590136E-6</v>
      </c>
      <c r="N126" s="1">
        <v>1.4296365546393979E-6</v>
      </c>
      <c r="O126" s="1">
        <v>1.482883723278274E-6</v>
      </c>
      <c r="P126" s="1">
        <v>1.5311156825154233E-6</v>
      </c>
      <c r="Q126" s="1">
        <v>1.5567108978195307E-6</v>
      </c>
      <c r="R126" s="1">
        <v>1.5736491313102884E-6</v>
      </c>
      <c r="S126" s="1">
        <v>1.5867606701294887E-6</v>
      </c>
      <c r="T126" s="1">
        <v>1.599086384273262E-6</v>
      </c>
      <c r="U126" s="1">
        <v>1.6123195275149336E-6</v>
      </c>
      <c r="V126" s="1">
        <v>1.6291987149863489E-6</v>
      </c>
      <c r="W126" s="1">
        <v>1.6446640255894606E-6</v>
      </c>
      <c r="X126" s="1">
        <v>1.6639234701171284E-6</v>
      </c>
      <c r="Y126" s="1">
        <v>1.6832461375529673E-6</v>
      </c>
      <c r="Z126" s="1">
        <v>1.7006250328150865E-6</v>
      </c>
      <c r="AA126" s="1">
        <v>1.7278386026814899E-6</v>
      </c>
      <c r="AB126" s="1">
        <v>1.7431195606004171E-6</v>
      </c>
      <c r="AC126" s="1">
        <v>1.7568087441586823E-6</v>
      </c>
      <c r="AD126" s="1">
        <v>1.7756624608942777E-6</v>
      </c>
      <c r="AE126" s="1">
        <v>1.7952913702246471E-6</v>
      </c>
      <c r="AF126" s="1">
        <v>1.7952913702246471E-6</v>
      </c>
      <c r="AG126" s="1">
        <v>1.7952913702246471E-6</v>
      </c>
      <c r="AH126" s="1">
        <v>1.7952913702246471E-6</v>
      </c>
      <c r="AI126" s="1">
        <v>1.7952913702246471E-6</v>
      </c>
      <c r="AJ126" s="1">
        <v>1.7952913702246471E-6</v>
      </c>
      <c r="AK126" s="1">
        <v>1.7952913702246471E-6</v>
      </c>
      <c r="AL126" s="1">
        <v>1.7952913702246471E-6</v>
      </c>
      <c r="AM126" s="1">
        <v>1.7952913702246471E-6</v>
      </c>
      <c r="AN126" s="1">
        <v>1.7952913702246471E-6</v>
      </c>
      <c r="AO126" s="1">
        <v>1.7952913702246471E-6</v>
      </c>
      <c r="AP126" s="1">
        <v>1.7952913702246471E-6</v>
      </c>
      <c r="AQ126" s="1">
        <v>1.7952913702246471E-6</v>
      </c>
      <c r="AR126" s="1">
        <v>1.7952913702246471E-6</v>
      </c>
      <c r="AS126" s="1">
        <v>1.7952913702246471E-6</v>
      </c>
      <c r="AT126" s="1">
        <v>1.7952913702246471E-6</v>
      </c>
      <c r="AU126" s="1">
        <v>1.7952913702246471E-6</v>
      </c>
      <c r="AV126" s="1">
        <v>1.7952913702246471E-6</v>
      </c>
      <c r="AW126" s="1">
        <v>1.7952913702246471E-6</v>
      </c>
      <c r="AX126" s="1">
        <v>1.7952913702246471E-6</v>
      </c>
      <c r="AY126" s="1">
        <v>1.7952913702246471E-6</v>
      </c>
      <c r="AZ126" s="1">
        <v>1.7952913702246471E-6</v>
      </c>
      <c r="BA126" s="1">
        <v>1.7952913702246471E-6</v>
      </c>
      <c r="BB126" s="1">
        <v>1.7952913702246471E-6</v>
      </c>
      <c r="BC126" s="1">
        <v>1.7952913702246471E-6</v>
      </c>
      <c r="BD126" s="1">
        <v>1.7952913702246471E-6</v>
      </c>
      <c r="BE126" s="1">
        <v>1.7952913702246471E-6</v>
      </c>
      <c r="BF126" s="1">
        <v>1.7952913702246471E-6</v>
      </c>
      <c r="BG126" s="1">
        <v>1.7952913702246471E-6</v>
      </c>
      <c r="BH126" s="1">
        <v>1.7952913702246471E-6</v>
      </c>
      <c r="BI126" s="1">
        <v>1.7952913702246471E-6</v>
      </c>
      <c r="BJ126" s="1">
        <v>1.7952913702246471E-6</v>
      </c>
      <c r="BK126" s="1">
        <v>1.7952913702246471E-6</v>
      </c>
      <c r="BL126" s="1">
        <v>1.7952913702246471E-6</v>
      </c>
      <c r="BM126" s="1">
        <v>1.7952913702246471E-6</v>
      </c>
      <c r="BN126" s="1">
        <v>1.7952913702246471E-6</v>
      </c>
      <c r="BO126" s="1">
        <v>1.7952913702246471E-6</v>
      </c>
      <c r="BP126" s="1">
        <v>1.7952913702246471E-6</v>
      </c>
      <c r="BQ126" s="1">
        <v>1.7952913702246471E-6</v>
      </c>
      <c r="BR126" s="1">
        <v>1.7952913702246471E-6</v>
      </c>
      <c r="BS126" s="1">
        <v>1.7952913702246471E-6</v>
      </c>
      <c r="BT126" s="1">
        <v>1.7952913702246471E-6</v>
      </c>
      <c r="BU126" s="1">
        <v>1.7952913702246471E-6</v>
      </c>
      <c r="BV126" s="1">
        <v>1.7952913702246471E-6</v>
      </c>
      <c r="BW126" s="1">
        <v>1.7952913702246471E-6</v>
      </c>
      <c r="BX126" s="1">
        <v>1.7952913702246471E-6</v>
      </c>
      <c r="BY126" s="1">
        <v>1.7952913702246471E-6</v>
      </c>
      <c r="BZ126" s="1">
        <v>1.7952913702246471E-6</v>
      </c>
      <c r="CA126" s="1">
        <v>1.7952913702246471E-6</v>
      </c>
      <c r="CB126" s="1">
        <v>1.7952913702246471E-6</v>
      </c>
      <c r="CC126" s="1">
        <v>1.7952913702246471E-6</v>
      </c>
    </row>
    <row r="127" spans="1:81" x14ac:dyDescent="0.75">
      <c r="A127" t="s">
        <v>55</v>
      </c>
      <c r="B127">
        <v>1.0844778751067645E-6</v>
      </c>
      <c r="C127">
        <v>1.4853328767200001E-6</v>
      </c>
      <c r="D127">
        <v>1.4279175622400003E-6</v>
      </c>
      <c r="E127" s="1">
        <v>9.4995799008804334E-7</v>
      </c>
      <c r="F127" s="1">
        <v>9.5007864521759975E-7</v>
      </c>
      <c r="G127" s="1">
        <v>9.9372969656184929E-7</v>
      </c>
      <c r="H127" s="1">
        <v>9.8294686819359247E-7</v>
      </c>
      <c r="I127" s="1">
        <v>9.8638140996176779E-7</v>
      </c>
      <c r="J127" s="1">
        <v>1.0060425003219722E-6</v>
      </c>
      <c r="K127" s="1">
        <v>1.0288210686165847E-6</v>
      </c>
      <c r="L127" s="1">
        <v>1.0533686442591778E-6</v>
      </c>
      <c r="M127" s="1">
        <v>1.091558508390012E-6</v>
      </c>
      <c r="N127" s="1">
        <v>1.1355509254666651E-6</v>
      </c>
      <c r="O127" s="1">
        <v>1.1779429296171253E-6</v>
      </c>
      <c r="P127" s="1">
        <v>1.2098574929302349E-6</v>
      </c>
      <c r="Q127" s="1">
        <v>1.2178030746327312E-6</v>
      </c>
      <c r="R127" s="1">
        <v>1.2232754635025496E-6</v>
      </c>
      <c r="S127" s="1">
        <v>1.2289508111976951E-6</v>
      </c>
      <c r="T127" s="1">
        <v>1.2365330035721491E-6</v>
      </c>
      <c r="U127" s="1">
        <v>1.2462905955916971E-6</v>
      </c>
      <c r="V127" s="1">
        <v>1.2606450436251246E-6</v>
      </c>
      <c r="W127" s="1">
        <v>1.2712602268645097E-6</v>
      </c>
      <c r="X127" s="1">
        <v>1.2872698620253526E-6</v>
      </c>
      <c r="Y127" s="1">
        <v>1.3015439049488393E-6</v>
      </c>
      <c r="Z127" s="1">
        <v>1.3128300484208796E-6</v>
      </c>
      <c r="AA127" s="1">
        <v>1.3381227240728264E-6</v>
      </c>
      <c r="AB127" s="1">
        <v>1.3427795753989629E-6</v>
      </c>
      <c r="AC127" s="1">
        <v>1.3503221822588418E-6</v>
      </c>
      <c r="AD127" s="1">
        <v>1.3662362236230971E-6</v>
      </c>
      <c r="AE127" s="1">
        <v>1.3820085355550719E-6</v>
      </c>
      <c r="AF127" s="1">
        <v>1.3820085355550719E-6</v>
      </c>
      <c r="AG127" s="1">
        <v>1.3820085355550719E-6</v>
      </c>
      <c r="AH127" s="1">
        <v>1.3820085355550719E-6</v>
      </c>
      <c r="AI127" s="1">
        <v>1.3820085355550719E-6</v>
      </c>
      <c r="AJ127" s="1">
        <v>1.3820085355550719E-6</v>
      </c>
      <c r="AK127" s="1">
        <v>1.3820085355550719E-6</v>
      </c>
      <c r="AL127" s="1">
        <v>1.3820085355550719E-6</v>
      </c>
      <c r="AM127" s="1">
        <v>1.3820085355550719E-6</v>
      </c>
      <c r="AN127" s="1">
        <v>1.3820085355550719E-6</v>
      </c>
      <c r="AO127" s="1">
        <v>1.3820085355550719E-6</v>
      </c>
      <c r="AP127" s="1">
        <v>1.3820085355550719E-6</v>
      </c>
      <c r="AQ127" s="1">
        <v>1.3820085355550719E-6</v>
      </c>
      <c r="AR127" s="1">
        <v>1.3820085355550719E-6</v>
      </c>
      <c r="AS127" s="1">
        <v>1.3820085355550719E-6</v>
      </c>
      <c r="AT127" s="1">
        <v>1.3820085355550719E-6</v>
      </c>
      <c r="AU127" s="1">
        <v>1.3820085355550719E-6</v>
      </c>
      <c r="AV127" s="1">
        <v>1.3820085355550719E-6</v>
      </c>
      <c r="AW127" s="1">
        <v>1.3820085355550719E-6</v>
      </c>
      <c r="AX127" s="1">
        <v>1.3820085355550719E-6</v>
      </c>
      <c r="AY127" s="1">
        <v>1.3820085355550719E-6</v>
      </c>
      <c r="AZ127" s="1">
        <v>1.3820085355550719E-6</v>
      </c>
      <c r="BA127" s="1">
        <v>1.3820085355550719E-6</v>
      </c>
      <c r="BB127" s="1">
        <v>1.3820085355550719E-6</v>
      </c>
      <c r="BC127" s="1">
        <v>1.3820085355550719E-6</v>
      </c>
      <c r="BD127" s="1">
        <v>1.3820085355550719E-6</v>
      </c>
      <c r="BE127" s="1">
        <v>1.3820085355550719E-6</v>
      </c>
      <c r="BF127" s="1">
        <v>1.3820085355550719E-6</v>
      </c>
      <c r="BG127" s="1">
        <v>1.3820085355550719E-6</v>
      </c>
      <c r="BH127" s="1">
        <v>1.3820085355550719E-6</v>
      </c>
      <c r="BI127" s="1">
        <v>1.3820085355550719E-6</v>
      </c>
      <c r="BJ127" s="1">
        <v>1.3820085355550719E-6</v>
      </c>
      <c r="BK127" s="1">
        <v>1.3820085355550719E-6</v>
      </c>
      <c r="BL127" s="1">
        <v>1.3820085355550719E-6</v>
      </c>
      <c r="BM127" s="1">
        <v>1.3820085355550719E-6</v>
      </c>
      <c r="BN127" s="1">
        <v>1.3820085355550719E-6</v>
      </c>
      <c r="BO127" s="1">
        <v>1.3820085355550719E-6</v>
      </c>
      <c r="BP127" s="1">
        <v>1.3820085355550719E-6</v>
      </c>
      <c r="BQ127" s="1">
        <v>1.3820085355550719E-6</v>
      </c>
      <c r="BR127" s="1">
        <v>1.3820085355550719E-6</v>
      </c>
      <c r="BS127" s="1">
        <v>1.3820085355550719E-6</v>
      </c>
      <c r="BT127" s="1">
        <v>1.3820085355550719E-6</v>
      </c>
      <c r="BU127" s="1">
        <v>1.3820085355550719E-6</v>
      </c>
      <c r="BV127" s="1">
        <v>1.3820085355550719E-6</v>
      </c>
      <c r="BW127" s="1">
        <v>1.3820085355550719E-6</v>
      </c>
      <c r="BX127" s="1">
        <v>1.3820085355550719E-6</v>
      </c>
      <c r="BY127" s="1">
        <v>1.3820085355550719E-6</v>
      </c>
      <c r="BZ127" s="1">
        <v>1.3820085355550719E-6</v>
      </c>
      <c r="CA127" s="1">
        <v>1.3820085355550719E-6</v>
      </c>
      <c r="CB127" s="1">
        <v>1.3820085355550719E-6</v>
      </c>
      <c r="CC127" s="1">
        <v>1.3820085355550719E-6</v>
      </c>
    </row>
    <row r="128" spans="1:81" x14ac:dyDescent="0.75">
      <c r="A128" t="s">
        <v>56</v>
      </c>
      <c r="B128">
        <v>7.8726470464824886E-7</v>
      </c>
      <c r="C128">
        <v>1.2509613676000003E-6</v>
      </c>
      <c r="D128">
        <v>1.1460222127800003E-6</v>
      </c>
      <c r="E128" s="1">
        <v>6.301070323207502E-7</v>
      </c>
      <c r="F128" s="1">
        <v>6.2822980558040528E-7</v>
      </c>
      <c r="G128" s="1">
        <v>6.700296408101942E-7</v>
      </c>
      <c r="H128" s="1">
        <v>6.6000795550156165E-7</v>
      </c>
      <c r="I128" s="1">
        <v>6.6333850223084758E-7</v>
      </c>
      <c r="J128" s="1">
        <v>6.8260482913215311E-7</v>
      </c>
      <c r="K128" s="1">
        <v>7.053539693463857E-7</v>
      </c>
      <c r="L128" s="1">
        <v>7.3019762944931507E-7</v>
      </c>
      <c r="M128" s="1">
        <v>7.6922420035584552E-7</v>
      </c>
      <c r="N128" s="1">
        <v>8.1509821092025461E-7</v>
      </c>
      <c r="O128" s="1">
        <v>8.6023642454588217E-7</v>
      </c>
      <c r="P128" s="1">
        <v>8.8234384274925592E-7</v>
      </c>
      <c r="Q128" s="1">
        <v>8.8905648281313796E-7</v>
      </c>
      <c r="R128" s="1">
        <v>8.9510613670485427E-7</v>
      </c>
      <c r="S128" s="1">
        <v>9.0132580895773176E-7</v>
      </c>
      <c r="T128" s="1">
        <v>9.0960003586756435E-7</v>
      </c>
      <c r="U128" s="1">
        <v>9.2026790486375797E-7</v>
      </c>
      <c r="V128" s="1">
        <v>9.3599588481658065E-7</v>
      </c>
      <c r="W128" s="1">
        <v>9.4779958278613596E-7</v>
      </c>
      <c r="X128" s="1">
        <v>9.6552003363924205E-7</v>
      </c>
      <c r="Y128" s="1">
        <v>9.8149767762883343E-7</v>
      </c>
      <c r="Z128" s="1">
        <v>9.9423994150391545E-7</v>
      </c>
      <c r="AA128" s="1">
        <v>1.0225883910507653E-6</v>
      </c>
      <c r="AB128" s="1">
        <v>1.0282182676152604E-6</v>
      </c>
      <c r="AC128" s="1">
        <v>1.0368381320756157E-6</v>
      </c>
      <c r="AD128" s="1">
        <v>1.0527161952383744E-6</v>
      </c>
      <c r="AE128" s="1">
        <v>1.0707899729146188E-6</v>
      </c>
      <c r="AF128" s="1">
        <v>1.0707899729146188E-6</v>
      </c>
      <c r="AG128" s="1">
        <v>1.0707899729146188E-6</v>
      </c>
      <c r="AH128" s="1">
        <v>1.0707899729146188E-6</v>
      </c>
      <c r="AI128" s="1">
        <v>1.0707899729146188E-6</v>
      </c>
      <c r="AJ128" s="1">
        <v>1.0707899729146188E-6</v>
      </c>
      <c r="AK128" s="1">
        <v>1.0707899729146188E-6</v>
      </c>
      <c r="AL128" s="1">
        <v>1.0707899729146188E-6</v>
      </c>
      <c r="AM128" s="1">
        <v>1.0707899729146188E-6</v>
      </c>
      <c r="AN128" s="1">
        <v>1.0707899729146188E-6</v>
      </c>
      <c r="AO128" s="1">
        <v>1.0707899729146188E-6</v>
      </c>
      <c r="AP128" s="1">
        <v>1.0707899729146188E-6</v>
      </c>
      <c r="AQ128" s="1">
        <v>1.0707899729146188E-6</v>
      </c>
      <c r="AR128" s="1">
        <v>1.0707899729146188E-6</v>
      </c>
      <c r="AS128" s="1">
        <v>1.0707899729146188E-6</v>
      </c>
      <c r="AT128" s="1">
        <v>1.0707899729146188E-6</v>
      </c>
      <c r="AU128" s="1">
        <v>1.0707899729146188E-6</v>
      </c>
      <c r="AV128" s="1">
        <v>1.0707899729146188E-6</v>
      </c>
      <c r="AW128" s="1">
        <v>1.0707899729146188E-6</v>
      </c>
      <c r="AX128" s="1">
        <v>1.0707899729146188E-6</v>
      </c>
      <c r="AY128" s="1">
        <v>1.0707899729146188E-6</v>
      </c>
      <c r="AZ128" s="1">
        <v>1.0707899729146188E-6</v>
      </c>
      <c r="BA128" s="1">
        <v>1.0707899729146188E-6</v>
      </c>
      <c r="BB128" s="1">
        <v>1.0707899729146188E-6</v>
      </c>
      <c r="BC128" s="1">
        <v>1.0707899729146188E-6</v>
      </c>
      <c r="BD128" s="1">
        <v>1.0707899729146188E-6</v>
      </c>
      <c r="BE128" s="1">
        <v>1.0707899729146188E-6</v>
      </c>
      <c r="BF128" s="1">
        <v>1.0707899729146188E-6</v>
      </c>
      <c r="BG128" s="1">
        <v>1.0707899729146188E-6</v>
      </c>
      <c r="BH128" s="1">
        <v>1.0707899729146188E-6</v>
      </c>
      <c r="BI128" s="1">
        <v>1.0707899729146188E-6</v>
      </c>
      <c r="BJ128" s="1">
        <v>1.0707899729146188E-6</v>
      </c>
      <c r="BK128" s="1">
        <v>1.0707899729146188E-6</v>
      </c>
      <c r="BL128" s="1">
        <v>1.0707899729146188E-6</v>
      </c>
      <c r="BM128" s="1">
        <v>1.0707899729146188E-6</v>
      </c>
      <c r="BN128" s="1">
        <v>1.0707899729146188E-6</v>
      </c>
      <c r="BO128" s="1">
        <v>1.0707899729146188E-6</v>
      </c>
      <c r="BP128" s="1">
        <v>1.0707899729146188E-6</v>
      </c>
      <c r="BQ128" s="1">
        <v>1.0707899729146188E-6</v>
      </c>
      <c r="BR128" s="1">
        <v>1.0707899729146188E-6</v>
      </c>
      <c r="BS128" s="1">
        <v>1.0707899729146188E-6</v>
      </c>
      <c r="BT128" s="1">
        <v>1.0707899729146188E-6</v>
      </c>
      <c r="BU128" s="1">
        <v>1.0707899729146188E-6</v>
      </c>
      <c r="BV128" s="1">
        <v>1.0707899729146188E-6</v>
      </c>
      <c r="BW128" s="1">
        <v>1.0707899729146188E-6</v>
      </c>
      <c r="BX128" s="1">
        <v>1.0707899729146188E-6</v>
      </c>
      <c r="BY128" s="1">
        <v>1.0707899729146188E-6</v>
      </c>
      <c r="BZ128" s="1">
        <v>1.0707899729146188E-6</v>
      </c>
      <c r="CA128" s="1">
        <v>1.0707899729146188E-6</v>
      </c>
      <c r="CB128" s="1">
        <v>1.0707899729146188E-6</v>
      </c>
      <c r="CC128" s="1">
        <v>1.0707899729146188E-6</v>
      </c>
    </row>
    <row r="129" spans="1:81" x14ac:dyDescent="0.75">
      <c r="A129" t="s">
        <v>57</v>
      </c>
      <c r="B129">
        <v>0</v>
      </c>
      <c r="C129">
        <v>0</v>
      </c>
      <c r="D129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</row>
    <row r="130" spans="1:81" x14ac:dyDescent="0.75">
      <c r="A130" t="s">
        <v>58</v>
      </c>
      <c r="B130">
        <v>0</v>
      </c>
      <c r="C130">
        <v>0</v>
      </c>
      <c r="D130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</row>
    <row r="131" spans="1:81" x14ac:dyDescent="0.75">
      <c r="A131" t="s">
        <v>59</v>
      </c>
      <c r="B131">
        <v>7.8726470464824886E-7</v>
      </c>
      <c r="C131">
        <v>1.2509613676000003E-6</v>
      </c>
      <c r="D131">
        <v>1.1460222127800003E-6</v>
      </c>
      <c r="E131" s="1">
        <v>6.301070323207502E-7</v>
      </c>
      <c r="F131" s="1">
        <v>6.2822980558040528E-7</v>
      </c>
      <c r="G131" s="1">
        <v>6.700296408101942E-7</v>
      </c>
      <c r="H131" s="1">
        <v>6.6000795550156165E-7</v>
      </c>
      <c r="I131" s="1">
        <v>6.6333850223084758E-7</v>
      </c>
      <c r="J131" s="1">
        <v>6.8260482913215311E-7</v>
      </c>
      <c r="K131" s="1">
        <v>7.053539693463857E-7</v>
      </c>
      <c r="L131" s="1">
        <v>7.3019762944931507E-7</v>
      </c>
      <c r="M131" s="1">
        <v>7.6922420035584552E-7</v>
      </c>
      <c r="N131" s="1">
        <v>8.1509821092025461E-7</v>
      </c>
      <c r="O131" s="1">
        <v>8.6023642454588217E-7</v>
      </c>
      <c r="P131" s="1">
        <v>8.8234384274925592E-7</v>
      </c>
      <c r="Q131" s="1">
        <v>8.8905648281313796E-7</v>
      </c>
      <c r="R131" s="1">
        <v>8.9510613670485427E-7</v>
      </c>
      <c r="S131" s="1">
        <v>9.0132580895773176E-7</v>
      </c>
      <c r="T131" s="1">
        <v>9.0960003586756435E-7</v>
      </c>
      <c r="U131" s="1">
        <v>9.2026790486375797E-7</v>
      </c>
      <c r="V131" s="1">
        <v>9.3599588481658065E-7</v>
      </c>
      <c r="W131" s="1">
        <v>9.4779958278613596E-7</v>
      </c>
      <c r="X131" s="1">
        <v>9.6552003363924205E-7</v>
      </c>
      <c r="Y131" s="1">
        <v>9.8149767762883343E-7</v>
      </c>
      <c r="Z131" s="1">
        <v>9.9423994150391545E-7</v>
      </c>
      <c r="AA131" s="1">
        <v>1.0225883910507653E-6</v>
      </c>
      <c r="AB131" s="1">
        <v>1.0282182676152604E-6</v>
      </c>
      <c r="AC131" s="1">
        <v>1.0368381320756157E-6</v>
      </c>
      <c r="AD131" s="1">
        <v>1.0527161952383744E-6</v>
      </c>
      <c r="AE131" s="1">
        <v>1.0707899729146188E-6</v>
      </c>
      <c r="AF131" s="1">
        <v>1.0707899729146188E-6</v>
      </c>
      <c r="AG131" s="1">
        <v>1.0707899729146188E-6</v>
      </c>
      <c r="AH131" s="1">
        <v>1.0707899729146188E-6</v>
      </c>
      <c r="AI131" s="1">
        <v>1.0707899729146188E-6</v>
      </c>
      <c r="AJ131" s="1">
        <v>1.0707899729146188E-6</v>
      </c>
      <c r="AK131" s="1">
        <v>1.0707899729146188E-6</v>
      </c>
      <c r="AL131" s="1">
        <v>1.0707899729146188E-6</v>
      </c>
      <c r="AM131" s="1">
        <v>1.0707899729146188E-6</v>
      </c>
      <c r="AN131" s="1">
        <v>1.0707899729146188E-6</v>
      </c>
      <c r="AO131" s="1">
        <v>1.0707899729146188E-6</v>
      </c>
      <c r="AP131" s="1">
        <v>1.0707899729146188E-6</v>
      </c>
      <c r="AQ131" s="1">
        <v>1.0707899729146188E-6</v>
      </c>
      <c r="AR131" s="1">
        <v>1.0707899729146188E-6</v>
      </c>
      <c r="AS131" s="1">
        <v>1.0707899729146188E-6</v>
      </c>
      <c r="AT131" s="1">
        <v>1.0707899729146188E-6</v>
      </c>
      <c r="AU131" s="1">
        <v>1.0707899729146188E-6</v>
      </c>
      <c r="AV131" s="1">
        <v>1.0707899729146188E-6</v>
      </c>
      <c r="AW131" s="1">
        <v>1.0707899729146188E-6</v>
      </c>
      <c r="AX131" s="1">
        <v>1.0707899729146188E-6</v>
      </c>
      <c r="AY131" s="1">
        <v>1.0707899729146188E-6</v>
      </c>
      <c r="AZ131" s="1">
        <v>1.0707899729146188E-6</v>
      </c>
      <c r="BA131" s="1">
        <v>1.0707899729146188E-6</v>
      </c>
      <c r="BB131" s="1">
        <v>1.0707899729146188E-6</v>
      </c>
      <c r="BC131" s="1">
        <v>1.0707899729146188E-6</v>
      </c>
      <c r="BD131" s="1">
        <v>1.0707899729146188E-6</v>
      </c>
      <c r="BE131" s="1">
        <v>1.0707899729146188E-6</v>
      </c>
      <c r="BF131" s="1">
        <v>1.0707899729146188E-6</v>
      </c>
      <c r="BG131" s="1">
        <v>1.0707899729146188E-6</v>
      </c>
      <c r="BH131" s="1">
        <v>1.0707899729146188E-6</v>
      </c>
      <c r="BI131" s="1">
        <v>1.0707899729146188E-6</v>
      </c>
      <c r="BJ131" s="1">
        <v>1.0707899729146188E-6</v>
      </c>
      <c r="BK131" s="1">
        <v>1.0707899729146188E-6</v>
      </c>
      <c r="BL131" s="1">
        <v>1.0707899729146188E-6</v>
      </c>
      <c r="BM131" s="1">
        <v>1.0707899729146188E-6</v>
      </c>
      <c r="BN131" s="1">
        <v>1.0707899729146188E-6</v>
      </c>
      <c r="BO131" s="1">
        <v>1.0707899729146188E-6</v>
      </c>
      <c r="BP131" s="1">
        <v>1.0707899729146188E-6</v>
      </c>
      <c r="BQ131" s="1">
        <v>1.0707899729146188E-6</v>
      </c>
      <c r="BR131" s="1">
        <v>1.0707899729146188E-6</v>
      </c>
      <c r="BS131" s="1">
        <v>1.0707899729146188E-6</v>
      </c>
      <c r="BT131" s="1">
        <v>1.0707899729146188E-6</v>
      </c>
      <c r="BU131" s="1">
        <v>1.0707899729146188E-6</v>
      </c>
      <c r="BV131" s="1">
        <v>1.0707899729146188E-6</v>
      </c>
      <c r="BW131" s="1">
        <v>1.0707899729146188E-6</v>
      </c>
      <c r="BX131" s="1">
        <v>1.0707899729146188E-6</v>
      </c>
      <c r="BY131" s="1">
        <v>1.0707899729146188E-6</v>
      </c>
      <c r="BZ131" s="1">
        <v>1.0707899729146188E-6</v>
      </c>
      <c r="CA131" s="1">
        <v>1.0707899729146188E-6</v>
      </c>
      <c r="CB131" s="1">
        <v>1.0707899729146188E-6</v>
      </c>
      <c r="CC131" s="1">
        <v>1.0707899729146188E-6</v>
      </c>
    </row>
    <row r="132" spans="1:81" s="3" customFormat="1" x14ac:dyDescent="0.75">
      <c r="A132" s="5" t="s">
        <v>49</v>
      </c>
    </row>
    <row r="133" spans="1:81" x14ac:dyDescent="0.75">
      <c r="A133" t="s">
        <v>30</v>
      </c>
      <c r="B133">
        <v>2021</v>
      </c>
      <c r="C133">
        <v>2022</v>
      </c>
      <c r="D133">
        <v>2023</v>
      </c>
      <c r="E133">
        <v>2024</v>
      </c>
      <c r="F133">
        <v>2025</v>
      </c>
      <c r="G133">
        <v>2026</v>
      </c>
      <c r="H133">
        <v>2027</v>
      </c>
      <c r="I133">
        <v>2028</v>
      </c>
      <c r="J133">
        <v>2029</v>
      </c>
      <c r="K133">
        <v>2030</v>
      </c>
      <c r="L133">
        <v>2031</v>
      </c>
      <c r="M133">
        <v>2032</v>
      </c>
      <c r="N133">
        <v>2033</v>
      </c>
      <c r="O133">
        <v>2034</v>
      </c>
      <c r="P133">
        <v>2035</v>
      </c>
      <c r="Q133">
        <v>2036</v>
      </c>
      <c r="R133">
        <v>2037</v>
      </c>
      <c r="S133">
        <v>2038</v>
      </c>
      <c r="T133">
        <v>2039</v>
      </c>
      <c r="U133">
        <v>2040</v>
      </c>
      <c r="V133">
        <v>2041</v>
      </c>
      <c r="W133">
        <v>2042</v>
      </c>
      <c r="X133">
        <v>2043</v>
      </c>
      <c r="Y133">
        <v>2044</v>
      </c>
      <c r="Z133">
        <v>2045</v>
      </c>
      <c r="AA133">
        <v>2046</v>
      </c>
      <c r="AB133">
        <v>2047</v>
      </c>
      <c r="AC133">
        <v>2048</v>
      </c>
      <c r="AD133">
        <v>2049</v>
      </c>
      <c r="AE133">
        <v>2050</v>
      </c>
    </row>
    <row r="134" spans="1:81" x14ac:dyDescent="0.75">
      <c r="A134" t="s">
        <v>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81" x14ac:dyDescent="0.75">
      <c r="A135" t="s">
        <v>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81" x14ac:dyDescent="0.75">
      <c r="A136" t="s">
        <v>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81" x14ac:dyDescent="0.75">
      <c r="A137" t="s">
        <v>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81" x14ac:dyDescent="0.75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81" x14ac:dyDescent="0.75">
      <c r="A139" t="s">
        <v>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81" x14ac:dyDescent="0.75">
      <c r="A140" t="s">
        <v>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81" x14ac:dyDescent="0.75">
      <c r="A141" t="s">
        <v>59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81" s="3" customFormat="1" x14ac:dyDescent="0.75">
      <c r="A142" s="5" t="s">
        <v>50</v>
      </c>
    </row>
    <row r="143" spans="1:81" x14ac:dyDescent="0.75">
      <c r="A143" t="s">
        <v>30</v>
      </c>
      <c r="B143">
        <v>2021</v>
      </c>
      <c r="C143">
        <v>2022</v>
      </c>
      <c r="D143">
        <v>2023</v>
      </c>
      <c r="E143">
        <v>2024</v>
      </c>
      <c r="F143">
        <v>2025</v>
      </c>
      <c r="G143">
        <v>2026</v>
      </c>
      <c r="H143">
        <v>2027</v>
      </c>
      <c r="I143">
        <v>2028</v>
      </c>
      <c r="J143">
        <v>2029</v>
      </c>
      <c r="K143">
        <v>2030</v>
      </c>
      <c r="L143">
        <v>2031</v>
      </c>
      <c r="M143">
        <v>2032</v>
      </c>
      <c r="N143">
        <v>2033</v>
      </c>
      <c r="O143">
        <v>2034</v>
      </c>
      <c r="P143">
        <v>2035</v>
      </c>
      <c r="Q143">
        <v>2036</v>
      </c>
      <c r="R143">
        <v>2037</v>
      </c>
      <c r="S143">
        <v>2038</v>
      </c>
      <c r="T143">
        <v>2039</v>
      </c>
      <c r="U143">
        <v>2040</v>
      </c>
      <c r="V143">
        <v>2041</v>
      </c>
      <c r="W143">
        <v>2042</v>
      </c>
      <c r="X143">
        <v>2043</v>
      </c>
      <c r="Y143">
        <v>2044</v>
      </c>
      <c r="Z143">
        <v>2045</v>
      </c>
      <c r="AA143">
        <v>2046</v>
      </c>
      <c r="AB143">
        <v>2047</v>
      </c>
      <c r="AC143">
        <v>2048</v>
      </c>
      <c r="AD143">
        <v>2049</v>
      </c>
      <c r="AE143">
        <v>2050</v>
      </c>
    </row>
    <row r="144" spans="1:81" x14ac:dyDescent="0.75">
      <c r="A144" t="s">
        <v>52</v>
      </c>
      <c r="B144">
        <v>4.8451926756206613E-6</v>
      </c>
      <c r="C144">
        <v>4.4135332579317278E-6</v>
      </c>
      <c r="D144">
        <v>3.9818738402426808E-6</v>
      </c>
      <c r="E144">
        <v>3.0095213063235439E-6</v>
      </c>
      <c r="F144">
        <v>3.0233088366278515E-6</v>
      </c>
      <c r="G144">
        <v>3.0135789639614352E-6</v>
      </c>
      <c r="H144">
        <v>3.0083337408862892E-6</v>
      </c>
      <c r="I144">
        <v>3.0126805531462331E-6</v>
      </c>
      <c r="J144">
        <v>3.0229346253605726E-6</v>
      </c>
      <c r="K144">
        <v>3.0355811055804829E-6</v>
      </c>
      <c r="L144">
        <v>3.0767135878906953E-6</v>
      </c>
      <c r="M144">
        <v>3.0880468162913432E-6</v>
      </c>
      <c r="N144">
        <v>3.1194093657741061E-6</v>
      </c>
      <c r="O144">
        <v>3.1379767757663963E-6</v>
      </c>
      <c r="P144">
        <v>3.1454093595773713E-6</v>
      </c>
      <c r="Q144">
        <v>3.1377426801334406E-6</v>
      </c>
      <c r="R144">
        <v>3.1330104549498152E-6</v>
      </c>
      <c r="S144">
        <v>3.1457025012296686E-6</v>
      </c>
      <c r="T144">
        <v>3.1522250928518725E-6</v>
      </c>
      <c r="U144">
        <v>3.1508074188119077E-6</v>
      </c>
      <c r="V144">
        <v>3.142139045483572E-6</v>
      </c>
      <c r="W144">
        <v>3.1340288563895327E-6</v>
      </c>
      <c r="X144">
        <v>3.1366635239471327E-6</v>
      </c>
      <c r="Y144">
        <v>3.1480379516603112E-6</v>
      </c>
      <c r="Z144">
        <v>3.1462481547974815E-6</v>
      </c>
      <c r="AA144">
        <v>3.1545618722925978E-6</v>
      </c>
      <c r="AB144">
        <v>3.1532313433422725E-6</v>
      </c>
      <c r="AC144">
        <v>3.155887654778345E-6</v>
      </c>
      <c r="AD144">
        <v>3.136351966012275E-6</v>
      </c>
      <c r="AE144">
        <v>3.140571003445796E-6</v>
      </c>
      <c r="AF144">
        <v>3.140571003445796E-6</v>
      </c>
      <c r="AG144">
        <v>3.140571003445796E-6</v>
      </c>
      <c r="AH144">
        <v>3.140571003445796E-6</v>
      </c>
      <c r="AI144">
        <v>3.140571003445796E-6</v>
      </c>
      <c r="AJ144">
        <v>3.140571003445796E-6</v>
      </c>
      <c r="AK144">
        <v>3.140571003445796E-6</v>
      </c>
      <c r="AL144">
        <v>3.140571003445796E-6</v>
      </c>
      <c r="AM144">
        <v>3.140571003445796E-6</v>
      </c>
      <c r="AN144">
        <v>3.140571003445796E-6</v>
      </c>
      <c r="AO144">
        <v>3.140571003445796E-6</v>
      </c>
      <c r="AP144">
        <v>3.140571003445796E-6</v>
      </c>
      <c r="AQ144">
        <v>3.140571003445796E-6</v>
      </c>
      <c r="AR144">
        <v>3.140571003445796E-6</v>
      </c>
      <c r="AS144">
        <v>3.140571003445796E-6</v>
      </c>
      <c r="AT144">
        <v>3.140571003445796E-6</v>
      </c>
      <c r="AU144">
        <v>3.140571003445796E-6</v>
      </c>
      <c r="AV144">
        <v>3.140571003445796E-6</v>
      </c>
      <c r="AW144">
        <v>3.140571003445796E-6</v>
      </c>
      <c r="AX144">
        <v>3.140571003445796E-6</v>
      </c>
      <c r="AY144">
        <v>3.140571003445796E-6</v>
      </c>
      <c r="AZ144">
        <v>3.140571003445796E-6</v>
      </c>
      <c r="BA144">
        <v>3.140571003445796E-6</v>
      </c>
      <c r="BB144">
        <v>3.140571003445796E-6</v>
      </c>
      <c r="BC144">
        <v>3.140571003445796E-6</v>
      </c>
      <c r="BD144">
        <v>3.140571003445796E-6</v>
      </c>
      <c r="BE144">
        <v>3.140571003445796E-6</v>
      </c>
      <c r="BF144">
        <v>3.140571003445796E-6</v>
      </c>
      <c r="BG144">
        <v>3.140571003445796E-6</v>
      </c>
      <c r="BH144">
        <v>3.140571003445796E-6</v>
      </c>
      <c r="BI144">
        <v>3.140571003445796E-6</v>
      </c>
      <c r="BJ144">
        <v>3.140571003445796E-6</v>
      </c>
      <c r="BK144">
        <v>3.140571003445796E-6</v>
      </c>
      <c r="BL144">
        <v>3.140571003445796E-6</v>
      </c>
      <c r="BM144">
        <v>3.140571003445796E-6</v>
      </c>
      <c r="BN144">
        <v>3.140571003445796E-6</v>
      </c>
      <c r="BO144">
        <v>3.140571003445796E-6</v>
      </c>
      <c r="BP144">
        <v>3.140571003445796E-6</v>
      </c>
      <c r="BQ144">
        <v>3.140571003445796E-6</v>
      </c>
      <c r="BR144">
        <v>3.140571003445796E-6</v>
      </c>
      <c r="BS144">
        <v>3.140571003445796E-6</v>
      </c>
      <c r="BT144">
        <v>3.140571003445796E-6</v>
      </c>
      <c r="BU144">
        <v>3.140571003445796E-6</v>
      </c>
      <c r="BV144">
        <v>3.140571003445796E-6</v>
      </c>
      <c r="BW144">
        <v>3.140571003445796E-6</v>
      </c>
      <c r="BX144">
        <v>3.140571003445796E-6</v>
      </c>
      <c r="BY144">
        <v>3.140571003445796E-6</v>
      </c>
      <c r="BZ144">
        <v>3.140571003445796E-6</v>
      </c>
      <c r="CA144">
        <v>3.140571003445796E-6</v>
      </c>
      <c r="CB144">
        <v>3.140571003445796E-6</v>
      </c>
      <c r="CC144">
        <v>3.140571003445796E-6</v>
      </c>
    </row>
    <row r="145" spans="1:81" x14ac:dyDescent="0.75">
      <c r="A145" t="s">
        <v>53</v>
      </c>
      <c r="B145">
        <v>0</v>
      </c>
      <c r="C145">
        <v>0</v>
      </c>
      <c r="D145">
        <v>0</v>
      </c>
      <c r="E145">
        <v>4.7450368408124517E-7</v>
      </c>
      <c r="F145">
        <v>5.2854598046612015E-7</v>
      </c>
      <c r="G145">
        <v>5.2329131192646512E-7</v>
      </c>
      <c r="H145">
        <v>5.1891122694983425E-7</v>
      </c>
      <c r="I145">
        <v>5.2547074606645054E-7</v>
      </c>
      <c r="J145">
        <v>5.3690588106157341E-7</v>
      </c>
      <c r="K145">
        <v>5.5074386628433855E-7</v>
      </c>
      <c r="L145">
        <v>5.6338355905990402E-7</v>
      </c>
      <c r="M145">
        <v>5.7932318386823104E-7</v>
      </c>
      <c r="N145">
        <v>6.0500625623166591E-7</v>
      </c>
      <c r="O145">
        <v>6.2335789194426869E-7</v>
      </c>
      <c r="P145">
        <v>6.3042936473019834E-7</v>
      </c>
      <c r="Q145">
        <v>6.2791207724159712E-7</v>
      </c>
      <c r="R145">
        <v>6.2377240069580898E-7</v>
      </c>
      <c r="S145">
        <v>6.3418291638261873E-7</v>
      </c>
      <c r="T145">
        <v>6.3767137798839299E-7</v>
      </c>
      <c r="U145">
        <v>6.3709805253209396E-7</v>
      </c>
      <c r="V145">
        <v>6.3087002650156037E-7</v>
      </c>
      <c r="W145">
        <v>6.264602761213207E-7</v>
      </c>
      <c r="X145">
        <v>6.2968635316525901E-7</v>
      </c>
      <c r="Y145">
        <v>6.3829658230252224E-7</v>
      </c>
      <c r="Z145">
        <v>6.366963592349121E-7</v>
      </c>
      <c r="AA145">
        <v>6.3770816308886775E-7</v>
      </c>
      <c r="AB145">
        <v>6.3654746264112069E-7</v>
      </c>
      <c r="AC145">
        <v>6.3825125356580899E-7</v>
      </c>
      <c r="AD145">
        <v>6.3134918210064456E-7</v>
      </c>
      <c r="AE145">
        <v>6.3621687138330776E-7</v>
      </c>
      <c r="AF145">
        <v>6.3621687138330776E-7</v>
      </c>
      <c r="AG145">
        <v>6.3621687138330776E-7</v>
      </c>
      <c r="AH145">
        <v>6.3621687138330776E-7</v>
      </c>
      <c r="AI145">
        <v>6.3621687138330776E-7</v>
      </c>
      <c r="AJ145">
        <v>6.3621687138330776E-7</v>
      </c>
      <c r="AK145">
        <v>6.3621687138330776E-7</v>
      </c>
      <c r="AL145">
        <v>6.3621687138330776E-7</v>
      </c>
      <c r="AM145">
        <v>6.3621687138330776E-7</v>
      </c>
      <c r="AN145">
        <v>6.3621687138330776E-7</v>
      </c>
      <c r="AO145">
        <v>6.3621687138330776E-7</v>
      </c>
      <c r="AP145">
        <v>6.3621687138330776E-7</v>
      </c>
      <c r="AQ145">
        <v>6.3621687138330776E-7</v>
      </c>
      <c r="AR145">
        <v>6.3621687138330776E-7</v>
      </c>
      <c r="AS145">
        <v>6.3621687138330776E-7</v>
      </c>
      <c r="AT145">
        <v>6.3621687138330776E-7</v>
      </c>
      <c r="AU145">
        <v>6.3621687138330776E-7</v>
      </c>
      <c r="AV145">
        <v>6.3621687138330776E-7</v>
      </c>
      <c r="AW145">
        <v>6.3621687138330776E-7</v>
      </c>
      <c r="AX145">
        <v>6.3621687138330776E-7</v>
      </c>
      <c r="AY145">
        <v>6.3621687138330776E-7</v>
      </c>
      <c r="AZ145">
        <v>6.3621687138330776E-7</v>
      </c>
      <c r="BA145">
        <v>6.3621687138330776E-7</v>
      </c>
      <c r="BB145">
        <v>6.3621687138330776E-7</v>
      </c>
      <c r="BC145">
        <v>6.3621687138330776E-7</v>
      </c>
      <c r="BD145">
        <v>6.3621687138330776E-7</v>
      </c>
      <c r="BE145">
        <v>6.3621687138330776E-7</v>
      </c>
      <c r="BF145">
        <v>6.3621687138330776E-7</v>
      </c>
      <c r="BG145">
        <v>6.3621687138330776E-7</v>
      </c>
      <c r="BH145">
        <v>6.3621687138330776E-7</v>
      </c>
      <c r="BI145">
        <v>6.3621687138330776E-7</v>
      </c>
      <c r="BJ145">
        <v>6.3621687138330776E-7</v>
      </c>
      <c r="BK145">
        <v>6.3621687138330776E-7</v>
      </c>
      <c r="BL145">
        <v>6.3621687138330776E-7</v>
      </c>
      <c r="BM145">
        <v>6.3621687138330776E-7</v>
      </c>
      <c r="BN145">
        <v>6.3621687138330776E-7</v>
      </c>
      <c r="BO145">
        <v>6.3621687138330776E-7</v>
      </c>
      <c r="BP145">
        <v>6.3621687138330776E-7</v>
      </c>
      <c r="BQ145">
        <v>6.3621687138330776E-7</v>
      </c>
      <c r="BR145">
        <v>6.3621687138330776E-7</v>
      </c>
      <c r="BS145">
        <v>6.3621687138330776E-7</v>
      </c>
      <c r="BT145">
        <v>6.3621687138330776E-7</v>
      </c>
      <c r="BU145">
        <v>6.3621687138330776E-7</v>
      </c>
      <c r="BV145">
        <v>6.3621687138330776E-7</v>
      </c>
      <c r="BW145">
        <v>6.3621687138330776E-7</v>
      </c>
      <c r="BX145">
        <v>6.3621687138330776E-7</v>
      </c>
      <c r="BY145">
        <v>6.3621687138330776E-7</v>
      </c>
      <c r="BZ145">
        <v>6.3621687138330776E-7</v>
      </c>
      <c r="CA145">
        <v>6.3621687138330776E-7</v>
      </c>
      <c r="CB145">
        <v>6.3621687138330776E-7</v>
      </c>
      <c r="CC145">
        <v>6.3621687138330776E-7</v>
      </c>
    </row>
    <row r="146" spans="1:81" x14ac:dyDescent="0.75">
      <c r="A146" t="s">
        <v>54</v>
      </c>
      <c r="B146">
        <v>4.8451926756206613E-6</v>
      </c>
      <c r="C146">
        <v>4.4135332579317278E-6</v>
      </c>
      <c r="D146">
        <v>3.9818738402426808E-6</v>
      </c>
      <c r="E146">
        <v>4.7450368408124517E-7</v>
      </c>
      <c r="F146">
        <v>5.2854598046612015E-7</v>
      </c>
      <c r="G146">
        <v>5.2329131192646512E-7</v>
      </c>
      <c r="H146">
        <v>5.1891122694983425E-7</v>
      </c>
      <c r="I146">
        <v>5.2547074606645054E-7</v>
      </c>
      <c r="J146">
        <v>5.3690588106157341E-7</v>
      </c>
      <c r="K146">
        <v>5.5074386628433855E-7</v>
      </c>
      <c r="L146">
        <v>5.6338355905990402E-7</v>
      </c>
      <c r="M146">
        <v>5.7932318386823104E-7</v>
      </c>
      <c r="N146">
        <v>6.0500625623166591E-7</v>
      </c>
      <c r="O146">
        <v>6.2335789194426869E-7</v>
      </c>
      <c r="P146">
        <v>6.3042936473019834E-7</v>
      </c>
      <c r="Q146">
        <v>6.2791207724159712E-7</v>
      </c>
      <c r="R146">
        <v>6.2377240069580898E-7</v>
      </c>
      <c r="S146">
        <v>6.3418291638261873E-7</v>
      </c>
      <c r="T146">
        <v>6.3767137798839299E-7</v>
      </c>
      <c r="U146">
        <v>6.3709805253209396E-7</v>
      </c>
      <c r="V146">
        <v>6.3087002650156037E-7</v>
      </c>
      <c r="W146">
        <v>6.264602761213207E-7</v>
      </c>
      <c r="X146">
        <v>6.2968635316525901E-7</v>
      </c>
      <c r="Y146">
        <v>6.3829658230252224E-7</v>
      </c>
      <c r="Z146">
        <v>6.366963592349121E-7</v>
      </c>
      <c r="AA146">
        <v>6.3770816308886775E-7</v>
      </c>
      <c r="AB146">
        <v>6.3654746264112069E-7</v>
      </c>
      <c r="AC146">
        <v>6.3825125356580899E-7</v>
      </c>
      <c r="AD146">
        <v>6.3134918210064456E-7</v>
      </c>
      <c r="AE146">
        <v>6.3621687138330776E-7</v>
      </c>
      <c r="AF146">
        <v>6.3621687138330776E-7</v>
      </c>
      <c r="AG146">
        <v>6.3621687138330776E-7</v>
      </c>
      <c r="AH146">
        <v>6.3621687138330776E-7</v>
      </c>
      <c r="AI146">
        <v>6.3621687138330776E-7</v>
      </c>
      <c r="AJ146">
        <v>6.3621687138330776E-7</v>
      </c>
      <c r="AK146">
        <v>6.3621687138330776E-7</v>
      </c>
      <c r="AL146">
        <v>6.3621687138330776E-7</v>
      </c>
      <c r="AM146">
        <v>6.3621687138330776E-7</v>
      </c>
      <c r="AN146">
        <v>6.3621687138330776E-7</v>
      </c>
      <c r="AO146">
        <v>6.3621687138330776E-7</v>
      </c>
      <c r="AP146">
        <v>6.3621687138330776E-7</v>
      </c>
      <c r="AQ146">
        <v>6.3621687138330776E-7</v>
      </c>
      <c r="AR146">
        <v>6.3621687138330776E-7</v>
      </c>
      <c r="AS146">
        <v>6.3621687138330776E-7</v>
      </c>
      <c r="AT146">
        <v>6.3621687138330776E-7</v>
      </c>
      <c r="AU146">
        <v>6.3621687138330776E-7</v>
      </c>
      <c r="AV146">
        <v>6.3621687138330776E-7</v>
      </c>
      <c r="AW146">
        <v>6.3621687138330776E-7</v>
      </c>
      <c r="AX146">
        <v>6.3621687138330776E-7</v>
      </c>
      <c r="AY146">
        <v>6.3621687138330776E-7</v>
      </c>
      <c r="AZ146">
        <v>6.3621687138330776E-7</v>
      </c>
      <c r="BA146">
        <v>6.3621687138330776E-7</v>
      </c>
      <c r="BB146">
        <v>6.3621687138330776E-7</v>
      </c>
      <c r="BC146">
        <v>6.3621687138330776E-7</v>
      </c>
      <c r="BD146">
        <v>6.3621687138330776E-7</v>
      </c>
      <c r="BE146">
        <v>6.3621687138330776E-7</v>
      </c>
      <c r="BF146">
        <v>6.3621687138330776E-7</v>
      </c>
      <c r="BG146">
        <v>6.3621687138330776E-7</v>
      </c>
      <c r="BH146">
        <v>6.3621687138330776E-7</v>
      </c>
      <c r="BI146">
        <v>6.3621687138330776E-7</v>
      </c>
      <c r="BJ146">
        <v>6.3621687138330776E-7</v>
      </c>
      <c r="BK146">
        <v>6.3621687138330776E-7</v>
      </c>
      <c r="BL146">
        <v>6.3621687138330776E-7</v>
      </c>
      <c r="BM146">
        <v>6.3621687138330776E-7</v>
      </c>
      <c r="BN146">
        <v>6.3621687138330776E-7</v>
      </c>
      <c r="BO146">
        <v>6.3621687138330776E-7</v>
      </c>
      <c r="BP146">
        <v>6.3621687138330776E-7</v>
      </c>
      <c r="BQ146">
        <v>6.3621687138330776E-7</v>
      </c>
      <c r="BR146">
        <v>6.3621687138330776E-7</v>
      </c>
      <c r="BS146">
        <v>6.3621687138330776E-7</v>
      </c>
      <c r="BT146">
        <v>6.3621687138330776E-7</v>
      </c>
      <c r="BU146">
        <v>6.3621687138330776E-7</v>
      </c>
      <c r="BV146">
        <v>6.3621687138330776E-7</v>
      </c>
      <c r="BW146">
        <v>6.3621687138330776E-7</v>
      </c>
      <c r="BX146">
        <v>6.3621687138330776E-7</v>
      </c>
      <c r="BY146">
        <v>6.3621687138330776E-7</v>
      </c>
      <c r="BZ146">
        <v>6.3621687138330776E-7</v>
      </c>
      <c r="CA146">
        <v>6.3621687138330776E-7</v>
      </c>
      <c r="CB146">
        <v>6.3621687138330776E-7</v>
      </c>
      <c r="CC146">
        <v>6.3621687138330776E-7</v>
      </c>
    </row>
    <row r="147" spans="1:81" x14ac:dyDescent="0.75">
      <c r="A147" t="s">
        <v>55</v>
      </c>
      <c r="B147">
        <v>4.8451926756206613E-6</v>
      </c>
      <c r="C147">
        <v>4.4135332579317278E-6</v>
      </c>
      <c r="D147">
        <v>3.9818738402426808E-6</v>
      </c>
      <c r="E147">
        <v>4.7450368408124517E-7</v>
      </c>
      <c r="F147">
        <v>5.2854598046612015E-7</v>
      </c>
      <c r="G147">
        <v>5.2329131192646512E-7</v>
      </c>
      <c r="H147">
        <v>5.1891122694983425E-7</v>
      </c>
      <c r="I147">
        <v>5.2547074606645054E-7</v>
      </c>
      <c r="J147">
        <v>5.3690588106157341E-7</v>
      </c>
      <c r="K147">
        <v>5.5074386628433855E-7</v>
      </c>
      <c r="L147">
        <v>5.6338355905990402E-7</v>
      </c>
      <c r="M147">
        <v>5.7932318386823104E-7</v>
      </c>
      <c r="N147">
        <v>6.0500625623166591E-7</v>
      </c>
      <c r="O147">
        <v>6.2335789194426869E-7</v>
      </c>
      <c r="P147">
        <v>6.3042936473019834E-7</v>
      </c>
      <c r="Q147">
        <v>6.2791207724159712E-7</v>
      </c>
      <c r="R147">
        <v>6.2377240069580898E-7</v>
      </c>
      <c r="S147">
        <v>6.3418291638261873E-7</v>
      </c>
      <c r="T147">
        <v>6.3767137798839299E-7</v>
      </c>
      <c r="U147">
        <v>6.3709805253209396E-7</v>
      </c>
      <c r="V147">
        <v>6.3087002650156037E-7</v>
      </c>
      <c r="W147">
        <v>6.264602761213207E-7</v>
      </c>
      <c r="X147">
        <v>6.2968635316525901E-7</v>
      </c>
      <c r="Y147">
        <v>6.3829658230252224E-7</v>
      </c>
      <c r="Z147">
        <v>6.366963592349121E-7</v>
      </c>
      <c r="AA147">
        <v>6.3770816308886775E-7</v>
      </c>
      <c r="AB147">
        <v>6.3654746264112069E-7</v>
      </c>
      <c r="AC147">
        <v>6.3825125356580899E-7</v>
      </c>
      <c r="AD147">
        <v>6.3134918210064456E-7</v>
      </c>
      <c r="AE147">
        <v>6.3621687138330776E-7</v>
      </c>
      <c r="AF147">
        <v>6.3621687138330776E-7</v>
      </c>
      <c r="AG147">
        <v>6.3621687138330776E-7</v>
      </c>
      <c r="AH147">
        <v>6.3621687138330776E-7</v>
      </c>
      <c r="AI147">
        <v>6.3621687138330776E-7</v>
      </c>
      <c r="AJ147">
        <v>6.3621687138330776E-7</v>
      </c>
      <c r="AK147">
        <v>6.3621687138330776E-7</v>
      </c>
      <c r="AL147">
        <v>6.3621687138330776E-7</v>
      </c>
      <c r="AM147">
        <v>6.3621687138330776E-7</v>
      </c>
      <c r="AN147">
        <v>6.3621687138330776E-7</v>
      </c>
      <c r="AO147">
        <v>6.3621687138330776E-7</v>
      </c>
      <c r="AP147">
        <v>6.3621687138330776E-7</v>
      </c>
      <c r="AQ147">
        <v>6.3621687138330776E-7</v>
      </c>
      <c r="AR147">
        <v>6.3621687138330776E-7</v>
      </c>
      <c r="AS147">
        <v>6.3621687138330776E-7</v>
      </c>
      <c r="AT147">
        <v>6.3621687138330776E-7</v>
      </c>
      <c r="AU147">
        <v>6.3621687138330776E-7</v>
      </c>
      <c r="AV147">
        <v>6.3621687138330776E-7</v>
      </c>
      <c r="AW147">
        <v>6.3621687138330776E-7</v>
      </c>
      <c r="AX147">
        <v>6.3621687138330776E-7</v>
      </c>
      <c r="AY147">
        <v>6.3621687138330776E-7</v>
      </c>
      <c r="AZ147">
        <v>6.3621687138330776E-7</v>
      </c>
      <c r="BA147">
        <v>6.3621687138330776E-7</v>
      </c>
      <c r="BB147">
        <v>6.3621687138330776E-7</v>
      </c>
      <c r="BC147">
        <v>6.3621687138330776E-7</v>
      </c>
      <c r="BD147">
        <v>6.3621687138330776E-7</v>
      </c>
      <c r="BE147">
        <v>6.3621687138330776E-7</v>
      </c>
      <c r="BF147">
        <v>6.3621687138330776E-7</v>
      </c>
      <c r="BG147">
        <v>6.3621687138330776E-7</v>
      </c>
      <c r="BH147">
        <v>6.3621687138330776E-7</v>
      </c>
      <c r="BI147">
        <v>6.3621687138330776E-7</v>
      </c>
      <c r="BJ147">
        <v>6.3621687138330776E-7</v>
      </c>
      <c r="BK147">
        <v>6.3621687138330776E-7</v>
      </c>
      <c r="BL147">
        <v>6.3621687138330776E-7</v>
      </c>
      <c r="BM147">
        <v>6.3621687138330776E-7</v>
      </c>
      <c r="BN147">
        <v>6.3621687138330776E-7</v>
      </c>
      <c r="BO147">
        <v>6.3621687138330776E-7</v>
      </c>
      <c r="BP147">
        <v>6.3621687138330776E-7</v>
      </c>
      <c r="BQ147">
        <v>6.3621687138330776E-7</v>
      </c>
      <c r="BR147">
        <v>6.3621687138330776E-7</v>
      </c>
      <c r="BS147">
        <v>6.3621687138330776E-7</v>
      </c>
      <c r="BT147">
        <v>6.3621687138330776E-7</v>
      </c>
      <c r="BU147">
        <v>6.3621687138330776E-7</v>
      </c>
      <c r="BV147">
        <v>6.3621687138330776E-7</v>
      </c>
      <c r="BW147">
        <v>6.3621687138330776E-7</v>
      </c>
      <c r="BX147">
        <v>6.3621687138330776E-7</v>
      </c>
      <c r="BY147">
        <v>6.3621687138330776E-7</v>
      </c>
      <c r="BZ147">
        <v>6.3621687138330776E-7</v>
      </c>
      <c r="CA147">
        <v>6.3621687138330776E-7</v>
      </c>
      <c r="CB147">
        <v>6.3621687138330776E-7</v>
      </c>
      <c r="CC147">
        <v>6.3621687138330776E-7</v>
      </c>
    </row>
    <row r="148" spans="1:81" x14ac:dyDescent="0.75">
      <c r="A148" t="s">
        <v>56</v>
      </c>
      <c r="B148">
        <v>4.8451926756206613E-6</v>
      </c>
      <c r="C148">
        <v>4.4135332579317278E-6</v>
      </c>
      <c r="D148">
        <v>3.9818738402426808E-6</v>
      </c>
      <c r="E148">
        <v>4.7450368408124517E-7</v>
      </c>
      <c r="F148">
        <v>5.2854598046612015E-7</v>
      </c>
      <c r="G148">
        <v>5.2329131192646512E-7</v>
      </c>
      <c r="H148">
        <v>5.1891122694983425E-7</v>
      </c>
      <c r="I148">
        <v>5.2547074606645054E-7</v>
      </c>
      <c r="J148">
        <v>5.3690588106157341E-7</v>
      </c>
      <c r="K148">
        <v>5.5074386628433855E-7</v>
      </c>
      <c r="L148">
        <v>5.6338355905990402E-7</v>
      </c>
      <c r="M148">
        <v>5.7932318386823104E-7</v>
      </c>
      <c r="N148">
        <v>6.0500625623166591E-7</v>
      </c>
      <c r="O148">
        <v>6.2335789194426869E-7</v>
      </c>
      <c r="P148">
        <v>6.3042936473019834E-7</v>
      </c>
      <c r="Q148">
        <v>6.2791207724159712E-7</v>
      </c>
      <c r="R148">
        <v>6.2377240069580898E-7</v>
      </c>
      <c r="S148">
        <v>6.3418291638261873E-7</v>
      </c>
      <c r="T148">
        <v>6.3767137798839299E-7</v>
      </c>
      <c r="U148">
        <v>6.3709805253209396E-7</v>
      </c>
      <c r="V148">
        <v>6.3087002650156037E-7</v>
      </c>
      <c r="W148">
        <v>6.264602761213207E-7</v>
      </c>
      <c r="X148">
        <v>6.2968635316525901E-7</v>
      </c>
      <c r="Y148">
        <v>6.3829658230252224E-7</v>
      </c>
      <c r="Z148">
        <v>6.366963592349121E-7</v>
      </c>
      <c r="AA148">
        <v>6.3770816308886775E-7</v>
      </c>
      <c r="AB148">
        <v>6.3654746264112069E-7</v>
      </c>
      <c r="AC148">
        <v>6.3825125356580899E-7</v>
      </c>
      <c r="AD148">
        <v>6.3134918210064456E-7</v>
      </c>
      <c r="AE148">
        <v>6.3621687138330776E-7</v>
      </c>
      <c r="AF148">
        <v>6.3621687138330776E-7</v>
      </c>
      <c r="AG148">
        <v>6.3621687138330776E-7</v>
      </c>
      <c r="AH148">
        <v>6.3621687138330776E-7</v>
      </c>
      <c r="AI148">
        <v>6.3621687138330776E-7</v>
      </c>
      <c r="AJ148">
        <v>6.3621687138330776E-7</v>
      </c>
      <c r="AK148">
        <v>6.3621687138330776E-7</v>
      </c>
      <c r="AL148">
        <v>6.3621687138330776E-7</v>
      </c>
      <c r="AM148">
        <v>6.3621687138330776E-7</v>
      </c>
      <c r="AN148">
        <v>6.3621687138330776E-7</v>
      </c>
      <c r="AO148">
        <v>6.3621687138330776E-7</v>
      </c>
      <c r="AP148">
        <v>6.3621687138330776E-7</v>
      </c>
      <c r="AQ148">
        <v>6.3621687138330776E-7</v>
      </c>
      <c r="AR148">
        <v>6.3621687138330776E-7</v>
      </c>
      <c r="AS148">
        <v>6.3621687138330776E-7</v>
      </c>
      <c r="AT148">
        <v>6.3621687138330776E-7</v>
      </c>
      <c r="AU148">
        <v>6.3621687138330776E-7</v>
      </c>
      <c r="AV148">
        <v>6.3621687138330776E-7</v>
      </c>
      <c r="AW148">
        <v>6.3621687138330776E-7</v>
      </c>
      <c r="AX148">
        <v>6.3621687138330776E-7</v>
      </c>
      <c r="AY148">
        <v>6.3621687138330776E-7</v>
      </c>
      <c r="AZ148">
        <v>6.3621687138330776E-7</v>
      </c>
      <c r="BA148">
        <v>6.3621687138330776E-7</v>
      </c>
      <c r="BB148">
        <v>6.3621687138330776E-7</v>
      </c>
      <c r="BC148">
        <v>6.3621687138330776E-7</v>
      </c>
      <c r="BD148">
        <v>6.3621687138330776E-7</v>
      </c>
      <c r="BE148">
        <v>6.3621687138330776E-7</v>
      </c>
      <c r="BF148">
        <v>6.3621687138330776E-7</v>
      </c>
      <c r="BG148">
        <v>6.3621687138330776E-7</v>
      </c>
      <c r="BH148">
        <v>6.3621687138330776E-7</v>
      </c>
      <c r="BI148">
        <v>6.3621687138330776E-7</v>
      </c>
      <c r="BJ148">
        <v>6.3621687138330776E-7</v>
      </c>
      <c r="BK148">
        <v>6.3621687138330776E-7</v>
      </c>
      <c r="BL148">
        <v>6.3621687138330776E-7</v>
      </c>
      <c r="BM148">
        <v>6.3621687138330776E-7</v>
      </c>
      <c r="BN148">
        <v>6.3621687138330776E-7</v>
      </c>
      <c r="BO148">
        <v>6.3621687138330776E-7</v>
      </c>
      <c r="BP148">
        <v>6.3621687138330776E-7</v>
      </c>
      <c r="BQ148">
        <v>6.3621687138330776E-7</v>
      </c>
      <c r="BR148">
        <v>6.3621687138330776E-7</v>
      </c>
      <c r="BS148">
        <v>6.3621687138330776E-7</v>
      </c>
      <c r="BT148">
        <v>6.3621687138330776E-7</v>
      </c>
      <c r="BU148">
        <v>6.3621687138330776E-7</v>
      </c>
      <c r="BV148">
        <v>6.3621687138330776E-7</v>
      </c>
      <c r="BW148">
        <v>6.3621687138330776E-7</v>
      </c>
      <c r="BX148">
        <v>6.3621687138330776E-7</v>
      </c>
      <c r="BY148">
        <v>6.3621687138330776E-7</v>
      </c>
      <c r="BZ148">
        <v>6.3621687138330776E-7</v>
      </c>
      <c r="CA148">
        <v>6.3621687138330776E-7</v>
      </c>
      <c r="CB148">
        <v>6.3621687138330776E-7</v>
      </c>
      <c r="CC148">
        <v>6.3621687138330776E-7</v>
      </c>
    </row>
    <row r="149" spans="1:81" x14ac:dyDescent="0.75">
      <c r="A149" t="s">
        <v>57</v>
      </c>
      <c r="B149">
        <v>4.8451926756206613E-6</v>
      </c>
      <c r="C149">
        <v>4.4135332579317278E-6</v>
      </c>
      <c r="D149">
        <v>3.9818738402426808E-6</v>
      </c>
      <c r="E149">
        <v>4.7450368408124517E-7</v>
      </c>
      <c r="F149">
        <v>5.2854598046612015E-7</v>
      </c>
      <c r="G149">
        <v>5.2329131192646512E-7</v>
      </c>
      <c r="H149">
        <v>5.1891122694983425E-7</v>
      </c>
      <c r="I149">
        <v>5.2547074606645054E-7</v>
      </c>
      <c r="J149">
        <v>5.3690588106157341E-7</v>
      </c>
      <c r="K149">
        <v>5.5074386628433855E-7</v>
      </c>
      <c r="L149">
        <v>5.6338355905990402E-7</v>
      </c>
      <c r="M149">
        <v>5.7932318386823104E-7</v>
      </c>
      <c r="N149">
        <v>6.0500625623166591E-7</v>
      </c>
      <c r="O149">
        <v>6.2335789194426869E-7</v>
      </c>
      <c r="P149">
        <v>6.3042936473019834E-7</v>
      </c>
      <c r="Q149">
        <v>6.2791207724159712E-7</v>
      </c>
      <c r="R149">
        <v>6.2377240069580898E-7</v>
      </c>
      <c r="S149">
        <v>6.3418291638261873E-7</v>
      </c>
      <c r="T149">
        <v>6.3767137798839299E-7</v>
      </c>
      <c r="U149">
        <v>6.3709805253209396E-7</v>
      </c>
      <c r="V149">
        <v>6.3087002650156037E-7</v>
      </c>
      <c r="W149">
        <v>6.264602761213207E-7</v>
      </c>
      <c r="X149">
        <v>6.2968635316525901E-7</v>
      </c>
      <c r="Y149">
        <v>6.3829658230252224E-7</v>
      </c>
      <c r="Z149">
        <v>6.366963592349121E-7</v>
      </c>
      <c r="AA149">
        <v>6.3770816308886775E-7</v>
      </c>
      <c r="AB149">
        <v>6.3654746264112069E-7</v>
      </c>
      <c r="AC149">
        <v>6.3825125356580899E-7</v>
      </c>
      <c r="AD149">
        <v>6.3134918210064456E-7</v>
      </c>
      <c r="AE149">
        <v>6.3621687138330776E-7</v>
      </c>
      <c r="AF149">
        <v>6.3621687138330776E-7</v>
      </c>
      <c r="AG149">
        <v>6.3621687138330776E-7</v>
      </c>
      <c r="AH149">
        <v>6.3621687138330776E-7</v>
      </c>
      <c r="AI149">
        <v>6.3621687138330776E-7</v>
      </c>
      <c r="AJ149">
        <v>6.3621687138330776E-7</v>
      </c>
      <c r="AK149">
        <v>6.3621687138330776E-7</v>
      </c>
      <c r="AL149">
        <v>6.3621687138330776E-7</v>
      </c>
      <c r="AM149">
        <v>6.3621687138330776E-7</v>
      </c>
      <c r="AN149">
        <v>6.3621687138330776E-7</v>
      </c>
      <c r="AO149">
        <v>6.3621687138330776E-7</v>
      </c>
      <c r="AP149">
        <v>6.3621687138330776E-7</v>
      </c>
      <c r="AQ149">
        <v>6.3621687138330776E-7</v>
      </c>
      <c r="AR149">
        <v>6.3621687138330776E-7</v>
      </c>
      <c r="AS149">
        <v>6.3621687138330776E-7</v>
      </c>
      <c r="AT149">
        <v>6.3621687138330776E-7</v>
      </c>
      <c r="AU149">
        <v>6.3621687138330776E-7</v>
      </c>
      <c r="AV149">
        <v>6.3621687138330776E-7</v>
      </c>
      <c r="AW149">
        <v>6.3621687138330776E-7</v>
      </c>
      <c r="AX149">
        <v>6.3621687138330776E-7</v>
      </c>
      <c r="AY149">
        <v>6.3621687138330776E-7</v>
      </c>
      <c r="AZ149">
        <v>6.3621687138330776E-7</v>
      </c>
      <c r="BA149">
        <v>6.3621687138330776E-7</v>
      </c>
      <c r="BB149">
        <v>6.3621687138330776E-7</v>
      </c>
      <c r="BC149">
        <v>6.3621687138330776E-7</v>
      </c>
      <c r="BD149">
        <v>6.3621687138330776E-7</v>
      </c>
      <c r="BE149">
        <v>6.3621687138330776E-7</v>
      </c>
      <c r="BF149">
        <v>6.3621687138330776E-7</v>
      </c>
      <c r="BG149">
        <v>6.3621687138330776E-7</v>
      </c>
      <c r="BH149">
        <v>6.3621687138330776E-7</v>
      </c>
      <c r="BI149">
        <v>6.3621687138330776E-7</v>
      </c>
      <c r="BJ149">
        <v>6.3621687138330776E-7</v>
      </c>
      <c r="BK149">
        <v>6.3621687138330776E-7</v>
      </c>
      <c r="BL149">
        <v>6.3621687138330776E-7</v>
      </c>
      <c r="BM149">
        <v>6.3621687138330776E-7</v>
      </c>
      <c r="BN149">
        <v>6.3621687138330776E-7</v>
      </c>
      <c r="BO149">
        <v>6.3621687138330776E-7</v>
      </c>
      <c r="BP149">
        <v>6.3621687138330776E-7</v>
      </c>
      <c r="BQ149">
        <v>6.3621687138330776E-7</v>
      </c>
      <c r="BR149">
        <v>6.3621687138330776E-7</v>
      </c>
      <c r="BS149">
        <v>6.3621687138330776E-7</v>
      </c>
      <c r="BT149">
        <v>6.3621687138330776E-7</v>
      </c>
      <c r="BU149">
        <v>6.3621687138330776E-7</v>
      </c>
      <c r="BV149">
        <v>6.3621687138330776E-7</v>
      </c>
      <c r="BW149">
        <v>6.3621687138330776E-7</v>
      </c>
      <c r="BX149">
        <v>6.3621687138330776E-7</v>
      </c>
      <c r="BY149">
        <v>6.3621687138330776E-7</v>
      </c>
      <c r="BZ149">
        <v>6.3621687138330776E-7</v>
      </c>
      <c r="CA149">
        <v>6.3621687138330776E-7</v>
      </c>
      <c r="CB149">
        <v>6.3621687138330776E-7</v>
      </c>
      <c r="CC149">
        <v>6.3621687138330776E-7</v>
      </c>
    </row>
    <row r="150" spans="1:81" x14ac:dyDescent="0.75">
      <c r="A150" t="s">
        <v>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</row>
    <row r="151" spans="1:81" x14ac:dyDescent="0.75">
      <c r="A151" t="s">
        <v>59</v>
      </c>
      <c r="B151">
        <v>4.8451926756206613E-6</v>
      </c>
      <c r="C151">
        <v>4.4135332579317278E-6</v>
      </c>
      <c r="D151">
        <v>3.9818738402426808E-6</v>
      </c>
      <c r="E151">
        <v>4.7450368408124517E-7</v>
      </c>
      <c r="F151">
        <v>5.2854598046612015E-7</v>
      </c>
      <c r="G151">
        <v>5.2329131192646512E-7</v>
      </c>
      <c r="H151">
        <v>5.1891122694983425E-7</v>
      </c>
      <c r="I151">
        <v>5.2547074606645054E-7</v>
      </c>
      <c r="J151">
        <v>5.3690588106157341E-7</v>
      </c>
      <c r="K151">
        <v>5.5074386628433855E-7</v>
      </c>
      <c r="L151">
        <v>5.6338355905990402E-7</v>
      </c>
      <c r="M151">
        <v>5.7932318386823104E-7</v>
      </c>
      <c r="N151">
        <v>6.0500625623166591E-7</v>
      </c>
      <c r="O151">
        <v>6.2335789194426869E-7</v>
      </c>
      <c r="P151">
        <v>6.3042936473019834E-7</v>
      </c>
      <c r="Q151">
        <v>6.2791207724159712E-7</v>
      </c>
      <c r="R151">
        <v>6.2377240069580898E-7</v>
      </c>
      <c r="S151">
        <v>6.3418291638261873E-7</v>
      </c>
      <c r="T151">
        <v>6.3767137798839299E-7</v>
      </c>
      <c r="U151">
        <v>6.3709805253209396E-7</v>
      </c>
      <c r="V151">
        <v>6.3087002650156037E-7</v>
      </c>
      <c r="W151">
        <v>6.264602761213207E-7</v>
      </c>
      <c r="X151">
        <v>6.2968635316525901E-7</v>
      </c>
      <c r="Y151">
        <v>6.3829658230252224E-7</v>
      </c>
      <c r="Z151">
        <v>6.366963592349121E-7</v>
      </c>
      <c r="AA151">
        <v>6.3770816308886775E-7</v>
      </c>
      <c r="AB151">
        <v>6.3654746264112069E-7</v>
      </c>
      <c r="AC151">
        <v>6.3825125356580899E-7</v>
      </c>
      <c r="AD151">
        <v>6.3134918210064456E-7</v>
      </c>
      <c r="AE151">
        <v>6.3621687138330776E-7</v>
      </c>
      <c r="AF151">
        <v>6.3621687138330776E-7</v>
      </c>
      <c r="AG151">
        <v>6.3621687138330776E-7</v>
      </c>
      <c r="AH151">
        <v>6.3621687138330776E-7</v>
      </c>
      <c r="AI151">
        <v>6.3621687138330776E-7</v>
      </c>
      <c r="AJ151">
        <v>6.3621687138330776E-7</v>
      </c>
      <c r="AK151">
        <v>6.3621687138330776E-7</v>
      </c>
      <c r="AL151">
        <v>6.3621687138330776E-7</v>
      </c>
      <c r="AM151">
        <v>6.3621687138330776E-7</v>
      </c>
      <c r="AN151">
        <v>6.3621687138330776E-7</v>
      </c>
      <c r="AO151">
        <v>6.3621687138330776E-7</v>
      </c>
      <c r="AP151">
        <v>6.3621687138330776E-7</v>
      </c>
      <c r="AQ151">
        <v>6.3621687138330776E-7</v>
      </c>
      <c r="AR151">
        <v>6.3621687138330776E-7</v>
      </c>
      <c r="AS151">
        <v>6.3621687138330776E-7</v>
      </c>
      <c r="AT151">
        <v>6.3621687138330776E-7</v>
      </c>
      <c r="AU151">
        <v>6.3621687138330776E-7</v>
      </c>
      <c r="AV151">
        <v>6.3621687138330776E-7</v>
      </c>
      <c r="AW151">
        <v>6.3621687138330776E-7</v>
      </c>
      <c r="AX151">
        <v>6.3621687138330776E-7</v>
      </c>
      <c r="AY151">
        <v>6.3621687138330776E-7</v>
      </c>
      <c r="AZ151">
        <v>6.3621687138330776E-7</v>
      </c>
      <c r="BA151">
        <v>6.3621687138330776E-7</v>
      </c>
      <c r="BB151">
        <v>6.3621687138330776E-7</v>
      </c>
      <c r="BC151">
        <v>6.3621687138330776E-7</v>
      </c>
      <c r="BD151">
        <v>6.3621687138330776E-7</v>
      </c>
      <c r="BE151">
        <v>6.3621687138330776E-7</v>
      </c>
      <c r="BF151">
        <v>6.3621687138330776E-7</v>
      </c>
      <c r="BG151">
        <v>6.3621687138330776E-7</v>
      </c>
      <c r="BH151">
        <v>6.3621687138330776E-7</v>
      </c>
      <c r="BI151">
        <v>6.3621687138330776E-7</v>
      </c>
      <c r="BJ151">
        <v>6.3621687138330776E-7</v>
      </c>
      <c r="BK151">
        <v>6.3621687138330776E-7</v>
      </c>
      <c r="BL151">
        <v>6.3621687138330776E-7</v>
      </c>
      <c r="BM151">
        <v>6.3621687138330776E-7</v>
      </c>
      <c r="BN151">
        <v>6.3621687138330776E-7</v>
      </c>
      <c r="BO151">
        <v>6.3621687138330776E-7</v>
      </c>
      <c r="BP151">
        <v>6.3621687138330776E-7</v>
      </c>
      <c r="BQ151">
        <v>6.3621687138330776E-7</v>
      </c>
      <c r="BR151">
        <v>6.3621687138330776E-7</v>
      </c>
      <c r="BS151">
        <v>6.3621687138330776E-7</v>
      </c>
      <c r="BT151">
        <v>6.3621687138330776E-7</v>
      </c>
      <c r="BU151">
        <v>6.3621687138330776E-7</v>
      </c>
      <c r="BV151">
        <v>6.3621687138330776E-7</v>
      </c>
      <c r="BW151">
        <v>6.3621687138330776E-7</v>
      </c>
      <c r="BX151">
        <v>6.3621687138330776E-7</v>
      </c>
      <c r="BY151">
        <v>6.3621687138330776E-7</v>
      </c>
      <c r="BZ151">
        <v>6.3621687138330776E-7</v>
      </c>
      <c r="CA151">
        <v>6.3621687138330776E-7</v>
      </c>
      <c r="CB151">
        <v>6.3621687138330776E-7</v>
      </c>
      <c r="CC151">
        <v>6.3621687138330776E-7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319"/>
  <sheetViews>
    <sheetView workbookViewId="0"/>
  </sheetViews>
  <sheetFormatPr defaultRowHeight="14.75" x14ac:dyDescent="0.75"/>
  <cols>
    <col min="1" max="1" width="17.26953125" customWidth="1"/>
    <col min="3" max="32" width="8.7265625" hidden="1" customWidth="1"/>
    <col min="35" max="36" width="24.1328125" customWidth="1"/>
    <col min="37" max="37" width="10.54296875" bestFit="1" customWidth="1"/>
  </cols>
  <sheetData>
    <row r="1" spans="1:57" x14ac:dyDescent="0.75">
      <c r="A1" t="s">
        <v>70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I1" s="1" t="s">
        <v>67</v>
      </c>
    </row>
    <row r="2" spans="1:57" x14ac:dyDescent="0.75">
      <c r="A2" t="s">
        <v>71</v>
      </c>
      <c r="B2" s="4">
        <v>7308160000000000</v>
      </c>
      <c r="C2" s="4">
        <v>1.55331E+16</v>
      </c>
      <c r="D2" s="4">
        <v>2.04741E+16</v>
      </c>
      <c r="E2" s="4">
        <v>2.00034E+16</v>
      </c>
      <c r="F2" s="4">
        <v>1.75349E+16</v>
      </c>
      <c r="G2" s="4">
        <v>1.25259E+16</v>
      </c>
      <c r="H2" s="4">
        <v>1.17533E+16</v>
      </c>
      <c r="I2" s="4">
        <v>1.03512E+16</v>
      </c>
      <c r="J2" s="4">
        <v>9307230000000000</v>
      </c>
      <c r="K2" s="4">
        <v>8179110000000000</v>
      </c>
      <c r="L2" s="4">
        <v>7126210000000000</v>
      </c>
      <c r="M2" s="4">
        <v>7037130000000000</v>
      </c>
      <c r="N2" s="4">
        <v>7096680000000000</v>
      </c>
      <c r="O2" s="4">
        <v>7221090000000000</v>
      </c>
      <c r="P2" s="4">
        <v>7238890000000000</v>
      </c>
      <c r="Q2" s="4">
        <v>7196360000000000</v>
      </c>
      <c r="R2" s="4">
        <v>7314080000000000</v>
      </c>
      <c r="S2" s="4">
        <v>7246510000000000</v>
      </c>
      <c r="T2" s="4">
        <v>7189640000000000</v>
      </c>
      <c r="U2" s="4">
        <v>7159550000000000</v>
      </c>
      <c r="V2" s="4">
        <v>7134590000000000</v>
      </c>
      <c r="W2" s="4">
        <v>7103490000000000</v>
      </c>
      <c r="X2" s="4">
        <v>7129400000000000</v>
      </c>
      <c r="Y2" s="4">
        <v>7151900000000000</v>
      </c>
      <c r="Z2" s="4">
        <v>7196920000000000</v>
      </c>
      <c r="AA2" s="4">
        <v>7014440000000000</v>
      </c>
      <c r="AB2" s="4">
        <v>6981500000000000</v>
      </c>
      <c r="AC2" s="4">
        <v>7073550000000000</v>
      </c>
      <c r="AD2" s="4">
        <v>7197710000000000</v>
      </c>
      <c r="AE2" s="4">
        <v>7336890000000000</v>
      </c>
      <c r="AF2" s="4">
        <v>7471080000000000</v>
      </c>
      <c r="AK2" t="s">
        <v>21</v>
      </c>
      <c r="AL2" t="s">
        <v>2</v>
      </c>
      <c r="AM2" t="s">
        <v>3</v>
      </c>
      <c r="AN2" t="s">
        <v>4</v>
      </c>
      <c r="AO2" t="s">
        <v>12</v>
      </c>
      <c r="AP2" t="s">
        <v>13</v>
      </c>
      <c r="AQ2" t="s">
        <v>14</v>
      </c>
      <c r="AR2" t="s">
        <v>5</v>
      </c>
      <c r="AS2" t="s">
        <v>6</v>
      </c>
      <c r="AT2" t="s">
        <v>7</v>
      </c>
      <c r="AU2" t="s">
        <v>8</v>
      </c>
      <c r="AV2" t="s">
        <v>9</v>
      </c>
      <c r="AW2" t="s">
        <v>10</v>
      </c>
      <c r="AX2" t="s">
        <v>20</v>
      </c>
      <c r="AY2" t="s">
        <v>15</v>
      </c>
      <c r="AZ2" t="s">
        <v>11</v>
      </c>
      <c r="BA2" t="s">
        <v>41</v>
      </c>
      <c r="BB2" t="s">
        <v>42</v>
      </c>
      <c r="BC2" t="s">
        <v>43</v>
      </c>
      <c r="BD2" t="s">
        <v>44</v>
      </c>
      <c r="BE2" t="s">
        <v>45</v>
      </c>
    </row>
    <row r="3" spans="1:57" x14ac:dyDescent="0.75">
      <c r="A3" t="s">
        <v>72</v>
      </c>
      <c r="B3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I3" t="s">
        <v>65</v>
      </c>
      <c r="AK3">
        <f t="shared" ref="AK3:AT7" si="0">SUMIFS($B:$B,$A:$A,"*"&amp;$AI3&amp;"*",$A:$A,"*"&amp;AK$2&amp;"*")</f>
        <v>0</v>
      </c>
      <c r="AL3">
        <f t="shared" si="0"/>
        <v>0</v>
      </c>
      <c r="AM3">
        <f t="shared" si="0"/>
        <v>65645260000000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1.316963425E+16</v>
      </c>
      <c r="AT3">
        <f t="shared" si="0"/>
        <v>5820111075200000</v>
      </c>
      <c r="AU3">
        <f t="shared" ref="AU3:BE7" si="1">SUMIFS($B:$B,$A:$A,"*"&amp;$AI3&amp;"*",$A:$A,"*"&amp;AU$2&amp;"*")</f>
        <v>1478169627300000</v>
      </c>
      <c r="AV3">
        <f t="shared" si="1"/>
        <v>217499806470000</v>
      </c>
      <c r="AW3">
        <f t="shared" si="1"/>
        <v>1863350000000000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1"/>
        <v>0</v>
      </c>
      <c r="BC3">
        <f t="shared" si="1"/>
        <v>8107617000000</v>
      </c>
      <c r="BD3">
        <f t="shared" si="1"/>
        <v>0</v>
      </c>
      <c r="BE3">
        <f t="shared" si="1"/>
        <v>198700040000</v>
      </c>
    </row>
    <row r="4" spans="1:57" x14ac:dyDescent="0.75">
      <c r="A4" t="s">
        <v>73</v>
      </c>
      <c r="B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I4" t="s">
        <v>60</v>
      </c>
      <c r="AK4">
        <f t="shared" si="0"/>
        <v>0</v>
      </c>
      <c r="AL4">
        <f t="shared" si="0"/>
        <v>7308160000000000</v>
      </c>
      <c r="AM4">
        <f t="shared" si="0"/>
        <v>1.22612559E+16</v>
      </c>
      <c r="AN4">
        <f t="shared" si="0"/>
        <v>8254620000000000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344811000000000</v>
      </c>
      <c r="AS4">
        <f t="shared" si="0"/>
        <v>0</v>
      </c>
      <c r="AT4">
        <f t="shared" si="0"/>
        <v>0</v>
      </c>
      <c r="AU4">
        <f t="shared" si="1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186857000000000</v>
      </c>
      <c r="BA4">
        <f t="shared" si="1"/>
        <v>0</v>
      </c>
      <c r="BB4">
        <f t="shared" si="1"/>
        <v>0</v>
      </c>
      <c r="BC4">
        <f t="shared" si="1"/>
        <v>0</v>
      </c>
      <c r="BD4">
        <f t="shared" si="1"/>
        <v>262173000000000</v>
      </c>
      <c r="BE4">
        <f t="shared" si="1"/>
        <v>0</v>
      </c>
    </row>
    <row r="5" spans="1:57" x14ac:dyDescent="0.75">
      <c r="A5" t="s">
        <v>74</v>
      </c>
      <c r="B5" s="4">
        <v>1558180000000000</v>
      </c>
      <c r="C5" s="4">
        <v>616608000000000</v>
      </c>
      <c r="D5" s="4">
        <v>124754000000000</v>
      </c>
      <c r="E5" s="4">
        <v>184348000000000</v>
      </c>
      <c r="F5" s="4">
        <v>337998000000000</v>
      </c>
      <c r="G5" s="4">
        <v>417935000000000</v>
      </c>
      <c r="H5" s="4">
        <v>418598000000000</v>
      </c>
      <c r="I5" s="4">
        <v>460248000000000</v>
      </c>
      <c r="J5" s="4">
        <v>487927000000000</v>
      </c>
      <c r="K5" s="4">
        <v>444046000000000</v>
      </c>
      <c r="L5" s="4">
        <v>471781000000000</v>
      </c>
      <c r="M5" s="4">
        <v>444729000000000</v>
      </c>
      <c r="N5" s="4">
        <v>436205000000000</v>
      </c>
      <c r="O5" s="4">
        <v>414000000000000</v>
      </c>
      <c r="P5" s="4">
        <v>400875000000000</v>
      </c>
      <c r="Q5" s="4">
        <v>383633000000000</v>
      </c>
      <c r="R5" s="4">
        <v>365946000000000</v>
      </c>
      <c r="S5" s="4">
        <v>367382000000000</v>
      </c>
      <c r="T5" s="4">
        <v>366828000000000</v>
      </c>
      <c r="U5" s="4">
        <v>355090000000000</v>
      </c>
      <c r="V5" s="4">
        <v>356036000000000</v>
      </c>
      <c r="W5" s="4">
        <v>356424000000000</v>
      </c>
      <c r="X5" s="4">
        <v>348639000000000</v>
      </c>
      <c r="Y5" s="4">
        <v>348066000000000</v>
      </c>
      <c r="Z5" s="4">
        <v>347536000000000</v>
      </c>
      <c r="AA5" s="4">
        <v>347189000000000</v>
      </c>
      <c r="AB5" s="4">
        <v>346878000000000</v>
      </c>
      <c r="AC5" s="4">
        <v>334101000000000</v>
      </c>
      <c r="AD5" s="4">
        <v>329165000000000</v>
      </c>
      <c r="AE5" s="4">
        <v>314946000000000</v>
      </c>
      <c r="AF5" s="4">
        <v>310114000000000</v>
      </c>
      <c r="AI5" t="s">
        <v>61</v>
      </c>
      <c r="AJ5" t="s">
        <v>62</v>
      </c>
      <c r="AK5">
        <f t="shared" si="0"/>
        <v>0</v>
      </c>
      <c r="AL5">
        <f t="shared" si="0"/>
        <v>20540000000000</v>
      </c>
      <c r="AM5">
        <f t="shared" si="0"/>
        <v>8131760000000000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457520000000000</v>
      </c>
      <c r="AS5">
        <f t="shared" si="0"/>
        <v>0</v>
      </c>
      <c r="AT5">
        <f t="shared" si="0"/>
        <v>730599000000000</v>
      </c>
      <c r="AU5">
        <f t="shared" si="1"/>
        <v>0</v>
      </c>
      <c r="AV5">
        <f t="shared" si="1"/>
        <v>0</v>
      </c>
      <c r="AW5">
        <f t="shared" si="1"/>
        <v>0</v>
      </c>
      <c r="AX5">
        <f t="shared" si="1"/>
        <v>0</v>
      </c>
      <c r="AY5">
        <f t="shared" si="1"/>
        <v>0</v>
      </c>
      <c r="AZ5">
        <f t="shared" si="1"/>
        <v>0</v>
      </c>
      <c r="BA5">
        <f t="shared" si="1"/>
        <v>0</v>
      </c>
      <c r="BB5">
        <f t="shared" si="1"/>
        <v>0</v>
      </c>
      <c r="BC5">
        <f t="shared" si="1"/>
        <v>948280000000000</v>
      </c>
      <c r="BD5">
        <f t="shared" si="1"/>
        <v>0</v>
      </c>
      <c r="BE5">
        <f t="shared" si="1"/>
        <v>0</v>
      </c>
    </row>
    <row r="6" spans="1:57" x14ac:dyDescent="0.75">
      <c r="A6" t="s">
        <v>75</v>
      </c>
      <c r="B6">
        <v>9060870000000000</v>
      </c>
      <c r="C6" s="4">
        <v>4220730000000000</v>
      </c>
      <c r="D6" s="4">
        <v>1021550000000000</v>
      </c>
      <c r="E6" s="4">
        <v>1648520000000000</v>
      </c>
      <c r="F6" s="4">
        <v>3279200000000000</v>
      </c>
      <c r="G6" s="4">
        <v>4307340000000000</v>
      </c>
      <c r="H6" s="4">
        <v>4710190000000000</v>
      </c>
      <c r="I6" s="4">
        <v>5246940000000000</v>
      </c>
      <c r="J6" s="4">
        <v>5705060000000000</v>
      </c>
      <c r="K6" s="4">
        <v>6197630000000000</v>
      </c>
      <c r="L6" s="4">
        <v>6689530000000000</v>
      </c>
      <c r="M6" s="4">
        <v>6722230000000000</v>
      </c>
      <c r="N6" s="4">
        <v>6627740000000000</v>
      </c>
      <c r="O6" s="4">
        <v>6515420000000000</v>
      </c>
      <c r="P6" s="4">
        <v>6448260000000000</v>
      </c>
      <c r="Q6" s="4">
        <v>6410930000000000</v>
      </c>
      <c r="R6" s="4">
        <v>6362690000000000</v>
      </c>
      <c r="S6" s="4">
        <v>6372650000000000</v>
      </c>
      <c r="T6" s="4">
        <v>6355880000000000</v>
      </c>
      <c r="U6" s="4">
        <v>6347180000000000</v>
      </c>
      <c r="V6" s="4">
        <v>6373000000000000</v>
      </c>
      <c r="W6" s="4">
        <v>6367720000000000</v>
      </c>
      <c r="X6" s="4">
        <v>6350690000000000</v>
      </c>
      <c r="Y6" s="4">
        <v>6342140000000000</v>
      </c>
      <c r="Z6" s="4">
        <v>6359690000000000</v>
      </c>
      <c r="AA6" s="4">
        <v>6352790000000000</v>
      </c>
      <c r="AB6" s="4">
        <v>6332760000000000</v>
      </c>
      <c r="AC6" s="4">
        <v>6271410000000000</v>
      </c>
      <c r="AD6" s="4">
        <v>6190910000000000</v>
      </c>
      <c r="AE6" s="4">
        <v>6104060000000000</v>
      </c>
      <c r="AF6" s="4">
        <v>6016910000000000</v>
      </c>
      <c r="AI6" t="s">
        <v>61</v>
      </c>
      <c r="AJ6" t="s">
        <v>63</v>
      </c>
      <c r="AK6">
        <f t="shared" si="0"/>
        <v>0</v>
      </c>
      <c r="AL6">
        <f t="shared" si="0"/>
        <v>20540000000000</v>
      </c>
      <c r="AM6">
        <f t="shared" si="0"/>
        <v>8131760000000000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457520000000000</v>
      </c>
      <c r="AS6">
        <f t="shared" si="0"/>
        <v>0</v>
      </c>
      <c r="AT6">
        <f t="shared" si="0"/>
        <v>730599000000000</v>
      </c>
      <c r="AU6">
        <f t="shared" si="1"/>
        <v>0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</v>
      </c>
      <c r="BA6">
        <f t="shared" si="1"/>
        <v>0</v>
      </c>
      <c r="BB6">
        <f t="shared" si="1"/>
        <v>0</v>
      </c>
      <c r="BC6">
        <f t="shared" si="1"/>
        <v>948280000000000</v>
      </c>
      <c r="BD6">
        <f t="shared" si="1"/>
        <v>0</v>
      </c>
      <c r="BE6">
        <f t="shared" si="1"/>
        <v>0</v>
      </c>
    </row>
    <row r="7" spans="1:57" x14ac:dyDescent="0.75">
      <c r="A7" t="s">
        <v>76</v>
      </c>
      <c r="B7" s="4">
        <v>270803000000000</v>
      </c>
      <c r="C7" s="4">
        <v>203766000000000</v>
      </c>
      <c r="D7" s="4">
        <v>115894000000000</v>
      </c>
      <c r="E7" s="4">
        <v>252844000000000</v>
      </c>
      <c r="F7" s="4">
        <v>566992000000000</v>
      </c>
      <c r="G7" s="4">
        <v>895018000000000</v>
      </c>
      <c r="H7" s="4">
        <v>1015860000000000</v>
      </c>
      <c r="I7" s="4">
        <v>1192120000000000</v>
      </c>
      <c r="J7" s="4">
        <v>1340050000000000</v>
      </c>
      <c r="K7" s="4">
        <v>1522740000000000</v>
      </c>
      <c r="L7" s="4">
        <v>1686870000000000</v>
      </c>
      <c r="M7" s="4">
        <v>1715720000000000</v>
      </c>
      <c r="N7" s="4">
        <v>1711490000000000</v>
      </c>
      <c r="O7" s="4">
        <v>1700100000000000</v>
      </c>
      <c r="P7" s="4">
        <v>1703920000000000</v>
      </c>
      <c r="Q7" s="4">
        <v>1713710000000000</v>
      </c>
      <c r="R7" s="4">
        <v>1710060000000000</v>
      </c>
      <c r="S7" s="4">
        <v>1728570000000000</v>
      </c>
      <c r="T7" s="4">
        <v>1738250000000000</v>
      </c>
      <c r="U7" s="4">
        <v>1750780000000000</v>
      </c>
      <c r="V7" s="4">
        <v>1761440000000000</v>
      </c>
      <c r="W7" s="4">
        <v>1769270000000000</v>
      </c>
      <c r="X7" s="4">
        <v>1771870000000000</v>
      </c>
      <c r="Y7" s="4">
        <v>1780780000000000</v>
      </c>
      <c r="Z7" s="4">
        <v>1790030000000000</v>
      </c>
      <c r="AA7" s="4">
        <v>1812630000000000</v>
      </c>
      <c r="AB7" s="4">
        <v>1817080000000000</v>
      </c>
      <c r="AC7" s="4">
        <v>1805700000000000</v>
      </c>
      <c r="AD7" s="4">
        <v>1785410000000000</v>
      </c>
      <c r="AE7" s="4">
        <v>1764170000000000</v>
      </c>
      <c r="AF7" s="4">
        <v>1743210000000000</v>
      </c>
      <c r="AI7" t="s">
        <v>64</v>
      </c>
      <c r="AK7">
        <f t="shared" si="0"/>
        <v>0</v>
      </c>
      <c r="AL7">
        <f t="shared" si="0"/>
        <v>989907462900000</v>
      </c>
      <c r="AM7">
        <f t="shared" si="0"/>
        <v>1.14111133E+16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904565000000000</v>
      </c>
      <c r="AS7">
        <f t="shared" si="0"/>
        <v>0</v>
      </c>
      <c r="AT7">
        <f t="shared" si="0"/>
        <v>2256261697000000</v>
      </c>
      <c r="AU7">
        <f t="shared" si="1"/>
        <v>0</v>
      </c>
      <c r="AV7">
        <f t="shared" si="1"/>
        <v>0</v>
      </c>
      <c r="AW7">
        <f t="shared" si="1"/>
        <v>0</v>
      </c>
      <c r="AX7">
        <f t="shared" si="1"/>
        <v>0</v>
      </c>
      <c r="AY7">
        <f t="shared" si="1"/>
        <v>0</v>
      </c>
      <c r="AZ7">
        <f t="shared" si="1"/>
        <v>0</v>
      </c>
      <c r="BA7">
        <f t="shared" si="1"/>
        <v>3.20722E+16</v>
      </c>
      <c r="BB7">
        <f t="shared" si="1"/>
        <v>0</v>
      </c>
      <c r="BC7">
        <f t="shared" si="1"/>
        <v>3703848115000000</v>
      </c>
      <c r="BD7">
        <f t="shared" si="1"/>
        <v>0</v>
      </c>
      <c r="BE7">
        <f t="shared" si="1"/>
        <v>0</v>
      </c>
    </row>
    <row r="8" spans="1:57" x14ac:dyDescent="0.75">
      <c r="A8" t="s">
        <v>77</v>
      </c>
      <c r="B8" s="4">
        <v>8254620000000000</v>
      </c>
      <c r="C8" s="4">
        <v>7784730000000000</v>
      </c>
      <c r="D8" s="4">
        <v>7699300000000000</v>
      </c>
      <c r="E8" s="4">
        <v>7699300000000000</v>
      </c>
      <c r="F8" s="4">
        <v>7699300000000000</v>
      </c>
      <c r="G8" s="4">
        <v>7613860000000000</v>
      </c>
      <c r="H8" s="4">
        <v>6460490000000000</v>
      </c>
      <c r="I8" s="4">
        <v>5777010000000000</v>
      </c>
      <c r="J8" s="4">
        <v>5563430000000000</v>
      </c>
      <c r="K8" s="4">
        <v>5008100000000000</v>
      </c>
      <c r="L8" s="4">
        <v>5008100000000000</v>
      </c>
      <c r="M8" s="4">
        <v>4837230000000000</v>
      </c>
      <c r="N8" s="4">
        <v>4709080000000000</v>
      </c>
      <c r="O8" s="4">
        <v>4623640000000000</v>
      </c>
      <c r="P8" s="4">
        <v>4452770000000000</v>
      </c>
      <c r="Q8" s="4">
        <v>4452770000000000</v>
      </c>
      <c r="R8" s="4">
        <v>4367340000000000</v>
      </c>
      <c r="S8" s="4">
        <v>4196470000000000</v>
      </c>
      <c r="T8" s="4">
        <v>4111040000000000</v>
      </c>
      <c r="U8" s="4">
        <v>4111040000000000</v>
      </c>
      <c r="V8" s="4">
        <v>4111040000000000</v>
      </c>
      <c r="W8" s="4">
        <v>4111040000000000</v>
      </c>
      <c r="X8" s="4">
        <v>4111040000000000</v>
      </c>
      <c r="Y8" s="4">
        <v>3897450000000000</v>
      </c>
      <c r="Z8" s="4">
        <v>3427560000000000</v>
      </c>
      <c r="AA8" s="4">
        <v>3427560000000000</v>
      </c>
      <c r="AB8" s="4">
        <v>3427560000000000</v>
      </c>
      <c r="AC8" s="4">
        <v>3342120000000000</v>
      </c>
      <c r="AD8" s="4">
        <v>3171250000000000</v>
      </c>
      <c r="AE8" s="4">
        <v>3171250000000000</v>
      </c>
      <c r="AF8" s="4">
        <v>3171250000000000</v>
      </c>
    </row>
    <row r="9" spans="1:57" x14ac:dyDescent="0.75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I9" s="1"/>
    </row>
    <row r="10" spans="1:57" x14ac:dyDescent="0.75">
      <c r="A10" t="s">
        <v>79</v>
      </c>
      <c r="B10">
        <v>0</v>
      </c>
      <c r="C10">
        <v>85434800000000</v>
      </c>
      <c r="D10" s="4">
        <v>170870000000000</v>
      </c>
      <c r="E10" s="4">
        <v>170870000000000</v>
      </c>
      <c r="F10" s="4">
        <v>170870000000000</v>
      </c>
      <c r="G10" s="4">
        <v>170870000000000</v>
      </c>
      <c r="H10" s="4">
        <v>213587000000000</v>
      </c>
      <c r="I10" s="4">
        <v>213587000000000</v>
      </c>
      <c r="J10" s="4">
        <v>213587000000000</v>
      </c>
      <c r="K10" s="4">
        <v>213587000000000</v>
      </c>
      <c r="L10" s="4">
        <v>213587000000000</v>
      </c>
      <c r="M10" s="4">
        <v>213587000000000</v>
      </c>
      <c r="N10" s="4">
        <v>213587000000000</v>
      </c>
      <c r="O10" s="4">
        <v>213587000000000</v>
      </c>
      <c r="P10" s="4">
        <v>213587000000000</v>
      </c>
      <c r="Q10" s="4">
        <v>213587000000000</v>
      </c>
      <c r="R10" s="4">
        <v>213587000000000</v>
      </c>
      <c r="S10" s="4">
        <v>213587000000000</v>
      </c>
      <c r="T10" s="4">
        <v>213587000000000</v>
      </c>
      <c r="U10" s="4">
        <v>213587000000000</v>
      </c>
      <c r="V10" s="4">
        <v>213587000000000</v>
      </c>
      <c r="W10" s="4">
        <v>213587000000000</v>
      </c>
      <c r="X10" s="4">
        <v>213587000000000</v>
      </c>
      <c r="Y10" s="4">
        <v>213587000000000</v>
      </c>
      <c r="Z10" s="4">
        <v>213587000000000</v>
      </c>
      <c r="AA10" s="4">
        <v>213587000000000</v>
      </c>
      <c r="AB10" s="4">
        <v>213587000000000</v>
      </c>
      <c r="AC10" s="4">
        <v>213587000000000</v>
      </c>
      <c r="AD10" s="4">
        <v>213587000000000</v>
      </c>
      <c r="AE10" s="4">
        <v>213587000000000</v>
      </c>
      <c r="AF10" s="4">
        <v>213587000000000</v>
      </c>
    </row>
    <row r="11" spans="1:57" x14ac:dyDescent="0.75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57" x14ac:dyDescent="0.75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57" x14ac:dyDescent="0.75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57" x14ac:dyDescent="0.75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57" x14ac:dyDescent="0.75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57" x14ac:dyDescent="0.75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42" x14ac:dyDescent="0.75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42" x14ac:dyDescent="0.75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42" x14ac:dyDescent="0.75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42" x14ac:dyDescent="0.75">
      <c r="A20" t="s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42" x14ac:dyDescent="0.75">
      <c r="A21" t="s">
        <v>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42" x14ac:dyDescent="0.75">
      <c r="A22" t="s">
        <v>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42" x14ac:dyDescent="0.75">
      <c r="A23" t="s">
        <v>92</v>
      </c>
      <c r="B23" s="4">
        <v>344811000000000</v>
      </c>
      <c r="C23" s="4">
        <v>344811000000000</v>
      </c>
      <c r="D23" s="4">
        <v>344811000000000</v>
      </c>
      <c r="E23" s="4">
        <v>344811000000000</v>
      </c>
      <c r="F23" s="4">
        <v>344811000000000</v>
      </c>
      <c r="G23" s="4">
        <v>344811000000000</v>
      </c>
      <c r="H23" s="4">
        <v>344811000000000</v>
      </c>
      <c r="I23" s="4">
        <v>344811000000000</v>
      </c>
      <c r="J23" s="4">
        <v>344811000000000</v>
      </c>
      <c r="K23" s="4">
        <v>344811000000000</v>
      </c>
      <c r="L23" s="4">
        <v>344811000000000</v>
      </c>
      <c r="M23" s="4">
        <v>344811000000000</v>
      </c>
      <c r="N23" s="4">
        <v>344811000000000</v>
      </c>
      <c r="O23" s="4">
        <v>344811000000000</v>
      </c>
      <c r="P23" s="4">
        <v>344811000000000</v>
      </c>
      <c r="Q23" s="4">
        <v>344811000000000</v>
      </c>
      <c r="R23" s="4">
        <v>344811000000000</v>
      </c>
      <c r="S23" s="4">
        <v>344811000000000</v>
      </c>
      <c r="T23" s="4">
        <v>344811000000000</v>
      </c>
      <c r="U23" s="4">
        <v>344811000000000</v>
      </c>
      <c r="V23" s="4">
        <v>344811000000000</v>
      </c>
      <c r="W23" s="4">
        <v>344811000000000</v>
      </c>
      <c r="X23" s="4">
        <v>344811000000000</v>
      </c>
      <c r="Y23" s="4">
        <v>344811000000000</v>
      </c>
      <c r="Z23" s="4">
        <v>344811000000000</v>
      </c>
      <c r="AA23" s="4">
        <v>344811000000000</v>
      </c>
      <c r="AB23" s="4">
        <v>344811000000000</v>
      </c>
      <c r="AC23" s="4">
        <v>344811000000000</v>
      </c>
      <c r="AD23" s="4">
        <v>344811000000000</v>
      </c>
      <c r="AE23" s="4">
        <v>344811000000000</v>
      </c>
      <c r="AF23" s="4">
        <v>344811000000000</v>
      </c>
    </row>
    <row r="24" spans="1:42" x14ac:dyDescent="0.75">
      <c r="A24" t="s">
        <v>93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P24" t="s">
        <v>1625</v>
      </c>
    </row>
    <row r="25" spans="1:42" x14ac:dyDescent="0.75">
      <c r="A25" t="s">
        <v>94</v>
      </c>
      <c r="B25" s="4">
        <v>0</v>
      </c>
      <c r="C25" s="4">
        <v>2586620000000</v>
      </c>
      <c r="D25" s="4">
        <v>6466560000000</v>
      </c>
      <c r="E25" s="4">
        <v>7759870000000</v>
      </c>
      <c r="F25" s="4">
        <v>7759870000000</v>
      </c>
      <c r="G25" s="4">
        <v>23279600000000</v>
      </c>
      <c r="H25" s="4">
        <v>29746200000000</v>
      </c>
      <c r="I25" s="4">
        <v>34919400000000</v>
      </c>
      <c r="J25" s="4">
        <v>37506000000000</v>
      </c>
      <c r="K25" s="4">
        <v>40092700000000</v>
      </c>
      <c r="L25" s="4">
        <v>40092700000000</v>
      </c>
      <c r="M25" s="4">
        <v>41386000000000</v>
      </c>
      <c r="N25" s="4">
        <v>42679300000000</v>
      </c>
      <c r="O25" s="4">
        <v>43972600000000</v>
      </c>
      <c r="P25" s="4">
        <v>45265900000000</v>
      </c>
      <c r="Q25" s="4">
        <v>45265900000000</v>
      </c>
      <c r="R25" s="4">
        <v>45265900000000</v>
      </c>
      <c r="S25" s="4">
        <v>46559200000000</v>
      </c>
      <c r="T25" s="4">
        <v>46559200000000</v>
      </c>
      <c r="U25" s="4">
        <v>46559200000000</v>
      </c>
      <c r="V25" s="4">
        <v>46559200000000</v>
      </c>
      <c r="W25" s="4">
        <v>46559200000000</v>
      </c>
      <c r="X25" s="4">
        <v>46559200000000</v>
      </c>
      <c r="Y25" s="4">
        <v>46559200000000</v>
      </c>
      <c r="Z25" s="4">
        <v>47852500000000</v>
      </c>
      <c r="AA25" s="4">
        <v>47852500000000</v>
      </c>
      <c r="AB25" s="4">
        <v>47852500000000</v>
      </c>
      <c r="AC25" s="4">
        <v>47852500000000</v>
      </c>
      <c r="AD25" s="4">
        <v>47852500000000</v>
      </c>
      <c r="AE25" s="4">
        <v>47852500000000</v>
      </c>
      <c r="AF25" s="4">
        <v>47852500000000</v>
      </c>
    </row>
    <row r="26" spans="1:42" x14ac:dyDescent="0.75">
      <c r="A26" t="s">
        <v>95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42" x14ac:dyDescent="0.75">
      <c r="A27" t="s">
        <v>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42" x14ac:dyDescent="0.75">
      <c r="A28" t="s">
        <v>97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42" x14ac:dyDescent="0.75">
      <c r="A29" t="s">
        <v>98</v>
      </c>
      <c r="B29" s="4">
        <v>121125000000000</v>
      </c>
      <c r="C29" s="4">
        <v>120823000000000</v>
      </c>
      <c r="D29" s="4">
        <v>120720000000000</v>
      </c>
      <c r="E29" s="4">
        <v>120645000000000</v>
      </c>
      <c r="F29" s="4">
        <v>120567000000000</v>
      </c>
      <c r="G29" s="4">
        <v>121700000000000</v>
      </c>
      <c r="H29" s="4">
        <v>122089000000000</v>
      </c>
      <c r="I29" s="4">
        <v>122306000000000</v>
      </c>
      <c r="J29" s="4">
        <v>122480000000000</v>
      </c>
      <c r="K29" s="4">
        <v>122639000000000</v>
      </c>
      <c r="L29" s="4">
        <v>122796000000000</v>
      </c>
      <c r="M29" s="4">
        <v>122917000000000</v>
      </c>
      <c r="N29" s="4">
        <v>123018000000000</v>
      </c>
      <c r="O29" s="4">
        <v>123106000000000</v>
      </c>
      <c r="P29" s="4">
        <v>123190000000000</v>
      </c>
      <c r="Q29" s="4">
        <v>123278000000000</v>
      </c>
      <c r="R29" s="4">
        <v>123359000000000</v>
      </c>
      <c r="S29" s="4">
        <v>123414000000000</v>
      </c>
      <c r="T29" s="4">
        <v>123488000000000</v>
      </c>
      <c r="U29" s="4">
        <v>123565000000000</v>
      </c>
      <c r="V29" s="4">
        <v>123623000000000</v>
      </c>
      <c r="W29" s="4">
        <v>123681000000000</v>
      </c>
      <c r="X29" s="4">
        <v>123744000000000</v>
      </c>
      <c r="Y29" s="4">
        <v>123789000000000</v>
      </c>
      <c r="Z29" s="4">
        <v>123814000000000</v>
      </c>
      <c r="AA29" s="4">
        <v>123859000000000</v>
      </c>
      <c r="AB29" s="4">
        <v>123902000000000</v>
      </c>
      <c r="AC29" s="4">
        <v>123955000000000</v>
      </c>
      <c r="AD29" s="4">
        <v>123998000000000</v>
      </c>
      <c r="AE29" s="4">
        <v>124047000000000</v>
      </c>
      <c r="AF29" s="4">
        <v>124094000000000</v>
      </c>
    </row>
    <row r="30" spans="1:42" x14ac:dyDescent="0.75">
      <c r="A30" t="s">
        <v>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42" x14ac:dyDescent="0.75">
      <c r="A31" t="s">
        <v>100</v>
      </c>
      <c r="B31">
        <v>0</v>
      </c>
      <c r="C31">
        <v>9643350000</v>
      </c>
      <c r="D31">
        <v>9635030000</v>
      </c>
      <c r="E31" s="4">
        <v>9629070000</v>
      </c>
      <c r="F31" s="4">
        <v>9622850000</v>
      </c>
      <c r="G31" s="4">
        <v>252547000000</v>
      </c>
      <c r="H31" s="4">
        <v>384901000000</v>
      </c>
      <c r="I31" s="4">
        <v>478325000000</v>
      </c>
      <c r="J31" s="4">
        <v>566988000000</v>
      </c>
      <c r="K31" s="4">
        <v>650920000000</v>
      </c>
      <c r="L31" s="4">
        <v>720358000000</v>
      </c>
      <c r="M31" s="4">
        <v>775024000000</v>
      </c>
      <c r="N31" s="4">
        <v>829664000000</v>
      </c>
      <c r="O31" s="4">
        <v>879387000000</v>
      </c>
      <c r="P31" s="4">
        <v>929141000000</v>
      </c>
      <c r="Q31" s="4">
        <v>983924000000</v>
      </c>
      <c r="R31" s="4">
        <v>1033800000000</v>
      </c>
      <c r="S31" s="4">
        <v>1073660000000</v>
      </c>
      <c r="T31" s="4">
        <v>1123580000000</v>
      </c>
      <c r="U31" s="4">
        <v>1173590000000</v>
      </c>
      <c r="V31" s="4">
        <v>1218540000000</v>
      </c>
      <c r="W31" s="4">
        <v>1263540000000</v>
      </c>
      <c r="X31" s="4">
        <v>1308620000000</v>
      </c>
      <c r="Y31" s="4">
        <v>1348610000000</v>
      </c>
      <c r="Z31" s="4">
        <v>1373590000000</v>
      </c>
      <c r="AA31" s="4">
        <v>1413630000000</v>
      </c>
      <c r="AB31" s="4">
        <v>1453680000000</v>
      </c>
      <c r="AC31" s="4">
        <v>1498820000000</v>
      </c>
      <c r="AD31" s="4">
        <v>1538930000000</v>
      </c>
      <c r="AE31" s="4">
        <v>1589030000000</v>
      </c>
      <c r="AF31" s="4">
        <v>1644120000000</v>
      </c>
    </row>
    <row r="32" spans="1:42" x14ac:dyDescent="0.75">
      <c r="A32" t="s">
        <v>101</v>
      </c>
      <c r="B32" s="4">
        <v>1338380000000000</v>
      </c>
      <c r="C32" s="4">
        <v>1328880000000000</v>
      </c>
      <c r="D32" s="4">
        <v>1321760000000000</v>
      </c>
      <c r="E32" s="4">
        <v>1315370000000000</v>
      </c>
      <c r="F32" s="4">
        <v>1311280000000000</v>
      </c>
      <c r="G32" s="4">
        <v>1323680000000000</v>
      </c>
      <c r="H32" s="4">
        <v>1314780000000000</v>
      </c>
      <c r="I32" s="4">
        <v>1310740000000000</v>
      </c>
      <c r="J32" s="4">
        <v>1312920000000000</v>
      </c>
      <c r="K32" s="4">
        <v>1314990000000000</v>
      </c>
      <c r="L32" s="4">
        <v>1313230000000000</v>
      </c>
      <c r="M32" s="4">
        <v>1314350000000000</v>
      </c>
      <c r="N32" s="4">
        <v>1313580000000000</v>
      </c>
      <c r="O32" s="4">
        <v>1312680000000000</v>
      </c>
      <c r="P32" s="4">
        <v>1313380000000000</v>
      </c>
      <c r="Q32" s="4">
        <v>1314150000000000</v>
      </c>
      <c r="R32" s="4">
        <v>1314810000000000</v>
      </c>
      <c r="S32" s="4">
        <v>1315310000000000</v>
      </c>
      <c r="T32" s="4">
        <v>1315440000000000</v>
      </c>
      <c r="U32" s="4">
        <v>1316120000000000</v>
      </c>
      <c r="V32" s="4">
        <v>1316650000000000</v>
      </c>
      <c r="W32" s="4">
        <v>1315030000000000</v>
      </c>
      <c r="X32" s="4">
        <v>1315030000000000</v>
      </c>
      <c r="Y32" s="4">
        <v>1315410000000000</v>
      </c>
      <c r="Z32" s="4">
        <v>1315620000000000</v>
      </c>
      <c r="AA32" s="4">
        <v>1315520000000000</v>
      </c>
      <c r="AB32" s="4">
        <v>1315900000000000</v>
      </c>
      <c r="AC32" s="4">
        <v>1316330000000000</v>
      </c>
      <c r="AD32" s="4">
        <v>1315580000000000</v>
      </c>
      <c r="AE32" s="4">
        <v>1315950000000000</v>
      </c>
      <c r="AF32" s="4">
        <v>1316310000000000</v>
      </c>
    </row>
    <row r="33" spans="1:32" x14ac:dyDescent="0.75">
      <c r="A33" t="s">
        <v>102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75">
      <c r="A34" t="s">
        <v>103</v>
      </c>
      <c r="B34" s="4">
        <v>33022900000000</v>
      </c>
      <c r="C34" s="4">
        <v>57172500000000</v>
      </c>
      <c r="D34" s="4">
        <v>68682600000000</v>
      </c>
      <c r="E34" s="4">
        <v>80087100000000</v>
      </c>
      <c r="F34" s="4">
        <v>85719400000000</v>
      </c>
      <c r="G34" s="4">
        <v>392373000000000</v>
      </c>
      <c r="H34" s="4">
        <v>546513000000000</v>
      </c>
      <c r="I34" s="4">
        <v>643699000000000</v>
      </c>
      <c r="J34" s="4">
        <v>728813000000000</v>
      </c>
      <c r="K34" s="4">
        <v>822492000000000</v>
      </c>
      <c r="L34" s="4">
        <v>915304000000000</v>
      </c>
      <c r="M34" s="4">
        <v>991435000000000</v>
      </c>
      <c r="N34" s="4">
        <v>1064070000000000</v>
      </c>
      <c r="O34" s="4">
        <v>1129450000000000</v>
      </c>
      <c r="P34" s="4">
        <v>1193270000000000</v>
      </c>
      <c r="Q34" s="4">
        <v>1266120000000000</v>
      </c>
      <c r="R34" s="4">
        <v>1336690000000000</v>
      </c>
      <c r="S34" s="4">
        <v>1395550000000000</v>
      </c>
      <c r="T34" s="4">
        <v>1468500000000000</v>
      </c>
      <c r="U34" s="4">
        <v>1544870000000000</v>
      </c>
      <c r="V34" s="4">
        <v>1612250000000000</v>
      </c>
      <c r="W34" s="4">
        <v>1683010000000000</v>
      </c>
      <c r="X34" s="4">
        <v>1759390000000000</v>
      </c>
      <c r="Y34" s="4">
        <v>1824480000000000</v>
      </c>
      <c r="Z34" s="4">
        <v>1872670000000000</v>
      </c>
      <c r="AA34" s="4">
        <v>1944630000000000</v>
      </c>
      <c r="AB34" s="4">
        <v>2016510000000000</v>
      </c>
      <c r="AC34" s="4">
        <v>2097940000000000</v>
      </c>
      <c r="AD34" s="4">
        <v>2175320000000000</v>
      </c>
      <c r="AE34" s="4">
        <v>2262850000000000</v>
      </c>
      <c r="AF34" s="4">
        <v>2355430000000000</v>
      </c>
    </row>
    <row r="35" spans="1:32" x14ac:dyDescent="0.75">
      <c r="A35" t="s">
        <v>104</v>
      </c>
      <c r="B35" s="4">
        <v>186857000000000</v>
      </c>
      <c r="C35" s="4">
        <v>405815000000000</v>
      </c>
      <c r="D35" s="4">
        <v>546587000000000</v>
      </c>
      <c r="E35" s="4">
        <v>592402000000000</v>
      </c>
      <c r="F35" s="4">
        <v>550004000000000</v>
      </c>
      <c r="G35" s="4">
        <v>643507000000000</v>
      </c>
      <c r="H35" s="4">
        <v>625878000000000</v>
      </c>
      <c r="I35" s="4">
        <v>601693000000000</v>
      </c>
      <c r="J35" s="4">
        <v>561708000000000</v>
      </c>
      <c r="K35" s="4">
        <v>509409000000000</v>
      </c>
      <c r="L35" s="4">
        <v>456144000000000</v>
      </c>
      <c r="M35" s="4">
        <v>459127000000000</v>
      </c>
      <c r="N35" s="4">
        <v>479126000000000</v>
      </c>
      <c r="O35" s="4">
        <v>496901000000000</v>
      </c>
      <c r="P35" s="4">
        <v>511368000000000</v>
      </c>
      <c r="Q35" s="4">
        <v>520048000000000</v>
      </c>
      <c r="R35" s="4">
        <v>527094000000000</v>
      </c>
      <c r="S35" s="4">
        <v>524325000000000</v>
      </c>
      <c r="T35" s="4">
        <v>535216000000000</v>
      </c>
      <c r="U35" s="4">
        <v>536806000000000</v>
      </c>
      <c r="V35" s="4">
        <v>534922000000000</v>
      </c>
      <c r="W35" s="4">
        <v>534187000000000</v>
      </c>
      <c r="X35" s="4">
        <v>535385000000000</v>
      </c>
      <c r="Y35" s="4">
        <v>535878000000000</v>
      </c>
      <c r="Z35" s="4">
        <v>538852000000000</v>
      </c>
      <c r="AA35" s="4">
        <v>547334000000000</v>
      </c>
      <c r="AB35" s="4">
        <v>551790000000000</v>
      </c>
      <c r="AC35" s="4">
        <v>558540000000000</v>
      </c>
      <c r="AD35" s="4">
        <v>576483000000000</v>
      </c>
      <c r="AE35" s="4">
        <v>587719000000000</v>
      </c>
      <c r="AF35" s="4">
        <v>598243000000000</v>
      </c>
    </row>
    <row r="36" spans="1:32" x14ac:dyDescent="0.75">
      <c r="A36" t="s">
        <v>105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75">
      <c r="A37" t="s">
        <v>106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75">
      <c r="A38" t="s">
        <v>107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75">
      <c r="A39" t="s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75">
      <c r="A40" t="s">
        <v>109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75">
      <c r="A41" t="s">
        <v>110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75">
      <c r="A42" t="s">
        <v>111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75">
      <c r="A43" t="s">
        <v>112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75">
      <c r="A44" t="s">
        <v>113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75">
      <c r="A45" t="s">
        <v>114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75">
      <c r="A46" t="s">
        <v>115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75">
      <c r="A47" t="s">
        <v>116</v>
      </c>
      <c r="B47" s="4">
        <v>262173000000000</v>
      </c>
      <c r="C47" s="4">
        <v>262173000000000</v>
      </c>
      <c r="D47" s="4">
        <v>262173000000000</v>
      </c>
      <c r="E47" s="4">
        <v>262173000000000</v>
      </c>
      <c r="F47" s="4">
        <v>262173000000000</v>
      </c>
      <c r="G47" s="4">
        <v>262173000000000</v>
      </c>
      <c r="H47" s="4">
        <v>262173000000000</v>
      </c>
      <c r="I47" s="4">
        <v>262173000000000</v>
      </c>
      <c r="J47" s="4">
        <v>262173000000000</v>
      </c>
      <c r="K47" s="4">
        <v>262173000000000</v>
      </c>
      <c r="L47" s="4">
        <v>262173000000000</v>
      </c>
      <c r="M47" s="4">
        <v>262173000000000</v>
      </c>
      <c r="N47" s="4">
        <v>262173000000000</v>
      </c>
      <c r="O47" s="4">
        <v>262173000000000</v>
      </c>
      <c r="P47" s="4">
        <v>262173000000000</v>
      </c>
      <c r="Q47" s="4">
        <v>262173000000000</v>
      </c>
      <c r="R47" s="4">
        <v>262173000000000</v>
      </c>
      <c r="S47" s="4">
        <v>262173000000000</v>
      </c>
      <c r="T47" s="4">
        <v>262173000000000</v>
      </c>
      <c r="U47" s="4">
        <v>262173000000000</v>
      </c>
      <c r="V47" s="4">
        <v>262173000000000</v>
      </c>
      <c r="W47" s="4">
        <v>262173000000000</v>
      </c>
      <c r="X47" s="4">
        <v>262173000000000</v>
      </c>
      <c r="Y47" s="4">
        <v>262173000000000</v>
      </c>
      <c r="Z47" s="4">
        <v>262173000000000</v>
      </c>
      <c r="AA47" s="4">
        <v>262173000000000</v>
      </c>
      <c r="AB47" s="4">
        <v>262173000000000</v>
      </c>
      <c r="AC47" s="4">
        <v>262173000000000</v>
      </c>
      <c r="AD47" s="4">
        <v>262173000000000</v>
      </c>
      <c r="AE47" s="4">
        <v>262173000000000</v>
      </c>
      <c r="AF47" s="4">
        <v>262173000000000</v>
      </c>
    </row>
    <row r="48" spans="1:32" x14ac:dyDescent="0.75">
      <c r="A48" t="s">
        <v>117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75">
      <c r="A49" t="s">
        <v>118</v>
      </c>
      <c r="B49">
        <v>0</v>
      </c>
      <c r="C49">
        <v>0</v>
      </c>
      <c r="D49" s="4">
        <v>0</v>
      </c>
      <c r="E49" s="4">
        <v>0</v>
      </c>
      <c r="F49" s="4">
        <v>0</v>
      </c>
      <c r="G49" s="4">
        <v>12559300000000</v>
      </c>
      <c r="H49" s="4">
        <v>23025400000000</v>
      </c>
      <c r="I49" s="4">
        <v>31398300000000</v>
      </c>
      <c r="J49" s="4">
        <v>38724600000000</v>
      </c>
      <c r="K49" s="4">
        <v>43957700000000</v>
      </c>
      <c r="L49" s="4">
        <v>48144100000000</v>
      </c>
      <c r="M49" s="4">
        <v>52330500000000</v>
      </c>
      <c r="N49" s="4">
        <v>56517000000000</v>
      </c>
      <c r="O49" s="4">
        <v>59656800000000</v>
      </c>
      <c r="P49" s="4">
        <v>62796700000000</v>
      </c>
      <c r="Q49" s="4">
        <v>65936500000000</v>
      </c>
      <c r="R49" s="4">
        <v>69076300000000</v>
      </c>
      <c r="S49" s="4">
        <v>72216100000000</v>
      </c>
      <c r="T49" s="4">
        <v>74309400000000</v>
      </c>
      <c r="U49" s="4">
        <v>76402600000000</v>
      </c>
      <c r="V49" s="4">
        <v>78495800000000</v>
      </c>
      <c r="W49" s="4">
        <v>80589000000000</v>
      </c>
      <c r="X49" s="4">
        <v>82682300000000</v>
      </c>
      <c r="Y49" s="4">
        <v>84775500000000</v>
      </c>
      <c r="Z49" s="4">
        <v>86868700000000</v>
      </c>
      <c r="AA49" s="4">
        <v>88961900000000</v>
      </c>
      <c r="AB49" s="4">
        <v>90008500000000</v>
      </c>
      <c r="AC49" s="4">
        <v>91055100000000</v>
      </c>
      <c r="AD49" s="4">
        <v>92101800000000</v>
      </c>
      <c r="AE49" s="4">
        <v>93148400000000</v>
      </c>
      <c r="AF49" s="4">
        <v>94195000000000</v>
      </c>
    </row>
    <row r="50" spans="1:32" x14ac:dyDescent="0.75">
      <c r="A50" t="s">
        <v>119</v>
      </c>
      <c r="B50" s="4">
        <v>251000000000000</v>
      </c>
      <c r="C50" s="4">
        <v>265700000000000</v>
      </c>
      <c r="D50" s="4">
        <v>268200000000000</v>
      </c>
      <c r="E50" s="4">
        <v>276100000000000</v>
      </c>
      <c r="F50" s="4">
        <v>284200000000000</v>
      </c>
      <c r="G50" s="4">
        <v>290600000000000</v>
      </c>
      <c r="H50" s="4">
        <v>296500000000000</v>
      </c>
      <c r="I50" s="4">
        <v>302100000000000</v>
      </c>
      <c r="J50" s="4">
        <v>307600000000000</v>
      </c>
      <c r="K50" s="4">
        <v>312000000000000</v>
      </c>
      <c r="L50" s="4">
        <v>316400000000000</v>
      </c>
      <c r="M50" s="4">
        <v>321000000000000</v>
      </c>
      <c r="N50" s="4">
        <v>326200000000000</v>
      </c>
      <c r="O50" s="4">
        <v>330300000000000</v>
      </c>
      <c r="P50" s="4">
        <v>335000000000000</v>
      </c>
      <c r="Q50" s="4">
        <v>339900000000000</v>
      </c>
      <c r="R50" s="4">
        <v>344800000000000</v>
      </c>
      <c r="S50" s="4">
        <v>349600000000000</v>
      </c>
      <c r="T50" s="4">
        <v>354500000000000</v>
      </c>
      <c r="U50" s="4">
        <v>359500000000000</v>
      </c>
      <c r="V50" s="4">
        <v>364600000000000</v>
      </c>
      <c r="W50" s="4">
        <v>369700000000000</v>
      </c>
      <c r="X50" s="4">
        <v>374800000000000</v>
      </c>
      <c r="Y50" s="4">
        <v>380000000000000</v>
      </c>
      <c r="Z50" s="4">
        <v>385200000000000</v>
      </c>
      <c r="AA50" s="4">
        <v>390600000000000</v>
      </c>
      <c r="AB50" s="4">
        <v>395900000000000</v>
      </c>
      <c r="AC50" s="4">
        <v>401200000000000</v>
      </c>
      <c r="AD50" s="4">
        <v>406900000000000</v>
      </c>
      <c r="AE50" s="4">
        <v>412600000000000</v>
      </c>
      <c r="AF50" s="4">
        <v>418400000000000</v>
      </c>
    </row>
    <row r="51" spans="1:32" x14ac:dyDescent="0.75">
      <c r="A51" t="s">
        <v>120</v>
      </c>
      <c r="B51" s="4">
        <v>76800000000000</v>
      </c>
      <c r="C51" s="4">
        <v>74387800000000</v>
      </c>
      <c r="D51" s="4">
        <v>76431200000000</v>
      </c>
      <c r="E51" s="4">
        <v>81667300000000</v>
      </c>
      <c r="F51" s="4">
        <v>86032900000000</v>
      </c>
      <c r="G51" s="4">
        <v>89126300000000</v>
      </c>
      <c r="H51" s="4">
        <v>91470400000000</v>
      </c>
      <c r="I51" s="4">
        <v>93013100000000</v>
      </c>
      <c r="J51" s="4">
        <v>94606900000000</v>
      </c>
      <c r="K51" s="4">
        <v>95897500000000</v>
      </c>
      <c r="L51" s="4">
        <v>97201500000000</v>
      </c>
      <c r="M51" s="4">
        <v>98449000000000</v>
      </c>
      <c r="N51" s="4">
        <v>99837700000000</v>
      </c>
      <c r="O51" s="4">
        <v>100478000000000</v>
      </c>
      <c r="P51" s="4">
        <v>101408000000000</v>
      </c>
      <c r="Q51" s="4">
        <v>102424000000000</v>
      </c>
      <c r="R51" s="4">
        <v>103336000000000</v>
      </c>
      <c r="S51" s="4">
        <v>104245000000000</v>
      </c>
      <c r="T51" s="4">
        <v>104854000000000</v>
      </c>
      <c r="U51" s="4">
        <v>105733000000000</v>
      </c>
      <c r="V51" s="4">
        <v>106522000000000</v>
      </c>
      <c r="W51" s="4">
        <v>107383000000000</v>
      </c>
      <c r="X51" s="4">
        <v>108313000000000</v>
      </c>
      <c r="Y51" s="4">
        <v>109438000000000</v>
      </c>
      <c r="Z51" s="4">
        <v>110026000000000</v>
      </c>
      <c r="AA51" s="4">
        <v>110879000000000</v>
      </c>
      <c r="AB51" s="4">
        <v>111128000000000</v>
      </c>
      <c r="AC51" s="4">
        <v>111549000000000</v>
      </c>
      <c r="AD51" s="4">
        <v>111869000000000</v>
      </c>
      <c r="AE51" s="4">
        <v>112027000000000</v>
      </c>
      <c r="AF51" s="4">
        <v>112341000000000</v>
      </c>
    </row>
    <row r="52" spans="1:32" x14ac:dyDescent="0.75">
      <c r="A52" t="s">
        <v>121</v>
      </c>
      <c r="B52" s="4">
        <v>95800000000000</v>
      </c>
      <c r="C52" s="4">
        <v>92844000000000</v>
      </c>
      <c r="D52" s="4">
        <v>95394500000000</v>
      </c>
      <c r="E52" s="4">
        <v>101930000000000</v>
      </c>
      <c r="F52" s="4">
        <v>107378000000000</v>
      </c>
      <c r="G52" s="4">
        <v>111239000000000</v>
      </c>
      <c r="H52" s="4">
        <v>114165000000000</v>
      </c>
      <c r="I52" s="4">
        <v>116090000000000</v>
      </c>
      <c r="J52" s="4">
        <v>118080000000000</v>
      </c>
      <c r="K52" s="4">
        <v>119690000000000</v>
      </c>
      <c r="L52" s="4">
        <v>121318000000000</v>
      </c>
      <c r="M52" s="4">
        <v>122875000000000</v>
      </c>
      <c r="N52" s="4">
        <v>124608000000000</v>
      </c>
      <c r="O52" s="4">
        <v>125407000000000</v>
      </c>
      <c r="P52" s="4">
        <v>126568000000000</v>
      </c>
      <c r="Q52" s="4">
        <v>127836000000000</v>
      </c>
      <c r="R52" s="4">
        <v>128975000000000</v>
      </c>
      <c r="S52" s="4">
        <v>130109000000000</v>
      </c>
      <c r="T52" s="4">
        <v>130869000000000</v>
      </c>
      <c r="U52" s="4">
        <v>131966000000000</v>
      </c>
      <c r="V52" s="4">
        <v>132951000000000</v>
      </c>
      <c r="W52" s="4">
        <v>134026000000000</v>
      </c>
      <c r="X52" s="4">
        <v>135187000000000</v>
      </c>
      <c r="Y52" s="4">
        <v>136590000000000</v>
      </c>
      <c r="Z52" s="4">
        <v>137324000000000</v>
      </c>
      <c r="AA52" s="4">
        <v>138389000000000</v>
      </c>
      <c r="AB52" s="4">
        <v>138700000000000</v>
      </c>
      <c r="AC52" s="4">
        <v>139225000000000</v>
      </c>
      <c r="AD52" s="4">
        <v>139624000000000</v>
      </c>
      <c r="AE52" s="4">
        <v>139822000000000</v>
      </c>
      <c r="AF52" s="4">
        <v>140213000000000</v>
      </c>
    </row>
    <row r="53" spans="1:32" x14ac:dyDescent="0.75">
      <c r="A53" t="s">
        <v>122</v>
      </c>
      <c r="B53" s="4">
        <v>135000000000000</v>
      </c>
      <c r="C53" s="4">
        <v>131282000000000</v>
      </c>
      <c r="D53" s="4">
        <v>134889000000000</v>
      </c>
      <c r="E53" s="4">
        <v>144129000000000</v>
      </c>
      <c r="F53" s="4">
        <v>151834000000000</v>
      </c>
      <c r="G53" s="4">
        <v>157294000000000</v>
      </c>
      <c r="H53" s="4">
        <v>161430000000000</v>
      </c>
      <c r="I53" s="4">
        <v>164153000000000</v>
      </c>
      <c r="J53" s="4">
        <v>166966000000000</v>
      </c>
      <c r="K53" s="4">
        <v>169243000000000</v>
      </c>
      <c r="L53" s="4">
        <v>171545000000000</v>
      </c>
      <c r="M53" s="4">
        <v>173746000000000</v>
      </c>
      <c r="N53" s="4">
        <v>176197000000000</v>
      </c>
      <c r="O53" s="4">
        <v>177327000000000</v>
      </c>
      <c r="P53" s="4">
        <v>178969000000000</v>
      </c>
      <c r="Q53" s="4">
        <v>180761000000000</v>
      </c>
      <c r="R53" s="4">
        <v>182371000000000</v>
      </c>
      <c r="S53" s="4">
        <v>183975000000000</v>
      </c>
      <c r="T53" s="4">
        <v>185050000000000</v>
      </c>
      <c r="U53" s="4">
        <v>186602000000000</v>
      </c>
      <c r="V53" s="4">
        <v>187993000000000</v>
      </c>
      <c r="W53" s="4">
        <v>189514000000000</v>
      </c>
      <c r="X53" s="4">
        <v>191155000000000</v>
      </c>
      <c r="Y53" s="4">
        <v>193140000000000</v>
      </c>
      <c r="Z53" s="4">
        <v>194178000000000</v>
      </c>
      <c r="AA53" s="4">
        <v>195683000000000</v>
      </c>
      <c r="AB53" s="4">
        <v>196123000000000</v>
      </c>
      <c r="AC53" s="4">
        <v>196865000000000</v>
      </c>
      <c r="AD53" s="4">
        <v>197430000000000</v>
      </c>
      <c r="AE53" s="4">
        <v>197709000000000</v>
      </c>
      <c r="AF53" s="4">
        <v>198263000000000</v>
      </c>
    </row>
    <row r="54" spans="1:32" x14ac:dyDescent="0.75">
      <c r="A54" t="s">
        <v>123</v>
      </c>
      <c r="B54" s="4">
        <v>328000000000000</v>
      </c>
      <c r="C54" s="4">
        <v>342121000000000</v>
      </c>
      <c r="D54" s="4">
        <v>344845000000000</v>
      </c>
      <c r="E54" s="4">
        <v>356021000000000</v>
      </c>
      <c r="F54" s="4">
        <v>366352000000000</v>
      </c>
      <c r="G54" s="4">
        <v>374402000000000</v>
      </c>
      <c r="H54" s="4">
        <v>381326000000000</v>
      </c>
      <c r="I54" s="4">
        <v>387987000000000</v>
      </c>
      <c r="J54" s="4">
        <v>393972000000000</v>
      </c>
      <c r="K54" s="4">
        <v>398233000000000</v>
      </c>
      <c r="L54" s="4">
        <v>402720000000000</v>
      </c>
      <c r="M54" s="4">
        <v>406751000000000</v>
      </c>
      <c r="N54" s="4">
        <v>411401000000000</v>
      </c>
      <c r="O54" s="4">
        <v>415275000000000</v>
      </c>
      <c r="P54" s="4">
        <v>419940000000000</v>
      </c>
      <c r="Q54" s="4">
        <v>424722000000000</v>
      </c>
      <c r="R54" s="4">
        <v>429961000000000</v>
      </c>
      <c r="S54" s="4">
        <v>434825000000000</v>
      </c>
      <c r="T54" s="4">
        <v>439852000000000</v>
      </c>
      <c r="U54" s="4">
        <v>445111000000000</v>
      </c>
      <c r="V54" s="4">
        <v>450393000000000</v>
      </c>
      <c r="W54" s="4">
        <v>455592000000000</v>
      </c>
      <c r="X54" s="4">
        <v>461031000000000</v>
      </c>
      <c r="Y54" s="4">
        <v>466720000000000</v>
      </c>
      <c r="Z54" s="4">
        <v>472173000000000</v>
      </c>
      <c r="AA54" s="4">
        <v>477347000000000</v>
      </c>
      <c r="AB54" s="4">
        <v>482485000000000</v>
      </c>
      <c r="AC54" s="4">
        <v>487538000000000</v>
      </c>
      <c r="AD54" s="4">
        <v>493147000000000</v>
      </c>
      <c r="AE54" s="4">
        <v>499075000000000</v>
      </c>
      <c r="AF54" s="4">
        <v>504755000000000</v>
      </c>
    </row>
    <row r="55" spans="1:32" x14ac:dyDescent="0.75">
      <c r="A55" t="s">
        <v>124</v>
      </c>
      <c r="B55" s="4">
        <v>45600000000000</v>
      </c>
      <c r="C55" s="4">
        <v>45886700000000</v>
      </c>
      <c r="D55" s="4">
        <v>46637900000000</v>
      </c>
      <c r="E55" s="4">
        <v>47830000000000</v>
      </c>
      <c r="F55" s="4">
        <v>48994900000000</v>
      </c>
      <c r="G55" s="4">
        <v>50041400000000</v>
      </c>
      <c r="H55" s="4">
        <v>50891600000000</v>
      </c>
      <c r="I55" s="4">
        <v>51558200000000</v>
      </c>
      <c r="J55" s="4">
        <v>52057200000000</v>
      </c>
      <c r="K55" s="4">
        <v>52364700000000</v>
      </c>
      <c r="L55" s="4">
        <v>52736200000000</v>
      </c>
      <c r="M55" s="4">
        <v>53075100000000</v>
      </c>
      <c r="N55" s="4">
        <v>53379300000000</v>
      </c>
      <c r="O55" s="4">
        <v>53548000000000</v>
      </c>
      <c r="P55" s="4">
        <v>53798800000000</v>
      </c>
      <c r="Q55" s="4">
        <v>54198000000000</v>
      </c>
      <c r="R55" s="4">
        <v>54651700000000</v>
      </c>
      <c r="S55" s="4">
        <v>55049500000000</v>
      </c>
      <c r="T55" s="4">
        <v>55511100000000</v>
      </c>
      <c r="U55" s="4">
        <v>56034600000000</v>
      </c>
      <c r="V55" s="4">
        <v>56565600000000</v>
      </c>
      <c r="W55" s="4">
        <v>57186800000000</v>
      </c>
      <c r="X55" s="4">
        <v>57913400000000</v>
      </c>
      <c r="Y55" s="4">
        <v>58746800000000</v>
      </c>
      <c r="Z55" s="4">
        <v>59530400000000</v>
      </c>
      <c r="AA55" s="4">
        <v>60098700000000</v>
      </c>
      <c r="AB55" s="4">
        <v>60637400000000</v>
      </c>
      <c r="AC55" s="4">
        <v>61126500000000</v>
      </c>
      <c r="AD55" s="4">
        <v>61696900000000</v>
      </c>
      <c r="AE55" s="4">
        <v>62392600000000</v>
      </c>
      <c r="AF55" s="4">
        <v>63008900000000</v>
      </c>
    </row>
    <row r="56" spans="1:32" x14ac:dyDescent="0.75">
      <c r="A56" t="s">
        <v>125</v>
      </c>
      <c r="B56" s="4">
        <v>62100000000000</v>
      </c>
      <c r="C56" s="4">
        <v>62707300000000</v>
      </c>
      <c r="D56" s="4">
        <v>65138900000000</v>
      </c>
      <c r="E56" s="4">
        <v>66795800000000</v>
      </c>
      <c r="F56" s="4">
        <v>68940400000000</v>
      </c>
      <c r="G56" s="4">
        <v>71029600000000</v>
      </c>
      <c r="H56" s="4">
        <v>71711800000000</v>
      </c>
      <c r="I56" s="4">
        <v>71884200000000</v>
      </c>
      <c r="J56" s="4">
        <v>71718800000000</v>
      </c>
      <c r="K56" s="4">
        <v>71419800000000</v>
      </c>
      <c r="L56" s="4">
        <v>71205800000000</v>
      </c>
      <c r="M56" s="4">
        <v>71321100000000</v>
      </c>
      <c r="N56" s="4">
        <v>71964900000000</v>
      </c>
      <c r="O56" s="4">
        <v>71909700000000</v>
      </c>
      <c r="P56" s="4">
        <v>71578200000000</v>
      </c>
      <c r="Q56" s="4">
        <v>72228000000000</v>
      </c>
      <c r="R56" s="4">
        <v>73114600000000</v>
      </c>
      <c r="S56" s="4">
        <v>73589600000000</v>
      </c>
      <c r="T56" s="4">
        <v>74593900000000</v>
      </c>
      <c r="U56" s="4">
        <v>75608700000000</v>
      </c>
      <c r="V56" s="4">
        <v>77044900000000</v>
      </c>
      <c r="W56" s="4">
        <v>79241700000000</v>
      </c>
      <c r="X56" s="4">
        <v>80708800000000</v>
      </c>
      <c r="Y56" s="4">
        <v>82228500000000</v>
      </c>
      <c r="Z56" s="4">
        <v>83824100000000</v>
      </c>
      <c r="AA56" s="4">
        <v>86234900000000</v>
      </c>
      <c r="AB56" s="4">
        <v>88445000000000</v>
      </c>
      <c r="AC56" s="4">
        <v>89899800000000</v>
      </c>
      <c r="AD56" s="4">
        <v>91541800000000</v>
      </c>
      <c r="AE56" s="4">
        <v>93172000000000</v>
      </c>
      <c r="AF56" s="4">
        <v>95138600000000</v>
      </c>
    </row>
    <row r="57" spans="1:32" x14ac:dyDescent="0.75">
      <c r="A57" t="s">
        <v>126</v>
      </c>
      <c r="B57" s="4">
        <v>208000000000000</v>
      </c>
      <c r="C57" s="4">
        <v>209200000000000</v>
      </c>
      <c r="D57" s="4">
        <v>208200000000000</v>
      </c>
      <c r="E57" s="4">
        <v>210400000000000</v>
      </c>
      <c r="F57" s="4">
        <v>213000000000000</v>
      </c>
      <c r="G57" s="4">
        <v>213800000000000</v>
      </c>
      <c r="H57" s="4">
        <v>214000000000000</v>
      </c>
      <c r="I57" s="4">
        <v>213500000000000</v>
      </c>
      <c r="J57" s="4">
        <v>212600000000000</v>
      </c>
      <c r="K57" s="4">
        <v>210600000000000</v>
      </c>
      <c r="L57" s="4">
        <v>208800000000000</v>
      </c>
      <c r="M57" s="4">
        <v>206900000000000</v>
      </c>
      <c r="N57" s="4">
        <v>205100000000000</v>
      </c>
      <c r="O57" s="4">
        <v>202700000000000</v>
      </c>
      <c r="P57" s="4">
        <v>200800000000000</v>
      </c>
      <c r="Q57" s="4">
        <v>199500000000000</v>
      </c>
      <c r="R57" s="4">
        <v>198500000000000</v>
      </c>
      <c r="S57" s="4">
        <v>197800000000000</v>
      </c>
      <c r="T57" s="4">
        <v>197600000000000</v>
      </c>
      <c r="U57" s="4">
        <v>197600000000000</v>
      </c>
      <c r="V57" s="4">
        <v>197600000000000</v>
      </c>
      <c r="W57" s="4">
        <v>197800000000000</v>
      </c>
      <c r="X57" s="4">
        <v>198300000000000</v>
      </c>
      <c r="Y57" s="4">
        <v>199300000000000</v>
      </c>
      <c r="Z57" s="4">
        <v>200000000000000</v>
      </c>
      <c r="AA57" s="4">
        <v>200900000000000</v>
      </c>
      <c r="AB57" s="4">
        <v>201700000000000</v>
      </c>
      <c r="AC57" s="4">
        <v>202700000000000</v>
      </c>
      <c r="AD57" s="4">
        <v>203500000000000</v>
      </c>
      <c r="AE57" s="4">
        <v>204600000000000</v>
      </c>
      <c r="AF57" s="4">
        <v>205700000000000</v>
      </c>
    </row>
    <row r="58" spans="1:32" x14ac:dyDescent="0.75">
      <c r="A58" t="s">
        <v>127</v>
      </c>
      <c r="B58" s="4">
        <v>184000000000000</v>
      </c>
      <c r="C58" s="4">
        <v>195800000000000</v>
      </c>
      <c r="D58" s="4">
        <v>186851000000000</v>
      </c>
      <c r="E58" s="4">
        <v>182505000000000</v>
      </c>
      <c r="F58" s="4">
        <v>179446000000000</v>
      </c>
      <c r="G58" s="4">
        <v>178183000000000</v>
      </c>
      <c r="H58" s="4">
        <v>178526000000000</v>
      </c>
      <c r="I58" s="4">
        <v>177450000000000</v>
      </c>
      <c r="J58" s="4">
        <v>177568000000000</v>
      </c>
      <c r="K58" s="4">
        <v>179608000000000</v>
      </c>
      <c r="L58" s="4">
        <v>185126000000000</v>
      </c>
      <c r="M58" s="4">
        <v>184373000000000</v>
      </c>
      <c r="N58" s="4">
        <v>185750000000000</v>
      </c>
      <c r="O58" s="4">
        <v>186251000000000</v>
      </c>
      <c r="P58" s="4">
        <v>189116000000000</v>
      </c>
      <c r="Q58" s="4">
        <v>189951000000000</v>
      </c>
      <c r="R58" s="4">
        <v>192268000000000</v>
      </c>
      <c r="S58" s="4">
        <v>193582000000000</v>
      </c>
      <c r="T58" s="4">
        <v>194333000000000</v>
      </c>
      <c r="U58" s="4">
        <v>195247000000000</v>
      </c>
      <c r="V58" s="4">
        <v>195520000000000</v>
      </c>
      <c r="W58" s="4">
        <v>196318000000000</v>
      </c>
      <c r="X58" s="4">
        <v>198415000000000</v>
      </c>
      <c r="Y58" s="4">
        <v>200098000000000</v>
      </c>
      <c r="Z58" s="4">
        <v>201362000000000</v>
      </c>
      <c r="AA58" s="4">
        <v>202743000000000</v>
      </c>
      <c r="AB58" s="4">
        <v>203284000000000</v>
      </c>
      <c r="AC58" s="4">
        <v>204237000000000</v>
      </c>
      <c r="AD58" s="4">
        <v>205190000000000</v>
      </c>
      <c r="AE58" s="4">
        <v>206204000000000</v>
      </c>
      <c r="AF58" s="4">
        <v>208005000000000</v>
      </c>
    </row>
    <row r="59" spans="1:32" x14ac:dyDescent="0.75">
      <c r="A59" t="s">
        <v>128</v>
      </c>
      <c r="B59" s="4">
        <v>413000000000000</v>
      </c>
      <c r="C59" s="4">
        <v>411605000000000</v>
      </c>
      <c r="D59" s="4">
        <v>417440000000000</v>
      </c>
      <c r="E59" s="4">
        <v>429725000000000</v>
      </c>
      <c r="F59" s="4">
        <v>450816000000000</v>
      </c>
      <c r="G59" s="4">
        <v>463983000000000</v>
      </c>
      <c r="H59" s="4">
        <v>473114000000000</v>
      </c>
      <c r="I59" s="4">
        <v>478041000000000</v>
      </c>
      <c r="J59" s="4">
        <v>485232000000000</v>
      </c>
      <c r="K59" s="4">
        <v>488813000000000</v>
      </c>
      <c r="L59" s="4">
        <v>494159000000000</v>
      </c>
      <c r="M59" s="4">
        <v>499398000000000</v>
      </c>
      <c r="N59" s="4">
        <v>503275000000000</v>
      </c>
      <c r="O59" s="4">
        <v>504382000000000</v>
      </c>
      <c r="P59" s="4">
        <v>509486000000000</v>
      </c>
      <c r="Q59" s="4">
        <v>514563000000000</v>
      </c>
      <c r="R59" s="4">
        <v>517050000000000</v>
      </c>
      <c r="S59" s="4">
        <v>519709000000000</v>
      </c>
      <c r="T59" s="4">
        <v>520842000000000</v>
      </c>
      <c r="U59" s="4">
        <v>521664000000000</v>
      </c>
      <c r="V59" s="4">
        <v>516951000000000</v>
      </c>
      <c r="W59" s="4">
        <v>513612000000000</v>
      </c>
      <c r="X59" s="4">
        <v>510676000000000</v>
      </c>
      <c r="Y59" s="4">
        <v>512575000000000</v>
      </c>
      <c r="Z59" s="4">
        <v>511050000000000</v>
      </c>
      <c r="AA59" s="4">
        <v>511153000000000</v>
      </c>
      <c r="AB59" s="4">
        <v>504135000000000</v>
      </c>
      <c r="AC59" s="4">
        <v>494959000000000</v>
      </c>
      <c r="AD59" s="4">
        <v>484007000000000</v>
      </c>
      <c r="AE59" s="4">
        <v>475870000000000</v>
      </c>
      <c r="AF59" s="4">
        <v>466245000000000</v>
      </c>
    </row>
    <row r="60" spans="1:32" x14ac:dyDescent="0.75">
      <c r="A60" t="s">
        <v>129</v>
      </c>
      <c r="B60" s="4">
        <v>140000000000000</v>
      </c>
      <c r="C60" s="4">
        <v>143131000000000</v>
      </c>
      <c r="D60" s="4">
        <v>148101000000000</v>
      </c>
      <c r="E60" s="4">
        <v>153327000000000</v>
      </c>
      <c r="F60" s="4">
        <v>158249000000000</v>
      </c>
      <c r="G60" s="4">
        <v>162307000000000</v>
      </c>
      <c r="H60" s="4">
        <v>165024000000000</v>
      </c>
      <c r="I60" s="4">
        <v>166966000000000</v>
      </c>
      <c r="J60" s="4">
        <v>168609000000000</v>
      </c>
      <c r="K60" s="4">
        <v>169418000000000</v>
      </c>
      <c r="L60" s="4">
        <v>170070000000000</v>
      </c>
      <c r="M60" s="4">
        <v>170957000000000</v>
      </c>
      <c r="N60" s="4">
        <v>172859000000000</v>
      </c>
      <c r="O60" s="4">
        <v>174279000000000</v>
      </c>
      <c r="P60" s="4">
        <v>175998000000000</v>
      </c>
      <c r="Q60" s="4">
        <v>178190000000000</v>
      </c>
      <c r="R60" s="4">
        <v>180350000000000</v>
      </c>
      <c r="S60" s="4">
        <v>182396000000000</v>
      </c>
      <c r="T60" s="4">
        <v>184682000000000</v>
      </c>
      <c r="U60" s="4">
        <v>187318000000000</v>
      </c>
      <c r="V60" s="4">
        <v>190242000000000</v>
      </c>
      <c r="W60" s="4">
        <v>193113000000000</v>
      </c>
      <c r="X60" s="4">
        <v>196180000000000</v>
      </c>
      <c r="Y60" s="4">
        <v>199046000000000</v>
      </c>
      <c r="Z60" s="4">
        <v>201438000000000</v>
      </c>
      <c r="AA60" s="4">
        <v>204199000000000</v>
      </c>
      <c r="AB60" s="4">
        <v>206656000000000</v>
      </c>
      <c r="AC60" s="4">
        <v>208781000000000</v>
      </c>
      <c r="AD60" s="4">
        <v>211276000000000</v>
      </c>
      <c r="AE60" s="4">
        <v>213953000000000</v>
      </c>
      <c r="AF60" s="4">
        <v>216588000000000</v>
      </c>
    </row>
    <row r="61" spans="1:32" x14ac:dyDescent="0.75">
      <c r="A61" t="s">
        <v>130</v>
      </c>
      <c r="B61" s="4">
        <v>40000000000000</v>
      </c>
      <c r="C61" s="4">
        <v>39169700000000</v>
      </c>
      <c r="D61" s="4">
        <v>39796700000000</v>
      </c>
      <c r="E61" s="4">
        <v>41009900000000</v>
      </c>
      <c r="F61" s="4">
        <v>42334400000000</v>
      </c>
      <c r="G61" s="4">
        <v>43218400000000</v>
      </c>
      <c r="H61" s="4">
        <v>43862800000000</v>
      </c>
      <c r="I61" s="4">
        <v>44224800000000</v>
      </c>
      <c r="J61" s="4">
        <v>44480900000000</v>
      </c>
      <c r="K61" s="4">
        <v>44620300000000</v>
      </c>
      <c r="L61" s="4">
        <v>44729700000000</v>
      </c>
      <c r="M61" s="4">
        <v>44975800000000</v>
      </c>
      <c r="N61" s="4">
        <v>45261100000000</v>
      </c>
      <c r="O61" s="4">
        <v>45324300000000</v>
      </c>
      <c r="P61" s="4">
        <v>45539900000000</v>
      </c>
      <c r="Q61" s="4">
        <v>46231400000000</v>
      </c>
      <c r="R61" s="4">
        <v>46763500000000</v>
      </c>
      <c r="S61" s="4">
        <v>47099600000000</v>
      </c>
      <c r="T61" s="4">
        <v>47498900000000</v>
      </c>
      <c r="U61" s="4">
        <v>47921600000000</v>
      </c>
      <c r="V61" s="4">
        <v>48483000000000</v>
      </c>
      <c r="W61" s="4">
        <v>49327000000000</v>
      </c>
      <c r="X61" s="4">
        <v>49924600000000</v>
      </c>
      <c r="Y61" s="4">
        <v>50508800000000</v>
      </c>
      <c r="Z61" s="4">
        <v>51121500000000</v>
      </c>
      <c r="AA61" s="4">
        <v>51983100000000</v>
      </c>
      <c r="AB61" s="4">
        <v>52782700000000</v>
      </c>
      <c r="AC61" s="4">
        <v>53345700000000</v>
      </c>
      <c r="AD61" s="4">
        <v>54062900000000</v>
      </c>
      <c r="AE61" s="4">
        <v>54833100000000</v>
      </c>
      <c r="AF61" s="4">
        <v>55682600000000</v>
      </c>
    </row>
    <row r="62" spans="1:32" x14ac:dyDescent="0.75">
      <c r="A62" t="s">
        <v>131</v>
      </c>
      <c r="B62" s="4">
        <v>43700000000000</v>
      </c>
      <c r="C62" s="4">
        <v>42480200000000</v>
      </c>
      <c r="D62" s="4">
        <v>42536000000000</v>
      </c>
      <c r="E62" s="4">
        <v>43566700000000</v>
      </c>
      <c r="F62" s="4">
        <v>44453800000000</v>
      </c>
      <c r="G62" s="4">
        <v>44988200000000</v>
      </c>
      <c r="H62" s="4">
        <v>44991300000000</v>
      </c>
      <c r="I62" s="4">
        <v>44728000000000</v>
      </c>
      <c r="J62" s="4">
        <v>44416700000000</v>
      </c>
      <c r="K62" s="4">
        <v>44435700000000</v>
      </c>
      <c r="L62" s="4">
        <v>44579000000000</v>
      </c>
      <c r="M62" s="4">
        <v>44821200000000</v>
      </c>
      <c r="N62" s="4">
        <v>44947200000000</v>
      </c>
      <c r="O62" s="4">
        <v>45097600000000</v>
      </c>
      <c r="P62" s="4">
        <v>45140800000000</v>
      </c>
      <c r="Q62" s="4">
        <v>45629800000000</v>
      </c>
      <c r="R62" s="4">
        <v>46040100000000</v>
      </c>
      <c r="S62" s="4">
        <v>45747800000000</v>
      </c>
      <c r="T62" s="4">
        <v>45534300000000</v>
      </c>
      <c r="U62" s="4">
        <v>45300900000000</v>
      </c>
      <c r="V62" s="4">
        <v>45284300000000</v>
      </c>
      <c r="W62" s="4">
        <v>45354900000000</v>
      </c>
      <c r="X62" s="4">
        <v>45349300000000</v>
      </c>
      <c r="Y62" s="4">
        <v>45403100000000</v>
      </c>
      <c r="Z62" s="4">
        <v>45491200000000</v>
      </c>
      <c r="AA62" s="4">
        <v>45600200000000</v>
      </c>
      <c r="AB62" s="4">
        <v>45760400000000</v>
      </c>
      <c r="AC62" s="4">
        <v>45879100000000</v>
      </c>
      <c r="AD62" s="4">
        <v>46048300000000</v>
      </c>
      <c r="AE62" s="4">
        <v>46291500000000</v>
      </c>
      <c r="AF62" s="4">
        <v>46585200000000</v>
      </c>
    </row>
    <row r="63" spans="1:32" x14ac:dyDescent="0.75">
      <c r="A63" t="s">
        <v>132</v>
      </c>
      <c r="B63" s="4">
        <v>184000000000000</v>
      </c>
      <c r="C63" s="4">
        <v>161600000000000</v>
      </c>
      <c r="D63" s="4">
        <v>172400000000000</v>
      </c>
      <c r="E63" s="4">
        <v>173000000000000</v>
      </c>
      <c r="F63" s="4">
        <v>183100000000000</v>
      </c>
      <c r="G63" s="4">
        <v>195500000000000</v>
      </c>
      <c r="H63" s="4">
        <v>196000000000000</v>
      </c>
      <c r="I63" s="4">
        <v>196500000000000</v>
      </c>
      <c r="J63" s="4">
        <v>197200000000000</v>
      </c>
      <c r="K63" s="4">
        <v>197700000000000</v>
      </c>
      <c r="L63" s="4">
        <v>199200000000000</v>
      </c>
      <c r="M63" s="4">
        <v>200000000000000</v>
      </c>
      <c r="N63" s="4">
        <v>200900000000000</v>
      </c>
      <c r="O63" s="4">
        <v>198700000000000</v>
      </c>
      <c r="P63" s="4">
        <v>197700000000000</v>
      </c>
      <c r="Q63" s="4">
        <v>199700000000000</v>
      </c>
      <c r="R63" s="4">
        <v>200100000000000</v>
      </c>
      <c r="S63" s="4">
        <v>200900000000000</v>
      </c>
      <c r="T63" s="4">
        <v>203300000000000</v>
      </c>
      <c r="U63" s="4">
        <v>206000000000000</v>
      </c>
      <c r="V63" s="4">
        <v>204700000000000</v>
      </c>
      <c r="W63" s="4">
        <v>205500000000000</v>
      </c>
      <c r="X63" s="4">
        <v>208900000000000</v>
      </c>
      <c r="Y63" s="4">
        <v>215200000000000</v>
      </c>
      <c r="Z63" s="4">
        <v>216200000000000</v>
      </c>
      <c r="AA63" s="4">
        <v>218900000000000</v>
      </c>
      <c r="AB63" s="4">
        <v>219100000000000</v>
      </c>
      <c r="AC63" s="4">
        <v>217900000000000</v>
      </c>
      <c r="AD63" s="4">
        <v>219500000000000</v>
      </c>
      <c r="AE63" s="4">
        <v>220800000000000</v>
      </c>
      <c r="AF63" s="4">
        <v>225700000000000</v>
      </c>
    </row>
    <row r="64" spans="1:32" x14ac:dyDescent="0.75">
      <c r="A64" t="s">
        <v>133</v>
      </c>
      <c r="B64" s="4">
        <v>110000000000000</v>
      </c>
      <c r="C64" s="4">
        <v>112554000000000</v>
      </c>
      <c r="D64" s="4">
        <v>114375000000000</v>
      </c>
      <c r="E64" s="4">
        <v>116319000000000</v>
      </c>
      <c r="F64" s="4">
        <v>119041000000000</v>
      </c>
      <c r="G64" s="4">
        <v>121431000000000</v>
      </c>
      <c r="H64" s="4">
        <v>123172000000000</v>
      </c>
      <c r="I64" s="4">
        <v>124161000000000</v>
      </c>
      <c r="J64" s="4">
        <v>124793000000000</v>
      </c>
      <c r="K64" s="4">
        <v>124883000000000</v>
      </c>
      <c r="L64" s="4">
        <v>125286000000000</v>
      </c>
      <c r="M64" s="4">
        <v>125846000000000</v>
      </c>
      <c r="N64" s="4">
        <v>126680000000000</v>
      </c>
      <c r="O64" s="4">
        <v>126773000000000</v>
      </c>
      <c r="P64" s="4">
        <v>127067000000000</v>
      </c>
      <c r="Q64" s="4">
        <v>127730000000000</v>
      </c>
      <c r="R64" s="4">
        <v>128456000000000</v>
      </c>
      <c r="S64" s="4">
        <v>129182000000000</v>
      </c>
      <c r="T64" s="4">
        <v>130072000000000</v>
      </c>
      <c r="U64" s="4">
        <v>131048000000000</v>
      </c>
      <c r="V64" s="4">
        <v>131786000000000</v>
      </c>
      <c r="W64" s="4">
        <v>132631000000000</v>
      </c>
      <c r="X64" s="4">
        <v>133667000000000</v>
      </c>
      <c r="Y64" s="4">
        <v>135043000000000</v>
      </c>
      <c r="Z64" s="4">
        <v>136055000000000</v>
      </c>
      <c r="AA64" s="4">
        <v>136910000000000</v>
      </c>
      <c r="AB64" s="4">
        <v>137438000000000</v>
      </c>
      <c r="AC64" s="4">
        <v>137827000000000</v>
      </c>
      <c r="AD64" s="4">
        <v>138176000000000</v>
      </c>
      <c r="AE64" s="4">
        <v>138814000000000</v>
      </c>
      <c r="AF64" s="4">
        <v>139686000000000</v>
      </c>
    </row>
    <row r="65" spans="1:32" x14ac:dyDescent="0.75">
      <c r="A65" t="s">
        <v>134</v>
      </c>
      <c r="B65" s="4">
        <v>130000000000000</v>
      </c>
      <c r="C65" s="4">
        <v>130067000000000</v>
      </c>
      <c r="D65" s="4">
        <v>133446000000000</v>
      </c>
      <c r="E65" s="4">
        <v>139036000000000</v>
      </c>
      <c r="F65" s="4">
        <v>145422000000000</v>
      </c>
      <c r="G65" s="4">
        <v>150698000000000</v>
      </c>
      <c r="H65" s="4">
        <v>154337000000000</v>
      </c>
      <c r="I65" s="4">
        <v>156364000000000</v>
      </c>
      <c r="J65" s="4">
        <v>157536000000000</v>
      </c>
      <c r="K65" s="4">
        <v>158416000000000</v>
      </c>
      <c r="L65" s="4">
        <v>159226000000000</v>
      </c>
      <c r="M65" s="4">
        <v>160503000000000</v>
      </c>
      <c r="N65" s="4">
        <v>162216000000000</v>
      </c>
      <c r="O65" s="4">
        <v>163140000000000</v>
      </c>
      <c r="P65" s="4">
        <v>164554000000000</v>
      </c>
      <c r="Q65" s="4">
        <v>166691000000000</v>
      </c>
      <c r="R65" s="4">
        <v>168791000000000</v>
      </c>
      <c r="S65" s="4">
        <v>170443000000000</v>
      </c>
      <c r="T65" s="4">
        <v>172123000000000</v>
      </c>
      <c r="U65" s="4">
        <v>173759000000000</v>
      </c>
      <c r="V65" s="4">
        <v>175880000000000</v>
      </c>
      <c r="W65" s="4">
        <v>178530000000000</v>
      </c>
      <c r="X65" s="4">
        <v>181140000000000</v>
      </c>
      <c r="Y65" s="4">
        <v>183980000000000</v>
      </c>
      <c r="Z65" s="4">
        <v>185791000000000</v>
      </c>
      <c r="AA65" s="4">
        <v>188448000000000</v>
      </c>
      <c r="AB65" s="4">
        <v>191148000000000</v>
      </c>
      <c r="AC65" s="4">
        <v>192630000000000</v>
      </c>
      <c r="AD65" s="4">
        <v>195532000000000</v>
      </c>
      <c r="AE65" s="4">
        <v>198842000000000</v>
      </c>
      <c r="AF65" s="4">
        <v>202294000000000</v>
      </c>
    </row>
    <row r="66" spans="1:32" x14ac:dyDescent="0.75">
      <c r="A66" t="s">
        <v>135</v>
      </c>
      <c r="B66" s="4">
        <v>90900000000000</v>
      </c>
      <c r="C66" s="4">
        <v>93300000000000</v>
      </c>
      <c r="D66" s="4">
        <v>96300000000000</v>
      </c>
      <c r="E66" s="4">
        <v>100000000000000</v>
      </c>
      <c r="F66" s="4">
        <v>104000000000000</v>
      </c>
      <c r="G66" s="4">
        <v>106000000000000</v>
      </c>
      <c r="H66" s="4">
        <v>108000000000000</v>
      </c>
      <c r="I66" s="4">
        <v>110000000000000</v>
      </c>
      <c r="J66" s="4">
        <v>112000000000000</v>
      </c>
      <c r="K66" s="4">
        <v>113000000000000</v>
      </c>
      <c r="L66" s="4">
        <v>114000000000000</v>
      </c>
      <c r="M66" s="4">
        <v>116000000000000</v>
      </c>
      <c r="N66" s="4">
        <v>117000000000000</v>
      </c>
      <c r="O66" s="4">
        <v>119000000000000</v>
      </c>
      <c r="P66" s="4">
        <v>120000000000000</v>
      </c>
      <c r="Q66" s="4">
        <v>122000000000000</v>
      </c>
      <c r="R66" s="4">
        <v>124000000000000</v>
      </c>
      <c r="S66" s="4">
        <v>125000000000000</v>
      </c>
      <c r="T66" s="4">
        <v>127000000000000</v>
      </c>
      <c r="U66" s="4">
        <v>128000000000000</v>
      </c>
      <c r="V66" s="4">
        <v>130000000000000</v>
      </c>
      <c r="W66" s="4">
        <v>132000000000000</v>
      </c>
      <c r="X66" s="4">
        <v>134000000000000</v>
      </c>
      <c r="Y66" s="4">
        <v>136000000000000</v>
      </c>
      <c r="Z66" s="4">
        <v>137000000000000</v>
      </c>
      <c r="AA66" s="4">
        <v>139000000000000</v>
      </c>
      <c r="AB66" s="4">
        <v>141000000000000</v>
      </c>
      <c r="AC66" s="4">
        <v>143000000000000</v>
      </c>
      <c r="AD66" s="4">
        <v>145000000000000</v>
      </c>
      <c r="AE66" s="4">
        <v>148000000000000</v>
      </c>
      <c r="AF66" s="4">
        <v>150000000000000</v>
      </c>
    </row>
    <row r="67" spans="1:32" x14ac:dyDescent="0.75">
      <c r="A67" t="s">
        <v>136</v>
      </c>
      <c r="B67" s="4">
        <v>38700000000000</v>
      </c>
      <c r="C67" s="4">
        <v>38573500000000</v>
      </c>
      <c r="D67" s="4">
        <v>39418200000000</v>
      </c>
      <c r="E67" s="4">
        <v>40706400000000</v>
      </c>
      <c r="F67" s="4">
        <v>42120000000000</v>
      </c>
      <c r="G67" s="4">
        <v>43521900000000</v>
      </c>
      <c r="H67" s="4">
        <v>44488000000000</v>
      </c>
      <c r="I67" s="4">
        <v>45008200000000</v>
      </c>
      <c r="J67" s="4">
        <v>45259500000000</v>
      </c>
      <c r="K67" s="4">
        <v>45462200000000</v>
      </c>
      <c r="L67" s="4">
        <v>45756400000000</v>
      </c>
      <c r="M67" s="4">
        <v>46102400000000</v>
      </c>
      <c r="N67" s="4">
        <v>46486700000000</v>
      </c>
      <c r="O67" s="4">
        <v>46689600000000</v>
      </c>
      <c r="P67" s="4">
        <v>46967300000000</v>
      </c>
      <c r="Q67" s="4">
        <v>47531200000000</v>
      </c>
      <c r="R67" s="4">
        <v>48203400000000</v>
      </c>
      <c r="S67" s="4">
        <v>48793400000000</v>
      </c>
      <c r="T67" s="4">
        <v>49415900000000</v>
      </c>
      <c r="U67" s="4">
        <v>50095900000000</v>
      </c>
      <c r="V67" s="4">
        <v>50861900000000</v>
      </c>
      <c r="W67" s="4">
        <v>51675600000000</v>
      </c>
      <c r="X67" s="4">
        <v>52467400000000</v>
      </c>
      <c r="Y67" s="4">
        <v>53257200000000</v>
      </c>
      <c r="Z67" s="4">
        <v>53872300000000</v>
      </c>
      <c r="AA67" s="4">
        <v>54483300000000</v>
      </c>
      <c r="AB67" s="4">
        <v>55288100000000</v>
      </c>
      <c r="AC67" s="4">
        <v>55718000000000</v>
      </c>
      <c r="AD67" s="4">
        <v>56401100000000</v>
      </c>
      <c r="AE67" s="4">
        <v>57288800000000</v>
      </c>
      <c r="AF67" s="4">
        <v>58248300000000</v>
      </c>
    </row>
    <row r="68" spans="1:32" x14ac:dyDescent="0.75">
      <c r="A68" t="s">
        <v>137</v>
      </c>
      <c r="B68" s="4">
        <v>65000000000000</v>
      </c>
      <c r="C68" s="4">
        <v>64680000000000</v>
      </c>
      <c r="D68" s="4">
        <v>66520000000000</v>
      </c>
      <c r="E68" s="4">
        <v>68720000000000</v>
      </c>
      <c r="F68" s="4">
        <v>71110000000000</v>
      </c>
      <c r="G68" s="4">
        <v>73480000000000</v>
      </c>
      <c r="H68" s="4">
        <v>74640000000000</v>
      </c>
      <c r="I68" s="4">
        <v>75410000000000</v>
      </c>
      <c r="J68" s="4">
        <v>76040000000000</v>
      </c>
      <c r="K68" s="4">
        <v>76700000000000</v>
      </c>
      <c r="L68" s="4">
        <v>77270000000000</v>
      </c>
      <c r="M68" s="4">
        <v>77830000000000</v>
      </c>
      <c r="N68" s="4">
        <v>78640000000000</v>
      </c>
      <c r="O68" s="4">
        <v>79160000000000</v>
      </c>
      <c r="P68" s="4">
        <v>79960000000000</v>
      </c>
      <c r="Q68" s="4">
        <v>81140000000000</v>
      </c>
      <c r="R68" s="4">
        <v>82250000000000</v>
      </c>
      <c r="S68" s="4">
        <v>83010000000000</v>
      </c>
      <c r="T68" s="4">
        <v>83790000000000</v>
      </c>
      <c r="U68" s="4">
        <v>84630000000000</v>
      </c>
      <c r="V68" s="4">
        <v>85610000000000</v>
      </c>
      <c r="W68" s="4">
        <v>86800000000000</v>
      </c>
      <c r="X68" s="4">
        <v>87930000000000</v>
      </c>
      <c r="Y68" s="4">
        <v>89120000000000</v>
      </c>
      <c r="Z68" s="4">
        <v>89980000000000</v>
      </c>
      <c r="AA68" s="4">
        <v>91060000000000</v>
      </c>
      <c r="AB68" s="4">
        <v>92340000000000</v>
      </c>
      <c r="AC68" s="4">
        <v>92940000000000</v>
      </c>
      <c r="AD68" s="4">
        <v>94220000000000</v>
      </c>
      <c r="AE68" s="4">
        <v>95690000000000</v>
      </c>
      <c r="AF68" s="4">
        <v>97000000000000</v>
      </c>
    </row>
    <row r="69" spans="1:32" x14ac:dyDescent="0.75">
      <c r="A69" t="s">
        <v>138</v>
      </c>
      <c r="B69" s="4">
        <v>77500000000000</v>
      </c>
      <c r="C69" s="4">
        <v>79475000000000</v>
      </c>
      <c r="D69" s="4">
        <v>80075400000000</v>
      </c>
      <c r="E69" s="4">
        <v>83122700000000</v>
      </c>
      <c r="F69" s="4">
        <v>85804600000000</v>
      </c>
      <c r="G69" s="4">
        <v>88331300000000</v>
      </c>
      <c r="H69" s="4">
        <v>90602400000000</v>
      </c>
      <c r="I69" s="4">
        <v>92261200000000</v>
      </c>
      <c r="J69" s="4">
        <v>93375700000000</v>
      </c>
      <c r="K69" s="4">
        <v>93046200000000</v>
      </c>
      <c r="L69" s="4">
        <v>92717100000000</v>
      </c>
      <c r="M69" s="4">
        <v>92889900000000</v>
      </c>
      <c r="N69" s="4">
        <v>93951800000000</v>
      </c>
      <c r="O69" s="4">
        <v>94867100000000</v>
      </c>
      <c r="P69" s="4">
        <v>96097200000000</v>
      </c>
      <c r="Q69" s="4">
        <v>97296400000000</v>
      </c>
      <c r="R69" s="4">
        <v>98580000000000</v>
      </c>
      <c r="S69" s="4">
        <v>99641300000000</v>
      </c>
      <c r="T69" s="4">
        <v>100635000000000</v>
      </c>
      <c r="U69" s="4">
        <v>101920000000000</v>
      </c>
      <c r="V69" s="4">
        <v>103153000000000</v>
      </c>
      <c r="W69" s="4">
        <v>104506000000000</v>
      </c>
      <c r="X69" s="4">
        <v>105816000000000</v>
      </c>
      <c r="Y69" s="4">
        <v>106949000000000</v>
      </c>
      <c r="Z69" s="4">
        <v>108012000000000</v>
      </c>
      <c r="AA69" s="4">
        <v>108943000000000</v>
      </c>
      <c r="AB69" s="4">
        <v>109821000000000</v>
      </c>
      <c r="AC69" s="4">
        <v>110510000000000</v>
      </c>
      <c r="AD69" s="4">
        <v>111063000000000</v>
      </c>
      <c r="AE69" s="4">
        <v>111813000000000</v>
      </c>
      <c r="AF69" s="4">
        <v>112318000000000</v>
      </c>
    </row>
    <row r="70" spans="1:32" x14ac:dyDescent="0.75">
      <c r="A70" t="s">
        <v>139</v>
      </c>
      <c r="B70" s="4">
        <v>43900000000000</v>
      </c>
      <c r="C70" s="4">
        <v>44991500000000</v>
      </c>
      <c r="D70" s="4">
        <v>45331400000000</v>
      </c>
      <c r="E70" s="4">
        <v>47056500000000</v>
      </c>
      <c r="F70" s="4">
        <v>48574800000000</v>
      </c>
      <c r="G70" s="4">
        <v>50005200000000</v>
      </c>
      <c r="H70" s="4">
        <v>51290900000000</v>
      </c>
      <c r="I70" s="4">
        <v>52229900000000</v>
      </c>
      <c r="J70" s="4">
        <v>52860900000000</v>
      </c>
      <c r="K70" s="4">
        <v>52674300000000</v>
      </c>
      <c r="L70" s="4">
        <v>52488000000000</v>
      </c>
      <c r="M70" s="4">
        <v>52585800000000</v>
      </c>
      <c r="N70" s="4">
        <v>53187000000000</v>
      </c>
      <c r="O70" s="4">
        <v>53705100000000</v>
      </c>
      <c r="P70" s="4">
        <v>54401500000000</v>
      </c>
      <c r="Q70" s="4">
        <v>55080400000000</v>
      </c>
      <c r="R70" s="4">
        <v>55807000000000</v>
      </c>
      <c r="S70" s="4">
        <v>56407800000000</v>
      </c>
      <c r="T70" s="4">
        <v>56970200000000</v>
      </c>
      <c r="U70" s="4">
        <v>57697900000000</v>
      </c>
      <c r="V70" s="4">
        <v>58395700000000</v>
      </c>
      <c r="W70" s="4">
        <v>59161600000000</v>
      </c>
      <c r="X70" s="4">
        <v>59903400000000</v>
      </c>
      <c r="Y70" s="4">
        <v>60544800000000</v>
      </c>
      <c r="Z70" s="4">
        <v>61146600000000</v>
      </c>
      <c r="AA70" s="4">
        <v>61673700000000</v>
      </c>
      <c r="AB70" s="4">
        <v>62170700000000</v>
      </c>
      <c r="AC70" s="4">
        <v>62561000000000</v>
      </c>
      <c r="AD70" s="4">
        <v>62873800000000</v>
      </c>
      <c r="AE70" s="4">
        <v>63298400000000</v>
      </c>
      <c r="AF70" s="4">
        <v>63584200000000</v>
      </c>
    </row>
    <row r="71" spans="1:32" x14ac:dyDescent="0.75">
      <c r="A71" t="s">
        <v>140</v>
      </c>
      <c r="B71" s="4">
        <v>142000000000000</v>
      </c>
      <c r="C71" s="4">
        <v>143310000000000</v>
      </c>
      <c r="D71" s="4">
        <v>145656000000000</v>
      </c>
      <c r="E71" s="4">
        <v>149379000000000</v>
      </c>
      <c r="F71" s="4">
        <v>153017000000000</v>
      </c>
      <c r="G71" s="4">
        <v>156285000000000</v>
      </c>
      <c r="H71" s="4">
        <v>158941000000000</v>
      </c>
      <c r="I71" s="4">
        <v>161023000000000</v>
      </c>
      <c r="J71" s="4">
        <v>162581000000000</v>
      </c>
      <c r="K71" s="4">
        <v>163541000000000</v>
      </c>
      <c r="L71" s="4">
        <v>164701000000000</v>
      </c>
      <c r="M71" s="4">
        <v>165760000000000</v>
      </c>
      <c r="N71" s="4">
        <v>166710000000000</v>
      </c>
      <c r="O71" s="4">
        <v>167237000000000</v>
      </c>
      <c r="P71" s="4">
        <v>168020000000000</v>
      </c>
      <c r="Q71" s="4">
        <v>169267000000000</v>
      </c>
      <c r="R71" s="4">
        <v>170684000000000</v>
      </c>
      <c r="S71" s="4">
        <v>171926000000000</v>
      </c>
      <c r="T71" s="4">
        <v>173368000000000</v>
      </c>
      <c r="U71" s="4">
        <v>175003000000000</v>
      </c>
      <c r="V71" s="4">
        <v>176661000000000</v>
      </c>
      <c r="W71" s="4">
        <v>178601000000000</v>
      </c>
      <c r="X71" s="4">
        <v>180870000000000</v>
      </c>
      <c r="Y71" s="4">
        <v>183473000000000</v>
      </c>
      <c r="Z71" s="4">
        <v>185921000000000</v>
      </c>
      <c r="AA71" s="4">
        <v>187695000000000</v>
      </c>
      <c r="AB71" s="4">
        <v>189378000000000</v>
      </c>
      <c r="AC71" s="4">
        <v>190905000000000</v>
      </c>
      <c r="AD71" s="4">
        <v>192687000000000</v>
      </c>
      <c r="AE71" s="4">
        <v>194859000000000</v>
      </c>
      <c r="AF71" s="4">
        <v>196784000000000</v>
      </c>
    </row>
    <row r="72" spans="1:32" x14ac:dyDescent="0.75">
      <c r="A72" t="s">
        <v>141</v>
      </c>
      <c r="B72">
        <v>0</v>
      </c>
      <c r="C72" s="4">
        <v>3368760000000</v>
      </c>
      <c r="D72" s="4">
        <v>2944720000000</v>
      </c>
      <c r="E72" s="4">
        <v>3149690000000</v>
      </c>
      <c r="F72" s="4">
        <v>3478370000000</v>
      </c>
      <c r="G72" s="4">
        <v>3683050000000</v>
      </c>
      <c r="H72" s="4">
        <v>3785550000000</v>
      </c>
      <c r="I72" s="4">
        <v>3886710000000</v>
      </c>
      <c r="J72" s="4">
        <v>3987550000000</v>
      </c>
      <c r="K72" s="4">
        <v>4057860000000</v>
      </c>
      <c r="L72" s="4">
        <v>4160960000000</v>
      </c>
      <c r="M72" s="4">
        <v>4261570000000</v>
      </c>
      <c r="N72" s="4">
        <v>4351060000000</v>
      </c>
      <c r="O72" s="4">
        <v>4428020000000</v>
      </c>
      <c r="P72" s="4">
        <v>4488770000000</v>
      </c>
      <c r="Q72" s="4">
        <v>4568530000000</v>
      </c>
      <c r="R72" s="4">
        <v>4625550000000</v>
      </c>
      <c r="S72" s="4">
        <v>4533780000000</v>
      </c>
      <c r="T72" s="4">
        <v>4513810000000</v>
      </c>
      <c r="U72" s="4">
        <v>4455770000000</v>
      </c>
      <c r="V72" s="4">
        <v>4420060000000</v>
      </c>
      <c r="W72" s="4">
        <v>4383610000000</v>
      </c>
      <c r="X72" s="4">
        <v>4361070000000</v>
      </c>
      <c r="Y72" s="4">
        <v>4347570000000</v>
      </c>
      <c r="Z72" s="4">
        <v>4341040000000</v>
      </c>
      <c r="AA72" s="4">
        <v>4335940000000</v>
      </c>
      <c r="AB72" s="4">
        <v>4327660000000</v>
      </c>
      <c r="AC72" s="4">
        <v>4270850000000</v>
      </c>
      <c r="AD72" s="4">
        <v>4233990000000</v>
      </c>
      <c r="AE72" s="4">
        <v>4215380000000</v>
      </c>
      <c r="AF72" s="4">
        <v>4176050000000</v>
      </c>
    </row>
    <row r="73" spans="1:32" x14ac:dyDescent="0.75">
      <c r="A73" t="s">
        <v>142</v>
      </c>
      <c r="B73" s="4">
        <v>205000000000000</v>
      </c>
      <c r="C73" s="4">
        <v>205000000000000</v>
      </c>
      <c r="D73" s="4">
        <v>206000000000000</v>
      </c>
      <c r="E73" s="4">
        <v>207000000000000</v>
      </c>
      <c r="F73" s="4">
        <v>207000000000000</v>
      </c>
      <c r="G73" s="4">
        <v>208000000000000</v>
      </c>
      <c r="H73" s="4">
        <v>209000000000000</v>
      </c>
      <c r="I73" s="4">
        <v>209000000000000</v>
      </c>
      <c r="J73" s="4">
        <v>210000000000000</v>
      </c>
      <c r="K73" s="4">
        <v>211000000000000</v>
      </c>
      <c r="L73" s="4">
        <v>212000000000000</v>
      </c>
      <c r="M73" s="4">
        <v>212000000000000</v>
      </c>
      <c r="N73" s="4">
        <v>213000000000000</v>
      </c>
      <c r="O73" s="4">
        <v>214000000000000</v>
      </c>
      <c r="P73" s="4">
        <v>214000000000000</v>
      </c>
      <c r="Q73" s="4">
        <v>215000000000000</v>
      </c>
      <c r="R73" s="4">
        <v>216000000000000</v>
      </c>
      <c r="S73" s="4">
        <v>216000000000000</v>
      </c>
      <c r="T73" s="4">
        <v>217000000000000</v>
      </c>
      <c r="U73" s="4">
        <v>218000000000000</v>
      </c>
      <c r="V73" s="4">
        <v>218000000000000</v>
      </c>
      <c r="W73" s="4">
        <v>219000000000000</v>
      </c>
      <c r="X73" s="4">
        <v>220000000000000</v>
      </c>
      <c r="Y73" s="4">
        <v>220000000000000</v>
      </c>
      <c r="Z73" s="4">
        <v>221000000000000</v>
      </c>
      <c r="AA73" s="4">
        <v>222000000000000</v>
      </c>
      <c r="AB73" s="4">
        <v>222000000000000</v>
      </c>
      <c r="AC73" s="4">
        <v>223000000000000</v>
      </c>
      <c r="AD73" s="4">
        <v>224000000000000</v>
      </c>
      <c r="AE73" s="4">
        <v>225000000000000</v>
      </c>
      <c r="AF73" s="4">
        <v>225000000000000</v>
      </c>
    </row>
    <row r="74" spans="1:32" x14ac:dyDescent="0.75">
      <c r="A74" t="s">
        <v>143</v>
      </c>
      <c r="B74" s="4">
        <v>162000000000000</v>
      </c>
      <c r="C74" s="4">
        <v>158772000000000</v>
      </c>
      <c r="D74" s="4">
        <v>157941000000000</v>
      </c>
      <c r="E74" s="4">
        <v>164520000000000</v>
      </c>
      <c r="F74" s="4">
        <v>172598000000000</v>
      </c>
      <c r="G74" s="4">
        <v>179648000000000</v>
      </c>
      <c r="H74" s="4">
        <v>185017000000000</v>
      </c>
      <c r="I74" s="4">
        <v>188397000000000</v>
      </c>
      <c r="J74" s="4">
        <v>190738000000000</v>
      </c>
      <c r="K74" s="4">
        <v>192747000000000</v>
      </c>
      <c r="L74" s="4">
        <v>194861000000000</v>
      </c>
      <c r="M74" s="4">
        <v>197316000000000</v>
      </c>
      <c r="N74" s="4">
        <v>200116000000000</v>
      </c>
      <c r="O74" s="4">
        <v>202413000000000</v>
      </c>
      <c r="P74" s="4">
        <v>204778000000000</v>
      </c>
      <c r="Q74" s="4">
        <v>207872000000000</v>
      </c>
      <c r="R74" s="4">
        <v>210605000000000</v>
      </c>
      <c r="S74" s="4">
        <v>212956000000000</v>
      </c>
      <c r="T74" s="4">
        <v>215619000000000</v>
      </c>
      <c r="U74" s="4">
        <v>218333000000000</v>
      </c>
      <c r="V74" s="4">
        <v>221939000000000</v>
      </c>
      <c r="W74" s="4">
        <v>225989000000000</v>
      </c>
      <c r="X74" s="4">
        <v>229514000000000</v>
      </c>
      <c r="Y74" s="4">
        <v>233277000000000</v>
      </c>
      <c r="Z74" s="4">
        <v>237223000000000</v>
      </c>
      <c r="AA74" s="4">
        <v>241397000000000</v>
      </c>
      <c r="AB74" s="4">
        <v>246138000000000</v>
      </c>
      <c r="AC74" s="4">
        <v>250082000000000</v>
      </c>
      <c r="AD74" s="4">
        <v>254370000000000</v>
      </c>
      <c r="AE74" s="4">
        <v>259216000000000</v>
      </c>
      <c r="AF74" s="4">
        <v>264290000000000</v>
      </c>
    </row>
    <row r="75" spans="1:32" x14ac:dyDescent="0.75">
      <c r="A75" t="s">
        <v>144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75">
      <c r="A76" t="s">
        <v>145</v>
      </c>
      <c r="B76" s="4">
        <v>84973300000000</v>
      </c>
      <c r="C76" s="4">
        <v>80906900000000</v>
      </c>
      <c r="D76" s="4">
        <v>85808000000000</v>
      </c>
      <c r="E76" s="4">
        <v>89067500000000</v>
      </c>
      <c r="F76" s="4">
        <v>92133400000000</v>
      </c>
      <c r="G76" s="4">
        <v>93229200000000</v>
      </c>
      <c r="H76" s="4">
        <v>93603400000000</v>
      </c>
      <c r="I76" s="4">
        <v>93781400000000</v>
      </c>
      <c r="J76" s="4">
        <v>94763400000000</v>
      </c>
      <c r="K76" s="4">
        <v>95362100000000</v>
      </c>
      <c r="L76" s="4">
        <v>96381800000000</v>
      </c>
      <c r="M76" s="4">
        <v>97347600000000</v>
      </c>
      <c r="N76" s="4">
        <v>98371800000000</v>
      </c>
      <c r="O76" s="4">
        <v>98891400000000</v>
      </c>
      <c r="P76" s="4">
        <v>99704000000000</v>
      </c>
      <c r="Q76" s="4">
        <v>100894000000000</v>
      </c>
      <c r="R76" s="4">
        <v>102002000000000</v>
      </c>
      <c r="S76" s="4">
        <v>103078000000000</v>
      </c>
      <c r="T76" s="4">
        <v>103901000000000</v>
      </c>
      <c r="U76" s="4">
        <v>104791000000000</v>
      </c>
      <c r="V76" s="4">
        <v>105610000000000</v>
      </c>
      <c r="W76" s="4">
        <v>106652000000000</v>
      </c>
      <c r="X76" s="4">
        <v>107776000000000</v>
      </c>
      <c r="Y76" s="4">
        <v>108844000000000</v>
      </c>
      <c r="Z76" s="4">
        <v>109360000000000</v>
      </c>
      <c r="AA76" s="4">
        <v>110322000000000</v>
      </c>
      <c r="AB76" s="4">
        <v>110763000000000</v>
      </c>
      <c r="AC76" s="4">
        <v>111350000000000</v>
      </c>
      <c r="AD76" s="4">
        <v>111850000000000</v>
      </c>
      <c r="AE76" s="4">
        <v>112422000000000</v>
      </c>
      <c r="AF76" s="4">
        <v>113316000000000</v>
      </c>
    </row>
    <row r="77" spans="1:32" x14ac:dyDescent="0.75">
      <c r="A77" t="s">
        <v>146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75">
      <c r="A78" t="s">
        <v>147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75">
      <c r="A79" t="s">
        <v>148</v>
      </c>
      <c r="B79" s="4">
        <v>125959000000000</v>
      </c>
      <c r="C79" s="4">
        <v>126469000000000</v>
      </c>
      <c r="D79" s="4">
        <v>128459000000000</v>
      </c>
      <c r="E79" s="4">
        <v>130336000000000</v>
      </c>
      <c r="F79" s="4">
        <v>132271000000000</v>
      </c>
      <c r="G79" s="4">
        <v>133398000000000</v>
      </c>
      <c r="H79" s="4">
        <v>134459000000000</v>
      </c>
      <c r="I79" s="4">
        <v>135470000000000</v>
      </c>
      <c r="J79" s="4">
        <v>136459000000000</v>
      </c>
      <c r="K79" s="4">
        <v>136995000000000</v>
      </c>
      <c r="L79" s="4">
        <v>137517000000000</v>
      </c>
      <c r="M79" s="4">
        <v>138058000000000</v>
      </c>
      <c r="N79" s="4">
        <v>138628000000000</v>
      </c>
      <c r="O79" s="4">
        <v>138777000000000</v>
      </c>
      <c r="P79" s="4">
        <v>138977000000000</v>
      </c>
      <c r="Q79" s="4">
        <v>139241000000000</v>
      </c>
      <c r="R79" s="4">
        <v>139519000000000</v>
      </c>
      <c r="S79" s="4">
        <v>139780000000000</v>
      </c>
      <c r="T79" s="4">
        <v>140067000000000</v>
      </c>
      <c r="U79" s="4">
        <v>140376000000000</v>
      </c>
      <c r="V79" s="4">
        <v>140700000000000</v>
      </c>
      <c r="W79" s="4">
        <v>141059000000000</v>
      </c>
      <c r="X79" s="4">
        <v>141452000000000</v>
      </c>
      <c r="Y79" s="4">
        <v>141874000000000</v>
      </c>
      <c r="Z79" s="4">
        <v>142287000000000</v>
      </c>
      <c r="AA79" s="4">
        <v>142654000000000</v>
      </c>
      <c r="AB79" s="4">
        <v>143003000000000</v>
      </c>
      <c r="AC79" s="4">
        <v>143340000000000</v>
      </c>
      <c r="AD79" s="4">
        <v>143717000000000</v>
      </c>
      <c r="AE79" s="4">
        <v>144127000000000</v>
      </c>
      <c r="AF79" s="4">
        <v>144535000000000</v>
      </c>
    </row>
    <row r="80" spans="1:32" x14ac:dyDescent="0.75">
      <c r="A80" t="s">
        <v>149</v>
      </c>
      <c r="B80" s="4">
        <v>7392450000000</v>
      </c>
      <c r="C80" s="4">
        <v>7457660000000</v>
      </c>
      <c r="D80" s="4">
        <v>7785810000000</v>
      </c>
      <c r="E80" s="4">
        <v>7950110000000</v>
      </c>
      <c r="F80" s="4">
        <v>8133990000000</v>
      </c>
      <c r="G80" s="4">
        <v>8303750000000</v>
      </c>
      <c r="H80" s="4">
        <v>8442280000000</v>
      </c>
      <c r="I80" s="4">
        <v>8553160000000</v>
      </c>
      <c r="J80" s="4">
        <v>8646260000000</v>
      </c>
      <c r="K80" s="4">
        <v>8711370000000</v>
      </c>
      <c r="L80" s="4">
        <v>8779410000000</v>
      </c>
      <c r="M80" s="4">
        <v>8855360000000</v>
      </c>
      <c r="N80" s="4">
        <v>8932580000000</v>
      </c>
      <c r="O80" s="4">
        <v>8983520000000</v>
      </c>
      <c r="P80" s="4">
        <v>9046350000000</v>
      </c>
      <c r="Q80" s="4">
        <v>9138110000000</v>
      </c>
      <c r="R80" s="4">
        <v>9231620000000</v>
      </c>
      <c r="S80" s="4">
        <v>9314440000000</v>
      </c>
      <c r="T80" s="4">
        <v>9410680000000</v>
      </c>
      <c r="U80" s="4">
        <v>9515250000000</v>
      </c>
      <c r="V80" s="4">
        <v>9622910000000</v>
      </c>
      <c r="W80" s="4">
        <v>9746110000000</v>
      </c>
      <c r="X80" s="4">
        <v>9884810000000</v>
      </c>
      <c r="Y80" s="4">
        <v>10036500000000</v>
      </c>
      <c r="Z80" s="4">
        <v>10183700000000</v>
      </c>
      <c r="AA80" s="4">
        <v>10304400000000</v>
      </c>
      <c r="AB80" s="4">
        <v>10417100000000</v>
      </c>
      <c r="AC80" s="4">
        <v>10522000000000</v>
      </c>
      <c r="AD80" s="4">
        <v>10641500000000</v>
      </c>
      <c r="AE80" s="4">
        <v>10776900000000</v>
      </c>
      <c r="AF80" s="4">
        <v>10909000000000</v>
      </c>
    </row>
    <row r="81" spans="1:32" x14ac:dyDescent="0.75">
      <c r="A81" t="s">
        <v>150</v>
      </c>
      <c r="B81" s="4">
        <v>559995000000</v>
      </c>
      <c r="C81" s="4">
        <v>571232000000</v>
      </c>
      <c r="D81" s="4">
        <v>599059000000</v>
      </c>
      <c r="E81" s="4">
        <v>605967000000</v>
      </c>
      <c r="F81" s="4">
        <v>617733000000</v>
      </c>
      <c r="G81" s="4">
        <v>628691000000</v>
      </c>
      <c r="H81" s="4">
        <v>629961000000</v>
      </c>
      <c r="I81" s="4">
        <v>627271000000</v>
      </c>
      <c r="J81" s="4">
        <v>622942000000</v>
      </c>
      <c r="K81" s="4">
        <v>618262000000</v>
      </c>
      <c r="L81" s="4">
        <v>615416000000</v>
      </c>
      <c r="M81" s="4">
        <v>612497000000</v>
      </c>
      <c r="N81" s="4">
        <v>611864000000</v>
      </c>
      <c r="O81" s="4">
        <v>603487000000</v>
      </c>
      <c r="P81" s="4">
        <v>592220000000</v>
      </c>
      <c r="Q81" s="4">
        <v>593097000000</v>
      </c>
      <c r="R81" s="4">
        <v>594789000000</v>
      </c>
      <c r="S81" s="4">
        <v>595469000000</v>
      </c>
      <c r="T81" s="4">
        <v>599511000000</v>
      </c>
      <c r="U81" s="4">
        <v>603547000000</v>
      </c>
      <c r="V81" s="4">
        <v>610282000000</v>
      </c>
      <c r="W81" s="4">
        <v>621421000000</v>
      </c>
      <c r="X81" s="4">
        <v>627587000000</v>
      </c>
      <c r="Y81" s="4">
        <v>633867000000</v>
      </c>
      <c r="Z81" s="4">
        <v>640127000000</v>
      </c>
      <c r="AA81" s="4">
        <v>651694000000</v>
      </c>
      <c r="AB81" s="4">
        <v>661323000000</v>
      </c>
      <c r="AC81" s="4">
        <v>666892000000</v>
      </c>
      <c r="AD81" s="4">
        <v>674568000000</v>
      </c>
      <c r="AE81" s="4">
        <v>681819000000</v>
      </c>
      <c r="AF81" s="4">
        <v>691431000000</v>
      </c>
    </row>
    <row r="82" spans="1:32" x14ac:dyDescent="0.75">
      <c r="A82" t="s">
        <v>151</v>
      </c>
      <c r="B82" s="4">
        <v>33737300000000</v>
      </c>
      <c r="C82" s="4">
        <v>33706400000000</v>
      </c>
      <c r="D82" s="4">
        <v>34088800000000</v>
      </c>
      <c r="E82" s="4">
        <v>34558300000000</v>
      </c>
      <c r="F82" s="4">
        <v>35061000000000</v>
      </c>
      <c r="G82" s="4">
        <v>35342500000000</v>
      </c>
      <c r="H82" s="4">
        <v>35680400000000</v>
      </c>
      <c r="I82" s="4">
        <v>36091000000000</v>
      </c>
      <c r="J82" s="4">
        <v>36606300000000</v>
      </c>
      <c r="K82" s="4">
        <v>37120700000000</v>
      </c>
      <c r="L82" s="4">
        <v>37789800000000</v>
      </c>
      <c r="M82" s="4">
        <v>38609600000000</v>
      </c>
      <c r="N82" s="4">
        <v>39562600000000</v>
      </c>
      <c r="O82" s="4">
        <v>40462700000000</v>
      </c>
      <c r="P82" s="4">
        <v>41422900000000</v>
      </c>
      <c r="Q82" s="4">
        <v>42398700000000</v>
      </c>
      <c r="R82" s="4">
        <v>43327600000000</v>
      </c>
      <c r="S82" s="4">
        <v>44221100000000</v>
      </c>
      <c r="T82" s="4">
        <v>45072500000000</v>
      </c>
      <c r="U82" s="4">
        <v>45860900000000</v>
      </c>
      <c r="V82" s="4">
        <v>46563300000000</v>
      </c>
      <c r="W82" s="4">
        <v>47258300000000</v>
      </c>
      <c r="X82" s="4">
        <v>47969500000000</v>
      </c>
      <c r="Y82" s="4">
        <v>48745700000000</v>
      </c>
      <c r="Z82" s="4">
        <v>49500500000000</v>
      </c>
      <c r="AA82" s="4">
        <v>50337000000000</v>
      </c>
      <c r="AB82" s="4">
        <v>51170100000000</v>
      </c>
      <c r="AC82" s="4">
        <v>52079800000000</v>
      </c>
      <c r="AD82" s="4">
        <v>52937000000000</v>
      </c>
      <c r="AE82" s="4">
        <v>53815900000000</v>
      </c>
      <c r="AF82" s="4">
        <v>54712900000000</v>
      </c>
    </row>
    <row r="83" spans="1:32" x14ac:dyDescent="0.75">
      <c r="A83" t="s">
        <v>152</v>
      </c>
      <c r="B83" s="4">
        <v>24000000000000</v>
      </c>
      <c r="C83" s="4">
        <v>24050000000000</v>
      </c>
      <c r="D83" s="4">
        <v>64167600000</v>
      </c>
      <c r="E83" s="4">
        <v>88239300000</v>
      </c>
      <c r="F83" s="4">
        <v>113437000000</v>
      </c>
      <c r="G83" s="4">
        <v>138308000000</v>
      </c>
      <c r="H83" s="4">
        <v>161806000000</v>
      </c>
      <c r="I83" s="4">
        <v>178616000000</v>
      </c>
      <c r="J83" s="4">
        <v>178886000000</v>
      </c>
      <c r="K83" s="4">
        <v>272967000000</v>
      </c>
      <c r="L83" s="4">
        <v>365936000000</v>
      </c>
      <c r="M83" s="4">
        <v>462711000000</v>
      </c>
      <c r="N83" s="4">
        <v>553372000000</v>
      </c>
      <c r="O83" s="4">
        <v>634878000000</v>
      </c>
      <c r="P83" s="4">
        <v>709123000000</v>
      </c>
      <c r="Q83" s="4">
        <v>907059000000</v>
      </c>
      <c r="R83" s="4">
        <v>982659000000</v>
      </c>
      <c r="S83" s="4">
        <v>962726000000</v>
      </c>
      <c r="T83" s="4">
        <v>956040000000</v>
      </c>
      <c r="U83" s="4">
        <v>949381000000</v>
      </c>
      <c r="V83" s="4">
        <v>940778000000</v>
      </c>
      <c r="W83" s="4">
        <v>3911800000000</v>
      </c>
      <c r="X83" s="4">
        <v>10858800000000</v>
      </c>
      <c r="Y83" s="4">
        <v>18133800000000</v>
      </c>
      <c r="Z83" s="4">
        <v>30862300000000</v>
      </c>
      <c r="AA83" s="4">
        <v>30855300000000</v>
      </c>
      <c r="AB83" s="4">
        <v>30931500000000</v>
      </c>
      <c r="AC83" s="4">
        <v>30926800000000</v>
      </c>
      <c r="AD83" s="4">
        <v>30958500000000</v>
      </c>
      <c r="AE83" s="4">
        <v>30956200000000</v>
      </c>
      <c r="AF83" s="4">
        <v>30896700000000</v>
      </c>
    </row>
    <row r="84" spans="1:32" x14ac:dyDescent="0.75">
      <c r="A84" t="s">
        <v>153</v>
      </c>
      <c r="B84" s="4">
        <v>48054400000000</v>
      </c>
      <c r="C84" s="4">
        <v>47970100000000</v>
      </c>
      <c r="D84" s="4">
        <v>48861900000000</v>
      </c>
      <c r="E84" s="4">
        <v>49693000000000</v>
      </c>
      <c r="F84" s="4">
        <v>50694100000000</v>
      </c>
      <c r="G84" s="4">
        <v>51311700000000</v>
      </c>
      <c r="H84" s="4">
        <v>51825700000000</v>
      </c>
      <c r="I84" s="4">
        <v>52293300000000</v>
      </c>
      <c r="J84" s="4">
        <v>52895800000000</v>
      </c>
      <c r="K84" s="4">
        <v>53177500000000</v>
      </c>
      <c r="L84" s="4">
        <v>53501800000000</v>
      </c>
      <c r="M84" s="4">
        <v>53819700000000</v>
      </c>
      <c r="N84" s="4">
        <v>54107700000000</v>
      </c>
      <c r="O84" s="4">
        <v>54200500000000</v>
      </c>
      <c r="P84" s="4">
        <v>54469900000000</v>
      </c>
      <c r="Q84" s="4">
        <v>54685200000000</v>
      </c>
      <c r="R84" s="4">
        <v>54838300000000</v>
      </c>
      <c r="S84" s="4">
        <v>54983500000000</v>
      </c>
      <c r="T84" s="4">
        <v>55079500000000</v>
      </c>
      <c r="U84" s="4">
        <v>55189100000000</v>
      </c>
      <c r="V84" s="4">
        <v>55202200000000</v>
      </c>
      <c r="W84" s="4">
        <v>55255500000000</v>
      </c>
      <c r="X84" s="4">
        <v>55316600000000</v>
      </c>
      <c r="Y84" s="4">
        <v>55497900000000</v>
      </c>
      <c r="Z84" s="4">
        <v>55635800000000</v>
      </c>
      <c r="AA84" s="4">
        <v>55833800000000</v>
      </c>
      <c r="AB84" s="4">
        <v>55873500000000</v>
      </c>
      <c r="AC84" s="4">
        <v>55863100000000</v>
      </c>
      <c r="AD84" s="4">
        <v>55871300000000</v>
      </c>
      <c r="AE84" s="4">
        <v>55994700000000</v>
      </c>
      <c r="AF84" s="4">
        <v>56105000000000</v>
      </c>
    </row>
    <row r="85" spans="1:32" x14ac:dyDescent="0.75">
      <c r="A85" t="s">
        <v>154</v>
      </c>
      <c r="B85" s="4">
        <v>72997000000</v>
      </c>
      <c r="C85" s="4">
        <v>71869000000</v>
      </c>
      <c r="D85" s="4">
        <v>72224000000</v>
      </c>
      <c r="E85" s="4">
        <v>72648000000</v>
      </c>
      <c r="F85" s="4">
        <v>73038000000</v>
      </c>
      <c r="G85" s="4">
        <v>72917000000</v>
      </c>
      <c r="H85" s="4">
        <v>72753000000</v>
      </c>
      <c r="I85" s="4">
        <v>72548000000</v>
      </c>
      <c r="J85" s="4">
        <v>72332000000</v>
      </c>
      <c r="K85" s="4">
        <v>71863000000</v>
      </c>
      <c r="L85" s="4">
        <v>71386000000</v>
      </c>
      <c r="M85" s="4">
        <v>70926000000</v>
      </c>
      <c r="N85" s="4">
        <v>70521000000</v>
      </c>
      <c r="O85" s="4">
        <v>69876000000</v>
      </c>
      <c r="P85" s="4">
        <v>69250000000</v>
      </c>
      <c r="Q85" s="4">
        <v>68665000000</v>
      </c>
      <c r="R85" s="4">
        <v>68068000000</v>
      </c>
      <c r="S85" s="4">
        <v>67470000000</v>
      </c>
      <c r="T85" s="4">
        <v>66879000000</v>
      </c>
      <c r="U85" s="4">
        <v>66309000000</v>
      </c>
      <c r="V85" s="4">
        <v>65752000000</v>
      </c>
      <c r="W85" s="4">
        <v>65179000000</v>
      </c>
      <c r="X85" s="4">
        <v>64618000000</v>
      </c>
      <c r="Y85" s="4">
        <v>64021000000</v>
      </c>
      <c r="Z85" s="4">
        <v>63372000000</v>
      </c>
      <c r="AA85" s="4">
        <v>62745000000</v>
      </c>
      <c r="AB85" s="4">
        <v>62076000000</v>
      </c>
      <c r="AC85" s="4">
        <v>61372000000</v>
      </c>
      <c r="AD85" s="4">
        <v>60696000000</v>
      </c>
      <c r="AE85" s="4">
        <v>60024000000</v>
      </c>
      <c r="AF85" s="4">
        <v>59342000000</v>
      </c>
    </row>
    <row r="86" spans="1:32" x14ac:dyDescent="0.75">
      <c r="A86" t="s">
        <v>155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75">
      <c r="A87" t="s">
        <v>156</v>
      </c>
      <c r="B87" s="4">
        <v>154520000000000</v>
      </c>
      <c r="C87" s="4">
        <v>148349000000000</v>
      </c>
      <c r="D87" s="4">
        <v>147194000000000</v>
      </c>
      <c r="E87" s="4">
        <v>144175000000000</v>
      </c>
      <c r="F87" s="4">
        <v>140128000000000</v>
      </c>
      <c r="G87" s="4">
        <v>134976000000000</v>
      </c>
      <c r="H87" s="4">
        <v>129138000000000</v>
      </c>
      <c r="I87" s="4">
        <v>122771000000000</v>
      </c>
      <c r="J87" s="4">
        <v>116083000000000</v>
      </c>
      <c r="K87" s="4">
        <v>109091000000000</v>
      </c>
      <c r="L87" s="4">
        <v>102239000000000</v>
      </c>
      <c r="M87" s="4">
        <v>95706300000000</v>
      </c>
      <c r="N87" s="4">
        <v>89308100000000</v>
      </c>
      <c r="O87" s="4">
        <v>82945900000000</v>
      </c>
      <c r="P87" s="4">
        <v>75982600000000</v>
      </c>
      <c r="Q87" s="4">
        <v>74038400000000</v>
      </c>
      <c r="R87" s="4">
        <v>72272800000000</v>
      </c>
      <c r="S87" s="4">
        <v>70533100000000</v>
      </c>
      <c r="T87" s="4">
        <v>69048900000000</v>
      </c>
      <c r="U87" s="4">
        <v>67678400000000</v>
      </c>
      <c r="V87" s="4">
        <v>66696400000000</v>
      </c>
      <c r="W87" s="4">
        <v>65914900000000</v>
      </c>
      <c r="X87" s="4">
        <v>65082400000000</v>
      </c>
      <c r="Y87" s="4">
        <v>64358500000000</v>
      </c>
      <c r="Z87" s="4">
        <v>63740100000000</v>
      </c>
      <c r="AA87" s="4">
        <v>63170300000000</v>
      </c>
      <c r="AB87" s="4">
        <v>62681700000000</v>
      </c>
      <c r="AC87" s="4">
        <v>62193700000000</v>
      </c>
      <c r="AD87" s="4">
        <v>61787200000000</v>
      </c>
      <c r="AE87" s="4">
        <v>61472300000000</v>
      </c>
      <c r="AF87" s="4">
        <v>61247500000000</v>
      </c>
    </row>
    <row r="88" spans="1:32" x14ac:dyDescent="0.75">
      <c r="A88" t="s">
        <v>157</v>
      </c>
      <c r="B88" s="4">
        <v>480814000000000</v>
      </c>
      <c r="C88" s="4">
        <v>398555000000000</v>
      </c>
      <c r="D88" s="4">
        <v>417522000000000</v>
      </c>
      <c r="E88" s="4">
        <v>515675000000000</v>
      </c>
      <c r="F88" s="4">
        <v>524608000000000</v>
      </c>
      <c r="G88" s="4">
        <v>500376000000000</v>
      </c>
      <c r="H88" s="4">
        <v>488558000000000</v>
      </c>
      <c r="I88" s="4">
        <v>475546000000000</v>
      </c>
      <c r="J88" s="4">
        <v>459928000000000</v>
      </c>
      <c r="K88" s="4">
        <v>435073000000000</v>
      </c>
      <c r="L88" s="4">
        <v>431100000000000</v>
      </c>
      <c r="M88" s="4">
        <v>429726000000000</v>
      </c>
      <c r="N88" s="4">
        <v>428120000000000</v>
      </c>
      <c r="O88" s="4">
        <v>418253000000000</v>
      </c>
      <c r="P88" s="4">
        <v>420941000000000</v>
      </c>
      <c r="Q88" s="4">
        <v>429076000000000</v>
      </c>
      <c r="R88" s="4">
        <v>430382000000000</v>
      </c>
      <c r="S88" s="4">
        <v>433107000000000</v>
      </c>
      <c r="T88" s="4">
        <v>441091000000000</v>
      </c>
      <c r="U88" s="4">
        <v>448247000000000</v>
      </c>
      <c r="V88" s="4">
        <v>445334000000000</v>
      </c>
      <c r="W88" s="4">
        <v>447312000000000</v>
      </c>
      <c r="X88" s="4">
        <v>455244000000000</v>
      </c>
      <c r="Y88" s="4">
        <v>469482000000000</v>
      </c>
      <c r="Z88" s="4">
        <v>470292000000000</v>
      </c>
      <c r="AA88" s="4">
        <v>476348000000000</v>
      </c>
      <c r="AB88" s="4">
        <v>476989000000000</v>
      </c>
      <c r="AC88" s="4">
        <v>474669000000000</v>
      </c>
      <c r="AD88" s="4">
        <v>479577000000000</v>
      </c>
      <c r="AE88" s="4">
        <v>483678000000000</v>
      </c>
      <c r="AF88" s="4">
        <v>495514000000000</v>
      </c>
    </row>
    <row r="89" spans="1:32" x14ac:dyDescent="0.75">
      <c r="A89" t="s">
        <v>158</v>
      </c>
      <c r="B89" s="4">
        <v>6360190000000</v>
      </c>
      <c r="C89" s="4">
        <v>6416300000000</v>
      </c>
      <c r="D89" s="4">
        <v>6698630000000</v>
      </c>
      <c r="E89" s="4">
        <v>6839990000000</v>
      </c>
      <c r="F89" s="4">
        <v>6998190000000</v>
      </c>
      <c r="G89" s="4">
        <v>7144240000000</v>
      </c>
      <c r="H89" s="4">
        <v>7263430000000</v>
      </c>
      <c r="I89" s="4">
        <v>7358820000000</v>
      </c>
      <c r="J89" s="4">
        <v>7438920000000</v>
      </c>
      <c r="K89" s="4">
        <v>7494950000000</v>
      </c>
      <c r="L89" s="4">
        <v>7553490000000</v>
      </c>
      <c r="M89" s="4">
        <v>7618830000000</v>
      </c>
      <c r="N89" s="4">
        <v>7685270000000</v>
      </c>
      <c r="O89" s="4">
        <v>7729090000000</v>
      </c>
      <c r="P89" s="4">
        <v>7783150000000</v>
      </c>
      <c r="Q89" s="4">
        <v>7862100000000</v>
      </c>
      <c r="R89" s="4">
        <v>7942550000000</v>
      </c>
      <c r="S89" s="4">
        <v>8013810000000</v>
      </c>
      <c r="T89" s="4">
        <v>8096610000000</v>
      </c>
      <c r="U89" s="4">
        <v>8186580000000</v>
      </c>
      <c r="V89" s="4">
        <v>8279200000000</v>
      </c>
      <c r="W89" s="4">
        <v>8385200000000</v>
      </c>
      <c r="X89" s="4">
        <v>8504530000000</v>
      </c>
      <c r="Y89" s="4">
        <v>8635050000000</v>
      </c>
      <c r="Z89" s="4">
        <v>8761710000000</v>
      </c>
      <c r="AA89" s="4">
        <v>8865550000000</v>
      </c>
      <c r="AB89" s="4">
        <v>8962500000000</v>
      </c>
      <c r="AC89" s="4">
        <v>9052760000000</v>
      </c>
      <c r="AD89" s="4">
        <v>9155530000000</v>
      </c>
      <c r="AE89" s="4">
        <v>9272020000000</v>
      </c>
      <c r="AF89" s="4">
        <v>9385750000000</v>
      </c>
    </row>
    <row r="90" spans="1:32" x14ac:dyDescent="0.75">
      <c r="A90" t="s">
        <v>159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75">
      <c r="A91" t="s">
        <v>160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75">
      <c r="A92" t="s">
        <v>161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75">
      <c r="A93" t="s">
        <v>162</v>
      </c>
      <c r="B93" s="4">
        <v>178561000000</v>
      </c>
      <c r="C93" s="4">
        <v>178604000000</v>
      </c>
      <c r="D93" s="4">
        <v>180702000000</v>
      </c>
      <c r="E93" s="4">
        <v>183268000000</v>
      </c>
      <c r="F93" s="4">
        <v>185834000000</v>
      </c>
      <c r="G93" s="4">
        <v>187117000000</v>
      </c>
      <c r="H93" s="4">
        <v>188400000000</v>
      </c>
      <c r="I93" s="4">
        <v>189684000000</v>
      </c>
      <c r="J93" s="4">
        <v>190967000000</v>
      </c>
      <c r="K93" s="4">
        <v>191608000000</v>
      </c>
      <c r="L93" s="4">
        <v>192250000000</v>
      </c>
      <c r="M93" s="4">
        <v>192891000000</v>
      </c>
      <c r="N93" s="4">
        <v>193533000000</v>
      </c>
      <c r="O93" s="4">
        <v>193533000000</v>
      </c>
      <c r="P93" s="4">
        <v>193533000000</v>
      </c>
      <c r="Q93" s="4">
        <v>193533000000</v>
      </c>
      <c r="R93" s="4">
        <v>193533000000</v>
      </c>
      <c r="S93" s="4">
        <v>193533000000</v>
      </c>
      <c r="T93" s="4">
        <v>193533000000</v>
      </c>
      <c r="U93" s="4">
        <v>193533000000</v>
      </c>
      <c r="V93" s="4">
        <v>193533000000</v>
      </c>
      <c r="W93" s="4">
        <v>193533000000</v>
      </c>
      <c r="X93" s="4">
        <v>193533000000</v>
      </c>
      <c r="Y93" s="4">
        <v>193533000000</v>
      </c>
      <c r="Z93" s="4">
        <v>193533000000</v>
      </c>
      <c r="AA93" s="4">
        <v>193533000000</v>
      </c>
      <c r="AB93" s="4">
        <v>193533000000</v>
      </c>
      <c r="AC93" s="4">
        <v>193533000000</v>
      </c>
      <c r="AD93" s="4">
        <v>193533000000</v>
      </c>
      <c r="AE93" s="4">
        <v>193533000000</v>
      </c>
      <c r="AF93" s="4">
        <v>193533000000</v>
      </c>
    </row>
    <row r="94" spans="1:32" x14ac:dyDescent="0.75">
      <c r="A94" t="s">
        <v>163</v>
      </c>
      <c r="B94" s="4">
        <v>126281000000</v>
      </c>
      <c r="C94" s="4">
        <v>126199000000</v>
      </c>
      <c r="D94" s="4">
        <v>127572000000</v>
      </c>
      <c r="E94" s="4">
        <v>129269000000</v>
      </c>
      <c r="F94" s="4">
        <v>130955000000</v>
      </c>
      <c r="G94" s="4">
        <v>131735000000</v>
      </c>
      <c r="H94" s="4">
        <v>132509000000</v>
      </c>
      <c r="I94" s="4">
        <v>133275000000</v>
      </c>
      <c r="J94" s="4">
        <v>134036000000</v>
      </c>
      <c r="K94" s="4">
        <v>134330000000</v>
      </c>
      <c r="L94" s="4">
        <v>134618000000</v>
      </c>
      <c r="M94" s="4">
        <v>134906000000</v>
      </c>
      <c r="N94" s="4">
        <v>135206000000</v>
      </c>
      <c r="O94" s="4">
        <v>135055000000</v>
      </c>
      <c r="P94" s="4">
        <v>134902000000</v>
      </c>
      <c r="Q94" s="4">
        <v>134744000000</v>
      </c>
      <c r="R94" s="4">
        <v>134579000000</v>
      </c>
      <c r="S94" s="4">
        <v>134402000000</v>
      </c>
      <c r="T94" s="4">
        <v>134219000000</v>
      </c>
      <c r="U94" s="4">
        <v>134035000000</v>
      </c>
      <c r="V94" s="4">
        <v>133834000000</v>
      </c>
      <c r="W94" s="4">
        <v>133618000000</v>
      </c>
      <c r="X94" s="4">
        <v>133385000000</v>
      </c>
      <c r="Y94" s="4">
        <v>133123000000</v>
      </c>
      <c r="Z94" s="4">
        <v>132832000000</v>
      </c>
      <c r="AA94" s="4">
        <v>132514000000</v>
      </c>
      <c r="AB94" s="4">
        <v>132166000000</v>
      </c>
      <c r="AC94" s="4">
        <v>131784000000</v>
      </c>
      <c r="AD94" s="4">
        <v>131372000000</v>
      </c>
      <c r="AE94" s="4">
        <v>130933000000</v>
      </c>
      <c r="AF94" s="4">
        <v>130443000000</v>
      </c>
    </row>
    <row r="95" spans="1:32" x14ac:dyDescent="0.75">
      <c r="A95" t="s">
        <v>164</v>
      </c>
      <c r="B95" s="4">
        <v>71488900000</v>
      </c>
      <c r="C95" s="4">
        <v>71442600000</v>
      </c>
      <c r="D95" s="4">
        <v>72219800000</v>
      </c>
      <c r="E95" s="4">
        <v>73180200000</v>
      </c>
      <c r="F95" s="4">
        <v>74134900000</v>
      </c>
      <c r="G95" s="4">
        <v>74576300000</v>
      </c>
      <c r="H95" s="4">
        <v>75014400000</v>
      </c>
      <c r="I95" s="4">
        <v>75448100000</v>
      </c>
      <c r="J95" s="4">
        <v>75879000000</v>
      </c>
      <c r="K95" s="4">
        <v>76045600000</v>
      </c>
      <c r="L95" s="4">
        <v>76208300000</v>
      </c>
      <c r="M95" s="4">
        <v>76371700000</v>
      </c>
      <c r="N95" s="4">
        <v>76541600000</v>
      </c>
      <c r="O95" s="4">
        <v>76455900000</v>
      </c>
      <c r="P95" s="4">
        <v>76369500000</v>
      </c>
      <c r="Q95" s="4">
        <v>76279900000</v>
      </c>
      <c r="R95" s="4">
        <v>76186300000</v>
      </c>
      <c r="S95" s="4">
        <v>76086100000</v>
      </c>
      <c r="T95" s="4">
        <v>75982800000</v>
      </c>
      <c r="U95" s="4">
        <v>75878600000</v>
      </c>
      <c r="V95" s="4">
        <v>75764400000</v>
      </c>
      <c r="W95" s="4">
        <v>75642600000</v>
      </c>
      <c r="X95" s="4">
        <v>75510700000</v>
      </c>
      <c r="Y95" s="4">
        <v>75362100000</v>
      </c>
      <c r="Z95" s="4">
        <v>75197600000</v>
      </c>
      <c r="AA95" s="4">
        <v>75017600000</v>
      </c>
      <c r="AB95" s="4">
        <v>74820200000</v>
      </c>
      <c r="AC95" s="4">
        <v>74604100000</v>
      </c>
      <c r="AD95" s="4">
        <v>74370900000</v>
      </c>
      <c r="AE95" s="4">
        <v>74122200000</v>
      </c>
      <c r="AF95" s="4">
        <v>73845000000</v>
      </c>
    </row>
    <row r="96" spans="1:32" x14ac:dyDescent="0.75">
      <c r="A96" t="s">
        <v>165</v>
      </c>
      <c r="B96" s="4">
        <v>23087500000000</v>
      </c>
      <c r="C96" s="4">
        <v>23291100000000</v>
      </c>
      <c r="D96" s="4">
        <v>24316000000000</v>
      </c>
      <c r="E96" s="4">
        <v>24829100000000</v>
      </c>
      <c r="F96" s="4">
        <v>25403400000000</v>
      </c>
      <c r="G96" s="4">
        <v>25933600000000</v>
      </c>
      <c r="H96" s="4">
        <v>26366200000000</v>
      </c>
      <c r="I96" s="4">
        <v>26712500000000</v>
      </c>
      <c r="J96" s="4">
        <v>27003300000000</v>
      </c>
      <c r="K96" s="4">
        <v>27206700000000</v>
      </c>
      <c r="L96" s="4">
        <v>27419200000000</v>
      </c>
      <c r="M96" s="4">
        <v>27656300000000</v>
      </c>
      <c r="N96" s="4">
        <v>27897500000000</v>
      </c>
      <c r="O96" s="4">
        <v>28056600000000</v>
      </c>
      <c r="P96" s="4">
        <v>28252800000000</v>
      </c>
      <c r="Q96" s="4">
        <v>28539400000000</v>
      </c>
      <c r="R96" s="4">
        <v>28831400000000</v>
      </c>
      <c r="S96" s="4">
        <v>29090100000000</v>
      </c>
      <c r="T96" s="4">
        <v>29390700000000</v>
      </c>
      <c r="U96" s="4">
        <v>29717300000000</v>
      </c>
      <c r="V96" s="4">
        <v>30053500000000</v>
      </c>
      <c r="W96" s="4">
        <v>30438300000000</v>
      </c>
      <c r="X96" s="4">
        <v>30871400000000</v>
      </c>
      <c r="Y96" s="4">
        <v>31345200000000</v>
      </c>
      <c r="Z96" s="4">
        <v>31805000000000</v>
      </c>
      <c r="AA96" s="4">
        <v>32181900000000</v>
      </c>
      <c r="AB96" s="4">
        <v>32533800000000</v>
      </c>
      <c r="AC96" s="4">
        <v>32861500000000</v>
      </c>
      <c r="AD96" s="4">
        <v>33234600000000</v>
      </c>
      <c r="AE96" s="4">
        <v>33657400000000</v>
      </c>
      <c r="AF96" s="4">
        <v>34070200000000</v>
      </c>
    </row>
    <row r="97" spans="1:32" x14ac:dyDescent="0.75">
      <c r="A97" t="s">
        <v>166</v>
      </c>
      <c r="B97">
        <v>0</v>
      </c>
      <c r="C97" s="4">
        <v>539473000000</v>
      </c>
      <c r="D97" s="4">
        <v>454042000000</v>
      </c>
      <c r="E97" s="4">
        <v>476633000000</v>
      </c>
      <c r="F97" s="4">
        <v>514847000000</v>
      </c>
      <c r="G97" s="4">
        <v>531183000000</v>
      </c>
      <c r="H97" s="4">
        <v>534315000000</v>
      </c>
      <c r="I97" s="4">
        <v>538685000000</v>
      </c>
      <c r="J97" s="4">
        <v>543383000000</v>
      </c>
      <c r="K97" s="4">
        <v>543427000000</v>
      </c>
      <c r="L97" s="4">
        <v>548127000000</v>
      </c>
      <c r="M97" s="4">
        <v>553420000000</v>
      </c>
      <c r="N97" s="4">
        <v>556434000000</v>
      </c>
      <c r="O97" s="4">
        <v>557809000000</v>
      </c>
      <c r="P97" s="4">
        <v>555785000000</v>
      </c>
      <c r="Q97" s="4">
        <v>561704000000</v>
      </c>
      <c r="R97" s="4">
        <v>564575000000</v>
      </c>
      <c r="S97" s="4">
        <v>550047000000</v>
      </c>
      <c r="T97" s="4">
        <v>544317000000</v>
      </c>
      <c r="U97" s="4">
        <v>534009000000</v>
      </c>
      <c r="V97" s="4">
        <v>527051000000</v>
      </c>
      <c r="W97" s="4">
        <v>523096000000</v>
      </c>
      <c r="X97" s="4">
        <v>524950000000</v>
      </c>
      <c r="Y97" s="4">
        <v>527725000000</v>
      </c>
      <c r="Z97" s="4">
        <v>537205000000</v>
      </c>
      <c r="AA97" s="4">
        <v>533745000000</v>
      </c>
      <c r="AB97" s="4">
        <v>530793000000</v>
      </c>
      <c r="AC97" s="4">
        <v>522553000000</v>
      </c>
      <c r="AD97" s="4">
        <v>516708000000</v>
      </c>
      <c r="AE97" s="4">
        <v>512729000000</v>
      </c>
      <c r="AF97" s="4">
        <v>506756000000</v>
      </c>
    </row>
    <row r="98" spans="1:32" x14ac:dyDescent="0.75">
      <c r="A98" t="s">
        <v>167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75">
      <c r="A99" t="s">
        <v>168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75">
      <c r="A100" t="s">
        <v>169</v>
      </c>
      <c r="B100" s="4">
        <v>196288000000000</v>
      </c>
      <c r="C100" s="4">
        <v>207769000000000</v>
      </c>
      <c r="D100" s="4">
        <v>217283000000000</v>
      </c>
      <c r="E100" s="4">
        <v>217122000000000</v>
      </c>
      <c r="F100" s="4">
        <v>217043000000000</v>
      </c>
      <c r="G100" s="4">
        <v>218647000000000</v>
      </c>
      <c r="H100" s="4">
        <v>219833000000000</v>
      </c>
      <c r="I100" s="4">
        <v>220694000000000</v>
      </c>
      <c r="J100" s="4">
        <v>221309000000000</v>
      </c>
      <c r="K100" s="4">
        <v>222838000000000</v>
      </c>
      <c r="L100" s="4">
        <v>224198000000000</v>
      </c>
      <c r="M100" s="4">
        <v>225449000000000</v>
      </c>
      <c r="N100" s="4">
        <v>227313000000000</v>
      </c>
      <c r="O100" s="4">
        <v>229732000000000</v>
      </c>
      <c r="P100" s="4">
        <v>232533000000000</v>
      </c>
      <c r="Q100" s="4">
        <v>235471000000000</v>
      </c>
      <c r="R100" s="4">
        <v>238418000000000</v>
      </c>
      <c r="S100" s="4">
        <v>241416000000000</v>
      </c>
      <c r="T100" s="4">
        <v>244457000000000</v>
      </c>
      <c r="U100" s="4">
        <v>247545000000000</v>
      </c>
      <c r="V100" s="4">
        <v>250624000000000</v>
      </c>
      <c r="W100" s="4">
        <v>253674000000000</v>
      </c>
      <c r="X100" s="4">
        <v>256731000000000</v>
      </c>
      <c r="Y100" s="4">
        <v>259822000000000</v>
      </c>
      <c r="Z100" s="4">
        <v>262925000000000</v>
      </c>
      <c r="AA100" s="4">
        <v>266171000000000</v>
      </c>
      <c r="AB100" s="4">
        <v>269376000000000</v>
      </c>
      <c r="AC100" s="4">
        <v>272558000000000</v>
      </c>
      <c r="AD100" s="4">
        <v>275945000000000</v>
      </c>
      <c r="AE100" s="4">
        <v>279336000000000</v>
      </c>
      <c r="AF100" s="4">
        <v>282830000000000</v>
      </c>
    </row>
    <row r="101" spans="1:32" x14ac:dyDescent="0.75">
      <c r="A101" t="s">
        <v>170</v>
      </c>
      <c r="B101" s="4">
        <v>108685000000000</v>
      </c>
      <c r="C101" s="4">
        <v>104817000000000</v>
      </c>
      <c r="D101" s="4">
        <v>110523000000000</v>
      </c>
      <c r="E101" s="4">
        <v>113133000000000</v>
      </c>
      <c r="F101" s="4">
        <v>114745000000000</v>
      </c>
      <c r="G101" s="4">
        <v>116179000000000</v>
      </c>
      <c r="H101" s="4">
        <v>116332000000000</v>
      </c>
      <c r="I101" s="4">
        <v>116108000000000</v>
      </c>
      <c r="J101" s="4">
        <v>116079000000000</v>
      </c>
      <c r="K101" s="4">
        <v>116419000000000</v>
      </c>
      <c r="L101" s="4">
        <v>116803000000000</v>
      </c>
      <c r="M101" s="4">
        <v>117201000000000</v>
      </c>
      <c r="N101" s="4">
        <v>117712000000000</v>
      </c>
      <c r="O101" s="4">
        <v>118283000000000</v>
      </c>
      <c r="P101" s="4">
        <v>119101000000000</v>
      </c>
      <c r="Q101" s="4">
        <v>120049000000000</v>
      </c>
      <c r="R101" s="4">
        <v>120905000000000</v>
      </c>
      <c r="S101" s="4">
        <v>121787000000000</v>
      </c>
      <c r="T101" s="4">
        <v>122471000000000</v>
      </c>
      <c r="U101" s="4">
        <v>123244000000000</v>
      </c>
      <c r="V101" s="4">
        <v>123991000000000</v>
      </c>
      <c r="W101" s="4">
        <v>124832000000000</v>
      </c>
      <c r="X101" s="4">
        <v>125716000000000</v>
      </c>
      <c r="Y101" s="4">
        <v>126668000000000</v>
      </c>
      <c r="Z101" s="4">
        <v>127219000000000</v>
      </c>
      <c r="AA101" s="4">
        <v>128083000000000</v>
      </c>
      <c r="AB101" s="4">
        <v>128485000000000</v>
      </c>
      <c r="AC101" s="4">
        <v>129005000000000</v>
      </c>
      <c r="AD101" s="4">
        <v>129471000000000</v>
      </c>
      <c r="AE101" s="4">
        <v>129880000000000</v>
      </c>
      <c r="AF101" s="4">
        <v>130430000000000</v>
      </c>
    </row>
    <row r="102" spans="1:32" x14ac:dyDescent="0.75">
      <c r="A102" t="s">
        <v>171</v>
      </c>
      <c r="B102" s="4">
        <v>2000350000000000</v>
      </c>
      <c r="C102" s="4">
        <v>1954630000000000</v>
      </c>
      <c r="D102" s="4">
        <v>2060020000000000</v>
      </c>
      <c r="E102" s="4">
        <v>2201990000000000</v>
      </c>
      <c r="F102" s="4">
        <v>2293430000000000</v>
      </c>
      <c r="G102" s="4">
        <v>2391460000000000</v>
      </c>
      <c r="H102" s="4">
        <v>2463820000000000</v>
      </c>
      <c r="I102" s="4">
        <v>2511920000000000</v>
      </c>
      <c r="J102" s="4">
        <v>2568610000000000</v>
      </c>
      <c r="K102" s="4">
        <v>2618380000000000</v>
      </c>
      <c r="L102" s="4">
        <v>2659040000000000</v>
      </c>
      <c r="M102" s="4">
        <v>2704120000000000</v>
      </c>
      <c r="N102" s="4">
        <v>2760740000000000</v>
      </c>
      <c r="O102" s="4">
        <v>2798140000000000</v>
      </c>
      <c r="P102" s="4">
        <v>2841750000000000</v>
      </c>
      <c r="Q102" s="4">
        <v>2883380000000000</v>
      </c>
      <c r="R102" s="4">
        <v>2923190000000000</v>
      </c>
      <c r="S102" s="4">
        <v>2955960000000000</v>
      </c>
      <c r="T102" s="4">
        <v>2976660000000000</v>
      </c>
      <c r="U102" s="4">
        <v>3028480000000000</v>
      </c>
      <c r="V102" s="4">
        <v>3062430000000000</v>
      </c>
      <c r="W102" s="4">
        <v>3084220000000000</v>
      </c>
      <c r="X102" s="4">
        <v>3105570000000000</v>
      </c>
      <c r="Y102" s="4">
        <v>3143940000000000</v>
      </c>
      <c r="Z102" s="4">
        <v>3182920000000000</v>
      </c>
      <c r="AA102" s="4">
        <v>3205430000000000</v>
      </c>
      <c r="AB102" s="4">
        <v>3208990000000000</v>
      </c>
      <c r="AC102" s="4">
        <v>3241870000000000</v>
      </c>
      <c r="AD102" s="4">
        <v>3246170000000000</v>
      </c>
      <c r="AE102" s="4">
        <v>3243520000000000</v>
      </c>
      <c r="AF102" s="4">
        <v>3230190000000000</v>
      </c>
    </row>
    <row r="103" spans="1:32" x14ac:dyDescent="0.75">
      <c r="A103" t="s">
        <v>172</v>
      </c>
      <c r="B103" s="4">
        <v>191811000000000</v>
      </c>
      <c r="C103" s="4">
        <v>184986000000000</v>
      </c>
      <c r="D103" s="4">
        <v>195055000000000</v>
      </c>
      <c r="E103" s="4">
        <v>199662000000000</v>
      </c>
      <c r="F103" s="4">
        <v>202507000000000</v>
      </c>
      <c r="G103" s="4">
        <v>205037000000000</v>
      </c>
      <c r="H103" s="4">
        <v>205306000000000</v>
      </c>
      <c r="I103" s="4">
        <v>204912000000000</v>
      </c>
      <c r="J103" s="4">
        <v>204861000000000</v>
      </c>
      <c r="K103" s="4">
        <v>205460000000000</v>
      </c>
      <c r="L103" s="4">
        <v>206138000000000</v>
      </c>
      <c r="M103" s="4">
        <v>206841000000000</v>
      </c>
      <c r="N103" s="4">
        <v>207742000000000</v>
      </c>
      <c r="O103" s="4">
        <v>208750000000000</v>
      </c>
      <c r="P103" s="4">
        <v>210194000000000</v>
      </c>
      <c r="Q103" s="4">
        <v>211867000000000</v>
      </c>
      <c r="R103" s="4">
        <v>213377000000000</v>
      </c>
      <c r="S103" s="4">
        <v>214935000000000</v>
      </c>
      <c r="T103" s="4">
        <v>216141000000000</v>
      </c>
      <c r="U103" s="4">
        <v>217505000000000</v>
      </c>
      <c r="V103" s="4">
        <v>218824000000000</v>
      </c>
      <c r="W103" s="4">
        <v>220309000000000</v>
      </c>
      <c r="X103" s="4">
        <v>221869000000000</v>
      </c>
      <c r="Y103" s="4">
        <v>223549000000000</v>
      </c>
      <c r="Z103" s="4">
        <v>224521000000000</v>
      </c>
      <c r="AA103" s="4">
        <v>226047000000000</v>
      </c>
      <c r="AB103" s="4">
        <v>226755000000000</v>
      </c>
      <c r="AC103" s="4">
        <v>227673000000000</v>
      </c>
      <c r="AD103" s="4">
        <v>228495000000000</v>
      </c>
      <c r="AE103" s="4">
        <v>229218000000000</v>
      </c>
      <c r="AF103" s="4">
        <v>230188000000000</v>
      </c>
    </row>
    <row r="104" spans="1:32" x14ac:dyDescent="0.75">
      <c r="A104" t="s">
        <v>173</v>
      </c>
      <c r="B104" s="4">
        <v>916598000000000</v>
      </c>
      <c r="C104" s="4">
        <v>890151000000000</v>
      </c>
      <c r="D104" s="4">
        <v>958150000000000</v>
      </c>
      <c r="E104" s="4">
        <v>1005190000000000</v>
      </c>
      <c r="F104" s="4">
        <v>1042320000000000</v>
      </c>
      <c r="G104" s="4">
        <v>1064120000000000</v>
      </c>
      <c r="H104" s="4">
        <v>1081400000000000</v>
      </c>
      <c r="I104" s="4">
        <v>1087230000000000</v>
      </c>
      <c r="J104" s="4">
        <v>1091300000000000</v>
      </c>
      <c r="K104" s="4">
        <v>1095410000000000</v>
      </c>
      <c r="L104" s="4">
        <v>1094000000000000</v>
      </c>
      <c r="M104" s="4">
        <v>1098540000000000</v>
      </c>
      <c r="N104" s="4">
        <v>1104060000000000</v>
      </c>
      <c r="O104" s="4">
        <v>1112060000000000</v>
      </c>
      <c r="P104" s="4">
        <v>1123800000000000</v>
      </c>
      <c r="Q104" s="4">
        <v>1136220000000000</v>
      </c>
      <c r="R104" s="4">
        <v>1148850000000000</v>
      </c>
      <c r="S104" s="4">
        <v>1162440000000000</v>
      </c>
      <c r="T104" s="4">
        <v>1177440000000000</v>
      </c>
      <c r="U104" s="4">
        <v>1192060000000000</v>
      </c>
      <c r="V104" s="4">
        <v>1209020000000000</v>
      </c>
      <c r="W104" s="4">
        <v>1224080000000000</v>
      </c>
      <c r="X104" s="4">
        <v>1239730000000000</v>
      </c>
      <c r="Y104" s="4">
        <v>1256860000000000</v>
      </c>
      <c r="Z104" s="4">
        <v>1273600000000000</v>
      </c>
      <c r="AA104" s="4">
        <v>1291030000000000</v>
      </c>
      <c r="AB104" s="4">
        <v>1307640000000000</v>
      </c>
      <c r="AC104" s="4">
        <v>1323080000000000</v>
      </c>
      <c r="AD104" s="4">
        <v>1341590000000000</v>
      </c>
      <c r="AE104" s="4">
        <v>1361750000000000</v>
      </c>
      <c r="AF104" s="4">
        <v>1380030000000000</v>
      </c>
    </row>
    <row r="105" spans="1:32" x14ac:dyDescent="0.75">
      <c r="A105" t="s">
        <v>174</v>
      </c>
      <c r="B105" s="4">
        <v>111680000000000</v>
      </c>
      <c r="C105" s="4">
        <v>100744000000000</v>
      </c>
      <c r="D105" s="4">
        <v>111497000000000</v>
      </c>
      <c r="E105" s="4">
        <v>120945000000000</v>
      </c>
      <c r="F105" s="4">
        <v>130274000000000</v>
      </c>
      <c r="G105" s="4">
        <v>135817000000000</v>
      </c>
      <c r="H105" s="4">
        <v>140605000000000</v>
      </c>
      <c r="I105" s="4">
        <v>141156000000000</v>
      </c>
      <c r="J105" s="4">
        <v>141201000000000</v>
      </c>
      <c r="K105" s="4">
        <v>141214000000000</v>
      </c>
      <c r="L105" s="4">
        <v>141349000000000</v>
      </c>
      <c r="M105" s="4">
        <v>142066000000000</v>
      </c>
      <c r="N105" s="4">
        <v>143089000000000</v>
      </c>
      <c r="O105" s="4">
        <v>144148000000000</v>
      </c>
      <c r="P105" s="4">
        <v>145902000000000</v>
      </c>
      <c r="Q105" s="4">
        <v>147936000000000</v>
      </c>
      <c r="R105" s="4">
        <v>149895000000000</v>
      </c>
      <c r="S105" s="4">
        <v>152350000000000</v>
      </c>
      <c r="T105" s="4">
        <v>155223000000000</v>
      </c>
      <c r="U105" s="4">
        <v>157741000000000</v>
      </c>
      <c r="V105" s="4">
        <v>161257000000000</v>
      </c>
      <c r="W105" s="4">
        <v>164277000000000</v>
      </c>
      <c r="X105" s="4">
        <v>167545000000000</v>
      </c>
      <c r="Y105" s="4">
        <v>171320000000000</v>
      </c>
      <c r="Z105" s="4">
        <v>174946000000000</v>
      </c>
      <c r="AA105" s="4">
        <v>178491000000000</v>
      </c>
      <c r="AB105" s="4">
        <v>181591000000000</v>
      </c>
      <c r="AC105" s="4">
        <v>184161000000000</v>
      </c>
      <c r="AD105" s="4">
        <v>187456000000000</v>
      </c>
      <c r="AE105" s="4">
        <v>191435000000000</v>
      </c>
      <c r="AF105" s="4">
        <v>194648000000000</v>
      </c>
    </row>
    <row r="106" spans="1:32" x14ac:dyDescent="0.75">
      <c r="A106" t="s">
        <v>175</v>
      </c>
      <c r="B106" s="4">
        <v>64258200000000</v>
      </c>
      <c r="C106" s="4">
        <v>63337100000000</v>
      </c>
      <c r="D106" s="4">
        <v>68904800000000</v>
      </c>
      <c r="E106" s="4">
        <v>70070700000000</v>
      </c>
      <c r="F106" s="4">
        <v>71607600000000</v>
      </c>
      <c r="G106" s="4">
        <v>73435300000000</v>
      </c>
      <c r="H106" s="4">
        <v>73833700000000</v>
      </c>
      <c r="I106" s="4">
        <v>73232500000000</v>
      </c>
      <c r="J106" s="4">
        <v>72230300000000</v>
      </c>
      <c r="K106" s="4">
        <v>71685300000000</v>
      </c>
      <c r="L106" s="4">
        <v>70746100000000</v>
      </c>
      <c r="M106" s="4">
        <v>70662100000000</v>
      </c>
      <c r="N106" s="4">
        <v>70996300000000</v>
      </c>
      <c r="O106" s="4">
        <v>70812600000000</v>
      </c>
      <c r="P106" s="4">
        <v>70215900000000</v>
      </c>
      <c r="Q106" s="4">
        <v>71076400000000</v>
      </c>
      <c r="R106" s="4">
        <v>72117100000000</v>
      </c>
      <c r="S106" s="4">
        <v>72858700000000</v>
      </c>
      <c r="T106" s="4">
        <v>74064700000000</v>
      </c>
      <c r="U106" s="4">
        <v>75296600000000</v>
      </c>
      <c r="V106" s="4">
        <v>76881100000000</v>
      </c>
      <c r="W106" s="4">
        <v>79094700000000</v>
      </c>
      <c r="X106" s="4">
        <v>80809600000000</v>
      </c>
      <c r="Y106" s="4">
        <v>82655400000000</v>
      </c>
      <c r="Z106" s="4">
        <v>84618800000000</v>
      </c>
      <c r="AA106" s="4">
        <v>87345800000000</v>
      </c>
      <c r="AB106" s="4">
        <v>89995700000000</v>
      </c>
      <c r="AC106" s="4">
        <v>92102000000000</v>
      </c>
      <c r="AD106" s="4">
        <v>94536500000000</v>
      </c>
      <c r="AE106" s="4">
        <v>97059200000000</v>
      </c>
      <c r="AF106" s="4">
        <v>99958300000000</v>
      </c>
    </row>
    <row r="107" spans="1:32" x14ac:dyDescent="0.75">
      <c r="A107" t="s">
        <v>176</v>
      </c>
      <c r="B107" s="4">
        <v>500701000000000</v>
      </c>
      <c r="C107" s="4">
        <v>500552000000000</v>
      </c>
      <c r="D107" s="4">
        <v>512692000000000</v>
      </c>
      <c r="E107" s="4">
        <v>508362000000000</v>
      </c>
      <c r="F107" s="4">
        <v>509116000000000</v>
      </c>
      <c r="G107" s="4">
        <v>508442000000000</v>
      </c>
      <c r="H107" s="4">
        <v>506999000000000</v>
      </c>
      <c r="I107" s="4">
        <v>503478000000000</v>
      </c>
      <c r="J107" s="4">
        <v>500091000000000</v>
      </c>
      <c r="K107" s="4">
        <v>496402000000000</v>
      </c>
      <c r="L107" s="4">
        <v>492793000000000</v>
      </c>
      <c r="M107" s="4">
        <v>490503000000000</v>
      </c>
      <c r="N107" s="4">
        <v>488225000000000</v>
      </c>
      <c r="O107" s="4">
        <v>485508000000000</v>
      </c>
      <c r="P107" s="4">
        <v>484105000000000</v>
      </c>
      <c r="Q107" s="4">
        <v>483760000000000</v>
      </c>
      <c r="R107" s="4">
        <v>483341000000000</v>
      </c>
      <c r="S107" s="4">
        <v>483940000000000</v>
      </c>
      <c r="T107" s="4">
        <v>485315000000000</v>
      </c>
      <c r="U107" s="4">
        <v>487067000000000</v>
      </c>
      <c r="V107" s="4">
        <v>487660000000000</v>
      </c>
      <c r="W107" s="4">
        <v>488726000000000</v>
      </c>
      <c r="X107" s="4">
        <v>490328000000000</v>
      </c>
      <c r="Y107" s="4">
        <v>493827000000000</v>
      </c>
      <c r="Z107" s="4">
        <v>496062000000000</v>
      </c>
      <c r="AA107" s="4">
        <v>500123000000000</v>
      </c>
      <c r="AB107" s="4">
        <v>503162000000000</v>
      </c>
      <c r="AC107" s="4">
        <v>506996000000000</v>
      </c>
      <c r="AD107" s="4">
        <v>509655000000000</v>
      </c>
      <c r="AE107" s="4">
        <v>512875000000000</v>
      </c>
      <c r="AF107" s="4">
        <v>516208000000000</v>
      </c>
    </row>
    <row r="108" spans="1:32" x14ac:dyDescent="0.75">
      <c r="A108" t="s">
        <v>177</v>
      </c>
      <c r="B108" s="4">
        <v>1468800000000000</v>
      </c>
      <c r="C108" s="4">
        <v>1560730000000000</v>
      </c>
      <c r="D108" s="4">
        <v>1355110000000000</v>
      </c>
      <c r="E108" s="4">
        <v>1313230000000000</v>
      </c>
      <c r="F108" s="4">
        <v>1293160000000000</v>
      </c>
      <c r="G108" s="4">
        <v>1247840000000000</v>
      </c>
      <c r="H108" s="4">
        <v>1285200000000000</v>
      </c>
      <c r="I108" s="4">
        <v>1278680000000000</v>
      </c>
      <c r="J108" s="4">
        <v>1282060000000000</v>
      </c>
      <c r="K108" s="4">
        <v>1299510000000000</v>
      </c>
      <c r="L108" s="4">
        <v>1255980000000000</v>
      </c>
      <c r="M108" s="4">
        <v>1232730000000000</v>
      </c>
      <c r="N108" s="4">
        <v>1234700000000000</v>
      </c>
      <c r="O108" s="4">
        <v>1243190000000000</v>
      </c>
      <c r="P108" s="4">
        <v>1261390000000000</v>
      </c>
      <c r="Q108" s="4">
        <v>1264180000000000</v>
      </c>
      <c r="R108" s="4">
        <v>1285240000000000</v>
      </c>
      <c r="S108" s="4">
        <v>1296830000000000</v>
      </c>
      <c r="T108" s="4">
        <v>1304970000000000</v>
      </c>
      <c r="U108" s="4">
        <v>1330920000000000</v>
      </c>
      <c r="V108" s="4">
        <v>1322510000000000</v>
      </c>
      <c r="W108" s="4">
        <v>1330480000000000</v>
      </c>
      <c r="X108" s="4">
        <v>1345800000000000</v>
      </c>
      <c r="Y108" s="4">
        <v>1362980000000000</v>
      </c>
      <c r="Z108" s="4">
        <v>1366420000000000</v>
      </c>
      <c r="AA108" s="4">
        <v>1380830000000000</v>
      </c>
      <c r="AB108" s="4">
        <v>1383040000000000</v>
      </c>
      <c r="AC108" s="4">
        <v>1393680000000000</v>
      </c>
      <c r="AD108" s="4">
        <v>1420040000000000</v>
      </c>
      <c r="AE108" s="4">
        <v>1428860000000000</v>
      </c>
      <c r="AF108" s="4">
        <v>1457910000000000</v>
      </c>
    </row>
    <row r="109" spans="1:32" x14ac:dyDescent="0.75">
      <c r="A109" t="s">
        <v>178</v>
      </c>
      <c r="B109" s="4">
        <v>2992010000000000</v>
      </c>
      <c r="C109" s="4">
        <v>2891780000000000</v>
      </c>
      <c r="D109" s="4">
        <v>3112570000000000</v>
      </c>
      <c r="E109" s="4">
        <v>3272400000000000</v>
      </c>
      <c r="F109" s="4">
        <v>3475200000000000</v>
      </c>
      <c r="G109" s="4">
        <v>3610120000000000</v>
      </c>
      <c r="H109" s="4">
        <v>3731660000000000</v>
      </c>
      <c r="I109" s="4">
        <v>3772890000000000</v>
      </c>
      <c r="J109" s="4">
        <v>3822330000000000</v>
      </c>
      <c r="K109" s="4">
        <v>3864260000000000</v>
      </c>
      <c r="L109" s="4">
        <v>3922220000000000</v>
      </c>
      <c r="M109" s="4">
        <v>3980360000000000</v>
      </c>
      <c r="N109" s="4">
        <v>4041420000000000</v>
      </c>
      <c r="O109" s="4">
        <v>4095510000000000</v>
      </c>
      <c r="P109" s="4">
        <v>4174940000000000</v>
      </c>
      <c r="Q109" s="4">
        <v>4251880000000000</v>
      </c>
      <c r="R109" s="4">
        <v>4315440000000000</v>
      </c>
      <c r="S109" s="4">
        <v>4393500000000000</v>
      </c>
      <c r="T109" s="4">
        <v>4469710000000000</v>
      </c>
      <c r="U109" s="4">
        <v>4536920000000000</v>
      </c>
      <c r="V109" s="4">
        <v>4597240000000000</v>
      </c>
      <c r="W109" s="4">
        <v>4655120000000000</v>
      </c>
      <c r="X109" s="4">
        <v>4719360000000000</v>
      </c>
      <c r="Y109" s="4">
        <v>4821310000000000</v>
      </c>
      <c r="Z109" s="4">
        <v>4913000000000000</v>
      </c>
      <c r="AA109" s="4">
        <v>5030890000000000</v>
      </c>
      <c r="AB109" s="4">
        <v>5112370000000000</v>
      </c>
      <c r="AC109" s="4">
        <v>5183570000000000</v>
      </c>
      <c r="AD109" s="4">
        <v>5264960000000000</v>
      </c>
      <c r="AE109" s="4">
        <v>5383440000000000</v>
      </c>
      <c r="AF109" s="4">
        <v>5499920000000000</v>
      </c>
    </row>
    <row r="110" spans="1:32" x14ac:dyDescent="0.75">
      <c r="A110" t="s">
        <v>179</v>
      </c>
      <c r="B110" s="4">
        <v>108929000000000</v>
      </c>
      <c r="C110" s="4">
        <v>100804000000000</v>
      </c>
      <c r="D110" s="4">
        <v>112013000000000</v>
      </c>
      <c r="E110" s="4">
        <v>118520000000000</v>
      </c>
      <c r="F110" s="4">
        <v>123142000000000</v>
      </c>
      <c r="G110" s="4">
        <v>125748000000000</v>
      </c>
      <c r="H110" s="4">
        <v>126854000000000</v>
      </c>
      <c r="I110" s="4">
        <v>126606000000000</v>
      </c>
      <c r="J110" s="4">
        <v>126336000000000</v>
      </c>
      <c r="K110" s="4">
        <v>125890000000000</v>
      </c>
      <c r="L110" s="4">
        <v>125196000000000</v>
      </c>
      <c r="M110" s="4">
        <v>125385000000000</v>
      </c>
      <c r="N110" s="4">
        <v>126286000000000</v>
      </c>
      <c r="O110" s="4">
        <v>127392000000000</v>
      </c>
      <c r="P110" s="4">
        <v>128965000000000</v>
      </c>
      <c r="Q110" s="4">
        <v>130964000000000</v>
      </c>
      <c r="R110" s="4">
        <v>132886000000000</v>
      </c>
      <c r="S110" s="4">
        <v>134830000000000</v>
      </c>
      <c r="T110" s="4">
        <v>137043000000000</v>
      </c>
      <c r="U110" s="4">
        <v>139473000000000</v>
      </c>
      <c r="V110" s="4">
        <v>142188000000000</v>
      </c>
      <c r="W110" s="4">
        <v>144722000000000</v>
      </c>
      <c r="X110" s="4">
        <v>147416000000000</v>
      </c>
      <c r="Y110" s="4">
        <v>150027000000000</v>
      </c>
      <c r="Z110" s="4">
        <v>152231000000000</v>
      </c>
      <c r="AA110" s="4">
        <v>154894000000000</v>
      </c>
      <c r="AB110" s="4">
        <v>157265000000000</v>
      </c>
      <c r="AC110" s="4">
        <v>159260000000000</v>
      </c>
      <c r="AD110" s="4">
        <v>161796000000000</v>
      </c>
      <c r="AE110" s="4">
        <v>164439000000000</v>
      </c>
      <c r="AF110" s="4">
        <v>166870000000000</v>
      </c>
    </row>
    <row r="111" spans="1:32" x14ac:dyDescent="0.75">
      <c r="A111" t="s">
        <v>180</v>
      </c>
      <c r="B111" s="4">
        <v>140501000000000</v>
      </c>
      <c r="C111" s="4">
        <v>135471000000000</v>
      </c>
      <c r="D111" s="4">
        <v>140500000000000</v>
      </c>
      <c r="E111" s="4">
        <v>139733000000000</v>
      </c>
      <c r="F111" s="4">
        <v>139809000000000</v>
      </c>
      <c r="G111" s="4">
        <v>139602000000000</v>
      </c>
      <c r="H111" s="4">
        <v>138149000000000</v>
      </c>
      <c r="I111" s="4">
        <v>135743000000000</v>
      </c>
      <c r="J111" s="4">
        <v>133094000000000</v>
      </c>
      <c r="K111" s="4">
        <v>131019000000000</v>
      </c>
      <c r="L111" s="4">
        <v>128717000000000</v>
      </c>
      <c r="M111" s="4">
        <v>126994000000000</v>
      </c>
      <c r="N111" s="4">
        <v>125271000000000</v>
      </c>
      <c r="O111" s="4">
        <v>123873000000000</v>
      </c>
      <c r="P111" s="4">
        <v>123017000000000</v>
      </c>
      <c r="Q111" s="4">
        <v>123544000000000</v>
      </c>
      <c r="R111" s="4">
        <v>123694000000000</v>
      </c>
      <c r="S111" s="4">
        <v>123409000000000</v>
      </c>
      <c r="T111" s="4">
        <v>123410000000000</v>
      </c>
      <c r="U111" s="4">
        <v>123586000000000</v>
      </c>
      <c r="V111" s="4">
        <v>124214000000000</v>
      </c>
      <c r="W111" s="4">
        <v>125671000000000</v>
      </c>
      <c r="X111" s="4">
        <v>126505000000000</v>
      </c>
      <c r="Y111" s="4">
        <v>127337000000000</v>
      </c>
      <c r="Z111" s="4">
        <v>128247000000000</v>
      </c>
      <c r="AA111" s="4">
        <v>129799000000000</v>
      </c>
      <c r="AB111" s="4">
        <v>131234000000000</v>
      </c>
      <c r="AC111" s="4">
        <v>132012000000000</v>
      </c>
      <c r="AD111" s="4">
        <v>133241000000000</v>
      </c>
      <c r="AE111" s="4">
        <v>134569000000000</v>
      </c>
      <c r="AF111" s="4">
        <v>136053000000000</v>
      </c>
    </row>
    <row r="112" spans="1:32" x14ac:dyDescent="0.75">
      <c r="A112" t="s">
        <v>181</v>
      </c>
      <c r="B112" s="4">
        <v>30894200000000</v>
      </c>
      <c r="C112" s="4">
        <v>29948100000000</v>
      </c>
      <c r="D112" s="4">
        <v>31000200000000</v>
      </c>
      <c r="E112" s="4">
        <v>30801300000000</v>
      </c>
      <c r="F112" s="4">
        <v>30380800000000</v>
      </c>
      <c r="G112" s="4">
        <v>30274700000000</v>
      </c>
      <c r="H112" s="4">
        <v>30034900000000</v>
      </c>
      <c r="I112" s="4">
        <v>29716500000000</v>
      </c>
      <c r="J112" s="4">
        <v>29785600000000</v>
      </c>
      <c r="K112" s="4">
        <v>31633700000000</v>
      </c>
      <c r="L112" s="4">
        <v>33607900000000</v>
      </c>
      <c r="M112" s="4">
        <v>35753200000000</v>
      </c>
      <c r="N112" s="4">
        <v>37933400000000</v>
      </c>
      <c r="O112" s="4">
        <v>40159900000000</v>
      </c>
      <c r="P112" s="4">
        <v>42384800000000</v>
      </c>
      <c r="Q112" s="4">
        <v>44788100000000</v>
      </c>
      <c r="R112" s="4">
        <v>46940300000000</v>
      </c>
      <c r="S112" s="4">
        <v>46671200000000</v>
      </c>
      <c r="T112" s="4">
        <v>46503100000000</v>
      </c>
      <c r="U112" s="4">
        <v>46264500000000</v>
      </c>
      <c r="V112" s="4">
        <v>46111600000000</v>
      </c>
      <c r="W112" s="4">
        <v>45948400000000</v>
      </c>
      <c r="X112" s="4">
        <v>45674100000000</v>
      </c>
      <c r="Y112" s="4">
        <v>45465300000000</v>
      </c>
      <c r="Z112" s="4">
        <v>45262700000000</v>
      </c>
      <c r="AA112" s="4">
        <v>45112300000000</v>
      </c>
      <c r="AB112" s="4">
        <v>44946400000000</v>
      </c>
      <c r="AC112" s="4">
        <v>44734600000000</v>
      </c>
      <c r="AD112" s="4">
        <v>44551600000000</v>
      </c>
      <c r="AE112" s="4">
        <v>44394300000000</v>
      </c>
      <c r="AF112" s="4">
        <v>44243000000000</v>
      </c>
    </row>
    <row r="113" spans="1:32" x14ac:dyDescent="0.75">
      <c r="A113" t="s">
        <v>182</v>
      </c>
      <c r="B113" s="4">
        <v>410282000000000</v>
      </c>
      <c r="C113" s="4">
        <v>357299000000000</v>
      </c>
      <c r="D113" s="4">
        <v>397842000000000</v>
      </c>
      <c r="E113" s="4">
        <v>386545000000000</v>
      </c>
      <c r="F113" s="4">
        <v>396780000000000</v>
      </c>
      <c r="G113" s="4">
        <v>415678000000000</v>
      </c>
      <c r="H113" s="4">
        <v>408129000000000</v>
      </c>
      <c r="I113" s="4">
        <v>400970000000000</v>
      </c>
      <c r="J113" s="4">
        <v>394342000000000</v>
      </c>
      <c r="K113" s="4">
        <v>390602000000000</v>
      </c>
      <c r="L113" s="4">
        <v>388586000000000</v>
      </c>
      <c r="M113" s="4">
        <v>364858000000000</v>
      </c>
      <c r="N113" s="4">
        <v>341586000000000</v>
      </c>
      <c r="O113" s="4">
        <v>319568000000000</v>
      </c>
      <c r="P113" s="4">
        <v>305606000000000</v>
      </c>
      <c r="Q113" s="4">
        <v>301671000000000</v>
      </c>
      <c r="R113" s="4">
        <v>298561000000000</v>
      </c>
      <c r="S113" s="4">
        <v>297701000000000</v>
      </c>
      <c r="T113" s="4">
        <v>299652000000000</v>
      </c>
      <c r="U113" s="4">
        <v>302394000000000</v>
      </c>
      <c r="V113" s="4">
        <v>299525000000000</v>
      </c>
      <c r="W113" s="4">
        <v>299842000000000</v>
      </c>
      <c r="X113" s="4">
        <v>304106000000000</v>
      </c>
      <c r="Y113" s="4">
        <v>312631000000000</v>
      </c>
      <c r="Z113" s="4">
        <v>313373000000000</v>
      </c>
      <c r="AA113" s="4">
        <v>316731000000000</v>
      </c>
      <c r="AB113" s="4">
        <v>316575000000000</v>
      </c>
      <c r="AC113" s="4">
        <v>314560000000000</v>
      </c>
      <c r="AD113" s="4">
        <v>316819000000000</v>
      </c>
      <c r="AE113" s="4">
        <v>319120000000000</v>
      </c>
      <c r="AF113" s="4">
        <v>326800000000000</v>
      </c>
    </row>
    <row r="114" spans="1:32" x14ac:dyDescent="0.75">
      <c r="A114" t="s">
        <v>183</v>
      </c>
      <c r="B114" s="4">
        <v>204514000000000</v>
      </c>
      <c r="C114" s="4">
        <v>198241000000000</v>
      </c>
      <c r="D114" s="4">
        <v>213317000000000</v>
      </c>
      <c r="E114" s="4">
        <v>220128000000000</v>
      </c>
      <c r="F114" s="4">
        <v>228167000000000</v>
      </c>
      <c r="G114" s="4">
        <v>233436000000000</v>
      </c>
      <c r="H114" s="4">
        <v>237330000000000</v>
      </c>
      <c r="I114" s="4">
        <v>236744000000000</v>
      </c>
      <c r="J114" s="4">
        <v>235584000000000</v>
      </c>
      <c r="K114" s="4">
        <v>234433000000000</v>
      </c>
      <c r="L114" s="4">
        <v>233731000000000</v>
      </c>
      <c r="M114" s="4">
        <v>233950000000000</v>
      </c>
      <c r="N114" s="4">
        <v>234632000000000</v>
      </c>
      <c r="O114" s="4">
        <v>235574000000000</v>
      </c>
      <c r="P114" s="4">
        <v>237433000000000</v>
      </c>
      <c r="Q114" s="4">
        <v>239981000000000</v>
      </c>
      <c r="R114" s="4">
        <v>242429000000000</v>
      </c>
      <c r="S114" s="4">
        <v>245367000000000</v>
      </c>
      <c r="T114" s="4">
        <v>248826000000000</v>
      </c>
      <c r="U114" s="4">
        <v>251961000000000</v>
      </c>
      <c r="V114" s="4">
        <v>255606000000000</v>
      </c>
      <c r="W114" s="4">
        <v>258819000000000</v>
      </c>
      <c r="X114" s="4">
        <v>262346000000000</v>
      </c>
      <c r="Y114" s="4">
        <v>266620000000000</v>
      </c>
      <c r="Z114" s="4">
        <v>270247000000000</v>
      </c>
      <c r="AA114" s="4">
        <v>273949000000000</v>
      </c>
      <c r="AB114" s="4">
        <v>276781000000000</v>
      </c>
      <c r="AC114" s="4">
        <v>278964000000000</v>
      </c>
      <c r="AD114" s="4">
        <v>281709000000000</v>
      </c>
      <c r="AE114" s="4">
        <v>285188000000000</v>
      </c>
      <c r="AF114" s="4">
        <v>288316000000000</v>
      </c>
    </row>
    <row r="115" spans="1:32" x14ac:dyDescent="0.75">
      <c r="A115" t="s">
        <v>184</v>
      </c>
      <c r="B115" s="4">
        <v>210966000000000</v>
      </c>
      <c r="C115" s="4">
        <v>201090000000000</v>
      </c>
      <c r="D115" s="4">
        <v>215012000000000</v>
      </c>
      <c r="E115" s="4">
        <v>221480000000000</v>
      </c>
      <c r="F115" s="4">
        <v>228830000000000</v>
      </c>
      <c r="G115" s="4">
        <v>234292000000000</v>
      </c>
      <c r="H115" s="4">
        <v>236487000000000</v>
      </c>
      <c r="I115" s="4">
        <v>235169000000000</v>
      </c>
      <c r="J115" s="4">
        <v>232888000000000</v>
      </c>
      <c r="K115" s="4">
        <v>231428000000000</v>
      </c>
      <c r="L115" s="4">
        <v>228915000000000</v>
      </c>
      <c r="M115" s="4">
        <v>229134000000000</v>
      </c>
      <c r="N115" s="4">
        <v>229813000000000</v>
      </c>
      <c r="O115" s="4">
        <v>230752000000000</v>
      </c>
      <c r="P115" s="4">
        <v>232792000000000</v>
      </c>
      <c r="Q115" s="4">
        <v>236052000000000</v>
      </c>
      <c r="R115" s="4">
        <v>239151000000000</v>
      </c>
      <c r="S115" s="4">
        <v>241663000000000</v>
      </c>
      <c r="T115" s="4">
        <v>244296000000000</v>
      </c>
      <c r="U115" s="4">
        <v>246893000000000</v>
      </c>
      <c r="V115" s="4">
        <v>250174000000000</v>
      </c>
      <c r="W115" s="4">
        <v>254067000000000</v>
      </c>
      <c r="X115" s="4">
        <v>257887000000000</v>
      </c>
      <c r="Y115" s="4">
        <v>262096000000000</v>
      </c>
      <c r="Z115" s="4">
        <v>264750000000000</v>
      </c>
      <c r="AA115" s="4">
        <v>268838000000000</v>
      </c>
      <c r="AB115" s="4">
        <v>272914000000000</v>
      </c>
      <c r="AC115" s="4">
        <v>275029000000000</v>
      </c>
      <c r="AD115" s="4">
        <v>279499000000000</v>
      </c>
      <c r="AE115" s="4">
        <v>284415000000000</v>
      </c>
      <c r="AF115" s="4">
        <v>289245000000000</v>
      </c>
    </row>
    <row r="116" spans="1:32" x14ac:dyDescent="0.75">
      <c r="A116" t="s">
        <v>185</v>
      </c>
      <c r="B116" s="4">
        <v>60157300000000</v>
      </c>
      <c r="C116" s="4">
        <v>56821500000000</v>
      </c>
      <c r="D116" s="4">
        <v>61496000000000</v>
      </c>
      <c r="E116" s="4">
        <v>64037600000000</v>
      </c>
      <c r="F116" s="4">
        <v>66217400000000</v>
      </c>
      <c r="G116" s="4">
        <v>67168300000000</v>
      </c>
      <c r="H116" s="4">
        <v>67464600000000</v>
      </c>
      <c r="I116" s="4">
        <v>67332800000000</v>
      </c>
      <c r="J116" s="4">
        <v>67161000000000</v>
      </c>
      <c r="K116" s="4">
        <v>66952000000000</v>
      </c>
      <c r="L116" s="4">
        <v>64863300000000</v>
      </c>
      <c r="M116" s="4">
        <v>65142900000000</v>
      </c>
      <c r="N116" s="4">
        <v>65399400000000</v>
      </c>
      <c r="O116" s="4">
        <v>66010000000000</v>
      </c>
      <c r="P116" s="4">
        <v>66802800000000</v>
      </c>
      <c r="Q116" s="4">
        <v>67680100000000</v>
      </c>
      <c r="R116" s="4">
        <v>68522300000000</v>
      </c>
      <c r="S116" s="4">
        <v>69405200000000</v>
      </c>
      <c r="T116" s="4">
        <v>70341300000000</v>
      </c>
      <c r="U116" s="4">
        <v>71348800000000</v>
      </c>
      <c r="V116" s="4">
        <v>72381700000000</v>
      </c>
      <c r="W116" s="4">
        <v>73365800000000</v>
      </c>
      <c r="X116" s="4">
        <v>74339400000000</v>
      </c>
      <c r="Y116" s="4">
        <v>75381200000000</v>
      </c>
      <c r="Z116" s="4">
        <v>76331100000000</v>
      </c>
      <c r="AA116" s="4">
        <v>77420000000000</v>
      </c>
      <c r="AB116" s="4">
        <v>78530000000000</v>
      </c>
      <c r="AC116" s="4">
        <v>79538300000000</v>
      </c>
      <c r="AD116" s="4">
        <v>80765300000000</v>
      </c>
      <c r="AE116" s="4">
        <v>81955100000000</v>
      </c>
      <c r="AF116" s="4">
        <v>83007000000000</v>
      </c>
    </row>
    <row r="117" spans="1:32" x14ac:dyDescent="0.75">
      <c r="A117" t="s">
        <v>186</v>
      </c>
      <c r="B117" s="4">
        <v>35289000000000</v>
      </c>
      <c r="C117" s="4">
        <v>32786500000000</v>
      </c>
      <c r="D117" s="4">
        <v>35268900000000</v>
      </c>
      <c r="E117" s="4">
        <v>36400100000000</v>
      </c>
      <c r="F117" s="4">
        <v>37429800000000</v>
      </c>
      <c r="G117" s="4">
        <v>38219500000000</v>
      </c>
      <c r="H117" s="4">
        <v>38522100000000</v>
      </c>
      <c r="I117" s="4">
        <v>38234000000000</v>
      </c>
      <c r="J117" s="4">
        <v>37758500000000</v>
      </c>
      <c r="K117" s="4">
        <v>37416800000000</v>
      </c>
      <c r="L117" s="4">
        <v>37004500000000</v>
      </c>
      <c r="M117" s="4">
        <v>36949200000000</v>
      </c>
      <c r="N117" s="4">
        <v>36914600000000</v>
      </c>
      <c r="O117" s="4">
        <v>36966600000000</v>
      </c>
      <c r="P117" s="4">
        <v>37146200000000</v>
      </c>
      <c r="Q117" s="4">
        <v>37552800000000</v>
      </c>
      <c r="R117" s="4">
        <v>38038000000000</v>
      </c>
      <c r="S117" s="4">
        <v>38496900000000</v>
      </c>
      <c r="T117" s="4">
        <v>39005400000000</v>
      </c>
      <c r="U117" s="4">
        <v>39551900000000</v>
      </c>
      <c r="V117" s="4">
        <v>40180500000000</v>
      </c>
      <c r="W117" s="4">
        <v>40805900000000</v>
      </c>
      <c r="X117" s="4">
        <v>41406700000000</v>
      </c>
      <c r="Y117" s="4">
        <v>42022100000000</v>
      </c>
      <c r="Z117" s="4">
        <v>42489300000000</v>
      </c>
      <c r="AA117" s="4">
        <v>42986000000000</v>
      </c>
      <c r="AB117" s="4">
        <v>43619700000000</v>
      </c>
      <c r="AC117" s="4">
        <v>43930700000000</v>
      </c>
      <c r="AD117" s="4">
        <v>44489400000000</v>
      </c>
      <c r="AE117" s="4">
        <v>45191900000000</v>
      </c>
      <c r="AF117" s="4">
        <v>45898800000000</v>
      </c>
    </row>
    <row r="118" spans="1:32" x14ac:dyDescent="0.75">
      <c r="A118" t="s">
        <v>187</v>
      </c>
      <c r="B118" s="4">
        <v>74341000000000</v>
      </c>
      <c r="C118" s="4">
        <v>65909600000000</v>
      </c>
      <c r="D118" s="4">
        <v>71286900000000</v>
      </c>
      <c r="E118" s="4">
        <v>74379600000000</v>
      </c>
      <c r="F118" s="4">
        <v>77119500000000</v>
      </c>
      <c r="G118" s="4">
        <v>78714700000000</v>
      </c>
      <c r="H118" s="4">
        <v>78754900000000</v>
      </c>
      <c r="I118" s="4">
        <v>77579000000000</v>
      </c>
      <c r="J118" s="4">
        <v>76348400000000</v>
      </c>
      <c r="K118" s="4">
        <v>75439600000000</v>
      </c>
      <c r="L118" s="4">
        <v>74472000000000</v>
      </c>
      <c r="M118" s="4">
        <v>74116700000000</v>
      </c>
      <c r="N118" s="4">
        <v>74060900000000</v>
      </c>
      <c r="O118" s="4">
        <v>74066500000000</v>
      </c>
      <c r="P118" s="4">
        <v>74574600000000</v>
      </c>
      <c r="Q118" s="4">
        <v>75434100000000</v>
      </c>
      <c r="R118" s="4">
        <v>76229700000000</v>
      </c>
      <c r="S118" s="4">
        <v>76752900000000</v>
      </c>
      <c r="T118" s="4">
        <v>77343700000000</v>
      </c>
      <c r="U118" s="4">
        <v>77963900000000</v>
      </c>
      <c r="V118" s="4">
        <v>78750500000000</v>
      </c>
      <c r="W118" s="4">
        <v>79610300000000</v>
      </c>
      <c r="X118" s="4">
        <v>80406500000000</v>
      </c>
      <c r="Y118" s="4">
        <v>81323000000000</v>
      </c>
      <c r="Z118" s="4">
        <v>81904200000000</v>
      </c>
      <c r="AA118" s="4">
        <v>82776200000000</v>
      </c>
      <c r="AB118" s="4">
        <v>83786400000000</v>
      </c>
      <c r="AC118" s="4">
        <v>84089400000000</v>
      </c>
      <c r="AD118" s="4">
        <v>85117500000000</v>
      </c>
      <c r="AE118" s="4">
        <v>86294000000000</v>
      </c>
      <c r="AF118" s="4">
        <v>87155100000000</v>
      </c>
    </row>
    <row r="119" spans="1:32" x14ac:dyDescent="0.75">
      <c r="A119" t="s">
        <v>188</v>
      </c>
      <c r="B119" s="4">
        <v>99952400000000</v>
      </c>
      <c r="C119" s="4">
        <v>92718300000000</v>
      </c>
      <c r="D119" s="4">
        <v>98526400000000</v>
      </c>
      <c r="E119" s="4">
        <v>103861000000000</v>
      </c>
      <c r="F119" s="4">
        <v>107883000000000</v>
      </c>
      <c r="G119" s="4">
        <v>110332000000000</v>
      </c>
      <c r="H119" s="4">
        <v>111930000000000</v>
      </c>
      <c r="I119" s="4">
        <v>111820000000000</v>
      </c>
      <c r="J119" s="4">
        <v>111286000000000</v>
      </c>
      <c r="K119" s="4">
        <v>109543000000000</v>
      </c>
      <c r="L119" s="4">
        <v>107249000000000</v>
      </c>
      <c r="M119" s="4">
        <v>106869000000000</v>
      </c>
      <c r="N119" s="4">
        <v>107381000000000</v>
      </c>
      <c r="O119" s="4">
        <v>108307000000000</v>
      </c>
      <c r="P119" s="4">
        <v>109872000000000</v>
      </c>
      <c r="Q119" s="4">
        <v>111531000000000</v>
      </c>
      <c r="R119" s="4">
        <v>113213000000000</v>
      </c>
      <c r="S119" s="4">
        <v>114737000000000</v>
      </c>
      <c r="T119" s="4">
        <v>116252000000000</v>
      </c>
      <c r="U119" s="4">
        <v>118089000000000</v>
      </c>
      <c r="V119" s="4">
        <v>119975000000000</v>
      </c>
      <c r="W119" s="4">
        <v>121863000000000</v>
      </c>
      <c r="X119" s="4">
        <v>123691000000000</v>
      </c>
      <c r="Y119" s="4">
        <v>125397000000000</v>
      </c>
      <c r="Z119" s="4">
        <v>126986000000000</v>
      </c>
      <c r="AA119" s="4">
        <v>128633000000000</v>
      </c>
      <c r="AB119" s="4">
        <v>130168000000000</v>
      </c>
      <c r="AC119" s="4">
        <v>131368000000000</v>
      </c>
      <c r="AD119" s="4">
        <v>132688000000000</v>
      </c>
      <c r="AE119" s="4">
        <v>134225000000000</v>
      </c>
      <c r="AF119" s="4">
        <v>135313000000000</v>
      </c>
    </row>
    <row r="120" spans="1:32" x14ac:dyDescent="0.75">
      <c r="A120" t="s">
        <v>189</v>
      </c>
      <c r="B120" s="4">
        <v>56584000000000</v>
      </c>
      <c r="C120" s="4">
        <v>52488700000000</v>
      </c>
      <c r="D120" s="4">
        <v>55776700000000</v>
      </c>
      <c r="E120" s="4">
        <v>58796400000000</v>
      </c>
      <c r="F120" s="4">
        <v>61073600000000</v>
      </c>
      <c r="G120" s="4">
        <v>62459800000000</v>
      </c>
      <c r="H120" s="4">
        <v>63364800000000</v>
      </c>
      <c r="I120" s="4">
        <v>63302300000000</v>
      </c>
      <c r="J120" s="4">
        <v>63000000000000</v>
      </c>
      <c r="K120" s="4">
        <v>62013100000000</v>
      </c>
      <c r="L120" s="4">
        <v>60714800000000</v>
      </c>
      <c r="M120" s="4">
        <v>60499400000000</v>
      </c>
      <c r="N120" s="4">
        <v>60789600000000</v>
      </c>
      <c r="O120" s="4">
        <v>61313400000000</v>
      </c>
      <c r="P120" s="4">
        <v>62199800000000</v>
      </c>
      <c r="Q120" s="4">
        <v>63139000000000</v>
      </c>
      <c r="R120" s="4">
        <v>64090800000000</v>
      </c>
      <c r="S120" s="4">
        <v>64953400000000</v>
      </c>
      <c r="T120" s="4">
        <v>65811400000000</v>
      </c>
      <c r="U120" s="4">
        <v>66851400000000</v>
      </c>
      <c r="V120" s="4">
        <v>67918900000000</v>
      </c>
      <c r="W120" s="4">
        <v>68987600000000</v>
      </c>
      <c r="X120" s="4">
        <v>70022600000000</v>
      </c>
      <c r="Y120" s="4">
        <v>70988200000000</v>
      </c>
      <c r="Z120" s="4">
        <v>71888100000000</v>
      </c>
      <c r="AA120" s="4">
        <v>72820100000000</v>
      </c>
      <c r="AB120" s="4">
        <v>73689500000000</v>
      </c>
      <c r="AC120" s="4">
        <v>74368400000000</v>
      </c>
      <c r="AD120" s="4">
        <v>75115700000000</v>
      </c>
      <c r="AE120" s="4">
        <v>75985800000000</v>
      </c>
      <c r="AF120" s="4">
        <v>76601800000000</v>
      </c>
    </row>
    <row r="121" spans="1:32" x14ac:dyDescent="0.75">
      <c r="A121" t="s">
        <v>190</v>
      </c>
      <c r="B121" s="4">
        <v>348791000000000</v>
      </c>
      <c r="C121" s="4">
        <v>314635000000000</v>
      </c>
      <c r="D121" s="4">
        <v>348219000000000</v>
      </c>
      <c r="E121" s="4">
        <v>377724000000000</v>
      </c>
      <c r="F121" s="4">
        <v>406861000000000</v>
      </c>
      <c r="G121" s="4">
        <v>424173000000000</v>
      </c>
      <c r="H121" s="4">
        <v>439126000000000</v>
      </c>
      <c r="I121" s="4">
        <v>440848000000000</v>
      </c>
      <c r="J121" s="4">
        <v>440988000000000</v>
      </c>
      <c r="K121" s="4">
        <v>441027000000000</v>
      </c>
      <c r="L121" s="4">
        <v>441450000000000</v>
      </c>
      <c r="M121" s="4">
        <v>443690000000000</v>
      </c>
      <c r="N121" s="4">
        <v>446883000000000</v>
      </c>
      <c r="O121" s="4">
        <v>450191000000000</v>
      </c>
      <c r="P121" s="4">
        <v>455669000000000</v>
      </c>
      <c r="Q121" s="4">
        <v>462021000000000</v>
      </c>
      <c r="R121" s="4">
        <v>468139000000000</v>
      </c>
      <c r="S121" s="4">
        <v>475806000000000</v>
      </c>
      <c r="T121" s="4">
        <v>484779000000000</v>
      </c>
      <c r="U121" s="4">
        <v>492643000000000</v>
      </c>
      <c r="V121" s="4">
        <v>503624000000000</v>
      </c>
      <c r="W121" s="4">
        <v>513056000000000</v>
      </c>
      <c r="X121" s="4">
        <v>523262000000000</v>
      </c>
      <c r="Y121" s="4">
        <v>535054000000000</v>
      </c>
      <c r="Z121" s="4">
        <v>546379000000000</v>
      </c>
      <c r="AA121" s="4">
        <v>557449000000000</v>
      </c>
      <c r="AB121" s="4">
        <v>567130000000000</v>
      </c>
      <c r="AC121" s="4">
        <v>575157000000000</v>
      </c>
      <c r="AD121" s="4">
        <v>585449000000000</v>
      </c>
      <c r="AE121" s="4">
        <v>597874000000000</v>
      </c>
      <c r="AF121" s="4">
        <v>607910000000000</v>
      </c>
    </row>
    <row r="122" spans="1:32" x14ac:dyDescent="0.75">
      <c r="A122" t="s">
        <v>191</v>
      </c>
      <c r="B122" s="4">
        <v>1066220000000000</v>
      </c>
      <c r="C122" s="4">
        <v>1268670000000000</v>
      </c>
      <c r="D122" s="4">
        <v>1251440000000000</v>
      </c>
      <c r="E122" s="4">
        <v>1234480000000000</v>
      </c>
      <c r="F122" s="4">
        <v>1285370000000000</v>
      </c>
      <c r="G122" s="4">
        <v>1374050000000000</v>
      </c>
      <c r="H122" s="4">
        <v>1407590000000000</v>
      </c>
      <c r="I122" s="4">
        <v>1449100000000000</v>
      </c>
      <c r="J122" s="4">
        <v>1482350000000000</v>
      </c>
      <c r="K122" s="4">
        <v>1542950000000000</v>
      </c>
      <c r="L122" s="4">
        <v>1597940000000000</v>
      </c>
      <c r="M122" s="4">
        <v>1630390000000000</v>
      </c>
      <c r="N122" s="4">
        <v>1666360000000000</v>
      </c>
      <c r="O122" s="4">
        <v>1696750000000000</v>
      </c>
      <c r="P122" s="4">
        <v>1727080000000000</v>
      </c>
      <c r="Q122" s="4">
        <v>1762180000000000</v>
      </c>
      <c r="R122" s="4">
        <v>1803740000000000</v>
      </c>
      <c r="S122" s="4">
        <v>1842090000000000</v>
      </c>
      <c r="T122" s="4">
        <v>1880980000000000</v>
      </c>
      <c r="U122" s="4">
        <v>1916670000000000</v>
      </c>
      <c r="V122" s="4">
        <v>1953520000000000</v>
      </c>
      <c r="W122" s="4">
        <v>1969640000000000</v>
      </c>
      <c r="X122" s="4">
        <v>1973740000000000</v>
      </c>
      <c r="Y122" s="4">
        <v>1980820000000000</v>
      </c>
      <c r="Z122" s="4">
        <v>1993790000000000</v>
      </c>
      <c r="AA122" s="4">
        <v>1998430000000000</v>
      </c>
      <c r="AB122" s="4">
        <v>2006490000000000</v>
      </c>
      <c r="AC122" s="4">
        <v>2015540000000000</v>
      </c>
      <c r="AD122" s="4">
        <v>2012600000000000</v>
      </c>
      <c r="AE122" s="4">
        <v>2009820000000000</v>
      </c>
      <c r="AF122" s="4">
        <v>2017160000000000</v>
      </c>
    </row>
    <row r="123" spans="1:32" x14ac:dyDescent="0.75">
      <c r="A123" t="s">
        <v>192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75">
      <c r="A124" t="s">
        <v>193</v>
      </c>
      <c r="B124" s="4">
        <v>12511200000000</v>
      </c>
      <c r="C124" s="4">
        <v>12291900000000</v>
      </c>
      <c r="D124" s="4">
        <v>12666600000000</v>
      </c>
      <c r="E124" s="4">
        <v>12747300000000</v>
      </c>
      <c r="F124" s="4">
        <v>12887500000000</v>
      </c>
      <c r="G124" s="4">
        <v>13113800000000</v>
      </c>
      <c r="H124" s="4">
        <v>13238100000000</v>
      </c>
      <c r="I124" s="4">
        <v>13244500000000</v>
      </c>
      <c r="J124" s="4">
        <v>13189500000000</v>
      </c>
      <c r="K124" s="4">
        <v>13202200000000</v>
      </c>
      <c r="L124" s="4">
        <v>13216500000000</v>
      </c>
      <c r="M124" s="4">
        <v>13253300000000</v>
      </c>
      <c r="N124" s="4">
        <v>13302900000000</v>
      </c>
      <c r="O124" s="4">
        <v>13409300000000</v>
      </c>
      <c r="P124" s="4">
        <v>13516800000000</v>
      </c>
      <c r="Q124" s="4">
        <v>13663500000000</v>
      </c>
      <c r="R124" s="4">
        <v>13792800000000</v>
      </c>
      <c r="S124" s="4">
        <v>13904200000000</v>
      </c>
      <c r="T124" s="4">
        <v>14031200000000</v>
      </c>
      <c r="U124" s="4">
        <v>14161700000000</v>
      </c>
      <c r="V124" s="4">
        <v>14340900000000</v>
      </c>
      <c r="W124" s="4">
        <v>14544500000000</v>
      </c>
      <c r="X124" s="4">
        <v>14720700000000</v>
      </c>
      <c r="Y124" s="4">
        <v>14910900000000</v>
      </c>
      <c r="Z124" s="4">
        <v>15111600000000</v>
      </c>
      <c r="AA124" s="4">
        <v>15325000000000</v>
      </c>
      <c r="AB124" s="4">
        <v>15570000000000</v>
      </c>
      <c r="AC124" s="4">
        <v>15771700000000</v>
      </c>
      <c r="AD124" s="4">
        <v>15993100000000</v>
      </c>
      <c r="AE124" s="4">
        <v>16245400000000</v>
      </c>
      <c r="AF124" s="4">
        <v>16509600000000</v>
      </c>
    </row>
    <row r="125" spans="1:32" x14ac:dyDescent="0.75">
      <c r="A125" t="s">
        <v>194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75">
      <c r="A126" t="s">
        <v>195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75">
      <c r="A127" t="s">
        <v>196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75">
      <c r="A128" t="s">
        <v>197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75">
      <c r="A129" t="s">
        <v>198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75">
      <c r="A130" t="s">
        <v>199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75">
      <c r="A131" t="s">
        <v>200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75">
      <c r="A132" t="s">
        <v>201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75">
      <c r="A133" t="s">
        <v>202</v>
      </c>
      <c r="B133" s="4">
        <v>904565000000000</v>
      </c>
      <c r="C133" s="4">
        <v>881153000000000</v>
      </c>
      <c r="D133" s="4">
        <v>871508000000000</v>
      </c>
      <c r="E133" s="4">
        <v>878198000000000</v>
      </c>
      <c r="F133" s="4">
        <v>886884000000000</v>
      </c>
      <c r="G133" s="4">
        <v>893562000000000</v>
      </c>
      <c r="H133" s="4">
        <v>898992000000000</v>
      </c>
      <c r="I133" s="4">
        <v>902946000000000</v>
      </c>
      <c r="J133" s="4">
        <v>906679000000000</v>
      </c>
      <c r="K133" s="4">
        <v>910017000000000</v>
      </c>
      <c r="L133" s="4">
        <v>920372000000000</v>
      </c>
      <c r="M133" s="4">
        <v>923769000000000</v>
      </c>
      <c r="N133" s="4">
        <v>928209000000000</v>
      </c>
      <c r="O133" s="4">
        <v>933588000000000</v>
      </c>
      <c r="P133" s="4">
        <v>938572000000000</v>
      </c>
      <c r="Q133" s="4">
        <v>943271000000000</v>
      </c>
      <c r="R133" s="4">
        <v>951571000000000</v>
      </c>
      <c r="S133" s="4">
        <v>957731000000000</v>
      </c>
      <c r="T133" s="4">
        <v>964316000000000</v>
      </c>
      <c r="U133" s="4">
        <v>971732000000000</v>
      </c>
      <c r="V133" s="4">
        <v>980276000000000</v>
      </c>
      <c r="W133" s="4">
        <v>988502000000000</v>
      </c>
      <c r="X133" s="4">
        <v>998032000000000</v>
      </c>
      <c r="Y133" s="4">
        <v>1007870000000000</v>
      </c>
      <c r="Z133" s="4">
        <v>1025590000000000</v>
      </c>
      <c r="AA133" s="4">
        <v>1034790000000000</v>
      </c>
      <c r="AB133" s="4">
        <v>1044300000000000</v>
      </c>
      <c r="AC133" s="4">
        <v>1054050000000000</v>
      </c>
      <c r="AD133" s="4">
        <v>1064280000000000</v>
      </c>
      <c r="AE133" s="4">
        <v>1074900000000000</v>
      </c>
      <c r="AF133" s="4">
        <v>1085780000000000</v>
      </c>
    </row>
    <row r="134" spans="1:32" x14ac:dyDescent="0.75">
      <c r="A134" t="s">
        <v>203</v>
      </c>
      <c r="B134">
        <v>0</v>
      </c>
      <c r="C134" s="4">
        <v>42889200000</v>
      </c>
      <c r="D134" s="4">
        <v>79165100000</v>
      </c>
      <c r="E134" s="4">
        <v>110614000000</v>
      </c>
      <c r="F134" s="4">
        <v>137690000000</v>
      </c>
      <c r="G134" s="4">
        <v>163286000000</v>
      </c>
      <c r="H134" s="4">
        <v>190214000000</v>
      </c>
      <c r="I134" s="4">
        <v>216787000000</v>
      </c>
      <c r="J134" s="4">
        <v>384041000000</v>
      </c>
      <c r="K134" s="4">
        <v>409582000000</v>
      </c>
      <c r="L134" s="4">
        <v>439474000000</v>
      </c>
      <c r="M134" s="4">
        <v>464675000000</v>
      </c>
      <c r="N134" s="4">
        <v>488227000000</v>
      </c>
      <c r="O134" s="4">
        <v>512327000000</v>
      </c>
      <c r="P134" s="4">
        <v>533890000000</v>
      </c>
      <c r="Q134" s="4">
        <v>550639000000</v>
      </c>
      <c r="R134" s="4">
        <v>567936000000</v>
      </c>
      <c r="S134" s="4">
        <v>557065000000</v>
      </c>
      <c r="T134" s="4">
        <v>554898000000</v>
      </c>
      <c r="U134" s="4">
        <v>552823000000</v>
      </c>
      <c r="V134" s="4">
        <v>553603000000</v>
      </c>
      <c r="W134" s="4">
        <v>554132000000</v>
      </c>
      <c r="X134" s="4">
        <v>555581000000</v>
      </c>
      <c r="Y134" s="4">
        <v>555090000000</v>
      </c>
      <c r="Z134" s="4">
        <v>556257000000</v>
      </c>
      <c r="AA134" s="4">
        <v>553077000000</v>
      </c>
      <c r="AB134" s="4">
        <v>550040000000</v>
      </c>
      <c r="AC134" s="4">
        <v>549071000000</v>
      </c>
      <c r="AD134" s="4">
        <v>549280000000</v>
      </c>
      <c r="AE134" s="4">
        <v>548152000000</v>
      </c>
      <c r="AF134" s="4">
        <v>543679000000</v>
      </c>
    </row>
    <row r="135" spans="1:32" x14ac:dyDescent="0.75">
      <c r="A135" t="s">
        <v>204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75">
      <c r="A136" t="s">
        <v>205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75">
      <c r="A137" t="s">
        <v>206</v>
      </c>
      <c r="B137">
        <v>0</v>
      </c>
      <c r="C137">
        <v>0</v>
      </c>
      <c r="D137">
        <v>14787000000</v>
      </c>
      <c r="E137">
        <v>30806300000</v>
      </c>
      <c r="F137">
        <v>46418400000</v>
      </c>
      <c r="G137">
        <v>61867800000</v>
      </c>
      <c r="H137">
        <v>77566200000</v>
      </c>
      <c r="I137">
        <v>93858100000</v>
      </c>
      <c r="J137">
        <v>136924000000</v>
      </c>
      <c r="K137">
        <v>291904000000</v>
      </c>
      <c r="L137">
        <v>451420000000</v>
      </c>
      <c r="M137">
        <v>610186000000</v>
      </c>
      <c r="N137">
        <v>768326000000</v>
      </c>
      <c r="O137">
        <v>929687000000</v>
      </c>
      <c r="P137">
        <v>1087870000000</v>
      </c>
      <c r="Q137">
        <v>1245780000000</v>
      </c>
      <c r="R137">
        <v>1399780000000</v>
      </c>
      <c r="S137">
        <v>1393080000000</v>
      </c>
      <c r="T137">
        <v>1392860000000</v>
      </c>
      <c r="U137">
        <v>1390730000000</v>
      </c>
      <c r="V137">
        <v>1394250000000</v>
      </c>
      <c r="W137">
        <v>1395780000000</v>
      </c>
      <c r="X137">
        <v>1398750000000</v>
      </c>
      <c r="Y137">
        <v>1398680000000</v>
      </c>
      <c r="Z137">
        <v>1410230000000</v>
      </c>
      <c r="AA137">
        <v>1409240000000</v>
      </c>
      <c r="AB137">
        <v>1413310000000</v>
      </c>
      <c r="AC137">
        <v>1415810000000</v>
      </c>
      <c r="AD137">
        <v>1419150000000</v>
      </c>
      <c r="AE137">
        <v>1421200000000</v>
      </c>
      <c r="AF137">
        <v>1421390000000</v>
      </c>
    </row>
    <row r="138" spans="1:32" x14ac:dyDescent="0.75">
      <c r="A138" t="s">
        <v>207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75">
      <c r="A139" t="s">
        <v>208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75">
      <c r="A140" t="s">
        <v>209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75">
      <c r="A141" t="s">
        <v>210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75">
      <c r="A142" t="s">
        <v>211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75">
      <c r="A143" t="s">
        <v>212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75">
      <c r="A144" t="s">
        <v>213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75">
      <c r="A145" t="s">
        <v>214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75">
      <c r="A146" t="s">
        <v>215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75">
      <c r="A147" t="s">
        <v>216</v>
      </c>
      <c r="B147">
        <v>0</v>
      </c>
      <c r="C147" s="4">
        <v>902663000000</v>
      </c>
      <c r="D147" s="4">
        <v>770313000000</v>
      </c>
      <c r="E147" s="4">
        <v>808003000000</v>
      </c>
      <c r="F147" s="4">
        <v>873149000000</v>
      </c>
      <c r="G147" s="4">
        <v>908573000000</v>
      </c>
      <c r="H147" s="4">
        <v>924424000000</v>
      </c>
      <c r="I147" s="4">
        <v>943215000000</v>
      </c>
      <c r="J147" s="4">
        <v>962028000000</v>
      </c>
      <c r="K147" s="4">
        <v>976240000000</v>
      </c>
      <c r="L147" s="4">
        <v>1003990000000</v>
      </c>
      <c r="M147" s="4">
        <v>1024910000000</v>
      </c>
      <c r="N147" s="4">
        <v>1042400000000</v>
      </c>
      <c r="O147" s="4">
        <v>1062180000000</v>
      </c>
      <c r="P147" s="4">
        <v>1074720000000</v>
      </c>
      <c r="Q147" s="4">
        <v>1088800000000</v>
      </c>
      <c r="R147" s="4">
        <v>1102200000000</v>
      </c>
      <c r="S147" s="4">
        <v>1079120000000</v>
      </c>
      <c r="T147" s="4">
        <v>1072940000000</v>
      </c>
      <c r="U147" s="4">
        <v>1058140000000</v>
      </c>
      <c r="V147" s="4">
        <v>1051940000000</v>
      </c>
      <c r="W147" s="4">
        <v>1043050000000</v>
      </c>
      <c r="X147" s="4">
        <v>1037800000000</v>
      </c>
      <c r="Y147" s="4">
        <v>1032860000000</v>
      </c>
      <c r="Z147" s="4">
        <v>1041010000000</v>
      </c>
      <c r="AA147" s="4">
        <v>1039060000000</v>
      </c>
      <c r="AB147" s="4">
        <v>1040040000000</v>
      </c>
      <c r="AC147" s="4">
        <v>1031020000000</v>
      </c>
      <c r="AD147" s="4">
        <v>1025990000000</v>
      </c>
      <c r="AE147" s="4">
        <v>1024190000000</v>
      </c>
      <c r="AF147" s="4">
        <v>1017170000000</v>
      </c>
    </row>
    <row r="148" spans="1:32" x14ac:dyDescent="0.75">
      <c r="A148" t="s">
        <v>217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75">
      <c r="A149" t="s">
        <v>218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75">
      <c r="A150" t="s">
        <v>219</v>
      </c>
      <c r="B150" s="4">
        <v>468208000000000</v>
      </c>
      <c r="C150" s="4">
        <v>494855000000000</v>
      </c>
      <c r="D150" s="4">
        <v>527828000000000</v>
      </c>
      <c r="E150" s="4">
        <v>538948000000000</v>
      </c>
      <c r="F150" s="4">
        <v>550614000000000</v>
      </c>
      <c r="G150" s="4">
        <v>560538000000000</v>
      </c>
      <c r="H150" s="4">
        <v>569677000000000</v>
      </c>
      <c r="I150" s="4">
        <v>578179000000000</v>
      </c>
      <c r="J150" s="4">
        <v>586438000000000</v>
      </c>
      <c r="K150" s="4">
        <v>593557000000000</v>
      </c>
      <c r="L150" s="4">
        <v>600671000000000</v>
      </c>
      <c r="M150" s="4">
        <v>607934000000000</v>
      </c>
      <c r="N150" s="4">
        <v>617359000000000</v>
      </c>
      <c r="O150" s="4">
        <v>624337000000000</v>
      </c>
      <c r="P150" s="4">
        <v>632603000000000</v>
      </c>
      <c r="Q150" s="4">
        <v>641192000000000</v>
      </c>
      <c r="R150" s="4">
        <v>649683000000000</v>
      </c>
      <c r="S150" s="4">
        <v>658543000000000</v>
      </c>
      <c r="T150" s="4">
        <v>667466000000000</v>
      </c>
      <c r="U150" s="4">
        <v>676568000000000</v>
      </c>
      <c r="V150" s="4">
        <v>685621000000000</v>
      </c>
      <c r="W150" s="4">
        <v>694501000000000</v>
      </c>
      <c r="X150" s="4">
        <v>703472000000000</v>
      </c>
      <c r="Y150" s="4">
        <v>712504000000000</v>
      </c>
      <c r="Z150" s="4">
        <v>721563000000000</v>
      </c>
      <c r="AA150" s="4">
        <v>730978000000000</v>
      </c>
      <c r="AB150" s="4">
        <v>740299000000000</v>
      </c>
      <c r="AC150" s="4">
        <v>749647000000000</v>
      </c>
      <c r="AD150" s="4">
        <v>759580000000000</v>
      </c>
      <c r="AE150" s="4">
        <v>769523000000000</v>
      </c>
      <c r="AF150" s="4">
        <v>779809000000000</v>
      </c>
    </row>
    <row r="151" spans="1:32" x14ac:dyDescent="0.75">
      <c r="A151" t="s">
        <v>220</v>
      </c>
      <c r="B151" s="4">
        <v>43390700000000</v>
      </c>
      <c r="C151" s="4">
        <v>42585500000000</v>
      </c>
      <c r="D151" s="4">
        <v>46280700000000</v>
      </c>
      <c r="E151" s="4">
        <v>48511100000000</v>
      </c>
      <c r="F151" s="4">
        <v>50280200000000</v>
      </c>
      <c r="G151" s="4">
        <v>51360900000000</v>
      </c>
      <c r="H151" s="4">
        <v>52513000000000</v>
      </c>
      <c r="I151" s="4">
        <v>53155800000000</v>
      </c>
      <c r="J151" s="4">
        <v>53885200000000</v>
      </c>
      <c r="K151" s="4">
        <v>54494400000000</v>
      </c>
      <c r="L151" s="4">
        <v>55116600000000</v>
      </c>
      <c r="M151" s="4">
        <v>55662100000000</v>
      </c>
      <c r="N151" s="4">
        <v>56273500000000</v>
      </c>
      <c r="O151" s="4">
        <v>56583700000000</v>
      </c>
      <c r="P151" s="4">
        <v>57026000000000</v>
      </c>
      <c r="Q151" s="4">
        <v>57514800000000</v>
      </c>
      <c r="R151" s="4">
        <v>57957600000000</v>
      </c>
      <c r="S151" s="4">
        <v>58400700000000</v>
      </c>
      <c r="T151" s="4">
        <v>58679000000000</v>
      </c>
      <c r="U151" s="4">
        <v>59129300000000</v>
      </c>
      <c r="V151" s="4">
        <v>59516800000000</v>
      </c>
      <c r="W151" s="4">
        <v>59948900000000</v>
      </c>
      <c r="X151" s="4">
        <v>60426600000000</v>
      </c>
      <c r="Y151" s="4">
        <v>61018300000000</v>
      </c>
      <c r="Z151" s="4">
        <v>61325000000000</v>
      </c>
      <c r="AA151" s="4">
        <v>61726500000000</v>
      </c>
      <c r="AB151" s="4">
        <v>61829100000000</v>
      </c>
      <c r="AC151" s="4">
        <v>62030600000000</v>
      </c>
      <c r="AD151" s="4">
        <v>62166200000000</v>
      </c>
      <c r="AE151" s="4">
        <v>62217800000000</v>
      </c>
      <c r="AF151" s="4">
        <v>62375200000000</v>
      </c>
    </row>
    <row r="152" spans="1:32" x14ac:dyDescent="0.75">
      <c r="A152" t="s">
        <v>221</v>
      </c>
      <c r="B152" s="4">
        <v>54156300000000</v>
      </c>
      <c r="C152" s="4">
        <v>53151300000000</v>
      </c>
      <c r="D152" s="4">
        <v>57763300000000</v>
      </c>
      <c r="E152" s="4">
        <v>60547100000000</v>
      </c>
      <c r="F152" s="4">
        <v>62755100000000</v>
      </c>
      <c r="G152" s="4">
        <v>64103900000000</v>
      </c>
      <c r="H152" s="4">
        <v>65541900000000</v>
      </c>
      <c r="I152" s="4">
        <v>66344200000000</v>
      </c>
      <c r="J152" s="4">
        <v>67254500000000</v>
      </c>
      <c r="K152" s="4">
        <v>68014900000000</v>
      </c>
      <c r="L152" s="4">
        <v>68791500000000</v>
      </c>
      <c r="M152" s="4">
        <v>69472300000000</v>
      </c>
      <c r="N152" s="4">
        <v>70235500000000</v>
      </c>
      <c r="O152" s="4">
        <v>70622600000000</v>
      </c>
      <c r="P152" s="4">
        <v>71174600000000</v>
      </c>
      <c r="Q152" s="4">
        <v>71784700000000</v>
      </c>
      <c r="R152" s="4">
        <v>72337400000000</v>
      </c>
      <c r="S152" s="4">
        <v>72890300000000</v>
      </c>
      <c r="T152" s="4">
        <v>73237800000000</v>
      </c>
      <c r="U152" s="4">
        <v>73799700000000</v>
      </c>
      <c r="V152" s="4">
        <v>74283500000000</v>
      </c>
      <c r="W152" s="4">
        <v>74822800000000</v>
      </c>
      <c r="X152" s="4">
        <v>75418900000000</v>
      </c>
      <c r="Y152" s="4">
        <v>76157400000000</v>
      </c>
      <c r="Z152" s="4">
        <v>76540200000000</v>
      </c>
      <c r="AA152" s="4">
        <v>77041300000000</v>
      </c>
      <c r="AB152" s="4">
        <v>77169400000000</v>
      </c>
      <c r="AC152" s="4">
        <v>77420900000000</v>
      </c>
      <c r="AD152" s="4">
        <v>77590100000000</v>
      </c>
      <c r="AE152" s="4">
        <v>77654600000000</v>
      </c>
      <c r="AF152" s="4">
        <v>77851000000000</v>
      </c>
    </row>
    <row r="153" spans="1:32" x14ac:dyDescent="0.75">
      <c r="A153" t="s">
        <v>222</v>
      </c>
      <c r="B153" s="4">
        <v>76577600000000</v>
      </c>
      <c r="C153" s="4">
        <v>75156500000000</v>
      </c>
      <c r="D153" s="4">
        <v>81677800000000</v>
      </c>
      <c r="E153" s="4">
        <v>85614200000000</v>
      </c>
      <c r="F153" s="4">
        <v>88736400000000</v>
      </c>
      <c r="G153" s="4">
        <v>90643600000000</v>
      </c>
      <c r="H153" s="4">
        <v>92676900000000</v>
      </c>
      <c r="I153" s="4">
        <v>93811400000000</v>
      </c>
      <c r="J153" s="4">
        <v>95098600000000</v>
      </c>
      <c r="K153" s="4">
        <v>96173800000000</v>
      </c>
      <c r="L153" s="4">
        <v>97271900000000</v>
      </c>
      <c r="M153" s="4">
        <v>98234500000000</v>
      </c>
      <c r="N153" s="4">
        <v>99313600000000</v>
      </c>
      <c r="O153" s="4">
        <v>99861000000000</v>
      </c>
      <c r="P153" s="4">
        <v>100642000000000</v>
      </c>
      <c r="Q153" s="4">
        <v>101504000000000</v>
      </c>
      <c r="R153" s="4">
        <v>102286000000000</v>
      </c>
      <c r="S153" s="4">
        <v>103068000000000</v>
      </c>
      <c r="T153" s="4">
        <v>103559000000000</v>
      </c>
      <c r="U153" s="4">
        <v>104354000000000</v>
      </c>
      <c r="V153" s="4">
        <v>105038000000000</v>
      </c>
      <c r="W153" s="4">
        <v>105800000000000</v>
      </c>
      <c r="X153" s="4">
        <v>106643000000000</v>
      </c>
      <c r="Y153" s="4">
        <v>107687000000000</v>
      </c>
      <c r="Z153" s="4">
        <v>108229000000000</v>
      </c>
      <c r="AA153" s="4">
        <v>108937000000000</v>
      </c>
      <c r="AB153" s="4">
        <v>109118000000000</v>
      </c>
      <c r="AC153" s="4">
        <v>109474000000000</v>
      </c>
      <c r="AD153" s="4">
        <v>109713000000000</v>
      </c>
      <c r="AE153" s="4">
        <v>109804000000000</v>
      </c>
      <c r="AF153" s="4">
        <v>110082000000000</v>
      </c>
    </row>
    <row r="154" spans="1:32" x14ac:dyDescent="0.75">
      <c r="A154" t="s">
        <v>223</v>
      </c>
      <c r="B154" s="4">
        <v>23148200000000</v>
      </c>
      <c r="C154" s="4">
        <v>34440800000000</v>
      </c>
      <c r="D154" s="4">
        <v>28974000000000</v>
      </c>
      <c r="E154" s="4">
        <v>24925700000000</v>
      </c>
      <c r="F154" s="4">
        <v>22820600000000</v>
      </c>
      <c r="G154" s="4">
        <v>22567600000000</v>
      </c>
      <c r="H154" s="4">
        <v>22151900000000</v>
      </c>
      <c r="I154" s="4">
        <v>22644700000000</v>
      </c>
      <c r="J154" s="4">
        <v>23278800000000</v>
      </c>
      <c r="K154" s="4">
        <v>23677500000000</v>
      </c>
      <c r="L154" s="4">
        <v>24267600000000</v>
      </c>
      <c r="M154" s="4">
        <v>24626200000000</v>
      </c>
      <c r="N154" s="4">
        <v>24822700000000</v>
      </c>
      <c r="O154" s="4">
        <v>24918100000000</v>
      </c>
      <c r="P154" s="4">
        <v>24950600000000</v>
      </c>
      <c r="Q154" s="4">
        <v>25141000000000</v>
      </c>
      <c r="R154" s="4">
        <v>25484300000000</v>
      </c>
      <c r="S154" s="4">
        <v>25426700000000</v>
      </c>
      <c r="T154" s="4">
        <v>25304500000000</v>
      </c>
      <c r="U154" s="4">
        <v>25440600000000</v>
      </c>
      <c r="V154" s="4">
        <v>25161700000000</v>
      </c>
      <c r="W154" s="4">
        <v>25223600000000</v>
      </c>
      <c r="X154" s="4">
        <v>25350500000000</v>
      </c>
      <c r="Y154" s="4">
        <v>25383100000000</v>
      </c>
      <c r="Z154" s="4">
        <v>25367100000000</v>
      </c>
      <c r="AA154" s="4">
        <v>25281200000000</v>
      </c>
      <c r="AB154" s="4">
        <v>25276200000000</v>
      </c>
      <c r="AC154" s="4">
        <v>25352800000000</v>
      </c>
      <c r="AD154" s="4">
        <v>25472100000000</v>
      </c>
      <c r="AE154" s="4">
        <v>25455500000000</v>
      </c>
      <c r="AF154" s="4">
        <v>25650300000000</v>
      </c>
    </row>
    <row r="155" spans="1:32" x14ac:dyDescent="0.75">
      <c r="A155" t="s">
        <v>224</v>
      </c>
      <c r="B155" s="4">
        <v>3736410000000</v>
      </c>
      <c r="C155" s="4">
        <v>4468250000000</v>
      </c>
      <c r="D155" s="4">
        <v>4090180000000</v>
      </c>
      <c r="E155" s="4">
        <v>4298190000000</v>
      </c>
      <c r="F155" s="4">
        <v>4341800000000</v>
      </c>
      <c r="G155" s="4">
        <v>4417630000000</v>
      </c>
      <c r="H155" s="4">
        <v>4414430000000</v>
      </c>
      <c r="I155" s="4">
        <v>4632880000000</v>
      </c>
      <c r="J155" s="4">
        <v>4882840000000</v>
      </c>
      <c r="K155" s="4">
        <v>5040030000000</v>
      </c>
      <c r="L155" s="4">
        <v>5220190000000</v>
      </c>
      <c r="M155" s="4">
        <v>5377530000000</v>
      </c>
      <c r="N155" s="4">
        <v>5472120000000</v>
      </c>
      <c r="O155" s="4">
        <v>5495040000000</v>
      </c>
      <c r="P155" s="4">
        <v>5490910000000</v>
      </c>
      <c r="Q155" s="4">
        <v>5538190000000</v>
      </c>
      <c r="R155" s="4">
        <v>5614190000000</v>
      </c>
      <c r="S155" s="4">
        <v>5593290000000</v>
      </c>
      <c r="T155" s="4">
        <v>5552010000000</v>
      </c>
      <c r="U155" s="4">
        <v>5581370000000</v>
      </c>
      <c r="V155" s="4">
        <v>5501510000000</v>
      </c>
      <c r="W155" s="4">
        <v>5525470000000</v>
      </c>
      <c r="X155" s="4">
        <v>5572040000000</v>
      </c>
      <c r="Y155" s="4">
        <v>5596940000000</v>
      </c>
      <c r="Z155" s="4">
        <v>5607160000000</v>
      </c>
      <c r="AA155" s="4">
        <v>5581220000000</v>
      </c>
      <c r="AB155" s="4">
        <v>5573440000000</v>
      </c>
      <c r="AC155" s="4">
        <v>5589130000000</v>
      </c>
      <c r="AD155" s="4">
        <v>5606710000000</v>
      </c>
      <c r="AE155" s="4">
        <v>5592230000000</v>
      </c>
      <c r="AF155" s="4">
        <v>5644020000000</v>
      </c>
    </row>
    <row r="156" spans="1:32" x14ac:dyDescent="0.75">
      <c r="A156" t="s">
        <v>225</v>
      </c>
      <c r="B156" s="4">
        <v>9477800000000</v>
      </c>
      <c r="C156" s="4">
        <v>9241670000000</v>
      </c>
      <c r="D156" s="4">
        <v>10113600000000</v>
      </c>
      <c r="E156" s="4">
        <v>10256300000000</v>
      </c>
      <c r="F156" s="4">
        <v>10562000000000</v>
      </c>
      <c r="G156" s="4">
        <v>11154600000000</v>
      </c>
      <c r="H156" s="4">
        <v>11393400000000</v>
      </c>
      <c r="I156" s="4">
        <v>11247300000000</v>
      </c>
      <c r="J156" s="4">
        <v>10942300000000</v>
      </c>
      <c r="K156" s="4">
        <v>10648600000000</v>
      </c>
      <c r="L156" s="4">
        <v>10399800000000</v>
      </c>
      <c r="M156" s="4">
        <v>10400400000000</v>
      </c>
      <c r="N156" s="4">
        <v>10573400000000</v>
      </c>
      <c r="O156" s="4">
        <v>10565300000000</v>
      </c>
      <c r="P156" s="4">
        <v>10409900000000</v>
      </c>
      <c r="Q156" s="4">
        <v>10579500000000</v>
      </c>
      <c r="R156" s="4">
        <v>10880600000000</v>
      </c>
      <c r="S156" s="4">
        <v>10956800000000</v>
      </c>
      <c r="T156" s="4">
        <v>11056700000000</v>
      </c>
      <c r="U156" s="4">
        <v>11255500000000</v>
      </c>
      <c r="V156" s="4">
        <v>11387400000000</v>
      </c>
      <c r="W156" s="4">
        <v>11738700000000</v>
      </c>
      <c r="X156" s="4">
        <v>11997800000000</v>
      </c>
      <c r="Y156" s="4">
        <v>12265000000000</v>
      </c>
      <c r="Z156" s="4">
        <v>12583800000000</v>
      </c>
      <c r="AA156" s="4">
        <v>12972300000000</v>
      </c>
      <c r="AB156" s="4">
        <v>13406800000000</v>
      </c>
      <c r="AC156" s="4">
        <v>13679000000000</v>
      </c>
      <c r="AD156" s="4">
        <v>13933900000000</v>
      </c>
      <c r="AE156" s="4">
        <v>14147500000000</v>
      </c>
      <c r="AF156" s="4">
        <v>14441300000000</v>
      </c>
    </row>
    <row r="157" spans="1:32" x14ac:dyDescent="0.75">
      <c r="A157" t="s">
        <v>226</v>
      </c>
      <c r="B157" s="4">
        <v>3056480000000</v>
      </c>
      <c r="C157" s="4">
        <v>3116190000000</v>
      </c>
      <c r="D157" s="4">
        <v>3256970000000</v>
      </c>
      <c r="E157" s="4">
        <v>3271150000000</v>
      </c>
      <c r="F157" s="4">
        <v>3335330000000</v>
      </c>
      <c r="G157" s="4">
        <v>3414350000000</v>
      </c>
      <c r="H157" s="4">
        <v>3451870000000</v>
      </c>
      <c r="I157" s="4">
        <v>3445580000000</v>
      </c>
      <c r="J157" s="4">
        <v>3441860000000</v>
      </c>
      <c r="K157" s="4">
        <v>3409750000000</v>
      </c>
      <c r="L157" s="4">
        <v>3380580000000</v>
      </c>
      <c r="M157" s="4">
        <v>3364960000000</v>
      </c>
      <c r="N157" s="4">
        <v>3342630000000</v>
      </c>
      <c r="O157" s="4">
        <v>3318230000000</v>
      </c>
      <c r="P157" s="4">
        <v>3300990000000</v>
      </c>
      <c r="Q157" s="4">
        <v>3299280000000</v>
      </c>
      <c r="R157" s="4">
        <v>3309790000000</v>
      </c>
      <c r="S157" s="4">
        <v>3295100000000</v>
      </c>
      <c r="T157" s="4">
        <v>3280820000000</v>
      </c>
      <c r="U157" s="4">
        <v>3291370000000</v>
      </c>
      <c r="V157" s="4">
        <v>3255490000000</v>
      </c>
      <c r="W157" s="4">
        <v>3234010000000</v>
      </c>
      <c r="X157" s="4">
        <v>3214400000000</v>
      </c>
      <c r="Y157" s="4">
        <v>3200310000000</v>
      </c>
      <c r="Z157" s="4">
        <v>3182690000000</v>
      </c>
      <c r="AA157" s="4">
        <v>3165170000000</v>
      </c>
      <c r="AB157" s="4">
        <v>3156680000000</v>
      </c>
      <c r="AC157" s="4">
        <v>3152590000000</v>
      </c>
      <c r="AD157" s="4">
        <v>3150580000000</v>
      </c>
      <c r="AE157" s="4">
        <v>3138110000000</v>
      </c>
      <c r="AF157" s="4">
        <v>3128170000000</v>
      </c>
    </row>
    <row r="158" spans="1:32" x14ac:dyDescent="0.75">
      <c r="A158" t="s">
        <v>227</v>
      </c>
      <c r="B158">
        <v>0</v>
      </c>
      <c r="C158" s="4">
        <v>216383000000</v>
      </c>
      <c r="D158" s="4">
        <v>299482000000</v>
      </c>
      <c r="E158" s="4">
        <v>415778000000</v>
      </c>
      <c r="F158" s="4">
        <v>543611000000</v>
      </c>
      <c r="G158" s="4">
        <v>679299000000</v>
      </c>
      <c r="H158" s="4">
        <v>811625000000</v>
      </c>
      <c r="I158" s="4">
        <v>911683000000</v>
      </c>
      <c r="J158" s="4">
        <v>927410000000</v>
      </c>
      <c r="K158" s="4">
        <v>1443590000000</v>
      </c>
      <c r="L158" s="4">
        <v>1970590000000</v>
      </c>
      <c r="M158" s="4">
        <v>2539170000000</v>
      </c>
      <c r="N158" s="4">
        <v>3095420000000</v>
      </c>
      <c r="O158" s="4">
        <v>3625550000000</v>
      </c>
      <c r="P158" s="4">
        <v>4135910000000</v>
      </c>
      <c r="Q158" s="4">
        <v>4630990000000</v>
      </c>
      <c r="R158" s="4">
        <v>5133500000000</v>
      </c>
      <c r="S158" s="4">
        <v>5065270000000</v>
      </c>
      <c r="T158" s="4">
        <v>5078480000000</v>
      </c>
      <c r="U158" s="4">
        <v>5091480000000</v>
      </c>
      <c r="V158" s="4">
        <v>5092940000000</v>
      </c>
      <c r="W158" s="4">
        <v>5152090000000</v>
      </c>
      <c r="X158" s="4">
        <v>5149010000000</v>
      </c>
      <c r="Y158" s="4">
        <v>5142910000000</v>
      </c>
      <c r="Z158" s="4">
        <v>5170060000000</v>
      </c>
      <c r="AA158" s="4">
        <v>5179030000000</v>
      </c>
      <c r="AB158" s="4">
        <v>5203060000000</v>
      </c>
      <c r="AC158" s="4">
        <v>5220570000000</v>
      </c>
      <c r="AD158" s="4">
        <v>5215480000000</v>
      </c>
      <c r="AE158" s="4">
        <v>5215380000000</v>
      </c>
      <c r="AF158" s="4">
        <v>5210870000000</v>
      </c>
    </row>
    <row r="159" spans="1:32" x14ac:dyDescent="0.75">
      <c r="A159" t="s">
        <v>228</v>
      </c>
      <c r="B159" s="4">
        <v>62344200000000</v>
      </c>
      <c r="C159" s="4">
        <v>69537900000000</v>
      </c>
      <c r="D159" s="4">
        <v>69281000000000</v>
      </c>
      <c r="E159" s="4">
        <v>73222100000000</v>
      </c>
      <c r="F159" s="4">
        <v>77597000000000</v>
      </c>
      <c r="G159" s="4">
        <v>81063400000000</v>
      </c>
      <c r="H159" s="4">
        <v>83543600000000</v>
      </c>
      <c r="I159" s="4">
        <v>87667700000000</v>
      </c>
      <c r="J159" s="4">
        <v>93088100000000</v>
      </c>
      <c r="K159" s="4">
        <v>96728800000000</v>
      </c>
      <c r="L159" s="4">
        <v>100795000000000</v>
      </c>
      <c r="M159" s="4">
        <v>104770000000000</v>
      </c>
      <c r="N159" s="4">
        <v>108175000000000</v>
      </c>
      <c r="O159" s="4">
        <v>110546000000000</v>
      </c>
      <c r="P159" s="4">
        <v>113731000000000</v>
      </c>
      <c r="Q159" s="4">
        <v>117257000000000</v>
      </c>
      <c r="R159" s="4">
        <v>120515000000000</v>
      </c>
      <c r="S159" s="4">
        <v>122870000000000</v>
      </c>
      <c r="T159" s="4">
        <v>124944000000000</v>
      </c>
      <c r="U159" s="4">
        <v>127682000000000</v>
      </c>
      <c r="V159" s="4">
        <v>128280000000000</v>
      </c>
      <c r="W159" s="4">
        <v>130246000000000</v>
      </c>
      <c r="X159" s="4">
        <v>132559000000000</v>
      </c>
      <c r="Y159" s="4">
        <v>135941000000000</v>
      </c>
      <c r="Z159" s="4">
        <v>138771000000000</v>
      </c>
      <c r="AA159" s="4">
        <v>141951000000000</v>
      </c>
      <c r="AB159" s="4">
        <v>144106000000000</v>
      </c>
      <c r="AC159" s="4">
        <v>146416000000000</v>
      </c>
      <c r="AD159" s="4">
        <v>148544000000000</v>
      </c>
      <c r="AE159" s="4">
        <v>151445000000000</v>
      </c>
      <c r="AF159" s="4">
        <v>155186000000000</v>
      </c>
    </row>
    <row r="160" spans="1:32" x14ac:dyDescent="0.75">
      <c r="A160" t="s">
        <v>229</v>
      </c>
      <c r="B160" s="4">
        <v>2824030000000</v>
      </c>
      <c r="C160" s="4">
        <v>5410500000000</v>
      </c>
      <c r="D160" s="4">
        <v>4195000000000</v>
      </c>
      <c r="E160" s="4">
        <v>2844330000000</v>
      </c>
      <c r="F160" s="4">
        <v>2215570000000</v>
      </c>
      <c r="G160" s="4">
        <v>2058710000000</v>
      </c>
      <c r="H160" s="4">
        <v>1918510000000</v>
      </c>
      <c r="I160" s="4">
        <v>1932630000000</v>
      </c>
      <c r="J160" s="4">
        <v>1957040000000</v>
      </c>
      <c r="K160" s="4">
        <v>1987210000000</v>
      </c>
      <c r="L160" s="4">
        <v>2001370000000</v>
      </c>
      <c r="M160" s="4">
        <v>2024060000000</v>
      </c>
      <c r="N160" s="4">
        <v>2033850000000</v>
      </c>
      <c r="O160" s="4">
        <v>2058300000000</v>
      </c>
      <c r="P160" s="4">
        <v>2069340000000</v>
      </c>
      <c r="Q160" s="4">
        <v>2099170000000</v>
      </c>
      <c r="R160" s="4">
        <v>2136380000000</v>
      </c>
      <c r="S160" s="4">
        <v>2138990000000</v>
      </c>
      <c r="T160" s="4">
        <v>2137970000000</v>
      </c>
      <c r="U160" s="4">
        <v>2168740000000</v>
      </c>
      <c r="V160" s="4">
        <v>2156570000000</v>
      </c>
      <c r="W160" s="4">
        <v>2179920000000</v>
      </c>
      <c r="X160" s="4">
        <v>2207710000000</v>
      </c>
      <c r="Y160" s="4">
        <v>2224450000000</v>
      </c>
      <c r="Z160" s="4">
        <v>2238380000000</v>
      </c>
      <c r="AA160" s="4">
        <v>2240750000000</v>
      </c>
      <c r="AB160" s="4">
        <v>2253900000000</v>
      </c>
      <c r="AC160" s="4">
        <v>2277950000000</v>
      </c>
      <c r="AD160" s="4">
        <v>2293430000000</v>
      </c>
      <c r="AE160" s="4">
        <v>2296560000000</v>
      </c>
      <c r="AF160" s="4">
        <v>2324580000000</v>
      </c>
    </row>
    <row r="161" spans="1:32" x14ac:dyDescent="0.75">
      <c r="A161" t="s">
        <v>230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75">
      <c r="A162" t="s">
        <v>231</v>
      </c>
      <c r="B162" s="4">
        <v>7710600000000</v>
      </c>
      <c r="C162" s="4">
        <v>7389490000000</v>
      </c>
      <c r="D162" s="4">
        <v>7200800000000</v>
      </c>
      <c r="E162" s="4">
        <v>8309780000000</v>
      </c>
      <c r="F162" s="4">
        <v>9334100000000</v>
      </c>
      <c r="G162" s="4">
        <v>9835280000000</v>
      </c>
      <c r="H162" s="4">
        <v>10254300000000</v>
      </c>
      <c r="I162" s="4">
        <v>10622900000000</v>
      </c>
      <c r="J162" s="4">
        <v>11042000000000</v>
      </c>
      <c r="K162" s="4">
        <v>11567200000000</v>
      </c>
      <c r="L162" s="4">
        <v>12125800000000</v>
      </c>
      <c r="M162" s="4">
        <v>12724300000000</v>
      </c>
      <c r="N162" s="4">
        <v>13271200000000</v>
      </c>
      <c r="O162" s="4">
        <v>13597500000000</v>
      </c>
      <c r="P162" s="4">
        <v>13635100000000</v>
      </c>
      <c r="Q162" s="4">
        <v>14342100000000</v>
      </c>
      <c r="R162" s="4">
        <v>14976600000000</v>
      </c>
      <c r="S162" s="4">
        <v>15066000000000</v>
      </c>
      <c r="T162" s="4">
        <v>15162100000000</v>
      </c>
      <c r="U162" s="4">
        <v>15224700000000</v>
      </c>
      <c r="V162" s="4">
        <v>15347000000000</v>
      </c>
      <c r="W162" s="4">
        <v>15494400000000</v>
      </c>
      <c r="X162" s="4">
        <v>15596000000000</v>
      </c>
      <c r="Y162" s="4">
        <v>15699300000000</v>
      </c>
      <c r="Z162" s="4">
        <v>15807200000000</v>
      </c>
      <c r="AA162" s="4">
        <v>15911500000000</v>
      </c>
      <c r="AB162" s="4">
        <v>16045400000000</v>
      </c>
      <c r="AC162" s="4">
        <v>16156300000000</v>
      </c>
      <c r="AD162" s="4">
        <v>16283300000000</v>
      </c>
      <c r="AE162" s="4">
        <v>16419800000000</v>
      </c>
      <c r="AF162" s="4">
        <v>16566900000000</v>
      </c>
    </row>
    <row r="163" spans="1:32" x14ac:dyDescent="0.75">
      <c r="A163" t="s">
        <v>232</v>
      </c>
      <c r="B163" s="4">
        <v>3910580000000</v>
      </c>
      <c r="C163" s="4">
        <v>3184090000000</v>
      </c>
      <c r="D163" s="4">
        <v>3376130000000</v>
      </c>
      <c r="E163" s="4">
        <v>3376280000000</v>
      </c>
      <c r="F163" s="4">
        <v>3461490000000</v>
      </c>
      <c r="G163" s="4">
        <v>3621920000000</v>
      </c>
      <c r="H163" s="4">
        <v>3661300000000</v>
      </c>
      <c r="I163" s="4">
        <v>3590230000000</v>
      </c>
      <c r="J163" s="4">
        <v>3500160000000</v>
      </c>
      <c r="K163" s="4">
        <v>3392380000000</v>
      </c>
      <c r="L163" s="4">
        <v>3295920000000</v>
      </c>
      <c r="M163" s="4">
        <v>3281800000000</v>
      </c>
      <c r="N163" s="4">
        <v>3282270000000</v>
      </c>
      <c r="O163" s="4">
        <v>3261130000000</v>
      </c>
      <c r="P163" s="4">
        <v>3236220000000</v>
      </c>
      <c r="Q163" s="4">
        <v>3235850000000</v>
      </c>
      <c r="R163" s="4">
        <v>3237790000000</v>
      </c>
      <c r="S163" s="4">
        <v>3215210000000</v>
      </c>
      <c r="T163" s="4">
        <v>3204140000000</v>
      </c>
      <c r="U163" s="4">
        <v>3221530000000</v>
      </c>
      <c r="V163" s="4">
        <v>3167220000000</v>
      </c>
      <c r="W163" s="4">
        <v>3145650000000</v>
      </c>
      <c r="X163" s="4">
        <v>3151300000000</v>
      </c>
      <c r="Y163" s="4">
        <v>3183740000000</v>
      </c>
      <c r="Z163" s="4">
        <v>3185720000000</v>
      </c>
      <c r="AA163" s="4">
        <v>3174990000000</v>
      </c>
      <c r="AB163" s="4">
        <v>3155290000000</v>
      </c>
      <c r="AC163" s="4">
        <v>3120080000000</v>
      </c>
      <c r="AD163" s="4">
        <v>3098920000000</v>
      </c>
      <c r="AE163" s="4">
        <v>3078190000000</v>
      </c>
      <c r="AF163" s="4">
        <v>3093250000000</v>
      </c>
    </row>
    <row r="164" spans="1:32" x14ac:dyDescent="0.75">
      <c r="A164" t="s">
        <v>233</v>
      </c>
      <c r="B164" s="4">
        <v>7122640000000</v>
      </c>
      <c r="C164" s="4">
        <v>7947750000000</v>
      </c>
      <c r="D164" s="4">
        <v>7386070000000</v>
      </c>
      <c r="E164" s="4">
        <v>8668930000000</v>
      </c>
      <c r="F164" s="4">
        <v>9947950000000</v>
      </c>
      <c r="G164" s="4">
        <v>10739900000000</v>
      </c>
      <c r="H164" s="4">
        <v>11468400000000</v>
      </c>
      <c r="I164" s="4">
        <v>12322800000000</v>
      </c>
      <c r="J164" s="4">
        <v>13206200000000</v>
      </c>
      <c r="K164" s="4">
        <v>13713600000000</v>
      </c>
      <c r="L164" s="4">
        <v>14271500000000</v>
      </c>
      <c r="M164" s="4">
        <v>14856900000000</v>
      </c>
      <c r="N164" s="4">
        <v>15361000000000</v>
      </c>
      <c r="O164" s="4">
        <v>15471800000000</v>
      </c>
      <c r="P164" s="4">
        <v>15586200000000</v>
      </c>
      <c r="Q164" s="4">
        <v>15775300000000</v>
      </c>
      <c r="R164" s="4">
        <v>15956800000000</v>
      </c>
      <c r="S164" s="4">
        <v>16058500000000</v>
      </c>
      <c r="T164" s="4">
        <v>16159400000000</v>
      </c>
      <c r="U164" s="4">
        <v>16329300000000</v>
      </c>
      <c r="V164" s="4">
        <v>16346400000000</v>
      </c>
      <c r="W164" s="4">
        <v>16465900000000</v>
      </c>
      <c r="X164" s="4">
        <v>16610800000000</v>
      </c>
      <c r="Y164" s="4">
        <v>16758900000000</v>
      </c>
      <c r="Z164" s="4">
        <v>16851800000000</v>
      </c>
      <c r="AA164" s="4">
        <v>16913700000000</v>
      </c>
      <c r="AB164" s="4">
        <v>16946600000000</v>
      </c>
      <c r="AC164" s="4">
        <v>16991700000000</v>
      </c>
      <c r="AD164" s="4">
        <v>17021100000000</v>
      </c>
      <c r="AE164" s="4">
        <v>17035600000000</v>
      </c>
      <c r="AF164" s="4">
        <v>17157700000000</v>
      </c>
    </row>
    <row r="165" spans="1:32" x14ac:dyDescent="0.75">
      <c r="A165" t="s">
        <v>234</v>
      </c>
      <c r="B165" s="4">
        <v>1962280000000</v>
      </c>
      <c r="C165" s="4">
        <v>2197180000000</v>
      </c>
      <c r="D165" s="4">
        <v>2222670000000</v>
      </c>
      <c r="E165" s="4">
        <v>2118800000000</v>
      </c>
      <c r="F165" s="4">
        <v>2093850000000</v>
      </c>
      <c r="G165" s="4">
        <v>2145100000000</v>
      </c>
      <c r="H165" s="4">
        <v>2153100000000</v>
      </c>
      <c r="I165" s="4">
        <v>2137850000000</v>
      </c>
      <c r="J165" s="4">
        <v>2118980000000</v>
      </c>
      <c r="K165" s="4">
        <v>2099220000000</v>
      </c>
      <c r="L165" s="4">
        <v>2072770000000</v>
      </c>
      <c r="M165" s="4">
        <v>2073700000000</v>
      </c>
      <c r="N165" s="4">
        <v>2072920000000</v>
      </c>
      <c r="O165" s="4">
        <v>2071540000000</v>
      </c>
      <c r="P165" s="4">
        <v>2076110000000</v>
      </c>
      <c r="Q165" s="4">
        <v>2094770000000</v>
      </c>
      <c r="R165" s="4">
        <v>2119910000000</v>
      </c>
      <c r="S165" s="4">
        <v>2122470000000</v>
      </c>
      <c r="T165" s="4">
        <v>2119410000000</v>
      </c>
      <c r="U165" s="4">
        <v>2137040000000</v>
      </c>
      <c r="V165" s="4">
        <v>2134760000000</v>
      </c>
      <c r="W165" s="4">
        <v>2154030000000</v>
      </c>
      <c r="X165" s="4">
        <v>2174360000000</v>
      </c>
      <c r="Y165" s="4">
        <v>2194640000000</v>
      </c>
      <c r="Z165" s="4">
        <v>2203200000000</v>
      </c>
      <c r="AA165" s="4">
        <v>2216040000000</v>
      </c>
      <c r="AB165" s="4">
        <v>2235180000000</v>
      </c>
      <c r="AC165" s="4">
        <v>2240770000000</v>
      </c>
      <c r="AD165" s="4">
        <v>2262510000000</v>
      </c>
      <c r="AE165" s="4">
        <v>2280580000000</v>
      </c>
      <c r="AF165" s="4">
        <v>2305800000000</v>
      </c>
    </row>
    <row r="166" spans="1:32" x14ac:dyDescent="0.75">
      <c r="A166" t="s">
        <v>235</v>
      </c>
      <c r="B166" s="4">
        <v>585351000000</v>
      </c>
      <c r="C166" s="4">
        <v>1108610000000</v>
      </c>
      <c r="D166" s="4">
        <v>849515000000</v>
      </c>
      <c r="E166" s="4">
        <v>575524000000</v>
      </c>
      <c r="F166" s="4">
        <v>439726000000</v>
      </c>
      <c r="G166" s="4">
        <v>405973000000</v>
      </c>
      <c r="H166" s="4">
        <v>373128000000</v>
      </c>
      <c r="I166" s="4">
        <v>371224000000</v>
      </c>
      <c r="J166" s="4">
        <v>373526000000</v>
      </c>
      <c r="K166" s="4">
        <v>376950000000</v>
      </c>
      <c r="L166" s="4">
        <v>380193000000</v>
      </c>
      <c r="M166" s="4">
        <v>384563000000</v>
      </c>
      <c r="N166" s="4">
        <v>384242000000</v>
      </c>
      <c r="O166" s="4">
        <v>387497000000</v>
      </c>
      <c r="P166" s="4">
        <v>388016000000</v>
      </c>
      <c r="Q166" s="4">
        <v>391603000000</v>
      </c>
      <c r="R166" s="4">
        <v>397033000000</v>
      </c>
      <c r="S166" s="4">
        <v>395720000000</v>
      </c>
      <c r="T166" s="4">
        <v>392327000000</v>
      </c>
      <c r="U166" s="4">
        <v>394402000000</v>
      </c>
      <c r="V166" s="4">
        <v>388522000000</v>
      </c>
      <c r="W166" s="4">
        <v>389748000000</v>
      </c>
      <c r="X166" s="4">
        <v>392071000000</v>
      </c>
      <c r="Y166" s="4">
        <v>392588000000</v>
      </c>
      <c r="Z166" s="4">
        <v>392219000000</v>
      </c>
      <c r="AA166" s="4">
        <v>391281000000</v>
      </c>
      <c r="AB166" s="4">
        <v>391999000000</v>
      </c>
      <c r="AC166" s="4">
        <v>394079000000</v>
      </c>
      <c r="AD166" s="4">
        <v>396616000000</v>
      </c>
      <c r="AE166" s="4">
        <v>396797000000</v>
      </c>
      <c r="AF166" s="4">
        <v>401218000000</v>
      </c>
    </row>
    <row r="167" spans="1:32" x14ac:dyDescent="0.75">
      <c r="A167" t="s">
        <v>236</v>
      </c>
      <c r="B167" s="4">
        <v>4635450000000</v>
      </c>
      <c r="C167" s="4">
        <v>4751940000000</v>
      </c>
      <c r="D167" s="4">
        <v>4490620000000</v>
      </c>
      <c r="E167" s="4">
        <v>5847640000000</v>
      </c>
      <c r="F167" s="4">
        <v>7322590000000</v>
      </c>
      <c r="G167" s="4">
        <v>8261730000000</v>
      </c>
      <c r="H167" s="4">
        <v>9159610000000</v>
      </c>
      <c r="I167" s="4">
        <v>9997160000000</v>
      </c>
      <c r="J167" s="4">
        <v>10795300000000</v>
      </c>
      <c r="K167" s="4">
        <v>11262200000000</v>
      </c>
      <c r="L167" s="4">
        <v>11761800000000</v>
      </c>
      <c r="M167" s="4">
        <v>12291900000000</v>
      </c>
      <c r="N167" s="4">
        <v>12829500000000</v>
      </c>
      <c r="O167" s="4">
        <v>12967000000000</v>
      </c>
      <c r="P167" s="4">
        <v>13126600000000</v>
      </c>
      <c r="Q167" s="4">
        <v>13376200000000</v>
      </c>
      <c r="R167" s="4">
        <v>13655000000000</v>
      </c>
      <c r="S167" s="4">
        <v>13889500000000</v>
      </c>
      <c r="T167" s="4">
        <v>14133700000000</v>
      </c>
      <c r="U167" s="4">
        <v>14397600000000</v>
      </c>
      <c r="V167" s="4">
        <v>14686700000000</v>
      </c>
      <c r="W167" s="4">
        <v>14997000000000</v>
      </c>
      <c r="X167" s="4">
        <v>15298700000000</v>
      </c>
      <c r="Y167" s="4">
        <v>15596700000000</v>
      </c>
      <c r="Z167" s="4">
        <v>15837500000000</v>
      </c>
      <c r="AA167" s="4">
        <v>16080500000000</v>
      </c>
      <c r="AB167" s="4">
        <v>16384100000000</v>
      </c>
      <c r="AC167" s="4">
        <v>16566700000000</v>
      </c>
      <c r="AD167" s="4">
        <v>16838200000000</v>
      </c>
      <c r="AE167" s="4">
        <v>17169400000000</v>
      </c>
      <c r="AF167" s="4">
        <v>17533200000000</v>
      </c>
    </row>
    <row r="168" spans="1:32" x14ac:dyDescent="0.75">
      <c r="A168" t="s">
        <v>237</v>
      </c>
      <c r="B168" s="4">
        <v>2804580000000</v>
      </c>
      <c r="C168" s="4">
        <v>3359650000000</v>
      </c>
      <c r="D168" s="4">
        <v>3269930000000</v>
      </c>
      <c r="E168" s="4">
        <v>3016640000000</v>
      </c>
      <c r="F168" s="4">
        <v>2927830000000</v>
      </c>
      <c r="G168" s="4">
        <v>2964180000000</v>
      </c>
      <c r="H168" s="4">
        <v>2949070000000</v>
      </c>
      <c r="I168" s="4">
        <v>2964160000000</v>
      </c>
      <c r="J168" s="4">
        <v>2983950000000</v>
      </c>
      <c r="K168" s="4">
        <v>3014070000000</v>
      </c>
      <c r="L168" s="4">
        <v>3033280000000</v>
      </c>
      <c r="M168" s="4">
        <v>3056890000000</v>
      </c>
      <c r="N168" s="4">
        <v>3075600000000</v>
      </c>
      <c r="O168" s="4">
        <v>3090660000000</v>
      </c>
      <c r="P168" s="4">
        <v>3112960000000</v>
      </c>
      <c r="Q168" s="4">
        <v>3160280000000</v>
      </c>
      <c r="R168" s="4">
        <v>3201980000000</v>
      </c>
      <c r="S168" s="4">
        <v>3221630000000</v>
      </c>
      <c r="T168" s="4">
        <v>3241620000000</v>
      </c>
      <c r="U168" s="4">
        <v>3270720000000</v>
      </c>
      <c r="V168" s="4">
        <v>3291120000000</v>
      </c>
      <c r="W168" s="4">
        <v>3328610000000</v>
      </c>
      <c r="X168" s="4">
        <v>3364810000000</v>
      </c>
      <c r="Y168" s="4">
        <v>3400880000000</v>
      </c>
      <c r="Z168" s="4">
        <v>3420930000000</v>
      </c>
      <c r="AA168" s="4">
        <v>3449020000000</v>
      </c>
      <c r="AB168" s="4">
        <v>3486830000000</v>
      </c>
      <c r="AC168" s="4">
        <v>3496770000000</v>
      </c>
      <c r="AD168" s="4">
        <v>3538510000000</v>
      </c>
      <c r="AE168" s="4">
        <v>3581460000000</v>
      </c>
      <c r="AF168" s="4">
        <v>3621450000000</v>
      </c>
    </row>
    <row r="169" spans="1:32" x14ac:dyDescent="0.75">
      <c r="A169" t="s">
        <v>238</v>
      </c>
      <c r="B169" s="4">
        <v>1469370000000</v>
      </c>
      <c r="C169" s="4">
        <v>1977990000000</v>
      </c>
      <c r="D169" s="4">
        <v>1767920000000</v>
      </c>
      <c r="E169" s="4">
        <v>1503060000000</v>
      </c>
      <c r="F169" s="4">
        <v>1375830000000</v>
      </c>
      <c r="G169" s="4">
        <v>1376410000000</v>
      </c>
      <c r="H169" s="4">
        <v>1371580000000</v>
      </c>
      <c r="I169" s="4">
        <v>1374700000000</v>
      </c>
      <c r="J169" s="4">
        <v>1371380000000</v>
      </c>
      <c r="K169" s="4">
        <v>1347770000000</v>
      </c>
      <c r="L169" s="4">
        <v>1318430000000</v>
      </c>
      <c r="M169" s="4">
        <v>1309190000000</v>
      </c>
      <c r="N169" s="4">
        <v>1301450000000</v>
      </c>
      <c r="O169" s="4">
        <v>1300610000000</v>
      </c>
      <c r="P169" s="4">
        <v>1301040000000</v>
      </c>
      <c r="Q169" s="4">
        <v>1308510000000</v>
      </c>
      <c r="R169" s="4">
        <v>1319680000000</v>
      </c>
      <c r="S169" s="4">
        <v>1312830000000</v>
      </c>
      <c r="T169" s="4">
        <v>1300860000000</v>
      </c>
      <c r="U169" s="4">
        <v>1309740000000</v>
      </c>
      <c r="V169" s="4">
        <v>1291130000000</v>
      </c>
      <c r="W169" s="4">
        <v>1289540000000</v>
      </c>
      <c r="X169" s="4">
        <v>1290610000000</v>
      </c>
      <c r="Y169" s="4">
        <v>1286080000000</v>
      </c>
      <c r="Z169" s="4">
        <v>1281840000000</v>
      </c>
      <c r="AA169" s="4">
        <v>1267880000000</v>
      </c>
      <c r="AB169" s="4">
        <v>1261350000000</v>
      </c>
      <c r="AC169" s="4">
        <v>1256330000000</v>
      </c>
      <c r="AD169" s="4">
        <v>1247540000000</v>
      </c>
      <c r="AE169" s="4">
        <v>1233540000000</v>
      </c>
      <c r="AF169" s="4">
        <v>1225180000000</v>
      </c>
    </row>
    <row r="170" spans="1:32" x14ac:dyDescent="0.75">
      <c r="A170" t="s">
        <v>239</v>
      </c>
      <c r="B170" s="4">
        <v>831826000000</v>
      </c>
      <c r="C170" s="4">
        <v>1119760000000</v>
      </c>
      <c r="D170" s="4">
        <v>1000830000000</v>
      </c>
      <c r="E170" s="4">
        <v>850894000000</v>
      </c>
      <c r="F170" s="4">
        <v>778869000000</v>
      </c>
      <c r="G170" s="4">
        <v>779196000000</v>
      </c>
      <c r="H170" s="4">
        <v>776461000000</v>
      </c>
      <c r="I170" s="4">
        <v>778228000000</v>
      </c>
      <c r="J170" s="4">
        <v>776353000000</v>
      </c>
      <c r="K170" s="4">
        <v>762984000000</v>
      </c>
      <c r="L170" s="4">
        <v>746377000000</v>
      </c>
      <c r="M170" s="4">
        <v>741146000000</v>
      </c>
      <c r="N170" s="4">
        <v>736761000000</v>
      </c>
      <c r="O170" s="4">
        <v>736290000000</v>
      </c>
      <c r="P170" s="4">
        <v>736530000000</v>
      </c>
      <c r="Q170" s="4">
        <v>740759000000</v>
      </c>
      <c r="R170" s="4">
        <v>747083000000</v>
      </c>
      <c r="S170" s="4">
        <v>743205000000</v>
      </c>
      <c r="T170" s="4">
        <v>736430000000</v>
      </c>
      <c r="U170" s="4">
        <v>741458000000</v>
      </c>
      <c r="V170" s="4">
        <v>730921000000</v>
      </c>
      <c r="W170" s="4">
        <v>730020000000</v>
      </c>
      <c r="X170" s="4">
        <v>730624000000</v>
      </c>
      <c r="Y170" s="4">
        <v>728064000000</v>
      </c>
      <c r="Z170" s="4">
        <v>725661000000</v>
      </c>
      <c r="AA170" s="4">
        <v>717759000000</v>
      </c>
      <c r="AB170" s="4">
        <v>714062000000</v>
      </c>
      <c r="AC170" s="4">
        <v>711218000000</v>
      </c>
      <c r="AD170" s="4">
        <v>706243000000</v>
      </c>
      <c r="AE170" s="4">
        <v>698316000000</v>
      </c>
      <c r="AF170" s="4">
        <v>693586000000</v>
      </c>
    </row>
    <row r="171" spans="1:32" x14ac:dyDescent="0.75">
      <c r="A171" t="s">
        <v>240</v>
      </c>
      <c r="B171" s="4">
        <v>11669300000000</v>
      </c>
      <c r="C171" s="4">
        <v>13954900000000</v>
      </c>
      <c r="D171" s="4">
        <v>12774100000000</v>
      </c>
      <c r="E171" s="4">
        <v>13423800000000</v>
      </c>
      <c r="F171" s="4">
        <v>13559900000000</v>
      </c>
      <c r="G171" s="4">
        <v>13796800000000</v>
      </c>
      <c r="H171" s="4">
        <v>13786800000000</v>
      </c>
      <c r="I171" s="4">
        <v>14469000000000</v>
      </c>
      <c r="J171" s="4">
        <v>15249700000000</v>
      </c>
      <c r="K171" s="4">
        <v>15740600000000</v>
      </c>
      <c r="L171" s="4">
        <v>16303300000000</v>
      </c>
      <c r="M171" s="4">
        <v>16794700000000</v>
      </c>
      <c r="N171" s="4">
        <v>17090100000000</v>
      </c>
      <c r="O171" s="4">
        <v>17161700000000</v>
      </c>
      <c r="P171" s="4">
        <v>17148800000000</v>
      </c>
      <c r="Q171" s="4">
        <v>17296400000000</v>
      </c>
      <c r="R171" s="4">
        <v>17533800000000</v>
      </c>
      <c r="S171" s="4">
        <v>17468500000000</v>
      </c>
      <c r="T171" s="4">
        <v>17339600000000</v>
      </c>
      <c r="U171" s="4">
        <v>17431300000000</v>
      </c>
      <c r="V171" s="4">
        <v>17181900000000</v>
      </c>
      <c r="W171" s="4">
        <v>17256700000000</v>
      </c>
      <c r="X171" s="4">
        <v>17402100000000</v>
      </c>
      <c r="Y171" s="4">
        <v>17479900000000</v>
      </c>
      <c r="Z171" s="4">
        <v>17511800000000</v>
      </c>
      <c r="AA171" s="4">
        <v>17430800000000</v>
      </c>
      <c r="AB171" s="4">
        <v>17406500000000</v>
      </c>
      <c r="AC171" s="4">
        <v>17455500000000</v>
      </c>
      <c r="AD171" s="4">
        <v>17510400000000</v>
      </c>
      <c r="AE171" s="4">
        <v>17465200000000</v>
      </c>
      <c r="AF171" s="4">
        <v>17626900000000</v>
      </c>
    </row>
    <row r="172" spans="1:32" x14ac:dyDescent="0.75">
      <c r="A172" t="s">
        <v>241</v>
      </c>
      <c r="B172">
        <v>0</v>
      </c>
      <c r="C172" s="4">
        <v>2332940000000</v>
      </c>
      <c r="D172" s="4">
        <v>2119100000000</v>
      </c>
      <c r="E172" s="4">
        <v>2245870000000</v>
      </c>
      <c r="F172" s="4">
        <v>2467250000000</v>
      </c>
      <c r="G172" s="4">
        <v>2608900000000</v>
      </c>
      <c r="H172" s="4">
        <v>2680150000000</v>
      </c>
      <c r="I172" s="4">
        <v>2749530000000</v>
      </c>
      <c r="J172" s="4">
        <v>2817090000000</v>
      </c>
      <c r="K172" s="4">
        <v>2873930000000</v>
      </c>
      <c r="L172" s="4">
        <v>2951700000000</v>
      </c>
      <c r="M172" s="4">
        <v>3036940000000</v>
      </c>
      <c r="N172" s="4">
        <v>3112550000000</v>
      </c>
      <c r="O172" s="4">
        <v>3185440000000</v>
      </c>
      <c r="P172" s="4">
        <v>3241570000000</v>
      </c>
      <c r="Q172" s="4">
        <v>3315930000000</v>
      </c>
      <c r="R172" s="4">
        <v>3369790000000</v>
      </c>
      <c r="S172" s="4">
        <v>3316290000000</v>
      </c>
      <c r="T172" s="4">
        <v>3316700000000</v>
      </c>
      <c r="U172" s="4">
        <v>3288500000000</v>
      </c>
      <c r="V172" s="4">
        <v>3280720000000</v>
      </c>
      <c r="W172" s="4">
        <v>3274230000000</v>
      </c>
      <c r="X172" s="4">
        <v>3269820000000</v>
      </c>
      <c r="Y172" s="4">
        <v>3269750000000</v>
      </c>
      <c r="Z172" s="4">
        <v>3284170000000</v>
      </c>
      <c r="AA172" s="4">
        <v>3295960000000</v>
      </c>
      <c r="AB172" s="4">
        <v>3320030000000</v>
      </c>
      <c r="AC172" s="4">
        <v>3307190000000</v>
      </c>
      <c r="AD172" s="4">
        <v>3309420000000</v>
      </c>
      <c r="AE172" s="4">
        <v>3324080000000</v>
      </c>
      <c r="AF172" s="4">
        <v>3323920000000</v>
      </c>
    </row>
    <row r="173" spans="1:32" x14ac:dyDescent="0.75">
      <c r="A173" t="s">
        <v>242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75">
      <c r="A174" t="s">
        <v>243</v>
      </c>
      <c r="B174" s="4">
        <v>1466640000000000</v>
      </c>
      <c r="C174" s="4">
        <v>1438290000000000</v>
      </c>
      <c r="D174" s="4">
        <v>1519640000000000</v>
      </c>
      <c r="E174" s="4">
        <v>1540820000000000</v>
      </c>
      <c r="F174" s="4">
        <v>1581540000000000</v>
      </c>
      <c r="G174" s="4">
        <v>1620510000000000</v>
      </c>
      <c r="H174" s="4">
        <v>1643140000000000</v>
      </c>
      <c r="I174" s="4">
        <v>1650450000000000</v>
      </c>
      <c r="J174" s="4">
        <v>1653930000000000</v>
      </c>
      <c r="K174" s="4">
        <v>1662590000000000</v>
      </c>
      <c r="L174" s="4">
        <v>1673280000000000</v>
      </c>
      <c r="M174" s="4">
        <v>1688500000000000</v>
      </c>
      <c r="N174" s="4">
        <v>1705230000000000</v>
      </c>
      <c r="O174" s="4">
        <v>1722150000000000</v>
      </c>
      <c r="P174" s="4">
        <v>1739930000000000</v>
      </c>
      <c r="Q174" s="4">
        <v>1765940000000000</v>
      </c>
      <c r="R174" s="4">
        <v>1786790000000000</v>
      </c>
      <c r="S174" s="4">
        <v>1807510000000000</v>
      </c>
      <c r="T174" s="4">
        <v>1832840000000000</v>
      </c>
      <c r="U174" s="4">
        <v>1857180000000000</v>
      </c>
      <c r="V174" s="4">
        <v>1883440000000000</v>
      </c>
      <c r="W174" s="4">
        <v>1915500000000000</v>
      </c>
      <c r="X174" s="4">
        <v>1942650000000000</v>
      </c>
      <c r="Y174" s="4">
        <v>1973010000000000</v>
      </c>
      <c r="Z174" s="4">
        <v>2003920000000000</v>
      </c>
      <c r="AA174" s="4">
        <v>2036040000000000</v>
      </c>
      <c r="AB174" s="4">
        <v>2074480000000000</v>
      </c>
      <c r="AC174" s="4">
        <v>2108710000000000</v>
      </c>
      <c r="AD174" s="4">
        <v>2147100000000000</v>
      </c>
      <c r="AE174" s="4">
        <v>2189180000000000</v>
      </c>
      <c r="AF174" s="4">
        <v>2232640000000000</v>
      </c>
    </row>
    <row r="175" spans="1:32" x14ac:dyDescent="0.75">
      <c r="A175" t="s">
        <v>244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75">
      <c r="A176" t="s">
        <v>245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75">
      <c r="A177" t="s">
        <v>246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75">
      <c r="A178" t="s">
        <v>247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75">
      <c r="A179" t="s">
        <v>248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75">
      <c r="A180" t="s">
        <v>249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75">
      <c r="A181" t="s">
        <v>250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75">
      <c r="A182" t="s">
        <v>251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75">
      <c r="A183" t="s">
        <v>252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75">
      <c r="A184" t="s">
        <v>253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75">
      <c r="A185" t="s">
        <v>254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75">
      <c r="A186" t="s">
        <v>255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75">
      <c r="A187" t="s">
        <v>256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75">
      <c r="A188" t="s">
        <v>257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75">
      <c r="A189" t="s">
        <v>258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75">
      <c r="A190" t="s">
        <v>259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75">
      <c r="A191" t="s">
        <v>260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75">
      <c r="A192" t="s">
        <v>261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75">
      <c r="A193" t="s">
        <v>262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75">
      <c r="A194" t="s">
        <v>263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75">
      <c r="A195" t="s">
        <v>264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75">
      <c r="A196" t="s">
        <v>265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75">
      <c r="A197" t="s">
        <v>266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75">
      <c r="A198" t="s">
        <v>267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75">
      <c r="A199" t="s">
        <v>268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75">
      <c r="A200" t="s">
        <v>269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75">
      <c r="A201" t="s">
        <v>270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75">
      <c r="A202" t="s">
        <v>271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75">
      <c r="A203" t="s">
        <v>272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75">
      <c r="A204" t="s">
        <v>273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75">
      <c r="A205" t="s">
        <v>274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75">
      <c r="A206" t="s">
        <v>275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75">
      <c r="A207" t="s">
        <v>276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75">
      <c r="A208" t="s">
        <v>277</v>
      </c>
      <c r="B208" s="4">
        <v>3.20722E+16</v>
      </c>
      <c r="C208" s="4">
        <v>3.63039E+16</v>
      </c>
      <c r="D208" s="4">
        <v>3.75977E+16</v>
      </c>
      <c r="E208" s="4">
        <v>3.80689E+16</v>
      </c>
      <c r="F208" s="4">
        <v>3.82856E+16</v>
      </c>
      <c r="G208" s="4">
        <v>3.82639E+16</v>
      </c>
      <c r="H208" s="4">
        <v>3.82014E+16</v>
      </c>
      <c r="I208" s="4">
        <v>3.80918E+16</v>
      </c>
      <c r="J208" s="4">
        <v>3.78831E+16</v>
      </c>
      <c r="K208" s="4">
        <v>3.79433E+16</v>
      </c>
      <c r="L208" s="4">
        <v>3.79112E+16</v>
      </c>
      <c r="M208" s="4">
        <v>3.75468E+16</v>
      </c>
      <c r="N208" s="4">
        <v>3.74773E+16</v>
      </c>
      <c r="O208" s="4">
        <v>3.73634E+16</v>
      </c>
      <c r="P208" s="4">
        <v>3.73458E+16</v>
      </c>
      <c r="Q208" s="4">
        <v>3.72402E+16</v>
      </c>
      <c r="R208" s="4">
        <v>3.72525E+16</v>
      </c>
      <c r="S208" s="4">
        <v>3.72966E+16</v>
      </c>
      <c r="T208" s="4">
        <v>3.72627E+16</v>
      </c>
      <c r="U208" s="4">
        <v>3.73536E+16</v>
      </c>
      <c r="V208" s="4">
        <v>3.71561E+16</v>
      </c>
      <c r="W208" s="4">
        <v>3.71883E+16</v>
      </c>
      <c r="X208" s="4">
        <v>3.71691E+16</v>
      </c>
      <c r="Y208" s="4">
        <v>3.70163E+16</v>
      </c>
      <c r="Z208" s="4">
        <v>3.70072E+16</v>
      </c>
      <c r="AA208" s="4">
        <v>3.68673E+16</v>
      </c>
      <c r="AB208" s="4">
        <v>3.67317E+16</v>
      </c>
      <c r="AC208" s="4">
        <v>3.68764E+16</v>
      </c>
      <c r="AD208" s="4">
        <v>3.6681E+16</v>
      </c>
      <c r="AE208" s="4">
        <v>3.66564E+16</v>
      </c>
      <c r="AF208" s="4">
        <v>3.67651E+16</v>
      </c>
    </row>
    <row r="209" spans="1:32" x14ac:dyDescent="0.75">
      <c r="A209" t="s">
        <v>278</v>
      </c>
      <c r="B209">
        <v>0</v>
      </c>
      <c r="C209" s="4">
        <v>96551800000</v>
      </c>
      <c r="D209" s="4">
        <v>177357000000</v>
      </c>
      <c r="E209" s="4">
        <v>243830000000</v>
      </c>
      <c r="F209" s="4">
        <v>300155000000</v>
      </c>
      <c r="G209" s="4">
        <v>355189000000</v>
      </c>
      <c r="H209" s="4">
        <v>414774000000</v>
      </c>
      <c r="I209" s="4">
        <v>469473000000</v>
      </c>
      <c r="J209" s="4">
        <v>831153000000</v>
      </c>
      <c r="K209" s="4">
        <v>889335000000</v>
      </c>
      <c r="L209" s="4">
        <v>941761000000</v>
      </c>
      <c r="M209" s="4">
        <v>987208000000</v>
      </c>
      <c r="N209" s="4">
        <v>1036080000000</v>
      </c>
      <c r="O209" s="4">
        <v>1079530000000</v>
      </c>
      <c r="P209" s="4">
        <v>1129800000000</v>
      </c>
      <c r="Q209" s="4">
        <v>1158500000000</v>
      </c>
      <c r="R209" s="4">
        <v>1193640000000</v>
      </c>
      <c r="S209" s="4">
        <v>1176570000000</v>
      </c>
      <c r="T209" s="4">
        <v>1162830000000</v>
      </c>
      <c r="U209" s="4">
        <v>1158300000000</v>
      </c>
      <c r="V209" s="4">
        <v>1144890000000</v>
      </c>
      <c r="W209" s="4">
        <v>1139080000000</v>
      </c>
      <c r="X209" s="4">
        <v>1125430000000</v>
      </c>
      <c r="Y209" s="4">
        <v>1101000000000</v>
      </c>
      <c r="Z209" s="4">
        <v>1081860000000</v>
      </c>
      <c r="AA209" s="4">
        <v>1067010000000</v>
      </c>
      <c r="AB209" s="4">
        <v>1043450000000</v>
      </c>
      <c r="AC209" s="4">
        <v>1036150000000</v>
      </c>
      <c r="AD209" s="4">
        <v>1025190000000</v>
      </c>
      <c r="AE209" s="4">
        <v>1012020000000</v>
      </c>
      <c r="AF209" s="4">
        <v>1004050000000</v>
      </c>
    </row>
    <row r="210" spans="1:32" x14ac:dyDescent="0.75">
      <c r="A210" t="s">
        <v>279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75">
      <c r="A211" t="s">
        <v>280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75">
      <c r="A212" t="s">
        <v>281</v>
      </c>
      <c r="B212">
        <v>0</v>
      </c>
      <c r="C212">
        <v>0</v>
      </c>
      <c r="D212">
        <v>33128000000</v>
      </c>
      <c r="E212">
        <v>67907100000</v>
      </c>
      <c r="F212">
        <v>101189000000</v>
      </c>
      <c r="G212">
        <v>134579000000</v>
      </c>
      <c r="H212">
        <v>169138000000</v>
      </c>
      <c r="I212">
        <v>203259000000</v>
      </c>
      <c r="J212">
        <v>296335000000</v>
      </c>
      <c r="K212">
        <v>633817000000</v>
      </c>
      <c r="L212">
        <v>967359000000</v>
      </c>
      <c r="M212">
        <v>1296350000000</v>
      </c>
      <c r="N212">
        <v>1630490000000</v>
      </c>
      <c r="O212">
        <v>1958950000000</v>
      </c>
      <c r="P212">
        <v>2302100000000</v>
      </c>
      <c r="Q212">
        <v>2621020000000</v>
      </c>
      <c r="R212">
        <v>2941950000000</v>
      </c>
      <c r="S212">
        <v>2942320000000</v>
      </c>
      <c r="T212">
        <v>2918830000000</v>
      </c>
      <c r="U212">
        <v>2913920000000</v>
      </c>
      <c r="V212">
        <v>2883410000000</v>
      </c>
      <c r="W212">
        <v>2869180000000</v>
      </c>
      <c r="X212">
        <v>2833420000000</v>
      </c>
      <c r="Y212">
        <v>2774240000000</v>
      </c>
      <c r="Z212">
        <v>2742750000000</v>
      </c>
      <c r="AA212">
        <v>2718730000000</v>
      </c>
      <c r="AB212">
        <v>2681110000000</v>
      </c>
      <c r="AC212">
        <v>2671770000000</v>
      </c>
      <c r="AD212">
        <v>2648730000000</v>
      </c>
      <c r="AE212">
        <v>2623880000000</v>
      </c>
      <c r="AF212">
        <v>2624980000000</v>
      </c>
    </row>
    <row r="213" spans="1:32" x14ac:dyDescent="0.75">
      <c r="A213" t="s">
        <v>282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75">
      <c r="A214" t="s">
        <v>283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75">
      <c r="A215" t="s">
        <v>284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75">
      <c r="A216" t="s">
        <v>285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75">
      <c r="A217" t="s">
        <v>286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75">
      <c r="A218" t="s">
        <v>287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75">
      <c r="A219" t="s">
        <v>288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75">
      <c r="A220" t="s">
        <v>289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75">
      <c r="A221" t="s">
        <v>290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75">
      <c r="A222" t="s">
        <v>291</v>
      </c>
      <c r="B222">
        <v>0</v>
      </c>
      <c r="C222" s="4">
        <v>2032070000000</v>
      </c>
      <c r="D222" s="4">
        <v>1725770000000</v>
      </c>
      <c r="E222" s="4">
        <v>1781100000000</v>
      </c>
      <c r="F222" s="4">
        <v>1903400000000</v>
      </c>
      <c r="G222" s="4">
        <v>1976380000000</v>
      </c>
      <c r="H222" s="4">
        <v>2015770000000</v>
      </c>
      <c r="I222" s="4">
        <v>2042630000000</v>
      </c>
      <c r="J222" s="4">
        <v>2082050000000</v>
      </c>
      <c r="K222" s="4">
        <v>2119730000000</v>
      </c>
      <c r="L222" s="4">
        <v>2151480000000</v>
      </c>
      <c r="M222" s="4">
        <v>2177440000000</v>
      </c>
      <c r="N222" s="4">
        <v>2212110000000</v>
      </c>
      <c r="O222" s="4">
        <v>2238120000000</v>
      </c>
      <c r="P222" s="4">
        <v>2274290000000</v>
      </c>
      <c r="Q222" s="4">
        <v>2290750000000</v>
      </c>
      <c r="R222" s="4">
        <v>2316520000000</v>
      </c>
      <c r="S222" s="4">
        <v>2279190000000</v>
      </c>
      <c r="T222" s="4">
        <v>2248430000000</v>
      </c>
      <c r="U222" s="4">
        <v>2217070000000</v>
      </c>
      <c r="V222" s="4">
        <v>2175480000000</v>
      </c>
      <c r="W222" s="4">
        <v>2144100000000</v>
      </c>
      <c r="X222" s="4">
        <v>2102260000000</v>
      </c>
      <c r="Y222" s="4">
        <v>2048630000000</v>
      </c>
      <c r="Z222" s="4">
        <v>2024650000000</v>
      </c>
      <c r="AA222" s="4">
        <v>2004570000000</v>
      </c>
      <c r="AB222" s="4">
        <v>1972990000000</v>
      </c>
      <c r="AC222" s="4">
        <v>1945640000000</v>
      </c>
      <c r="AD222" s="4">
        <v>1914920000000</v>
      </c>
      <c r="AE222" s="4">
        <v>1890910000000</v>
      </c>
      <c r="AF222" s="4">
        <v>1878480000000</v>
      </c>
    </row>
    <row r="223" spans="1:32" x14ac:dyDescent="0.75">
      <c r="A223" t="s">
        <v>292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75">
      <c r="A224" t="s">
        <v>293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75">
      <c r="A225" t="s">
        <v>294</v>
      </c>
      <c r="B225" s="4">
        <v>58337400000000</v>
      </c>
      <c r="C225" s="4">
        <v>61717000000000</v>
      </c>
      <c r="D225" s="4">
        <v>43634100000000</v>
      </c>
      <c r="E225" s="4">
        <v>46940900000000</v>
      </c>
      <c r="F225" s="4">
        <v>50364700000000</v>
      </c>
      <c r="G225" s="4">
        <v>52509500000000</v>
      </c>
      <c r="H225" s="4">
        <v>54607200000000</v>
      </c>
      <c r="I225" s="4">
        <v>56666000000000</v>
      </c>
      <c r="J225" s="4">
        <v>58725000000000</v>
      </c>
      <c r="K225" s="4">
        <v>60086900000000</v>
      </c>
      <c r="L225" s="4">
        <v>61462900000000</v>
      </c>
      <c r="M225" s="4">
        <v>62853600000000</v>
      </c>
      <c r="N225" s="4">
        <v>64348900000000</v>
      </c>
      <c r="O225" s="4">
        <v>65157600000000</v>
      </c>
      <c r="P225" s="4">
        <v>66071700000000</v>
      </c>
      <c r="Q225" s="4">
        <v>67014400000000</v>
      </c>
      <c r="R225" s="4">
        <v>67947200000000</v>
      </c>
      <c r="S225" s="4">
        <v>68859200000000</v>
      </c>
      <c r="T225" s="4">
        <v>69777000000000</v>
      </c>
      <c r="U225" s="4">
        <v>70724600000000</v>
      </c>
      <c r="V225" s="4">
        <v>71681000000000</v>
      </c>
      <c r="W225" s="4">
        <v>72653000000000</v>
      </c>
      <c r="X225" s="4">
        <v>73631900000000</v>
      </c>
      <c r="Y225" s="4">
        <v>74616500000000</v>
      </c>
      <c r="Z225" s="4">
        <v>75603400000000</v>
      </c>
      <c r="AA225" s="4">
        <v>76629000000000</v>
      </c>
      <c r="AB225" s="4">
        <v>77645400000000</v>
      </c>
      <c r="AC225" s="4">
        <v>78663500000000</v>
      </c>
      <c r="AD225" s="4">
        <v>79744900000000</v>
      </c>
      <c r="AE225" s="4">
        <v>80825800000000</v>
      </c>
      <c r="AF225" s="4">
        <v>81943500000000</v>
      </c>
    </row>
    <row r="226" spans="1:32" x14ac:dyDescent="0.75">
      <c r="A226" t="s">
        <v>295</v>
      </c>
      <c r="B226" s="4">
        <v>10780400000000</v>
      </c>
      <c r="C226" s="4">
        <v>10555400000000</v>
      </c>
      <c r="D226" s="4">
        <v>9162780000000</v>
      </c>
      <c r="E226" s="4">
        <v>10106900000000</v>
      </c>
      <c r="F226" s="4">
        <v>10983700000000</v>
      </c>
      <c r="G226" s="4">
        <v>11497200000000</v>
      </c>
      <c r="H226" s="4">
        <v>12005600000000</v>
      </c>
      <c r="I226" s="4">
        <v>12406200000000</v>
      </c>
      <c r="J226" s="4">
        <v>12836000000000</v>
      </c>
      <c r="K226" s="4">
        <v>13118700000000</v>
      </c>
      <c r="L226" s="4">
        <v>13402600000000</v>
      </c>
      <c r="M226" s="4">
        <v>13671500000000</v>
      </c>
      <c r="N226" s="4">
        <v>13958000000000</v>
      </c>
      <c r="O226" s="4">
        <v>14043100000000</v>
      </c>
      <c r="P226" s="4">
        <v>14165200000000</v>
      </c>
      <c r="Q226" s="4">
        <v>14299500000000</v>
      </c>
      <c r="R226" s="4">
        <v>14420300000000</v>
      </c>
      <c r="S226" s="4">
        <v>14540900000000</v>
      </c>
      <c r="T226" s="4">
        <v>14621700000000</v>
      </c>
      <c r="U226" s="4">
        <v>14744600000000</v>
      </c>
      <c r="V226" s="4">
        <v>14851700000000</v>
      </c>
      <c r="W226" s="4">
        <v>14970000000000</v>
      </c>
      <c r="X226" s="4">
        <v>15099200000000</v>
      </c>
      <c r="Y226" s="4">
        <v>15257800000000</v>
      </c>
      <c r="Z226" s="4">
        <v>15343000000000</v>
      </c>
      <c r="AA226" s="4">
        <v>15455400000000</v>
      </c>
      <c r="AB226" s="4">
        <v>15489300000000</v>
      </c>
      <c r="AC226" s="4">
        <v>15548100000000</v>
      </c>
      <c r="AD226" s="4">
        <v>15591000000000</v>
      </c>
      <c r="AE226" s="4">
        <v>15611900000000</v>
      </c>
      <c r="AF226" s="4">
        <v>15658400000000</v>
      </c>
    </row>
    <row r="227" spans="1:32" x14ac:dyDescent="0.75">
      <c r="A227" t="s">
        <v>296</v>
      </c>
      <c r="B227" s="4">
        <v>13455200000000</v>
      </c>
      <c r="C227" s="4">
        <v>13174300000000</v>
      </c>
      <c r="D227" s="4">
        <v>11436100000000</v>
      </c>
      <c r="E227" s="4">
        <v>12614500000000</v>
      </c>
      <c r="F227" s="4">
        <v>13708800000000</v>
      </c>
      <c r="G227" s="4">
        <v>14349800000000</v>
      </c>
      <c r="H227" s="4">
        <v>14984300000000</v>
      </c>
      <c r="I227" s="4">
        <v>15484300000000</v>
      </c>
      <c r="J227" s="4">
        <v>16020700000000</v>
      </c>
      <c r="K227" s="4">
        <v>16373500000000</v>
      </c>
      <c r="L227" s="4">
        <v>16727800000000</v>
      </c>
      <c r="M227" s="4">
        <v>17063600000000</v>
      </c>
      <c r="N227" s="4">
        <v>17421100000000</v>
      </c>
      <c r="O227" s="4">
        <v>17527300000000</v>
      </c>
      <c r="P227" s="4">
        <v>17679700000000</v>
      </c>
      <c r="Q227" s="4">
        <v>17847400000000</v>
      </c>
      <c r="R227" s="4">
        <v>17998100000000</v>
      </c>
      <c r="S227" s="4">
        <v>18148600000000</v>
      </c>
      <c r="T227" s="4">
        <v>18249400000000</v>
      </c>
      <c r="U227" s="4">
        <v>18402800000000</v>
      </c>
      <c r="V227" s="4">
        <v>18536500000000</v>
      </c>
      <c r="W227" s="4">
        <v>18684200000000</v>
      </c>
      <c r="X227" s="4">
        <v>18845500000000</v>
      </c>
      <c r="Y227" s="4">
        <v>19043400000000</v>
      </c>
      <c r="Z227" s="4">
        <v>19149700000000</v>
      </c>
      <c r="AA227" s="4">
        <v>19290000000000</v>
      </c>
      <c r="AB227" s="4">
        <v>19332300000000</v>
      </c>
      <c r="AC227" s="4">
        <v>19405800000000</v>
      </c>
      <c r="AD227" s="4">
        <v>19459200000000</v>
      </c>
      <c r="AE227" s="4">
        <v>19485300000000</v>
      </c>
      <c r="AF227" s="4">
        <v>19543300000000</v>
      </c>
    </row>
    <row r="228" spans="1:32" x14ac:dyDescent="0.75">
      <c r="A228" t="s">
        <v>297</v>
      </c>
      <c r="B228" s="4">
        <v>19025700000000</v>
      </c>
      <c r="C228" s="4">
        <v>18628500000000</v>
      </c>
      <c r="D228" s="4">
        <v>16170800000000</v>
      </c>
      <c r="E228" s="4">
        <v>17837000000000</v>
      </c>
      <c r="F228" s="4">
        <v>19384400000000</v>
      </c>
      <c r="G228" s="4">
        <v>20290800000000</v>
      </c>
      <c r="H228" s="4">
        <v>21188000000000</v>
      </c>
      <c r="I228" s="4">
        <v>21895000000000</v>
      </c>
      <c r="J228" s="4">
        <v>22653500000000</v>
      </c>
      <c r="K228" s="4">
        <v>23152300000000</v>
      </c>
      <c r="L228" s="4">
        <v>23653300000000</v>
      </c>
      <c r="M228" s="4">
        <v>24128100000000</v>
      </c>
      <c r="N228" s="4">
        <v>24633600000000</v>
      </c>
      <c r="O228" s="4">
        <v>24783800000000</v>
      </c>
      <c r="P228" s="4">
        <v>24999300000000</v>
      </c>
      <c r="Q228" s="4">
        <v>25236400000000</v>
      </c>
      <c r="R228" s="4">
        <v>25449400000000</v>
      </c>
      <c r="S228" s="4">
        <v>25662300000000</v>
      </c>
      <c r="T228" s="4">
        <v>25804900000000</v>
      </c>
      <c r="U228" s="4">
        <v>26021800000000</v>
      </c>
      <c r="V228" s="4">
        <v>26210800000000</v>
      </c>
      <c r="W228" s="4">
        <v>26419700000000</v>
      </c>
      <c r="X228" s="4">
        <v>26647700000000</v>
      </c>
      <c r="Y228" s="4">
        <v>26927600000000</v>
      </c>
      <c r="Z228" s="4">
        <v>27077900000000</v>
      </c>
      <c r="AA228" s="4">
        <v>27276200000000</v>
      </c>
      <c r="AB228" s="4">
        <v>27336100000000</v>
      </c>
      <c r="AC228" s="4">
        <v>27439900000000</v>
      </c>
      <c r="AD228" s="4">
        <v>27515600000000</v>
      </c>
      <c r="AE228" s="4">
        <v>27552500000000</v>
      </c>
      <c r="AF228" s="4">
        <v>27634500000000</v>
      </c>
    </row>
    <row r="229" spans="1:32" x14ac:dyDescent="0.75">
      <c r="A229" t="s">
        <v>298</v>
      </c>
      <c r="B229" s="4">
        <v>31216100000000</v>
      </c>
      <c r="C229" s="4">
        <v>40337900000000</v>
      </c>
      <c r="D229" s="4">
        <v>26813800000000</v>
      </c>
      <c r="E229" s="4">
        <v>23355200000000</v>
      </c>
      <c r="F229" s="4">
        <v>20174700000000</v>
      </c>
      <c r="G229" s="4">
        <v>18992900000000</v>
      </c>
      <c r="H229" s="4">
        <v>17601700000000</v>
      </c>
      <c r="I229" s="4">
        <v>18022200000000</v>
      </c>
      <c r="J229" s="4">
        <v>18590300000000</v>
      </c>
      <c r="K229" s="4">
        <v>19115300000000</v>
      </c>
      <c r="L229" s="4">
        <v>19372300000000</v>
      </c>
      <c r="M229" s="4">
        <v>19836000000000</v>
      </c>
      <c r="N229" s="4">
        <v>19904600000000</v>
      </c>
      <c r="O229" s="4">
        <v>20020600000000</v>
      </c>
      <c r="P229" s="4">
        <v>19930100000000</v>
      </c>
      <c r="Q229" s="4">
        <v>20072300000000</v>
      </c>
      <c r="R229" s="4">
        <v>20307100000000</v>
      </c>
      <c r="S229" s="4">
        <v>20110400000000</v>
      </c>
      <c r="T229" s="4">
        <v>19815900000000</v>
      </c>
      <c r="U229" s="4">
        <v>19899300000000</v>
      </c>
      <c r="V229" s="4">
        <v>19401700000000</v>
      </c>
      <c r="W229" s="4">
        <v>19410000000000</v>
      </c>
      <c r="X229" s="4">
        <v>19470800000000</v>
      </c>
      <c r="Y229" s="4">
        <v>19446500000000</v>
      </c>
      <c r="Z229" s="4">
        <v>19421200000000</v>
      </c>
      <c r="AA229" s="4">
        <v>19136100000000</v>
      </c>
      <c r="AB229" s="4">
        <v>18999300000000</v>
      </c>
      <c r="AC229" s="4">
        <v>19019300000000</v>
      </c>
      <c r="AD229" s="4">
        <v>18909300000000</v>
      </c>
      <c r="AE229" s="4">
        <v>18651400000000</v>
      </c>
      <c r="AF229" s="4">
        <v>18737000000000</v>
      </c>
    </row>
    <row r="230" spans="1:32" x14ac:dyDescent="0.75">
      <c r="A230" t="s">
        <v>299</v>
      </c>
      <c r="B230" s="4">
        <v>14459400000000</v>
      </c>
      <c r="C230" s="4">
        <v>17864200000000</v>
      </c>
      <c r="D230" s="4">
        <v>11725300000000</v>
      </c>
      <c r="E230" s="4">
        <v>10578900000000</v>
      </c>
      <c r="F230" s="4">
        <v>9310430000000</v>
      </c>
      <c r="G230" s="4">
        <v>8816050000000</v>
      </c>
      <c r="H230" s="4">
        <v>8215690000000</v>
      </c>
      <c r="I230" s="4">
        <v>8436310000000</v>
      </c>
      <c r="J230" s="4">
        <v>8714250000000</v>
      </c>
      <c r="K230" s="4">
        <v>8966990000000</v>
      </c>
      <c r="L230" s="4">
        <v>9106800000000</v>
      </c>
      <c r="M230" s="4">
        <v>9327680000000</v>
      </c>
      <c r="N230" s="4">
        <v>9373430000000</v>
      </c>
      <c r="O230" s="4">
        <v>9433120000000</v>
      </c>
      <c r="P230" s="4">
        <v>9400180000000</v>
      </c>
      <c r="Q230" s="4">
        <v>9477360000000</v>
      </c>
      <c r="R230" s="4">
        <v>9594400000000</v>
      </c>
      <c r="S230" s="4">
        <v>9513690000000</v>
      </c>
      <c r="T230" s="4">
        <v>9388750000000</v>
      </c>
      <c r="U230" s="4">
        <v>9439930000000</v>
      </c>
      <c r="V230" s="4">
        <v>9219090000000</v>
      </c>
      <c r="W230" s="4">
        <v>9232570000000</v>
      </c>
      <c r="X230" s="4">
        <v>9272760000000</v>
      </c>
      <c r="Y230" s="4">
        <v>9272860000000</v>
      </c>
      <c r="Z230" s="4">
        <v>9272360000000</v>
      </c>
      <c r="AA230" s="4">
        <v>9143780000000</v>
      </c>
      <c r="AB230" s="4">
        <v>9088230000000</v>
      </c>
      <c r="AC230" s="4">
        <v>9107970000000</v>
      </c>
      <c r="AD230" s="4">
        <v>9064980000000</v>
      </c>
      <c r="AE230" s="4">
        <v>8949760000000</v>
      </c>
      <c r="AF230" s="4">
        <v>8997850000000</v>
      </c>
    </row>
    <row r="231" spans="1:32" x14ac:dyDescent="0.75">
      <c r="A231" t="s">
        <v>300</v>
      </c>
      <c r="B231" s="4">
        <v>391908000000</v>
      </c>
      <c r="C231" s="4">
        <v>403073000000</v>
      </c>
      <c r="D231" s="4">
        <v>422932000000</v>
      </c>
      <c r="E231" s="4">
        <v>444252000000</v>
      </c>
      <c r="F231" s="4">
        <v>470238000000</v>
      </c>
      <c r="G231" s="4">
        <v>488303000000</v>
      </c>
      <c r="H231" s="4">
        <v>497728000000</v>
      </c>
      <c r="I231" s="4">
        <v>502910000000</v>
      </c>
      <c r="J231" s="4">
        <v>506379000000</v>
      </c>
      <c r="K231" s="4">
        <v>506451000000</v>
      </c>
      <c r="L231" s="4">
        <v>508118000000</v>
      </c>
      <c r="M231" s="4">
        <v>509916000000</v>
      </c>
      <c r="N231" s="4">
        <v>514236000000</v>
      </c>
      <c r="O231" s="4">
        <v>507645000000</v>
      </c>
      <c r="P231" s="4">
        <v>497988000000</v>
      </c>
      <c r="Q231" s="4">
        <v>500507000000</v>
      </c>
      <c r="R231" s="4">
        <v>503468000000</v>
      </c>
      <c r="S231" s="4">
        <v>505388000000</v>
      </c>
      <c r="T231" s="4">
        <v>511038000000</v>
      </c>
      <c r="U231" s="4">
        <v>516611000000</v>
      </c>
      <c r="V231" s="4">
        <v>524975000000</v>
      </c>
      <c r="W231" s="4">
        <v>537787000000</v>
      </c>
      <c r="X231" s="4">
        <v>545609000000</v>
      </c>
      <c r="Y231" s="4">
        <v>553569000000</v>
      </c>
      <c r="Z231" s="4">
        <v>561545000000</v>
      </c>
      <c r="AA231" s="4">
        <v>574980000000</v>
      </c>
      <c r="AB231" s="4">
        <v>586503000000</v>
      </c>
      <c r="AC231" s="4">
        <v>594022000000</v>
      </c>
      <c r="AD231" s="4">
        <v>603757000000</v>
      </c>
      <c r="AE231" s="4">
        <v>613116000000</v>
      </c>
      <c r="AF231" s="4">
        <v>624945000000</v>
      </c>
    </row>
    <row r="232" spans="1:32" x14ac:dyDescent="0.75">
      <c r="A232" t="s">
        <v>301</v>
      </c>
      <c r="B232" s="4">
        <v>3554280000000</v>
      </c>
      <c r="C232" s="4">
        <v>3555070000000</v>
      </c>
      <c r="D232" s="4">
        <v>3558580000000</v>
      </c>
      <c r="E232" s="4">
        <v>3746610000000</v>
      </c>
      <c r="F232" s="4">
        <v>3989680000000</v>
      </c>
      <c r="G232" s="4">
        <v>4107610000000</v>
      </c>
      <c r="H232" s="4">
        <v>4229150000000</v>
      </c>
      <c r="I232" s="4">
        <v>4364670000000</v>
      </c>
      <c r="J232" s="4">
        <v>4524140000000</v>
      </c>
      <c r="K232" s="4">
        <v>4664270000000</v>
      </c>
      <c r="L232" s="4">
        <v>4837110000000</v>
      </c>
      <c r="M232" s="4">
        <v>5049200000000</v>
      </c>
      <c r="N232" s="4">
        <v>5288930000000</v>
      </c>
      <c r="O232" s="4">
        <v>5492650000000</v>
      </c>
      <c r="P232" s="4">
        <v>5709140000000</v>
      </c>
      <c r="Q232" s="4">
        <v>5933030000000</v>
      </c>
      <c r="R232" s="4">
        <v>6150370000000</v>
      </c>
      <c r="S232" s="4">
        <v>6359100000000</v>
      </c>
      <c r="T232" s="4">
        <v>6550670000000</v>
      </c>
      <c r="U232" s="4">
        <v>6731450000000</v>
      </c>
      <c r="V232" s="4">
        <v>6881150000000</v>
      </c>
      <c r="W232" s="4">
        <v>7027390000000</v>
      </c>
      <c r="X232" s="4">
        <v>7173680000000</v>
      </c>
      <c r="Y232" s="4">
        <v>7333180000000</v>
      </c>
      <c r="Z232" s="4">
        <v>7480870000000</v>
      </c>
      <c r="AA232" s="4">
        <v>7640350000000</v>
      </c>
      <c r="AB232" s="4">
        <v>7792080000000</v>
      </c>
      <c r="AC232" s="4">
        <v>7958290000000</v>
      </c>
      <c r="AD232" s="4">
        <v>8110660000000</v>
      </c>
      <c r="AE232" s="4">
        <v>8261230000000</v>
      </c>
      <c r="AF232" s="4">
        <v>8414860000000</v>
      </c>
    </row>
    <row r="233" spans="1:32" x14ac:dyDescent="0.75">
      <c r="A233" t="s">
        <v>302</v>
      </c>
      <c r="B233">
        <v>0</v>
      </c>
      <c r="C233" s="4">
        <v>60043600000</v>
      </c>
      <c r="D233" s="4">
        <v>54438100000</v>
      </c>
      <c r="E233" s="4">
        <v>72503300000</v>
      </c>
      <c r="F233" s="4">
        <v>90649200000</v>
      </c>
      <c r="G233" s="4">
        <v>110724000000</v>
      </c>
      <c r="H233" s="4">
        <v>129165000000</v>
      </c>
      <c r="I233" s="4">
        <v>148832000000</v>
      </c>
      <c r="J233" s="4">
        <v>155863000000</v>
      </c>
      <c r="K233" s="4">
        <v>247468000000</v>
      </c>
      <c r="L233" s="4">
        <v>342608000000</v>
      </c>
      <c r="M233" s="4">
        <v>448083000000</v>
      </c>
      <c r="N233" s="4">
        <v>549240000000</v>
      </c>
      <c r="O233" s="4">
        <v>643763000000</v>
      </c>
      <c r="P233" s="4">
        <v>732957000000</v>
      </c>
      <c r="Q233" s="4">
        <v>820407000000</v>
      </c>
      <c r="R233" s="4">
        <v>910121000000</v>
      </c>
      <c r="S233" s="4">
        <v>891308000000</v>
      </c>
      <c r="T233" s="4">
        <v>882939000000</v>
      </c>
      <c r="U233" s="4">
        <v>881759000000</v>
      </c>
      <c r="V233" s="4">
        <v>864223000000</v>
      </c>
      <c r="W233" s="4">
        <v>865282000000</v>
      </c>
      <c r="X233" s="4">
        <v>858359000000</v>
      </c>
      <c r="Y233" s="4">
        <v>851747000000</v>
      </c>
      <c r="Z233" s="4">
        <v>849525000000</v>
      </c>
      <c r="AA233" s="4">
        <v>840800000000</v>
      </c>
      <c r="AB233" s="4">
        <v>833741000000</v>
      </c>
      <c r="AC233" s="4">
        <v>829694000000</v>
      </c>
      <c r="AD233" s="4">
        <v>817464000000</v>
      </c>
      <c r="AE233" s="4">
        <v>804639000000</v>
      </c>
      <c r="AF233" s="4">
        <v>797584000000</v>
      </c>
    </row>
    <row r="234" spans="1:32" x14ac:dyDescent="0.75">
      <c r="A234" t="s">
        <v>303</v>
      </c>
      <c r="B234" s="4">
        <v>253593000000000</v>
      </c>
      <c r="C234" s="4">
        <v>304599000000000</v>
      </c>
      <c r="D234" s="4">
        <v>203167000000000</v>
      </c>
      <c r="E234" s="4">
        <v>190286000000000</v>
      </c>
      <c r="F234" s="4">
        <v>179121000000000</v>
      </c>
      <c r="G234" s="4">
        <v>174472000000000</v>
      </c>
      <c r="H234" s="4">
        <v>167486000000000</v>
      </c>
      <c r="I234" s="4">
        <v>174048000000000</v>
      </c>
      <c r="J234" s="4">
        <v>182161000000000</v>
      </c>
      <c r="K234" s="4">
        <v>189032000000000</v>
      </c>
      <c r="L234" s="4">
        <v>194810000000000</v>
      </c>
      <c r="M234" s="4">
        <v>201186000000000</v>
      </c>
      <c r="N234" s="4">
        <v>204619000000000</v>
      </c>
      <c r="O234" s="4">
        <v>207096000000000</v>
      </c>
      <c r="P234" s="4">
        <v>209149000000000</v>
      </c>
      <c r="Q234" s="4">
        <v>212660000000000</v>
      </c>
      <c r="R234" s="4">
        <v>215739000000000</v>
      </c>
      <c r="S234" s="4">
        <v>215820000000000</v>
      </c>
      <c r="T234" s="4">
        <v>214473000000000</v>
      </c>
      <c r="U234" s="4">
        <v>216024000000000</v>
      </c>
      <c r="V234" s="4">
        <v>210277000000000</v>
      </c>
      <c r="W234" s="4">
        <v>209127000000000</v>
      </c>
      <c r="X234" s="4">
        <v>208687000000000</v>
      </c>
      <c r="Y234" s="4">
        <v>209456000000000</v>
      </c>
      <c r="Z234" s="4">
        <v>209440000000000</v>
      </c>
      <c r="AA234" s="4">
        <v>208104000000000</v>
      </c>
      <c r="AB234" s="4">
        <v>206356000000000</v>
      </c>
      <c r="AC234" s="4">
        <v>206189000000000</v>
      </c>
      <c r="AD234" s="4">
        <v>203903000000000</v>
      </c>
      <c r="AE234" s="4">
        <v>201410000000000</v>
      </c>
      <c r="AF234" s="4">
        <v>202172000000000</v>
      </c>
    </row>
    <row r="235" spans="1:32" x14ac:dyDescent="0.75">
      <c r="A235" t="s">
        <v>304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75">
      <c r="A236" t="s">
        <v>305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75">
      <c r="A237" t="s">
        <v>306</v>
      </c>
      <c r="B237" s="4">
        <v>368960000000</v>
      </c>
      <c r="C237" s="4">
        <v>368909000000</v>
      </c>
      <c r="D237" s="4">
        <v>377286000000</v>
      </c>
      <c r="E237" s="4">
        <v>403686000000</v>
      </c>
      <c r="F237" s="4">
        <v>429488000000</v>
      </c>
      <c r="G237" s="4">
        <v>446002000000</v>
      </c>
      <c r="H237" s="4">
        <v>462267000000</v>
      </c>
      <c r="I237" s="4">
        <v>480575000000</v>
      </c>
      <c r="J237" s="4">
        <v>512725000000</v>
      </c>
      <c r="K237" s="4">
        <v>597365000000</v>
      </c>
      <c r="L237" s="4">
        <v>685510000000</v>
      </c>
      <c r="M237" s="4">
        <v>778551000000</v>
      </c>
      <c r="N237" s="4">
        <v>871272000000</v>
      </c>
      <c r="O237" s="4">
        <v>959265000000</v>
      </c>
      <c r="P237" s="4">
        <v>1045690000000</v>
      </c>
      <c r="Q237" s="4">
        <v>1136330000000</v>
      </c>
      <c r="R237" s="4">
        <v>1222930000000</v>
      </c>
      <c r="S237" s="4">
        <v>1217530000000</v>
      </c>
      <c r="T237" s="4">
        <v>1212770000000</v>
      </c>
      <c r="U237" s="4">
        <v>1212720000000</v>
      </c>
      <c r="V237" s="4">
        <v>1202070000000</v>
      </c>
      <c r="W237" s="4">
        <v>1200060000000</v>
      </c>
      <c r="X237" s="4">
        <v>1198870000000</v>
      </c>
      <c r="Y237" s="4">
        <v>1197520000000</v>
      </c>
      <c r="Z237" s="4">
        <v>1195240000000</v>
      </c>
      <c r="AA237" s="4">
        <v>1189920000000</v>
      </c>
      <c r="AB237" s="4">
        <v>1187140000000</v>
      </c>
      <c r="AC237" s="4">
        <v>1185960000000</v>
      </c>
      <c r="AD237" s="4">
        <v>1181680000000</v>
      </c>
      <c r="AE237" s="4">
        <v>1175840000000</v>
      </c>
      <c r="AF237" s="4">
        <v>1175140000000</v>
      </c>
    </row>
    <row r="238" spans="1:32" x14ac:dyDescent="0.75">
      <c r="A238" t="s">
        <v>307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75">
      <c r="A239" t="s">
        <v>308</v>
      </c>
      <c r="B239" s="4">
        <v>12440400000000</v>
      </c>
      <c r="C239" s="4">
        <v>15369700000000</v>
      </c>
      <c r="D239" s="4">
        <v>10088000000000</v>
      </c>
      <c r="E239" s="4">
        <v>9101740000000</v>
      </c>
      <c r="F239" s="4">
        <v>8010360000000</v>
      </c>
      <c r="G239" s="4">
        <v>7585010000000</v>
      </c>
      <c r="H239" s="4">
        <v>7068480000000</v>
      </c>
      <c r="I239" s="4">
        <v>7258300000000</v>
      </c>
      <c r="J239" s="4">
        <v>7497420000000</v>
      </c>
      <c r="K239" s="4">
        <v>7714870000000</v>
      </c>
      <c r="L239" s="4">
        <v>7835160000000</v>
      </c>
      <c r="M239" s="4">
        <v>8025200000000</v>
      </c>
      <c r="N239" s="4">
        <v>8064560000000</v>
      </c>
      <c r="O239" s="4">
        <v>8115920000000</v>
      </c>
      <c r="P239" s="4">
        <v>8087570000000</v>
      </c>
      <c r="Q239" s="4">
        <v>8153980000000</v>
      </c>
      <c r="R239" s="4">
        <v>8254670000000</v>
      </c>
      <c r="S239" s="4">
        <v>8185230000000</v>
      </c>
      <c r="T239" s="4">
        <v>8077740000000</v>
      </c>
      <c r="U239" s="4">
        <v>8121770000000</v>
      </c>
      <c r="V239" s="4">
        <v>7931770000000</v>
      </c>
      <c r="W239" s="4">
        <v>7943360000000</v>
      </c>
      <c r="X239" s="4">
        <v>7977950000000</v>
      </c>
      <c r="Y239" s="4">
        <v>7978030000000</v>
      </c>
      <c r="Z239" s="4">
        <v>7977600000000</v>
      </c>
      <c r="AA239" s="4">
        <v>7866970000000</v>
      </c>
      <c r="AB239" s="4">
        <v>7819180000000</v>
      </c>
      <c r="AC239" s="4">
        <v>7836170000000</v>
      </c>
      <c r="AD239" s="4">
        <v>7799180000000</v>
      </c>
      <c r="AE239" s="4">
        <v>7700050000000</v>
      </c>
      <c r="AF239" s="4">
        <v>7741420000000</v>
      </c>
    </row>
    <row r="240" spans="1:32" x14ac:dyDescent="0.75">
      <c r="A240" t="s">
        <v>309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75">
      <c r="A241" t="s">
        <v>310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75">
      <c r="A242" t="s">
        <v>311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75">
      <c r="A243" t="s">
        <v>312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75">
      <c r="A244" t="s">
        <v>313</v>
      </c>
      <c r="B244" s="4">
        <v>995187000000</v>
      </c>
      <c r="C244" s="4">
        <v>1948010000000</v>
      </c>
      <c r="D244" s="4">
        <v>1498330000000</v>
      </c>
      <c r="E244" s="4">
        <v>1000540000000</v>
      </c>
      <c r="F244" s="4">
        <v>705636000000</v>
      </c>
      <c r="G244" s="4">
        <v>612102000000</v>
      </c>
      <c r="H244" s="4">
        <v>532455000000</v>
      </c>
      <c r="I244" s="4">
        <v>554344000000</v>
      </c>
      <c r="J244" s="4">
        <v>578570000000</v>
      </c>
      <c r="K244" s="4">
        <v>597667000000</v>
      </c>
      <c r="L244" s="4">
        <v>602263000000</v>
      </c>
      <c r="M244" s="4">
        <v>616869000000</v>
      </c>
      <c r="N244" s="4">
        <v>620275000000</v>
      </c>
      <c r="O244" s="4">
        <v>630112000000</v>
      </c>
      <c r="P244" s="4">
        <v>630992000000</v>
      </c>
      <c r="Q244" s="4">
        <v>640989000000</v>
      </c>
      <c r="R244" s="4">
        <v>652981000000</v>
      </c>
      <c r="S244" s="4">
        <v>645175000000</v>
      </c>
      <c r="T244" s="4">
        <v>632128000000</v>
      </c>
      <c r="U244" s="4">
        <v>640112000000</v>
      </c>
      <c r="V244" s="4">
        <v>616246000000</v>
      </c>
      <c r="W244" s="4">
        <v>615513000000</v>
      </c>
      <c r="X244" s="4">
        <v>616163000000</v>
      </c>
      <c r="Y244" s="4">
        <v>610477000000</v>
      </c>
      <c r="Z244" s="4">
        <v>606090000000</v>
      </c>
      <c r="AA244" s="4">
        <v>588493000000</v>
      </c>
      <c r="AB244" s="4">
        <v>581622000000</v>
      </c>
      <c r="AC244" s="4">
        <v>583465000000</v>
      </c>
      <c r="AD244" s="4">
        <v>575724000000</v>
      </c>
      <c r="AE244" s="4">
        <v>560036000000</v>
      </c>
      <c r="AF244" s="4">
        <v>559051000000</v>
      </c>
    </row>
    <row r="245" spans="1:32" x14ac:dyDescent="0.75">
      <c r="A245" t="s">
        <v>314</v>
      </c>
      <c r="B245" s="4">
        <v>563385000000</v>
      </c>
      <c r="C245" s="4">
        <v>1102790000000</v>
      </c>
      <c r="D245" s="4">
        <v>848221000000</v>
      </c>
      <c r="E245" s="4">
        <v>566413000000</v>
      </c>
      <c r="F245" s="4">
        <v>399467000000</v>
      </c>
      <c r="G245" s="4">
        <v>346516000000</v>
      </c>
      <c r="H245" s="4">
        <v>301427000000</v>
      </c>
      <c r="I245" s="4">
        <v>313819000000</v>
      </c>
      <c r="J245" s="4">
        <v>327534000000</v>
      </c>
      <c r="K245" s="4">
        <v>338344000000</v>
      </c>
      <c r="L245" s="4">
        <v>340946000000</v>
      </c>
      <c r="M245" s="4">
        <v>349215000000</v>
      </c>
      <c r="N245" s="4">
        <v>351143000000</v>
      </c>
      <c r="O245" s="4">
        <v>356712000000</v>
      </c>
      <c r="P245" s="4">
        <v>357211000000</v>
      </c>
      <c r="Q245" s="4">
        <v>362869000000</v>
      </c>
      <c r="R245" s="4">
        <v>369659000000</v>
      </c>
      <c r="S245" s="4">
        <v>365240000000</v>
      </c>
      <c r="T245" s="4">
        <v>357853000000</v>
      </c>
      <c r="U245" s="4">
        <v>362373000000</v>
      </c>
      <c r="V245" s="4">
        <v>348862000000</v>
      </c>
      <c r="W245" s="4">
        <v>348447000000</v>
      </c>
      <c r="X245" s="4">
        <v>348816000000</v>
      </c>
      <c r="Y245" s="4">
        <v>345597000000</v>
      </c>
      <c r="Z245" s="4">
        <v>343113000000</v>
      </c>
      <c r="AA245" s="4">
        <v>333152000000</v>
      </c>
      <c r="AB245" s="4">
        <v>329262000000</v>
      </c>
      <c r="AC245" s="4">
        <v>330305000000</v>
      </c>
      <c r="AD245" s="4">
        <v>325922000000</v>
      </c>
      <c r="AE245" s="4">
        <v>317042000000</v>
      </c>
      <c r="AF245" s="4">
        <v>316484000000</v>
      </c>
    </row>
    <row r="246" spans="1:32" x14ac:dyDescent="0.75">
      <c r="A246" t="s">
        <v>315</v>
      </c>
      <c r="B246" s="4">
        <v>45158500000000</v>
      </c>
      <c r="C246" s="4">
        <v>55792200000000</v>
      </c>
      <c r="D246" s="4">
        <v>36619400000000</v>
      </c>
      <c r="E246" s="4">
        <v>33039300000000</v>
      </c>
      <c r="F246" s="4">
        <v>29077600000000</v>
      </c>
      <c r="G246" s="4">
        <v>27533600000000</v>
      </c>
      <c r="H246" s="4">
        <v>25658600000000</v>
      </c>
      <c r="I246" s="4">
        <v>26347600000000</v>
      </c>
      <c r="J246" s="4">
        <v>27215600000000</v>
      </c>
      <c r="K246" s="4">
        <v>28005000000000</v>
      </c>
      <c r="L246" s="4">
        <v>28441600000000</v>
      </c>
      <c r="M246" s="4">
        <v>29131500000000</v>
      </c>
      <c r="N246" s="4">
        <v>29274300000000</v>
      </c>
      <c r="O246" s="4">
        <v>29460800000000</v>
      </c>
      <c r="P246" s="4">
        <v>29357900000000</v>
      </c>
      <c r="Q246" s="4">
        <v>29598900000000</v>
      </c>
      <c r="R246" s="4">
        <v>29964400000000</v>
      </c>
      <c r="S246" s="4">
        <v>29712400000000</v>
      </c>
      <c r="T246" s="4">
        <v>29322200000000</v>
      </c>
      <c r="U246" s="4">
        <v>29482000000000</v>
      </c>
      <c r="V246" s="4">
        <v>28792300000000</v>
      </c>
      <c r="W246" s="4">
        <v>28834400000000</v>
      </c>
      <c r="X246" s="4">
        <v>28959900000000</v>
      </c>
      <c r="Y246" s="4">
        <v>28960300000000</v>
      </c>
      <c r="Z246" s="4">
        <v>28958700000000</v>
      </c>
      <c r="AA246" s="4">
        <v>28557100000000</v>
      </c>
      <c r="AB246" s="4">
        <v>28383600000000</v>
      </c>
      <c r="AC246" s="4">
        <v>28445300000000</v>
      </c>
      <c r="AD246" s="4">
        <v>28311000000000</v>
      </c>
      <c r="AE246" s="4">
        <v>27951200000000</v>
      </c>
      <c r="AF246" s="4">
        <v>28101300000000</v>
      </c>
    </row>
    <row r="247" spans="1:32" x14ac:dyDescent="0.75">
      <c r="A247" t="s">
        <v>316</v>
      </c>
      <c r="B247">
        <v>0</v>
      </c>
      <c r="C247" s="4">
        <v>647363000000</v>
      </c>
      <c r="D247" s="4">
        <v>385197000000</v>
      </c>
      <c r="E247" s="4">
        <v>391633000000</v>
      </c>
      <c r="F247" s="4">
        <v>411424000000</v>
      </c>
      <c r="G247" s="4">
        <v>425244000000</v>
      </c>
      <c r="H247" s="4">
        <v>426527000000</v>
      </c>
      <c r="I247" s="4">
        <v>448862000000</v>
      </c>
      <c r="J247" s="4">
        <v>473450000000</v>
      </c>
      <c r="K247" s="4">
        <v>492664000000</v>
      </c>
      <c r="L247" s="4">
        <v>513184000000</v>
      </c>
      <c r="M247" s="4">
        <v>535925000000</v>
      </c>
      <c r="N247" s="4">
        <v>552279000000</v>
      </c>
      <c r="O247" s="4">
        <v>565616000000</v>
      </c>
      <c r="P247" s="4">
        <v>574465000000</v>
      </c>
      <c r="Q247" s="4">
        <v>587437000000</v>
      </c>
      <c r="R247" s="4">
        <v>597432000000</v>
      </c>
      <c r="S247" s="4">
        <v>583550000000</v>
      </c>
      <c r="T247" s="4">
        <v>576638000000</v>
      </c>
      <c r="U247" s="4">
        <v>569513000000</v>
      </c>
      <c r="V247" s="4">
        <v>556706000000</v>
      </c>
      <c r="W247" s="4">
        <v>549899000000</v>
      </c>
      <c r="X247" s="4">
        <v>545091000000</v>
      </c>
      <c r="Y247" s="4">
        <v>541522000000</v>
      </c>
      <c r="Z247" s="4">
        <v>539643000000</v>
      </c>
      <c r="AA247" s="4">
        <v>535089000000</v>
      </c>
      <c r="AB247" s="4">
        <v>532004000000</v>
      </c>
      <c r="AC247" s="4">
        <v>525605000000</v>
      </c>
      <c r="AD247" s="4">
        <v>518711000000</v>
      </c>
      <c r="AE247" s="4">
        <v>512844000000</v>
      </c>
      <c r="AF247" s="4">
        <v>508765000000</v>
      </c>
    </row>
    <row r="248" spans="1:32" x14ac:dyDescent="0.75">
      <c r="A248" t="s">
        <v>317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75">
      <c r="A249" t="s">
        <v>318</v>
      </c>
      <c r="B249" s="4">
        <v>88182300000000</v>
      </c>
      <c r="C249" s="4">
        <v>86491200000000</v>
      </c>
      <c r="D249" s="4">
        <v>60269700000000</v>
      </c>
      <c r="E249" s="4">
        <v>65630700000000</v>
      </c>
      <c r="F249" s="4">
        <v>71761600000000</v>
      </c>
      <c r="G249" s="4">
        <v>76164500000000</v>
      </c>
      <c r="H249" s="4">
        <v>79948600000000</v>
      </c>
      <c r="I249" s="4">
        <v>82916900000000</v>
      </c>
      <c r="J249" s="4">
        <v>85447800000000</v>
      </c>
      <c r="K249" s="4">
        <v>87081300000000</v>
      </c>
      <c r="L249" s="4">
        <v>88769000000000</v>
      </c>
      <c r="M249" s="4">
        <v>90623500000000</v>
      </c>
      <c r="N249" s="4">
        <v>92652700000000</v>
      </c>
      <c r="O249" s="4">
        <v>93680800000000</v>
      </c>
      <c r="P249" s="4">
        <v>94741800000000</v>
      </c>
      <c r="Q249" s="4">
        <v>96136200000000</v>
      </c>
      <c r="R249" s="4">
        <v>97366700000000</v>
      </c>
      <c r="S249" s="4">
        <v>98426900000000</v>
      </c>
      <c r="T249" s="4">
        <v>99626200000000</v>
      </c>
      <c r="U249" s="4">
        <v>100847000000000</v>
      </c>
      <c r="V249" s="4">
        <v>102473000000000</v>
      </c>
      <c r="W249" s="4">
        <v>104301000000000</v>
      </c>
      <c r="X249" s="4">
        <v>105895000000000</v>
      </c>
      <c r="Y249" s="4">
        <v>107598000000000</v>
      </c>
      <c r="Z249" s="4">
        <v>109386000000000</v>
      </c>
      <c r="AA249" s="4">
        <v>111276000000000</v>
      </c>
      <c r="AB249" s="4">
        <v>113427000000000</v>
      </c>
      <c r="AC249" s="4">
        <v>115209000000000</v>
      </c>
      <c r="AD249" s="4">
        <v>117151000000000</v>
      </c>
      <c r="AE249" s="4">
        <v>119349000000000</v>
      </c>
      <c r="AF249" s="4">
        <v>121651000000000</v>
      </c>
    </row>
    <row r="250" spans="1:32" x14ac:dyDescent="0.75">
      <c r="A250" t="s">
        <v>319</v>
      </c>
      <c r="B250" s="4">
        <v>64134000000000</v>
      </c>
      <c r="C250" s="4">
        <v>67727500000000</v>
      </c>
      <c r="D250" s="4">
        <v>55057300000000</v>
      </c>
      <c r="E250" s="4">
        <v>97130800000000</v>
      </c>
      <c r="F250" s="4">
        <v>98488900000000</v>
      </c>
      <c r="G250" s="4">
        <v>99946200000000</v>
      </c>
      <c r="H250" s="4">
        <v>101258000000000</v>
      </c>
      <c r="I250" s="4">
        <v>102453000000000</v>
      </c>
      <c r="J250" s="4">
        <v>103601000000000</v>
      </c>
      <c r="K250" s="4">
        <v>104736000000000</v>
      </c>
      <c r="L250" s="4">
        <v>105864000000000</v>
      </c>
      <c r="M250" s="4">
        <v>107078000000000</v>
      </c>
      <c r="N250" s="4">
        <v>108991000000000</v>
      </c>
      <c r="O250" s="4">
        <v>110206000000000</v>
      </c>
      <c r="P250" s="4">
        <v>111743000000000</v>
      </c>
      <c r="Q250" s="4">
        <v>113368000000000</v>
      </c>
      <c r="R250" s="4">
        <v>114960000000000</v>
      </c>
      <c r="S250" s="4">
        <v>116770000000000</v>
      </c>
      <c r="T250" s="4">
        <v>118598000000000</v>
      </c>
      <c r="U250" s="4">
        <v>120444000000000</v>
      </c>
      <c r="V250" s="4">
        <v>122244000000000</v>
      </c>
      <c r="W250" s="4">
        <v>123941000000000</v>
      </c>
      <c r="X250" s="4">
        <v>125656000000000</v>
      </c>
      <c r="Y250" s="4">
        <v>127387000000000</v>
      </c>
      <c r="Z250" s="4">
        <v>129133000000000</v>
      </c>
      <c r="AA250" s="4">
        <v>130945000000000</v>
      </c>
      <c r="AB250" s="4">
        <v>132747000000000</v>
      </c>
      <c r="AC250" s="4">
        <v>134555000000000</v>
      </c>
      <c r="AD250" s="4">
        <v>136468000000000</v>
      </c>
      <c r="AE250" s="4">
        <v>138389000000000</v>
      </c>
      <c r="AF250" s="4">
        <v>140376000000000</v>
      </c>
    </row>
    <row r="251" spans="1:32" x14ac:dyDescent="0.75">
      <c r="A251" t="s">
        <v>320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75">
      <c r="A252" t="s">
        <v>321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75">
      <c r="A253" t="s">
        <v>322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75">
      <c r="A254" t="s">
        <v>323</v>
      </c>
      <c r="B254" s="4">
        <v>7170720000000</v>
      </c>
      <c r="C254" s="4">
        <v>11153500000000</v>
      </c>
      <c r="D254" s="4">
        <v>7262260000000</v>
      </c>
      <c r="E254" s="4">
        <v>7722640000000</v>
      </c>
      <c r="F254" s="4">
        <v>6403740000000</v>
      </c>
      <c r="G254" s="4">
        <v>6046370000000</v>
      </c>
      <c r="H254" s="4">
        <v>5757580000000</v>
      </c>
      <c r="I254" s="4">
        <v>5759300000000</v>
      </c>
      <c r="J254" s="4">
        <v>5771210000000</v>
      </c>
      <c r="K254" s="4">
        <v>5793250000000</v>
      </c>
      <c r="L254" s="4">
        <v>5844610000000</v>
      </c>
      <c r="M254" s="4">
        <v>5838670000000</v>
      </c>
      <c r="N254" s="4">
        <v>5815940000000</v>
      </c>
      <c r="O254" s="4">
        <v>5823410000000</v>
      </c>
      <c r="P254" s="4">
        <v>5816230000000</v>
      </c>
      <c r="Q254" s="4">
        <v>5835500000000</v>
      </c>
      <c r="R254" s="4">
        <v>5880630000000</v>
      </c>
      <c r="S254" s="4">
        <v>5831030000000</v>
      </c>
      <c r="T254" s="4">
        <v>5783900000000</v>
      </c>
      <c r="U254" s="4">
        <v>5775980000000</v>
      </c>
      <c r="V254" s="4">
        <v>5715690000000</v>
      </c>
      <c r="W254" s="4">
        <v>5708670000000</v>
      </c>
      <c r="X254" s="4">
        <v>5710790000000</v>
      </c>
      <c r="Y254" s="4">
        <v>5706160000000</v>
      </c>
      <c r="Z254" s="4">
        <v>5676840000000</v>
      </c>
      <c r="AA254" s="4">
        <v>5663780000000</v>
      </c>
      <c r="AB254" s="4">
        <v>5645880000000</v>
      </c>
      <c r="AC254" s="4">
        <v>5643740000000</v>
      </c>
      <c r="AD254" s="4">
        <v>5654390000000</v>
      </c>
      <c r="AE254" s="4">
        <v>5641450000000</v>
      </c>
      <c r="AF254" s="4">
        <v>5667080000000</v>
      </c>
    </row>
    <row r="255" spans="1:32" x14ac:dyDescent="0.75">
      <c r="A255" t="s">
        <v>324</v>
      </c>
      <c r="B255">
        <v>0</v>
      </c>
      <c r="C255">
        <v>0</v>
      </c>
      <c r="D255">
        <v>0</v>
      </c>
      <c r="E255" s="4">
        <v>232489000000</v>
      </c>
      <c r="F255" s="4">
        <v>232223000000</v>
      </c>
      <c r="G255" s="4">
        <v>232766000000</v>
      </c>
      <c r="H255" s="4">
        <v>235643000000</v>
      </c>
      <c r="I255" s="4">
        <v>236474000000</v>
      </c>
      <c r="J255" s="4">
        <v>234278000000</v>
      </c>
      <c r="K255" s="4">
        <v>232321000000</v>
      </c>
      <c r="L255" s="4">
        <v>228433000000</v>
      </c>
      <c r="M255" s="4">
        <v>226742000000</v>
      </c>
      <c r="N255" s="4">
        <v>224838000000</v>
      </c>
      <c r="O255" s="4">
        <v>223118000000</v>
      </c>
      <c r="P255" s="4">
        <v>221741000000</v>
      </c>
      <c r="Q255" s="4">
        <v>221656000000</v>
      </c>
      <c r="R255" s="4">
        <v>221368000000</v>
      </c>
      <c r="S255" s="4">
        <v>219754000000</v>
      </c>
      <c r="T255" s="4">
        <v>219415000000</v>
      </c>
      <c r="U255" s="4">
        <v>219974000000</v>
      </c>
      <c r="V255" s="4">
        <v>220294000000</v>
      </c>
      <c r="W255" s="4">
        <v>221017000000</v>
      </c>
      <c r="X255" s="4">
        <v>222167000000</v>
      </c>
      <c r="Y255" s="4">
        <v>224618000000</v>
      </c>
      <c r="Z255" s="4">
        <v>226029000000</v>
      </c>
      <c r="AA255" s="4">
        <v>226856000000</v>
      </c>
      <c r="AB255" s="4">
        <v>227233000000</v>
      </c>
      <c r="AC255" s="4">
        <v>227450000000</v>
      </c>
      <c r="AD255" s="4">
        <v>228026000000</v>
      </c>
      <c r="AE255" s="4">
        <v>228815000000</v>
      </c>
      <c r="AF255" s="4">
        <v>229504000000</v>
      </c>
    </row>
    <row r="256" spans="1:32" x14ac:dyDescent="0.75">
      <c r="A256" t="s">
        <v>325</v>
      </c>
      <c r="B256" s="4">
        <v>7078500000000</v>
      </c>
      <c r="C256" s="4">
        <v>7073440000000</v>
      </c>
      <c r="D256" s="4">
        <v>5633470000000</v>
      </c>
      <c r="E256" s="4">
        <v>7169350000000</v>
      </c>
      <c r="F256" s="4">
        <v>7154380000000</v>
      </c>
      <c r="G256" s="4">
        <v>7316570000000</v>
      </c>
      <c r="H256" s="4">
        <v>7405510000000</v>
      </c>
      <c r="I256" s="4">
        <v>7340670000000</v>
      </c>
      <c r="J256" s="4">
        <v>7097010000000</v>
      </c>
      <c r="K256" s="4">
        <v>6901380000000</v>
      </c>
      <c r="L256" s="4">
        <v>6678730000000</v>
      </c>
      <c r="M256" s="4">
        <v>6631890000000</v>
      </c>
      <c r="N256" s="4">
        <v>6702110000000</v>
      </c>
      <c r="O256" s="4">
        <v>6663510000000</v>
      </c>
      <c r="P256" s="4">
        <v>6540260000000</v>
      </c>
      <c r="Q256" s="4">
        <v>6613750000000</v>
      </c>
      <c r="R256" s="4">
        <v>6726810000000</v>
      </c>
      <c r="S256" s="4">
        <v>6711140000000</v>
      </c>
      <c r="T256" s="4">
        <v>6748670000000</v>
      </c>
      <c r="U256" s="4">
        <v>6816380000000</v>
      </c>
      <c r="V256" s="4">
        <v>6908580000000</v>
      </c>
      <c r="W256" s="4">
        <v>7092460000000</v>
      </c>
      <c r="X256" s="4">
        <v>7220460000000</v>
      </c>
      <c r="Y256" s="4">
        <v>7386140000000</v>
      </c>
      <c r="Z256" s="4">
        <v>7546170000000</v>
      </c>
      <c r="AA256" s="4">
        <v>7780760000000</v>
      </c>
      <c r="AB256" s="4">
        <v>7994220000000</v>
      </c>
      <c r="AC256" s="4">
        <v>8116980000000</v>
      </c>
      <c r="AD256" s="4">
        <v>8227610000000</v>
      </c>
      <c r="AE256" s="4">
        <v>8327090000000</v>
      </c>
      <c r="AF256" s="4">
        <v>8470780000000</v>
      </c>
    </row>
    <row r="257" spans="1:32" x14ac:dyDescent="0.75">
      <c r="A257" t="s">
        <v>326</v>
      </c>
      <c r="B257" s="4">
        <v>2925640000000</v>
      </c>
      <c r="C257" s="4">
        <v>2836710000000</v>
      </c>
      <c r="D257" s="4">
        <v>2222870000000</v>
      </c>
      <c r="E257" s="4">
        <v>2596610000000</v>
      </c>
      <c r="F257" s="4">
        <v>2610060000000</v>
      </c>
      <c r="G257" s="4">
        <v>2604180000000</v>
      </c>
      <c r="H257" s="4">
        <v>2631740000000</v>
      </c>
      <c r="I257" s="4">
        <v>2644470000000</v>
      </c>
      <c r="J257" s="4">
        <v>2615710000000</v>
      </c>
      <c r="K257" s="4">
        <v>2580140000000</v>
      </c>
      <c r="L257" s="4">
        <v>2513490000000</v>
      </c>
      <c r="M257" s="4">
        <v>2480230000000</v>
      </c>
      <c r="N257" s="4">
        <v>2454830000000</v>
      </c>
      <c r="O257" s="4">
        <v>2427530000000</v>
      </c>
      <c r="P257" s="4">
        <v>2405090000000</v>
      </c>
      <c r="Q257" s="4">
        <v>2395950000000</v>
      </c>
      <c r="R257" s="4">
        <v>2382240000000</v>
      </c>
      <c r="S257" s="4">
        <v>2347810000000</v>
      </c>
      <c r="T257" s="4">
        <v>2330870000000</v>
      </c>
      <c r="U257" s="4">
        <v>2322350000000</v>
      </c>
      <c r="V257" s="4">
        <v>2303950000000</v>
      </c>
      <c r="W257" s="4">
        <v>2281460000000</v>
      </c>
      <c r="X257" s="4">
        <v>2260980000000</v>
      </c>
      <c r="Y257" s="4">
        <v>2258570000000</v>
      </c>
      <c r="Z257" s="4">
        <v>2240340000000</v>
      </c>
      <c r="AA257" s="4">
        <v>2233140000000</v>
      </c>
      <c r="AB257" s="4">
        <v>2217560000000</v>
      </c>
      <c r="AC257" s="4">
        <v>2205750000000</v>
      </c>
      <c r="AD257" s="4">
        <v>2193860000000</v>
      </c>
      <c r="AE257" s="4">
        <v>2178430000000</v>
      </c>
      <c r="AF257" s="4">
        <v>2163600000000</v>
      </c>
    </row>
    <row r="258" spans="1:32" x14ac:dyDescent="0.75">
      <c r="A258" t="s">
        <v>327</v>
      </c>
      <c r="B258">
        <v>0</v>
      </c>
      <c r="C258" s="4">
        <v>15374300000</v>
      </c>
      <c r="D258" s="4">
        <v>15788300000</v>
      </c>
      <c r="E258" s="4">
        <v>36767700000</v>
      </c>
      <c r="F258" s="4">
        <v>46823600000</v>
      </c>
      <c r="G258" s="4">
        <v>57929800000</v>
      </c>
      <c r="H258" s="4">
        <v>68886200000</v>
      </c>
      <c r="I258" s="4">
        <v>77286300000</v>
      </c>
      <c r="J258" s="4">
        <v>78241700000</v>
      </c>
      <c r="K258" s="4">
        <v>121276000000</v>
      </c>
      <c r="L258" s="4">
        <v>164429000000</v>
      </c>
      <c r="M258" s="4">
        <v>210945000000</v>
      </c>
      <c r="N258" s="4">
        <v>256827000000</v>
      </c>
      <c r="O258" s="4">
        <v>300240000000</v>
      </c>
      <c r="P258" s="4">
        <v>341946000000</v>
      </c>
      <c r="Q258" s="4">
        <v>382173000000</v>
      </c>
      <c r="R258" s="4">
        <v>423310000000</v>
      </c>
      <c r="S258" s="4">
        <v>416738000000</v>
      </c>
      <c r="T258" s="4">
        <v>416890000000</v>
      </c>
      <c r="U258" s="4">
        <v>417364000000</v>
      </c>
      <c r="V258" s="4">
        <v>416984000000</v>
      </c>
      <c r="W258" s="4">
        <v>420895000000</v>
      </c>
      <c r="X258" s="4">
        <v>420153000000</v>
      </c>
      <c r="Y258" s="4">
        <v>419086000000</v>
      </c>
      <c r="Z258" s="4">
        <v>420548000000</v>
      </c>
      <c r="AA258" s="4">
        <v>420783000000</v>
      </c>
      <c r="AB258" s="4">
        <v>421739000000</v>
      </c>
      <c r="AC258" s="4">
        <v>422025000000</v>
      </c>
      <c r="AD258" s="4">
        <v>420404000000</v>
      </c>
      <c r="AE258" s="4">
        <v>418987000000</v>
      </c>
      <c r="AF258" s="4">
        <v>417371000000</v>
      </c>
    </row>
    <row r="259" spans="1:32" x14ac:dyDescent="0.75">
      <c r="A259" t="s">
        <v>328</v>
      </c>
      <c r="B259" s="4">
        <v>3562480000000000</v>
      </c>
      <c r="C259" s="4">
        <v>3609630000000000</v>
      </c>
      <c r="D259" s="4">
        <v>3966280000000000</v>
      </c>
      <c r="E259" s="4">
        <v>4210840000000000</v>
      </c>
      <c r="F259" s="4">
        <v>4320710000000000</v>
      </c>
      <c r="G259" s="4">
        <v>4398550000000000</v>
      </c>
      <c r="H259" s="4">
        <v>4456750000000000</v>
      </c>
      <c r="I259" s="4">
        <v>4488070000000000</v>
      </c>
      <c r="J259" s="4">
        <v>4533440000000000</v>
      </c>
      <c r="K259" s="4">
        <v>4578830000000000</v>
      </c>
      <c r="L259" s="4">
        <v>4630920000000000</v>
      </c>
      <c r="M259" s="4">
        <v>4685960000000000</v>
      </c>
      <c r="N259" s="4">
        <v>4731030000000000</v>
      </c>
      <c r="O259" s="4">
        <v>4767750000000000</v>
      </c>
      <c r="P259" s="4">
        <v>4821790000000000</v>
      </c>
      <c r="Q259" s="4">
        <v>4880870000000000</v>
      </c>
      <c r="R259" s="4">
        <v>4927830000000000</v>
      </c>
      <c r="S259" s="4">
        <v>4978480000000000</v>
      </c>
      <c r="T259" s="4">
        <v>5021560000000000</v>
      </c>
      <c r="U259" s="4">
        <v>5062490000000000</v>
      </c>
      <c r="V259" s="4">
        <v>5070610000000000</v>
      </c>
      <c r="W259" s="4">
        <v>5089450000000000</v>
      </c>
      <c r="X259" s="4">
        <v>5114040000000000</v>
      </c>
      <c r="Y259" s="4">
        <v>5169930000000000</v>
      </c>
      <c r="Z259" s="4">
        <v>5207380000000000</v>
      </c>
      <c r="AA259" s="4">
        <v>5261600000000000</v>
      </c>
      <c r="AB259" s="4">
        <v>5284900000000000</v>
      </c>
      <c r="AC259" s="4">
        <v>5309430000000000</v>
      </c>
      <c r="AD259" s="4">
        <v>5325600000000000</v>
      </c>
      <c r="AE259" s="4">
        <v>5366930000000000</v>
      </c>
      <c r="AF259" s="4">
        <v>5417130000000000</v>
      </c>
    </row>
    <row r="260" spans="1:32" x14ac:dyDescent="0.75">
      <c r="A260" t="s">
        <v>329</v>
      </c>
      <c r="B260" s="4">
        <v>3653960000000</v>
      </c>
      <c r="C260" s="4">
        <v>4344560000000</v>
      </c>
      <c r="D260" s="4">
        <v>3133790000000</v>
      </c>
      <c r="E260" s="4">
        <v>5571180000000</v>
      </c>
      <c r="F260" s="4">
        <v>5270330000000</v>
      </c>
      <c r="G260" s="4">
        <v>5179750000000</v>
      </c>
      <c r="H260" s="4">
        <v>5130820000000</v>
      </c>
      <c r="I260" s="4">
        <v>5114480000000</v>
      </c>
      <c r="J260" s="4">
        <v>5039400000000</v>
      </c>
      <c r="K260" s="4">
        <v>4966440000000</v>
      </c>
      <c r="L260" s="4">
        <v>4824050000000</v>
      </c>
      <c r="M260" s="4">
        <v>4762520000000</v>
      </c>
      <c r="N260" s="4">
        <v>4718090000000</v>
      </c>
      <c r="O260" s="4">
        <v>4686720000000</v>
      </c>
      <c r="P260" s="4">
        <v>4653900000000</v>
      </c>
      <c r="Q260" s="4">
        <v>4655600000000</v>
      </c>
      <c r="R260" s="4">
        <v>4645880000000</v>
      </c>
      <c r="S260" s="4">
        <v>4588500000000</v>
      </c>
      <c r="T260" s="4">
        <v>4556950000000</v>
      </c>
      <c r="U260" s="4">
        <v>4558410000000</v>
      </c>
      <c r="V260" s="4">
        <v>4538120000000</v>
      </c>
      <c r="W260" s="4">
        <v>4531570000000</v>
      </c>
      <c r="X260" s="4">
        <v>4534790000000</v>
      </c>
      <c r="Y260" s="4">
        <v>4552760000000</v>
      </c>
      <c r="Z260" s="4">
        <v>4538260000000</v>
      </c>
      <c r="AA260" s="4">
        <v>4534640000000</v>
      </c>
      <c r="AB260" s="4">
        <v>4518410000000</v>
      </c>
      <c r="AC260" s="4">
        <v>4502220000000</v>
      </c>
      <c r="AD260" s="4">
        <v>4492540000000</v>
      </c>
      <c r="AE260" s="4">
        <v>4473760000000</v>
      </c>
      <c r="AF260" s="4">
        <v>4468370000000</v>
      </c>
    </row>
    <row r="261" spans="1:32" x14ac:dyDescent="0.75">
      <c r="A261" t="s">
        <v>330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75">
      <c r="A262" t="s">
        <v>331</v>
      </c>
      <c r="B262" s="4">
        <v>1888190000000</v>
      </c>
      <c r="C262" s="4">
        <v>1755720000000</v>
      </c>
      <c r="D262" s="4">
        <v>1403910000000</v>
      </c>
      <c r="E262" s="4">
        <v>1562150000000</v>
      </c>
      <c r="F262" s="4">
        <v>1557670000000</v>
      </c>
      <c r="G262" s="4">
        <v>1552710000000</v>
      </c>
      <c r="H262" s="4">
        <v>1567380000000</v>
      </c>
      <c r="I262" s="4">
        <v>1566130000000</v>
      </c>
      <c r="J262" s="4">
        <v>1546940000000</v>
      </c>
      <c r="K262" s="4">
        <v>1557190000000</v>
      </c>
      <c r="L262" s="4">
        <v>1550960000000</v>
      </c>
      <c r="M262" s="4">
        <v>1578040000000</v>
      </c>
      <c r="N262" s="4">
        <v>1609870000000</v>
      </c>
      <c r="O262" s="4">
        <v>1640030000000</v>
      </c>
      <c r="P262" s="4">
        <v>1669890000000</v>
      </c>
      <c r="Q262" s="4">
        <v>1711920000000</v>
      </c>
      <c r="R262" s="4">
        <v>1744550000000</v>
      </c>
      <c r="S262" s="4">
        <v>1720770000000</v>
      </c>
      <c r="T262" s="4">
        <v>1710630000000</v>
      </c>
      <c r="U262" s="4">
        <v>1700420000000</v>
      </c>
      <c r="V262" s="4">
        <v>1691870000000</v>
      </c>
      <c r="W262" s="4">
        <v>1683450000000</v>
      </c>
      <c r="X262" s="4">
        <v>1671670000000</v>
      </c>
      <c r="Y262" s="4">
        <v>1668250000000</v>
      </c>
      <c r="Z262" s="4">
        <v>1661530000000</v>
      </c>
      <c r="AA262" s="4">
        <v>1656500000000</v>
      </c>
      <c r="AB262" s="4">
        <v>1649710000000</v>
      </c>
      <c r="AC262" s="4">
        <v>1641090000000</v>
      </c>
      <c r="AD262" s="4">
        <v>1630420000000</v>
      </c>
      <c r="AE262" s="4">
        <v>1621890000000</v>
      </c>
      <c r="AF262" s="4">
        <v>1618290000000</v>
      </c>
    </row>
    <row r="263" spans="1:32" x14ac:dyDescent="0.75">
      <c r="A263" t="s">
        <v>332</v>
      </c>
      <c r="B263" s="4">
        <v>749962000000</v>
      </c>
      <c r="C263" s="4">
        <v>580094000000</v>
      </c>
      <c r="D263" s="4">
        <v>460517000000</v>
      </c>
      <c r="E263" s="4">
        <v>503353000000</v>
      </c>
      <c r="F263" s="4">
        <v>509061000000</v>
      </c>
      <c r="G263" s="4">
        <v>519386000000</v>
      </c>
      <c r="H263" s="4">
        <v>525856000000</v>
      </c>
      <c r="I263" s="4">
        <v>518247000000</v>
      </c>
      <c r="J263" s="4">
        <v>498749000000</v>
      </c>
      <c r="K263" s="4">
        <v>480073000000</v>
      </c>
      <c r="L263" s="4">
        <v>457171000000</v>
      </c>
      <c r="M263" s="4">
        <v>450652000000</v>
      </c>
      <c r="N263" s="4">
        <v>448552000000</v>
      </c>
      <c r="O263" s="4">
        <v>443132000000</v>
      </c>
      <c r="P263" s="4">
        <v>436554000000</v>
      </c>
      <c r="Q263" s="4">
        <v>433253000000</v>
      </c>
      <c r="R263" s="4">
        <v>427732000000</v>
      </c>
      <c r="S263" s="4">
        <v>418997000000</v>
      </c>
      <c r="T263" s="4">
        <v>414358000000</v>
      </c>
      <c r="U263" s="4">
        <v>411995000000</v>
      </c>
      <c r="V263" s="4">
        <v>405131000000</v>
      </c>
      <c r="W263" s="4">
        <v>399825000000</v>
      </c>
      <c r="X263" s="4">
        <v>397992000000</v>
      </c>
      <c r="Y263" s="4">
        <v>402191000000</v>
      </c>
      <c r="Z263" s="4">
        <v>400525000000</v>
      </c>
      <c r="AA263" s="4">
        <v>398959000000</v>
      </c>
      <c r="AB263" s="4">
        <v>393679000000</v>
      </c>
      <c r="AC263" s="4">
        <v>386519000000</v>
      </c>
      <c r="AD263" s="4">
        <v>380803000000</v>
      </c>
      <c r="AE263" s="4">
        <v>375896000000</v>
      </c>
      <c r="AF263" s="4">
        <v>375112000000</v>
      </c>
    </row>
    <row r="264" spans="1:32" x14ac:dyDescent="0.75">
      <c r="A264" t="s">
        <v>333</v>
      </c>
      <c r="B264" s="4">
        <v>792461000000</v>
      </c>
      <c r="C264" s="4">
        <v>668533000000</v>
      </c>
      <c r="D264" s="4">
        <v>528687000000</v>
      </c>
      <c r="E264" s="4">
        <v>779942000000</v>
      </c>
      <c r="F264" s="4">
        <v>782476000000</v>
      </c>
      <c r="G264" s="4">
        <v>788448000000</v>
      </c>
      <c r="H264" s="4">
        <v>802020000000</v>
      </c>
      <c r="I264" s="4">
        <v>798105000000</v>
      </c>
      <c r="J264" s="4">
        <v>778664000000</v>
      </c>
      <c r="K264" s="4">
        <v>759631000000</v>
      </c>
      <c r="L264" s="4">
        <v>732987000000</v>
      </c>
      <c r="M264" s="4">
        <v>725829000000</v>
      </c>
      <c r="N264" s="4">
        <v>723573000000</v>
      </c>
      <c r="O264" s="4">
        <v>719423000000</v>
      </c>
      <c r="P264" s="4">
        <v>713689000000</v>
      </c>
      <c r="Q264" s="4">
        <v>710966000000</v>
      </c>
      <c r="R264" s="4">
        <v>706739000000</v>
      </c>
      <c r="S264" s="4">
        <v>697053000000</v>
      </c>
      <c r="T264" s="4">
        <v>691943000000</v>
      </c>
      <c r="U264" s="4">
        <v>689993000000</v>
      </c>
      <c r="V264" s="4">
        <v>685734000000</v>
      </c>
      <c r="W264" s="4">
        <v>681680000000</v>
      </c>
      <c r="X264" s="4">
        <v>679492000000</v>
      </c>
      <c r="Y264" s="4">
        <v>683055000000</v>
      </c>
      <c r="Z264" s="4">
        <v>682508000000</v>
      </c>
      <c r="AA264" s="4">
        <v>680597000000</v>
      </c>
      <c r="AB264" s="4">
        <v>675242000000</v>
      </c>
      <c r="AC264" s="4">
        <v>668796000000</v>
      </c>
      <c r="AD264" s="4">
        <v>661501000000</v>
      </c>
      <c r="AE264" s="4">
        <v>655336000000</v>
      </c>
      <c r="AF264" s="4">
        <v>651273000000</v>
      </c>
    </row>
    <row r="265" spans="1:32" x14ac:dyDescent="0.75">
      <c r="A265" t="s">
        <v>334</v>
      </c>
      <c r="B265" s="4">
        <v>7233850000000</v>
      </c>
      <c r="C265" s="4">
        <v>7577790000000</v>
      </c>
      <c r="D265" s="4">
        <v>5821220000000</v>
      </c>
      <c r="E265" s="4">
        <v>10098300000000</v>
      </c>
      <c r="F265" s="4">
        <v>10102900000000</v>
      </c>
      <c r="G265" s="4">
        <v>10222500000000</v>
      </c>
      <c r="H265" s="4">
        <v>10399400000000</v>
      </c>
      <c r="I265" s="4">
        <v>10430600000000</v>
      </c>
      <c r="J265" s="4">
        <v>10261200000000</v>
      </c>
      <c r="K265" s="4">
        <v>10116500000000</v>
      </c>
      <c r="L265" s="4">
        <v>9843640000000</v>
      </c>
      <c r="M265" s="4">
        <v>9779450000000</v>
      </c>
      <c r="N265" s="4">
        <v>9762700000000</v>
      </c>
      <c r="O265" s="4">
        <v>9732400000000</v>
      </c>
      <c r="P265" s="4">
        <v>9729040000000</v>
      </c>
      <c r="Q265" s="4">
        <v>9795600000000</v>
      </c>
      <c r="R265" s="4">
        <v>9832530000000</v>
      </c>
      <c r="S265" s="4">
        <v>9774450000000</v>
      </c>
      <c r="T265" s="4">
        <v>9761190000000</v>
      </c>
      <c r="U265" s="4">
        <v>9785490000000</v>
      </c>
      <c r="V265" s="4">
        <v>9811360000000</v>
      </c>
      <c r="W265" s="4">
        <v>9879160000000</v>
      </c>
      <c r="X265" s="4">
        <v>9955740000000</v>
      </c>
      <c r="Y265" s="4">
        <v>10088500000000</v>
      </c>
      <c r="Z265" s="4">
        <v>10123500000000</v>
      </c>
      <c r="AA265" s="4">
        <v>10209100000000</v>
      </c>
      <c r="AB265" s="4">
        <v>10270900000000</v>
      </c>
      <c r="AC265" s="4">
        <v>10277400000000</v>
      </c>
      <c r="AD265" s="4">
        <v>10340700000000</v>
      </c>
      <c r="AE265" s="4">
        <v>10396600000000</v>
      </c>
      <c r="AF265" s="4">
        <v>10477500000000</v>
      </c>
    </row>
    <row r="266" spans="1:32" x14ac:dyDescent="0.75">
      <c r="A266" t="s">
        <v>335</v>
      </c>
      <c r="B266" s="4">
        <v>1436000000000</v>
      </c>
      <c r="C266" s="4">
        <v>2468720000000</v>
      </c>
      <c r="D266" s="4">
        <v>1524330000000</v>
      </c>
      <c r="E266" s="4">
        <v>1325780000000</v>
      </c>
      <c r="F266" s="4">
        <v>1026360000000</v>
      </c>
      <c r="G266" s="4">
        <v>947693000000</v>
      </c>
      <c r="H266" s="4">
        <v>875537000000</v>
      </c>
      <c r="I266" s="4">
        <v>868393000000</v>
      </c>
      <c r="J266" s="4">
        <v>866849000000</v>
      </c>
      <c r="K266" s="4">
        <v>870049000000</v>
      </c>
      <c r="L266" s="4">
        <v>871068000000</v>
      </c>
      <c r="M266" s="4">
        <v>876602000000</v>
      </c>
      <c r="N266" s="4">
        <v>873922000000</v>
      </c>
      <c r="O266" s="4">
        <v>879742000000</v>
      </c>
      <c r="P266" s="4">
        <v>879746000000</v>
      </c>
      <c r="Q266" s="4">
        <v>886449000000</v>
      </c>
      <c r="R266" s="4">
        <v>896001000000</v>
      </c>
      <c r="S266" s="4">
        <v>890446000000</v>
      </c>
      <c r="T266" s="4">
        <v>882234000000</v>
      </c>
      <c r="U266" s="4">
        <v>884687000000</v>
      </c>
      <c r="V266" s="4">
        <v>872894000000</v>
      </c>
      <c r="W266" s="4">
        <v>874857000000</v>
      </c>
      <c r="X266" s="4">
        <v>879073000000</v>
      </c>
      <c r="Y266" s="4">
        <v>881030000000</v>
      </c>
      <c r="Z266" s="4">
        <v>879410000000</v>
      </c>
      <c r="AA266" s="4">
        <v>878331000000</v>
      </c>
      <c r="AB266" s="4">
        <v>878736000000</v>
      </c>
      <c r="AC266" s="4">
        <v>881914000000</v>
      </c>
      <c r="AD266" s="4">
        <v>886236000000</v>
      </c>
      <c r="AE266" s="4">
        <v>885716000000</v>
      </c>
      <c r="AF266" s="4">
        <v>893955000000</v>
      </c>
    </row>
    <row r="267" spans="1:32" x14ac:dyDescent="0.75">
      <c r="A267" t="s">
        <v>336</v>
      </c>
      <c r="B267" s="4">
        <v>2195560000000</v>
      </c>
      <c r="C267" s="4">
        <v>2551300000000</v>
      </c>
      <c r="D267" s="4">
        <v>1882750000000</v>
      </c>
      <c r="E267" s="4">
        <v>2232260000000</v>
      </c>
      <c r="F267" s="4">
        <v>1954550000000</v>
      </c>
      <c r="G267" s="4">
        <v>1873200000000</v>
      </c>
      <c r="H267" s="4">
        <v>1794580000000</v>
      </c>
      <c r="I267" s="4">
        <v>1774980000000</v>
      </c>
      <c r="J267" s="4">
        <v>1742850000000</v>
      </c>
      <c r="K267" s="4">
        <v>1719950000000</v>
      </c>
      <c r="L267" s="4">
        <v>1683510000000</v>
      </c>
      <c r="M267" s="4">
        <v>1669530000000</v>
      </c>
      <c r="N267" s="4">
        <v>1645090000000</v>
      </c>
      <c r="O267" s="4">
        <v>1630460000000</v>
      </c>
      <c r="P267" s="4">
        <v>1611040000000</v>
      </c>
      <c r="Q267" s="4">
        <v>1608690000000</v>
      </c>
      <c r="R267" s="4">
        <v>1610920000000</v>
      </c>
      <c r="S267" s="4">
        <v>1594460000000</v>
      </c>
      <c r="T267" s="4">
        <v>1579130000000</v>
      </c>
      <c r="U267" s="4">
        <v>1580260000000</v>
      </c>
      <c r="V267" s="4">
        <v>1563710000000</v>
      </c>
      <c r="W267" s="4">
        <v>1563600000000</v>
      </c>
      <c r="X267" s="4">
        <v>1567010000000</v>
      </c>
      <c r="Y267" s="4">
        <v>1570710000000</v>
      </c>
      <c r="Z267" s="4">
        <v>1565540000000</v>
      </c>
      <c r="AA267" s="4">
        <v>1557470000000</v>
      </c>
      <c r="AB267" s="4">
        <v>1555730000000</v>
      </c>
      <c r="AC267" s="4">
        <v>1549650000000</v>
      </c>
      <c r="AD267" s="4">
        <v>1547440000000</v>
      </c>
      <c r="AE267" s="4">
        <v>1543550000000</v>
      </c>
      <c r="AF267" s="4">
        <v>1552660000000</v>
      </c>
    </row>
    <row r="268" spans="1:32" x14ac:dyDescent="0.75">
      <c r="A268" t="s">
        <v>337</v>
      </c>
      <c r="B268" s="4">
        <v>3541730000000</v>
      </c>
      <c r="C268" s="4">
        <v>4292540000000</v>
      </c>
      <c r="D268" s="4">
        <v>3032160000000</v>
      </c>
      <c r="E268" s="4">
        <v>3914600000000</v>
      </c>
      <c r="F268" s="4">
        <v>3490240000000</v>
      </c>
      <c r="G268" s="4">
        <v>3397270000000</v>
      </c>
      <c r="H268" s="4">
        <v>3302840000000</v>
      </c>
      <c r="I268" s="4">
        <v>3276430000000</v>
      </c>
      <c r="J268" s="4">
        <v>3226470000000</v>
      </c>
      <c r="K268" s="4">
        <v>3201110000000</v>
      </c>
      <c r="L268" s="4">
        <v>3129700000000</v>
      </c>
      <c r="M268" s="4">
        <v>3113630000000</v>
      </c>
      <c r="N268" s="4">
        <v>3089950000000</v>
      </c>
      <c r="O268" s="4">
        <v>3077960000000</v>
      </c>
      <c r="P268" s="4">
        <v>3066840000000</v>
      </c>
      <c r="Q268" s="4">
        <v>3082860000000</v>
      </c>
      <c r="R268" s="4">
        <v>3094900000000</v>
      </c>
      <c r="S268" s="4">
        <v>3061850000000</v>
      </c>
      <c r="T268" s="4">
        <v>3035050000000</v>
      </c>
      <c r="U268" s="4">
        <v>3033520000000</v>
      </c>
      <c r="V268" s="4">
        <v>3010540000000</v>
      </c>
      <c r="W268" s="4">
        <v>3015200000000</v>
      </c>
      <c r="X268" s="4">
        <v>3021250000000</v>
      </c>
      <c r="Y268" s="4">
        <v>3036330000000</v>
      </c>
      <c r="Z268" s="4">
        <v>3031230000000</v>
      </c>
      <c r="AA268" s="4">
        <v>3029910000000</v>
      </c>
      <c r="AB268" s="4">
        <v>3033200000000</v>
      </c>
      <c r="AC268" s="4">
        <v>3021580000000</v>
      </c>
      <c r="AD268" s="4">
        <v>3025250000000</v>
      </c>
      <c r="AE268" s="4">
        <v>3026870000000</v>
      </c>
      <c r="AF268" s="4">
        <v>3038840000000</v>
      </c>
    </row>
    <row r="269" spans="1:32" x14ac:dyDescent="0.75">
      <c r="A269" t="s">
        <v>338</v>
      </c>
      <c r="B269" s="4">
        <v>1190110000000</v>
      </c>
      <c r="C269" s="4">
        <v>1378330000000</v>
      </c>
      <c r="D269" s="4">
        <v>969263000000</v>
      </c>
      <c r="E269" s="4">
        <v>2769260000000</v>
      </c>
      <c r="F269" s="4">
        <v>2636650000000</v>
      </c>
      <c r="G269" s="4">
        <v>2614730000000</v>
      </c>
      <c r="H269" s="4">
        <v>2629430000000</v>
      </c>
      <c r="I269" s="4">
        <v>2649300000000</v>
      </c>
      <c r="J269" s="4">
        <v>2622510000000</v>
      </c>
      <c r="K269" s="4">
        <v>2569430000000</v>
      </c>
      <c r="L269" s="4">
        <v>2486840000000</v>
      </c>
      <c r="M269" s="4">
        <v>2455380000000</v>
      </c>
      <c r="N269" s="4">
        <v>2443270000000</v>
      </c>
      <c r="O269" s="4">
        <v>2439030000000</v>
      </c>
      <c r="P269" s="4">
        <v>2438340000000</v>
      </c>
      <c r="Q269" s="4">
        <v>2447070000000</v>
      </c>
      <c r="R269" s="4">
        <v>2451970000000</v>
      </c>
      <c r="S269" s="4">
        <v>2429620000000</v>
      </c>
      <c r="T269" s="4">
        <v>2412910000000</v>
      </c>
      <c r="U269" s="4">
        <v>2418700000000</v>
      </c>
      <c r="V269" s="4">
        <v>2408960000000</v>
      </c>
      <c r="W269" s="4">
        <v>2411080000000</v>
      </c>
      <c r="X269" s="4">
        <v>2415220000000</v>
      </c>
      <c r="Y269" s="4">
        <v>2422170000000</v>
      </c>
      <c r="Z269" s="4">
        <v>2419720000000</v>
      </c>
      <c r="AA269" s="4">
        <v>2412170000000</v>
      </c>
      <c r="AB269" s="4">
        <v>2401870000000</v>
      </c>
      <c r="AC269" s="4">
        <v>2392630000000</v>
      </c>
      <c r="AD269" s="4">
        <v>2375330000000</v>
      </c>
      <c r="AE269" s="4">
        <v>2355610000000</v>
      </c>
      <c r="AF269" s="4">
        <v>2340740000000</v>
      </c>
    </row>
    <row r="270" spans="1:32" x14ac:dyDescent="0.75">
      <c r="A270" t="s">
        <v>339</v>
      </c>
      <c r="B270" s="4">
        <v>673732000000</v>
      </c>
      <c r="C270" s="4">
        <v>780288000000</v>
      </c>
      <c r="D270" s="4">
        <v>548709000000</v>
      </c>
      <c r="E270" s="4">
        <v>1567700000000</v>
      </c>
      <c r="F270" s="4">
        <v>1492630000000</v>
      </c>
      <c r="G270" s="4">
        <v>1480220000000</v>
      </c>
      <c r="H270" s="4">
        <v>1488550000000</v>
      </c>
      <c r="I270" s="4">
        <v>1499790000000</v>
      </c>
      <c r="J270" s="4">
        <v>1484630000000</v>
      </c>
      <c r="K270" s="4">
        <v>1454580000000</v>
      </c>
      <c r="L270" s="4">
        <v>1407820000000</v>
      </c>
      <c r="M270" s="4">
        <v>1390010000000</v>
      </c>
      <c r="N270" s="4">
        <v>1383160000000</v>
      </c>
      <c r="O270" s="4">
        <v>1380760000000</v>
      </c>
      <c r="P270" s="4">
        <v>1380370000000</v>
      </c>
      <c r="Q270" s="4">
        <v>1385310000000</v>
      </c>
      <c r="R270" s="4">
        <v>1388080000000</v>
      </c>
      <c r="S270" s="4">
        <v>1375430000000</v>
      </c>
      <c r="T270" s="4">
        <v>1365970000000</v>
      </c>
      <c r="U270" s="4">
        <v>1369250000000</v>
      </c>
      <c r="V270" s="4">
        <v>1363730000000</v>
      </c>
      <c r="W270" s="4">
        <v>1364940000000</v>
      </c>
      <c r="X270" s="4">
        <v>1367280000000</v>
      </c>
      <c r="Y270" s="4">
        <v>1371210000000</v>
      </c>
      <c r="Z270" s="4">
        <v>1369830000000</v>
      </c>
      <c r="AA270" s="4">
        <v>1365550000000</v>
      </c>
      <c r="AB270" s="4">
        <v>1359720000000</v>
      </c>
      <c r="AC270" s="4">
        <v>1354490000000</v>
      </c>
      <c r="AD270" s="4">
        <v>1344700000000</v>
      </c>
      <c r="AE270" s="4">
        <v>1333530000000</v>
      </c>
      <c r="AF270" s="4">
        <v>1325110000000</v>
      </c>
    </row>
    <row r="271" spans="1:32" x14ac:dyDescent="0.75">
      <c r="A271" t="s">
        <v>340</v>
      </c>
      <c r="B271">
        <v>0</v>
      </c>
      <c r="C271">
        <v>0</v>
      </c>
      <c r="D271">
        <v>0</v>
      </c>
      <c r="E271" s="4">
        <v>726092000000</v>
      </c>
      <c r="F271" s="4">
        <v>725259000000</v>
      </c>
      <c r="G271" s="4">
        <v>726955000000</v>
      </c>
      <c r="H271" s="4">
        <v>735940000000</v>
      </c>
      <c r="I271" s="4">
        <v>738536000000</v>
      </c>
      <c r="J271" s="4">
        <v>731677000000</v>
      </c>
      <c r="K271" s="4">
        <v>725566000000</v>
      </c>
      <c r="L271" s="4">
        <v>713424000000</v>
      </c>
      <c r="M271" s="4">
        <v>708142000000</v>
      </c>
      <c r="N271" s="4">
        <v>702197000000</v>
      </c>
      <c r="O271" s="4">
        <v>696824000000</v>
      </c>
      <c r="P271" s="4">
        <v>692523000000</v>
      </c>
      <c r="Q271" s="4">
        <v>692258000000</v>
      </c>
      <c r="R271" s="4">
        <v>691359000000</v>
      </c>
      <c r="S271" s="4">
        <v>686317000000</v>
      </c>
      <c r="T271" s="4">
        <v>685258000000</v>
      </c>
      <c r="U271" s="4">
        <v>687006000000</v>
      </c>
      <c r="V271" s="4">
        <v>688004000000</v>
      </c>
      <c r="W271" s="4">
        <v>690264000000</v>
      </c>
      <c r="X271" s="4">
        <v>693853000000</v>
      </c>
      <c r="Y271" s="4">
        <v>701509000000</v>
      </c>
      <c r="Z271" s="4">
        <v>705917000000</v>
      </c>
      <c r="AA271" s="4">
        <v>708498000000</v>
      </c>
      <c r="AB271" s="4">
        <v>709676000000</v>
      </c>
      <c r="AC271" s="4">
        <v>710352000000</v>
      </c>
      <c r="AD271" s="4">
        <v>712151000000</v>
      </c>
      <c r="AE271" s="4">
        <v>714617000000</v>
      </c>
      <c r="AF271" s="4">
        <v>716769000000</v>
      </c>
    </row>
    <row r="272" spans="1:32" x14ac:dyDescent="0.75">
      <c r="A272" t="s">
        <v>341</v>
      </c>
      <c r="B272">
        <v>0</v>
      </c>
      <c r="C272" s="4">
        <v>165759000000</v>
      </c>
      <c r="D272" s="4">
        <v>111716000000</v>
      </c>
      <c r="E272" s="4">
        <v>198605000000</v>
      </c>
      <c r="F272" s="4">
        <v>212515000000</v>
      </c>
      <c r="G272" s="4">
        <v>222484000000</v>
      </c>
      <c r="H272" s="4">
        <v>227476000000</v>
      </c>
      <c r="I272" s="4">
        <v>233087000000</v>
      </c>
      <c r="J272" s="4">
        <v>237666000000</v>
      </c>
      <c r="K272" s="4">
        <v>241439000000</v>
      </c>
      <c r="L272" s="4">
        <v>246294000000</v>
      </c>
      <c r="M272" s="4">
        <v>252298000000</v>
      </c>
      <c r="N272" s="4">
        <v>258248000000</v>
      </c>
      <c r="O272" s="4">
        <v>263793000000</v>
      </c>
      <c r="P272" s="4">
        <v>268005000000</v>
      </c>
      <c r="Q272" s="4">
        <v>273648000000</v>
      </c>
      <c r="R272" s="4">
        <v>277874000000</v>
      </c>
      <c r="S272" s="4">
        <v>272844000000</v>
      </c>
      <c r="T272" s="4">
        <v>272267000000</v>
      </c>
      <c r="U272" s="4">
        <v>269568000000</v>
      </c>
      <c r="V272" s="4">
        <v>268608000000</v>
      </c>
      <c r="W272" s="4">
        <v>267485000000</v>
      </c>
      <c r="X272" s="4">
        <v>266813000000</v>
      </c>
      <c r="Y272" s="4">
        <v>266446000000</v>
      </c>
      <c r="Z272" s="4">
        <v>267144000000</v>
      </c>
      <c r="AA272" s="4">
        <v>267789000000</v>
      </c>
      <c r="AB272" s="4">
        <v>269108000000</v>
      </c>
      <c r="AC272" s="4">
        <v>267350000000</v>
      </c>
      <c r="AD272" s="4">
        <v>266762000000</v>
      </c>
      <c r="AE272" s="4">
        <v>267045000000</v>
      </c>
      <c r="AF272" s="4">
        <v>266233000000</v>
      </c>
    </row>
    <row r="273" spans="1:32" x14ac:dyDescent="0.75">
      <c r="A273" t="s">
        <v>342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75">
      <c r="A274" t="s">
        <v>343</v>
      </c>
      <c r="B274" s="4">
        <v>36703700000000</v>
      </c>
      <c r="C274" s="4">
        <v>35796300000000</v>
      </c>
      <c r="D274" s="4">
        <v>28565600000000</v>
      </c>
      <c r="E274" s="4">
        <v>59474200000000</v>
      </c>
      <c r="F274" s="4">
        <v>61440100000000</v>
      </c>
      <c r="G274" s="4">
        <v>63471800000000</v>
      </c>
      <c r="H274" s="4">
        <v>64926200000000</v>
      </c>
      <c r="I274" s="4">
        <v>65650400000000</v>
      </c>
      <c r="J274" s="4">
        <v>65984800000000</v>
      </c>
      <c r="K274" s="4">
        <v>66424400000000</v>
      </c>
      <c r="L274" s="4">
        <v>66906600000000</v>
      </c>
      <c r="M274" s="4">
        <v>67489000000000</v>
      </c>
      <c r="N274" s="4">
        <v>68185900000000</v>
      </c>
      <c r="O274" s="4">
        <v>68943500000000</v>
      </c>
      <c r="P274" s="4">
        <v>69716900000000</v>
      </c>
      <c r="Q274" s="4">
        <v>70750900000000</v>
      </c>
      <c r="R274" s="4">
        <v>71649300000000</v>
      </c>
      <c r="S274" s="4">
        <v>72425100000000</v>
      </c>
      <c r="T274" s="4">
        <v>73316200000000</v>
      </c>
      <c r="U274" s="4">
        <v>74193700000000</v>
      </c>
      <c r="V274" s="4">
        <v>75321100000000</v>
      </c>
      <c r="W274" s="4">
        <v>76594100000000</v>
      </c>
      <c r="X274" s="4">
        <v>77742200000000</v>
      </c>
      <c r="Y274" s="4">
        <v>78965200000000</v>
      </c>
      <c r="Z274" s="4">
        <v>80246000000000</v>
      </c>
      <c r="AA274" s="4">
        <v>81597500000000</v>
      </c>
      <c r="AB274" s="4">
        <v>83130800000000</v>
      </c>
      <c r="AC274" s="4">
        <v>84390000000000</v>
      </c>
      <c r="AD274" s="4">
        <v>85769600000000</v>
      </c>
      <c r="AE274" s="4">
        <v>87332200000000</v>
      </c>
      <c r="AF274" s="4">
        <v>88966500000000</v>
      </c>
    </row>
    <row r="275" spans="1:32" x14ac:dyDescent="0.75">
      <c r="A275" t="s">
        <v>344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75">
      <c r="A276" t="s">
        <v>345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75">
      <c r="A277" t="s">
        <v>346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75">
      <c r="A278" t="s">
        <v>347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75">
      <c r="A279" t="s">
        <v>348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75">
      <c r="A280" t="s">
        <v>349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75">
      <c r="A281" t="s">
        <v>350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75">
      <c r="A282" t="s">
        <v>351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75">
      <c r="A283" t="s">
        <v>352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75">
      <c r="A284" t="s">
        <v>353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75">
      <c r="A285" t="s">
        <v>354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75">
      <c r="A286" t="s">
        <v>355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75">
      <c r="A287" t="s">
        <v>356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75">
      <c r="A288" t="s">
        <v>357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75">
      <c r="A289" t="s">
        <v>358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75">
      <c r="A290" t="s">
        <v>359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75">
      <c r="A291" t="s">
        <v>360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75">
      <c r="A292" t="s">
        <v>361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75">
      <c r="A293" t="s">
        <v>362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75">
      <c r="A294" t="s">
        <v>363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75">
      <c r="A295" t="s">
        <v>364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75">
      <c r="A296" t="s">
        <v>365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75">
      <c r="A297" t="s">
        <v>366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75">
      <c r="A298" t="s">
        <v>367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75">
      <c r="A299" t="s">
        <v>368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75">
      <c r="A300" t="s">
        <v>369</v>
      </c>
      <c r="B300" s="4">
        <v>18574400000000</v>
      </c>
      <c r="C300" s="4">
        <v>31974100000000</v>
      </c>
      <c r="D300" s="4">
        <v>54316700000000</v>
      </c>
      <c r="E300" s="4">
        <v>85243100000000</v>
      </c>
      <c r="F300" s="4">
        <v>124785000000000</v>
      </c>
      <c r="G300" s="4">
        <v>174483000000000</v>
      </c>
      <c r="H300" s="4">
        <v>233197000000000</v>
      </c>
      <c r="I300" s="4">
        <v>299617000000000</v>
      </c>
      <c r="J300" s="4">
        <v>371608000000000</v>
      </c>
      <c r="K300" s="4">
        <v>449838000000000</v>
      </c>
      <c r="L300" s="4">
        <v>534451000000000</v>
      </c>
      <c r="M300" s="4">
        <v>623748000000000</v>
      </c>
      <c r="N300" s="4">
        <v>715297000000000</v>
      </c>
      <c r="O300" s="4">
        <v>802572000000000</v>
      </c>
      <c r="P300" s="4">
        <v>889428000000000</v>
      </c>
      <c r="Q300" s="4">
        <v>973222000000000</v>
      </c>
      <c r="R300" s="4">
        <v>1055680000000000</v>
      </c>
      <c r="S300" s="4">
        <v>1134250000000000</v>
      </c>
      <c r="T300" s="4">
        <v>1207920000000000</v>
      </c>
      <c r="U300" s="4">
        <v>1277420000000000</v>
      </c>
      <c r="V300" s="4">
        <v>1343410000000000</v>
      </c>
      <c r="W300" s="4">
        <v>1406450000000000</v>
      </c>
      <c r="X300" s="4">
        <v>1466900000000000</v>
      </c>
      <c r="Y300" s="4">
        <v>1524260000000000</v>
      </c>
      <c r="Z300" s="4">
        <v>1579820000000000</v>
      </c>
      <c r="AA300" s="4">
        <v>1634810000000000</v>
      </c>
      <c r="AB300" s="4">
        <v>1690230000000000</v>
      </c>
      <c r="AC300" s="4">
        <v>1745810000000000</v>
      </c>
      <c r="AD300" s="4">
        <v>1801110000000000</v>
      </c>
      <c r="AE300" s="4">
        <v>1856610000000000</v>
      </c>
      <c r="AF300" s="4">
        <v>1913370000000000</v>
      </c>
    </row>
    <row r="301" spans="1:32" x14ac:dyDescent="0.75">
      <c r="A301" t="s">
        <v>370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75">
      <c r="A302" t="s">
        <v>371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75">
      <c r="A303" t="s">
        <v>372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75">
      <c r="A304" t="s">
        <v>373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75">
      <c r="A305" t="s">
        <v>374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75">
      <c r="A306" t="s">
        <v>375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75">
      <c r="A307" t="s">
        <v>376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75">
      <c r="A308" t="s">
        <v>377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75">
      <c r="A309" t="s">
        <v>378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75">
      <c r="A310" t="s">
        <v>379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75">
      <c r="A311" t="s">
        <v>380</v>
      </c>
      <c r="B311" s="4">
        <v>5762790000000</v>
      </c>
      <c r="C311" s="4">
        <v>5592970000000</v>
      </c>
      <c r="D311" s="4">
        <v>5347250000000</v>
      </c>
      <c r="E311" s="4">
        <v>5021240000000</v>
      </c>
      <c r="F311" s="4">
        <v>4608450000000</v>
      </c>
      <c r="G311" s="4">
        <v>4188510000000</v>
      </c>
      <c r="H311" s="4">
        <v>3763850000000</v>
      </c>
      <c r="I311" s="4">
        <v>3338480000000</v>
      </c>
      <c r="J311" s="4">
        <v>2920640000000</v>
      </c>
      <c r="K311" s="4">
        <v>2521240000000</v>
      </c>
      <c r="L311" s="4">
        <v>2143440000000</v>
      </c>
      <c r="M311" s="4">
        <v>1786240000000</v>
      </c>
      <c r="N311" s="4">
        <v>1445720000000</v>
      </c>
      <c r="O311" s="4">
        <v>1469950000000</v>
      </c>
      <c r="P311" s="4">
        <v>1495740000000</v>
      </c>
      <c r="Q311" s="4">
        <v>1550820000000</v>
      </c>
      <c r="R311" s="4">
        <v>1614290000000</v>
      </c>
      <c r="S311" s="4">
        <v>1678930000000</v>
      </c>
      <c r="T311" s="4">
        <v>1754450000000</v>
      </c>
      <c r="U311" s="4">
        <v>1840810000000</v>
      </c>
      <c r="V311" s="4">
        <v>1935250000000</v>
      </c>
      <c r="W311" s="4">
        <v>2033770000000</v>
      </c>
      <c r="X311" s="4">
        <v>2131390000000</v>
      </c>
      <c r="Y311" s="4">
        <v>2225140000000</v>
      </c>
      <c r="Z311" s="4">
        <v>2312530000000</v>
      </c>
      <c r="AA311" s="4">
        <v>2393410000000</v>
      </c>
      <c r="AB311" s="4">
        <v>2467020000000</v>
      </c>
      <c r="AC311" s="4">
        <v>2530030000000</v>
      </c>
      <c r="AD311" s="4">
        <v>2581020000000</v>
      </c>
      <c r="AE311" s="4">
        <v>2621460000000</v>
      </c>
      <c r="AF311" s="4">
        <v>2652040000000</v>
      </c>
    </row>
    <row r="312" spans="1:32" x14ac:dyDescent="0.75">
      <c r="A312" t="s">
        <v>381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75">
      <c r="A313" t="s">
        <v>382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75">
      <c r="A314" t="s">
        <v>383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75">
      <c r="A315" t="s">
        <v>384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x14ac:dyDescent="0.75">
      <c r="A316" t="s">
        <v>385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75">
      <c r="A317" t="s">
        <v>386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75">
      <c r="A318" t="s">
        <v>387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75">
      <c r="A319" t="s">
        <v>388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75">
      <c r="A320" t="s">
        <v>389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75">
      <c r="A321" t="s">
        <v>390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75">
      <c r="A322" t="s">
        <v>391</v>
      </c>
      <c r="B322" s="4">
        <v>1.20346E+16</v>
      </c>
      <c r="C322" s="4">
        <v>1.23173E+16</v>
      </c>
      <c r="D322" s="4">
        <v>1.25222E+16</v>
      </c>
      <c r="E322" s="4">
        <v>1.25735E+16</v>
      </c>
      <c r="F322" s="4">
        <v>1.23905E+16</v>
      </c>
      <c r="G322" s="4">
        <v>1.21722E+16</v>
      </c>
      <c r="H322" s="4">
        <v>1.19181E+16</v>
      </c>
      <c r="I322" s="4">
        <v>1.16366E+16</v>
      </c>
      <c r="J322" s="4">
        <v>1.13412E+16</v>
      </c>
      <c r="K322" s="4">
        <v>1.1048E+16</v>
      </c>
      <c r="L322" s="4">
        <v>1.07618E+16</v>
      </c>
      <c r="M322" s="4">
        <v>1.04793E+16</v>
      </c>
      <c r="N322" s="4">
        <v>1.01835E+16</v>
      </c>
      <c r="O322" s="4">
        <v>9915030000000000</v>
      </c>
      <c r="P322" s="4">
        <v>9651050000000000</v>
      </c>
      <c r="Q322" s="4">
        <v>9399040000000000</v>
      </c>
      <c r="R322" s="4">
        <v>9159520000000000</v>
      </c>
      <c r="S322" s="4">
        <v>8941440000000000</v>
      </c>
      <c r="T322" s="4">
        <v>8744090000000000</v>
      </c>
      <c r="U322" s="4">
        <v>8570990000000000</v>
      </c>
      <c r="V322" s="4">
        <v>8414070000000000</v>
      </c>
      <c r="W322" s="4">
        <v>8267450000000000</v>
      </c>
      <c r="X322" s="4">
        <v>8134610000000000</v>
      </c>
      <c r="Y322" s="4">
        <v>8013300000000000</v>
      </c>
      <c r="Z322" s="4">
        <v>7899900000000000</v>
      </c>
      <c r="AA322" s="4">
        <v>7796620000000000</v>
      </c>
      <c r="AB322" s="4">
        <v>7704070000000000</v>
      </c>
      <c r="AC322" s="4">
        <v>7616430000000000</v>
      </c>
      <c r="AD322" s="4">
        <v>7533710000000000</v>
      </c>
      <c r="AE322" s="4">
        <v>7457930000000000</v>
      </c>
      <c r="AF322" s="4">
        <v>7389950000000000</v>
      </c>
    </row>
    <row r="323" spans="1:32" x14ac:dyDescent="0.75">
      <c r="A323" t="s">
        <v>392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75">
      <c r="A324" t="s">
        <v>393</v>
      </c>
      <c r="B324" s="4">
        <v>1366960000000000</v>
      </c>
      <c r="C324" s="4">
        <v>1399070000000000</v>
      </c>
      <c r="D324" s="4">
        <v>1422340000000000</v>
      </c>
      <c r="E324" s="4">
        <v>1428170000000000</v>
      </c>
      <c r="F324" s="4">
        <v>1407390000000000</v>
      </c>
      <c r="G324" s="4">
        <v>1382590000000000</v>
      </c>
      <c r="H324" s="4">
        <v>1353730000000000</v>
      </c>
      <c r="I324" s="4">
        <v>1321760000000000</v>
      </c>
      <c r="J324" s="4">
        <v>1288190000000000</v>
      </c>
      <c r="K324" s="4">
        <v>1254900000000000</v>
      </c>
      <c r="L324" s="4">
        <v>1222390000000000</v>
      </c>
      <c r="M324" s="4">
        <v>1190300000000000</v>
      </c>
      <c r="N324" s="4">
        <v>1156700000000000</v>
      </c>
      <c r="O324" s="4">
        <v>1126210000000000</v>
      </c>
      <c r="P324" s="4">
        <v>1096220000000000</v>
      </c>
      <c r="Q324" s="4">
        <v>1067600000000000</v>
      </c>
      <c r="R324" s="4">
        <v>1040390000000000</v>
      </c>
      <c r="S324" s="4">
        <v>1015620000000000</v>
      </c>
      <c r="T324" s="4">
        <v>993204000000000</v>
      </c>
      <c r="U324" s="4">
        <v>973542000000000</v>
      </c>
      <c r="V324" s="4">
        <v>955718000000000</v>
      </c>
      <c r="W324" s="4">
        <v>939064000000000</v>
      </c>
      <c r="X324" s="4">
        <v>923975000000000</v>
      </c>
      <c r="Y324" s="4">
        <v>910197000000000</v>
      </c>
      <c r="Z324" s="4">
        <v>897316000000000</v>
      </c>
      <c r="AA324" s="4">
        <v>885585000000000</v>
      </c>
      <c r="AB324" s="4">
        <v>875072000000000</v>
      </c>
      <c r="AC324" s="4">
        <v>865118000000000</v>
      </c>
      <c r="AD324" s="4">
        <v>855722000000000</v>
      </c>
      <c r="AE324" s="4">
        <v>847115000000000</v>
      </c>
      <c r="AF324" s="4">
        <v>839393000000000</v>
      </c>
    </row>
    <row r="325" spans="1:32" x14ac:dyDescent="0.75">
      <c r="A325" t="s">
        <v>394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75">
      <c r="A326" t="s">
        <v>395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75">
      <c r="A327" t="s">
        <v>396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75">
      <c r="A328" t="s">
        <v>397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75">
      <c r="A329" t="s">
        <v>398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75">
      <c r="A330" t="s">
        <v>399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75">
      <c r="A331" t="s">
        <v>400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75">
      <c r="A332" t="s">
        <v>401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75">
      <c r="A333" t="s">
        <v>402</v>
      </c>
      <c r="B333" s="4">
        <v>49773800000000</v>
      </c>
      <c r="C333" s="4">
        <v>48456600000000</v>
      </c>
      <c r="D333" s="4">
        <v>46405900000000</v>
      </c>
      <c r="E333" s="4">
        <v>44296500000000</v>
      </c>
      <c r="F333" s="4">
        <v>41069500000000</v>
      </c>
      <c r="G333" s="4">
        <v>37978700000000</v>
      </c>
      <c r="H333" s="4">
        <v>34955800000000</v>
      </c>
      <c r="I333" s="4">
        <v>32040800000000</v>
      </c>
      <c r="J333" s="4">
        <v>29317900000000</v>
      </c>
      <c r="K333" s="4">
        <v>26833400000000</v>
      </c>
      <c r="L333" s="4">
        <v>24642200000000</v>
      </c>
      <c r="M333" s="4">
        <v>22718700000000</v>
      </c>
      <c r="N333" s="4">
        <v>20979100000000</v>
      </c>
      <c r="O333" s="4">
        <v>22705700000000</v>
      </c>
      <c r="P333" s="4">
        <v>24363200000000</v>
      </c>
      <c r="Q333" s="4">
        <v>26078400000000</v>
      </c>
      <c r="R333" s="4">
        <v>27726000000000</v>
      </c>
      <c r="S333" s="4">
        <v>29368000000000</v>
      </c>
      <c r="T333" s="4">
        <v>30963700000000</v>
      </c>
      <c r="U333" s="4">
        <v>32668700000000</v>
      </c>
      <c r="V333" s="4">
        <v>34375700000000</v>
      </c>
      <c r="W333" s="4">
        <v>36069000000000</v>
      </c>
      <c r="X333" s="4">
        <v>37782300000000</v>
      </c>
      <c r="Y333" s="4">
        <v>39380400000000</v>
      </c>
      <c r="Z333" s="4">
        <v>40952200000000</v>
      </c>
      <c r="AA333" s="4">
        <v>42588700000000</v>
      </c>
      <c r="AB333" s="4">
        <v>44204000000000</v>
      </c>
      <c r="AC333" s="4">
        <v>45827300000000</v>
      </c>
      <c r="AD333" s="4">
        <v>47407400000000</v>
      </c>
      <c r="AE333" s="4">
        <v>49008000000000</v>
      </c>
      <c r="AF333" s="4">
        <v>50671200000000</v>
      </c>
    </row>
    <row r="334" spans="1:32" x14ac:dyDescent="0.75">
      <c r="A334" t="s">
        <v>403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75">
      <c r="A335" t="s">
        <v>404</v>
      </c>
      <c r="B335" s="4">
        <v>2239920000000</v>
      </c>
      <c r="C335" s="4">
        <v>1911250000000</v>
      </c>
      <c r="D335" s="4">
        <v>1830360000000</v>
      </c>
      <c r="E335" s="4">
        <v>1317370000000</v>
      </c>
      <c r="F335" s="4">
        <v>1219970000000</v>
      </c>
      <c r="G335" s="4">
        <v>1090660000000</v>
      </c>
      <c r="H335" s="4">
        <v>1000380000000</v>
      </c>
      <c r="I335" s="4">
        <v>934912000000</v>
      </c>
      <c r="J335" s="4">
        <v>868181000000</v>
      </c>
      <c r="K335" s="4">
        <v>814403000000</v>
      </c>
      <c r="L335" s="4">
        <v>752287000000</v>
      </c>
      <c r="M335" s="4">
        <v>668490000000</v>
      </c>
      <c r="N335" s="4">
        <v>606480000000</v>
      </c>
      <c r="O335" s="4">
        <v>653276000000</v>
      </c>
      <c r="P335" s="4">
        <v>707117000000</v>
      </c>
      <c r="Q335" s="4">
        <v>786393000000</v>
      </c>
      <c r="R335" s="4">
        <v>843592000000</v>
      </c>
      <c r="S335" s="4">
        <v>913684000000</v>
      </c>
      <c r="T335" s="4">
        <v>1059060000000</v>
      </c>
      <c r="U335" s="4">
        <v>1127040000000</v>
      </c>
      <c r="V335" s="4">
        <v>1201650000000</v>
      </c>
      <c r="W335" s="4">
        <v>1289450000000</v>
      </c>
      <c r="X335" s="4">
        <v>1364190000000</v>
      </c>
      <c r="Y335" s="4">
        <v>1524490000000</v>
      </c>
      <c r="Z335" s="4">
        <v>1686540000000</v>
      </c>
      <c r="AA335" s="4">
        <v>1779850000000</v>
      </c>
      <c r="AB335" s="4">
        <v>1910810000000</v>
      </c>
      <c r="AC335" s="4">
        <v>2015610000000</v>
      </c>
      <c r="AD335" s="4">
        <v>2154310000000</v>
      </c>
      <c r="AE335" s="4">
        <v>2289180000000</v>
      </c>
      <c r="AF335" s="4">
        <v>2397130000000</v>
      </c>
    </row>
    <row r="336" spans="1:32" x14ac:dyDescent="0.75">
      <c r="A336" t="s">
        <v>405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75">
      <c r="A337" t="s">
        <v>406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75">
      <c r="A338" t="s">
        <v>407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75">
      <c r="A339" t="s">
        <v>408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75">
      <c r="A340" t="s">
        <v>409</v>
      </c>
      <c r="B340" s="4">
        <v>9754140000000</v>
      </c>
      <c r="C340" s="4">
        <v>11159100000000</v>
      </c>
      <c r="D340" s="4">
        <v>12843000000000</v>
      </c>
      <c r="E340" s="4">
        <v>14431800000000</v>
      </c>
      <c r="F340" s="4">
        <v>15800600000000</v>
      </c>
      <c r="G340" s="4">
        <v>17110700000000</v>
      </c>
      <c r="H340" s="4">
        <v>18365000000000</v>
      </c>
      <c r="I340" s="4">
        <v>19611300000000</v>
      </c>
      <c r="J340" s="4">
        <v>20892400000000</v>
      </c>
      <c r="K340" s="4">
        <v>22322500000000</v>
      </c>
      <c r="L340" s="4">
        <v>23950700000000</v>
      </c>
      <c r="M340" s="4">
        <v>25828300000000</v>
      </c>
      <c r="N340" s="4">
        <v>27930400000000</v>
      </c>
      <c r="O340" s="4">
        <v>29322800000000</v>
      </c>
      <c r="P340" s="4">
        <v>31024200000000</v>
      </c>
      <c r="Q340" s="4">
        <v>32902100000000</v>
      </c>
      <c r="R340" s="4">
        <v>35199300000000</v>
      </c>
      <c r="S340" s="4">
        <v>37857500000000</v>
      </c>
      <c r="T340" s="4">
        <v>40883500000000</v>
      </c>
      <c r="U340" s="4">
        <v>44234900000000</v>
      </c>
      <c r="V340" s="4">
        <v>47780100000000</v>
      </c>
      <c r="W340" s="4">
        <v>51415000000000</v>
      </c>
      <c r="X340" s="4">
        <v>55034600000000</v>
      </c>
      <c r="Y340" s="4">
        <v>58564900000000</v>
      </c>
      <c r="Z340" s="4">
        <v>61910800000000</v>
      </c>
      <c r="AA340" s="4">
        <v>65036100000000</v>
      </c>
      <c r="AB340" s="4">
        <v>67921800000000</v>
      </c>
      <c r="AC340" s="4">
        <v>70474000000000</v>
      </c>
      <c r="AD340" s="4">
        <v>72652900000000</v>
      </c>
      <c r="AE340" s="4">
        <v>74482500000000</v>
      </c>
      <c r="AF340" s="4">
        <v>76002200000000</v>
      </c>
    </row>
    <row r="341" spans="1:32" x14ac:dyDescent="0.75">
      <c r="A341" t="s">
        <v>410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75">
      <c r="A342" t="s">
        <v>411</v>
      </c>
      <c r="B342" s="4">
        <v>7964700000000</v>
      </c>
      <c r="C342" s="4">
        <v>9109910000000</v>
      </c>
      <c r="D342" s="4">
        <v>10486900000000</v>
      </c>
      <c r="E342" s="4">
        <v>11781600000000</v>
      </c>
      <c r="F342" s="4">
        <v>12899000000000</v>
      </c>
      <c r="G342" s="4">
        <v>13968600000000</v>
      </c>
      <c r="H342" s="4">
        <v>14992500000000</v>
      </c>
      <c r="I342" s="4">
        <v>16013500000000</v>
      </c>
      <c r="J342" s="4">
        <v>17059600000000</v>
      </c>
      <c r="K342" s="4">
        <v>18227400000000</v>
      </c>
      <c r="L342" s="4">
        <v>19556900000000</v>
      </c>
      <c r="M342" s="4">
        <v>21090000000000</v>
      </c>
      <c r="N342" s="4">
        <v>22806400000000</v>
      </c>
      <c r="O342" s="4">
        <v>23943400000000</v>
      </c>
      <c r="P342" s="4">
        <v>25332700000000</v>
      </c>
      <c r="Q342" s="4">
        <v>26866000000000</v>
      </c>
      <c r="R342" s="4">
        <v>28741800000000</v>
      </c>
      <c r="S342" s="4">
        <v>30912400000000</v>
      </c>
      <c r="T342" s="4">
        <v>33383200000000</v>
      </c>
      <c r="U342" s="4">
        <v>36119800000000</v>
      </c>
      <c r="V342" s="4">
        <v>39005900000000</v>
      </c>
      <c r="W342" s="4">
        <v>41973400000000</v>
      </c>
      <c r="X342" s="4">
        <v>44928300000000</v>
      </c>
      <c r="Y342" s="4">
        <v>47810300000000</v>
      </c>
      <c r="Z342" s="4">
        <v>50541700000000</v>
      </c>
      <c r="AA342" s="4">
        <v>53093100000000</v>
      </c>
      <c r="AB342" s="4">
        <v>55448900000000</v>
      </c>
      <c r="AC342" s="4">
        <v>57532400000000</v>
      </c>
      <c r="AD342" s="4">
        <v>59298000000000</v>
      </c>
      <c r="AE342" s="4">
        <v>60791300000000</v>
      </c>
      <c r="AF342" s="4">
        <v>62031600000000</v>
      </c>
    </row>
    <row r="343" spans="1:32" x14ac:dyDescent="0.75">
      <c r="A343" t="s">
        <v>412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75">
      <c r="A344" t="s">
        <v>413</v>
      </c>
      <c r="B344" s="4">
        <v>15961300000</v>
      </c>
      <c r="C344" s="4">
        <v>20289300000</v>
      </c>
      <c r="D344" s="4">
        <v>21015900000</v>
      </c>
      <c r="E344" s="4">
        <v>26239700000</v>
      </c>
      <c r="F344" s="4">
        <v>28728400000</v>
      </c>
      <c r="G344" s="4">
        <v>31110400000</v>
      </c>
      <c r="H344" s="4">
        <v>33390800000</v>
      </c>
      <c r="I344" s="4">
        <v>32091200000</v>
      </c>
      <c r="J344" s="4">
        <v>34187600000</v>
      </c>
      <c r="K344" s="4">
        <v>36527800000</v>
      </c>
      <c r="L344" s="4">
        <v>39192100000</v>
      </c>
      <c r="M344" s="4">
        <v>42264500000</v>
      </c>
      <c r="N344" s="4">
        <v>45704300000</v>
      </c>
      <c r="O344" s="4">
        <v>47982700000</v>
      </c>
      <c r="P344" s="4">
        <v>50766900000</v>
      </c>
      <c r="Q344" s="4">
        <v>53839700000</v>
      </c>
      <c r="R344" s="4">
        <v>57598800000</v>
      </c>
      <c r="S344" s="4">
        <v>61948700000</v>
      </c>
      <c r="T344" s="4">
        <v>66900300000</v>
      </c>
      <c r="U344" s="4">
        <v>72384400000</v>
      </c>
      <c r="V344" s="4">
        <v>86872800000</v>
      </c>
      <c r="W344" s="4">
        <v>93481900000</v>
      </c>
      <c r="X344" s="4">
        <v>100063000000</v>
      </c>
      <c r="Y344" s="4">
        <v>106482000000</v>
      </c>
      <c r="Z344" s="4">
        <v>112565000000</v>
      </c>
      <c r="AA344" s="4">
        <v>118248000000</v>
      </c>
      <c r="AB344" s="4">
        <v>123494000000</v>
      </c>
      <c r="AC344" s="4">
        <v>128135000000</v>
      </c>
      <c r="AD344" s="4">
        <v>145306000000</v>
      </c>
      <c r="AE344" s="4">
        <v>148965000000</v>
      </c>
      <c r="AF344" s="4">
        <v>152004000000</v>
      </c>
    </row>
    <row r="345" spans="1:32" x14ac:dyDescent="0.75">
      <c r="A345" t="s">
        <v>414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75">
      <c r="A346" t="s">
        <v>415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75">
      <c r="A347" t="s">
        <v>416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75">
      <c r="A348" t="s">
        <v>417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75">
      <c r="A349" t="s">
        <v>418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75">
      <c r="A350" t="s">
        <v>419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75">
      <c r="A351" t="s">
        <v>420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75">
      <c r="A352" t="s">
        <v>421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75">
      <c r="A353" t="s">
        <v>422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75">
      <c r="A354" t="s">
        <v>423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75">
      <c r="A355" t="s">
        <v>424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75">
      <c r="A356" t="s">
        <v>425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75">
      <c r="A357" t="s">
        <v>426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75">
      <c r="A358" t="s">
        <v>427</v>
      </c>
      <c r="B358" s="4">
        <v>5381250000000</v>
      </c>
      <c r="C358" s="4">
        <v>5240860000000</v>
      </c>
      <c r="D358" s="4">
        <v>5052890000000</v>
      </c>
      <c r="E358" s="4">
        <v>4786110000000</v>
      </c>
      <c r="F358" s="4">
        <v>4424430000000</v>
      </c>
      <c r="G358" s="4">
        <v>4053090000000</v>
      </c>
      <c r="H358" s="4">
        <v>3674870000000</v>
      </c>
      <c r="I358" s="4">
        <v>3292560000000</v>
      </c>
      <c r="J358" s="4">
        <v>2912840000000</v>
      </c>
      <c r="K358" s="4">
        <v>2545860000000</v>
      </c>
      <c r="L358" s="4">
        <v>2194470000000</v>
      </c>
      <c r="M358" s="4">
        <v>1857620000000</v>
      </c>
      <c r="N358" s="4">
        <v>1533710000000</v>
      </c>
      <c r="O358" s="4">
        <v>1521940000000</v>
      </c>
      <c r="P358" s="4">
        <v>1519670000000</v>
      </c>
      <c r="Q358" s="4">
        <v>1504100000000</v>
      </c>
      <c r="R358" s="4">
        <v>1489530000000</v>
      </c>
      <c r="S358" s="4">
        <v>1479550000000</v>
      </c>
      <c r="T358" s="4">
        <v>1474580000000</v>
      </c>
      <c r="U358" s="4">
        <v>1476200000000</v>
      </c>
      <c r="V358" s="4">
        <v>1483170000000</v>
      </c>
      <c r="W358" s="4">
        <v>1494940000000</v>
      </c>
      <c r="X358" s="4">
        <v>1508050000000</v>
      </c>
      <c r="Y358" s="4">
        <v>1521860000000</v>
      </c>
      <c r="Z358" s="4">
        <v>1535770000000</v>
      </c>
      <c r="AA358" s="4">
        <v>1550620000000</v>
      </c>
      <c r="AB358" s="4">
        <v>1566990000000</v>
      </c>
      <c r="AC358" s="4">
        <v>1583270000000</v>
      </c>
      <c r="AD358" s="4">
        <v>1599470000000</v>
      </c>
      <c r="AE358" s="4">
        <v>1616390000000</v>
      </c>
      <c r="AF358" s="4">
        <v>1634550000000</v>
      </c>
    </row>
    <row r="359" spans="1:32" x14ac:dyDescent="0.75">
      <c r="A359" t="s">
        <v>428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75">
      <c r="A360" t="s">
        <v>429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75">
      <c r="A361" t="s">
        <v>430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75">
      <c r="A362" t="s">
        <v>431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75">
      <c r="A363" t="s">
        <v>432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75">
      <c r="A364" t="s">
        <v>433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75">
      <c r="A365" t="s">
        <v>434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75">
      <c r="A366" t="s">
        <v>435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75">
      <c r="A367" t="s">
        <v>436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75">
      <c r="A368" t="s">
        <v>437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75">
      <c r="A369" t="s">
        <v>438</v>
      </c>
      <c r="B369" s="4">
        <v>173331000000</v>
      </c>
      <c r="C369" s="4">
        <v>166616000000</v>
      </c>
      <c r="D369" s="4">
        <v>157932000000</v>
      </c>
      <c r="E369" s="4">
        <v>146431000000</v>
      </c>
      <c r="F369" s="4">
        <v>131964000000</v>
      </c>
      <c r="G369" s="4">
        <v>117349000000</v>
      </c>
      <c r="H369" s="4">
        <v>102696000000</v>
      </c>
      <c r="I369" s="4">
        <v>88198200000</v>
      </c>
      <c r="J369" s="4">
        <v>74264900000</v>
      </c>
      <c r="K369" s="4">
        <v>61466100000</v>
      </c>
      <c r="L369" s="4">
        <v>50126100000</v>
      </c>
      <c r="M369" s="4">
        <v>40218800000</v>
      </c>
      <c r="N369" s="4">
        <v>31733600000</v>
      </c>
      <c r="O369" s="4">
        <v>39814100000</v>
      </c>
      <c r="P369" s="4">
        <v>49607100000</v>
      </c>
      <c r="Q369" s="4">
        <v>61140000000</v>
      </c>
      <c r="R369" s="4">
        <v>74909000000</v>
      </c>
      <c r="S369" s="4">
        <v>90693100000</v>
      </c>
      <c r="T369" s="4">
        <v>108515000000</v>
      </c>
      <c r="U369" s="4">
        <v>128339000000</v>
      </c>
      <c r="V369" s="4">
        <v>149941000000</v>
      </c>
      <c r="W369" s="4">
        <v>173020000000</v>
      </c>
      <c r="X369" s="4">
        <v>197066000000</v>
      </c>
      <c r="Y369" s="4">
        <v>221776000000</v>
      </c>
      <c r="Z369" s="4">
        <v>246874000000</v>
      </c>
      <c r="AA369" s="4">
        <v>272358000000</v>
      </c>
      <c r="AB369" s="4">
        <v>297871000000</v>
      </c>
      <c r="AC369" s="4">
        <v>322870000000</v>
      </c>
      <c r="AD369" s="4">
        <v>347156000000</v>
      </c>
      <c r="AE369" s="4">
        <v>370384000000</v>
      </c>
      <c r="AF369" s="4">
        <v>392818000000</v>
      </c>
    </row>
    <row r="370" spans="1:32" x14ac:dyDescent="0.75">
      <c r="A370" t="s">
        <v>439</v>
      </c>
      <c r="B370" s="4">
        <v>252751000000</v>
      </c>
      <c r="C370" s="4">
        <v>1523850000000</v>
      </c>
      <c r="D370" s="4">
        <v>4385880000000</v>
      </c>
      <c r="E370" s="4">
        <v>8787080000000</v>
      </c>
      <c r="F370" s="4">
        <v>15253100000000</v>
      </c>
      <c r="G370" s="4">
        <v>23772100000000</v>
      </c>
      <c r="H370" s="4">
        <v>33791700000000</v>
      </c>
      <c r="I370" s="4">
        <v>44696400000000</v>
      </c>
      <c r="J370" s="4">
        <v>56242600000000</v>
      </c>
      <c r="K370" s="4">
        <v>68627100000000</v>
      </c>
      <c r="L370" s="4">
        <v>81655000000000</v>
      </c>
      <c r="M370" s="4">
        <v>95345000000000</v>
      </c>
      <c r="N370" s="4">
        <v>109514000000000</v>
      </c>
      <c r="O370" s="4">
        <v>124012000000000</v>
      </c>
      <c r="P370" s="4">
        <v>137903000000000</v>
      </c>
      <c r="Q370" s="4">
        <v>151798000000000</v>
      </c>
      <c r="R370" s="4">
        <v>164675000000000</v>
      </c>
      <c r="S370" s="4">
        <v>176770000000000</v>
      </c>
      <c r="T370" s="4">
        <v>187250000000000</v>
      </c>
      <c r="U370" s="4">
        <v>196020000000000</v>
      </c>
      <c r="V370" s="4">
        <v>203586000000000</v>
      </c>
      <c r="W370" s="4">
        <v>210774000000000</v>
      </c>
      <c r="X370" s="4">
        <v>217862000000000</v>
      </c>
      <c r="Y370" s="4">
        <v>224619000000000</v>
      </c>
      <c r="Z370" s="4">
        <v>231167000000000</v>
      </c>
      <c r="AA370" s="4">
        <v>237263000000000</v>
      </c>
      <c r="AB370" s="4">
        <v>243470000000000</v>
      </c>
      <c r="AC370" s="4">
        <v>249359000000000</v>
      </c>
      <c r="AD370" s="4">
        <v>254766000000000</v>
      </c>
      <c r="AE370" s="4">
        <v>260474000000000</v>
      </c>
      <c r="AF370" s="4">
        <v>266696000000000</v>
      </c>
    </row>
    <row r="371" spans="1:32" x14ac:dyDescent="0.75">
      <c r="A371" t="s">
        <v>440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75">
      <c r="A372" t="s">
        <v>441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75">
      <c r="A373" t="s">
        <v>442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75">
      <c r="A374" t="s">
        <v>443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75">
      <c r="A375" t="s">
        <v>444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75">
      <c r="A376" t="s">
        <v>445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75">
      <c r="A377" t="s">
        <v>446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75">
      <c r="A378" t="s">
        <v>447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75">
      <c r="A379" t="s">
        <v>448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75">
      <c r="A380" t="s">
        <v>449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75">
      <c r="A381" t="s">
        <v>450</v>
      </c>
      <c r="B381" s="4">
        <v>1900870000000</v>
      </c>
      <c r="C381" s="4">
        <v>1972440000000</v>
      </c>
      <c r="D381" s="4">
        <v>1896930000000</v>
      </c>
      <c r="E381" s="4">
        <v>1796880000000</v>
      </c>
      <c r="F381" s="4">
        <v>1689370000000</v>
      </c>
      <c r="G381" s="4">
        <v>1580440000000</v>
      </c>
      <c r="H381" s="4">
        <v>1465450000000</v>
      </c>
      <c r="I381" s="4">
        <v>1344520000000</v>
      </c>
      <c r="J381" s="4">
        <v>1224340000000</v>
      </c>
      <c r="K381" s="4">
        <v>1105440000000</v>
      </c>
      <c r="L381" s="4">
        <v>986412000000</v>
      </c>
      <c r="M381" s="4">
        <v>868299000000</v>
      </c>
      <c r="N381" s="4">
        <v>750378000000</v>
      </c>
      <c r="O381" s="4">
        <v>633407000000</v>
      </c>
      <c r="P381" s="4">
        <v>645541000000</v>
      </c>
      <c r="Q381" s="4">
        <v>650861000000</v>
      </c>
      <c r="R381" s="4">
        <v>669622000000</v>
      </c>
      <c r="S381" s="4">
        <v>689018000000</v>
      </c>
      <c r="T381" s="4">
        <v>701636000000</v>
      </c>
      <c r="U381" s="4">
        <v>714967000000</v>
      </c>
      <c r="V381" s="4">
        <v>730227000000</v>
      </c>
      <c r="W381" s="4">
        <v>748088000000</v>
      </c>
      <c r="X381" s="4">
        <v>767435000000</v>
      </c>
      <c r="Y381" s="4">
        <v>786978000000</v>
      </c>
      <c r="Z381" s="4">
        <v>805815000000</v>
      </c>
      <c r="AA381" s="4">
        <v>823256000000</v>
      </c>
      <c r="AB381" s="4">
        <v>842208000000</v>
      </c>
      <c r="AC381" s="4">
        <v>860534000000</v>
      </c>
      <c r="AD381" s="4">
        <v>877081000000</v>
      </c>
      <c r="AE381" s="4">
        <v>895331000000</v>
      </c>
      <c r="AF381" s="4">
        <v>915445000000</v>
      </c>
    </row>
    <row r="382" spans="1:32" x14ac:dyDescent="0.75">
      <c r="A382" t="s">
        <v>451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75">
      <c r="A383" t="s">
        <v>452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75">
      <c r="A384" t="s">
        <v>453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75">
      <c r="A385" t="s">
        <v>454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75">
      <c r="A386" t="s">
        <v>455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75">
      <c r="A387" t="s">
        <v>456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75">
      <c r="A388" t="s">
        <v>457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75">
      <c r="A389" t="s">
        <v>458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75">
      <c r="A390" t="s">
        <v>459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75">
      <c r="A391" t="s">
        <v>460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75">
      <c r="A392" t="s">
        <v>461</v>
      </c>
      <c r="B392" s="4">
        <v>950324000000000</v>
      </c>
      <c r="C392" s="4">
        <v>1042870000000000</v>
      </c>
      <c r="D392" s="4">
        <v>1078700000000000</v>
      </c>
      <c r="E392" s="4">
        <v>1100410000000000</v>
      </c>
      <c r="F392" s="4">
        <v>1113920000000000</v>
      </c>
      <c r="G392" s="4">
        <v>1127680000000000</v>
      </c>
      <c r="H392" s="4">
        <v>1138660000000000</v>
      </c>
      <c r="I392" s="4">
        <v>1146840000000000</v>
      </c>
      <c r="J392" s="4">
        <v>1157900000000000</v>
      </c>
      <c r="K392" s="4">
        <v>1170760000000000</v>
      </c>
      <c r="L392" s="4">
        <v>1182840000000000</v>
      </c>
      <c r="M392" s="4">
        <v>1195270000000000</v>
      </c>
      <c r="N392" s="4">
        <v>1208720000000000</v>
      </c>
      <c r="O392" s="4">
        <v>1222690000000000</v>
      </c>
      <c r="P392" s="4">
        <v>1236370000000000</v>
      </c>
      <c r="Q392" s="4">
        <v>1251390000000000</v>
      </c>
      <c r="R392" s="4">
        <v>1260950000000000</v>
      </c>
      <c r="S392" s="4">
        <v>1276660000000000</v>
      </c>
      <c r="T392" s="4">
        <v>1293300000000000</v>
      </c>
      <c r="U392" s="4">
        <v>1311180000000000</v>
      </c>
      <c r="V392" s="4">
        <v>1329670000000000</v>
      </c>
      <c r="W392" s="4">
        <v>1350020000000000</v>
      </c>
      <c r="X392" s="4">
        <v>1371880000000000</v>
      </c>
      <c r="Y392" s="4">
        <v>1393580000000000</v>
      </c>
      <c r="Z392" s="4">
        <v>1415690000000000</v>
      </c>
      <c r="AA392" s="4">
        <v>1438370000000000</v>
      </c>
      <c r="AB392" s="4">
        <v>1462700000000000</v>
      </c>
      <c r="AC392" s="4">
        <v>1486090000000000</v>
      </c>
      <c r="AD392" s="4">
        <v>1508360000000000</v>
      </c>
      <c r="AE392" s="4">
        <v>1534070000000000</v>
      </c>
      <c r="AF392" s="4">
        <v>1563130000000000</v>
      </c>
    </row>
    <row r="393" spans="1:32" x14ac:dyDescent="0.75">
      <c r="A393" t="s">
        <v>462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75">
      <c r="A394" t="s">
        <v>463</v>
      </c>
      <c r="B394" s="4">
        <v>107943000000000</v>
      </c>
      <c r="C394" s="4">
        <v>118455000000000</v>
      </c>
      <c r="D394" s="4">
        <v>122525000000000</v>
      </c>
      <c r="E394" s="4">
        <v>124990000000000</v>
      </c>
      <c r="F394" s="4">
        <v>126525000000000</v>
      </c>
      <c r="G394" s="4">
        <v>128089000000000</v>
      </c>
      <c r="H394" s="4">
        <v>129335000000000</v>
      </c>
      <c r="I394" s="4">
        <v>130265000000000</v>
      </c>
      <c r="J394" s="4">
        <v>131521000000000</v>
      </c>
      <c r="K394" s="4">
        <v>132982000000000</v>
      </c>
      <c r="L394" s="4">
        <v>134354000000000</v>
      </c>
      <c r="M394" s="4">
        <v>135766000000000</v>
      </c>
      <c r="N394" s="4">
        <v>137293000000000</v>
      </c>
      <c r="O394" s="4">
        <v>138880000000000</v>
      </c>
      <c r="P394" s="4">
        <v>140434000000000</v>
      </c>
      <c r="Q394" s="4">
        <v>142140000000000</v>
      </c>
      <c r="R394" s="4">
        <v>143225000000000</v>
      </c>
      <c r="S394" s="4">
        <v>145010000000000</v>
      </c>
      <c r="T394" s="4">
        <v>146901000000000</v>
      </c>
      <c r="U394" s="4">
        <v>148932000000000</v>
      </c>
      <c r="V394" s="4">
        <v>151031000000000</v>
      </c>
      <c r="W394" s="4">
        <v>153343000000000</v>
      </c>
      <c r="X394" s="4">
        <v>155826000000000</v>
      </c>
      <c r="Y394" s="4">
        <v>158291000000000</v>
      </c>
      <c r="Z394" s="4">
        <v>160802000000000</v>
      </c>
      <c r="AA394" s="4">
        <v>163379000000000</v>
      </c>
      <c r="AB394" s="4">
        <v>166142000000000</v>
      </c>
      <c r="AC394" s="4">
        <v>168798000000000</v>
      </c>
      <c r="AD394" s="4">
        <v>171328000000000</v>
      </c>
      <c r="AE394" s="4">
        <v>174248000000000</v>
      </c>
      <c r="AF394" s="4">
        <v>177549000000000</v>
      </c>
    </row>
    <row r="395" spans="1:32" x14ac:dyDescent="0.75">
      <c r="A395" t="s">
        <v>464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75">
      <c r="A396" t="s">
        <v>465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75">
      <c r="A397" t="s">
        <v>466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75">
      <c r="A398" t="s">
        <v>467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75">
      <c r="A399" t="s">
        <v>468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75">
      <c r="A400" t="s">
        <v>469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75">
      <c r="A401" t="s">
        <v>470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75">
      <c r="A402" t="s">
        <v>471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75">
      <c r="A403" t="s">
        <v>472</v>
      </c>
      <c r="B403">
        <v>1156000000000000</v>
      </c>
      <c r="C403">
        <v>1256240000000000</v>
      </c>
      <c r="D403">
        <v>1262240000000000</v>
      </c>
      <c r="E403">
        <v>1270540000000000</v>
      </c>
      <c r="F403">
        <v>1257510000000000</v>
      </c>
      <c r="G403">
        <v>1245830000000000</v>
      </c>
      <c r="H403">
        <v>1230450000000000</v>
      </c>
      <c r="I403">
        <v>1211500000000000</v>
      </c>
      <c r="J403">
        <v>1195810000000000</v>
      </c>
      <c r="K403">
        <v>1181400000000000</v>
      </c>
      <c r="L403">
        <v>1168150000000000</v>
      </c>
      <c r="M403">
        <v>1156280000000000</v>
      </c>
      <c r="N403">
        <v>1144830000000000</v>
      </c>
      <c r="O403">
        <v>1133440000000000</v>
      </c>
      <c r="P403">
        <v>1143360000000000</v>
      </c>
      <c r="Q403">
        <v>1152030000000000</v>
      </c>
      <c r="R403">
        <v>1172290000000000</v>
      </c>
      <c r="S403">
        <v>1188970000000000</v>
      </c>
      <c r="T403">
        <v>1204080000000000</v>
      </c>
      <c r="U403">
        <v>1222440000000000</v>
      </c>
      <c r="V403">
        <v>1240560000000000</v>
      </c>
      <c r="W403">
        <v>1259320000000000</v>
      </c>
      <c r="X403">
        <v>1279310000000000</v>
      </c>
      <c r="Y403">
        <v>1296310000000000</v>
      </c>
      <c r="Z403">
        <v>1312200000000000</v>
      </c>
      <c r="AA403">
        <v>1330640000000000</v>
      </c>
      <c r="AB403">
        <v>1348970000000000</v>
      </c>
      <c r="AC403">
        <v>1367140000000000</v>
      </c>
      <c r="AD403">
        <v>1382840000000000</v>
      </c>
      <c r="AE403">
        <v>1402190000000000</v>
      </c>
      <c r="AF403">
        <v>1426390000000000</v>
      </c>
    </row>
    <row r="404" spans="1:32" x14ac:dyDescent="0.75">
      <c r="A404" t="s">
        <v>473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75">
      <c r="A405" t="s">
        <v>474</v>
      </c>
      <c r="B405">
        <v>52022400000000</v>
      </c>
      <c r="C405">
        <v>49549200000000</v>
      </c>
      <c r="D405">
        <v>49785900000000</v>
      </c>
      <c r="E405">
        <v>37785800000000</v>
      </c>
      <c r="F405">
        <v>37354500000000</v>
      </c>
      <c r="G405">
        <v>35777400000000</v>
      </c>
      <c r="H405">
        <v>35213500000000</v>
      </c>
      <c r="I405">
        <v>35350000000000</v>
      </c>
      <c r="J405">
        <v>35411100000000</v>
      </c>
      <c r="K405">
        <v>35856000000000</v>
      </c>
      <c r="L405">
        <v>35661800000000</v>
      </c>
      <c r="M405">
        <v>34023200000000</v>
      </c>
      <c r="N405">
        <v>33095600000000</v>
      </c>
      <c r="O405">
        <v>32610800000000</v>
      </c>
      <c r="P405">
        <v>33184900000000</v>
      </c>
      <c r="Q405">
        <v>34739300000000</v>
      </c>
      <c r="R405">
        <v>35668000000000</v>
      </c>
      <c r="S405">
        <v>36990800000000</v>
      </c>
      <c r="T405">
        <v>41183700000000</v>
      </c>
      <c r="U405">
        <v>42173200000000</v>
      </c>
      <c r="V405">
        <v>43365300000000</v>
      </c>
      <c r="W405">
        <v>45020400000000</v>
      </c>
      <c r="X405">
        <v>46191600000000</v>
      </c>
      <c r="Y405">
        <v>50182600000000</v>
      </c>
      <c r="Z405">
        <v>54040500000000</v>
      </c>
      <c r="AA405">
        <v>55609300000000</v>
      </c>
      <c r="AB405">
        <v>58312300000000</v>
      </c>
      <c r="AC405">
        <v>60130300000000</v>
      </c>
      <c r="AD405">
        <v>62839700000000</v>
      </c>
      <c r="AE405">
        <v>65496700000000</v>
      </c>
      <c r="AF405">
        <v>67479000000000</v>
      </c>
    </row>
    <row r="406" spans="1:32" x14ac:dyDescent="0.75">
      <c r="A406" t="s">
        <v>475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75">
      <c r="A407" t="s">
        <v>476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75">
      <c r="A408" t="s">
        <v>477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75">
      <c r="A409" t="s">
        <v>478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75">
      <c r="A410" t="s">
        <v>479</v>
      </c>
      <c r="B410" s="4">
        <v>0</v>
      </c>
      <c r="C410" s="4">
        <v>17989500000</v>
      </c>
      <c r="D410" s="4">
        <v>48481600000</v>
      </c>
      <c r="E410" s="4">
        <v>87233200000</v>
      </c>
      <c r="F410" s="4">
        <v>137818000000</v>
      </c>
      <c r="G410" s="4">
        <v>203552000000</v>
      </c>
      <c r="H410" s="4">
        <v>287983000000</v>
      </c>
      <c r="I410" s="4">
        <v>396129000000</v>
      </c>
      <c r="J410" s="4">
        <v>536578000000</v>
      </c>
      <c r="K410" s="4">
        <v>721634000000</v>
      </c>
      <c r="L410" s="4">
        <v>961698000000</v>
      </c>
      <c r="M410" s="4">
        <v>1272280000000</v>
      </c>
      <c r="N410" s="4">
        <v>1664540000000</v>
      </c>
      <c r="O410" s="4">
        <v>2149300000000</v>
      </c>
      <c r="P410" s="4">
        <v>2726340000000</v>
      </c>
      <c r="Q410" s="4">
        <v>3410060000000</v>
      </c>
      <c r="R410" s="4">
        <v>4202550000000</v>
      </c>
      <c r="S410" s="4">
        <v>5115820000000</v>
      </c>
      <c r="T410" s="4">
        <v>6134920000000</v>
      </c>
      <c r="U410" s="4">
        <v>7240310000000</v>
      </c>
      <c r="V410" s="4">
        <v>8419360000000</v>
      </c>
      <c r="W410" s="4">
        <v>9664950000000</v>
      </c>
      <c r="X410" s="4">
        <v>10959400000000</v>
      </c>
      <c r="Y410" s="4">
        <v>12274500000000</v>
      </c>
      <c r="Z410" s="4">
        <v>13596800000000</v>
      </c>
      <c r="AA410" s="4">
        <v>14898100000000</v>
      </c>
      <c r="AB410" s="4">
        <v>16180900000000</v>
      </c>
      <c r="AC410" s="4">
        <v>17398100000000</v>
      </c>
      <c r="AD410" s="4">
        <v>18518100000000</v>
      </c>
      <c r="AE410" s="4">
        <v>19592200000000</v>
      </c>
      <c r="AF410" s="4">
        <v>20623400000000</v>
      </c>
    </row>
    <row r="411" spans="1:32" x14ac:dyDescent="0.75">
      <c r="A411" t="s">
        <v>480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75">
      <c r="A412" t="s">
        <v>481</v>
      </c>
      <c r="B412" s="4">
        <v>0</v>
      </c>
      <c r="C412" s="4">
        <v>14565000000</v>
      </c>
      <c r="D412" s="4">
        <v>39252500000</v>
      </c>
      <c r="E412" s="4">
        <v>70563800000</v>
      </c>
      <c r="F412" s="4">
        <v>111432000000</v>
      </c>
      <c r="G412" s="4">
        <v>164507000000</v>
      </c>
      <c r="H412" s="4">
        <v>232638000000</v>
      </c>
      <c r="I412" s="4">
        <v>319928000000</v>
      </c>
      <c r="J412" s="4">
        <v>433165000000</v>
      </c>
      <c r="K412" s="4">
        <v>582424000000</v>
      </c>
      <c r="L412" s="4">
        <v>775828000000</v>
      </c>
      <c r="M412" s="4">
        <v>1025920000000</v>
      </c>
      <c r="N412" s="4">
        <v>1341620000000</v>
      </c>
      <c r="O412" s="4">
        <v>1731160000000</v>
      </c>
      <c r="P412" s="4">
        <v>2194950000000</v>
      </c>
      <c r="Q412" s="4">
        <v>2743540000000</v>
      </c>
      <c r="R412" s="4">
        <v>3378850000000</v>
      </c>
      <c r="S412" s="4">
        <v>4110330000000</v>
      </c>
      <c r="T412" s="4">
        <v>4925790000000</v>
      </c>
      <c r="U412" s="4">
        <v>5809360000000</v>
      </c>
      <c r="V412" s="4">
        <v>6749260000000</v>
      </c>
      <c r="W412" s="4">
        <v>7742500000000</v>
      </c>
      <c r="X412" s="4">
        <v>8771490000000</v>
      </c>
      <c r="Y412" s="4">
        <v>9815110000000</v>
      </c>
      <c r="Z412" s="4">
        <v>10862600000000</v>
      </c>
      <c r="AA412" s="4">
        <v>11891400000000</v>
      </c>
      <c r="AB412" s="4">
        <v>12903500000000</v>
      </c>
      <c r="AC412" s="4">
        <v>13861500000000</v>
      </c>
      <c r="AD412" s="4">
        <v>14737100000000</v>
      </c>
      <c r="AE412" s="4">
        <v>15574100000000</v>
      </c>
      <c r="AF412" s="4">
        <v>16378700000000</v>
      </c>
    </row>
    <row r="413" spans="1:32" x14ac:dyDescent="0.75">
      <c r="A413" t="s">
        <v>482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75">
      <c r="A414" t="s">
        <v>483</v>
      </c>
      <c r="B414" s="4">
        <v>0</v>
      </c>
      <c r="C414" s="4">
        <v>153728000</v>
      </c>
      <c r="D414" s="4">
        <v>414298000</v>
      </c>
      <c r="E414" s="4">
        <v>808890000</v>
      </c>
      <c r="F414" s="4">
        <v>1328070000</v>
      </c>
      <c r="G414" s="4">
        <v>2035520000</v>
      </c>
      <c r="H414" s="4">
        <v>2984550000</v>
      </c>
      <c r="I414" s="4">
        <v>4177360000</v>
      </c>
      <c r="J414" s="4">
        <v>5853580000</v>
      </c>
      <c r="K414" s="4">
        <v>8003570000</v>
      </c>
      <c r="L414" s="4">
        <v>11015800000</v>
      </c>
      <c r="M414" s="4">
        <v>15036000000</v>
      </c>
      <c r="N414" s="4">
        <v>20277100000</v>
      </c>
      <c r="O414" s="4">
        <v>27354700000</v>
      </c>
      <c r="P414" s="4">
        <v>35690300000</v>
      </c>
      <c r="Q414" s="4">
        <v>46500800000</v>
      </c>
      <c r="R414" s="4">
        <v>59599800000</v>
      </c>
      <c r="S414" s="4">
        <v>75342000000</v>
      </c>
      <c r="T414" s="4">
        <v>93697000000</v>
      </c>
      <c r="U414" s="4">
        <v>114528000000</v>
      </c>
      <c r="V414" s="4">
        <v>139302000000</v>
      </c>
      <c r="W414" s="4">
        <v>165183000000</v>
      </c>
      <c r="X414" s="4">
        <v>195276000000</v>
      </c>
      <c r="Y414" s="4">
        <v>227636000000</v>
      </c>
      <c r="Z414" s="4">
        <v>262048000000</v>
      </c>
      <c r="AA414" s="4">
        <v>297962000000</v>
      </c>
      <c r="AB414" s="4">
        <v>335385000000</v>
      </c>
      <c r="AC414" s="4">
        <v>373267000000</v>
      </c>
      <c r="AD414" s="4">
        <v>414133000000</v>
      </c>
      <c r="AE414" s="4">
        <v>455965000000</v>
      </c>
      <c r="AF414" s="4">
        <v>494961000000</v>
      </c>
    </row>
    <row r="415" spans="1:32" x14ac:dyDescent="0.75">
      <c r="A415" t="s">
        <v>484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75">
      <c r="A416" t="s">
        <v>485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75">
      <c r="A417" t="s">
        <v>486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75">
      <c r="A418" t="s">
        <v>487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75">
      <c r="A419" t="s">
        <v>488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75">
      <c r="A420" t="s">
        <v>489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75">
      <c r="A421" t="s">
        <v>490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75">
      <c r="A422" t="s">
        <v>491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75">
      <c r="A423" t="s">
        <v>492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75">
      <c r="A424" t="s">
        <v>493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75">
      <c r="A425" t="s">
        <v>494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75">
      <c r="A426" t="s">
        <v>495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75">
      <c r="A427" t="s">
        <v>496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75">
      <c r="A428" t="s">
        <v>497</v>
      </c>
      <c r="B428" s="4">
        <v>1172980000000</v>
      </c>
      <c r="C428" s="4">
        <v>1204000000000</v>
      </c>
      <c r="D428" s="4">
        <v>1155200000000</v>
      </c>
      <c r="E428" s="4">
        <v>1091040000000</v>
      </c>
      <c r="F428" s="4">
        <v>1017000000000</v>
      </c>
      <c r="G428" s="4">
        <v>942017000000</v>
      </c>
      <c r="H428" s="4">
        <v>863276000000</v>
      </c>
      <c r="I428" s="4">
        <v>780776000000</v>
      </c>
      <c r="J428" s="4">
        <v>698114000000</v>
      </c>
      <c r="K428" s="4">
        <v>615289000000</v>
      </c>
      <c r="L428" s="4">
        <v>531238000000</v>
      </c>
      <c r="M428" s="4">
        <v>447134000000</v>
      </c>
      <c r="N428" s="4">
        <v>362832000000</v>
      </c>
      <c r="O428" s="4">
        <v>279550000000</v>
      </c>
      <c r="P428" s="4">
        <v>282234000000</v>
      </c>
      <c r="Q428" s="4">
        <v>287925000000</v>
      </c>
      <c r="R428" s="4">
        <v>289633000000</v>
      </c>
      <c r="S428" s="4">
        <v>291780000000</v>
      </c>
      <c r="T428" s="4">
        <v>295254000000</v>
      </c>
      <c r="U428" s="4">
        <v>298650000000</v>
      </c>
      <c r="V428" s="4">
        <v>303432000000</v>
      </c>
      <c r="W428" s="4">
        <v>309910000000</v>
      </c>
      <c r="X428" s="4">
        <v>317964000000</v>
      </c>
      <c r="Y428" s="4">
        <v>326698000000</v>
      </c>
      <c r="Z428" s="4">
        <v>336053000000</v>
      </c>
      <c r="AA428" s="4">
        <v>345428000000</v>
      </c>
      <c r="AB428" s="4">
        <v>355795000000</v>
      </c>
      <c r="AC428" s="4">
        <v>366541000000</v>
      </c>
      <c r="AD428" s="4">
        <v>376123000000</v>
      </c>
      <c r="AE428" s="4">
        <v>388043000000</v>
      </c>
      <c r="AF428" s="4">
        <v>400787000000</v>
      </c>
    </row>
    <row r="429" spans="1:32" x14ac:dyDescent="0.75">
      <c r="A429" t="s">
        <v>498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75">
      <c r="A430" t="s">
        <v>499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x14ac:dyDescent="0.75">
      <c r="A431" t="s">
        <v>500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75">
      <c r="A432" t="s">
        <v>501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75">
      <c r="A433" t="s">
        <v>502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75">
      <c r="A434" t="s">
        <v>503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75">
      <c r="A435" t="s">
        <v>504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75">
      <c r="A436" t="s">
        <v>505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75">
      <c r="A437" t="s">
        <v>506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75">
      <c r="A438" t="s">
        <v>507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75">
      <c r="A439" t="s">
        <v>508</v>
      </c>
      <c r="B439">
        <v>0</v>
      </c>
      <c r="C439">
        <v>0</v>
      </c>
      <c r="D439">
        <v>0</v>
      </c>
      <c r="E439">
        <v>0</v>
      </c>
      <c r="F439">
        <v>0</v>
      </c>
      <c r="G439" s="4">
        <v>0</v>
      </c>
      <c r="H439" s="4">
        <v>0</v>
      </c>
      <c r="I439" s="4">
        <v>0</v>
      </c>
      <c r="J439" s="4">
        <v>132007000</v>
      </c>
      <c r="K439" s="4">
        <v>265635000</v>
      </c>
      <c r="L439" s="4">
        <v>533319000</v>
      </c>
      <c r="M439" s="4">
        <v>938518000</v>
      </c>
      <c r="N439" s="4">
        <v>1616670000</v>
      </c>
      <c r="O439" s="4">
        <v>2571850000</v>
      </c>
      <c r="P439" s="4">
        <v>3789410000</v>
      </c>
      <c r="Q439" s="4">
        <v>5304190000</v>
      </c>
      <c r="R439" s="4">
        <v>7115390000</v>
      </c>
      <c r="S439" s="4">
        <v>9365420000</v>
      </c>
      <c r="T439" s="4">
        <v>12046600000</v>
      </c>
      <c r="U439" s="4">
        <v>15161700000</v>
      </c>
      <c r="V439" s="4">
        <v>18710600000</v>
      </c>
      <c r="W439" s="4">
        <v>22698100000</v>
      </c>
      <c r="X439" s="4">
        <v>26997500000</v>
      </c>
      <c r="Y439" s="4">
        <v>31718900000</v>
      </c>
      <c r="Z439" s="4">
        <v>36740100000</v>
      </c>
      <c r="AA439" s="4">
        <v>42047100000</v>
      </c>
      <c r="AB439" s="4">
        <v>47390200000</v>
      </c>
      <c r="AC439" s="4">
        <v>52845300000</v>
      </c>
      <c r="AD439" s="4">
        <v>58377100000</v>
      </c>
      <c r="AE439" s="4">
        <v>64048400000</v>
      </c>
      <c r="AF439" s="4">
        <v>70002800000</v>
      </c>
    </row>
    <row r="440" spans="1:32" x14ac:dyDescent="0.75">
      <c r="A440" t="s">
        <v>509</v>
      </c>
      <c r="B440" s="4">
        <v>25116400000</v>
      </c>
      <c r="C440" s="4">
        <v>67739000000</v>
      </c>
      <c r="D440" s="4">
        <v>148605000000</v>
      </c>
      <c r="E440" s="4">
        <v>257536000000</v>
      </c>
      <c r="F440" s="4">
        <v>399010000000</v>
      </c>
      <c r="G440" s="4">
        <v>569015000000</v>
      </c>
      <c r="H440" s="4">
        <v>758129000000</v>
      </c>
      <c r="I440" s="4">
        <v>955311000000</v>
      </c>
      <c r="J440" s="4">
        <v>1155400000000</v>
      </c>
      <c r="K440" s="4">
        <v>1354050000000</v>
      </c>
      <c r="L440" s="4">
        <v>1548840000000</v>
      </c>
      <c r="M440" s="4">
        <v>1739210000000</v>
      </c>
      <c r="N440" s="4">
        <v>1923700000000</v>
      </c>
      <c r="O440" s="4">
        <v>2104030000000</v>
      </c>
      <c r="P440" s="4">
        <v>2280000000000</v>
      </c>
      <c r="Q440" s="4">
        <v>2450970000000</v>
      </c>
      <c r="R440" s="4">
        <v>2617490000000</v>
      </c>
      <c r="S440" s="4">
        <v>2780800000000</v>
      </c>
      <c r="T440" s="4">
        <v>2938870000000</v>
      </c>
      <c r="U440" s="4">
        <v>3088380000000</v>
      </c>
      <c r="V440" s="4">
        <v>3233260000000</v>
      </c>
      <c r="W440" s="4">
        <v>3372580000000</v>
      </c>
      <c r="X440" s="4">
        <v>3506190000000</v>
      </c>
      <c r="Y440" s="4">
        <v>3629260000000</v>
      </c>
      <c r="Z440" s="4">
        <v>3769670000000</v>
      </c>
      <c r="AA440" s="4">
        <v>3904110000000</v>
      </c>
      <c r="AB440" s="4">
        <v>4031000000000</v>
      </c>
      <c r="AC440" s="4">
        <v>4140700000000</v>
      </c>
      <c r="AD440" s="4">
        <v>4231790000000</v>
      </c>
      <c r="AE440" s="4">
        <v>4307710000000</v>
      </c>
      <c r="AF440" s="4">
        <v>4373830000000</v>
      </c>
    </row>
    <row r="441" spans="1:32" x14ac:dyDescent="0.75">
      <c r="A441" t="s">
        <v>510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75">
      <c r="A442" t="s">
        <v>511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75">
      <c r="A443" t="s">
        <v>512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75">
      <c r="A444" t="s">
        <v>513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75">
      <c r="A445" t="s">
        <v>514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75">
      <c r="A446" t="s">
        <v>515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75">
      <c r="A447" t="s">
        <v>516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75">
      <c r="A448" t="s">
        <v>517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75">
      <c r="A449" t="s">
        <v>518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75">
      <c r="A450" t="s">
        <v>519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75">
      <c r="A451" t="s">
        <v>520</v>
      </c>
      <c r="B451" s="4">
        <v>12425000000000</v>
      </c>
      <c r="C451" s="4">
        <v>16671200000000</v>
      </c>
      <c r="D451" s="4">
        <v>18183800000000</v>
      </c>
      <c r="E451" s="4">
        <v>18412100000000</v>
      </c>
      <c r="F451" s="4">
        <v>18110100000000</v>
      </c>
      <c r="G451" s="4">
        <v>17538100000000</v>
      </c>
      <c r="H451" s="4">
        <v>16818400000000</v>
      </c>
      <c r="I451" s="4">
        <v>16020200000000</v>
      </c>
      <c r="J451" s="4">
        <v>15193600000000</v>
      </c>
      <c r="K451" s="4">
        <v>14359300000000</v>
      </c>
      <c r="L451" s="4">
        <v>13541000000000</v>
      </c>
      <c r="M451" s="4">
        <v>12738200000000</v>
      </c>
      <c r="N451" s="4">
        <v>11952100000000</v>
      </c>
      <c r="O451" s="4">
        <v>11193900000000</v>
      </c>
      <c r="P451" s="4">
        <v>10463800000000</v>
      </c>
      <c r="Q451" s="4">
        <v>9759420000000</v>
      </c>
      <c r="R451" s="4">
        <v>9083690000000</v>
      </c>
      <c r="S451" s="4">
        <v>8437620000000</v>
      </c>
      <c r="T451" s="4">
        <v>7814300000000</v>
      </c>
      <c r="U451" s="4">
        <v>7207120000000</v>
      </c>
      <c r="V451" s="4">
        <v>6626610000000</v>
      </c>
      <c r="W451" s="4">
        <v>6069850000000</v>
      </c>
      <c r="X451" s="4">
        <v>5537530000000</v>
      </c>
      <c r="Y451" s="4">
        <v>5345420000000</v>
      </c>
      <c r="Z451" s="4">
        <v>5105110000000</v>
      </c>
      <c r="AA451" s="4">
        <v>4877350000000</v>
      </c>
      <c r="AB451" s="4">
        <v>4663290000000</v>
      </c>
      <c r="AC451" s="4">
        <v>4440600000000</v>
      </c>
      <c r="AD451" s="4">
        <v>4235490000000</v>
      </c>
      <c r="AE451" s="4">
        <v>4051360000000</v>
      </c>
      <c r="AF451" s="4">
        <v>3886540000000</v>
      </c>
    </row>
    <row r="452" spans="1:32" x14ac:dyDescent="0.75">
      <c r="A452" t="s">
        <v>521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75">
      <c r="A453" t="s">
        <v>522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75">
      <c r="A454" t="s">
        <v>523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75">
      <c r="A455" t="s">
        <v>524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75">
      <c r="A456" t="s">
        <v>525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75">
      <c r="A457" t="s">
        <v>526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75">
      <c r="A458" t="s">
        <v>527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75">
      <c r="A459" t="s">
        <v>528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75">
      <c r="A460" t="s">
        <v>529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75">
      <c r="A461" t="s">
        <v>530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75">
      <c r="A462" t="s">
        <v>531</v>
      </c>
      <c r="B462" s="4">
        <v>10721700000000</v>
      </c>
      <c r="C462" s="4">
        <v>14718000000000</v>
      </c>
      <c r="D462" s="4">
        <v>16563200000000</v>
      </c>
      <c r="E462" s="4">
        <v>17307600000000</v>
      </c>
      <c r="F462" s="4">
        <v>17543500000000</v>
      </c>
      <c r="G462" s="4">
        <v>17521700000000</v>
      </c>
      <c r="H462" s="4">
        <v>17347900000000</v>
      </c>
      <c r="I462" s="4">
        <v>17079700000000</v>
      </c>
      <c r="J462" s="4">
        <v>16774200000000</v>
      </c>
      <c r="K462" s="4">
        <v>16436100000000</v>
      </c>
      <c r="L462" s="4">
        <v>16080100000000</v>
      </c>
      <c r="M462" s="4">
        <v>15716200000000</v>
      </c>
      <c r="N462" s="4">
        <v>15352800000000</v>
      </c>
      <c r="O462" s="4">
        <v>15006400000000</v>
      </c>
      <c r="P462" s="4">
        <v>14676800000000</v>
      </c>
      <c r="Q462" s="4">
        <v>14361500000000</v>
      </c>
      <c r="R462" s="4">
        <v>14060100000000</v>
      </c>
      <c r="S462" s="4">
        <v>13781300000000</v>
      </c>
      <c r="T462" s="4">
        <v>13512700000000</v>
      </c>
      <c r="U462" s="4">
        <v>13242700000000</v>
      </c>
      <c r="V462" s="4">
        <v>12987000000000</v>
      </c>
      <c r="W462" s="4">
        <v>12739400000000</v>
      </c>
      <c r="X462" s="4">
        <v>12501800000000</v>
      </c>
      <c r="Y462" s="4">
        <v>12354900000000</v>
      </c>
      <c r="Z462" s="4">
        <v>12204900000000</v>
      </c>
      <c r="AA462" s="4">
        <v>12017600000000</v>
      </c>
      <c r="AB462" s="4">
        <v>11859600000000</v>
      </c>
      <c r="AC462" s="4">
        <v>11715600000000</v>
      </c>
      <c r="AD462" s="4">
        <v>11586600000000</v>
      </c>
      <c r="AE462" s="4">
        <v>11473400000000</v>
      </c>
      <c r="AF462" s="4">
        <v>11375300000000</v>
      </c>
    </row>
    <row r="463" spans="1:32" x14ac:dyDescent="0.75">
      <c r="A463" t="s">
        <v>532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75">
      <c r="A464" t="s">
        <v>533</v>
      </c>
      <c r="B464" s="4">
        <v>1217840000000</v>
      </c>
      <c r="C464" s="4">
        <v>1671750000000</v>
      </c>
      <c r="D464" s="4">
        <v>1881350000000</v>
      </c>
      <c r="E464" s="4">
        <v>1965900000000</v>
      </c>
      <c r="F464" s="4">
        <v>1992690000000</v>
      </c>
      <c r="G464" s="4">
        <v>1990210000000</v>
      </c>
      <c r="H464" s="4">
        <v>1970480000000</v>
      </c>
      <c r="I464" s="4">
        <v>1940010000000</v>
      </c>
      <c r="J464">
        <v>1905310000000</v>
      </c>
      <c r="K464">
        <v>1866900000000</v>
      </c>
      <c r="L464">
        <v>1826470000000</v>
      </c>
      <c r="M464">
        <v>1785140000000</v>
      </c>
      <c r="N464">
        <v>1743860000000</v>
      </c>
      <c r="O464">
        <v>1704510000000</v>
      </c>
      <c r="P464">
        <v>1667080000000</v>
      </c>
      <c r="Q464">
        <v>1631260000000</v>
      </c>
      <c r="R464">
        <v>1597020000000</v>
      </c>
      <c r="S464">
        <v>1565360000000</v>
      </c>
      <c r="T464">
        <v>1534850000000</v>
      </c>
      <c r="U464">
        <v>1504180000000</v>
      </c>
      <c r="V464">
        <v>1475140000000</v>
      </c>
      <c r="W464">
        <v>1447010000000</v>
      </c>
      <c r="X464">
        <v>1420030000000</v>
      </c>
      <c r="Y464">
        <v>1403350000000</v>
      </c>
      <c r="Z464">
        <v>1386300000000</v>
      </c>
      <c r="AA464">
        <v>1365020000000</v>
      </c>
      <c r="AB464">
        <v>1347080000000</v>
      </c>
      <c r="AC464">
        <v>1330720000000</v>
      </c>
      <c r="AD464">
        <v>1316070000000</v>
      </c>
      <c r="AE464">
        <v>1303210000000</v>
      </c>
      <c r="AF464">
        <v>1292080000000</v>
      </c>
    </row>
    <row r="465" spans="1:32" x14ac:dyDescent="0.75">
      <c r="A465" t="s">
        <v>534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75">
      <c r="A466" t="s">
        <v>535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75">
      <c r="A467" t="s">
        <v>536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75">
      <c r="A468" t="s">
        <v>537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75">
      <c r="A469" t="s">
        <v>538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75">
      <c r="A470" t="s">
        <v>539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75">
      <c r="A471" t="s">
        <v>540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75">
      <c r="A472" t="s">
        <v>541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75">
      <c r="A473" t="s">
        <v>542</v>
      </c>
      <c r="B473" s="4">
        <v>92587500000000</v>
      </c>
      <c r="C473" s="4">
        <v>129578000000000</v>
      </c>
      <c r="D473" s="4">
        <v>147464000000000</v>
      </c>
      <c r="E473" s="4">
        <v>157644000000000</v>
      </c>
      <c r="F473" s="4">
        <v>161830000000000</v>
      </c>
      <c r="G473" s="4">
        <v>163717000000000</v>
      </c>
      <c r="H473" s="4">
        <v>163940000000000</v>
      </c>
      <c r="I473" s="4">
        <v>163050000000000</v>
      </c>
      <c r="J473" s="4">
        <v>161726000000000</v>
      </c>
      <c r="K473" s="4">
        <v>159861000000000</v>
      </c>
      <c r="L473" s="4">
        <v>157957000000000</v>
      </c>
      <c r="M473" s="4">
        <v>156078000000000</v>
      </c>
      <c r="N473" s="4">
        <v>154033000000000</v>
      </c>
      <c r="O473" s="4">
        <v>152018000000000</v>
      </c>
      <c r="P473" s="4">
        <v>150048000000000</v>
      </c>
      <c r="Q473" s="4">
        <v>148013000000000</v>
      </c>
      <c r="R473" s="4">
        <v>146166000000000</v>
      </c>
      <c r="S473" s="4">
        <v>144419000000000</v>
      </c>
      <c r="T473" s="4">
        <v>142390000000000</v>
      </c>
      <c r="U473" s="4">
        <v>140664000000000</v>
      </c>
      <c r="V473" s="4">
        <v>139001000000000</v>
      </c>
      <c r="W473" s="4">
        <v>137323000000000</v>
      </c>
      <c r="X473" s="4">
        <v>135751000000000</v>
      </c>
      <c r="Y473" s="4">
        <v>133847000000000</v>
      </c>
      <c r="Z473" s="4">
        <v>131764000000000</v>
      </c>
      <c r="AA473" s="4">
        <v>129933000000000</v>
      </c>
      <c r="AB473" s="4">
        <v>128070000000000</v>
      </c>
      <c r="AC473" s="4">
        <v>126470000000000</v>
      </c>
      <c r="AD473" s="4">
        <v>124965000000000</v>
      </c>
      <c r="AE473" s="4">
        <v>123667000000000</v>
      </c>
      <c r="AF473" s="4">
        <v>122628000000000</v>
      </c>
    </row>
    <row r="474" spans="1:32" x14ac:dyDescent="0.75">
      <c r="A474" t="s">
        <v>543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75">
      <c r="A475" t="s">
        <v>544</v>
      </c>
      <c r="B475" s="4">
        <v>4166620000000</v>
      </c>
      <c r="C475" s="4">
        <v>5110890000000</v>
      </c>
      <c r="D475" s="4">
        <v>5816340000000</v>
      </c>
      <c r="E475" s="4">
        <v>4688320000000</v>
      </c>
      <c r="F475" s="4">
        <v>4807160000000</v>
      </c>
      <c r="G475" s="4">
        <v>4701570000000</v>
      </c>
      <c r="H475" s="4">
        <v>4691720000000</v>
      </c>
      <c r="I475" s="4">
        <v>4757600000000</v>
      </c>
      <c r="J475" s="4">
        <v>4789130000000</v>
      </c>
      <c r="K475" s="4">
        <v>4851820000000</v>
      </c>
      <c r="L475" s="4">
        <v>4822170000000</v>
      </c>
      <c r="M475" s="4">
        <v>4592550000000</v>
      </c>
      <c r="N475" s="4">
        <v>4452880000000</v>
      </c>
      <c r="O475" s="4">
        <v>4373770000000</v>
      </c>
      <c r="P475" s="4">
        <v>4354990000000</v>
      </c>
      <c r="Q475" s="4">
        <v>4463330000000</v>
      </c>
      <c r="R475" s="4">
        <v>4447250000000</v>
      </c>
      <c r="S475" s="4">
        <v>4493080000000</v>
      </c>
      <c r="T475" s="4">
        <v>4870210000000</v>
      </c>
      <c r="U475" s="4">
        <v>4852770000000</v>
      </c>
      <c r="V475" s="4">
        <v>4858960000000</v>
      </c>
      <c r="W475" s="4">
        <v>4909230000000</v>
      </c>
      <c r="X475" s="4">
        <v>4901490000000</v>
      </c>
      <c r="Y475" s="4">
        <v>5181490000000</v>
      </c>
      <c r="Z475" s="4">
        <v>5426460000000</v>
      </c>
      <c r="AA475" s="4">
        <v>5430070000000</v>
      </c>
      <c r="AB475" s="4">
        <v>5536090000000</v>
      </c>
      <c r="AC475" s="4">
        <v>5562470000000</v>
      </c>
      <c r="AD475" s="4">
        <v>5678710000000</v>
      </c>
      <c r="AE475" s="4">
        <v>5776550000000</v>
      </c>
      <c r="AF475" s="4">
        <v>5801200000000</v>
      </c>
    </row>
    <row r="476" spans="1:32" x14ac:dyDescent="0.75">
      <c r="A476" t="s">
        <v>545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75">
      <c r="A477" t="s">
        <v>546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75">
      <c r="A478" t="s">
        <v>547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75">
      <c r="A479" t="s">
        <v>548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75">
      <c r="A480" t="s">
        <v>549</v>
      </c>
      <c r="B480">
        <v>0</v>
      </c>
      <c r="C480" s="4">
        <v>224307000</v>
      </c>
      <c r="D480" s="4">
        <v>616419000</v>
      </c>
      <c r="E480" s="4">
        <v>1132550000</v>
      </c>
      <c r="F480" s="4">
        <v>1861030000</v>
      </c>
      <c r="G480" s="4">
        <v>2655350000</v>
      </c>
      <c r="H480" s="4">
        <v>3720340000</v>
      </c>
      <c r="I480" s="4">
        <v>5010450000</v>
      </c>
      <c r="J480" s="4">
        <v>6610260000</v>
      </c>
      <c r="K480" s="4">
        <v>8567200000</v>
      </c>
      <c r="L480" s="4">
        <v>10936600000</v>
      </c>
      <c r="M480" s="4">
        <v>13754700000</v>
      </c>
      <c r="N480" s="4">
        <v>17074100000</v>
      </c>
      <c r="O480" s="4">
        <v>21029000000</v>
      </c>
      <c r="P480" s="4">
        <v>25580800000</v>
      </c>
      <c r="Q480" s="4">
        <v>30752200000</v>
      </c>
      <c r="R480" s="4">
        <v>36505700000</v>
      </c>
      <c r="S480" s="4">
        <v>42733200000</v>
      </c>
      <c r="T480" s="4">
        <v>49300100000</v>
      </c>
      <c r="U480" s="4">
        <v>56125400000</v>
      </c>
      <c r="V480" s="4">
        <v>63100200000</v>
      </c>
      <c r="W480" s="4">
        <v>70120400000</v>
      </c>
      <c r="X480" s="4">
        <v>77054900000</v>
      </c>
      <c r="Y480" s="4">
        <v>84043900000</v>
      </c>
      <c r="Z480" s="4">
        <v>91592900000</v>
      </c>
      <c r="AA480" s="4">
        <v>99454500000</v>
      </c>
      <c r="AB480" s="4">
        <v>107514000000</v>
      </c>
      <c r="AC480" s="4">
        <v>115552000000</v>
      </c>
      <c r="AD480" s="4">
        <v>123623000000</v>
      </c>
      <c r="AE480" s="4">
        <v>131526000000</v>
      </c>
      <c r="AF480" s="4">
        <v>139243000000</v>
      </c>
    </row>
    <row r="481" spans="1:32" x14ac:dyDescent="0.75">
      <c r="A481" t="s">
        <v>550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75">
      <c r="A482" t="s">
        <v>551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75">
      <c r="A483" t="s">
        <v>552</v>
      </c>
      <c r="B483">
        <v>0</v>
      </c>
      <c r="C483" s="4">
        <v>176560000</v>
      </c>
      <c r="D483" s="4">
        <v>485205000</v>
      </c>
      <c r="E483" s="4">
        <v>899873000</v>
      </c>
      <c r="F483" s="4">
        <v>1478730000</v>
      </c>
      <c r="G483" s="4">
        <v>2111910000</v>
      </c>
      <c r="H483" s="4">
        <v>2959230000</v>
      </c>
      <c r="I483" s="4">
        <v>3983230000</v>
      </c>
      <c r="J483" s="4">
        <v>5252840000</v>
      </c>
      <c r="K483" s="4">
        <v>6803060000</v>
      </c>
      <c r="L483" s="4">
        <v>8683040000</v>
      </c>
      <c r="M483" s="4">
        <v>10932200000</v>
      </c>
      <c r="N483" s="4">
        <v>13577200000</v>
      </c>
      <c r="O483" s="4">
        <v>16724300000</v>
      </c>
      <c r="P483" s="4">
        <v>20339400000</v>
      </c>
      <c r="Q483" s="4">
        <v>24424400000</v>
      </c>
      <c r="R483" s="4">
        <v>28986400000</v>
      </c>
      <c r="S483" s="4">
        <v>33908600000</v>
      </c>
      <c r="T483" s="4">
        <v>39002400000</v>
      </c>
      <c r="U483" s="4">
        <v>44389400000</v>
      </c>
      <c r="V483" s="4">
        <v>49883700000</v>
      </c>
      <c r="W483" s="4">
        <v>55391100000</v>
      </c>
      <c r="X483" s="4">
        <v>60847900000</v>
      </c>
      <c r="Y483" s="4">
        <v>66200400000</v>
      </c>
      <c r="Z483" s="4">
        <v>71975500000</v>
      </c>
      <c r="AA483" s="4">
        <v>78107700000</v>
      </c>
      <c r="AB483" s="4">
        <v>84320700000</v>
      </c>
      <c r="AC483" s="4">
        <v>90559600000</v>
      </c>
      <c r="AD483" s="4">
        <v>96749700000</v>
      </c>
      <c r="AE483" s="4">
        <v>102810000000</v>
      </c>
      <c r="AF483" s="4">
        <v>108780000000</v>
      </c>
    </row>
    <row r="484" spans="1:32" x14ac:dyDescent="0.75">
      <c r="A484" t="s">
        <v>553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75">
      <c r="A485" t="s">
        <v>554</v>
      </c>
      <c r="B485">
        <v>0</v>
      </c>
      <c r="C485" s="4">
        <v>6963960</v>
      </c>
      <c r="D485" s="4">
        <v>19137700</v>
      </c>
      <c r="E485" s="4">
        <v>26762100</v>
      </c>
      <c r="F485" s="4">
        <v>43925800</v>
      </c>
      <c r="G485" s="4">
        <v>60649200</v>
      </c>
      <c r="H485" s="4">
        <v>84688600</v>
      </c>
      <c r="I485" s="4">
        <v>116226000</v>
      </c>
      <c r="J485" s="4">
        <v>155551000</v>
      </c>
      <c r="K485" s="4">
        <v>206475000</v>
      </c>
      <c r="L485" s="4">
        <v>265080000</v>
      </c>
      <c r="M485" s="4">
        <v>321676000</v>
      </c>
      <c r="N485" s="4">
        <v>392500000</v>
      </c>
      <c r="O485" s="4">
        <v>481183000</v>
      </c>
      <c r="P485" s="4">
        <v>590331000</v>
      </c>
      <c r="Q485" s="4">
        <v>736515000</v>
      </c>
      <c r="R485" s="4">
        <v>881940000</v>
      </c>
      <c r="S485" s="4">
        <v>1054950000</v>
      </c>
      <c r="T485" s="4">
        <v>1334020000</v>
      </c>
      <c r="U485" s="4">
        <v>1531390000</v>
      </c>
      <c r="V485" s="4">
        <v>1743750000</v>
      </c>
      <c r="W485" s="4">
        <v>1980210000</v>
      </c>
      <c r="X485" s="4">
        <v>2197010000</v>
      </c>
      <c r="Y485" s="4">
        <v>2562750000</v>
      </c>
      <c r="Z485" s="4">
        <v>2964170000</v>
      </c>
      <c r="AA485" s="4">
        <v>3264230000</v>
      </c>
      <c r="AB485" s="4">
        <v>3644940000</v>
      </c>
      <c r="AC485" s="4">
        <v>3983050000</v>
      </c>
      <c r="AD485" s="4">
        <v>4396550000</v>
      </c>
      <c r="AE485" s="4">
        <v>4802300000</v>
      </c>
      <c r="AF485" s="4">
        <v>5146120000</v>
      </c>
    </row>
    <row r="486" spans="1:32" x14ac:dyDescent="0.75">
      <c r="A486" t="s">
        <v>555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75">
      <c r="A487" t="s">
        <v>556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75">
      <c r="A488" t="s">
        <v>557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75">
      <c r="A489" t="s">
        <v>558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75">
      <c r="A490" t="s">
        <v>559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75">
      <c r="A491" t="s">
        <v>560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75">
      <c r="A492" t="s">
        <v>561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x14ac:dyDescent="0.75">
      <c r="A493" t="s">
        <v>562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75">
      <c r="A494" t="s">
        <v>563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75">
      <c r="A495" t="s">
        <v>564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75">
      <c r="A496" t="s">
        <v>565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75">
      <c r="A497" t="s">
        <v>566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75">
      <c r="A498" t="s">
        <v>567</v>
      </c>
      <c r="B498" s="4">
        <v>865737000000</v>
      </c>
      <c r="C498" s="4">
        <v>1171560000000</v>
      </c>
      <c r="D498" s="4">
        <v>1326900000000</v>
      </c>
      <c r="E498" s="4">
        <v>1418200000000</v>
      </c>
      <c r="F498" s="4">
        <v>1488530000000</v>
      </c>
      <c r="G498" s="4">
        <v>1553450000000</v>
      </c>
      <c r="H498" s="4">
        <v>1616570000000</v>
      </c>
      <c r="I498" s="4">
        <v>1680250000000</v>
      </c>
      <c r="J498" s="4">
        <v>1749340000000</v>
      </c>
      <c r="K498" s="4">
        <v>1822180000000</v>
      </c>
      <c r="L498" s="4">
        <v>1902750000000</v>
      </c>
      <c r="M498" s="4">
        <v>1988960000000</v>
      </c>
      <c r="N498" s="4">
        <v>2080860000000</v>
      </c>
      <c r="O498" s="4">
        <v>2180260000000</v>
      </c>
      <c r="P498" s="4">
        <v>2286920000000</v>
      </c>
      <c r="Q498" s="4">
        <v>2399680000000</v>
      </c>
      <c r="R498" s="4">
        <v>2516670000000</v>
      </c>
      <c r="S498" s="4">
        <v>2640430000000</v>
      </c>
      <c r="T498" s="4">
        <v>2768430000000</v>
      </c>
      <c r="U498" s="4">
        <v>2897030000000</v>
      </c>
      <c r="V498" s="4">
        <v>3029240000000</v>
      </c>
      <c r="W498" s="4">
        <v>3163630000000</v>
      </c>
      <c r="X498" s="4">
        <v>3299870000000</v>
      </c>
      <c r="Y498" s="4">
        <v>3466920000000</v>
      </c>
      <c r="Z498" s="4">
        <v>3652730000000</v>
      </c>
      <c r="AA498" s="4">
        <v>3835280000000</v>
      </c>
      <c r="AB498" s="4">
        <v>4019480000000</v>
      </c>
      <c r="AC498" s="4">
        <v>4202550000000</v>
      </c>
      <c r="AD498" s="4">
        <v>4385040000000</v>
      </c>
      <c r="AE498" s="4">
        <v>4569030000000</v>
      </c>
      <c r="AF498" s="4">
        <v>4755320000000</v>
      </c>
    </row>
    <row r="499" spans="1:32" x14ac:dyDescent="0.75">
      <c r="A499" t="s">
        <v>568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75">
      <c r="A500" t="s">
        <v>569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75">
      <c r="A501" t="s">
        <v>570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75">
      <c r="A502" t="s">
        <v>571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75">
      <c r="A503" t="s">
        <v>572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75">
      <c r="A504" t="s">
        <v>573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75">
      <c r="A505" t="s">
        <v>574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75">
      <c r="A506" t="s">
        <v>575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75">
      <c r="A507" t="s">
        <v>576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75">
      <c r="A508" t="s">
        <v>577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75">
      <c r="A509" t="s">
        <v>578</v>
      </c>
      <c r="B509" s="4">
        <v>4956640000</v>
      </c>
      <c r="C509" s="4">
        <v>6591410000</v>
      </c>
      <c r="D509" s="4">
        <v>7274720000</v>
      </c>
      <c r="E509" s="4">
        <v>7613210000</v>
      </c>
      <c r="F509" s="4">
        <v>7880020000</v>
      </c>
      <c r="G509" s="4">
        <v>8325120000</v>
      </c>
      <c r="H509" s="4">
        <v>9110360000</v>
      </c>
      <c r="I509" s="4">
        <v>10350900000</v>
      </c>
      <c r="J509" s="4">
        <v>12300800000</v>
      </c>
      <c r="K509" s="4">
        <v>15123600000</v>
      </c>
      <c r="L509" s="4">
        <v>19240500000</v>
      </c>
      <c r="M509" s="4">
        <v>24723300000</v>
      </c>
      <c r="N509" s="4">
        <v>31974500000</v>
      </c>
      <c r="O509" s="4">
        <v>41303800000</v>
      </c>
      <c r="P509" s="4">
        <v>52865300000</v>
      </c>
      <c r="Q509" s="4">
        <v>66992900000</v>
      </c>
      <c r="R509" s="4">
        <v>83663400000</v>
      </c>
      <c r="S509" s="4">
        <v>103056000000</v>
      </c>
      <c r="T509" s="4">
        <v>124907000000</v>
      </c>
      <c r="U509" s="4">
        <v>148789000000</v>
      </c>
      <c r="V509" s="4">
        <v>174669000000</v>
      </c>
      <c r="W509" s="4">
        <v>202148000000</v>
      </c>
      <c r="X509" s="4">
        <v>231029000000</v>
      </c>
      <c r="Y509" s="4">
        <v>261638000000</v>
      </c>
      <c r="Z509" s="4">
        <v>295868000000</v>
      </c>
      <c r="AA509" s="4">
        <v>332846000000</v>
      </c>
      <c r="AB509" s="4">
        <v>372179000000</v>
      </c>
      <c r="AC509" s="4">
        <v>413440000000</v>
      </c>
      <c r="AD509" s="4">
        <v>456388000000</v>
      </c>
      <c r="AE509" s="4">
        <v>500858000000</v>
      </c>
      <c r="AF509" s="4">
        <v>546707000000</v>
      </c>
    </row>
    <row r="510" spans="1:32" x14ac:dyDescent="0.75">
      <c r="A510" t="s">
        <v>579</v>
      </c>
      <c r="B510" s="4">
        <v>178386000000</v>
      </c>
      <c r="C510" s="4">
        <v>1232780000000</v>
      </c>
      <c r="D510" s="4">
        <v>4528350000000</v>
      </c>
      <c r="E510" s="4">
        <v>8553560000000</v>
      </c>
      <c r="F510" s="4">
        <v>14039200000000</v>
      </c>
      <c r="G510" s="4">
        <v>20677300000000</v>
      </c>
      <c r="H510" s="4">
        <v>27852300000000</v>
      </c>
      <c r="I510" s="4">
        <v>34978400000000</v>
      </c>
      <c r="J510" s="4">
        <v>41986300000000</v>
      </c>
      <c r="K510" s="4">
        <v>49164200000000</v>
      </c>
      <c r="L510" s="4">
        <v>56318100000000</v>
      </c>
      <c r="M510" s="4">
        <v>63657100000000</v>
      </c>
      <c r="N510" s="4">
        <v>71022000000000</v>
      </c>
      <c r="O510" s="4">
        <v>78450200000000</v>
      </c>
      <c r="P510" s="4">
        <v>85854200000000</v>
      </c>
      <c r="Q510" s="4">
        <v>93411600000000</v>
      </c>
      <c r="R510" s="4">
        <v>101084000000000</v>
      </c>
      <c r="S510" s="4">
        <v>109023000000000</v>
      </c>
      <c r="T510" s="4">
        <v>117168000000000</v>
      </c>
      <c r="U510" s="4">
        <v>125373000000000</v>
      </c>
      <c r="V510" s="4">
        <v>133740000000000</v>
      </c>
      <c r="W510" s="4">
        <v>142332000000000</v>
      </c>
      <c r="X510" s="4">
        <v>151122000000000</v>
      </c>
      <c r="Y510" s="4">
        <v>159980000000000</v>
      </c>
      <c r="Z510" s="4">
        <v>169015000000000</v>
      </c>
      <c r="AA510" s="4">
        <v>178092000000000</v>
      </c>
      <c r="AB510" s="4">
        <v>187377000000000</v>
      </c>
      <c r="AC510" s="4">
        <v>196320000000000</v>
      </c>
      <c r="AD510" s="4">
        <v>203627000000000</v>
      </c>
      <c r="AE510" s="4">
        <v>210899000000000</v>
      </c>
      <c r="AF510" s="4">
        <v>216617000000000</v>
      </c>
    </row>
    <row r="511" spans="1:32" x14ac:dyDescent="0.75">
      <c r="A511" t="s">
        <v>580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75">
      <c r="A512" t="s">
        <v>581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75">
      <c r="A513" t="s">
        <v>582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75">
      <c r="A514" t="s">
        <v>583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75">
      <c r="A515" t="s">
        <v>584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75">
      <c r="A516" t="s">
        <v>585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75">
      <c r="A517" t="s">
        <v>586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75">
      <c r="A518" t="s">
        <v>587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75">
      <c r="A519" t="s">
        <v>588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75">
      <c r="A520" t="s">
        <v>589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x14ac:dyDescent="0.75">
      <c r="A521" t="s">
        <v>590</v>
      </c>
      <c r="B521" s="4">
        <v>45556600000000</v>
      </c>
      <c r="C521" s="4">
        <v>47657300000000</v>
      </c>
      <c r="D521" s="4">
        <v>47117700000000</v>
      </c>
      <c r="E521" s="4">
        <v>46025400000000</v>
      </c>
      <c r="F521" s="4">
        <v>44737500000000</v>
      </c>
      <c r="G521" s="4">
        <v>43430500000000</v>
      </c>
      <c r="H521" s="4">
        <v>41955900000000</v>
      </c>
      <c r="I521" s="4">
        <v>40299800000000</v>
      </c>
      <c r="J521" s="4">
        <v>38650600000000</v>
      </c>
      <c r="K521" s="4">
        <v>37010200000000</v>
      </c>
      <c r="L521" s="4">
        <v>35345400000000</v>
      </c>
      <c r="M521" s="4">
        <v>33698000000000</v>
      </c>
      <c r="N521" s="4">
        <v>32078300000000</v>
      </c>
      <c r="O521" s="4">
        <v>30500300000000</v>
      </c>
      <c r="P521" s="4">
        <v>28959000000000</v>
      </c>
      <c r="Q521" s="4">
        <v>27492500000000</v>
      </c>
      <c r="R521" s="4">
        <v>26093700000000</v>
      </c>
      <c r="S521" s="4">
        <v>24792000000000</v>
      </c>
      <c r="T521" s="4">
        <v>23566800000000</v>
      </c>
      <c r="U521" s="4">
        <v>22395600000000</v>
      </c>
      <c r="V521" s="4">
        <v>21286100000000</v>
      </c>
      <c r="W521" s="4">
        <v>20244900000000</v>
      </c>
      <c r="X521" s="4">
        <v>19263000000000</v>
      </c>
      <c r="Y521" s="4">
        <v>18315300000000</v>
      </c>
      <c r="Z521" s="4">
        <v>17408800000000</v>
      </c>
      <c r="AA521" s="4">
        <v>16534900000000</v>
      </c>
      <c r="AB521" s="4">
        <v>15705800000000</v>
      </c>
      <c r="AC521" s="4">
        <v>14869100000000</v>
      </c>
      <c r="AD521" s="4">
        <v>15710800000000</v>
      </c>
      <c r="AE521" s="4">
        <v>16563500000000</v>
      </c>
      <c r="AF521" s="4">
        <v>17515600000000</v>
      </c>
    </row>
    <row r="522" spans="1:32" x14ac:dyDescent="0.75">
      <c r="A522" t="s">
        <v>591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75">
      <c r="A523" t="s">
        <v>592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75">
      <c r="A524" t="s">
        <v>593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75">
      <c r="A525" t="s">
        <v>594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75">
      <c r="A526" t="s">
        <v>595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75">
      <c r="A527" t="s">
        <v>596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75">
      <c r="A528" t="s">
        <v>597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75">
      <c r="A529" t="s">
        <v>598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75">
      <c r="A530" t="s">
        <v>599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75">
      <c r="A531" t="s">
        <v>600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75">
      <c r="A532" t="s">
        <v>601</v>
      </c>
      <c r="B532">
        <v>3264550000000</v>
      </c>
      <c r="C532">
        <v>3403320000000</v>
      </c>
      <c r="D532">
        <v>3355820000000</v>
      </c>
      <c r="E532">
        <v>3268500000000</v>
      </c>
      <c r="F532">
        <v>3163340000000</v>
      </c>
      <c r="G532">
        <v>3056260000000</v>
      </c>
      <c r="H532">
        <v>2937180000000</v>
      </c>
      <c r="I532">
        <v>2805090000000</v>
      </c>
      <c r="J532">
        <v>2672840000000</v>
      </c>
      <c r="K532">
        <v>2539350000000</v>
      </c>
      <c r="L532">
        <v>2401840000000</v>
      </c>
      <c r="M532">
        <v>2262730000000</v>
      </c>
      <c r="N532">
        <v>2122750000000</v>
      </c>
      <c r="O532">
        <v>1982090000000</v>
      </c>
      <c r="P532">
        <v>1839970000000</v>
      </c>
      <c r="Q532">
        <v>1698430000000</v>
      </c>
      <c r="R532">
        <v>1556730000000</v>
      </c>
      <c r="S532">
        <v>1416610000000</v>
      </c>
      <c r="T532">
        <v>1276750000000</v>
      </c>
      <c r="U532">
        <v>1136050000000</v>
      </c>
      <c r="V532">
        <v>995105000000</v>
      </c>
      <c r="W532">
        <v>854316000000</v>
      </c>
      <c r="X532">
        <v>713457000000</v>
      </c>
      <c r="Y532">
        <v>571319000000</v>
      </c>
      <c r="Z532">
        <v>428499000000</v>
      </c>
      <c r="AA532">
        <v>285185000000</v>
      </c>
      <c r="AB532">
        <v>141628000000</v>
      </c>
      <c r="AC532">
        <v>0</v>
      </c>
      <c r="AD532">
        <v>0</v>
      </c>
      <c r="AE532">
        <v>0</v>
      </c>
      <c r="AF532">
        <v>0</v>
      </c>
    </row>
    <row r="533" spans="1:32" x14ac:dyDescent="0.75">
      <c r="A533" t="s">
        <v>602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75">
      <c r="A534" t="s">
        <v>603</v>
      </c>
      <c r="B534">
        <v>370806000000</v>
      </c>
      <c r="C534">
        <v>386569000000</v>
      </c>
      <c r="D534">
        <v>381173000000</v>
      </c>
      <c r="E534">
        <v>371255000000</v>
      </c>
      <c r="F534">
        <v>359310000000</v>
      </c>
      <c r="G534">
        <v>347147000000</v>
      </c>
      <c r="H534">
        <v>333622000000</v>
      </c>
      <c r="I534">
        <v>318619000000</v>
      </c>
      <c r="J534">
        <v>303597000000</v>
      </c>
      <c r="K534">
        <v>288434000000</v>
      </c>
      <c r="L534">
        <v>272815000000</v>
      </c>
      <c r="M534">
        <v>257013000000</v>
      </c>
      <c r="N534">
        <v>241115000000</v>
      </c>
      <c r="O534">
        <v>225137000000</v>
      </c>
      <c r="P534">
        <v>208995000000</v>
      </c>
      <c r="Q534">
        <v>192917000000</v>
      </c>
      <c r="R534">
        <v>176822000000</v>
      </c>
      <c r="S534">
        <v>160907000000</v>
      </c>
      <c r="T534">
        <v>145021000000</v>
      </c>
      <c r="U534">
        <v>129039000000</v>
      </c>
      <c r="V534">
        <v>113030000000</v>
      </c>
      <c r="W534">
        <v>97038100000</v>
      </c>
      <c r="X534">
        <v>81038500000</v>
      </c>
      <c r="Y534">
        <v>64893700000</v>
      </c>
      <c r="Z534">
        <v>48671300000</v>
      </c>
      <c r="AA534">
        <v>32392900000</v>
      </c>
      <c r="AB534">
        <v>16086900000</v>
      </c>
      <c r="AC534">
        <v>0</v>
      </c>
      <c r="AD534">
        <v>0</v>
      </c>
      <c r="AE534">
        <v>0</v>
      </c>
      <c r="AF534">
        <v>0</v>
      </c>
    </row>
    <row r="535" spans="1:32" x14ac:dyDescent="0.75">
      <c r="A535" t="s">
        <v>604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75">
      <c r="A536" t="s">
        <v>605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75">
      <c r="A537" t="s">
        <v>606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75">
      <c r="A538" t="s">
        <v>607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75">
      <c r="A539" t="s">
        <v>608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75">
      <c r="A540" t="s">
        <v>609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75">
      <c r="A541" t="s">
        <v>610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75">
      <c r="A542" t="s">
        <v>611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75">
      <c r="A543" t="s">
        <v>612</v>
      </c>
      <c r="B543" s="4">
        <v>3534720000000000</v>
      </c>
      <c r="C543" s="4">
        <v>3829310000000000</v>
      </c>
      <c r="D543" s="4">
        <v>3905310000000000</v>
      </c>
      <c r="E543" s="4">
        <v>3975330000000000</v>
      </c>
      <c r="F543" s="4">
        <v>3985550000000000</v>
      </c>
      <c r="G543" s="4">
        <v>3995530000000000</v>
      </c>
      <c r="H543" s="4">
        <v>3984530000000000</v>
      </c>
      <c r="I543" s="4">
        <v>3950870000000000</v>
      </c>
      <c r="J543" s="4">
        <v>3917420000000000</v>
      </c>
      <c r="K543" s="4">
        <v>3879290000000000</v>
      </c>
      <c r="L543" s="4">
        <v>3835840000000000</v>
      </c>
      <c r="M543" s="4">
        <v>3793070000000000</v>
      </c>
      <c r="N543" s="4">
        <v>3746390000000000</v>
      </c>
      <c r="O543" s="4">
        <v>3697890000000000</v>
      </c>
      <c r="P543" s="4">
        <v>3645880000000000</v>
      </c>
      <c r="Q543" s="4">
        <v>3592510000000000</v>
      </c>
      <c r="R543" s="4">
        <v>3542440000000000</v>
      </c>
      <c r="S543" s="4">
        <v>3495170000000000</v>
      </c>
      <c r="T543" s="4">
        <v>3442050000000000</v>
      </c>
      <c r="U543" s="4">
        <v>3397790000000000</v>
      </c>
      <c r="V543" s="4">
        <v>3353960000000000</v>
      </c>
      <c r="W543" s="4">
        <v>3311810000000000</v>
      </c>
      <c r="X543" s="4">
        <v>3274130000000000</v>
      </c>
      <c r="Y543" s="4">
        <v>3226980000000000</v>
      </c>
      <c r="Z543" s="4">
        <v>3179560000000000</v>
      </c>
      <c r="AA543" s="4">
        <v>3137490000000000</v>
      </c>
      <c r="AB543" s="4">
        <v>3094570000000000</v>
      </c>
      <c r="AC543" s="4">
        <v>3047460000000000</v>
      </c>
      <c r="AD543" s="4">
        <v>3000380000000000</v>
      </c>
      <c r="AE543" s="4">
        <v>2962260000000000</v>
      </c>
      <c r="AF543" s="4">
        <v>2938760000000000</v>
      </c>
    </row>
    <row r="544" spans="1:32" x14ac:dyDescent="0.75">
      <c r="A544" t="s">
        <v>613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75">
      <c r="A545" t="s">
        <v>614</v>
      </c>
      <c r="B545" s="4">
        <v>159069000000000</v>
      </c>
      <c r="C545" s="4">
        <v>151037000000000</v>
      </c>
      <c r="D545" s="4">
        <v>154035000000000</v>
      </c>
      <c r="E545" s="4">
        <v>118226000000000</v>
      </c>
      <c r="F545" s="4">
        <v>118391000000000</v>
      </c>
      <c r="G545" s="4">
        <v>114742000000000</v>
      </c>
      <c r="H545" s="4">
        <v>114031000000000</v>
      </c>
      <c r="I545" s="4">
        <v>115282000000000</v>
      </c>
      <c r="J545" s="4">
        <v>116005000000000</v>
      </c>
      <c r="K545" s="4">
        <v>117738000000000</v>
      </c>
      <c r="L545" s="4">
        <v>117102000000000</v>
      </c>
      <c r="M545" s="4">
        <v>111610000000000</v>
      </c>
      <c r="N545" s="4">
        <v>108303000000000</v>
      </c>
      <c r="O545" s="4">
        <v>106394000000000</v>
      </c>
      <c r="P545" s="4">
        <v>105818000000000</v>
      </c>
      <c r="Q545" s="4">
        <v>108332000000000</v>
      </c>
      <c r="R545" s="4">
        <v>107782000000000</v>
      </c>
      <c r="S545" s="4">
        <v>108740000000000</v>
      </c>
      <c r="T545" s="4">
        <v>117730000000000</v>
      </c>
      <c r="U545" s="4">
        <v>117221000000000</v>
      </c>
      <c r="V545" s="4">
        <v>117242000000000</v>
      </c>
      <c r="W545" s="4">
        <v>118396000000000</v>
      </c>
      <c r="X545" s="4">
        <v>118217000000000</v>
      </c>
      <c r="Y545" s="4">
        <v>124923000000000</v>
      </c>
      <c r="Z545" s="4">
        <v>130944000000000</v>
      </c>
      <c r="AA545" s="4">
        <v>131120000000000</v>
      </c>
      <c r="AB545" s="4">
        <v>133769000000000</v>
      </c>
      <c r="AC545" s="4">
        <v>134035000000000</v>
      </c>
      <c r="AD545" s="4">
        <v>136345000000000</v>
      </c>
      <c r="AE545" s="4">
        <v>138368000000000</v>
      </c>
      <c r="AF545" s="4">
        <v>139026000000000</v>
      </c>
    </row>
    <row r="546" spans="1:32" x14ac:dyDescent="0.75">
      <c r="A546" t="s">
        <v>615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75">
      <c r="A547" t="s">
        <v>616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75">
      <c r="A548" t="s">
        <v>617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75">
      <c r="A549" t="s">
        <v>618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75">
      <c r="A550" t="s">
        <v>619</v>
      </c>
      <c r="B550" s="4">
        <v>52973200000</v>
      </c>
      <c r="C550" s="4">
        <v>59056900000</v>
      </c>
      <c r="D550" s="4">
        <v>65433200000</v>
      </c>
      <c r="E550" s="4">
        <v>70403100000</v>
      </c>
      <c r="F550" s="4">
        <v>74200900000</v>
      </c>
      <c r="G550" s="4">
        <v>77931400000</v>
      </c>
      <c r="H550" s="4">
        <v>81572000000</v>
      </c>
      <c r="I550" s="4">
        <v>84784500000</v>
      </c>
      <c r="J550" s="4">
        <v>87957000000</v>
      </c>
      <c r="K550" s="4">
        <v>91713700000</v>
      </c>
      <c r="L550" s="4">
        <v>95286500000</v>
      </c>
      <c r="M550" s="4">
        <v>99430300000</v>
      </c>
      <c r="N550" s="4">
        <v>104218000000</v>
      </c>
      <c r="O550" s="4">
        <v>109643000000</v>
      </c>
      <c r="P550" s="4">
        <v>115716000000</v>
      </c>
      <c r="Q550" s="4">
        <v>121860000000</v>
      </c>
      <c r="R550" s="4">
        <v>128712000000</v>
      </c>
      <c r="S550" s="4">
        <v>135736000000</v>
      </c>
      <c r="T550" s="4">
        <v>142862000000</v>
      </c>
      <c r="U550" s="4">
        <v>149282000000</v>
      </c>
      <c r="V550" s="4">
        <v>155748000000</v>
      </c>
      <c r="W550" s="4">
        <v>161649000000</v>
      </c>
      <c r="X550" s="4">
        <v>166999000000</v>
      </c>
      <c r="Y550" s="4">
        <v>172228000000</v>
      </c>
      <c r="Z550" s="4">
        <v>176709000000</v>
      </c>
      <c r="AA550" s="4">
        <v>180441000000</v>
      </c>
      <c r="AB550" s="4">
        <v>183541000000</v>
      </c>
      <c r="AC550" s="4">
        <v>186244000000</v>
      </c>
      <c r="AD550" s="4">
        <v>186459000000</v>
      </c>
      <c r="AE550" s="4">
        <v>185198000000</v>
      </c>
      <c r="AF550" s="4">
        <v>181274000000</v>
      </c>
    </row>
    <row r="551" spans="1:32" x14ac:dyDescent="0.75">
      <c r="A551" t="s">
        <v>620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75">
      <c r="A552" t="s">
        <v>621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75">
      <c r="A553" t="s">
        <v>622</v>
      </c>
      <c r="B553" s="4">
        <v>41475200000</v>
      </c>
      <c r="C553" s="4">
        <v>46485700000</v>
      </c>
      <c r="D553" s="4">
        <v>51504700000</v>
      </c>
      <c r="E553" s="4">
        <v>55938900000</v>
      </c>
      <c r="F553" s="4">
        <v>58958500000</v>
      </c>
      <c r="G553" s="4">
        <v>61982000000</v>
      </c>
      <c r="H553" s="4">
        <v>64883800000</v>
      </c>
      <c r="I553" s="4">
        <v>67402400000</v>
      </c>
      <c r="J553" s="4">
        <v>69895000000</v>
      </c>
      <c r="K553" s="4">
        <v>72828100000</v>
      </c>
      <c r="L553" s="4">
        <v>75652100000</v>
      </c>
      <c r="M553" s="4">
        <v>79026700000</v>
      </c>
      <c r="N553" s="4">
        <v>82873200000</v>
      </c>
      <c r="O553" s="4">
        <v>87199200000</v>
      </c>
      <c r="P553" s="4">
        <v>92006100000</v>
      </c>
      <c r="Q553" s="4">
        <v>96784900000</v>
      </c>
      <c r="R553" s="4">
        <v>102200000000</v>
      </c>
      <c r="S553" s="4">
        <v>107706000000</v>
      </c>
      <c r="T553" s="4">
        <v>113021000000</v>
      </c>
      <c r="U553" s="4">
        <v>118066000000</v>
      </c>
      <c r="V553" s="4">
        <v>123126000000</v>
      </c>
      <c r="W553" s="4">
        <v>127693000000</v>
      </c>
      <c r="X553" s="4">
        <v>131874000000</v>
      </c>
      <c r="Y553" s="4">
        <v>135662000000</v>
      </c>
      <c r="Z553" s="4">
        <v>138861000000</v>
      </c>
      <c r="AA553" s="4">
        <v>141712000000</v>
      </c>
      <c r="AB553" s="4">
        <v>143948000000</v>
      </c>
      <c r="AC553" s="4">
        <v>145961000000</v>
      </c>
      <c r="AD553" s="4">
        <v>145926000000</v>
      </c>
      <c r="AE553" s="4">
        <v>144764000000</v>
      </c>
      <c r="AF553" s="4">
        <v>141616000000</v>
      </c>
    </row>
    <row r="554" spans="1:32" x14ac:dyDescent="0.75">
      <c r="A554" t="s">
        <v>623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75">
      <c r="A555" t="s">
        <v>624</v>
      </c>
      <c r="B555" s="4">
        <v>1866470000</v>
      </c>
      <c r="C555" s="4">
        <v>1833510000</v>
      </c>
      <c r="D555" s="4">
        <v>2031470000</v>
      </c>
      <c r="E555" s="4">
        <v>1663620000</v>
      </c>
      <c r="F555" s="4">
        <v>1751370000</v>
      </c>
      <c r="G555" s="4">
        <v>1779980000</v>
      </c>
      <c r="H555" s="4">
        <v>1856880000</v>
      </c>
      <c r="I555" s="4">
        <v>1966720000</v>
      </c>
      <c r="J555" s="4">
        <v>2069780000</v>
      </c>
      <c r="K555" s="4">
        <v>2210360000</v>
      </c>
      <c r="L555" s="4">
        <v>2309540000</v>
      </c>
      <c r="M555" s="4">
        <v>2325330000</v>
      </c>
      <c r="N555" s="4">
        <v>2395760000</v>
      </c>
      <c r="O555" s="4">
        <v>2508850000</v>
      </c>
      <c r="P555" s="4">
        <v>2670390000</v>
      </c>
      <c r="Q555" s="4">
        <v>2918540000</v>
      </c>
      <c r="R555" s="4">
        <v>3109540000</v>
      </c>
      <c r="S555" s="4">
        <v>3350900000</v>
      </c>
      <c r="T555" s="4">
        <v>3865720000</v>
      </c>
      <c r="U555" s="4">
        <v>4073180000</v>
      </c>
      <c r="V555" s="4">
        <v>4304050000</v>
      </c>
      <c r="W555" s="4">
        <v>4564990000</v>
      </c>
      <c r="X555" s="4">
        <v>4761510000</v>
      </c>
      <c r="Y555" s="4">
        <v>5251750000</v>
      </c>
      <c r="Z555" s="4">
        <v>5718720000</v>
      </c>
      <c r="AA555" s="4">
        <v>5922330000</v>
      </c>
      <c r="AB555" s="4">
        <v>6222440000</v>
      </c>
      <c r="AC555" s="4">
        <v>6419770000</v>
      </c>
      <c r="AD555" s="4">
        <v>6631240000</v>
      </c>
      <c r="AE555" s="4">
        <v>6761950000</v>
      </c>
      <c r="AF555" s="4">
        <v>6699480000</v>
      </c>
    </row>
    <row r="556" spans="1:32" x14ac:dyDescent="0.75">
      <c r="A556" t="s">
        <v>625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75">
      <c r="A557" t="s">
        <v>626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75">
      <c r="A558" t="s">
        <v>627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75">
      <c r="A559" t="s">
        <v>628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75">
      <c r="A560" t="s">
        <v>629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75">
      <c r="A561" t="s">
        <v>630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75">
      <c r="A562" t="s">
        <v>631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75">
      <c r="A563" t="s">
        <v>632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75">
      <c r="A564" t="s">
        <v>633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75">
      <c r="A565" t="s">
        <v>634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75">
      <c r="A566" t="s">
        <v>635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75">
      <c r="A567" t="s">
        <v>636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75">
      <c r="A568" t="s">
        <v>637</v>
      </c>
      <c r="B568" s="4">
        <v>687650000000</v>
      </c>
      <c r="C568" s="4">
        <v>727116000000</v>
      </c>
      <c r="D568" s="4">
        <v>740051000000</v>
      </c>
      <c r="E568" s="4">
        <v>741993000000</v>
      </c>
      <c r="F568" s="4">
        <v>740040000000</v>
      </c>
      <c r="G568" s="4">
        <v>736939000000</v>
      </c>
      <c r="H568" s="4">
        <v>730220000000</v>
      </c>
      <c r="I568" s="4">
        <v>719363000000</v>
      </c>
      <c r="J568" s="4">
        <v>708329000000</v>
      </c>
      <c r="K568" s="4">
        <v>697652000000</v>
      </c>
      <c r="L568" s="4">
        <v>686127000000</v>
      </c>
      <c r="M568" s="4">
        <v>675262000000</v>
      </c>
      <c r="N568" s="4">
        <v>665017000000</v>
      </c>
      <c r="O568" s="4">
        <v>656112000000</v>
      </c>
      <c r="P568" s="4">
        <v>647820000000</v>
      </c>
      <c r="Q568" s="4">
        <v>641276000000</v>
      </c>
      <c r="R568" s="4">
        <v>635700000000</v>
      </c>
      <c r="S568" s="4">
        <v>632371000000</v>
      </c>
      <c r="T568" s="4">
        <v>630900000000</v>
      </c>
      <c r="U568" s="4">
        <v>630789000000</v>
      </c>
      <c r="V568" s="4">
        <v>632345000000</v>
      </c>
      <c r="W568" s="4">
        <v>635897000000</v>
      </c>
      <c r="X568" s="4">
        <v>641499000000</v>
      </c>
      <c r="Y568" s="4">
        <v>648136000000</v>
      </c>
      <c r="Z568" s="4">
        <v>656589000000</v>
      </c>
      <c r="AA568" s="4">
        <v>666416000000</v>
      </c>
      <c r="AB568" s="4">
        <v>678050000000</v>
      </c>
      <c r="AC568" s="4">
        <v>689761000000</v>
      </c>
      <c r="AD568" s="4">
        <v>719090000000</v>
      </c>
      <c r="AE568" s="4">
        <v>749052000000</v>
      </c>
      <c r="AF568" s="4">
        <v>769573000000</v>
      </c>
    </row>
    <row r="569" spans="1:32" x14ac:dyDescent="0.75">
      <c r="A569" t="s">
        <v>638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75">
      <c r="A570" t="s">
        <v>639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75">
      <c r="A571" t="s">
        <v>640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75">
      <c r="A572" t="s">
        <v>641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75">
      <c r="A573" t="s">
        <v>642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75">
      <c r="A574" t="s">
        <v>643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75">
      <c r="A575" t="s">
        <v>644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75">
      <c r="A576" t="s">
        <v>645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75">
      <c r="A577" t="s">
        <v>646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75">
      <c r="A578" t="s">
        <v>647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75">
      <c r="A579" t="s">
        <v>648</v>
      </c>
      <c r="B579" s="4">
        <v>20412400000</v>
      </c>
      <c r="C579" s="4">
        <v>21085200000</v>
      </c>
      <c r="D579" s="4">
        <v>20791300000</v>
      </c>
      <c r="E579" s="4">
        <v>20250800000</v>
      </c>
      <c r="F579" s="4">
        <v>19599600000</v>
      </c>
      <c r="G579" s="4">
        <v>19477900000</v>
      </c>
      <c r="H579" s="4">
        <v>19269600000</v>
      </c>
      <c r="I579" s="4">
        <v>19472500000</v>
      </c>
      <c r="J579" s="4">
        <v>19666700000</v>
      </c>
      <c r="K579" s="4">
        <v>20837900000</v>
      </c>
      <c r="L579" s="4">
        <v>22952800000</v>
      </c>
      <c r="M579" s="4">
        <v>26029800000</v>
      </c>
      <c r="N579" s="4">
        <v>30092700000</v>
      </c>
      <c r="O579" s="4">
        <v>36152700000</v>
      </c>
      <c r="P579" s="4">
        <v>43713700000</v>
      </c>
      <c r="Q579" s="4">
        <v>53300900000</v>
      </c>
      <c r="R579" s="4">
        <v>65391100000</v>
      </c>
      <c r="S579" s="4">
        <v>79572300000</v>
      </c>
      <c r="T579" s="4">
        <v>96332900000</v>
      </c>
      <c r="U579" s="4">
        <v>115613000000</v>
      </c>
      <c r="V579" s="4">
        <v>137464000000</v>
      </c>
      <c r="W579" s="4">
        <v>161484000000</v>
      </c>
      <c r="X579" s="4">
        <v>187743000000</v>
      </c>
      <c r="Y579" s="4">
        <v>215967000000</v>
      </c>
      <c r="Z579" s="4">
        <v>246718000000</v>
      </c>
      <c r="AA579" s="4">
        <v>278976000000</v>
      </c>
      <c r="AB579" s="4">
        <v>313426000000</v>
      </c>
      <c r="AC579" s="4">
        <v>348724000000</v>
      </c>
      <c r="AD579" s="4">
        <v>383067000000</v>
      </c>
      <c r="AE579" s="4">
        <v>420364000000</v>
      </c>
      <c r="AF579" s="4">
        <v>459912000000</v>
      </c>
    </row>
    <row r="580" spans="1:32" x14ac:dyDescent="0.75">
      <c r="A580" t="s">
        <v>649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75">
      <c r="A581" t="s">
        <v>650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75">
      <c r="A582" t="s">
        <v>651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75">
      <c r="A583" t="s">
        <v>652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75">
      <c r="A584" t="s">
        <v>653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75">
      <c r="A585" t="s">
        <v>654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75">
      <c r="A586" t="s">
        <v>655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75">
      <c r="A587" t="s">
        <v>656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75">
      <c r="A588" t="s">
        <v>657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75">
      <c r="A589" t="s">
        <v>658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75">
      <c r="A590" t="s">
        <v>659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75">
      <c r="A591" t="s">
        <v>660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75">
      <c r="A592" t="s">
        <v>661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75">
      <c r="A593" t="s">
        <v>662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75">
      <c r="A594" t="s">
        <v>663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75">
      <c r="A595" t="s">
        <v>664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75">
      <c r="A596" t="s">
        <v>665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75">
      <c r="A597" t="s">
        <v>666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75">
      <c r="A598" t="s">
        <v>667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75">
      <c r="A599" t="s">
        <v>668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75">
      <c r="A600" t="s">
        <v>669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75">
      <c r="A601" t="s">
        <v>670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75">
      <c r="A602" t="s">
        <v>671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75">
      <c r="A603" t="s">
        <v>672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75">
      <c r="A604" t="s">
        <v>673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75">
      <c r="A605" t="s">
        <v>674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75">
      <c r="A606" t="s">
        <v>675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75">
      <c r="A607" t="s">
        <v>676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75">
      <c r="A608" t="s">
        <v>677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75">
      <c r="A609" t="s">
        <v>678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75">
      <c r="A610" t="s">
        <v>679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75">
      <c r="A611" t="s">
        <v>680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75">
      <c r="A612" t="s">
        <v>681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75">
      <c r="A613" t="s">
        <v>682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75">
      <c r="A614" t="s">
        <v>683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75">
      <c r="A615" t="s">
        <v>684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75">
      <c r="A616" t="s">
        <v>685</v>
      </c>
      <c r="B616" s="4">
        <v>1339990000000000</v>
      </c>
      <c r="C616" s="4">
        <v>1789390000000000</v>
      </c>
      <c r="D616" s="4">
        <v>2208840000000000</v>
      </c>
      <c r="E616" s="4">
        <v>2495300000000000</v>
      </c>
      <c r="F616" s="4">
        <v>2590100000000000</v>
      </c>
      <c r="G616" s="4">
        <v>2667850000000000</v>
      </c>
      <c r="H616" s="4">
        <v>2727100000000000</v>
      </c>
      <c r="I616" s="4">
        <v>2765110000000000</v>
      </c>
      <c r="J616" s="4">
        <v>2801540000000000</v>
      </c>
      <c r="K616" s="4">
        <v>2841390000000000</v>
      </c>
      <c r="L616" s="4">
        <v>2885730000000000</v>
      </c>
      <c r="M616" s="4">
        <v>2921300000000000</v>
      </c>
      <c r="N616" s="4">
        <v>2939070000000000</v>
      </c>
      <c r="O616" s="4">
        <v>2975550000000000</v>
      </c>
      <c r="P616" s="4">
        <v>3009180000000000</v>
      </c>
      <c r="Q616" s="4">
        <v>3044150000000000</v>
      </c>
      <c r="R616" s="4">
        <v>3079610000000000</v>
      </c>
      <c r="S616" s="4">
        <v>3120060000000000</v>
      </c>
      <c r="T616" s="4">
        <v>3157650000000000</v>
      </c>
      <c r="U616" s="4">
        <v>3200440000000000</v>
      </c>
      <c r="V616" s="4">
        <v>3247810000000000</v>
      </c>
      <c r="W616" s="4">
        <v>3287400000000000</v>
      </c>
      <c r="X616" s="4">
        <v>3332170000000000</v>
      </c>
      <c r="Y616" s="4">
        <v>3379480000000000</v>
      </c>
      <c r="Z616" s="4">
        <v>3421120000000000</v>
      </c>
      <c r="AA616" s="4">
        <v>3471080000000000</v>
      </c>
      <c r="AB616" s="4">
        <v>3522030000000000</v>
      </c>
      <c r="AC616" s="4">
        <v>3567040000000000</v>
      </c>
      <c r="AD616" s="4">
        <v>3612640000000000</v>
      </c>
      <c r="AE616" s="4">
        <v>3666010000000000</v>
      </c>
      <c r="AF616" s="4">
        <v>3725280000000000</v>
      </c>
    </row>
    <row r="617" spans="1:32" x14ac:dyDescent="0.75">
      <c r="A617" t="s">
        <v>686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75">
      <c r="A618" t="s">
        <v>687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75">
      <c r="A619" t="s">
        <v>688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75">
      <c r="A620" t="s">
        <v>689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75">
      <c r="A621" t="s">
        <v>690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75">
      <c r="A622" t="s">
        <v>691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75">
      <c r="A623" t="s">
        <v>692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75">
      <c r="A624" t="s">
        <v>693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75">
      <c r="A625" t="s">
        <v>694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75">
      <c r="A626" t="s">
        <v>695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75">
      <c r="A627" t="s">
        <v>696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75">
      <c r="A628" t="s">
        <v>697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75">
      <c r="A629" t="s">
        <v>698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75">
      <c r="A630" t="s">
        <v>699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75">
      <c r="A631" t="s">
        <v>700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75">
      <c r="A632" t="s">
        <v>701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75">
      <c r="A633" t="s">
        <v>702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75">
      <c r="A634" t="s">
        <v>703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75">
      <c r="A635" t="s">
        <v>704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75">
      <c r="A636" t="s">
        <v>705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75">
      <c r="A637" t="s">
        <v>706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75">
      <c r="A638" t="s">
        <v>707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75">
      <c r="A639" t="s">
        <v>708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75">
      <c r="A640" t="s">
        <v>709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75">
      <c r="A641" t="s">
        <v>710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75">
      <c r="A642" t="s">
        <v>711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75">
      <c r="A643" t="s">
        <v>712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75">
      <c r="A644" t="s">
        <v>713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75">
      <c r="A645" t="s">
        <v>714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75">
      <c r="A646" t="s">
        <v>715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75">
      <c r="A647" t="s">
        <v>716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75">
      <c r="A648" t="s">
        <v>717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75">
      <c r="A649" t="s">
        <v>718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75">
      <c r="A650" t="s">
        <v>719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75">
      <c r="A651" t="s">
        <v>720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75">
      <c r="A652" t="s">
        <v>721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75">
      <c r="A653" t="s">
        <v>722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75">
      <c r="A654" t="s">
        <v>723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75">
      <c r="A655" t="s">
        <v>724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75">
      <c r="A656" t="s">
        <v>725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75">
      <c r="A657" t="s">
        <v>726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75">
      <c r="A658" t="s">
        <v>727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75">
      <c r="A659" t="s">
        <v>728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75">
      <c r="A660" t="s">
        <v>729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75">
      <c r="A661" t="s">
        <v>730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75">
      <c r="A662" t="s">
        <v>731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75">
      <c r="A663" t="s">
        <v>732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75">
      <c r="A664" t="s">
        <v>733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75">
      <c r="A665" t="s">
        <v>734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75">
      <c r="A666" t="s">
        <v>735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75">
      <c r="A667" t="s">
        <v>736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75">
      <c r="A668" t="s">
        <v>737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75">
      <c r="A669" t="s">
        <v>738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75">
      <c r="A670" t="s">
        <v>739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75">
      <c r="A671" t="s">
        <v>740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75">
      <c r="A672" t="s">
        <v>741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75">
      <c r="A673" t="s">
        <v>742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75">
      <c r="A674" t="s">
        <v>743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75">
      <c r="A675" t="s">
        <v>744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75">
      <c r="A676" t="s">
        <v>745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75">
      <c r="A677" t="s">
        <v>746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75">
      <c r="A678" t="s">
        <v>747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75">
      <c r="A679" t="s">
        <v>748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75">
      <c r="A680" t="s">
        <v>749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75">
      <c r="A681" t="s">
        <v>750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75">
      <c r="A682" t="s">
        <v>751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75">
      <c r="A683" t="s">
        <v>752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75">
      <c r="A684" t="s">
        <v>753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75">
      <c r="A685" t="s">
        <v>754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75">
      <c r="A686" t="s">
        <v>755</v>
      </c>
      <c r="B686" s="4">
        <v>523360000000000</v>
      </c>
      <c r="C686" s="4">
        <v>513214000000000</v>
      </c>
      <c r="D686" s="4">
        <v>487202000000000</v>
      </c>
      <c r="E686" s="4">
        <v>475385000000000</v>
      </c>
      <c r="F686" s="4">
        <v>470311000000000</v>
      </c>
      <c r="G686" s="4">
        <v>475445000000000</v>
      </c>
      <c r="H686" s="4">
        <v>484186000000000</v>
      </c>
      <c r="I686" s="4">
        <v>491081000000000</v>
      </c>
      <c r="J686" s="4">
        <v>497721000000000</v>
      </c>
      <c r="K686" s="4">
        <v>504519000000000</v>
      </c>
      <c r="L686" s="4">
        <v>511710000000000</v>
      </c>
      <c r="M686" s="4">
        <v>517814000000000</v>
      </c>
      <c r="N686" s="4">
        <v>520679000000000</v>
      </c>
      <c r="O686" s="4">
        <v>526660000000000</v>
      </c>
      <c r="P686" s="4">
        <v>532337000000000</v>
      </c>
      <c r="Q686" s="4">
        <v>538533000000000</v>
      </c>
      <c r="R686" s="4">
        <v>545041000000000</v>
      </c>
      <c r="S686" s="4">
        <v>552224000000000</v>
      </c>
      <c r="T686" s="4">
        <v>559114000000000</v>
      </c>
      <c r="U686" s="4">
        <v>566742000000000</v>
      </c>
      <c r="V686" s="4">
        <v>574955000000000</v>
      </c>
      <c r="W686" s="4">
        <v>582447000000000</v>
      </c>
      <c r="X686" s="4">
        <v>590584000000000</v>
      </c>
      <c r="Y686" s="4">
        <v>599025000000000</v>
      </c>
      <c r="Z686" s="4">
        <v>604895000000000</v>
      </c>
      <c r="AA686" s="4">
        <v>612444000000000</v>
      </c>
      <c r="AB686" s="4">
        <v>620542000000000</v>
      </c>
      <c r="AC686" s="4">
        <v>628253000000000</v>
      </c>
      <c r="AD686" s="4">
        <v>636271000000000</v>
      </c>
      <c r="AE686" s="4">
        <v>645158000000000</v>
      </c>
      <c r="AF686" s="4">
        <v>655067000000000</v>
      </c>
    </row>
    <row r="687" spans="1:32" x14ac:dyDescent="0.75">
      <c r="A687" t="s">
        <v>756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75">
      <c r="A688" t="s">
        <v>757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75">
      <c r="A689" t="s">
        <v>758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75">
      <c r="A690" t="s">
        <v>759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75">
      <c r="A691" t="s">
        <v>760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75">
      <c r="A692" t="s">
        <v>761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75">
      <c r="A693" t="s">
        <v>762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75">
      <c r="A694" t="s">
        <v>763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75">
      <c r="A695" t="s">
        <v>764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75">
      <c r="A696" t="s">
        <v>765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75">
      <c r="A697" t="s">
        <v>766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75">
      <c r="A698" t="s">
        <v>767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75">
      <c r="A699" t="s">
        <v>768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75">
      <c r="A700" t="s">
        <v>769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75">
      <c r="A701" t="s">
        <v>770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75">
      <c r="A702" t="s">
        <v>771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75">
      <c r="A703" t="s">
        <v>772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75">
      <c r="A704" t="s">
        <v>773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75">
      <c r="A705" t="s">
        <v>774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75">
      <c r="A706" t="s">
        <v>775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75">
      <c r="A707" t="s">
        <v>776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75">
      <c r="A708" t="s">
        <v>777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75">
      <c r="A709" t="s">
        <v>778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75">
      <c r="A710" t="s">
        <v>779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75">
      <c r="A711" t="s">
        <v>780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75">
      <c r="A712" t="s">
        <v>781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75">
      <c r="A713" t="s">
        <v>782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75">
      <c r="A714" t="s">
        <v>783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75">
      <c r="A715" t="s">
        <v>784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75">
      <c r="A716" t="s">
        <v>785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75">
      <c r="A717" t="s">
        <v>786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75">
      <c r="A718" t="s">
        <v>787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75">
      <c r="A719" t="s">
        <v>788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75">
      <c r="A720" t="s">
        <v>789</v>
      </c>
      <c r="B720" s="4">
        <v>15196500000000</v>
      </c>
      <c r="C720" s="4">
        <v>18173600000000</v>
      </c>
      <c r="D720" s="4">
        <v>20584000000000</v>
      </c>
      <c r="E720" s="4">
        <v>22182400000000</v>
      </c>
      <c r="F720" s="4">
        <v>23611300000000</v>
      </c>
      <c r="G720" s="4">
        <v>24776200000000</v>
      </c>
      <c r="H720" s="4">
        <v>25800800000000</v>
      </c>
      <c r="I720" s="4">
        <v>26589400000000</v>
      </c>
      <c r="J720" s="4">
        <v>27264000000000</v>
      </c>
      <c r="K720" s="4">
        <v>27916200000000</v>
      </c>
      <c r="L720" s="4">
        <v>28628900000000</v>
      </c>
      <c r="M720" s="4">
        <v>29337900000000</v>
      </c>
      <c r="N720" s="4">
        <v>29956100000000</v>
      </c>
      <c r="O720" s="4">
        <v>30553600000000</v>
      </c>
      <c r="P720" s="4">
        <v>31113600000000</v>
      </c>
      <c r="Q720" s="4">
        <v>31615000000000</v>
      </c>
      <c r="R720" s="4">
        <v>32133000000000</v>
      </c>
      <c r="S720" s="4">
        <v>32687200000000</v>
      </c>
      <c r="T720" s="4">
        <v>33220300000000</v>
      </c>
      <c r="U720" s="4">
        <v>33708900000000</v>
      </c>
      <c r="V720" s="4">
        <v>34268300000000</v>
      </c>
      <c r="W720" s="4">
        <v>34757800000000</v>
      </c>
      <c r="X720" s="4">
        <v>35240500000000</v>
      </c>
      <c r="Y720" s="4">
        <v>35765200000000</v>
      </c>
      <c r="Z720" s="4">
        <v>36299600000000</v>
      </c>
      <c r="AA720" s="4">
        <v>36871200000000</v>
      </c>
      <c r="AB720" s="4">
        <v>37484700000000</v>
      </c>
      <c r="AC720" s="4">
        <v>38023300000000</v>
      </c>
      <c r="AD720" s="4">
        <v>38539200000000</v>
      </c>
      <c r="AE720" s="4">
        <v>39096900000000</v>
      </c>
      <c r="AF720" s="4">
        <v>39703700000000</v>
      </c>
    </row>
    <row r="721" spans="1:32" x14ac:dyDescent="0.75">
      <c r="A721" t="s">
        <v>790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75">
      <c r="A722" t="s">
        <v>791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75">
      <c r="A723" t="s">
        <v>792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x14ac:dyDescent="0.75">
      <c r="A724" t="s">
        <v>793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75">
      <c r="A725" t="s">
        <v>794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75">
      <c r="A726" t="s">
        <v>795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75">
      <c r="A727" t="s">
        <v>796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x14ac:dyDescent="0.75">
      <c r="A728" t="s">
        <v>797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75">
      <c r="A729" t="s">
        <v>798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75">
      <c r="A730" t="s">
        <v>799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75">
      <c r="A731" t="s">
        <v>800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75">
      <c r="A732" t="s">
        <v>801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75">
      <c r="A733" t="s">
        <v>802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75">
      <c r="A734" t="s">
        <v>803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75">
      <c r="A735" t="s">
        <v>804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x14ac:dyDescent="0.75">
      <c r="A736" t="s">
        <v>805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75">
      <c r="A737" t="s">
        <v>806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75">
      <c r="A738" t="s">
        <v>807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75">
      <c r="A739" t="s">
        <v>808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x14ac:dyDescent="0.75">
      <c r="A740" t="s">
        <v>809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75">
      <c r="A741" t="s">
        <v>810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75">
      <c r="A742" t="s">
        <v>811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75">
      <c r="A743" t="s">
        <v>812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75">
      <c r="A744" t="s">
        <v>813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75">
      <c r="A745" t="s">
        <v>814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75">
      <c r="A746" t="s">
        <v>815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75">
      <c r="A747" t="s">
        <v>816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75">
      <c r="A748" t="s">
        <v>817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75">
      <c r="A749" t="s">
        <v>818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75">
      <c r="A750" t="s">
        <v>819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75">
      <c r="A751" t="s">
        <v>820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75">
      <c r="A752" t="s">
        <v>821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75">
      <c r="A753" t="s">
        <v>822</v>
      </c>
      <c r="B753" s="4">
        <v>14345400000000</v>
      </c>
      <c r="C753" s="4">
        <v>16731200000000</v>
      </c>
      <c r="D753" s="4">
        <v>18357700000000</v>
      </c>
      <c r="E753" s="4">
        <v>19156100000000</v>
      </c>
      <c r="F753" s="4">
        <v>19739600000000</v>
      </c>
      <c r="G753" s="4">
        <v>20062100000000</v>
      </c>
      <c r="H753" s="4">
        <v>20204800000000</v>
      </c>
      <c r="I753" s="4">
        <v>20161000000000</v>
      </c>
      <c r="J753" s="4">
        <v>20048400000000</v>
      </c>
      <c r="K753" s="4">
        <v>19893500000000</v>
      </c>
      <c r="L753" s="4">
        <v>19802800000000</v>
      </c>
      <c r="M753" s="4">
        <v>19673700000000</v>
      </c>
      <c r="N753" s="4">
        <v>19517600000000</v>
      </c>
      <c r="O753" s="4">
        <v>19380300000000</v>
      </c>
      <c r="P753" s="4">
        <v>19205900000000</v>
      </c>
      <c r="Q753" s="4">
        <v>18975700000000</v>
      </c>
      <c r="R753" s="4">
        <v>18737100000000</v>
      </c>
      <c r="S753" s="4">
        <v>18510000000000</v>
      </c>
      <c r="T753" s="4">
        <v>18303300000000</v>
      </c>
      <c r="U753" s="4">
        <v>18055900000000</v>
      </c>
      <c r="V753" s="4">
        <v>17830700000000</v>
      </c>
      <c r="W753" s="4">
        <v>17562100000000</v>
      </c>
      <c r="X753" s="4">
        <v>17329500000000</v>
      </c>
      <c r="Y753" s="4">
        <v>17112000000000</v>
      </c>
      <c r="Z753" s="4">
        <v>16877900000000</v>
      </c>
      <c r="AA753" s="4">
        <v>16647800000000</v>
      </c>
      <c r="AB753" s="4">
        <v>16475800000000</v>
      </c>
      <c r="AC753" s="4">
        <v>16265500000000</v>
      </c>
      <c r="AD753" s="4">
        <v>16036000000000</v>
      </c>
      <c r="AE753" s="4">
        <v>15866500000000</v>
      </c>
      <c r="AF753" s="4">
        <v>15712600000000</v>
      </c>
    </row>
    <row r="754" spans="1:32" x14ac:dyDescent="0.75">
      <c r="A754" t="s">
        <v>823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75">
      <c r="A755" t="s">
        <v>824</v>
      </c>
      <c r="B755">
        <v>0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75">
      <c r="A756" t="s">
        <v>825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75">
      <c r="A757" t="s">
        <v>826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75">
      <c r="A758" t="s">
        <v>827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75">
      <c r="A759" t="s">
        <v>828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75">
      <c r="A760" t="s">
        <v>829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75">
      <c r="A761" t="s">
        <v>830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75">
      <c r="A762" t="s">
        <v>831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75">
      <c r="A763" t="s">
        <v>832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75">
      <c r="A764" t="s">
        <v>833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75">
      <c r="A765" t="s">
        <v>834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75">
      <c r="A766" t="s">
        <v>835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75">
      <c r="A767" t="s">
        <v>836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75">
      <c r="A768" t="s">
        <v>837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75">
      <c r="A769" t="s">
        <v>838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75">
      <c r="A770" t="s">
        <v>839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75">
      <c r="A771" t="s">
        <v>840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75">
      <c r="A772" t="s">
        <v>841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75">
      <c r="A773" t="s">
        <v>842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75">
      <c r="A774" t="s">
        <v>843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75">
      <c r="A775" t="s">
        <v>844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75">
      <c r="A776" t="s">
        <v>845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75">
      <c r="A777" t="s">
        <v>846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75">
      <c r="A778" t="s">
        <v>847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75">
      <c r="A779" t="s">
        <v>848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75">
      <c r="A780" t="s">
        <v>849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75">
      <c r="A781" t="s">
        <v>850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75">
      <c r="A782" t="s">
        <v>851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75">
      <c r="A783" t="s">
        <v>852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75">
      <c r="A784" t="s">
        <v>853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75">
      <c r="A785" t="s">
        <v>854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75">
      <c r="A786" t="s">
        <v>855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75">
      <c r="A787" t="s">
        <v>856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75">
      <c r="A788" t="s">
        <v>857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75">
      <c r="A789" t="s">
        <v>858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x14ac:dyDescent="0.75">
      <c r="A790" t="s">
        <v>859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75">
      <c r="A791" t="s">
        <v>860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75">
      <c r="A792" t="s">
        <v>861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75">
      <c r="A793" t="s">
        <v>862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75">
      <c r="A794" t="s">
        <v>863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75">
      <c r="A795" t="s">
        <v>864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x14ac:dyDescent="0.75">
      <c r="A796" t="s">
        <v>865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75">
      <c r="A797" t="s">
        <v>866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75">
      <c r="A798" t="s">
        <v>867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75">
      <c r="A799" t="s">
        <v>868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75">
      <c r="A800" t="s">
        <v>869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75">
      <c r="A801" t="s">
        <v>870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75">
      <c r="A802" t="s">
        <v>871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x14ac:dyDescent="0.75">
      <c r="A803" t="s">
        <v>872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75">
      <c r="A804" t="s">
        <v>873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x14ac:dyDescent="0.75">
      <c r="A805" t="s">
        <v>874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75">
      <c r="A806" t="s">
        <v>875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75">
      <c r="A807" t="s">
        <v>876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75">
      <c r="A808" t="s">
        <v>877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x14ac:dyDescent="0.75">
      <c r="A809" t="s">
        <v>878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75">
      <c r="A810" t="s">
        <v>879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75">
      <c r="A811" t="s">
        <v>880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75">
      <c r="A812" t="s">
        <v>881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75">
      <c r="A813" t="s">
        <v>882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75">
      <c r="A814" t="s">
        <v>883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75">
      <c r="A815" t="s">
        <v>884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75">
      <c r="A816" t="s">
        <v>885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75">
      <c r="A817" t="s">
        <v>886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x14ac:dyDescent="0.75">
      <c r="A818" t="s">
        <v>887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75">
      <c r="A819" t="s">
        <v>888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75">
      <c r="A820" t="s">
        <v>889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75">
      <c r="A821" t="s">
        <v>890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75">
      <c r="A822" t="s">
        <v>891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75">
      <c r="A823" t="s">
        <v>892</v>
      </c>
      <c r="B823" s="4">
        <v>431912000000000</v>
      </c>
      <c r="C823" s="4">
        <v>467461000000000</v>
      </c>
      <c r="D823" s="4">
        <v>469960000000000</v>
      </c>
      <c r="E823" s="4">
        <v>472804000000000</v>
      </c>
      <c r="F823" s="4">
        <v>440899000000000</v>
      </c>
      <c r="G823" s="4">
        <v>447074000000000</v>
      </c>
      <c r="H823" s="4">
        <v>455461000000000</v>
      </c>
      <c r="I823" s="4">
        <v>454305000000000</v>
      </c>
      <c r="J823" s="4">
        <v>452856000000000</v>
      </c>
      <c r="K823" s="4">
        <v>451174000000000</v>
      </c>
      <c r="L823" s="4">
        <v>450671000000000</v>
      </c>
      <c r="M823" s="4">
        <v>450620000000000</v>
      </c>
      <c r="N823" s="4">
        <v>450595000000000</v>
      </c>
      <c r="O823" s="4">
        <v>451048000000000</v>
      </c>
      <c r="P823" s="4">
        <v>446322000000000</v>
      </c>
      <c r="Q823" s="4">
        <v>444482000000000</v>
      </c>
      <c r="R823" s="4">
        <v>439794000000000</v>
      </c>
      <c r="S823" s="4">
        <v>440148000000000</v>
      </c>
      <c r="T823" s="4">
        <v>439637000000000</v>
      </c>
      <c r="U823" s="4">
        <v>439124000000000</v>
      </c>
      <c r="V823" s="4">
        <v>437973000000000</v>
      </c>
      <c r="W823" s="4">
        <v>437426000000000</v>
      </c>
      <c r="X823" s="4">
        <v>437594000000000</v>
      </c>
      <c r="Y823" s="4">
        <v>436195000000000</v>
      </c>
      <c r="Z823" s="4">
        <v>434300000000000</v>
      </c>
      <c r="AA823" s="4">
        <v>433275000000000</v>
      </c>
      <c r="AB823" s="4">
        <v>433088000000000</v>
      </c>
      <c r="AC823" s="4">
        <v>432030000000000</v>
      </c>
      <c r="AD823" s="4">
        <v>431554000000000</v>
      </c>
      <c r="AE823" s="4">
        <v>431595000000000</v>
      </c>
      <c r="AF823" s="4">
        <v>433788000000000</v>
      </c>
    </row>
    <row r="824" spans="1:32" x14ac:dyDescent="0.75">
      <c r="A824" t="s">
        <v>893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75">
      <c r="A825" t="s">
        <v>894</v>
      </c>
      <c r="B825">
        <v>0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75">
      <c r="A826" t="s">
        <v>895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75">
      <c r="A827" t="s">
        <v>896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75">
      <c r="A828" t="s">
        <v>897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75">
      <c r="A829" t="s">
        <v>898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x14ac:dyDescent="0.75">
      <c r="A830" t="s">
        <v>899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75">
      <c r="A831" t="s">
        <v>900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75">
      <c r="A832" t="s">
        <v>901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75">
      <c r="A833" t="s">
        <v>902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75">
      <c r="A834" t="s">
        <v>903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75">
      <c r="A835" t="s">
        <v>904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75">
      <c r="A836" t="s">
        <v>905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75">
      <c r="A837" t="s">
        <v>906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x14ac:dyDescent="0.75">
      <c r="A838" t="s">
        <v>907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x14ac:dyDescent="0.75">
      <c r="A839" t="s">
        <v>908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x14ac:dyDescent="0.75">
      <c r="A840" t="s">
        <v>909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75">
      <c r="A841" t="s">
        <v>910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75">
      <c r="A842" t="s">
        <v>911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75">
      <c r="A843" t="s">
        <v>912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75">
      <c r="A844" t="s">
        <v>913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75">
      <c r="A845" t="s">
        <v>914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75">
      <c r="A846" t="s">
        <v>915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75">
      <c r="A847" t="s">
        <v>916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x14ac:dyDescent="0.75">
      <c r="A848" t="s">
        <v>917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75">
      <c r="A849" t="s">
        <v>918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75">
      <c r="A850" t="s">
        <v>919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75">
      <c r="A851" t="s">
        <v>920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75">
      <c r="A852" t="s">
        <v>921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75">
      <c r="A853" t="s">
        <v>922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75">
      <c r="A854" t="s">
        <v>923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75">
      <c r="A855" t="s">
        <v>924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75">
      <c r="A856" t="s">
        <v>925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x14ac:dyDescent="0.75">
      <c r="A857" t="s">
        <v>926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75">
      <c r="A858" t="s">
        <v>927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75">
      <c r="A859" t="s">
        <v>928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75">
      <c r="A860" t="s">
        <v>929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x14ac:dyDescent="0.75">
      <c r="A861" t="s">
        <v>930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75">
      <c r="A862" t="s">
        <v>931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x14ac:dyDescent="0.75">
      <c r="A863" t="s">
        <v>932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x14ac:dyDescent="0.75">
      <c r="A864" t="s">
        <v>933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75">
      <c r="A865" t="s">
        <v>934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75">
      <c r="A866" t="s">
        <v>935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75">
      <c r="A867" t="s">
        <v>936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75">
      <c r="A868" t="s">
        <v>937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x14ac:dyDescent="0.75">
      <c r="A869" t="s">
        <v>938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x14ac:dyDescent="0.75">
      <c r="A870" t="s">
        <v>939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x14ac:dyDescent="0.75">
      <c r="A871" t="s">
        <v>940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75">
      <c r="A872" t="s">
        <v>941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75">
      <c r="A873" t="s">
        <v>942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75">
      <c r="A874" t="s">
        <v>943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75">
      <c r="A875" t="s">
        <v>944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x14ac:dyDescent="0.75">
      <c r="A876" t="s">
        <v>945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75">
      <c r="A877" t="s">
        <v>946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75">
      <c r="A878" t="s">
        <v>947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75">
      <c r="A879" t="s">
        <v>948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75">
      <c r="A880" t="s">
        <v>949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75">
      <c r="A881" t="s">
        <v>950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75">
      <c r="A882" t="s">
        <v>951</v>
      </c>
      <c r="B882" s="4">
        <v>148127000000000</v>
      </c>
      <c r="C882" s="4">
        <v>150329000000000</v>
      </c>
      <c r="D882" s="4">
        <v>148867000000000</v>
      </c>
      <c r="E882" s="4">
        <v>144749000000000</v>
      </c>
      <c r="F882" s="4">
        <v>140862000000000</v>
      </c>
      <c r="G882" s="4">
        <v>136545000000000</v>
      </c>
      <c r="H882" s="4">
        <v>131941000000000</v>
      </c>
      <c r="I882" s="4">
        <v>126731000000000</v>
      </c>
      <c r="J882" s="4">
        <v>121567000000000</v>
      </c>
      <c r="K882" s="4">
        <v>116596000000000</v>
      </c>
      <c r="L882" s="4">
        <v>111785000000000</v>
      </c>
      <c r="M882" s="4">
        <v>106851000000000</v>
      </c>
      <c r="N882" s="4">
        <v>101982000000000</v>
      </c>
      <c r="O882" s="4">
        <v>97169700000000</v>
      </c>
      <c r="P882" s="4">
        <v>92317700000000</v>
      </c>
      <c r="Q882" s="4">
        <v>87398500000000</v>
      </c>
      <c r="R882" s="4">
        <v>82453100000000</v>
      </c>
      <c r="S882" s="4">
        <v>77599400000000</v>
      </c>
      <c r="T882" s="4">
        <v>72669400000000</v>
      </c>
      <c r="U882" s="4">
        <v>67688300000000</v>
      </c>
      <c r="V882" s="4">
        <v>62715800000000</v>
      </c>
      <c r="W882" s="4">
        <v>57603800000000</v>
      </c>
      <c r="X882" s="4">
        <v>52494300000000</v>
      </c>
      <c r="Y882" s="4">
        <v>47365200000000</v>
      </c>
      <c r="Z882" s="4">
        <v>42190800000000</v>
      </c>
      <c r="AA882" s="4">
        <v>37016200000000</v>
      </c>
      <c r="AB882" s="4">
        <v>31797300000000</v>
      </c>
      <c r="AC882" s="4">
        <v>26481600000000</v>
      </c>
      <c r="AD882" s="4">
        <v>21119200000000</v>
      </c>
      <c r="AE882" s="4">
        <v>15731200000000</v>
      </c>
      <c r="AF882" s="4">
        <v>10292400000000</v>
      </c>
    </row>
    <row r="883" spans="1:32" x14ac:dyDescent="0.75">
      <c r="A883" t="s">
        <v>952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x14ac:dyDescent="0.75">
      <c r="A884" t="s">
        <v>953</v>
      </c>
      <c r="B884">
        <v>0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x14ac:dyDescent="0.75">
      <c r="A885" t="s">
        <v>954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x14ac:dyDescent="0.75">
      <c r="A886" t="s">
        <v>955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75">
      <c r="A887" t="s">
        <v>956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75">
      <c r="A888" t="s">
        <v>957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75">
      <c r="A889" t="s">
        <v>958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x14ac:dyDescent="0.75">
      <c r="A890" t="s">
        <v>959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75">
      <c r="A891" t="s">
        <v>960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75">
      <c r="A892" t="s">
        <v>961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75">
      <c r="A893" t="s">
        <v>962</v>
      </c>
      <c r="B893" s="4">
        <v>47555900000000</v>
      </c>
      <c r="C893" s="4">
        <v>53559700000000</v>
      </c>
      <c r="D893" s="4">
        <v>58732200000000</v>
      </c>
      <c r="E893" s="4">
        <v>63031900000000</v>
      </c>
      <c r="F893" s="4">
        <v>67535400000000</v>
      </c>
      <c r="G893" s="4">
        <v>71921100000000</v>
      </c>
      <c r="H893" s="4">
        <v>76208400000000</v>
      </c>
      <c r="I893" s="4">
        <v>80132100000000</v>
      </c>
      <c r="J893" s="4">
        <v>84042100000000</v>
      </c>
      <c r="K893" s="4">
        <v>88065700000000</v>
      </c>
      <c r="L893" s="4">
        <v>92221600000000</v>
      </c>
      <c r="M893" s="4">
        <v>96289200000000</v>
      </c>
      <c r="N893" s="4">
        <v>100432000000000</v>
      </c>
      <c r="O893" s="4">
        <v>104669000000000</v>
      </c>
      <c r="P893" s="4">
        <v>108910000000000</v>
      </c>
      <c r="Q893" s="4">
        <v>113116000000000</v>
      </c>
      <c r="R893" s="4">
        <v>117330000000000</v>
      </c>
      <c r="S893" s="4">
        <v>121749000000000</v>
      </c>
      <c r="T893" s="4">
        <v>126138000000000</v>
      </c>
      <c r="U893" s="4">
        <v>130528000000000</v>
      </c>
      <c r="V893" s="4">
        <v>135045000000000</v>
      </c>
      <c r="W893" s="4">
        <v>139363000000000</v>
      </c>
      <c r="X893" s="4">
        <v>143786000000000</v>
      </c>
      <c r="Y893" s="4">
        <v>148290000000000</v>
      </c>
      <c r="Z893" s="4">
        <v>152813000000000</v>
      </c>
      <c r="AA893" s="4">
        <v>157553000000000</v>
      </c>
      <c r="AB893" s="4">
        <v>162402000000000</v>
      </c>
      <c r="AC893" s="4">
        <v>167073000000000</v>
      </c>
      <c r="AD893" s="4">
        <v>171782000000000</v>
      </c>
      <c r="AE893" s="4">
        <v>176776000000000</v>
      </c>
      <c r="AF893" s="4">
        <v>181942000000000</v>
      </c>
    </row>
    <row r="894" spans="1:32" x14ac:dyDescent="0.75">
      <c r="A894" t="s">
        <v>963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75">
      <c r="A895" t="s">
        <v>964</v>
      </c>
      <c r="B895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75">
      <c r="A896" t="s">
        <v>965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75">
      <c r="A897" t="s">
        <v>966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x14ac:dyDescent="0.75">
      <c r="A898" t="s">
        <v>967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75">
      <c r="A899" t="s">
        <v>968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75">
      <c r="A900" t="s">
        <v>969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75">
      <c r="A901" t="s">
        <v>970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75">
      <c r="A902" t="s">
        <v>971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75">
      <c r="A903" t="s">
        <v>972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75">
      <c r="A904" t="s">
        <v>973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75">
      <c r="A905" t="s">
        <v>974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75">
      <c r="A906" t="s">
        <v>975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x14ac:dyDescent="0.75">
      <c r="A907" t="s">
        <v>976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75">
      <c r="A908" t="s">
        <v>977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75">
      <c r="A909" t="s">
        <v>978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75">
      <c r="A910" t="s">
        <v>979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75">
      <c r="A911" t="s">
        <v>980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75">
      <c r="A912" t="s">
        <v>981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75">
      <c r="A913" t="s">
        <v>982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x14ac:dyDescent="0.75">
      <c r="A914" t="s">
        <v>983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75">
      <c r="A915" t="s">
        <v>984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75">
      <c r="A916" t="s">
        <v>985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75">
      <c r="A917" t="s">
        <v>986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75">
      <c r="A918" t="s">
        <v>987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75">
      <c r="A919" t="s">
        <v>988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75">
      <c r="A920" t="s">
        <v>989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75">
      <c r="A921" t="s">
        <v>990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75">
      <c r="A922" t="s">
        <v>991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75">
      <c r="A923" t="s">
        <v>992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75">
      <c r="A924" t="s">
        <v>993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75">
      <c r="A925" t="s">
        <v>994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75">
      <c r="A926" t="s">
        <v>995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75">
      <c r="A927" t="s">
        <v>996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75">
      <c r="A928" t="s">
        <v>997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75">
      <c r="A929" t="s">
        <v>998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75">
      <c r="A930" t="s">
        <v>999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75">
      <c r="A931" t="s">
        <v>1000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75">
      <c r="A932" t="s">
        <v>1001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75">
      <c r="A933" t="s">
        <v>1002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75">
      <c r="A934" t="s">
        <v>1003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75">
      <c r="A935" t="s">
        <v>1004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75">
      <c r="A936" t="s">
        <v>1005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75">
      <c r="A937" t="s">
        <v>1006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75">
      <c r="A938" t="s">
        <v>1007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75">
      <c r="A939" t="s">
        <v>1008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75">
      <c r="A940" t="s">
        <v>1009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75">
      <c r="A941" t="s">
        <v>1010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75">
      <c r="A942" t="s">
        <v>1011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75">
      <c r="A943" t="s">
        <v>1012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75">
      <c r="A944" t="s">
        <v>1013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75">
      <c r="A945" t="s">
        <v>1014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75">
      <c r="A946" t="s">
        <v>1015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75">
      <c r="A947" t="s">
        <v>1016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75">
      <c r="A948" t="s">
        <v>1017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75">
      <c r="A949" t="s">
        <v>1018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75">
      <c r="A950" t="s">
        <v>1019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75">
      <c r="A951" t="s">
        <v>1020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75">
      <c r="A952" t="s">
        <v>1021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75">
      <c r="A953" t="s">
        <v>1022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75">
      <c r="A954" t="s">
        <v>1023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75">
      <c r="A955" t="s">
        <v>1024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75">
      <c r="A956" t="s">
        <v>1025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x14ac:dyDescent="0.75">
      <c r="A957" t="s">
        <v>1026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75">
      <c r="A958" t="s">
        <v>1027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75">
      <c r="A959" t="s">
        <v>1028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75">
      <c r="A960" t="s">
        <v>1029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75">
      <c r="A961" t="s">
        <v>1030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75">
      <c r="A962" t="s">
        <v>1031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75">
      <c r="A963" t="s">
        <v>1032</v>
      </c>
      <c r="B963" s="4">
        <v>493175000000000</v>
      </c>
      <c r="C963" s="4">
        <v>441063000000000</v>
      </c>
      <c r="D963" s="4">
        <v>291976000000000</v>
      </c>
      <c r="E963" s="4">
        <v>265993000000000</v>
      </c>
      <c r="F963" s="4">
        <v>344711000000000</v>
      </c>
      <c r="G963" s="4">
        <v>338577000000000</v>
      </c>
      <c r="H963" s="4">
        <v>315736000000000</v>
      </c>
      <c r="I963" s="4">
        <v>349174000000000</v>
      </c>
      <c r="J963" s="4">
        <v>345445000000000</v>
      </c>
      <c r="K963" s="4">
        <v>357317000000000</v>
      </c>
      <c r="L963" s="4">
        <v>353923000000000</v>
      </c>
      <c r="M963" s="4">
        <v>327177000000000</v>
      </c>
      <c r="N963" s="4">
        <v>350595000000000</v>
      </c>
      <c r="O963" s="4">
        <v>349272000000000</v>
      </c>
      <c r="P963" s="4">
        <v>352905000000000</v>
      </c>
      <c r="Q963" s="4">
        <v>329227000000000</v>
      </c>
      <c r="R963" s="4">
        <v>353415000000000</v>
      </c>
      <c r="S963" s="4">
        <v>354238000000000</v>
      </c>
      <c r="T963" s="4">
        <v>336134000000000</v>
      </c>
      <c r="U963" s="4">
        <v>358787000000000</v>
      </c>
      <c r="V963" s="4">
        <v>357683000000000</v>
      </c>
      <c r="W963" s="4">
        <v>335354000000000</v>
      </c>
      <c r="X963" s="4">
        <v>360180000000000</v>
      </c>
      <c r="Y963" s="4">
        <v>359210000000000</v>
      </c>
      <c r="Z963" s="4">
        <v>367882000000000</v>
      </c>
      <c r="AA963" s="4">
        <v>365303000000000</v>
      </c>
      <c r="AB963" s="4">
        <v>370123000000000</v>
      </c>
      <c r="AC963" s="4">
        <v>372911000000000</v>
      </c>
      <c r="AD963" s="4">
        <v>371920000000000</v>
      </c>
      <c r="AE963" s="4">
        <v>373104000000000</v>
      </c>
      <c r="AF963" s="4">
        <v>376629000000000</v>
      </c>
    </row>
    <row r="964" spans="1:32" x14ac:dyDescent="0.75">
      <c r="A964" t="s">
        <v>1033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x14ac:dyDescent="0.75">
      <c r="A965" t="s">
        <v>1034</v>
      </c>
      <c r="B965">
        <v>0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75">
      <c r="A966" t="s">
        <v>1035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75">
      <c r="A967" t="s">
        <v>1036</v>
      </c>
      <c r="B967" s="4">
        <v>409426000000000</v>
      </c>
      <c r="C967" s="4">
        <v>469679000000000</v>
      </c>
      <c r="D967" s="4">
        <v>626905000000000</v>
      </c>
      <c r="E967" s="4">
        <v>661026000000000</v>
      </c>
      <c r="F967" s="4">
        <v>580176000000000</v>
      </c>
      <c r="G967" s="4">
        <v>586020000000000</v>
      </c>
      <c r="H967" s="4">
        <v>604572000000000</v>
      </c>
      <c r="I967" s="4">
        <v>564552000000000</v>
      </c>
      <c r="J967" s="4">
        <v>564293000000000</v>
      </c>
      <c r="K967" s="4">
        <v>550029000000000</v>
      </c>
      <c r="L967" s="4">
        <v>549865000000000</v>
      </c>
      <c r="M967" s="4">
        <v>579527000000000</v>
      </c>
      <c r="N967" s="4">
        <v>554257000000000</v>
      </c>
      <c r="O967" s="4">
        <v>554492000000000</v>
      </c>
      <c r="P967" s="4">
        <v>550180000000000</v>
      </c>
      <c r="Q967" s="4">
        <v>573173000000000</v>
      </c>
      <c r="R967" s="4">
        <v>549013000000000</v>
      </c>
      <c r="S967" s="4">
        <v>548513000000000</v>
      </c>
      <c r="T967" s="4">
        <v>564695000000000</v>
      </c>
      <c r="U967" s="4">
        <v>542143000000000</v>
      </c>
      <c r="V967" s="4">
        <v>537512000000000</v>
      </c>
      <c r="W967" s="4">
        <v>557572000000000</v>
      </c>
      <c r="X967" s="4">
        <v>530564000000000</v>
      </c>
      <c r="Y967" s="4">
        <v>527090000000000</v>
      </c>
      <c r="Z967" s="4">
        <v>515392000000000</v>
      </c>
      <c r="AA967" s="4">
        <v>517231000000000</v>
      </c>
      <c r="AB967" s="4">
        <v>510554000000000</v>
      </c>
      <c r="AC967" s="4">
        <v>506577000000000</v>
      </c>
      <c r="AD967" s="4">
        <v>507596000000000</v>
      </c>
      <c r="AE967" s="4">
        <v>506183000000000</v>
      </c>
      <c r="AF967" s="4">
        <v>503192000000000</v>
      </c>
    </row>
    <row r="968" spans="1:32" x14ac:dyDescent="0.75">
      <c r="A968" t="s">
        <v>1037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75">
      <c r="A969" t="s">
        <v>1038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75">
      <c r="A970" t="s">
        <v>1039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75">
      <c r="A971" t="s">
        <v>1040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75">
      <c r="A972" t="s">
        <v>1041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75">
      <c r="A973" t="s">
        <v>1042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x14ac:dyDescent="0.75">
      <c r="A974" t="s">
        <v>1043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75">
      <c r="A975" t="s">
        <v>1044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75">
      <c r="A976" t="s">
        <v>1045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75">
      <c r="A977" t="s">
        <v>1046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75">
      <c r="A978" t="s">
        <v>1047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75">
      <c r="A979" t="s">
        <v>1048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75">
      <c r="A980" t="s">
        <v>1049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75">
      <c r="A981" t="s">
        <v>1050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75">
      <c r="A982" t="s">
        <v>1051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75">
      <c r="A983" t="s">
        <v>1052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75">
      <c r="A984" t="s">
        <v>1053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75">
      <c r="A985" t="s">
        <v>1054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75">
      <c r="A986" t="s">
        <v>1055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75">
      <c r="A987" t="s">
        <v>1056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75">
      <c r="A988" t="s">
        <v>1057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x14ac:dyDescent="0.75">
      <c r="A989" t="s">
        <v>1058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75">
      <c r="A990" t="s">
        <v>1059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75">
      <c r="A991" t="s">
        <v>1060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75">
      <c r="A992" t="s">
        <v>1061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75">
      <c r="A993" t="s">
        <v>1062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75">
      <c r="A994" t="s">
        <v>1063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75">
      <c r="A995" t="s">
        <v>1064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x14ac:dyDescent="0.75">
      <c r="A996" t="s">
        <v>1065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75">
      <c r="A997" t="s">
        <v>1066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75">
      <c r="A998" t="s">
        <v>1067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75">
      <c r="A999" t="s">
        <v>1068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75">
      <c r="A1000" t="s">
        <v>1069</v>
      </c>
      <c r="B1000">
        <v>0</v>
      </c>
      <c r="C1000" s="4">
        <v>11227500000</v>
      </c>
      <c r="D1000" s="4">
        <v>33614600000</v>
      </c>
      <c r="E1000" s="4">
        <v>70498800000</v>
      </c>
      <c r="F1000" s="4">
        <v>120245000000</v>
      </c>
      <c r="G1000" s="4">
        <v>179246000000</v>
      </c>
      <c r="H1000" s="4">
        <v>241502000000</v>
      </c>
      <c r="I1000" s="4">
        <v>302301000000</v>
      </c>
      <c r="J1000" s="4">
        <v>359395000000</v>
      </c>
      <c r="K1000" s="4">
        <v>412425000000</v>
      </c>
      <c r="L1000" s="4">
        <v>462396000000</v>
      </c>
      <c r="M1000" s="4">
        <v>510087000000</v>
      </c>
      <c r="N1000" s="4">
        <v>555711000000</v>
      </c>
      <c r="O1000" s="4">
        <v>601759000000</v>
      </c>
      <c r="P1000" s="4">
        <v>649230000000</v>
      </c>
      <c r="Q1000" s="4">
        <v>698404000000</v>
      </c>
      <c r="R1000" s="4">
        <v>751915000000</v>
      </c>
      <c r="S1000" s="4">
        <v>800791000000</v>
      </c>
      <c r="T1000" s="4">
        <v>846702000000</v>
      </c>
      <c r="U1000" s="4">
        <v>889959000000</v>
      </c>
      <c r="V1000" s="4">
        <v>927023000000</v>
      </c>
      <c r="W1000" s="4">
        <v>953806000000</v>
      </c>
      <c r="X1000" s="4">
        <v>972019000000</v>
      </c>
      <c r="Y1000" s="4">
        <v>984306000000</v>
      </c>
      <c r="Z1000" s="4">
        <v>992848000000</v>
      </c>
      <c r="AA1000" s="4">
        <v>999754000000</v>
      </c>
      <c r="AB1000" s="4">
        <v>1006280000000</v>
      </c>
      <c r="AC1000" s="4">
        <v>1011850000000</v>
      </c>
      <c r="AD1000" s="4">
        <v>1016510000000</v>
      </c>
      <c r="AE1000" s="4">
        <v>1020920000000</v>
      </c>
      <c r="AF1000" s="4">
        <v>1025340000000</v>
      </c>
    </row>
    <row r="1001" spans="1:32" x14ac:dyDescent="0.75">
      <c r="A1001" t="s">
        <v>1070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x14ac:dyDescent="0.75">
      <c r="A1002" t="s">
        <v>1071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75">
      <c r="A1003" t="s">
        <v>1072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x14ac:dyDescent="0.75">
      <c r="A1004" t="s">
        <v>1073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x14ac:dyDescent="0.75">
      <c r="A1005" t="s">
        <v>1074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75">
      <c r="A1006" t="s">
        <v>1075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 x14ac:dyDescent="0.75">
      <c r="A1007" t="s">
        <v>1076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x14ac:dyDescent="0.75">
      <c r="A1008" t="s">
        <v>1077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75">
      <c r="A1009" t="s">
        <v>1078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 x14ac:dyDescent="0.75">
      <c r="A1010" t="s">
        <v>1079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x14ac:dyDescent="0.75">
      <c r="A1011" t="s">
        <v>1080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 x14ac:dyDescent="0.75">
      <c r="A1012" t="s">
        <v>1081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x14ac:dyDescent="0.75">
      <c r="A1013" t="s">
        <v>1082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 x14ac:dyDescent="0.75">
      <c r="A1014" t="s">
        <v>1083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 x14ac:dyDescent="0.75">
      <c r="A1015" t="s">
        <v>1084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 x14ac:dyDescent="0.75">
      <c r="A1016" t="s">
        <v>1085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 x14ac:dyDescent="0.75">
      <c r="A1017" t="s">
        <v>1086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x14ac:dyDescent="0.75">
      <c r="A1018" t="s">
        <v>1087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x14ac:dyDescent="0.75">
      <c r="A1019" t="s">
        <v>1088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x14ac:dyDescent="0.75">
      <c r="A1020" t="s">
        <v>1089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 x14ac:dyDescent="0.75">
      <c r="A1021" t="s">
        <v>1090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 x14ac:dyDescent="0.75">
      <c r="A1022" t="s">
        <v>1091</v>
      </c>
      <c r="B1022" s="4">
        <v>14632300000000</v>
      </c>
      <c r="C1022" s="4">
        <v>14587400000000</v>
      </c>
      <c r="D1022" s="4">
        <v>14520000000000</v>
      </c>
      <c r="E1022" s="4">
        <v>14205300000000</v>
      </c>
      <c r="F1022" s="4">
        <v>13558200000000</v>
      </c>
      <c r="G1022" s="4">
        <v>12843000000000</v>
      </c>
      <c r="H1022" s="4">
        <v>12071800000000</v>
      </c>
      <c r="I1022" s="4">
        <v>11278100000000</v>
      </c>
      <c r="J1022" s="4">
        <v>10497500000000</v>
      </c>
      <c r="K1022" s="4">
        <v>9748920000000</v>
      </c>
      <c r="L1022" s="4">
        <v>9052410000000</v>
      </c>
      <c r="M1022" s="4">
        <v>8405050000000</v>
      </c>
      <c r="N1022" s="4">
        <v>7794450000000</v>
      </c>
      <c r="O1022" s="4">
        <v>7237060000000</v>
      </c>
      <c r="P1022" s="4">
        <v>6722380000000</v>
      </c>
      <c r="Q1022" s="4">
        <v>6235050000000</v>
      </c>
      <c r="R1022" s="4">
        <v>5781290000000</v>
      </c>
      <c r="S1022" s="4">
        <v>5390480000000</v>
      </c>
      <c r="T1022" s="4">
        <v>5057240000000</v>
      </c>
      <c r="U1022" s="4">
        <v>4769140000000</v>
      </c>
      <c r="V1022" s="4">
        <v>4536160000000</v>
      </c>
      <c r="W1022" s="4">
        <v>4357030000000</v>
      </c>
      <c r="X1022" s="4">
        <v>4228730000000</v>
      </c>
      <c r="Y1022" s="4">
        <v>4138990000000</v>
      </c>
      <c r="Z1022" s="4">
        <v>4074070000000</v>
      </c>
      <c r="AA1022" s="4">
        <v>4026610000000</v>
      </c>
      <c r="AB1022" s="4">
        <v>3993360000000</v>
      </c>
      <c r="AC1022" s="4">
        <v>3966960000000</v>
      </c>
      <c r="AD1022" s="4">
        <v>3944860000000</v>
      </c>
      <c r="AE1022" s="4">
        <v>3927250000000</v>
      </c>
      <c r="AF1022" s="4">
        <v>3913800000000</v>
      </c>
    </row>
    <row r="1023" spans="1:32" x14ac:dyDescent="0.75">
      <c r="A1023" t="s">
        <v>1092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x14ac:dyDescent="0.75">
      <c r="A1024" t="s">
        <v>1093</v>
      </c>
      <c r="B1024" s="4">
        <v>1662020000000</v>
      </c>
      <c r="C1024" s="4">
        <v>1656920000000</v>
      </c>
      <c r="D1024" s="4">
        <v>1649270000000</v>
      </c>
      <c r="E1024" s="4">
        <v>1613520000000</v>
      </c>
      <c r="F1024" s="4">
        <v>1540020000000</v>
      </c>
      <c r="G1024" s="4">
        <v>1458780000000</v>
      </c>
      <c r="H1024" s="4">
        <v>1371190000000</v>
      </c>
      <c r="I1024" s="4">
        <v>1281040000000</v>
      </c>
      <c r="J1024" s="4">
        <v>1192360000000</v>
      </c>
      <c r="K1024" s="4">
        <v>1107340000000</v>
      </c>
      <c r="L1024" s="4">
        <v>1028230000000</v>
      </c>
      <c r="M1024" s="4">
        <v>954694000000</v>
      </c>
      <c r="N1024" s="4">
        <v>885338000000</v>
      </c>
      <c r="O1024" s="4">
        <v>822027000000</v>
      </c>
      <c r="P1024" s="4">
        <v>763566000000</v>
      </c>
      <c r="Q1024" s="4">
        <v>708212000000</v>
      </c>
      <c r="R1024" s="4">
        <v>656672000000</v>
      </c>
      <c r="S1024" s="4">
        <v>612281000000</v>
      </c>
      <c r="T1024" s="4">
        <v>574430000000</v>
      </c>
      <c r="U1024" s="4">
        <v>541707000000</v>
      </c>
      <c r="V1024" s="4">
        <v>515243000000</v>
      </c>
      <c r="W1024" s="4">
        <v>494897000000</v>
      </c>
      <c r="X1024" s="4">
        <v>480323000000</v>
      </c>
      <c r="Y1024" s="4">
        <v>470131000000</v>
      </c>
      <c r="Z1024" s="4">
        <v>462756000000</v>
      </c>
      <c r="AA1024" s="4">
        <v>457366000000</v>
      </c>
      <c r="AB1024" s="4">
        <v>453589000000</v>
      </c>
      <c r="AC1024" s="4">
        <v>450590000000</v>
      </c>
      <c r="AD1024" s="4">
        <v>448080000000</v>
      </c>
      <c r="AE1024" s="4">
        <v>446080000000</v>
      </c>
      <c r="AF1024" s="4">
        <v>444552000000</v>
      </c>
    </row>
    <row r="1025" spans="1:32" x14ac:dyDescent="0.75">
      <c r="A1025" t="s">
        <v>1094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75">
      <c r="A1026" t="s">
        <v>1095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x14ac:dyDescent="0.75">
      <c r="A1027" t="s">
        <v>1096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x14ac:dyDescent="0.75">
      <c r="A1028" t="s">
        <v>1097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 x14ac:dyDescent="0.75">
      <c r="A1029" t="s">
        <v>1098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x14ac:dyDescent="0.75">
      <c r="A1030" t="s">
        <v>1099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x14ac:dyDescent="0.75">
      <c r="A1031" t="s">
        <v>1100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75">
      <c r="A1032" t="s">
        <v>1101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75">
      <c r="A1033" t="s">
        <v>1102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 x14ac:dyDescent="0.75">
      <c r="A1034" t="s">
        <v>1103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 x14ac:dyDescent="0.75">
      <c r="A1035" t="s">
        <v>1104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x14ac:dyDescent="0.75">
      <c r="A1036" t="s">
        <v>1105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 x14ac:dyDescent="0.75">
      <c r="A1037" t="s">
        <v>1106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x14ac:dyDescent="0.75">
      <c r="A1038" t="s">
        <v>1107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75">
      <c r="A1039" t="s">
        <v>1108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75">
      <c r="A1040" t="s">
        <v>1109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x14ac:dyDescent="0.75">
      <c r="A1041" t="s">
        <v>1110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x14ac:dyDescent="0.75">
      <c r="A1042" t="s">
        <v>1111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x14ac:dyDescent="0.75">
      <c r="A1043" t="s">
        <v>1112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x14ac:dyDescent="0.75">
      <c r="A1044" t="s">
        <v>1113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 x14ac:dyDescent="0.75">
      <c r="A1045" t="s">
        <v>1114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75">
      <c r="A1046" t="s">
        <v>1115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 x14ac:dyDescent="0.75">
      <c r="A1047" t="s">
        <v>1116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 x14ac:dyDescent="0.75">
      <c r="A1048" t="s">
        <v>1117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x14ac:dyDescent="0.75">
      <c r="A1049" t="s">
        <v>1118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x14ac:dyDescent="0.75">
      <c r="A1050" t="s">
        <v>1119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 x14ac:dyDescent="0.75">
      <c r="A1051" t="s">
        <v>1120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 x14ac:dyDescent="0.75">
      <c r="A1052" t="s">
        <v>1121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75">
      <c r="A1053" t="s">
        <v>1122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 x14ac:dyDescent="0.75">
      <c r="A1054" t="s">
        <v>1123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x14ac:dyDescent="0.75">
      <c r="A1055" t="s">
        <v>1124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x14ac:dyDescent="0.75">
      <c r="A1056" t="s">
        <v>1125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x14ac:dyDescent="0.75">
      <c r="A1057" t="s">
        <v>1126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75">
      <c r="A1058" t="s">
        <v>1127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75">
      <c r="A1059" t="s">
        <v>1128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75">
      <c r="A1060" t="s">
        <v>1129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75">
      <c r="A1061" t="s">
        <v>1130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x14ac:dyDescent="0.75">
      <c r="A1062" t="s">
        <v>1131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75">
      <c r="A1063" t="s">
        <v>1132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x14ac:dyDescent="0.75">
      <c r="A1064" t="s">
        <v>1133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x14ac:dyDescent="0.75">
      <c r="A1065" t="s">
        <v>1134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 x14ac:dyDescent="0.75">
      <c r="A1066" t="s">
        <v>1135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</row>
    <row r="1067" spans="1:32" x14ac:dyDescent="0.75">
      <c r="A1067" t="s">
        <v>1136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75">
      <c r="A1068" t="s">
        <v>1137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</row>
    <row r="1069" spans="1:32" x14ac:dyDescent="0.75">
      <c r="A1069" t="s">
        <v>1138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x14ac:dyDescent="0.75">
      <c r="A1070" t="s">
        <v>1139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x14ac:dyDescent="0.75">
      <c r="A1071" t="s">
        <v>1140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 x14ac:dyDescent="0.75">
      <c r="A1072" t="s">
        <v>1141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 x14ac:dyDescent="0.75">
      <c r="A1073" t="s">
        <v>1142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75">
      <c r="A1074" t="s">
        <v>1143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 x14ac:dyDescent="0.75">
      <c r="A1075" t="s">
        <v>1144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x14ac:dyDescent="0.75">
      <c r="A1076" t="s">
        <v>1145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x14ac:dyDescent="0.75">
      <c r="A1077" t="s">
        <v>1146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x14ac:dyDescent="0.75">
      <c r="A1078" t="s">
        <v>1147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x14ac:dyDescent="0.75">
      <c r="A1079" t="s">
        <v>1148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x14ac:dyDescent="0.75">
      <c r="A1080" t="s">
        <v>1149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 x14ac:dyDescent="0.75">
      <c r="A1081" t="s">
        <v>1150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 x14ac:dyDescent="0.75">
      <c r="A1082" t="s">
        <v>1151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</row>
    <row r="1083" spans="1:32" x14ac:dyDescent="0.75">
      <c r="A1083" t="s">
        <v>1152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75">
      <c r="A1084" t="s">
        <v>1153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x14ac:dyDescent="0.75">
      <c r="A1085" t="s">
        <v>1154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 x14ac:dyDescent="0.75">
      <c r="A1086" t="s">
        <v>1155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 x14ac:dyDescent="0.75">
      <c r="A1087" t="s">
        <v>1156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75">
      <c r="A1088" t="s">
        <v>1157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x14ac:dyDescent="0.75">
      <c r="A1089" t="s">
        <v>1158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x14ac:dyDescent="0.75">
      <c r="A1090" t="s">
        <v>1159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x14ac:dyDescent="0.75">
      <c r="A1091" t="s">
        <v>1160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x14ac:dyDescent="0.75">
      <c r="A1092" t="s">
        <v>1161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75">
      <c r="A1093" t="s">
        <v>1162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x14ac:dyDescent="0.75">
      <c r="A1094" t="s">
        <v>1163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75">
      <c r="A1095" t="s">
        <v>1164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75">
      <c r="A1096" t="s">
        <v>1165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75">
      <c r="A1097" t="s">
        <v>1166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x14ac:dyDescent="0.75">
      <c r="A1098" t="s">
        <v>1167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 x14ac:dyDescent="0.75">
      <c r="A1099" t="s">
        <v>1168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 x14ac:dyDescent="0.75">
      <c r="A1100" t="s">
        <v>1169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 x14ac:dyDescent="0.75">
      <c r="A1101" t="s">
        <v>1170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x14ac:dyDescent="0.75">
      <c r="A1102" t="s">
        <v>1171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x14ac:dyDescent="0.75">
      <c r="A1103" t="s">
        <v>1172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x14ac:dyDescent="0.75">
      <c r="A1104" t="s">
        <v>1173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x14ac:dyDescent="0.75">
      <c r="A1105" t="s">
        <v>1174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 x14ac:dyDescent="0.75">
      <c r="A1106" t="s">
        <v>1175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 x14ac:dyDescent="0.75">
      <c r="A1107" t="s">
        <v>1176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 x14ac:dyDescent="0.75">
      <c r="A1108" t="s">
        <v>1177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 x14ac:dyDescent="0.75">
      <c r="A1109" t="s">
        <v>1178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x14ac:dyDescent="0.75">
      <c r="A1110" t="s">
        <v>1179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75">
      <c r="A1111" t="s">
        <v>1180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x14ac:dyDescent="0.75">
      <c r="A1112" t="s">
        <v>1181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75">
      <c r="A1113" t="s">
        <v>1182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x14ac:dyDescent="0.75">
      <c r="A1114" t="s">
        <v>1183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</row>
    <row r="1115" spans="1:32" x14ac:dyDescent="0.75">
      <c r="A1115" t="s">
        <v>1184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x14ac:dyDescent="0.75">
      <c r="A1116" t="s">
        <v>1185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 x14ac:dyDescent="0.75">
      <c r="A1117" t="s">
        <v>1186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75">
      <c r="A1118" t="s">
        <v>1187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75">
      <c r="A1119" t="s">
        <v>1188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 x14ac:dyDescent="0.75">
      <c r="A1120" t="s">
        <v>1189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x14ac:dyDescent="0.75">
      <c r="A1121" t="s">
        <v>1190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x14ac:dyDescent="0.75">
      <c r="A1122" t="s">
        <v>1191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x14ac:dyDescent="0.75">
      <c r="A1123" t="s">
        <v>1192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 x14ac:dyDescent="0.75">
      <c r="A1124" t="s">
        <v>1193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75">
      <c r="A1125" t="s">
        <v>1194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75">
      <c r="A1126" t="s">
        <v>1195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75">
      <c r="A1127" t="s">
        <v>1196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75">
      <c r="A1128" t="s">
        <v>1197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75">
      <c r="A1129" t="s">
        <v>1198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x14ac:dyDescent="0.75">
      <c r="A1130" t="s">
        <v>1199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x14ac:dyDescent="0.75">
      <c r="A1131" t="s">
        <v>1200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 x14ac:dyDescent="0.75">
      <c r="A1132" t="s">
        <v>1201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 x14ac:dyDescent="0.75">
      <c r="A1133" t="s">
        <v>1202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</row>
    <row r="1134" spans="1:32" x14ac:dyDescent="0.75">
      <c r="A1134" t="s">
        <v>1203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x14ac:dyDescent="0.75">
      <c r="A1135" t="s">
        <v>1204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x14ac:dyDescent="0.75">
      <c r="A1136" t="s">
        <v>1205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75">
      <c r="A1137" t="s">
        <v>1206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x14ac:dyDescent="0.75">
      <c r="A1138" t="s">
        <v>1207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x14ac:dyDescent="0.75">
      <c r="A1139" t="s">
        <v>1208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</row>
    <row r="1140" spans="1:32" x14ac:dyDescent="0.75">
      <c r="A1140" t="s">
        <v>1209</v>
      </c>
      <c r="B1140" s="4">
        <v>527700000000000</v>
      </c>
      <c r="C1140" s="4">
        <v>572900000000000</v>
      </c>
      <c r="D1140" s="4">
        <v>586200000000000</v>
      </c>
      <c r="E1140" s="4">
        <v>550500000000000</v>
      </c>
      <c r="F1140" s="4">
        <v>548400000000000</v>
      </c>
      <c r="G1140" s="4">
        <v>545800000000000</v>
      </c>
      <c r="H1140" s="4">
        <v>542200000000000</v>
      </c>
      <c r="I1140" s="4">
        <v>537300000000000</v>
      </c>
      <c r="J1140" s="4">
        <v>532200000000000</v>
      </c>
      <c r="K1140" s="4">
        <v>526800000000000</v>
      </c>
      <c r="L1140" s="4">
        <v>521400000000000</v>
      </c>
      <c r="M1140" s="4">
        <v>516200000000000</v>
      </c>
      <c r="N1140" s="4">
        <v>510900000000000</v>
      </c>
      <c r="O1140" s="4">
        <v>505500000000000</v>
      </c>
      <c r="P1140" s="4">
        <v>500400000000000</v>
      </c>
      <c r="Q1140" s="4">
        <v>495900000000000</v>
      </c>
      <c r="R1140" s="4">
        <v>491800000000000</v>
      </c>
      <c r="S1140" s="4">
        <v>488000000000000</v>
      </c>
      <c r="T1140" s="4">
        <v>484400000000000</v>
      </c>
      <c r="U1140" s="4">
        <v>480400000000000</v>
      </c>
      <c r="V1140" s="4">
        <v>476400000000000</v>
      </c>
      <c r="W1140" s="4">
        <v>472300000000000</v>
      </c>
      <c r="X1140" s="4">
        <v>468300000000000</v>
      </c>
      <c r="Y1140" s="4">
        <v>464400000000000</v>
      </c>
      <c r="Z1140" s="4">
        <v>460700000000000</v>
      </c>
      <c r="AA1140" s="4">
        <v>456800000000000</v>
      </c>
      <c r="AB1140" s="4">
        <v>452900000000000</v>
      </c>
      <c r="AC1140" s="4">
        <v>448900000000000</v>
      </c>
      <c r="AD1140" s="4">
        <v>444800000000000</v>
      </c>
      <c r="AE1140" s="4">
        <v>440800000000000</v>
      </c>
      <c r="AF1140" s="4">
        <v>437300000000000</v>
      </c>
    </row>
    <row r="1141" spans="1:32" x14ac:dyDescent="0.75">
      <c r="A1141" t="s">
        <v>1210</v>
      </c>
      <c r="B1141" s="4">
        <v>718400000000000</v>
      </c>
      <c r="C1141" s="4">
        <v>718900000000000</v>
      </c>
      <c r="D1141" s="4">
        <v>671200000000000</v>
      </c>
      <c r="E1141" s="4">
        <v>776800000000000</v>
      </c>
      <c r="F1141" s="4">
        <v>791700000000000</v>
      </c>
      <c r="G1141" s="4">
        <v>807100000000000</v>
      </c>
      <c r="H1141" s="4">
        <v>821500000000000</v>
      </c>
      <c r="I1141" s="4">
        <v>833800000000000</v>
      </c>
      <c r="J1141" s="4">
        <v>845200000000000</v>
      </c>
      <c r="K1141" s="4">
        <v>856300000000000</v>
      </c>
      <c r="L1141" s="4">
        <v>867900000000000</v>
      </c>
      <c r="M1141" s="4">
        <v>879900000000000</v>
      </c>
      <c r="N1141" s="4">
        <v>892600000000000</v>
      </c>
      <c r="O1141" s="4">
        <v>905400000000000</v>
      </c>
      <c r="P1141" s="4">
        <v>918500000000000</v>
      </c>
      <c r="Q1141" s="4">
        <v>933300000000000</v>
      </c>
      <c r="R1141" s="4">
        <v>949100000000000</v>
      </c>
      <c r="S1141" s="4">
        <v>966500000000000</v>
      </c>
      <c r="T1141" s="4">
        <v>984000000000000</v>
      </c>
      <c r="U1141" s="4">
        <v>1001000000000000</v>
      </c>
      <c r="V1141" s="4">
        <v>1018000000000000</v>
      </c>
      <c r="W1141" s="4">
        <v>1036000000000000</v>
      </c>
      <c r="X1141" s="4">
        <v>1053000000000000</v>
      </c>
      <c r="Y1141" s="4">
        <v>1072000000000000</v>
      </c>
      <c r="Z1141" s="4">
        <v>1091000000000000</v>
      </c>
      <c r="AA1141" s="4">
        <v>1111000000000000</v>
      </c>
      <c r="AB1141" s="4">
        <v>1130000000000000</v>
      </c>
      <c r="AC1141" s="4">
        <v>1150000000000000</v>
      </c>
      <c r="AD1141" s="4">
        <v>1170000000000000</v>
      </c>
      <c r="AE1141" s="4">
        <v>1190000000000000</v>
      </c>
      <c r="AF1141" s="4">
        <v>1211000000000000</v>
      </c>
    </row>
    <row r="1142" spans="1:32" x14ac:dyDescent="0.75">
      <c r="A1142" t="s">
        <v>1211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x14ac:dyDescent="0.75">
      <c r="A1143" t="s">
        <v>1212</v>
      </c>
      <c r="B1143" s="4">
        <v>171800000000000</v>
      </c>
      <c r="C1143" s="4">
        <v>164700000000000</v>
      </c>
      <c r="D1143" s="4">
        <v>163600000000000</v>
      </c>
      <c r="E1143" s="4">
        <v>163500000000000</v>
      </c>
      <c r="F1143" s="4">
        <v>164100000000000</v>
      </c>
      <c r="G1143" s="4">
        <v>163500000000000</v>
      </c>
      <c r="H1143" s="4">
        <v>163000000000000</v>
      </c>
      <c r="I1143" s="4">
        <v>162700000000000</v>
      </c>
      <c r="J1143" s="4">
        <v>162900000000000</v>
      </c>
      <c r="K1143" s="4">
        <v>163300000000000</v>
      </c>
      <c r="L1143" s="4">
        <v>161700000000000</v>
      </c>
      <c r="M1143" s="4">
        <v>160600000000000</v>
      </c>
      <c r="N1143" s="4">
        <v>159800000000000</v>
      </c>
      <c r="O1143" s="4">
        <v>159200000000000</v>
      </c>
      <c r="P1143" s="4">
        <v>159000000000000</v>
      </c>
      <c r="Q1143" s="4">
        <v>159100000000000</v>
      </c>
      <c r="R1143" s="4">
        <v>159400000000000</v>
      </c>
      <c r="S1143" s="4">
        <v>159900000000000</v>
      </c>
      <c r="T1143" s="4">
        <v>160400000000000</v>
      </c>
      <c r="U1143" s="4">
        <v>160800000000000</v>
      </c>
      <c r="V1143" s="4">
        <v>158500000000000</v>
      </c>
      <c r="W1143" s="4">
        <v>156800000000000</v>
      </c>
      <c r="X1143" s="4">
        <v>155400000000000</v>
      </c>
      <c r="Y1143" s="4">
        <v>154400000000000</v>
      </c>
      <c r="Z1143" s="4">
        <v>153800000000000</v>
      </c>
      <c r="AA1143" s="4">
        <v>153300000000000</v>
      </c>
      <c r="AB1143" s="4">
        <v>152900000000000</v>
      </c>
      <c r="AC1143" s="4">
        <v>152600000000000</v>
      </c>
      <c r="AD1143" s="4">
        <v>152200000000000</v>
      </c>
      <c r="AE1143" s="4">
        <v>151900000000000</v>
      </c>
      <c r="AF1143" s="4">
        <v>151900000000000</v>
      </c>
    </row>
    <row r="1144" spans="1:32" x14ac:dyDescent="0.75">
      <c r="A1144" t="s">
        <v>1213</v>
      </c>
      <c r="B1144" s="4">
        <v>1064000000000000</v>
      </c>
      <c r="C1144" s="4">
        <v>1061000000000000</v>
      </c>
      <c r="D1144" s="4">
        <v>1066000000000000</v>
      </c>
      <c r="E1144" s="4">
        <v>1070000000000000</v>
      </c>
      <c r="F1144" s="4">
        <v>1075000000000000</v>
      </c>
      <c r="G1144" s="4">
        <v>1080000000000000</v>
      </c>
      <c r="H1144" s="4">
        <v>1083000000000000</v>
      </c>
      <c r="I1144" s="4">
        <v>1085000000000000</v>
      </c>
      <c r="J1144" s="4">
        <v>1087000000000000</v>
      </c>
      <c r="K1144" s="4">
        <v>1089000000000000</v>
      </c>
      <c r="L1144" s="4">
        <v>1091000000000000</v>
      </c>
      <c r="M1144" s="4">
        <v>1094000000000000</v>
      </c>
      <c r="N1144" s="4">
        <v>1098000000000000</v>
      </c>
      <c r="O1144" s="4">
        <v>1101000000000000</v>
      </c>
      <c r="P1144" s="4">
        <v>1106000000000000</v>
      </c>
      <c r="Q1144" s="4">
        <v>1112000000000000</v>
      </c>
      <c r="R1144" s="4">
        <v>1119000000000000</v>
      </c>
      <c r="S1144" s="4">
        <v>1127000000000000</v>
      </c>
      <c r="T1144" s="4">
        <v>1135000000000000</v>
      </c>
      <c r="U1144" s="4">
        <v>1143000000000000</v>
      </c>
      <c r="V1144" s="4">
        <v>1151000000000000</v>
      </c>
      <c r="W1144" s="4">
        <v>1159000000000000</v>
      </c>
      <c r="X1144" s="4">
        <v>1167000000000000</v>
      </c>
      <c r="Y1144" s="4">
        <v>1175000000000000</v>
      </c>
      <c r="Z1144" s="4">
        <v>1184000000000000</v>
      </c>
      <c r="AA1144" s="4">
        <v>1192000000000000</v>
      </c>
      <c r="AB1144" s="4">
        <v>1201000000000000</v>
      </c>
      <c r="AC1144" s="4">
        <v>1209000000000000</v>
      </c>
      <c r="AD1144" s="4">
        <v>1218000000000000</v>
      </c>
      <c r="AE1144" s="4">
        <v>1226000000000000</v>
      </c>
      <c r="AF1144" s="4">
        <v>1235000000000000</v>
      </c>
    </row>
    <row r="1145" spans="1:32" x14ac:dyDescent="0.75">
      <c r="A1145" t="s">
        <v>1214</v>
      </c>
      <c r="B1145" s="4">
        <v>1690000000000000</v>
      </c>
      <c r="C1145" s="4">
        <v>1696000000000000</v>
      </c>
      <c r="D1145" s="4">
        <v>1657000000000000</v>
      </c>
      <c r="E1145" s="4">
        <v>1708000000000000</v>
      </c>
      <c r="F1145" s="4">
        <v>1733000000000000</v>
      </c>
      <c r="G1145" s="4">
        <v>1757000000000000</v>
      </c>
      <c r="H1145" s="4">
        <v>1778000000000000</v>
      </c>
      <c r="I1145" s="4">
        <v>1795000000000000</v>
      </c>
      <c r="J1145" s="4">
        <v>1813000000000000</v>
      </c>
      <c r="K1145" s="4">
        <v>1831000000000000</v>
      </c>
      <c r="L1145" s="4">
        <v>1851000000000000</v>
      </c>
      <c r="M1145" s="4">
        <v>1871000000000000</v>
      </c>
      <c r="N1145" s="4">
        <v>1891000000000000</v>
      </c>
      <c r="O1145" s="4">
        <v>1911000000000000</v>
      </c>
      <c r="P1145" s="4">
        <v>1932000000000000</v>
      </c>
      <c r="Q1145" s="4">
        <v>1956000000000000</v>
      </c>
      <c r="R1145" s="4">
        <v>1981000000000000</v>
      </c>
      <c r="S1145" s="4">
        <v>2009000000000000</v>
      </c>
      <c r="T1145" s="4">
        <v>2037000000000000</v>
      </c>
      <c r="U1145" s="4">
        <v>2065000000000000</v>
      </c>
      <c r="V1145" s="4">
        <v>2094000000000000</v>
      </c>
      <c r="W1145" s="4">
        <v>2122000000000000</v>
      </c>
      <c r="X1145" s="4">
        <v>2152000000000000</v>
      </c>
      <c r="Y1145" s="4">
        <v>2182000000000000</v>
      </c>
      <c r="Z1145" s="4">
        <v>2214000000000000</v>
      </c>
      <c r="AA1145" s="4">
        <v>2248000000000000</v>
      </c>
      <c r="AB1145" s="4">
        <v>2283000000000000</v>
      </c>
      <c r="AC1145" s="4">
        <v>2318000000000000</v>
      </c>
      <c r="AD1145" s="4">
        <v>2354000000000000</v>
      </c>
      <c r="AE1145" s="4">
        <v>2392000000000000</v>
      </c>
      <c r="AF1145" s="4">
        <v>2432000000000000</v>
      </c>
    </row>
    <row r="1146" spans="1:32" x14ac:dyDescent="0.75">
      <c r="A1146" t="s">
        <v>1215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 x14ac:dyDescent="0.75">
      <c r="A1147" t="s">
        <v>1216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 x14ac:dyDescent="0.75">
      <c r="A1148" t="s">
        <v>1217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 x14ac:dyDescent="0.75">
      <c r="A1149" t="s">
        <v>1218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 x14ac:dyDescent="0.75">
      <c r="A1150" t="s">
        <v>1219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x14ac:dyDescent="0.75">
      <c r="A1151" t="s">
        <v>1220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x14ac:dyDescent="0.75">
      <c r="A1152" t="s">
        <v>1221</v>
      </c>
      <c r="B1152" s="4">
        <v>2868000000000000</v>
      </c>
      <c r="C1152" s="4">
        <v>2912000000000000</v>
      </c>
      <c r="D1152" s="4">
        <v>2968000000000000</v>
      </c>
      <c r="E1152" s="4">
        <v>2906000000000000</v>
      </c>
      <c r="F1152" s="4">
        <v>2910000000000000</v>
      </c>
      <c r="G1152" s="4">
        <v>2914000000000000</v>
      </c>
      <c r="H1152" s="4">
        <v>2911000000000000</v>
      </c>
      <c r="I1152" s="4">
        <v>2902000000000000</v>
      </c>
      <c r="J1152" s="4">
        <v>2888000000000000</v>
      </c>
      <c r="K1152" s="4">
        <v>2871000000000000</v>
      </c>
      <c r="L1152" s="4">
        <v>2854000000000000</v>
      </c>
      <c r="M1152" s="4">
        <v>2835000000000000</v>
      </c>
      <c r="N1152" s="4">
        <v>2819000000000000</v>
      </c>
      <c r="O1152" s="4">
        <v>2803000000000000</v>
      </c>
      <c r="P1152" s="4">
        <v>2789000000000000</v>
      </c>
      <c r="Q1152" s="4">
        <v>2777000000000000</v>
      </c>
      <c r="R1152" s="4">
        <v>2767000000000000</v>
      </c>
      <c r="S1152" s="4">
        <v>2756000000000000</v>
      </c>
      <c r="T1152" s="4">
        <v>2745000000000000</v>
      </c>
      <c r="U1152" s="4">
        <v>2734000000000000</v>
      </c>
      <c r="V1152" s="4">
        <v>2725000000000000</v>
      </c>
      <c r="W1152" s="4">
        <v>2716000000000000</v>
      </c>
      <c r="X1152" s="4">
        <v>2708000000000000</v>
      </c>
      <c r="Y1152" s="4">
        <v>2699000000000000</v>
      </c>
      <c r="Z1152" s="4">
        <v>2691000000000000</v>
      </c>
      <c r="AA1152" s="4">
        <v>2682000000000000</v>
      </c>
      <c r="AB1152" s="4">
        <v>2673000000000000</v>
      </c>
      <c r="AC1152" s="4">
        <v>2663000000000000</v>
      </c>
      <c r="AD1152" s="4">
        <v>2653000000000000</v>
      </c>
      <c r="AE1152" s="4">
        <v>2643000000000000</v>
      </c>
      <c r="AF1152" s="4">
        <v>2632000000000000</v>
      </c>
    </row>
    <row r="1153" spans="1:32" x14ac:dyDescent="0.75">
      <c r="A1153" t="s">
        <v>1222</v>
      </c>
      <c r="B1153" s="4">
        <v>47660000000000</v>
      </c>
      <c r="C1153" s="4">
        <v>45570000000000</v>
      </c>
      <c r="D1153" s="4">
        <v>42650000000000</v>
      </c>
      <c r="E1153" s="4">
        <v>48720000000000</v>
      </c>
      <c r="F1153" s="4">
        <v>48770000000000</v>
      </c>
      <c r="G1153" s="4">
        <v>48810000000000</v>
      </c>
      <c r="H1153" s="4">
        <v>48810000000000</v>
      </c>
      <c r="I1153" s="4">
        <v>48710000000000</v>
      </c>
      <c r="J1153" s="4">
        <v>48590000000000</v>
      </c>
      <c r="K1153" s="4">
        <v>48410000000000</v>
      </c>
      <c r="L1153" s="4">
        <v>48250000000000</v>
      </c>
      <c r="M1153" s="4">
        <v>48040000000000</v>
      </c>
      <c r="N1153" s="4">
        <v>47830000000000</v>
      </c>
      <c r="O1153" s="4">
        <v>47650000000000</v>
      </c>
      <c r="P1153" s="4">
        <v>47510000000000</v>
      </c>
      <c r="Q1153" s="4">
        <v>47450000000000</v>
      </c>
      <c r="R1153" s="4">
        <v>47490000000000</v>
      </c>
      <c r="S1153" s="4">
        <v>47630000000000</v>
      </c>
      <c r="T1153" s="4">
        <v>47790000000000</v>
      </c>
      <c r="U1153" s="4">
        <v>47960000000000</v>
      </c>
      <c r="V1153" s="4">
        <v>48120000000000</v>
      </c>
      <c r="W1153" s="4">
        <v>48290000000000</v>
      </c>
      <c r="X1153" s="4">
        <v>48470000000000</v>
      </c>
      <c r="Y1153" s="4">
        <v>48630000000000</v>
      </c>
      <c r="Z1153" s="4">
        <v>48820000000000</v>
      </c>
      <c r="AA1153" s="4">
        <v>49000000000000</v>
      </c>
      <c r="AB1153" s="4">
        <v>49180000000000</v>
      </c>
      <c r="AC1153" s="4">
        <v>49370000000000</v>
      </c>
      <c r="AD1153" s="4">
        <v>49560000000000</v>
      </c>
      <c r="AE1153" s="4">
        <v>49750000000000</v>
      </c>
      <c r="AF1153" s="4">
        <v>49930000000000</v>
      </c>
    </row>
    <row r="1154" spans="1:32" x14ac:dyDescent="0.75">
      <c r="A1154" t="s">
        <v>1223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x14ac:dyDescent="0.75">
      <c r="A1155" t="s">
        <v>1224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 x14ac:dyDescent="0.75">
      <c r="A1156" t="s">
        <v>1225</v>
      </c>
      <c r="B1156" s="4">
        <v>935200000000000</v>
      </c>
      <c r="C1156" s="4">
        <v>925700000000000</v>
      </c>
      <c r="D1156" s="4">
        <v>925000000000000</v>
      </c>
      <c r="E1156" s="4">
        <v>930100000000000</v>
      </c>
      <c r="F1156" s="4">
        <v>940700000000000</v>
      </c>
      <c r="G1156" s="4">
        <v>953000000000000</v>
      </c>
      <c r="H1156" s="4">
        <v>964700000000000</v>
      </c>
      <c r="I1156" s="4">
        <v>975600000000000</v>
      </c>
      <c r="J1156" s="4">
        <v>985100000000000</v>
      </c>
      <c r="K1156" s="4">
        <v>993700000000000</v>
      </c>
      <c r="L1156" s="4">
        <v>1003000000000000</v>
      </c>
      <c r="M1156" s="4">
        <v>1009000000000000</v>
      </c>
      <c r="N1156" s="4">
        <v>1016000000000000</v>
      </c>
      <c r="O1156" s="4">
        <v>1023000000000000</v>
      </c>
      <c r="P1156" s="4">
        <v>1030000000000000</v>
      </c>
      <c r="Q1156" s="4">
        <v>1038000000000000</v>
      </c>
      <c r="R1156" s="4">
        <v>1046000000000000</v>
      </c>
      <c r="S1156" s="4">
        <v>1053000000000000</v>
      </c>
      <c r="T1156" s="4">
        <v>1059000000000000</v>
      </c>
      <c r="U1156" s="4">
        <v>1066000000000000</v>
      </c>
      <c r="V1156" s="4">
        <v>1072000000000000</v>
      </c>
      <c r="W1156" s="4">
        <v>1078000000000000</v>
      </c>
      <c r="X1156" s="4">
        <v>1084000000000000</v>
      </c>
      <c r="Y1156" s="4">
        <v>1090000000000000</v>
      </c>
      <c r="Z1156" s="4">
        <v>1097000000000000</v>
      </c>
      <c r="AA1156" s="4">
        <v>1103000000000000</v>
      </c>
      <c r="AB1156" s="4">
        <v>1110000000000000</v>
      </c>
      <c r="AC1156" s="4">
        <v>1117000000000000</v>
      </c>
      <c r="AD1156" s="4">
        <v>1124000000000000</v>
      </c>
      <c r="AE1156" s="4">
        <v>1131000000000000</v>
      </c>
      <c r="AF1156" s="4">
        <v>1138000000000000</v>
      </c>
    </row>
    <row r="1157" spans="1:32" x14ac:dyDescent="0.75">
      <c r="A1157" t="s">
        <v>1226</v>
      </c>
      <c r="B1157" s="4">
        <v>189800000000000</v>
      </c>
      <c r="C1157" s="4">
        <v>187700000000000</v>
      </c>
      <c r="D1157" s="4">
        <v>186400000000000</v>
      </c>
      <c r="E1157" s="4">
        <v>185900000000000</v>
      </c>
      <c r="F1157" s="4">
        <v>186400000000000</v>
      </c>
      <c r="G1157" s="4">
        <v>187100000000000</v>
      </c>
      <c r="H1157" s="4">
        <v>187700000000000</v>
      </c>
      <c r="I1157" s="4">
        <v>188000000000000</v>
      </c>
      <c r="J1157" s="4">
        <v>187900000000000</v>
      </c>
      <c r="K1157" s="4">
        <v>187500000000000</v>
      </c>
      <c r="L1157" s="4">
        <v>186900000000000</v>
      </c>
      <c r="M1157" s="4">
        <v>185900000000000</v>
      </c>
      <c r="N1157" s="4">
        <v>185000000000000</v>
      </c>
      <c r="O1157" s="4">
        <v>184300000000000</v>
      </c>
      <c r="P1157" s="4">
        <v>183900000000000</v>
      </c>
      <c r="Q1157" s="4">
        <v>183600000000000</v>
      </c>
      <c r="R1157" s="4">
        <v>183400000000000</v>
      </c>
      <c r="S1157" s="4">
        <v>183100000000000</v>
      </c>
      <c r="T1157" s="4">
        <v>182800000000000</v>
      </c>
      <c r="U1157" s="4">
        <v>182500000000000</v>
      </c>
      <c r="V1157" s="4">
        <v>182200000000000</v>
      </c>
      <c r="W1157" s="4">
        <v>182000000000000</v>
      </c>
      <c r="X1157" s="4">
        <v>181700000000000</v>
      </c>
      <c r="Y1157" s="4">
        <v>181500000000000</v>
      </c>
      <c r="Z1157" s="4">
        <v>181300000000000</v>
      </c>
      <c r="AA1157" s="4">
        <v>181000000000000</v>
      </c>
      <c r="AB1157" s="4">
        <v>180800000000000</v>
      </c>
      <c r="AC1157" s="4">
        <v>180500000000000</v>
      </c>
      <c r="AD1157" s="4">
        <v>180300000000000</v>
      </c>
      <c r="AE1157" s="4">
        <v>180100000000000</v>
      </c>
      <c r="AF1157" s="4">
        <v>179800000000000</v>
      </c>
    </row>
    <row r="1158" spans="1:32" x14ac:dyDescent="0.75">
      <c r="A1158" t="s">
        <v>1227</v>
      </c>
      <c r="B1158" s="4">
        <v>303000000000000</v>
      </c>
      <c r="C1158" s="4">
        <v>296800000000000</v>
      </c>
      <c r="D1158" s="4">
        <v>316400000000000</v>
      </c>
      <c r="E1158" s="4">
        <v>295800000000000</v>
      </c>
      <c r="F1158" s="4">
        <v>288800000000000</v>
      </c>
      <c r="G1158" s="4">
        <v>281800000000000</v>
      </c>
      <c r="H1158" s="4">
        <v>275100000000000</v>
      </c>
      <c r="I1158" s="4">
        <v>268700000000000</v>
      </c>
      <c r="J1158" s="4">
        <v>263000000000000</v>
      </c>
      <c r="K1158" s="4">
        <v>257900000000000</v>
      </c>
      <c r="L1158" s="4">
        <v>253200000000000</v>
      </c>
      <c r="M1158" s="4">
        <v>248500000000000</v>
      </c>
      <c r="N1158" s="4">
        <v>244000000000000</v>
      </c>
      <c r="O1158" s="4">
        <v>239700000000000</v>
      </c>
      <c r="P1158" s="4">
        <v>235600000000000</v>
      </c>
      <c r="Q1158" s="4">
        <v>231600000000000</v>
      </c>
      <c r="R1158" s="4">
        <v>227600000000000</v>
      </c>
      <c r="S1158" s="4">
        <v>223700000000000</v>
      </c>
      <c r="T1158" s="4">
        <v>219900000000000</v>
      </c>
      <c r="U1158" s="4">
        <v>216200000000000</v>
      </c>
      <c r="V1158" s="4">
        <v>212700000000000</v>
      </c>
      <c r="W1158" s="4">
        <v>209200000000000</v>
      </c>
      <c r="X1158" s="4">
        <v>205900000000000</v>
      </c>
      <c r="Y1158" s="4">
        <v>202400000000000</v>
      </c>
      <c r="Z1158" s="4">
        <v>198800000000000</v>
      </c>
      <c r="AA1158" s="4">
        <v>195300000000000</v>
      </c>
      <c r="AB1158" s="4">
        <v>191800000000000</v>
      </c>
      <c r="AC1158" s="4">
        <v>188400000000000</v>
      </c>
      <c r="AD1158" s="4">
        <v>185100000000000</v>
      </c>
      <c r="AE1158" s="4">
        <v>181800000000000</v>
      </c>
      <c r="AF1158" s="4">
        <v>178600000000000</v>
      </c>
    </row>
    <row r="1159" spans="1:32" x14ac:dyDescent="0.75">
      <c r="A1159" t="s">
        <v>1228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75">
      <c r="A1160" t="s">
        <v>1229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75">
      <c r="A1161" t="s">
        <v>1230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75">
      <c r="A1162" t="s">
        <v>1231</v>
      </c>
      <c r="B1162" s="4">
        <v>39650000000000</v>
      </c>
      <c r="C1162" s="4">
        <v>37950000000000</v>
      </c>
      <c r="D1162" s="4">
        <v>36180000000000</v>
      </c>
      <c r="E1162" s="4">
        <v>34640000000000</v>
      </c>
      <c r="F1162" s="4">
        <v>33230000000000</v>
      </c>
      <c r="G1162" s="4">
        <v>31990000000000</v>
      </c>
      <c r="H1162" s="4">
        <v>30920000000000</v>
      </c>
      <c r="I1162" s="4">
        <v>30020000000000</v>
      </c>
      <c r="J1162" s="4">
        <v>29310000000000</v>
      </c>
      <c r="K1162" s="4">
        <v>28800000000000</v>
      </c>
      <c r="L1162" s="4">
        <v>28480000000000</v>
      </c>
      <c r="M1162" s="4">
        <v>28090000000000</v>
      </c>
      <c r="N1162" s="4">
        <v>27690000000000</v>
      </c>
      <c r="O1162" s="4">
        <v>27270000000000</v>
      </c>
      <c r="P1162" s="4">
        <v>26850000000000</v>
      </c>
      <c r="Q1162" s="4">
        <v>26430000000000</v>
      </c>
      <c r="R1162" s="4">
        <v>25980000000000</v>
      </c>
      <c r="S1162" s="4">
        <v>25530000000000</v>
      </c>
      <c r="T1162" s="4">
        <v>25070000000000</v>
      </c>
      <c r="U1162" s="4">
        <v>24640000000000</v>
      </c>
      <c r="V1162" s="4">
        <v>24200000000000</v>
      </c>
      <c r="W1162" s="4">
        <v>23790000000000</v>
      </c>
      <c r="X1162" s="4">
        <v>23390000000000</v>
      </c>
      <c r="Y1162" s="4">
        <v>23010000000000</v>
      </c>
      <c r="Z1162" s="4">
        <v>22630000000000</v>
      </c>
      <c r="AA1162" s="4">
        <v>22280000000000</v>
      </c>
      <c r="AB1162" s="4">
        <v>21940000000000</v>
      </c>
      <c r="AC1162" s="4">
        <v>21620000000000</v>
      </c>
      <c r="AD1162" s="4">
        <v>21330000000000</v>
      </c>
      <c r="AE1162" s="4">
        <v>21060000000000</v>
      </c>
      <c r="AF1162" s="4">
        <v>20790000000000</v>
      </c>
    </row>
    <row r="1163" spans="1:32" x14ac:dyDescent="0.75">
      <c r="A1163" t="s">
        <v>1232</v>
      </c>
      <c r="B1163" s="4">
        <v>6384000000000</v>
      </c>
      <c r="C1163" s="4">
        <v>6354000000000</v>
      </c>
      <c r="D1163" s="4">
        <v>6310000000000</v>
      </c>
      <c r="E1163" s="4">
        <v>6278000000000</v>
      </c>
      <c r="F1163" s="4">
        <v>6238000000000</v>
      </c>
      <c r="G1163" s="4">
        <v>6196000000000</v>
      </c>
      <c r="H1163" s="4">
        <v>6157000000000</v>
      </c>
      <c r="I1163" s="4">
        <v>6122000000000</v>
      </c>
      <c r="J1163" s="4">
        <v>6094000000000</v>
      </c>
      <c r="K1163" s="4">
        <v>6072000000000</v>
      </c>
      <c r="L1163" s="4">
        <v>6057000000000</v>
      </c>
      <c r="M1163" s="4">
        <v>6039000000000</v>
      </c>
      <c r="N1163" s="4">
        <v>6021000000000</v>
      </c>
      <c r="O1163" s="4">
        <v>6004000000000</v>
      </c>
      <c r="P1163" s="4">
        <v>5989000000000</v>
      </c>
      <c r="Q1163" s="4">
        <v>5975000000000</v>
      </c>
      <c r="R1163" s="4">
        <v>5958000000000</v>
      </c>
      <c r="S1163" s="4">
        <v>5940000000000</v>
      </c>
      <c r="T1163" s="4">
        <v>5922000000000</v>
      </c>
      <c r="U1163" s="4">
        <v>5907000000000</v>
      </c>
      <c r="V1163" s="4">
        <v>5890000000000</v>
      </c>
      <c r="W1163" s="4">
        <v>5875000000000</v>
      </c>
      <c r="X1163" s="4">
        <v>5861000000000</v>
      </c>
      <c r="Y1163" s="4">
        <v>5845000000000</v>
      </c>
      <c r="Z1163" s="4">
        <v>5827000000000</v>
      </c>
      <c r="AA1163" s="4">
        <v>5810000000000</v>
      </c>
      <c r="AB1163" s="4">
        <v>5794000000000</v>
      </c>
      <c r="AC1163" s="4">
        <v>5780000000000</v>
      </c>
      <c r="AD1163" s="4">
        <v>5769000000000</v>
      </c>
      <c r="AE1163" s="4">
        <v>5760000000000</v>
      </c>
      <c r="AF1163" s="4">
        <v>5751000000000</v>
      </c>
    </row>
    <row r="1164" spans="1:32" x14ac:dyDescent="0.75">
      <c r="A1164" t="s">
        <v>1233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x14ac:dyDescent="0.75">
      <c r="A1165" t="s">
        <v>1234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 x14ac:dyDescent="0.75">
      <c r="A1166" t="s">
        <v>1235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 x14ac:dyDescent="0.75">
      <c r="A1167" t="s">
        <v>1236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x14ac:dyDescent="0.75">
      <c r="A1168" t="s">
        <v>1237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 x14ac:dyDescent="0.75">
      <c r="A1169" t="s">
        <v>1238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 x14ac:dyDescent="0.75">
      <c r="A1170" t="s">
        <v>1239</v>
      </c>
      <c r="B1170" s="4">
        <v>372000000000000</v>
      </c>
      <c r="C1170" s="4">
        <v>377100000000000</v>
      </c>
      <c r="D1170" s="4">
        <v>393300000000000</v>
      </c>
      <c r="E1170" s="4">
        <v>368700000000000</v>
      </c>
      <c r="F1170" s="4">
        <v>366600000000000</v>
      </c>
      <c r="G1170" s="4">
        <v>364900000000000</v>
      </c>
      <c r="H1170" s="4">
        <v>362800000000000</v>
      </c>
      <c r="I1170" s="4">
        <v>359800000000000</v>
      </c>
      <c r="J1170" s="4">
        <v>356100000000000</v>
      </c>
      <c r="K1170" s="4">
        <v>351300000000000</v>
      </c>
      <c r="L1170" s="4">
        <v>345200000000000</v>
      </c>
      <c r="M1170" s="4">
        <v>339800000000000</v>
      </c>
      <c r="N1170" s="4">
        <v>334400000000000</v>
      </c>
      <c r="O1170" s="4">
        <v>328700000000000</v>
      </c>
      <c r="P1170" s="4">
        <v>322600000000000</v>
      </c>
      <c r="Q1170" s="4">
        <v>316600000000000</v>
      </c>
      <c r="R1170" s="4">
        <v>310800000000000</v>
      </c>
      <c r="S1170" s="4">
        <v>305700000000000</v>
      </c>
      <c r="T1170" s="4">
        <v>300800000000000</v>
      </c>
      <c r="U1170" s="4">
        <v>295700000000000</v>
      </c>
      <c r="V1170" s="4">
        <v>291000000000000</v>
      </c>
      <c r="W1170" s="4">
        <v>286500000000000</v>
      </c>
      <c r="X1170" s="4">
        <v>282000000000000</v>
      </c>
      <c r="Y1170" s="4">
        <v>278200000000000</v>
      </c>
      <c r="Z1170" s="4">
        <v>275200000000000</v>
      </c>
      <c r="AA1170" s="4">
        <v>272200000000000</v>
      </c>
      <c r="AB1170" s="4">
        <v>269500000000000</v>
      </c>
      <c r="AC1170" s="4">
        <v>266400000000000</v>
      </c>
      <c r="AD1170" s="4">
        <v>262900000000000</v>
      </c>
      <c r="AE1170" s="4">
        <v>259100000000000</v>
      </c>
      <c r="AF1170" s="4">
        <v>255200000000000</v>
      </c>
    </row>
    <row r="1171" spans="1:32" x14ac:dyDescent="0.75">
      <c r="A1171" t="s">
        <v>1240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75">
      <c r="A1172" t="s">
        <v>1241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x14ac:dyDescent="0.75">
      <c r="A1173" t="s">
        <v>1242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 x14ac:dyDescent="0.75">
      <c r="A1174" t="s">
        <v>1243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 x14ac:dyDescent="0.75">
      <c r="A1175" t="s">
        <v>1244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 x14ac:dyDescent="0.75">
      <c r="A1176" t="s">
        <v>1245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x14ac:dyDescent="0.75">
      <c r="A1177" t="s">
        <v>1246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75">
      <c r="A1178" t="s">
        <v>1247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75">
      <c r="A1179" t="s">
        <v>1248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x14ac:dyDescent="0.75">
      <c r="A1180" t="s">
        <v>1249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 x14ac:dyDescent="0.75">
      <c r="A1181" t="s">
        <v>1250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 x14ac:dyDescent="0.75">
      <c r="A1182" t="s">
        <v>1251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 x14ac:dyDescent="0.75">
      <c r="A1183" t="s">
        <v>1252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x14ac:dyDescent="0.75">
      <c r="A1184" t="s">
        <v>1253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 x14ac:dyDescent="0.75">
      <c r="A1185" t="s">
        <v>1254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 x14ac:dyDescent="0.75">
      <c r="A1186" t="s">
        <v>1255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 x14ac:dyDescent="0.75">
      <c r="A1187" t="s">
        <v>1256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75">
      <c r="A1188" t="s">
        <v>1257</v>
      </c>
      <c r="B1188" s="4">
        <v>244600000000000</v>
      </c>
      <c r="C1188" s="4">
        <v>264400000000000</v>
      </c>
      <c r="D1188" s="4">
        <v>269100000000000</v>
      </c>
      <c r="E1188" s="4">
        <v>255200000000000</v>
      </c>
      <c r="F1188" s="4">
        <v>252300000000000</v>
      </c>
      <c r="G1188" s="4">
        <v>249800000000000</v>
      </c>
      <c r="H1188" s="4">
        <v>247100000000000</v>
      </c>
      <c r="I1188" s="4">
        <v>244300000000000</v>
      </c>
      <c r="J1188" s="4">
        <v>241200000000000</v>
      </c>
      <c r="K1188" s="4">
        <v>238100000000000</v>
      </c>
      <c r="L1188" s="4">
        <v>235100000000000</v>
      </c>
      <c r="M1188" s="4">
        <v>232100000000000</v>
      </c>
      <c r="N1188" s="4">
        <v>229300000000000</v>
      </c>
      <c r="O1188" s="4">
        <v>226700000000000</v>
      </c>
      <c r="P1188" s="4">
        <v>224200000000000</v>
      </c>
      <c r="Q1188" s="4">
        <v>222000000000000</v>
      </c>
      <c r="R1188" s="4">
        <v>219900000000000</v>
      </c>
      <c r="S1188" s="4">
        <v>217800000000000</v>
      </c>
      <c r="T1188" s="4">
        <v>215800000000000</v>
      </c>
      <c r="U1188" s="4">
        <v>213900000000000</v>
      </c>
      <c r="V1188" s="4">
        <v>212100000000000</v>
      </c>
      <c r="W1188" s="4">
        <v>210300000000000</v>
      </c>
      <c r="X1188" s="4">
        <v>208500000000000</v>
      </c>
      <c r="Y1188" s="4">
        <v>206700000000000</v>
      </c>
      <c r="Z1188" s="4">
        <v>205000000000000</v>
      </c>
      <c r="AA1188" s="4">
        <v>203200000000000</v>
      </c>
      <c r="AB1188" s="4">
        <v>201500000000000</v>
      </c>
      <c r="AC1188" s="4">
        <v>199800000000000</v>
      </c>
      <c r="AD1188" s="4">
        <v>198200000000000</v>
      </c>
      <c r="AE1188" s="4">
        <v>196600000000000</v>
      </c>
      <c r="AF1188" s="4">
        <v>195100000000000</v>
      </c>
    </row>
    <row r="1189" spans="1:32" x14ac:dyDescent="0.75">
      <c r="A1189" t="s">
        <v>1258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x14ac:dyDescent="0.75">
      <c r="A1190" t="s">
        <v>1259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x14ac:dyDescent="0.75">
      <c r="A1191" t="s">
        <v>1260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 x14ac:dyDescent="0.75">
      <c r="A1192" t="s">
        <v>1261</v>
      </c>
      <c r="B1192" s="4">
        <v>67010000000000</v>
      </c>
      <c r="C1192" s="4">
        <v>65180000000000</v>
      </c>
      <c r="D1192" s="4">
        <v>62870000000000</v>
      </c>
      <c r="E1192" s="4">
        <v>60990000000000</v>
      </c>
      <c r="F1192" s="4">
        <v>59530000000000</v>
      </c>
      <c r="G1192" s="4">
        <v>58310000000000</v>
      </c>
      <c r="H1192" s="4">
        <v>57180000000000</v>
      </c>
      <c r="I1192" s="4">
        <v>56110000000000</v>
      </c>
      <c r="J1192" s="4">
        <v>55090000000000</v>
      </c>
      <c r="K1192" s="4">
        <v>54180000000000</v>
      </c>
      <c r="L1192" s="4">
        <v>53380000000000</v>
      </c>
      <c r="M1192" s="4">
        <v>52470000000000</v>
      </c>
      <c r="N1192" s="4">
        <v>51530000000000</v>
      </c>
      <c r="O1192" s="4">
        <v>50600000000000</v>
      </c>
      <c r="P1192" s="4">
        <v>49720000000000</v>
      </c>
      <c r="Q1192" s="4">
        <v>48870000000000</v>
      </c>
      <c r="R1192" s="4">
        <v>48070000000000</v>
      </c>
      <c r="S1192" s="4">
        <v>47300000000000</v>
      </c>
      <c r="T1192" s="4">
        <v>46540000000000</v>
      </c>
      <c r="U1192" s="4">
        <v>45800000000000</v>
      </c>
      <c r="V1192" s="4">
        <v>45090000000000</v>
      </c>
      <c r="W1192" s="4">
        <v>44390000000000</v>
      </c>
      <c r="X1192" s="4">
        <v>43740000000000</v>
      </c>
      <c r="Y1192" s="4">
        <v>43130000000000</v>
      </c>
      <c r="Z1192" s="4">
        <v>42540000000000</v>
      </c>
      <c r="AA1192" s="4">
        <v>42010000000000</v>
      </c>
      <c r="AB1192" s="4">
        <v>41510000000000</v>
      </c>
      <c r="AC1192" s="4">
        <v>41050000000000</v>
      </c>
      <c r="AD1192" s="4">
        <v>40620000000000</v>
      </c>
      <c r="AE1192" s="4">
        <v>40220000000000</v>
      </c>
      <c r="AF1192" s="4">
        <v>39840000000000</v>
      </c>
    </row>
    <row r="1193" spans="1:32" x14ac:dyDescent="0.75">
      <c r="A1193" t="s">
        <v>1262</v>
      </c>
      <c r="B1193" s="4">
        <v>58490000000000</v>
      </c>
      <c r="C1193" s="4">
        <v>59620000000000</v>
      </c>
      <c r="D1193" s="4">
        <v>60520000000000</v>
      </c>
      <c r="E1193" s="4">
        <v>61650000000000</v>
      </c>
      <c r="F1193" s="4">
        <v>63120000000000</v>
      </c>
      <c r="G1193" s="4">
        <v>64710000000000</v>
      </c>
      <c r="H1193" s="4">
        <v>66280000000000</v>
      </c>
      <c r="I1193" s="4">
        <v>67770000000000</v>
      </c>
      <c r="J1193" s="4">
        <v>69170000000000</v>
      </c>
      <c r="K1193" s="4">
        <v>70530000000000</v>
      </c>
      <c r="L1193" s="4">
        <v>71900000000000</v>
      </c>
      <c r="M1193" s="4">
        <v>73200000000000</v>
      </c>
      <c r="N1193" s="4">
        <v>74530000000000</v>
      </c>
      <c r="O1193" s="4">
        <v>75900000000000</v>
      </c>
      <c r="P1193" s="4">
        <v>77320000000000</v>
      </c>
      <c r="Q1193" s="4">
        <v>78790000000000</v>
      </c>
      <c r="R1193" s="4">
        <v>80290000000000</v>
      </c>
      <c r="S1193" s="4">
        <v>81790000000000</v>
      </c>
      <c r="T1193" s="4">
        <v>83290000000000</v>
      </c>
      <c r="U1193" s="4">
        <v>84810000000000</v>
      </c>
      <c r="V1193" s="4">
        <v>86340000000000</v>
      </c>
      <c r="W1193" s="4">
        <v>87860000000000</v>
      </c>
      <c r="X1193" s="4">
        <v>89410000000000</v>
      </c>
      <c r="Y1193" s="4">
        <v>90970000000000</v>
      </c>
      <c r="Z1193" s="4">
        <v>92530000000000</v>
      </c>
      <c r="AA1193" s="4">
        <v>94120000000000</v>
      </c>
      <c r="AB1193" s="4">
        <v>95730000000000</v>
      </c>
      <c r="AC1193" s="4">
        <v>97360000000000</v>
      </c>
      <c r="AD1193" s="4">
        <v>99010000000000</v>
      </c>
      <c r="AE1193" s="4">
        <v>100700000000000</v>
      </c>
      <c r="AF1193" s="4">
        <v>102400000000000</v>
      </c>
    </row>
    <row r="1194" spans="1:32" x14ac:dyDescent="0.75">
      <c r="A1194" t="s">
        <v>1263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75">
      <c r="A1195" t="s">
        <v>1264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x14ac:dyDescent="0.75">
      <c r="A1196" t="s">
        <v>1265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x14ac:dyDescent="0.75">
      <c r="A1197" t="s">
        <v>1266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x14ac:dyDescent="0.75">
      <c r="A1198" t="s">
        <v>1267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x14ac:dyDescent="0.75">
      <c r="A1199" t="s">
        <v>1268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x14ac:dyDescent="0.75">
      <c r="A1200" t="s">
        <v>1269</v>
      </c>
      <c r="B1200" s="4">
        <v>121300000000000</v>
      </c>
      <c r="C1200" s="4">
        <v>131700000000000</v>
      </c>
      <c r="D1200" s="4">
        <v>134800000000000</v>
      </c>
      <c r="E1200" s="4">
        <v>126500000000000</v>
      </c>
      <c r="F1200" s="4">
        <v>126100000000000</v>
      </c>
      <c r="G1200" s="4">
        <v>125500000000000</v>
      </c>
      <c r="H1200" s="4">
        <v>124600000000000</v>
      </c>
      <c r="I1200" s="4">
        <v>123500000000000</v>
      </c>
      <c r="J1200" s="4">
        <v>122300000000000</v>
      </c>
      <c r="K1200" s="4">
        <v>121100000000000</v>
      </c>
      <c r="L1200" s="4">
        <v>119900000000000</v>
      </c>
      <c r="M1200" s="4">
        <v>118700000000000</v>
      </c>
      <c r="N1200" s="4">
        <v>117500000000000</v>
      </c>
      <c r="O1200" s="4">
        <v>116200000000000</v>
      </c>
      <c r="P1200" s="4">
        <v>115000000000000</v>
      </c>
      <c r="Q1200" s="4">
        <v>114000000000000</v>
      </c>
      <c r="R1200" s="4">
        <v>113100000000000</v>
      </c>
      <c r="S1200" s="4">
        <v>112200000000000</v>
      </c>
      <c r="T1200" s="4">
        <v>111400000000000</v>
      </c>
      <c r="U1200" s="4">
        <v>110400000000000</v>
      </c>
      <c r="V1200" s="4">
        <v>109500000000000</v>
      </c>
      <c r="W1200" s="4">
        <v>108600000000000</v>
      </c>
      <c r="X1200" s="4">
        <v>107700000000000</v>
      </c>
      <c r="Y1200" s="4">
        <v>106800000000000</v>
      </c>
      <c r="Z1200" s="4">
        <v>105900000000000</v>
      </c>
      <c r="AA1200" s="4">
        <v>105000000000000</v>
      </c>
      <c r="AB1200" s="4">
        <v>104100000000000</v>
      </c>
      <c r="AC1200" s="4">
        <v>103200000000000</v>
      </c>
      <c r="AD1200" s="4">
        <v>102300000000000</v>
      </c>
      <c r="AE1200" s="4">
        <v>101300000000000</v>
      </c>
      <c r="AF1200" s="4">
        <v>100500000000000</v>
      </c>
    </row>
    <row r="1201" spans="1:32" x14ac:dyDescent="0.75">
      <c r="A1201" t="s">
        <v>1270</v>
      </c>
      <c r="B1201" s="4">
        <v>165200000000000</v>
      </c>
      <c r="C1201" s="4">
        <v>165300000000000</v>
      </c>
      <c r="D1201" s="4">
        <v>154300000000000</v>
      </c>
      <c r="E1201" s="4">
        <v>178600000000000</v>
      </c>
      <c r="F1201" s="4">
        <v>182000000000000</v>
      </c>
      <c r="G1201" s="4">
        <v>185500000000000</v>
      </c>
      <c r="H1201" s="4">
        <v>188900000000000</v>
      </c>
      <c r="I1201" s="4">
        <v>191700000000000</v>
      </c>
      <c r="J1201" s="4">
        <v>194300000000000</v>
      </c>
      <c r="K1201" s="4">
        <v>196800000000000</v>
      </c>
      <c r="L1201" s="4">
        <v>199500000000000</v>
      </c>
      <c r="M1201" s="4">
        <v>202300000000000</v>
      </c>
      <c r="N1201" s="4">
        <v>205200000000000</v>
      </c>
      <c r="O1201" s="4">
        <v>208100000000000</v>
      </c>
      <c r="P1201" s="4">
        <v>211100000000000</v>
      </c>
      <c r="Q1201" s="4">
        <v>214600000000000</v>
      </c>
      <c r="R1201" s="4">
        <v>218200000000000</v>
      </c>
      <c r="S1201" s="4">
        <v>222200000000000</v>
      </c>
      <c r="T1201" s="4">
        <v>226200000000000</v>
      </c>
      <c r="U1201" s="4">
        <v>230200000000000</v>
      </c>
      <c r="V1201" s="4">
        <v>234100000000000</v>
      </c>
      <c r="W1201" s="4">
        <v>238100000000000</v>
      </c>
      <c r="X1201" s="4">
        <v>242200000000000</v>
      </c>
      <c r="Y1201" s="4">
        <v>246400000000000</v>
      </c>
      <c r="Z1201" s="4">
        <v>250900000000000</v>
      </c>
      <c r="AA1201" s="4">
        <v>255400000000000</v>
      </c>
      <c r="AB1201" s="4">
        <v>259800000000000</v>
      </c>
      <c r="AC1201" s="4">
        <v>264300000000000</v>
      </c>
      <c r="AD1201" s="4">
        <v>268900000000000</v>
      </c>
      <c r="AE1201" s="4">
        <v>273500000000000</v>
      </c>
      <c r="AF1201" s="4">
        <v>278500000000000</v>
      </c>
    </row>
    <row r="1202" spans="1:32" x14ac:dyDescent="0.75">
      <c r="A1202" t="s">
        <v>1271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x14ac:dyDescent="0.75">
      <c r="A1203" t="s">
        <v>1272</v>
      </c>
      <c r="B1203" s="4">
        <v>39490000000000</v>
      </c>
      <c r="C1203" s="4">
        <v>37860000000000</v>
      </c>
      <c r="D1203" s="4">
        <v>37610000000000</v>
      </c>
      <c r="E1203" s="4">
        <v>37590000000000</v>
      </c>
      <c r="F1203" s="4">
        <v>37730000000000</v>
      </c>
      <c r="G1203" s="4">
        <v>37600000000000</v>
      </c>
      <c r="H1203" s="4">
        <v>37460000000000</v>
      </c>
      <c r="I1203" s="4">
        <v>37410000000000</v>
      </c>
      <c r="J1203" s="4">
        <v>37450000000000</v>
      </c>
      <c r="K1203" s="4">
        <v>37540000000000</v>
      </c>
      <c r="L1203" s="4">
        <v>37180000000000</v>
      </c>
      <c r="M1203" s="4">
        <v>36920000000000</v>
      </c>
      <c r="N1203" s="4">
        <v>36740000000000</v>
      </c>
      <c r="O1203" s="4">
        <v>36610000000000</v>
      </c>
      <c r="P1203" s="4">
        <v>36540000000000</v>
      </c>
      <c r="Q1203" s="4">
        <v>36580000000000</v>
      </c>
      <c r="R1203" s="4">
        <v>36650000000000</v>
      </c>
      <c r="S1203" s="4">
        <v>36750000000000</v>
      </c>
      <c r="T1203" s="4">
        <v>36860000000000</v>
      </c>
      <c r="U1203" s="4">
        <v>36960000000000</v>
      </c>
      <c r="V1203" s="4">
        <v>36440000000000</v>
      </c>
      <c r="W1203" s="4">
        <v>36040000000000</v>
      </c>
      <c r="X1203" s="4">
        <v>35730000000000</v>
      </c>
      <c r="Y1203" s="4">
        <v>35490000000000</v>
      </c>
      <c r="Z1203" s="4">
        <v>35350000000000</v>
      </c>
      <c r="AA1203" s="4">
        <v>35250000000000</v>
      </c>
      <c r="AB1203" s="4">
        <v>35160000000000</v>
      </c>
      <c r="AC1203" s="4">
        <v>35070000000000</v>
      </c>
      <c r="AD1203" s="4">
        <v>34990000000000</v>
      </c>
      <c r="AE1203" s="4">
        <v>34920000000000</v>
      </c>
      <c r="AF1203" s="4">
        <v>34920000000000</v>
      </c>
    </row>
    <row r="1204" spans="1:32" x14ac:dyDescent="0.75">
      <c r="A1204" t="s">
        <v>1273</v>
      </c>
      <c r="B1204" s="4">
        <v>244700000000000</v>
      </c>
      <c r="C1204" s="4">
        <v>243900000000000</v>
      </c>
      <c r="D1204" s="4">
        <v>245100000000000</v>
      </c>
      <c r="E1204" s="4">
        <v>246000000000000</v>
      </c>
      <c r="F1204" s="4">
        <v>247200000000000</v>
      </c>
      <c r="G1204" s="4">
        <v>248300000000000</v>
      </c>
      <c r="H1204" s="4">
        <v>249000000000000</v>
      </c>
      <c r="I1204" s="4">
        <v>249500000000000</v>
      </c>
      <c r="J1204" s="4">
        <v>249900000000000</v>
      </c>
      <c r="K1204" s="4">
        <v>250300000000000</v>
      </c>
      <c r="L1204" s="4">
        <v>250900000000000</v>
      </c>
      <c r="M1204" s="4">
        <v>251500000000000</v>
      </c>
      <c r="N1204" s="4">
        <v>252300000000000</v>
      </c>
      <c r="O1204" s="4">
        <v>253200000000000</v>
      </c>
      <c r="P1204" s="4">
        <v>254200000000000</v>
      </c>
      <c r="Q1204" s="4">
        <v>255600000000000</v>
      </c>
      <c r="R1204" s="4">
        <v>257200000000000</v>
      </c>
      <c r="S1204" s="4">
        <v>259000000000000</v>
      </c>
      <c r="T1204" s="4">
        <v>260900000000000</v>
      </c>
      <c r="U1204" s="4">
        <v>262700000000000</v>
      </c>
      <c r="V1204" s="4">
        <v>264500000000000</v>
      </c>
      <c r="W1204" s="4">
        <v>266400000000000</v>
      </c>
      <c r="X1204" s="4">
        <v>268200000000000</v>
      </c>
      <c r="Y1204" s="4">
        <v>270100000000000</v>
      </c>
      <c r="Z1204" s="4">
        <v>272100000000000</v>
      </c>
      <c r="AA1204" s="4">
        <v>274100000000000</v>
      </c>
      <c r="AB1204" s="4">
        <v>276000000000000</v>
      </c>
      <c r="AC1204" s="4">
        <v>278000000000000</v>
      </c>
      <c r="AD1204" s="4">
        <v>279900000000000</v>
      </c>
      <c r="AE1204" s="4">
        <v>281800000000000</v>
      </c>
      <c r="AF1204" s="4">
        <v>283900000000000</v>
      </c>
    </row>
    <row r="1205" spans="1:32" x14ac:dyDescent="0.75">
      <c r="A1205" t="s">
        <v>1274</v>
      </c>
      <c r="B1205" s="4">
        <v>388400000000000</v>
      </c>
      <c r="C1205" s="4">
        <v>389900000000000</v>
      </c>
      <c r="D1205" s="4">
        <v>380900000000000</v>
      </c>
      <c r="E1205" s="4">
        <v>392700000000000</v>
      </c>
      <c r="F1205" s="4">
        <v>398300000000000</v>
      </c>
      <c r="G1205" s="4">
        <v>403800000000000</v>
      </c>
      <c r="H1205" s="4">
        <v>408700000000000</v>
      </c>
      <c r="I1205" s="4">
        <v>412700000000000</v>
      </c>
      <c r="J1205" s="4">
        <v>416800000000000</v>
      </c>
      <c r="K1205" s="4">
        <v>421000000000000</v>
      </c>
      <c r="L1205" s="4">
        <v>425600000000000</v>
      </c>
      <c r="M1205" s="4">
        <v>430000000000000</v>
      </c>
      <c r="N1205" s="4">
        <v>434600000000000</v>
      </c>
      <c r="O1205" s="4">
        <v>439300000000000</v>
      </c>
      <c r="P1205" s="4">
        <v>444200000000000</v>
      </c>
      <c r="Q1205" s="4">
        <v>449600000000000</v>
      </c>
      <c r="R1205" s="4">
        <v>455400000000000</v>
      </c>
      <c r="S1205" s="4">
        <v>461800000000000</v>
      </c>
      <c r="T1205" s="4">
        <v>468400000000000</v>
      </c>
      <c r="U1205" s="4">
        <v>474800000000000</v>
      </c>
      <c r="V1205" s="4">
        <v>481300000000000</v>
      </c>
      <c r="W1205" s="4">
        <v>487800000000000</v>
      </c>
      <c r="X1205" s="4">
        <v>494600000000000</v>
      </c>
      <c r="Y1205" s="4">
        <v>501600000000000</v>
      </c>
      <c r="Z1205" s="4">
        <v>509000000000000</v>
      </c>
      <c r="AA1205" s="4">
        <v>516800000000000</v>
      </c>
      <c r="AB1205" s="4">
        <v>524700000000000</v>
      </c>
      <c r="AC1205" s="4">
        <v>532900000000000</v>
      </c>
      <c r="AD1205" s="4">
        <v>541100000000000</v>
      </c>
      <c r="AE1205" s="4">
        <v>549800000000000</v>
      </c>
      <c r="AF1205" s="4">
        <v>559200000000000</v>
      </c>
    </row>
    <row r="1206" spans="1:32" x14ac:dyDescent="0.75">
      <c r="A1206" t="s">
        <v>1275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x14ac:dyDescent="0.75">
      <c r="A1207" t="s">
        <v>1276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 x14ac:dyDescent="0.75">
      <c r="A1208" t="s">
        <v>1277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x14ac:dyDescent="0.75">
      <c r="A1209" t="s">
        <v>1278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x14ac:dyDescent="0.75">
      <c r="A1210" t="s">
        <v>1279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x14ac:dyDescent="0.75">
      <c r="A1211" t="s">
        <v>1280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75">
      <c r="A1212" t="s">
        <v>1281</v>
      </c>
      <c r="B1212" s="4">
        <v>659300000000000</v>
      </c>
      <c r="C1212" s="4">
        <v>669500000000000</v>
      </c>
      <c r="D1212" s="4">
        <v>682400000000000</v>
      </c>
      <c r="E1212" s="4">
        <v>668000000000000</v>
      </c>
      <c r="F1212" s="4">
        <v>669100000000000</v>
      </c>
      <c r="G1212" s="4">
        <v>669900000000000</v>
      </c>
      <c r="H1212" s="4">
        <v>669100000000000</v>
      </c>
      <c r="I1212" s="4">
        <v>667000000000000</v>
      </c>
      <c r="J1212" s="4">
        <v>663900000000000</v>
      </c>
      <c r="K1212" s="4">
        <v>660000000000000</v>
      </c>
      <c r="L1212" s="4">
        <v>656200000000000</v>
      </c>
      <c r="M1212" s="4">
        <v>651800000000000</v>
      </c>
      <c r="N1212" s="4">
        <v>648000000000000</v>
      </c>
      <c r="O1212" s="4">
        <v>644300000000000</v>
      </c>
      <c r="P1212" s="4">
        <v>641100000000000</v>
      </c>
      <c r="Q1212" s="4">
        <v>638500000000000</v>
      </c>
      <c r="R1212" s="4">
        <v>636100000000000</v>
      </c>
      <c r="S1212" s="4">
        <v>633500000000000</v>
      </c>
      <c r="T1212" s="4">
        <v>631000000000000</v>
      </c>
      <c r="U1212" s="4">
        <v>628600000000000</v>
      </c>
      <c r="V1212" s="4">
        <v>626500000000000</v>
      </c>
      <c r="W1212" s="4">
        <v>624400000000000</v>
      </c>
      <c r="X1212" s="4">
        <v>622400000000000</v>
      </c>
      <c r="Y1212" s="4">
        <v>620400000000000</v>
      </c>
      <c r="Z1212" s="4">
        <v>618500000000000</v>
      </c>
      <c r="AA1212" s="4">
        <v>616500000000000</v>
      </c>
      <c r="AB1212" s="4">
        <v>614400000000000</v>
      </c>
      <c r="AC1212" s="4">
        <v>612200000000000</v>
      </c>
      <c r="AD1212" s="4">
        <v>609900000000000</v>
      </c>
      <c r="AE1212" s="4">
        <v>607500000000000</v>
      </c>
      <c r="AF1212" s="4">
        <v>605000000000000</v>
      </c>
    </row>
    <row r="1213" spans="1:32" x14ac:dyDescent="0.75">
      <c r="A1213" t="s">
        <v>1282</v>
      </c>
      <c r="B1213" s="4">
        <v>10960000000000</v>
      </c>
      <c r="C1213" s="4">
        <v>10480000000000</v>
      </c>
      <c r="D1213" s="4">
        <v>9804000000000</v>
      </c>
      <c r="E1213" s="4">
        <v>11200000000000</v>
      </c>
      <c r="F1213" s="4">
        <v>11210000000000</v>
      </c>
      <c r="G1213" s="4">
        <v>11220000000000</v>
      </c>
      <c r="H1213" s="4">
        <v>11220000000000</v>
      </c>
      <c r="I1213" s="4">
        <v>11200000000000</v>
      </c>
      <c r="J1213" s="4">
        <v>11170000000000</v>
      </c>
      <c r="K1213" s="4">
        <v>11130000000000</v>
      </c>
      <c r="L1213" s="4">
        <v>11090000000000</v>
      </c>
      <c r="M1213" s="4">
        <v>11040000000000</v>
      </c>
      <c r="N1213" s="4">
        <v>11000000000000</v>
      </c>
      <c r="O1213" s="4">
        <v>10950000000000</v>
      </c>
      <c r="P1213" s="4">
        <v>10920000000000</v>
      </c>
      <c r="Q1213" s="4">
        <v>10910000000000</v>
      </c>
      <c r="R1213" s="4">
        <v>10920000000000</v>
      </c>
      <c r="S1213" s="4">
        <v>10950000000000</v>
      </c>
      <c r="T1213" s="4">
        <v>10990000000000</v>
      </c>
      <c r="U1213" s="4">
        <v>11030000000000</v>
      </c>
      <c r="V1213" s="4">
        <v>11060000000000</v>
      </c>
      <c r="W1213" s="4">
        <v>11100000000000</v>
      </c>
      <c r="X1213" s="4">
        <v>11140000000000</v>
      </c>
      <c r="Y1213" s="4">
        <v>11180000000000</v>
      </c>
      <c r="Z1213" s="4">
        <v>11220000000000</v>
      </c>
      <c r="AA1213" s="4">
        <v>11270000000000</v>
      </c>
      <c r="AB1213" s="4">
        <v>11310000000000</v>
      </c>
      <c r="AC1213" s="4">
        <v>11350000000000</v>
      </c>
      <c r="AD1213" s="4">
        <v>11390000000000</v>
      </c>
      <c r="AE1213" s="4">
        <v>11440000000000</v>
      </c>
      <c r="AF1213" s="4">
        <v>11480000000000</v>
      </c>
    </row>
    <row r="1214" spans="1:32" x14ac:dyDescent="0.75">
      <c r="A1214" t="s">
        <v>1283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 x14ac:dyDescent="0.75">
      <c r="A1215" t="s">
        <v>1284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x14ac:dyDescent="0.75">
      <c r="A1216" t="s">
        <v>1285</v>
      </c>
      <c r="B1216" s="4">
        <v>215000000000000</v>
      </c>
      <c r="C1216" s="4">
        <v>212800000000000</v>
      </c>
      <c r="D1216" s="4">
        <v>212700000000000</v>
      </c>
      <c r="E1216" s="4">
        <v>213800000000000</v>
      </c>
      <c r="F1216" s="4">
        <v>216300000000000</v>
      </c>
      <c r="G1216" s="4">
        <v>219100000000000</v>
      </c>
      <c r="H1216" s="4">
        <v>221800000000000</v>
      </c>
      <c r="I1216" s="4">
        <v>224300000000000</v>
      </c>
      <c r="J1216" s="4">
        <v>226500000000000</v>
      </c>
      <c r="K1216" s="4">
        <v>228400000000000</v>
      </c>
      <c r="L1216" s="4">
        <v>230500000000000</v>
      </c>
      <c r="M1216" s="4">
        <v>231900000000000</v>
      </c>
      <c r="N1216" s="4">
        <v>233500000000000</v>
      </c>
      <c r="O1216" s="4">
        <v>235100000000000</v>
      </c>
      <c r="P1216" s="4">
        <v>236800000000000</v>
      </c>
      <c r="Q1216" s="4">
        <v>238700000000000</v>
      </c>
      <c r="R1216" s="4">
        <v>240500000000000</v>
      </c>
      <c r="S1216" s="4">
        <v>242100000000000</v>
      </c>
      <c r="T1216" s="4">
        <v>243600000000000</v>
      </c>
      <c r="U1216" s="4">
        <v>245000000000000</v>
      </c>
      <c r="V1216" s="4">
        <v>246400000000000</v>
      </c>
      <c r="W1216" s="4">
        <v>247800000000000</v>
      </c>
      <c r="X1216" s="4">
        <v>249200000000000</v>
      </c>
      <c r="Y1216" s="4">
        <v>250600000000000</v>
      </c>
      <c r="Z1216" s="4">
        <v>252100000000000</v>
      </c>
      <c r="AA1216" s="4">
        <v>253700000000000</v>
      </c>
      <c r="AB1216" s="4">
        <v>255200000000000</v>
      </c>
      <c r="AC1216" s="4">
        <v>256800000000000</v>
      </c>
      <c r="AD1216" s="4">
        <v>258500000000000</v>
      </c>
      <c r="AE1216" s="4">
        <v>260100000000000</v>
      </c>
      <c r="AF1216" s="4">
        <v>261700000000000</v>
      </c>
    </row>
    <row r="1217" spans="1:32" x14ac:dyDescent="0.75">
      <c r="A1217" t="s">
        <v>1286</v>
      </c>
      <c r="B1217" s="4">
        <v>43620000000000</v>
      </c>
      <c r="C1217" s="4">
        <v>43160000000000</v>
      </c>
      <c r="D1217" s="4">
        <v>42850000000000</v>
      </c>
      <c r="E1217" s="4">
        <v>42740000000000</v>
      </c>
      <c r="F1217" s="4">
        <v>42850000000000</v>
      </c>
      <c r="G1217" s="4">
        <v>43010000000000</v>
      </c>
      <c r="H1217" s="4">
        <v>43140000000000</v>
      </c>
      <c r="I1217" s="4">
        <v>43230000000000</v>
      </c>
      <c r="J1217" s="4">
        <v>43210000000000</v>
      </c>
      <c r="K1217" s="4">
        <v>43100000000000</v>
      </c>
      <c r="L1217" s="4">
        <v>42980000000000</v>
      </c>
      <c r="M1217" s="4">
        <v>42730000000000</v>
      </c>
      <c r="N1217" s="4">
        <v>42540000000000</v>
      </c>
      <c r="O1217" s="4">
        <v>42380000000000</v>
      </c>
      <c r="P1217" s="4">
        <v>42270000000000</v>
      </c>
      <c r="Q1217" s="4">
        <v>42210000000000</v>
      </c>
      <c r="R1217" s="4">
        <v>42160000000000</v>
      </c>
      <c r="S1217" s="4">
        <v>42090000000000</v>
      </c>
      <c r="T1217" s="4">
        <v>42030000000000</v>
      </c>
      <c r="U1217" s="4">
        <v>41960000000000</v>
      </c>
      <c r="V1217" s="4">
        <v>41890000000000</v>
      </c>
      <c r="W1217" s="4">
        <v>41830000000000</v>
      </c>
      <c r="X1217" s="4">
        <v>41770000000000</v>
      </c>
      <c r="Y1217" s="4">
        <v>41720000000000</v>
      </c>
      <c r="Z1217" s="4">
        <v>41670000000000</v>
      </c>
      <c r="AA1217" s="4">
        <v>41620000000000</v>
      </c>
      <c r="AB1217" s="4">
        <v>41560000000000</v>
      </c>
      <c r="AC1217" s="4">
        <v>41500000000000</v>
      </c>
      <c r="AD1217" s="4">
        <v>41450000000000</v>
      </c>
      <c r="AE1217" s="4">
        <v>41390000000000</v>
      </c>
      <c r="AF1217" s="4">
        <v>41340000000000</v>
      </c>
    </row>
    <row r="1218" spans="1:32" x14ac:dyDescent="0.75">
      <c r="A1218" t="s">
        <v>1287</v>
      </c>
      <c r="B1218" s="4">
        <v>69660000000000</v>
      </c>
      <c r="C1218" s="4">
        <v>68240000000000</v>
      </c>
      <c r="D1218" s="4">
        <v>72730000000000</v>
      </c>
      <c r="E1218" s="4">
        <v>68010000000000</v>
      </c>
      <c r="F1218" s="4">
        <v>66390000000000</v>
      </c>
      <c r="G1218" s="4">
        <v>64790000000000</v>
      </c>
      <c r="H1218" s="4">
        <v>63240000000000</v>
      </c>
      <c r="I1218" s="4">
        <v>61780000000000</v>
      </c>
      <c r="J1218" s="4">
        <v>60470000000000</v>
      </c>
      <c r="K1218" s="4">
        <v>59280000000000</v>
      </c>
      <c r="L1218" s="4">
        <v>58210000000000</v>
      </c>
      <c r="M1218" s="4">
        <v>57140000000000</v>
      </c>
      <c r="N1218" s="4">
        <v>56100000000000</v>
      </c>
      <c r="O1218" s="4">
        <v>55110000000000</v>
      </c>
      <c r="P1218" s="4">
        <v>54160000000000</v>
      </c>
      <c r="Q1218" s="4">
        <v>53240000000000</v>
      </c>
      <c r="R1218" s="4">
        <v>52330000000000</v>
      </c>
      <c r="S1218" s="4">
        <v>51420000000000</v>
      </c>
      <c r="T1218" s="4">
        <v>50550000000000</v>
      </c>
      <c r="U1218" s="4">
        <v>49710000000000</v>
      </c>
      <c r="V1218" s="4">
        <v>48890000000000</v>
      </c>
      <c r="W1218" s="4">
        <v>48100000000000</v>
      </c>
      <c r="X1218" s="4">
        <v>47320000000000</v>
      </c>
      <c r="Y1218" s="4">
        <v>46520000000000</v>
      </c>
      <c r="Z1218" s="4">
        <v>45700000000000</v>
      </c>
      <c r="AA1218" s="4">
        <v>44890000000000</v>
      </c>
      <c r="AB1218" s="4">
        <v>44090000000000</v>
      </c>
      <c r="AC1218" s="4">
        <v>43310000000000</v>
      </c>
      <c r="AD1218" s="4">
        <v>42550000000000</v>
      </c>
      <c r="AE1218" s="4">
        <v>41800000000000</v>
      </c>
      <c r="AF1218" s="4">
        <v>41070000000000</v>
      </c>
    </row>
    <row r="1219" spans="1:32" x14ac:dyDescent="0.75">
      <c r="A1219" t="s">
        <v>1288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 x14ac:dyDescent="0.75">
      <c r="A1220" t="s">
        <v>1289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 x14ac:dyDescent="0.75">
      <c r="A1221" t="s">
        <v>1290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x14ac:dyDescent="0.75">
      <c r="A1222" t="s">
        <v>1291</v>
      </c>
      <c r="B1222" s="4">
        <v>9114000000000</v>
      </c>
      <c r="C1222" s="4">
        <v>8724000000000</v>
      </c>
      <c r="D1222" s="4">
        <v>8317000000000</v>
      </c>
      <c r="E1222" s="4">
        <v>7964000000000</v>
      </c>
      <c r="F1222" s="4">
        <v>7640000000000</v>
      </c>
      <c r="G1222" s="4">
        <v>7355000000000</v>
      </c>
      <c r="H1222" s="4">
        <v>7108000000000</v>
      </c>
      <c r="I1222" s="4">
        <v>6901000000000</v>
      </c>
      <c r="J1222" s="4">
        <v>6739000000000</v>
      </c>
      <c r="K1222" s="4">
        <v>6622000000000</v>
      </c>
      <c r="L1222" s="4">
        <v>6546000000000</v>
      </c>
      <c r="M1222" s="4">
        <v>6458000000000</v>
      </c>
      <c r="N1222" s="4">
        <v>6365000000000</v>
      </c>
      <c r="O1222" s="4">
        <v>6269000000000</v>
      </c>
      <c r="P1222" s="4">
        <v>6173000000000</v>
      </c>
      <c r="Q1222" s="4">
        <v>6075000000000</v>
      </c>
      <c r="R1222" s="4">
        <v>5974000000000</v>
      </c>
      <c r="S1222" s="4">
        <v>5869000000000</v>
      </c>
      <c r="T1222" s="4">
        <v>5764000000000</v>
      </c>
      <c r="U1222" s="4">
        <v>5664000000000</v>
      </c>
      <c r="V1222" s="4">
        <v>5564000000000</v>
      </c>
      <c r="W1222" s="4">
        <v>5468000000000</v>
      </c>
      <c r="X1222" s="4">
        <v>5378000000000</v>
      </c>
      <c r="Y1222" s="4">
        <v>5290000000000</v>
      </c>
      <c r="Z1222" s="4">
        <v>5203000000000</v>
      </c>
      <c r="AA1222" s="4">
        <v>5122000000000</v>
      </c>
      <c r="AB1222" s="4">
        <v>5044000000000</v>
      </c>
      <c r="AC1222" s="4">
        <v>4971000000000</v>
      </c>
      <c r="AD1222" s="4">
        <v>4904000000000</v>
      </c>
      <c r="AE1222" s="4">
        <v>4841000000000</v>
      </c>
      <c r="AF1222" s="4">
        <v>4779000000000</v>
      </c>
    </row>
    <row r="1223" spans="1:32" x14ac:dyDescent="0.75">
      <c r="A1223" t="s">
        <v>1292</v>
      </c>
      <c r="B1223" s="4">
        <v>1467000000000</v>
      </c>
      <c r="C1223" s="4">
        <v>1461000000000</v>
      </c>
      <c r="D1223" s="4">
        <v>1451000000000</v>
      </c>
      <c r="E1223" s="4">
        <v>1443000000000</v>
      </c>
      <c r="F1223" s="4">
        <v>1434000000000</v>
      </c>
      <c r="G1223" s="4">
        <v>1425000000000</v>
      </c>
      <c r="H1223" s="4">
        <v>1416000000000</v>
      </c>
      <c r="I1223" s="4">
        <v>1407000000000</v>
      </c>
      <c r="J1223" s="4">
        <v>1401000000000</v>
      </c>
      <c r="K1223" s="4">
        <v>1396000000000</v>
      </c>
      <c r="L1223" s="4">
        <v>1393000000000</v>
      </c>
      <c r="M1223" s="4">
        <v>1388000000000</v>
      </c>
      <c r="N1223" s="4">
        <v>1384000000000</v>
      </c>
      <c r="O1223" s="4">
        <v>1380000000000</v>
      </c>
      <c r="P1223" s="4">
        <v>1377000000000</v>
      </c>
      <c r="Q1223" s="4">
        <v>1373000000000</v>
      </c>
      <c r="R1223" s="4">
        <v>1370000000000</v>
      </c>
      <c r="S1223" s="4">
        <v>1365000000000</v>
      </c>
      <c r="T1223" s="4">
        <v>1361000000000</v>
      </c>
      <c r="U1223" s="4">
        <v>1358000000000</v>
      </c>
      <c r="V1223" s="4">
        <v>1354000000000</v>
      </c>
      <c r="W1223" s="4">
        <v>1350000000000</v>
      </c>
      <c r="X1223" s="4">
        <v>1347000000000</v>
      </c>
      <c r="Y1223" s="4">
        <v>1344000000000</v>
      </c>
      <c r="Z1223" s="4">
        <v>1340000000000</v>
      </c>
      <c r="AA1223" s="4">
        <v>1336000000000</v>
      </c>
      <c r="AB1223" s="4">
        <v>1332000000000</v>
      </c>
      <c r="AC1223" s="4">
        <v>1329000000000</v>
      </c>
      <c r="AD1223" s="4">
        <v>1326000000000</v>
      </c>
      <c r="AE1223" s="4">
        <v>1324000000000</v>
      </c>
      <c r="AF1223" s="4">
        <v>1322000000000</v>
      </c>
    </row>
    <row r="1224" spans="1:32" x14ac:dyDescent="0.75">
      <c r="A1224" t="s">
        <v>1293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x14ac:dyDescent="0.75">
      <c r="A1225" t="s">
        <v>1294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 x14ac:dyDescent="0.75">
      <c r="A1226" t="s">
        <v>1295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x14ac:dyDescent="0.75">
      <c r="A1227" t="s">
        <v>1296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 x14ac:dyDescent="0.75">
      <c r="A1228" t="s">
        <v>1297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75">
      <c r="A1229" t="s">
        <v>1298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75">
      <c r="A1230" t="s">
        <v>1299</v>
      </c>
      <c r="B1230" s="4">
        <v>85520000000000</v>
      </c>
      <c r="C1230" s="4">
        <v>86690000000000</v>
      </c>
      <c r="D1230" s="4">
        <v>90420000000000</v>
      </c>
      <c r="E1230" s="4">
        <v>84770000000000</v>
      </c>
      <c r="F1230" s="4">
        <v>84280000000000</v>
      </c>
      <c r="G1230" s="4">
        <v>83880000000000</v>
      </c>
      <c r="H1230" s="4">
        <v>83400000000000</v>
      </c>
      <c r="I1230" s="4">
        <v>82710000000000</v>
      </c>
      <c r="J1230" s="4">
        <v>81860000000000</v>
      </c>
      <c r="K1230" s="4">
        <v>80770000000000</v>
      </c>
      <c r="L1230" s="4">
        <v>79370000000000</v>
      </c>
      <c r="M1230" s="4">
        <v>78120000000000</v>
      </c>
      <c r="N1230" s="4">
        <v>76890000000000</v>
      </c>
      <c r="O1230" s="4">
        <v>75560000000000</v>
      </c>
      <c r="P1230" s="4">
        <v>74170000000000</v>
      </c>
      <c r="Q1230" s="4">
        <v>72790000000000</v>
      </c>
      <c r="R1230" s="4">
        <v>71450000000000</v>
      </c>
      <c r="S1230" s="4">
        <v>70280000000000</v>
      </c>
      <c r="T1230" s="4">
        <v>69160000000000</v>
      </c>
      <c r="U1230" s="4">
        <v>67990000000000</v>
      </c>
      <c r="V1230" s="4">
        <v>66900000000000</v>
      </c>
      <c r="W1230" s="4">
        <v>65860000000000</v>
      </c>
      <c r="X1230" s="4">
        <v>64830000000000</v>
      </c>
      <c r="Y1230" s="4">
        <v>63960000000000</v>
      </c>
      <c r="Z1230" s="4">
        <v>63260000000000</v>
      </c>
      <c r="AA1230" s="4">
        <v>62570000000000</v>
      </c>
      <c r="AB1230" s="4">
        <v>61960000000000</v>
      </c>
      <c r="AC1230" s="4">
        <v>61250000000000</v>
      </c>
      <c r="AD1230" s="4">
        <v>60430000000000</v>
      </c>
      <c r="AE1230" s="4">
        <v>59560000000000</v>
      </c>
      <c r="AF1230" s="4">
        <v>58680000000000</v>
      </c>
    </row>
    <row r="1231" spans="1:32" x14ac:dyDescent="0.75">
      <c r="A1231" t="s">
        <v>1300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x14ac:dyDescent="0.75">
      <c r="A1232" t="s">
        <v>1301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 x14ac:dyDescent="0.75">
      <c r="A1233" t="s">
        <v>1302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x14ac:dyDescent="0.75">
      <c r="A1234" t="s">
        <v>1303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 x14ac:dyDescent="0.75">
      <c r="A1235" t="s">
        <v>1304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</row>
    <row r="1236" spans="1:32" x14ac:dyDescent="0.75">
      <c r="A1236" t="s">
        <v>1305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x14ac:dyDescent="0.75">
      <c r="A1237" t="s">
        <v>1306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x14ac:dyDescent="0.75">
      <c r="A1238" t="s">
        <v>1307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x14ac:dyDescent="0.75">
      <c r="A1239" t="s">
        <v>1308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 x14ac:dyDescent="0.75">
      <c r="A1240" t="s">
        <v>1309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x14ac:dyDescent="0.75">
      <c r="A1241" t="s">
        <v>1310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 x14ac:dyDescent="0.75">
      <c r="A1242" t="s">
        <v>1311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 x14ac:dyDescent="0.75">
      <c r="A1243" t="s">
        <v>1312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x14ac:dyDescent="0.75">
      <c r="A1244" t="s">
        <v>1313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x14ac:dyDescent="0.75">
      <c r="A1245" t="s">
        <v>1314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 x14ac:dyDescent="0.75">
      <c r="A1246" t="s">
        <v>1315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 x14ac:dyDescent="0.75">
      <c r="A1247" t="s">
        <v>1316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x14ac:dyDescent="0.75">
      <c r="A1248" t="s">
        <v>1317</v>
      </c>
      <c r="B1248" s="4">
        <v>56230000000000</v>
      </c>
      <c r="C1248" s="4">
        <v>60780000000000</v>
      </c>
      <c r="D1248" s="4">
        <v>61860000000000</v>
      </c>
      <c r="E1248" s="4">
        <v>58660000000000</v>
      </c>
      <c r="F1248" s="4">
        <v>57990000000000</v>
      </c>
      <c r="G1248" s="4">
        <v>57420000000000</v>
      </c>
      <c r="H1248" s="4">
        <v>56810000000000</v>
      </c>
      <c r="I1248" s="4">
        <v>56160000000000</v>
      </c>
      <c r="J1248" s="4">
        <v>55460000000000</v>
      </c>
      <c r="K1248" s="4">
        <v>54750000000000</v>
      </c>
      <c r="L1248" s="4">
        <v>54050000000000</v>
      </c>
      <c r="M1248" s="4">
        <v>53360000000000</v>
      </c>
      <c r="N1248" s="4">
        <v>52720000000000</v>
      </c>
      <c r="O1248" s="4">
        <v>52110000000000</v>
      </c>
      <c r="P1248" s="4">
        <v>51540000000000</v>
      </c>
      <c r="Q1248" s="4">
        <v>51030000000000</v>
      </c>
      <c r="R1248" s="4">
        <v>50550000000000</v>
      </c>
      <c r="S1248" s="4">
        <v>50070000000000</v>
      </c>
      <c r="T1248" s="4">
        <v>49620000000000</v>
      </c>
      <c r="U1248" s="4">
        <v>49180000000000</v>
      </c>
      <c r="V1248" s="4">
        <v>48760000000000</v>
      </c>
      <c r="W1248" s="4">
        <v>48340000000000</v>
      </c>
      <c r="X1248" s="4">
        <v>47930000000000</v>
      </c>
      <c r="Y1248" s="4">
        <v>47530000000000</v>
      </c>
      <c r="Z1248" s="4">
        <v>47120000000000</v>
      </c>
      <c r="AA1248" s="4">
        <v>46720000000000</v>
      </c>
      <c r="AB1248" s="4">
        <v>46320000000000</v>
      </c>
      <c r="AC1248" s="4">
        <v>45940000000000</v>
      </c>
      <c r="AD1248" s="4">
        <v>45560000000000</v>
      </c>
      <c r="AE1248" s="4">
        <v>45190000000000</v>
      </c>
      <c r="AF1248" s="4">
        <v>44850000000000</v>
      </c>
    </row>
    <row r="1249" spans="1:32" x14ac:dyDescent="0.75">
      <c r="A1249" t="s">
        <v>1318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 x14ac:dyDescent="0.75">
      <c r="A1250" t="s">
        <v>1319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x14ac:dyDescent="0.75">
      <c r="A1251" t="s">
        <v>1320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 x14ac:dyDescent="0.75">
      <c r="A1252" t="s">
        <v>1321</v>
      </c>
      <c r="B1252" s="4">
        <v>15400000000000</v>
      </c>
      <c r="C1252" s="4">
        <v>14980000000000</v>
      </c>
      <c r="D1252" s="4">
        <v>14450000000000</v>
      </c>
      <c r="E1252" s="4">
        <v>14020000000000</v>
      </c>
      <c r="F1252" s="4">
        <v>13690000000000</v>
      </c>
      <c r="G1252" s="4">
        <v>13400000000000</v>
      </c>
      <c r="H1252" s="4">
        <v>13150000000000</v>
      </c>
      <c r="I1252" s="4">
        <v>12900000000000</v>
      </c>
      <c r="J1252" s="4">
        <v>12670000000000</v>
      </c>
      <c r="K1252" s="4">
        <v>12450000000000</v>
      </c>
      <c r="L1252" s="4">
        <v>12270000000000</v>
      </c>
      <c r="M1252" s="4">
        <v>12060000000000</v>
      </c>
      <c r="N1252" s="4">
        <v>11850000000000</v>
      </c>
      <c r="O1252" s="4">
        <v>11630000000000</v>
      </c>
      <c r="P1252" s="4">
        <v>11430000000000</v>
      </c>
      <c r="Q1252" s="4">
        <v>11230000000000</v>
      </c>
      <c r="R1252" s="4">
        <v>11050000000000</v>
      </c>
      <c r="S1252" s="4">
        <v>10870000000000</v>
      </c>
      <c r="T1252" s="4">
        <v>10700000000000</v>
      </c>
      <c r="U1252" s="4">
        <v>10530000000000</v>
      </c>
      <c r="V1252" s="4">
        <v>10360000000000</v>
      </c>
      <c r="W1252" s="4">
        <v>10210000000000</v>
      </c>
      <c r="X1252" s="4">
        <v>10060000000000</v>
      </c>
      <c r="Y1252" s="4">
        <v>9914000000000</v>
      </c>
      <c r="Z1252" s="4">
        <v>9780000000000</v>
      </c>
      <c r="AA1252" s="4">
        <v>9657000000000</v>
      </c>
      <c r="AB1252" s="4">
        <v>9542000000000</v>
      </c>
      <c r="AC1252" s="4">
        <v>9436000000000</v>
      </c>
      <c r="AD1252" s="4">
        <v>9337000000000</v>
      </c>
      <c r="AE1252" s="4">
        <v>9245000000000</v>
      </c>
      <c r="AF1252" s="4">
        <v>9159000000000</v>
      </c>
    </row>
    <row r="1253" spans="1:32" x14ac:dyDescent="0.75">
      <c r="A1253" t="s">
        <v>1322</v>
      </c>
      <c r="B1253" s="4">
        <v>13450000000000</v>
      </c>
      <c r="C1253" s="4">
        <v>13710000000000</v>
      </c>
      <c r="D1253" s="4">
        <v>13910000000000</v>
      </c>
      <c r="E1253" s="4">
        <v>14170000000000</v>
      </c>
      <c r="F1253" s="4">
        <v>14510000000000</v>
      </c>
      <c r="G1253" s="4">
        <v>14880000000000</v>
      </c>
      <c r="H1253" s="4">
        <v>15240000000000</v>
      </c>
      <c r="I1253" s="4">
        <v>15580000000000</v>
      </c>
      <c r="J1253" s="4">
        <v>15900000000000</v>
      </c>
      <c r="K1253" s="4">
        <v>16220000000000</v>
      </c>
      <c r="L1253" s="4">
        <v>16530000000000</v>
      </c>
      <c r="M1253" s="4">
        <v>16830000000000</v>
      </c>
      <c r="N1253" s="4">
        <v>17130000000000</v>
      </c>
      <c r="O1253" s="4">
        <v>17450000000000</v>
      </c>
      <c r="P1253" s="4">
        <v>17780000000000</v>
      </c>
      <c r="Q1253" s="4">
        <v>18110000000000</v>
      </c>
      <c r="R1253" s="4">
        <v>18460000000000</v>
      </c>
      <c r="S1253" s="4">
        <v>18800000000000</v>
      </c>
      <c r="T1253" s="4">
        <v>19150000000000</v>
      </c>
      <c r="U1253" s="4">
        <v>19500000000000</v>
      </c>
      <c r="V1253" s="4">
        <v>19850000000000</v>
      </c>
      <c r="W1253" s="4">
        <v>20200000000000</v>
      </c>
      <c r="X1253" s="4">
        <v>20550000000000</v>
      </c>
      <c r="Y1253" s="4">
        <v>20910000000000</v>
      </c>
      <c r="Z1253" s="4">
        <v>21270000000000</v>
      </c>
      <c r="AA1253" s="4">
        <v>21640000000000</v>
      </c>
      <c r="AB1253" s="4">
        <v>22010000000000</v>
      </c>
      <c r="AC1253" s="4">
        <v>22380000000000</v>
      </c>
      <c r="AD1253" s="4">
        <v>22760000000000</v>
      </c>
      <c r="AE1253" s="4">
        <v>23140000000000</v>
      </c>
      <c r="AF1253" s="4">
        <v>23540000000000</v>
      </c>
    </row>
    <row r="1254" spans="1:32" x14ac:dyDescent="0.75">
      <c r="A1254" t="s">
        <v>1323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75">
      <c r="A1255" t="s">
        <v>1324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75">
      <c r="A1256" t="s">
        <v>1325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75">
      <c r="A1257" t="s">
        <v>1326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x14ac:dyDescent="0.75">
      <c r="A1258" t="s">
        <v>1327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 x14ac:dyDescent="0.75">
      <c r="A1259" t="s">
        <v>1328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75">
      <c r="A1260" t="s">
        <v>1329</v>
      </c>
      <c r="B1260" s="4">
        <v>113100000000000</v>
      </c>
      <c r="C1260" s="4">
        <v>115400000000000</v>
      </c>
      <c r="D1260" s="4">
        <v>116900000000000</v>
      </c>
      <c r="E1260" s="4">
        <v>112700000000000</v>
      </c>
      <c r="F1260" s="4">
        <v>112500000000000</v>
      </c>
      <c r="G1260" s="4">
        <v>111900000000000</v>
      </c>
      <c r="H1260" s="4">
        <v>111100000000000</v>
      </c>
      <c r="I1260" s="4">
        <v>110100000000000</v>
      </c>
      <c r="J1260" s="4">
        <v>109000000000000</v>
      </c>
      <c r="K1260" s="4">
        <v>107800000000000</v>
      </c>
      <c r="L1260" s="4">
        <v>106400000000000</v>
      </c>
      <c r="M1260" s="4">
        <v>105200000000000</v>
      </c>
      <c r="N1260" s="4">
        <v>104000000000000</v>
      </c>
      <c r="O1260" s="4">
        <v>102700000000000</v>
      </c>
      <c r="P1260" s="4">
        <v>101300000000000</v>
      </c>
      <c r="Q1260" s="4">
        <v>100100000000000</v>
      </c>
      <c r="R1260" s="4">
        <v>98830000000000</v>
      </c>
      <c r="S1260" s="4">
        <v>97540000000000</v>
      </c>
      <c r="T1260" s="4">
        <v>96230000000000</v>
      </c>
      <c r="U1260" s="4">
        <v>94810000000000</v>
      </c>
      <c r="V1260" s="4">
        <v>93340000000000</v>
      </c>
      <c r="W1260" s="4">
        <v>91960000000000</v>
      </c>
      <c r="X1260" s="4">
        <v>90550000000000</v>
      </c>
      <c r="Y1260" s="4">
        <v>89120000000000</v>
      </c>
      <c r="Z1260" s="4">
        <v>87770000000000</v>
      </c>
      <c r="AA1260" s="4">
        <v>86360000000000</v>
      </c>
      <c r="AB1260" s="4">
        <v>84940000000000</v>
      </c>
      <c r="AC1260" s="4">
        <v>83540000000000</v>
      </c>
      <c r="AD1260" s="4">
        <v>82080000000000</v>
      </c>
      <c r="AE1260" s="4">
        <v>80630000000000</v>
      </c>
      <c r="AF1260" s="4">
        <v>79220000000000</v>
      </c>
    </row>
    <row r="1261" spans="1:32" x14ac:dyDescent="0.75">
      <c r="A1261" t="s">
        <v>1330</v>
      </c>
      <c r="B1261" s="4">
        <v>1036000000000000</v>
      </c>
      <c r="C1261" s="4">
        <v>1026000000000000</v>
      </c>
      <c r="D1261" s="4">
        <v>983300000000000</v>
      </c>
      <c r="E1261" s="4">
        <v>1044000000000000</v>
      </c>
      <c r="F1261" s="4">
        <v>1053000000000000</v>
      </c>
      <c r="G1261" s="4">
        <v>1060000000000000</v>
      </c>
      <c r="H1261" s="4">
        <v>1058000000000000</v>
      </c>
      <c r="I1261" s="4">
        <v>1053000000000000</v>
      </c>
      <c r="J1261" s="4">
        <v>1049000000000000</v>
      </c>
      <c r="K1261" s="4">
        <v>1045000000000000</v>
      </c>
      <c r="L1261" s="4">
        <v>1041000000000000</v>
      </c>
      <c r="M1261" s="4">
        <v>1039000000000000</v>
      </c>
      <c r="N1261" s="4">
        <v>1039000000000000</v>
      </c>
      <c r="O1261" s="4">
        <v>1038000000000000</v>
      </c>
      <c r="P1261" s="4">
        <v>1038000000000000</v>
      </c>
      <c r="Q1261" s="4">
        <v>1040000000000000</v>
      </c>
      <c r="R1261" s="4">
        <v>1043000000000000</v>
      </c>
      <c r="S1261" s="4">
        <v>1047000000000000</v>
      </c>
      <c r="T1261" s="4">
        <v>1052000000000000</v>
      </c>
      <c r="U1261" s="4">
        <v>1056000000000000</v>
      </c>
      <c r="V1261" s="4">
        <v>1059000000000000</v>
      </c>
      <c r="W1261" s="4">
        <v>1064000000000000</v>
      </c>
      <c r="X1261" s="4">
        <v>1070000000000000</v>
      </c>
      <c r="Y1261" s="4">
        <v>1076000000000000</v>
      </c>
      <c r="Z1261" s="4">
        <v>1083000000000000</v>
      </c>
      <c r="AA1261" s="4">
        <v>1091000000000000</v>
      </c>
      <c r="AB1261" s="4">
        <v>1098000000000000</v>
      </c>
      <c r="AC1261" s="4">
        <v>1107000000000000</v>
      </c>
      <c r="AD1261" s="4">
        <v>1115000000000000</v>
      </c>
      <c r="AE1261" s="4">
        <v>1124000000000000</v>
      </c>
      <c r="AF1261" s="4">
        <v>1135000000000000</v>
      </c>
    </row>
    <row r="1262" spans="1:32" x14ac:dyDescent="0.75">
      <c r="A1262" t="s">
        <v>1331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 x14ac:dyDescent="0.75">
      <c r="A1263" t="s">
        <v>1332</v>
      </c>
      <c r="B1263" s="4">
        <v>534800000000000</v>
      </c>
      <c r="C1263" s="4">
        <v>518300000000000</v>
      </c>
      <c r="D1263" s="4">
        <v>504900000000000</v>
      </c>
      <c r="E1263" s="4">
        <v>494900000000000</v>
      </c>
      <c r="F1263" s="4">
        <v>488000000000000</v>
      </c>
      <c r="G1263" s="4">
        <v>481900000000000</v>
      </c>
      <c r="H1263" s="4">
        <v>476200000000000</v>
      </c>
      <c r="I1263" s="4">
        <v>470800000000000</v>
      </c>
      <c r="J1263" s="4">
        <v>462800000000000</v>
      </c>
      <c r="K1263" s="4">
        <v>455700000000000</v>
      </c>
      <c r="L1263" s="4">
        <v>441500000000000</v>
      </c>
      <c r="M1263" s="4">
        <v>429500000000000</v>
      </c>
      <c r="N1263" s="4">
        <v>419100000000000</v>
      </c>
      <c r="O1263" s="4">
        <v>409900000000000</v>
      </c>
      <c r="P1263" s="4">
        <v>401800000000000</v>
      </c>
      <c r="Q1263" s="4">
        <v>395300000000000</v>
      </c>
      <c r="R1263" s="4">
        <v>389800000000000</v>
      </c>
      <c r="S1263" s="4">
        <v>385300000000000</v>
      </c>
      <c r="T1263" s="4">
        <v>381500000000000</v>
      </c>
      <c r="U1263" s="4">
        <v>377900000000000</v>
      </c>
      <c r="V1263" s="4">
        <v>372400000000000</v>
      </c>
      <c r="W1263" s="4">
        <v>368300000000000</v>
      </c>
      <c r="X1263" s="4">
        <v>364600000000000</v>
      </c>
      <c r="Y1263" s="4">
        <v>361200000000000</v>
      </c>
      <c r="Z1263" s="4">
        <v>358800000000000</v>
      </c>
      <c r="AA1263" s="4">
        <v>356600000000000</v>
      </c>
      <c r="AB1263" s="4">
        <v>354900000000000</v>
      </c>
      <c r="AC1263" s="4">
        <v>353600000000000</v>
      </c>
      <c r="AD1263" s="4">
        <v>352600000000000</v>
      </c>
      <c r="AE1263" s="4">
        <v>351900000000000</v>
      </c>
      <c r="AF1263" s="4">
        <v>351900000000000</v>
      </c>
    </row>
    <row r="1264" spans="1:32" x14ac:dyDescent="0.75">
      <c r="A1264" t="s">
        <v>1333</v>
      </c>
      <c r="B1264" s="4">
        <v>762700000000000</v>
      </c>
      <c r="C1264" s="4">
        <v>758600000000000</v>
      </c>
      <c r="D1264" s="4">
        <v>754500000000000</v>
      </c>
      <c r="E1264" s="4">
        <v>753400000000000</v>
      </c>
      <c r="F1264" s="4">
        <v>754600000000000</v>
      </c>
      <c r="G1264" s="4">
        <v>756000000000000</v>
      </c>
      <c r="H1264" s="4">
        <v>757200000000000</v>
      </c>
      <c r="I1264" s="4">
        <v>758300000000000</v>
      </c>
      <c r="J1264" s="4">
        <v>759400000000000</v>
      </c>
      <c r="K1264" s="4">
        <v>760600000000000</v>
      </c>
      <c r="L1264" s="4">
        <v>760300000000000</v>
      </c>
      <c r="M1264" s="4">
        <v>761200000000000</v>
      </c>
      <c r="N1264" s="4">
        <v>762700000000000</v>
      </c>
      <c r="O1264" s="4">
        <v>764200000000000</v>
      </c>
      <c r="P1264" s="4">
        <v>766000000000000</v>
      </c>
      <c r="Q1264" s="4">
        <v>768300000000000</v>
      </c>
      <c r="R1264" s="4">
        <v>770800000000000</v>
      </c>
      <c r="S1264" s="4">
        <v>773600000000000</v>
      </c>
      <c r="T1264" s="4">
        <v>776500000000000</v>
      </c>
      <c r="U1264" s="4">
        <v>779200000000000</v>
      </c>
      <c r="V1264" s="4">
        <v>781400000000000</v>
      </c>
      <c r="W1264" s="4">
        <v>784800000000000</v>
      </c>
      <c r="X1264" s="4">
        <v>788200000000000</v>
      </c>
      <c r="Y1264" s="4">
        <v>791600000000000</v>
      </c>
      <c r="Z1264" s="4">
        <v>795400000000000</v>
      </c>
      <c r="AA1264" s="4">
        <v>799200000000000</v>
      </c>
      <c r="AB1264" s="4">
        <v>803000000000000</v>
      </c>
      <c r="AC1264" s="4">
        <v>807000000000000</v>
      </c>
      <c r="AD1264" s="4">
        <v>810800000000000</v>
      </c>
      <c r="AE1264" s="4">
        <v>814600000000000</v>
      </c>
      <c r="AF1264" s="4">
        <v>818900000000000</v>
      </c>
    </row>
    <row r="1265" spans="1:32" x14ac:dyDescent="0.75">
      <c r="A1265" t="s">
        <v>1334</v>
      </c>
      <c r="B1265" s="4">
        <v>1773000000000000</v>
      </c>
      <c r="C1265" s="4">
        <v>1972000000000000</v>
      </c>
      <c r="D1265" s="4">
        <v>2081000000000000</v>
      </c>
      <c r="E1265" s="4">
        <v>2083000000000000</v>
      </c>
      <c r="F1265" s="4">
        <v>2088000000000000</v>
      </c>
      <c r="G1265" s="4">
        <v>2093000000000000</v>
      </c>
      <c r="H1265" s="4">
        <v>2100000000000000</v>
      </c>
      <c r="I1265" s="4">
        <v>2125000000000000</v>
      </c>
      <c r="J1265" s="4">
        <v>2151000000000000</v>
      </c>
      <c r="K1265" s="4">
        <v>2178000000000000</v>
      </c>
      <c r="L1265" s="4">
        <v>2206000000000000</v>
      </c>
      <c r="M1265" s="4">
        <v>2234000000000000</v>
      </c>
      <c r="N1265" s="4">
        <v>2264000000000000</v>
      </c>
      <c r="O1265" s="4">
        <v>2295000000000000</v>
      </c>
      <c r="P1265" s="4">
        <v>2326000000000000</v>
      </c>
      <c r="Q1265" s="4">
        <v>2359000000000000</v>
      </c>
      <c r="R1265" s="4">
        <v>2393000000000000</v>
      </c>
      <c r="S1265" s="4">
        <v>2427000000000000</v>
      </c>
      <c r="T1265" s="4">
        <v>2464000000000000</v>
      </c>
      <c r="U1265" s="4">
        <v>2501000000000000</v>
      </c>
      <c r="V1265" s="4">
        <v>2538000000000000</v>
      </c>
      <c r="W1265" s="4">
        <v>2576000000000000</v>
      </c>
      <c r="X1265" s="4">
        <v>2616000000000000</v>
      </c>
      <c r="Y1265" s="4">
        <v>2656000000000000</v>
      </c>
      <c r="Z1265" s="4">
        <v>2697000000000000</v>
      </c>
      <c r="AA1265" s="4">
        <v>2739000000000000</v>
      </c>
      <c r="AB1265" s="4">
        <v>2782000000000000</v>
      </c>
      <c r="AC1265" s="4">
        <v>2825000000000000</v>
      </c>
      <c r="AD1265" s="4">
        <v>2869000000000000</v>
      </c>
      <c r="AE1265" s="4">
        <v>2914000000000000</v>
      </c>
      <c r="AF1265" s="4">
        <v>2959000000000000</v>
      </c>
    </row>
    <row r="1266" spans="1:32" x14ac:dyDescent="0.75">
      <c r="A1266" t="s">
        <v>1335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 x14ac:dyDescent="0.75">
      <c r="A1267" t="s">
        <v>1336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 x14ac:dyDescent="0.75">
      <c r="A1268" t="s">
        <v>1337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75">
      <c r="A1269" t="s">
        <v>1338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75">
      <c r="A1270" t="s">
        <v>1339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x14ac:dyDescent="0.75">
      <c r="A1271" t="s">
        <v>1340</v>
      </c>
      <c r="B1271" s="4">
        <v>20540000000000</v>
      </c>
      <c r="C1271" s="4">
        <v>21950000000000</v>
      </c>
      <c r="D1271" s="4">
        <v>22300000000000</v>
      </c>
      <c r="E1271" s="4">
        <v>22440000000000</v>
      </c>
      <c r="F1271" s="4">
        <v>22380000000000</v>
      </c>
      <c r="G1271" s="4">
        <v>22330000000000</v>
      </c>
      <c r="H1271" s="4">
        <v>22280000000000</v>
      </c>
      <c r="I1271" s="4">
        <v>22370000000000</v>
      </c>
      <c r="J1271" s="4">
        <v>22450000000000</v>
      </c>
      <c r="K1271" s="4">
        <v>22530000000000</v>
      </c>
      <c r="L1271" s="4">
        <v>22610000000000</v>
      </c>
      <c r="M1271" s="4">
        <v>22690000000000</v>
      </c>
      <c r="N1271" s="4">
        <v>22780000000000</v>
      </c>
      <c r="O1271" s="4">
        <v>22880000000000</v>
      </c>
      <c r="P1271" s="4">
        <v>22990000000000</v>
      </c>
      <c r="Q1271" s="4">
        <v>23100000000000</v>
      </c>
      <c r="R1271" s="4">
        <v>23200000000000</v>
      </c>
      <c r="S1271" s="4">
        <v>23300000000000</v>
      </c>
      <c r="T1271" s="4">
        <v>23400000000000</v>
      </c>
      <c r="U1271" s="4">
        <v>23500000000000</v>
      </c>
      <c r="V1271" s="4">
        <v>23590000000000</v>
      </c>
      <c r="W1271" s="4">
        <v>23730000000000</v>
      </c>
      <c r="X1271" s="4">
        <v>23850000000000</v>
      </c>
      <c r="Y1271" s="4">
        <v>23950000000000</v>
      </c>
      <c r="Z1271" s="4">
        <v>24040000000000</v>
      </c>
      <c r="AA1271" s="4">
        <v>24150000000000</v>
      </c>
      <c r="AB1271" s="4">
        <v>24240000000000</v>
      </c>
      <c r="AC1271" s="4">
        <v>24350000000000</v>
      </c>
      <c r="AD1271" s="4">
        <v>24460000000000</v>
      </c>
      <c r="AE1271" s="4">
        <v>24580000000000</v>
      </c>
      <c r="AF1271" s="4">
        <v>24690000000000</v>
      </c>
    </row>
    <row r="1272" spans="1:32" x14ac:dyDescent="0.75">
      <c r="A1272" t="s">
        <v>1341</v>
      </c>
      <c r="B1272" s="4">
        <v>1622000000000000</v>
      </c>
      <c r="C1272" s="4">
        <v>1648000000000000</v>
      </c>
      <c r="D1272" s="4">
        <v>1676000000000000</v>
      </c>
      <c r="E1272" s="4">
        <v>1617000000000000</v>
      </c>
      <c r="F1272" s="4">
        <v>1628000000000000</v>
      </c>
      <c r="G1272" s="4">
        <v>1641000000000000</v>
      </c>
      <c r="H1272" s="4">
        <v>1649000000000000</v>
      </c>
      <c r="I1272" s="4">
        <v>1651000000000000</v>
      </c>
      <c r="J1272" s="4">
        <v>1649000000000000</v>
      </c>
      <c r="K1272" s="4">
        <v>1642000000000000</v>
      </c>
      <c r="L1272" s="4">
        <v>1635000000000000</v>
      </c>
      <c r="M1272" s="4">
        <v>1628000000000000</v>
      </c>
      <c r="N1272" s="4">
        <v>1624000000000000</v>
      </c>
      <c r="O1272" s="4">
        <v>1618000000000000</v>
      </c>
      <c r="P1272" s="4">
        <v>1614000000000000</v>
      </c>
      <c r="Q1272" s="4">
        <v>1612000000000000</v>
      </c>
      <c r="R1272" s="4">
        <v>1610000000000000</v>
      </c>
      <c r="S1272" s="4">
        <v>1607000000000000</v>
      </c>
      <c r="T1272" s="4">
        <v>1602000000000000</v>
      </c>
      <c r="U1272" s="4">
        <v>1596000000000000</v>
      </c>
      <c r="V1272" s="4">
        <v>1591000000000000</v>
      </c>
      <c r="W1272" s="4">
        <v>1586000000000000</v>
      </c>
      <c r="X1272" s="4">
        <v>1582000000000000</v>
      </c>
      <c r="Y1272" s="4">
        <v>1578000000000000</v>
      </c>
      <c r="Z1272" s="4">
        <v>1573000000000000</v>
      </c>
      <c r="AA1272" s="4">
        <v>1568000000000000</v>
      </c>
      <c r="AB1272" s="4">
        <v>1562000000000000</v>
      </c>
      <c r="AC1272" s="4">
        <v>1556000000000000</v>
      </c>
      <c r="AD1272" s="4">
        <v>1549000000000000</v>
      </c>
      <c r="AE1272" s="4">
        <v>1541000000000000</v>
      </c>
      <c r="AF1272" s="4">
        <v>1534000000000000</v>
      </c>
    </row>
    <row r="1273" spans="1:32" x14ac:dyDescent="0.75">
      <c r="A1273" t="s">
        <v>1342</v>
      </c>
      <c r="B1273" s="4">
        <v>27620000000000</v>
      </c>
      <c r="C1273" s="4">
        <v>24750000000000</v>
      </c>
      <c r="D1273" s="4">
        <v>21660000000000</v>
      </c>
      <c r="E1273" s="4">
        <v>26110000000000</v>
      </c>
      <c r="F1273" s="4">
        <v>26110000000000</v>
      </c>
      <c r="G1273" s="4">
        <v>26140000000000</v>
      </c>
      <c r="H1273" s="4">
        <v>26100000000000</v>
      </c>
      <c r="I1273" s="4">
        <v>25990000000000</v>
      </c>
      <c r="J1273" s="4">
        <v>25840000000000</v>
      </c>
      <c r="K1273" s="4">
        <v>25650000000000</v>
      </c>
      <c r="L1273" s="4">
        <v>25480000000000</v>
      </c>
      <c r="M1273" s="4">
        <v>25320000000000</v>
      </c>
      <c r="N1273" s="4">
        <v>25200000000000</v>
      </c>
      <c r="O1273" s="4">
        <v>25090000000000</v>
      </c>
      <c r="P1273" s="4">
        <v>25000000000000</v>
      </c>
      <c r="Q1273" s="4">
        <v>24950000000000</v>
      </c>
      <c r="R1273" s="4">
        <v>24910000000000</v>
      </c>
      <c r="S1273" s="4">
        <v>24870000000000</v>
      </c>
      <c r="T1273" s="4">
        <v>24810000000000</v>
      </c>
      <c r="U1273" s="4">
        <v>24760000000000</v>
      </c>
      <c r="V1273" s="4">
        <v>24720000000000</v>
      </c>
      <c r="W1273" s="4">
        <v>24710000000000</v>
      </c>
      <c r="X1273" s="4">
        <v>24720000000000</v>
      </c>
      <c r="Y1273" s="4">
        <v>24720000000000</v>
      </c>
      <c r="Z1273" s="4">
        <v>24730000000000</v>
      </c>
      <c r="AA1273" s="4">
        <v>24760000000000</v>
      </c>
      <c r="AB1273" s="4">
        <v>24770000000000</v>
      </c>
      <c r="AC1273" s="4">
        <v>24790000000000</v>
      </c>
      <c r="AD1273" s="4">
        <v>24820000000000</v>
      </c>
      <c r="AE1273" s="4">
        <v>24840000000000</v>
      </c>
      <c r="AF1273" s="4">
        <v>24860000000000</v>
      </c>
    </row>
    <row r="1274" spans="1:32" x14ac:dyDescent="0.75">
      <c r="A1274" t="s">
        <v>1343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</row>
    <row r="1275" spans="1:32" x14ac:dyDescent="0.75">
      <c r="A1275" t="s">
        <v>1344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x14ac:dyDescent="0.75">
      <c r="A1276" t="s">
        <v>1345</v>
      </c>
      <c r="B1276" s="4">
        <v>956900000000000</v>
      </c>
      <c r="C1276" s="4">
        <v>956300000000000</v>
      </c>
      <c r="D1276" s="4">
        <v>953000000000000</v>
      </c>
      <c r="E1276" s="4">
        <v>959800000000000</v>
      </c>
      <c r="F1276" s="4">
        <v>975600000000000</v>
      </c>
      <c r="G1276" s="4">
        <v>992100000000000</v>
      </c>
      <c r="H1276" s="4">
        <v>1006000000000000</v>
      </c>
      <c r="I1276" s="4">
        <v>1016000000000000</v>
      </c>
      <c r="J1276" s="4">
        <v>1025000000000000</v>
      </c>
      <c r="K1276" s="4">
        <v>1031000000000000</v>
      </c>
      <c r="L1276" s="4">
        <v>1038000000000000</v>
      </c>
      <c r="M1276" s="4">
        <v>1043000000000000</v>
      </c>
      <c r="N1276" s="4">
        <v>1050000000000000</v>
      </c>
      <c r="O1276" s="4">
        <v>1057000000000000</v>
      </c>
      <c r="P1276" s="4">
        <v>1066000000000000</v>
      </c>
      <c r="Q1276" s="4">
        <v>1076000000000000</v>
      </c>
      <c r="R1276" s="4">
        <v>1087000000000000</v>
      </c>
      <c r="S1276" s="4">
        <v>1096000000000000</v>
      </c>
      <c r="T1276" s="4">
        <v>1105000000000000</v>
      </c>
      <c r="U1276" s="4">
        <v>1114000000000000</v>
      </c>
      <c r="V1276" s="4">
        <v>1123000000000000</v>
      </c>
      <c r="W1276" s="4">
        <v>1133000000000000</v>
      </c>
      <c r="X1276" s="4">
        <v>1144000000000000</v>
      </c>
      <c r="Y1276" s="4">
        <v>1154000000000000</v>
      </c>
      <c r="Z1276" s="4">
        <v>1165000000000000</v>
      </c>
      <c r="AA1276" s="4">
        <v>1175000000000000</v>
      </c>
      <c r="AB1276" s="4">
        <v>1185000000000000</v>
      </c>
      <c r="AC1276" s="4">
        <v>1195000000000000</v>
      </c>
      <c r="AD1276" s="4">
        <v>1205000000000000</v>
      </c>
      <c r="AE1276" s="4">
        <v>1215000000000000</v>
      </c>
      <c r="AF1276" s="4">
        <v>1225000000000000</v>
      </c>
    </row>
    <row r="1277" spans="1:32" x14ac:dyDescent="0.75">
      <c r="A1277" t="s">
        <v>1346</v>
      </c>
      <c r="B1277" s="4">
        <v>555700000000000</v>
      </c>
      <c r="C1277" s="4">
        <v>695800000000000</v>
      </c>
      <c r="D1277" s="4">
        <v>811600000000000</v>
      </c>
      <c r="E1277" s="4">
        <v>807200000000000</v>
      </c>
      <c r="F1277" s="4">
        <v>787900000000000</v>
      </c>
      <c r="G1277" s="4">
        <v>769900000000000</v>
      </c>
      <c r="H1277" s="4">
        <v>749800000000000</v>
      </c>
      <c r="I1277" s="4">
        <v>751800000000000</v>
      </c>
      <c r="J1277" s="4">
        <v>752200000000000</v>
      </c>
      <c r="K1277" s="4">
        <v>751500000000000</v>
      </c>
      <c r="L1277" s="4">
        <v>751300000000000</v>
      </c>
      <c r="M1277" s="4">
        <v>751100000000000</v>
      </c>
      <c r="N1277" s="4">
        <v>751600000000000</v>
      </c>
      <c r="O1277" s="4">
        <v>752200000000000</v>
      </c>
      <c r="P1277" s="4">
        <v>753300000000000</v>
      </c>
      <c r="Q1277" s="4">
        <v>755000000000000</v>
      </c>
      <c r="R1277" s="4">
        <v>756800000000000</v>
      </c>
      <c r="S1277" s="4">
        <v>758200000000000</v>
      </c>
      <c r="T1277" s="4">
        <v>759400000000000</v>
      </c>
      <c r="U1277" s="4">
        <v>761000000000000</v>
      </c>
      <c r="V1277" s="4">
        <v>762500000000000</v>
      </c>
      <c r="W1277" s="4">
        <v>763800000000000</v>
      </c>
      <c r="X1277" s="4">
        <v>765700000000000</v>
      </c>
      <c r="Y1277" s="4">
        <v>767700000000000</v>
      </c>
      <c r="Z1277" s="4">
        <v>769500000000000</v>
      </c>
      <c r="AA1277" s="4">
        <v>771500000000000</v>
      </c>
      <c r="AB1277" s="4">
        <v>773200000000000</v>
      </c>
      <c r="AC1277" s="4">
        <v>774700000000000</v>
      </c>
      <c r="AD1277" s="4">
        <v>776600000000000</v>
      </c>
      <c r="AE1277" s="4">
        <v>778000000000000</v>
      </c>
      <c r="AF1277" s="4">
        <v>779500000000000</v>
      </c>
    </row>
    <row r="1278" spans="1:32" x14ac:dyDescent="0.75">
      <c r="A1278" t="s">
        <v>1347</v>
      </c>
      <c r="B1278" s="4">
        <v>208500000000000</v>
      </c>
      <c r="C1278" s="4">
        <v>206200000000000</v>
      </c>
      <c r="D1278" s="4">
        <v>214300000000000</v>
      </c>
      <c r="E1278" s="4">
        <v>206500000000000</v>
      </c>
      <c r="F1278" s="4">
        <v>205100000000000</v>
      </c>
      <c r="G1278" s="4">
        <v>204000000000000</v>
      </c>
      <c r="H1278" s="4">
        <v>203000000000000</v>
      </c>
      <c r="I1278" s="4">
        <v>202200000000000</v>
      </c>
      <c r="J1278" s="4">
        <v>200500000000000</v>
      </c>
      <c r="K1278" s="4">
        <v>198400000000000</v>
      </c>
      <c r="L1278" s="4">
        <v>196300000000000</v>
      </c>
      <c r="M1278" s="4">
        <v>194200000000000</v>
      </c>
      <c r="N1278" s="4">
        <v>192000000000000</v>
      </c>
      <c r="O1278" s="4">
        <v>189900000000000</v>
      </c>
      <c r="P1278" s="4">
        <v>187900000000000</v>
      </c>
      <c r="Q1278" s="4">
        <v>185900000000000</v>
      </c>
      <c r="R1278" s="4">
        <v>183700000000000</v>
      </c>
      <c r="S1278" s="4">
        <v>181300000000000</v>
      </c>
      <c r="T1278" s="4">
        <v>179000000000000</v>
      </c>
      <c r="U1278" s="4">
        <v>176800000000000</v>
      </c>
      <c r="V1278" s="4">
        <v>174500000000000</v>
      </c>
      <c r="W1278" s="4">
        <v>172200000000000</v>
      </c>
      <c r="X1278" s="4">
        <v>170200000000000</v>
      </c>
      <c r="Y1278" s="4">
        <v>167900000000000</v>
      </c>
      <c r="Z1278" s="4">
        <v>165600000000000</v>
      </c>
      <c r="AA1278" s="4">
        <v>163300000000000</v>
      </c>
      <c r="AB1278" s="4">
        <v>161000000000000</v>
      </c>
      <c r="AC1278" s="4">
        <v>158900000000000</v>
      </c>
      <c r="AD1278" s="4">
        <v>156900000000000</v>
      </c>
      <c r="AE1278" s="4">
        <v>155000000000000</v>
      </c>
      <c r="AF1278" s="4">
        <v>153100000000000</v>
      </c>
    </row>
    <row r="1279" spans="1:32" x14ac:dyDescent="0.75">
      <c r="A1279" t="s">
        <v>1348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 x14ac:dyDescent="0.75">
      <c r="A1280" t="s">
        <v>1349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 x14ac:dyDescent="0.75">
      <c r="A1281" t="s">
        <v>1350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x14ac:dyDescent="0.75">
      <c r="A1282" t="s">
        <v>1351</v>
      </c>
      <c r="B1282" s="4">
        <v>6524000000000</v>
      </c>
      <c r="C1282" s="4">
        <v>6482000000000</v>
      </c>
      <c r="D1282" s="4">
        <v>6397000000000</v>
      </c>
      <c r="E1282" s="4">
        <v>6385000000000</v>
      </c>
      <c r="F1282" s="4">
        <v>6394000000000</v>
      </c>
      <c r="G1282" s="4">
        <v>6408000000000</v>
      </c>
      <c r="H1282" s="4">
        <v>6420000000000</v>
      </c>
      <c r="I1282" s="4">
        <v>6431000000000</v>
      </c>
      <c r="J1282" s="4">
        <v>6414000000000</v>
      </c>
      <c r="K1282" s="4">
        <v>6382000000000</v>
      </c>
      <c r="L1282" s="4">
        <v>6354000000000</v>
      </c>
      <c r="M1282" s="4">
        <v>6324000000000</v>
      </c>
      <c r="N1282" s="4">
        <v>6296000000000</v>
      </c>
      <c r="O1282" s="4">
        <v>6271000000000</v>
      </c>
      <c r="P1282" s="4">
        <v>6248000000000</v>
      </c>
      <c r="Q1282" s="4">
        <v>6222000000000</v>
      </c>
      <c r="R1282" s="4">
        <v>6191000000000</v>
      </c>
      <c r="S1282" s="4">
        <v>6154000000000</v>
      </c>
      <c r="T1282" s="4">
        <v>6118000000000</v>
      </c>
      <c r="U1282" s="4">
        <v>6088000000000</v>
      </c>
      <c r="V1282" s="4">
        <v>6056000000000</v>
      </c>
      <c r="W1282" s="4">
        <v>6028000000000</v>
      </c>
      <c r="X1282" s="4">
        <v>6003000000000</v>
      </c>
      <c r="Y1282" s="4">
        <v>5974000000000</v>
      </c>
      <c r="Z1282" s="4">
        <v>5939000000000</v>
      </c>
      <c r="AA1282" s="4">
        <v>5907000000000</v>
      </c>
      <c r="AB1282" s="4">
        <v>5877000000000</v>
      </c>
      <c r="AC1282" s="4">
        <v>5852000000000</v>
      </c>
      <c r="AD1282" s="4">
        <v>5832000000000</v>
      </c>
      <c r="AE1282" s="4">
        <v>5815000000000</v>
      </c>
      <c r="AF1282" s="4">
        <v>5798000000000</v>
      </c>
    </row>
    <row r="1283" spans="1:32" x14ac:dyDescent="0.75">
      <c r="A1283" t="s">
        <v>1352</v>
      </c>
      <c r="B1283" s="4">
        <v>86300000000000</v>
      </c>
      <c r="C1283" s="4">
        <v>93370000000000</v>
      </c>
      <c r="D1283" s="4">
        <v>95400000000000</v>
      </c>
      <c r="E1283" s="4">
        <v>100900000000000</v>
      </c>
      <c r="F1283" s="4">
        <v>99530000000000</v>
      </c>
      <c r="G1283" s="4">
        <v>98310000000000</v>
      </c>
      <c r="H1283" s="4">
        <v>97180000000000</v>
      </c>
      <c r="I1283" s="4">
        <v>98380000000000</v>
      </c>
      <c r="J1283" s="4">
        <v>99070000000000</v>
      </c>
      <c r="K1283" s="4">
        <v>99450000000000</v>
      </c>
      <c r="L1283" s="4">
        <v>99830000000000</v>
      </c>
      <c r="M1283" s="4">
        <v>99540000000000</v>
      </c>
      <c r="N1283" s="4">
        <v>99420000000000</v>
      </c>
      <c r="O1283" s="4">
        <v>99480000000000</v>
      </c>
      <c r="P1283" s="4">
        <v>99800000000000</v>
      </c>
      <c r="Q1283" s="4">
        <v>100100000000000</v>
      </c>
      <c r="R1283" s="4">
        <v>100400000000000</v>
      </c>
      <c r="S1283" s="4">
        <v>100600000000000</v>
      </c>
      <c r="T1283" s="4">
        <v>100800000000000</v>
      </c>
      <c r="U1283" s="4">
        <v>101100000000000</v>
      </c>
      <c r="V1283" s="4">
        <v>101400000000000</v>
      </c>
      <c r="W1283" s="4">
        <v>101600000000000</v>
      </c>
      <c r="X1283" s="4">
        <v>102000000000000</v>
      </c>
      <c r="Y1283" s="4">
        <v>102200000000000</v>
      </c>
      <c r="Z1283" s="4">
        <v>102300000000000</v>
      </c>
      <c r="AA1283" s="4">
        <v>102500000000000</v>
      </c>
      <c r="AB1283" s="4">
        <v>102700000000000</v>
      </c>
      <c r="AC1283" s="4">
        <v>103100000000000</v>
      </c>
      <c r="AD1283" s="4">
        <v>103400000000000</v>
      </c>
      <c r="AE1283" s="4">
        <v>103900000000000</v>
      </c>
      <c r="AF1283" s="4">
        <v>104400000000000</v>
      </c>
    </row>
    <row r="1284" spans="1:32" x14ac:dyDescent="0.75">
      <c r="A1284" t="s">
        <v>1353</v>
      </c>
      <c r="B1284" s="4">
        <v>336400000000000</v>
      </c>
      <c r="C1284" s="4">
        <v>348200000000000</v>
      </c>
      <c r="D1284" s="4">
        <v>347200000000000</v>
      </c>
      <c r="E1284" s="4">
        <v>347900000000000</v>
      </c>
      <c r="F1284" s="4">
        <v>350800000000000</v>
      </c>
      <c r="G1284" s="4">
        <v>352800000000000</v>
      </c>
      <c r="H1284" s="4">
        <v>353300000000000</v>
      </c>
      <c r="I1284" s="4">
        <v>352600000000000</v>
      </c>
      <c r="J1284" s="4">
        <v>351600000000000</v>
      </c>
      <c r="K1284" s="4">
        <v>350000000000000</v>
      </c>
      <c r="L1284" s="4">
        <v>347800000000000</v>
      </c>
      <c r="M1284" s="4">
        <v>346400000000000</v>
      </c>
      <c r="N1284" s="4">
        <v>345300000000000</v>
      </c>
      <c r="O1284" s="4">
        <v>344300000000000</v>
      </c>
      <c r="P1284" s="4">
        <v>343300000000000</v>
      </c>
      <c r="Q1284" s="4">
        <v>342600000000000</v>
      </c>
      <c r="R1284" s="4">
        <v>342000000000000</v>
      </c>
      <c r="S1284" s="4">
        <v>341200000000000</v>
      </c>
      <c r="T1284" s="4">
        <v>340300000000000</v>
      </c>
      <c r="U1284" s="4">
        <v>339500000000000</v>
      </c>
      <c r="V1284" s="4">
        <v>338600000000000</v>
      </c>
      <c r="W1284" s="4">
        <v>337600000000000</v>
      </c>
      <c r="X1284" s="4">
        <v>336500000000000</v>
      </c>
      <c r="Y1284" s="4">
        <v>335200000000000</v>
      </c>
      <c r="Z1284" s="4">
        <v>333800000000000</v>
      </c>
      <c r="AA1284" s="4">
        <v>332400000000000</v>
      </c>
      <c r="AB1284" s="4">
        <v>331000000000000</v>
      </c>
      <c r="AC1284" s="4">
        <v>329600000000000</v>
      </c>
      <c r="AD1284" s="4">
        <v>328500000000000</v>
      </c>
      <c r="AE1284" s="4">
        <v>327100000000000</v>
      </c>
      <c r="AF1284" s="4">
        <v>325600000000000</v>
      </c>
    </row>
    <row r="1285" spans="1:32" x14ac:dyDescent="0.75">
      <c r="A1285" t="s">
        <v>1354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x14ac:dyDescent="0.75">
      <c r="A1286" t="s">
        <v>1355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 x14ac:dyDescent="0.75">
      <c r="A1287" t="s">
        <v>1356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1:32" x14ac:dyDescent="0.75">
      <c r="A1288" t="s">
        <v>1357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x14ac:dyDescent="0.75">
      <c r="A1289" t="s">
        <v>1358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x14ac:dyDescent="0.75">
      <c r="A1290" t="s">
        <v>1359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 x14ac:dyDescent="0.75">
      <c r="A1291" t="s">
        <v>1360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 x14ac:dyDescent="0.75">
      <c r="A1292" t="s">
        <v>1361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x14ac:dyDescent="0.75">
      <c r="A1293" t="s">
        <v>1362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x14ac:dyDescent="0.75">
      <c r="A1294" t="s">
        <v>1363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 x14ac:dyDescent="0.75">
      <c r="A1295" t="s">
        <v>1364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x14ac:dyDescent="0.75">
      <c r="A1296" t="s">
        <v>1365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 x14ac:dyDescent="0.75">
      <c r="A1297" t="s">
        <v>1366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75">
      <c r="A1298" t="s">
        <v>1367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 x14ac:dyDescent="0.75">
      <c r="A1299" t="s">
        <v>1368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 x14ac:dyDescent="0.75">
      <c r="A1300" t="s">
        <v>1369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1:32" x14ac:dyDescent="0.75">
      <c r="A1301" t="s">
        <v>1370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 x14ac:dyDescent="0.75">
      <c r="A1302" t="s">
        <v>1371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75">
      <c r="A1303" t="s">
        <v>1372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75">
      <c r="A1304" t="s">
        <v>1373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x14ac:dyDescent="0.75">
      <c r="A1305" t="s">
        <v>1374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 x14ac:dyDescent="0.75">
      <c r="A1306" t="s">
        <v>1375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 x14ac:dyDescent="0.75">
      <c r="A1307" t="s">
        <v>1376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 x14ac:dyDescent="0.75">
      <c r="A1308" t="s">
        <v>1377</v>
      </c>
      <c r="B1308" s="4">
        <v>345100000000000</v>
      </c>
      <c r="C1308" s="4">
        <v>359400000000000</v>
      </c>
      <c r="D1308" s="4">
        <v>367200000000000</v>
      </c>
      <c r="E1308" s="4">
        <v>359200000000000</v>
      </c>
      <c r="F1308" s="4">
        <v>358900000000000</v>
      </c>
      <c r="G1308" s="4">
        <v>358900000000000</v>
      </c>
      <c r="H1308" s="4">
        <v>358800000000000</v>
      </c>
      <c r="I1308" s="4">
        <v>358500000000000</v>
      </c>
      <c r="J1308" s="4">
        <v>358000000000000</v>
      </c>
      <c r="K1308" s="4">
        <v>357600000000000</v>
      </c>
      <c r="L1308" s="4">
        <v>357300000000000</v>
      </c>
      <c r="M1308" s="4">
        <v>357500000000000</v>
      </c>
      <c r="N1308" s="4">
        <v>357900000000000</v>
      </c>
      <c r="O1308" s="4">
        <v>358100000000000</v>
      </c>
      <c r="P1308" s="4">
        <v>358100000000000</v>
      </c>
      <c r="Q1308" s="4">
        <v>358200000000000</v>
      </c>
      <c r="R1308" s="4">
        <v>358000000000000</v>
      </c>
      <c r="S1308" s="4">
        <v>357800000000000</v>
      </c>
      <c r="T1308" s="4">
        <v>357400000000000</v>
      </c>
      <c r="U1308" s="4">
        <v>357100000000000</v>
      </c>
      <c r="V1308" s="4">
        <v>356500000000000</v>
      </c>
      <c r="W1308" s="4">
        <v>356600000000000</v>
      </c>
      <c r="X1308" s="4">
        <v>356500000000000</v>
      </c>
      <c r="Y1308" s="4">
        <v>355900000000000</v>
      </c>
      <c r="Z1308" s="4">
        <v>355300000000000</v>
      </c>
      <c r="AA1308" s="4">
        <v>354800000000000</v>
      </c>
      <c r="AB1308" s="4">
        <v>354100000000000</v>
      </c>
      <c r="AC1308" s="4">
        <v>353500000000000</v>
      </c>
      <c r="AD1308" s="4">
        <v>353000000000000</v>
      </c>
      <c r="AE1308" s="4">
        <v>352300000000000</v>
      </c>
      <c r="AF1308" s="4">
        <v>351600000000000</v>
      </c>
    </row>
    <row r="1309" spans="1:32" x14ac:dyDescent="0.75">
      <c r="A1309" t="s">
        <v>1378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x14ac:dyDescent="0.75">
      <c r="A1310" t="s">
        <v>1379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x14ac:dyDescent="0.75">
      <c r="A1311" t="s">
        <v>1380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x14ac:dyDescent="0.75">
      <c r="A1312" t="s">
        <v>1381</v>
      </c>
      <c r="B1312" s="4">
        <v>10400000000000</v>
      </c>
      <c r="C1312" s="4">
        <v>10860000000000</v>
      </c>
      <c r="D1312" s="4">
        <v>10550000000000</v>
      </c>
      <c r="E1312" s="4">
        <v>10680000000000</v>
      </c>
      <c r="F1312" s="4">
        <v>10750000000000</v>
      </c>
      <c r="G1312" s="4">
        <v>10830000000000</v>
      </c>
      <c r="H1312" s="4">
        <v>10900000000000</v>
      </c>
      <c r="I1312" s="4">
        <v>10950000000000</v>
      </c>
      <c r="J1312" s="4">
        <v>10990000000000</v>
      </c>
      <c r="K1312" s="4">
        <v>11040000000000</v>
      </c>
      <c r="L1312" s="4">
        <v>11100000000000</v>
      </c>
      <c r="M1312" s="4">
        <v>11170000000000</v>
      </c>
      <c r="N1312" s="4">
        <v>11250000000000</v>
      </c>
      <c r="O1312" s="4">
        <v>11330000000000</v>
      </c>
      <c r="P1312" s="4">
        <v>11410000000000</v>
      </c>
      <c r="Q1312" s="4">
        <v>11480000000000</v>
      </c>
      <c r="R1312" s="4">
        <v>11550000000000</v>
      </c>
      <c r="S1312" s="4">
        <v>11620000000000</v>
      </c>
      <c r="T1312" s="4">
        <v>11680000000000</v>
      </c>
      <c r="U1312" s="4">
        <v>11760000000000</v>
      </c>
      <c r="V1312" s="4">
        <v>11830000000000</v>
      </c>
      <c r="W1312" s="4">
        <v>11920000000000</v>
      </c>
      <c r="X1312" s="4">
        <v>12010000000000</v>
      </c>
      <c r="Y1312" s="4">
        <v>12090000000000</v>
      </c>
      <c r="Z1312" s="4">
        <v>12160000000000</v>
      </c>
      <c r="AA1312" s="4">
        <v>12240000000000</v>
      </c>
      <c r="AB1312" s="4">
        <v>12320000000000</v>
      </c>
      <c r="AC1312" s="4">
        <v>12410000000000</v>
      </c>
      <c r="AD1312" s="4">
        <v>12500000000000</v>
      </c>
      <c r="AE1312" s="4">
        <v>12590000000000</v>
      </c>
      <c r="AF1312" s="4">
        <v>12680000000000</v>
      </c>
    </row>
    <row r="1313" spans="1:32" x14ac:dyDescent="0.75">
      <c r="A1313" t="s">
        <v>1382</v>
      </c>
      <c r="B1313" s="4">
        <v>137600000000000</v>
      </c>
      <c r="C1313" s="4">
        <v>156400000000000</v>
      </c>
      <c r="D1313" s="4">
        <v>157400000000000</v>
      </c>
      <c r="E1313" s="4">
        <v>168700000000000</v>
      </c>
      <c r="F1313" s="4">
        <v>167400000000000</v>
      </c>
      <c r="G1313" s="4">
        <v>166100000000000</v>
      </c>
      <c r="H1313" s="4">
        <v>164900000000000</v>
      </c>
      <c r="I1313" s="4">
        <v>167500000000000</v>
      </c>
      <c r="J1313" s="4">
        <v>169700000000000</v>
      </c>
      <c r="K1313" s="4">
        <v>172000000000000</v>
      </c>
      <c r="L1313" s="4">
        <v>174300000000000</v>
      </c>
      <c r="M1313" s="4">
        <v>175800000000000</v>
      </c>
      <c r="N1313" s="4">
        <v>177700000000000</v>
      </c>
      <c r="O1313" s="4">
        <v>179800000000000</v>
      </c>
      <c r="P1313" s="4">
        <v>182200000000000</v>
      </c>
      <c r="Q1313" s="4">
        <v>184800000000000</v>
      </c>
      <c r="R1313" s="4">
        <v>187300000000000</v>
      </c>
      <c r="S1313" s="4">
        <v>189900000000000</v>
      </c>
      <c r="T1313" s="4">
        <v>192500000000000</v>
      </c>
      <c r="U1313" s="4">
        <v>195200000000000</v>
      </c>
      <c r="V1313" s="4">
        <v>197900000000000</v>
      </c>
      <c r="W1313" s="4">
        <v>201000000000000</v>
      </c>
      <c r="X1313" s="4">
        <v>204000000000000</v>
      </c>
      <c r="Y1313" s="4">
        <v>206800000000000</v>
      </c>
      <c r="Z1313" s="4">
        <v>209500000000000</v>
      </c>
      <c r="AA1313" s="4">
        <v>212400000000000</v>
      </c>
      <c r="AB1313" s="4">
        <v>215400000000000</v>
      </c>
      <c r="AC1313" s="4">
        <v>218500000000000</v>
      </c>
      <c r="AD1313" s="4">
        <v>221700000000000</v>
      </c>
      <c r="AE1313" s="4">
        <v>224900000000000</v>
      </c>
      <c r="AF1313" s="4">
        <v>228300000000000</v>
      </c>
    </row>
    <row r="1314" spans="1:32" x14ac:dyDescent="0.75">
      <c r="A1314" t="s">
        <v>1383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x14ac:dyDescent="0.75">
      <c r="A1315" t="s">
        <v>1384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 x14ac:dyDescent="0.75">
      <c r="A1316" t="s">
        <v>1385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x14ac:dyDescent="0.75">
      <c r="A1317" t="s">
        <v>1386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x14ac:dyDescent="0.75">
      <c r="A1318" t="s">
        <v>1387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x14ac:dyDescent="0.75">
      <c r="A1319" t="s">
        <v>1388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50"/>
  <sheetViews>
    <sheetView workbookViewId="0"/>
  </sheetViews>
  <sheetFormatPr defaultRowHeight="14.75" x14ac:dyDescent="0.75"/>
  <cols>
    <col min="1" max="1" width="39.54296875" customWidth="1"/>
    <col min="2" max="3" width="12" bestFit="1" customWidth="1"/>
  </cols>
  <sheetData>
    <row r="1" spans="1:31" s="3" customFormat="1" x14ac:dyDescent="0.75">
      <c r="A1" s="5" t="s">
        <v>22</v>
      </c>
    </row>
    <row r="2" spans="1:31" x14ac:dyDescent="0.75">
      <c r="A2" t="s">
        <v>30</v>
      </c>
      <c r="B2">
        <f>'Fuel Taxes'!B$1</f>
        <v>2021</v>
      </c>
      <c r="C2">
        <f>'Fuel Taxes'!C$1</f>
        <v>2022</v>
      </c>
      <c r="D2">
        <f>'Fuel Taxes'!D$1</f>
        <v>2023</v>
      </c>
      <c r="E2">
        <f>'Fuel Taxes'!E$1</f>
        <v>2024</v>
      </c>
      <c r="F2">
        <f>'Fuel Taxes'!F$1</f>
        <v>2025</v>
      </c>
      <c r="G2">
        <f>'Fuel Taxes'!G$1</f>
        <v>2026</v>
      </c>
      <c r="H2">
        <f>'Fuel Taxes'!H$1</f>
        <v>2027</v>
      </c>
      <c r="I2">
        <f>'Fuel Taxes'!I$1</f>
        <v>2028</v>
      </c>
      <c r="J2">
        <f>'Fuel Taxes'!J$1</f>
        <v>2029</v>
      </c>
      <c r="K2">
        <f>'Fuel Taxes'!K$1</f>
        <v>2030</v>
      </c>
      <c r="L2">
        <f>'Fuel Taxes'!L$1</f>
        <v>2031</v>
      </c>
      <c r="M2">
        <f>'Fuel Taxes'!M$1</f>
        <v>2032</v>
      </c>
      <c r="N2">
        <f>'Fuel Taxes'!N$1</f>
        <v>2033</v>
      </c>
      <c r="O2">
        <f>'Fuel Taxes'!O$1</f>
        <v>2034</v>
      </c>
      <c r="P2">
        <f>'Fuel Taxes'!P$1</f>
        <v>2035</v>
      </c>
      <c r="Q2">
        <f>'Fuel Taxes'!Q$1</f>
        <v>2036</v>
      </c>
      <c r="R2">
        <f>'Fuel Taxes'!R$1</f>
        <v>2037</v>
      </c>
      <c r="S2">
        <f>'Fuel Taxes'!S$1</f>
        <v>2038</v>
      </c>
      <c r="T2">
        <f>'Fuel Taxes'!T$1</f>
        <v>2039</v>
      </c>
      <c r="U2">
        <f>'Fuel Taxes'!U$1</f>
        <v>2040</v>
      </c>
      <c r="V2">
        <f>'Fuel Taxes'!V$1</f>
        <v>2041</v>
      </c>
      <c r="W2">
        <f>'Fuel Taxes'!W$1</f>
        <v>2042</v>
      </c>
      <c r="X2">
        <f>'Fuel Taxes'!X$1</f>
        <v>2043</v>
      </c>
      <c r="Y2">
        <f>'Fuel Taxes'!Y$1</f>
        <v>2044</v>
      </c>
      <c r="Z2">
        <f>'Fuel Taxes'!Z$1</f>
        <v>2045</v>
      </c>
      <c r="AA2">
        <f>'Fuel Taxes'!AA$1</f>
        <v>2046</v>
      </c>
      <c r="AB2">
        <f>'Fuel Taxes'!AB$1</f>
        <v>2047</v>
      </c>
      <c r="AC2">
        <f>'Fuel Taxes'!AC$1</f>
        <v>2048</v>
      </c>
      <c r="AD2">
        <f>'Fuel Taxes'!AD$1</f>
        <v>2049</v>
      </c>
      <c r="AE2">
        <f>'Fuel Taxes'!AE$1</f>
        <v>2050</v>
      </c>
    </row>
    <row r="3" spans="1:31" x14ac:dyDescent="0.75">
      <c r="A3" t="s">
        <v>52</v>
      </c>
      <c r="B3">
        <f>'Pretax Fuel Prices'!B4+'Fuel Taxes'!B4</f>
        <v>0</v>
      </c>
      <c r="C3">
        <f>'Pretax Fuel Prices'!C4+'Fuel Taxes'!C4</f>
        <v>0</v>
      </c>
      <c r="D3">
        <f>'Pretax Fuel Prices'!D4+'Fuel Taxes'!D4</f>
        <v>0</v>
      </c>
      <c r="E3">
        <f>'Pretax Fuel Prices'!E4+'Fuel Taxes'!E4</f>
        <v>0</v>
      </c>
      <c r="F3">
        <f>'Pretax Fuel Prices'!F4+'Fuel Taxes'!F4</f>
        <v>0</v>
      </c>
      <c r="G3">
        <f>'Pretax Fuel Prices'!G4+'Fuel Taxes'!G4</f>
        <v>0</v>
      </c>
      <c r="H3">
        <f>'Pretax Fuel Prices'!H4+'Fuel Taxes'!H4</f>
        <v>0</v>
      </c>
      <c r="I3">
        <f>'Pretax Fuel Prices'!I4+'Fuel Taxes'!I4</f>
        <v>0</v>
      </c>
      <c r="J3">
        <f>'Pretax Fuel Prices'!J4+'Fuel Taxes'!J4</f>
        <v>0</v>
      </c>
      <c r="K3">
        <f>'Pretax Fuel Prices'!K4+'Fuel Taxes'!K4</f>
        <v>0</v>
      </c>
      <c r="L3">
        <f>'Pretax Fuel Prices'!L4+'Fuel Taxes'!L4</f>
        <v>0</v>
      </c>
      <c r="M3">
        <f>'Pretax Fuel Prices'!M4+'Fuel Taxes'!M4</f>
        <v>0</v>
      </c>
      <c r="N3">
        <f>'Pretax Fuel Prices'!N4+'Fuel Taxes'!N4</f>
        <v>0</v>
      </c>
      <c r="O3">
        <f>'Pretax Fuel Prices'!O4+'Fuel Taxes'!O4</f>
        <v>0</v>
      </c>
      <c r="P3">
        <f>'Pretax Fuel Prices'!P4+'Fuel Taxes'!P4</f>
        <v>0</v>
      </c>
      <c r="Q3">
        <f>'Pretax Fuel Prices'!Q4+'Fuel Taxes'!Q4</f>
        <v>0</v>
      </c>
      <c r="R3">
        <f>'Pretax Fuel Prices'!R4+'Fuel Taxes'!R4</f>
        <v>0</v>
      </c>
      <c r="S3">
        <f>'Pretax Fuel Prices'!S4+'Fuel Taxes'!S4</f>
        <v>0</v>
      </c>
      <c r="T3">
        <f>'Pretax Fuel Prices'!T4+'Fuel Taxes'!T4</f>
        <v>0</v>
      </c>
      <c r="U3">
        <f>'Pretax Fuel Prices'!U4+'Fuel Taxes'!U4</f>
        <v>0</v>
      </c>
      <c r="V3">
        <f>'Pretax Fuel Prices'!V4+'Fuel Taxes'!V4</f>
        <v>0</v>
      </c>
      <c r="W3">
        <f>'Pretax Fuel Prices'!W4+'Fuel Taxes'!W4</f>
        <v>0</v>
      </c>
      <c r="X3">
        <f>'Pretax Fuel Prices'!X4+'Fuel Taxes'!X4</f>
        <v>0</v>
      </c>
      <c r="Y3">
        <f>'Pretax Fuel Prices'!Y4+'Fuel Taxes'!Y4</f>
        <v>0</v>
      </c>
      <c r="Z3">
        <f>'Pretax Fuel Prices'!Z4+'Fuel Taxes'!Z4</f>
        <v>0</v>
      </c>
      <c r="AA3">
        <f>'Pretax Fuel Prices'!AA4+'Fuel Taxes'!AA4</f>
        <v>0</v>
      </c>
      <c r="AB3">
        <f>'Pretax Fuel Prices'!AB4+'Fuel Taxes'!AB4</f>
        <v>0</v>
      </c>
      <c r="AC3">
        <f>'Pretax Fuel Prices'!AC4+'Fuel Taxes'!AC4</f>
        <v>0</v>
      </c>
      <c r="AD3">
        <f>'Pretax Fuel Prices'!AD4+'Fuel Taxes'!AD4</f>
        <v>0</v>
      </c>
      <c r="AE3">
        <f>'Pretax Fuel Prices'!AE4+'Fuel Taxes'!AE4</f>
        <v>0</v>
      </c>
    </row>
    <row r="4" spans="1:31" x14ac:dyDescent="0.75">
      <c r="A4" t="s">
        <v>53</v>
      </c>
      <c r="B4">
        <f>'Pretax Fuel Prices'!B5+'Fuel Taxes'!B5</f>
        <v>1.7574927331196255E-6</v>
      </c>
      <c r="C4">
        <f>'Pretax Fuel Prices'!C5+'Fuel Taxes'!C5</f>
        <v>1.8672210617307895E-6</v>
      </c>
      <c r="D4">
        <f>'Pretax Fuel Prices'!D5+'Fuel Taxes'!D5</f>
        <v>2.0169138894644819E-6</v>
      </c>
      <c r="E4">
        <f>'Pretax Fuel Prices'!E5+'Fuel Taxes'!E5</f>
        <v>1.8286604265292118E-6</v>
      </c>
      <c r="F4">
        <f>'Pretax Fuel Prices'!F5+'Fuel Taxes'!F5</f>
        <v>1.7831301132685296E-6</v>
      </c>
      <c r="G4">
        <f>'Pretax Fuel Prices'!G5+'Fuel Taxes'!G5</f>
        <v>1.7449820195580674E-6</v>
      </c>
      <c r="H4">
        <f>'Pretax Fuel Prices'!H5+'Fuel Taxes'!H5</f>
        <v>1.7087348679604392E-6</v>
      </c>
      <c r="I4">
        <f>'Pretax Fuel Prices'!I5+'Fuel Taxes'!I5</f>
        <v>1.6355382635055118E-6</v>
      </c>
      <c r="J4">
        <f>'Pretax Fuel Prices'!J5+'Fuel Taxes'!J5</f>
        <v>1.6357048192406612E-6</v>
      </c>
      <c r="K4">
        <f>'Pretax Fuel Prices'!K5+'Fuel Taxes'!K5</f>
        <v>1.6512367107400719E-6</v>
      </c>
      <c r="L4">
        <f>'Pretax Fuel Prices'!L5+'Fuel Taxes'!L5</f>
        <v>1.629241896276978E-6</v>
      </c>
      <c r="M4">
        <f>'Pretax Fuel Prices'!M5+'Fuel Taxes'!M5</f>
        <v>1.5786874143788462E-6</v>
      </c>
      <c r="N4">
        <f>'Pretax Fuel Prices'!N5+'Fuel Taxes'!N5</f>
        <v>1.5815216640759164E-6</v>
      </c>
      <c r="O4">
        <f>'Pretax Fuel Prices'!O5+'Fuel Taxes'!O5</f>
        <v>1.571334267648852E-6</v>
      </c>
      <c r="P4">
        <f>'Pretax Fuel Prices'!P5+'Fuel Taxes'!P5</f>
        <v>1.5614137807279579E-6</v>
      </c>
      <c r="Q4">
        <f>'Pretax Fuel Prices'!Q5+'Fuel Taxes'!Q5</f>
        <v>1.5614325204373809E-6</v>
      </c>
      <c r="R4">
        <f>'Pretax Fuel Prices'!R5+'Fuel Taxes'!R5</f>
        <v>1.5841362913840522E-6</v>
      </c>
      <c r="S4">
        <f>'Pretax Fuel Prices'!S5+'Fuel Taxes'!S5</f>
        <v>1.58103898520518E-6</v>
      </c>
      <c r="T4">
        <f>'Pretax Fuel Prices'!T5+'Fuel Taxes'!T5</f>
        <v>1.6262079898626953E-6</v>
      </c>
      <c r="U4">
        <f>'Pretax Fuel Prices'!U5+'Fuel Taxes'!U5</f>
        <v>1.6240303305453018E-6</v>
      </c>
      <c r="V4">
        <f>'Pretax Fuel Prices'!V5+'Fuel Taxes'!V5</f>
        <v>1.6220160744885762E-6</v>
      </c>
      <c r="W4">
        <f>'Pretax Fuel Prices'!W5+'Fuel Taxes'!W5</f>
        <v>1.6209405552776932E-6</v>
      </c>
      <c r="X4">
        <f>'Pretax Fuel Prices'!X5+'Fuel Taxes'!X5</f>
        <v>1.6215319945180696E-6</v>
      </c>
      <c r="Y4">
        <f>'Pretax Fuel Prices'!Y5+'Fuel Taxes'!Y5</f>
        <v>1.6213370665125797E-6</v>
      </c>
      <c r="Z4">
        <f>'Pretax Fuel Prices'!Z5+'Fuel Taxes'!Z5</f>
        <v>1.6132066596852249E-6</v>
      </c>
      <c r="AA4">
        <f>'Pretax Fuel Prices'!AA5+'Fuel Taxes'!AA5</f>
        <v>1.3868668730413996E-6</v>
      </c>
      <c r="AB4">
        <f>'Pretax Fuel Prices'!AB5+'Fuel Taxes'!AB5</f>
        <v>1.600167674951438E-6</v>
      </c>
      <c r="AC4">
        <f>'Pretax Fuel Prices'!AC5+'Fuel Taxes'!AC5</f>
        <v>1.6000272146995035E-6</v>
      </c>
      <c r="AD4">
        <f>'Pretax Fuel Prices'!AD5+'Fuel Taxes'!AD5</f>
        <v>1.6127668894949424E-6</v>
      </c>
      <c r="AE4">
        <f>'Pretax Fuel Prices'!AE5+'Fuel Taxes'!AE5</f>
        <v>1.6102815136405814E-6</v>
      </c>
    </row>
    <row r="5" spans="1:31" x14ac:dyDescent="0.75">
      <c r="A5" t="s">
        <v>54</v>
      </c>
      <c r="B5">
        <f>'Pretax Fuel Prices'!B6+'Fuel Taxes'!B6</f>
        <v>0</v>
      </c>
      <c r="C5">
        <f>'Pretax Fuel Prices'!C6+'Fuel Taxes'!C6</f>
        <v>0</v>
      </c>
      <c r="D5">
        <f>'Pretax Fuel Prices'!D6+'Fuel Taxes'!D6</f>
        <v>0</v>
      </c>
      <c r="E5">
        <f>'Pretax Fuel Prices'!E6+'Fuel Taxes'!E6</f>
        <v>0</v>
      </c>
      <c r="F5">
        <f>'Pretax Fuel Prices'!F6+'Fuel Taxes'!F6</f>
        <v>0</v>
      </c>
      <c r="G5">
        <f>'Pretax Fuel Prices'!G6+'Fuel Taxes'!G6</f>
        <v>0</v>
      </c>
      <c r="H5">
        <f>'Pretax Fuel Prices'!H6+'Fuel Taxes'!H6</f>
        <v>0</v>
      </c>
      <c r="I5">
        <f>'Pretax Fuel Prices'!I6+'Fuel Taxes'!I6</f>
        <v>0</v>
      </c>
      <c r="J5">
        <f>'Pretax Fuel Prices'!J6+'Fuel Taxes'!J6</f>
        <v>0</v>
      </c>
      <c r="K5">
        <f>'Pretax Fuel Prices'!K6+'Fuel Taxes'!K6</f>
        <v>0</v>
      </c>
      <c r="L5">
        <f>'Pretax Fuel Prices'!L6+'Fuel Taxes'!L6</f>
        <v>0</v>
      </c>
      <c r="M5">
        <f>'Pretax Fuel Prices'!M6+'Fuel Taxes'!M6</f>
        <v>0</v>
      </c>
      <c r="N5">
        <f>'Pretax Fuel Prices'!N6+'Fuel Taxes'!N6</f>
        <v>0</v>
      </c>
      <c r="O5">
        <f>'Pretax Fuel Prices'!O6+'Fuel Taxes'!O6</f>
        <v>0</v>
      </c>
      <c r="P5">
        <f>'Pretax Fuel Prices'!P6+'Fuel Taxes'!P6</f>
        <v>0</v>
      </c>
      <c r="Q5">
        <f>'Pretax Fuel Prices'!Q6+'Fuel Taxes'!Q6</f>
        <v>0</v>
      </c>
      <c r="R5">
        <f>'Pretax Fuel Prices'!R6+'Fuel Taxes'!R6</f>
        <v>0</v>
      </c>
      <c r="S5">
        <f>'Pretax Fuel Prices'!S6+'Fuel Taxes'!S6</f>
        <v>0</v>
      </c>
      <c r="T5">
        <f>'Pretax Fuel Prices'!T6+'Fuel Taxes'!T6</f>
        <v>0</v>
      </c>
      <c r="U5">
        <f>'Pretax Fuel Prices'!U6+'Fuel Taxes'!U6</f>
        <v>0</v>
      </c>
      <c r="V5">
        <f>'Pretax Fuel Prices'!V6+'Fuel Taxes'!V6</f>
        <v>0</v>
      </c>
      <c r="W5">
        <f>'Pretax Fuel Prices'!W6+'Fuel Taxes'!W6</f>
        <v>0</v>
      </c>
      <c r="X5">
        <f>'Pretax Fuel Prices'!X6+'Fuel Taxes'!X6</f>
        <v>0</v>
      </c>
      <c r="Y5">
        <f>'Pretax Fuel Prices'!Y6+'Fuel Taxes'!Y6</f>
        <v>0</v>
      </c>
      <c r="Z5">
        <f>'Pretax Fuel Prices'!Z6+'Fuel Taxes'!Z6</f>
        <v>0</v>
      </c>
      <c r="AA5">
        <f>'Pretax Fuel Prices'!AA6+'Fuel Taxes'!AA6</f>
        <v>0</v>
      </c>
      <c r="AB5">
        <f>'Pretax Fuel Prices'!AB6+'Fuel Taxes'!AB6</f>
        <v>0</v>
      </c>
      <c r="AC5">
        <f>'Pretax Fuel Prices'!AC6+'Fuel Taxes'!AC6</f>
        <v>0</v>
      </c>
      <c r="AD5">
        <f>'Pretax Fuel Prices'!AD6+'Fuel Taxes'!AD6</f>
        <v>0</v>
      </c>
      <c r="AE5">
        <f>'Pretax Fuel Prices'!AE6+'Fuel Taxes'!AE6</f>
        <v>0</v>
      </c>
    </row>
    <row r="6" spans="1:31" x14ac:dyDescent="0.75">
      <c r="A6" t="s">
        <v>55</v>
      </c>
      <c r="B6">
        <f>'Pretax Fuel Prices'!B7+'Fuel Taxes'!B7</f>
        <v>0</v>
      </c>
      <c r="C6">
        <f>'Pretax Fuel Prices'!C7+'Fuel Taxes'!C7</f>
        <v>0</v>
      </c>
      <c r="D6">
        <f>'Pretax Fuel Prices'!D7+'Fuel Taxes'!D7</f>
        <v>0</v>
      </c>
      <c r="E6">
        <f>'Pretax Fuel Prices'!E7+'Fuel Taxes'!E7</f>
        <v>0</v>
      </c>
      <c r="F6">
        <f>'Pretax Fuel Prices'!F7+'Fuel Taxes'!F7</f>
        <v>0</v>
      </c>
      <c r="G6">
        <f>'Pretax Fuel Prices'!G7+'Fuel Taxes'!G7</f>
        <v>0</v>
      </c>
      <c r="H6">
        <f>'Pretax Fuel Prices'!H7+'Fuel Taxes'!H7</f>
        <v>0</v>
      </c>
      <c r="I6">
        <f>'Pretax Fuel Prices'!I7+'Fuel Taxes'!I7</f>
        <v>0</v>
      </c>
      <c r="J6">
        <f>'Pretax Fuel Prices'!J7+'Fuel Taxes'!J7</f>
        <v>0</v>
      </c>
      <c r="K6">
        <f>'Pretax Fuel Prices'!K7+'Fuel Taxes'!K7</f>
        <v>0</v>
      </c>
      <c r="L6">
        <f>'Pretax Fuel Prices'!L7+'Fuel Taxes'!L7</f>
        <v>0</v>
      </c>
      <c r="M6">
        <f>'Pretax Fuel Prices'!M7+'Fuel Taxes'!M7</f>
        <v>0</v>
      </c>
      <c r="N6">
        <f>'Pretax Fuel Prices'!N7+'Fuel Taxes'!N7</f>
        <v>0</v>
      </c>
      <c r="O6">
        <f>'Pretax Fuel Prices'!O7+'Fuel Taxes'!O7</f>
        <v>0</v>
      </c>
      <c r="P6">
        <f>'Pretax Fuel Prices'!P7+'Fuel Taxes'!P7</f>
        <v>0</v>
      </c>
      <c r="Q6">
        <f>'Pretax Fuel Prices'!Q7+'Fuel Taxes'!Q7</f>
        <v>0</v>
      </c>
      <c r="R6">
        <f>'Pretax Fuel Prices'!R7+'Fuel Taxes'!R7</f>
        <v>0</v>
      </c>
      <c r="S6">
        <f>'Pretax Fuel Prices'!S7+'Fuel Taxes'!S7</f>
        <v>0</v>
      </c>
      <c r="T6">
        <f>'Pretax Fuel Prices'!T7+'Fuel Taxes'!T7</f>
        <v>0</v>
      </c>
      <c r="U6">
        <f>'Pretax Fuel Prices'!U7+'Fuel Taxes'!U7</f>
        <v>0</v>
      </c>
      <c r="V6">
        <f>'Pretax Fuel Prices'!V7+'Fuel Taxes'!V7</f>
        <v>0</v>
      </c>
      <c r="W6">
        <f>'Pretax Fuel Prices'!W7+'Fuel Taxes'!W7</f>
        <v>0</v>
      </c>
      <c r="X6">
        <f>'Pretax Fuel Prices'!X7+'Fuel Taxes'!X7</f>
        <v>0</v>
      </c>
      <c r="Y6">
        <f>'Pretax Fuel Prices'!Y7+'Fuel Taxes'!Y7</f>
        <v>0</v>
      </c>
      <c r="Z6">
        <f>'Pretax Fuel Prices'!Z7+'Fuel Taxes'!Z7</f>
        <v>0</v>
      </c>
      <c r="AA6">
        <f>'Pretax Fuel Prices'!AA7+'Fuel Taxes'!AA7</f>
        <v>0</v>
      </c>
      <c r="AB6">
        <f>'Pretax Fuel Prices'!AB7+'Fuel Taxes'!AB7</f>
        <v>0</v>
      </c>
      <c r="AC6">
        <f>'Pretax Fuel Prices'!AC7+'Fuel Taxes'!AC7</f>
        <v>0</v>
      </c>
      <c r="AD6">
        <f>'Pretax Fuel Prices'!AD7+'Fuel Taxes'!AD7</f>
        <v>0</v>
      </c>
      <c r="AE6">
        <f>'Pretax Fuel Prices'!AE7+'Fuel Taxes'!AE7</f>
        <v>0</v>
      </c>
    </row>
    <row r="7" spans="1:31" x14ac:dyDescent="0.75">
      <c r="A7" t="s">
        <v>56</v>
      </c>
      <c r="B7">
        <f>'Pretax Fuel Prices'!B8+'Fuel Taxes'!B8</f>
        <v>5.2453030326525088E-6</v>
      </c>
      <c r="C7">
        <f>'Pretax Fuel Prices'!C8+'Fuel Taxes'!C8</f>
        <v>5.5727913482430881E-6</v>
      </c>
      <c r="D7">
        <f>'Pretax Fuel Prices'!D8+'Fuel Taxes'!D8</f>
        <v>6.0195552116043489E-6</v>
      </c>
      <c r="E7">
        <f>'Pretax Fuel Prices'!E8+'Fuel Taxes'!E8</f>
        <v>6.0962383287259457E-6</v>
      </c>
      <c r="F7">
        <f>'Pretax Fuel Prices'!F8+'Fuel Taxes'!F8</f>
        <v>5.8222742746886554E-6</v>
      </c>
      <c r="G7">
        <f>'Pretax Fuel Prices'!G8+'Fuel Taxes'!G8</f>
        <v>5.7673441907920387E-6</v>
      </c>
      <c r="H7">
        <f>'Pretax Fuel Prices'!H8+'Fuel Taxes'!H8</f>
        <v>5.74269073684219E-6</v>
      </c>
      <c r="I7">
        <f>'Pretax Fuel Prices'!I8+'Fuel Taxes'!I8</f>
        <v>5.7114838958737602E-6</v>
      </c>
      <c r="J7">
        <f>'Pretax Fuel Prices'!J8+'Fuel Taxes'!J8</f>
        <v>5.6982344027444395E-6</v>
      </c>
      <c r="K7">
        <f>'Pretax Fuel Prices'!K8+'Fuel Taxes'!K8</f>
        <v>5.6928369686819871E-6</v>
      </c>
      <c r="L7">
        <f>'Pretax Fuel Prices'!L8+'Fuel Taxes'!L8</f>
        <v>5.6950106073179496E-6</v>
      </c>
      <c r="M7">
        <f>'Pretax Fuel Prices'!M8+'Fuel Taxes'!M8</f>
        <v>5.7088989479741245E-6</v>
      </c>
      <c r="N7">
        <f>'Pretax Fuel Prices'!N8+'Fuel Taxes'!N8</f>
        <v>5.7039778257388129E-6</v>
      </c>
      <c r="O7">
        <f>'Pretax Fuel Prices'!O8+'Fuel Taxes'!O8</f>
        <v>5.6730673315292373E-6</v>
      </c>
      <c r="P7">
        <f>'Pretax Fuel Prices'!P8+'Fuel Taxes'!P8</f>
        <v>5.6864286974173853E-6</v>
      </c>
      <c r="Q7">
        <f>'Pretax Fuel Prices'!Q8+'Fuel Taxes'!Q8</f>
        <v>5.6849416267032004E-6</v>
      </c>
      <c r="R7">
        <f>'Pretax Fuel Prices'!R8+'Fuel Taxes'!R8</f>
        <v>5.6825920022377579E-6</v>
      </c>
      <c r="S7">
        <f>'Pretax Fuel Prices'!S8+'Fuel Taxes'!S8</f>
        <v>5.6829934931538894E-6</v>
      </c>
      <c r="T7">
        <f>'Pretax Fuel Prices'!T8+'Fuel Taxes'!T8</f>
        <v>5.6673497353418748E-6</v>
      </c>
      <c r="U7">
        <f>'Pretax Fuel Prices'!U8+'Fuel Taxes'!U8</f>
        <v>5.6626714971237094E-6</v>
      </c>
      <c r="V7">
        <f>'Pretax Fuel Prices'!V8+'Fuel Taxes'!V8</f>
        <v>5.6390584472553462E-6</v>
      </c>
      <c r="W7">
        <f>'Pretax Fuel Prices'!W8+'Fuel Taxes'!W8</f>
        <v>5.633749531373169E-6</v>
      </c>
      <c r="X7">
        <f>'Pretax Fuel Prices'!X8+'Fuel Taxes'!X8</f>
        <v>5.6250454924124371E-6</v>
      </c>
      <c r="Y7">
        <f>'Pretax Fuel Prices'!Y8+'Fuel Taxes'!Y8</f>
        <v>5.6275883301157428E-6</v>
      </c>
      <c r="Z7">
        <f>'Pretax Fuel Prices'!Z8+'Fuel Taxes'!Z8</f>
        <v>5.6368923630789923E-6</v>
      </c>
      <c r="AA7">
        <f>'Pretax Fuel Prices'!AA8+'Fuel Taxes'!AA8</f>
        <v>5.6331385911796669E-6</v>
      </c>
      <c r="AB7">
        <f>'Pretax Fuel Prices'!AB8+'Fuel Taxes'!AB8</f>
        <v>5.6271284034354974E-6</v>
      </c>
      <c r="AC7">
        <f>'Pretax Fuel Prices'!AC8+'Fuel Taxes'!AC8</f>
        <v>5.6263034105368496E-6</v>
      </c>
      <c r="AD7">
        <f>'Pretax Fuel Prices'!AD8+'Fuel Taxes'!AD8</f>
        <v>5.6322095748500571E-6</v>
      </c>
      <c r="AE7">
        <f>'Pretax Fuel Prices'!AE8+'Fuel Taxes'!AE8</f>
        <v>5.6277781251631418E-6</v>
      </c>
    </row>
    <row r="8" spans="1:31" x14ac:dyDescent="0.75">
      <c r="A8" t="s">
        <v>57</v>
      </c>
      <c r="B8">
        <f>'Pretax Fuel Prices'!B9+'Fuel Taxes'!B9</f>
        <v>1.7574927331196255E-6</v>
      </c>
      <c r="C8">
        <f>'Pretax Fuel Prices'!C9+'Fuel Taxes'!C9</f>
        <v>1.8672210617307895E-6</v>
      </c>
      <c r="D8">
        <f>'Pretax Fuel Prices'!D9+'Fuel Taxes'!D9</f>
        <v>2.0169138894644819E-6</v>
      </c>
      <c r="E8">
        <f>'Pretax Fuel Prices'!E9+'Fuel Taxes'!E9</f>
        <v>1.8286604265292118E-6</v>
      </c>
      <c r="F8">
        <f>'Pretax Fuel Prices'!F9+'Fuel Taxes'!F9</f>
        <v>1.7831301132685296E-6</v>
      </c>
      <c r="G8">
        <f>'Pretax Fuel Prices'!G9+'Fuel Taxes'!G9</f>
        <v>1.7449820195580674E-6</v>
      </c>
      <c r="H8">
        <f>'Pretax Fuel Prices'!H9+'Fuel Taxes'!H9</f>
        <v>1.7087348679604392E-6</v>
      </c>
      <c r="I8">
        <f>'Pretax Fuel Prices'!I9+'Fuel Taxes'!I9</f>
        <v>1.6355382635055118E-6</v>
      </c>
      <c r="J8">
        <f>'Pretax Fuel Prices'!J9+'Fuel Taxes'!J9</f>
        <v>1.6357048192406612E-6</v>
      </c>
      <c r="K8">
        <f>'Pretax Fuel Prices'!K9+'Fuel Taxes'!K9</f>
        <v>1.6512367107400719E-6</v>
      </c>
      <c r="L8">
        <f>'Pretax Fuel Prices'!L9+'Fuel Taxes'!L9</f>
        <v>1.629241896276978E-6</v>
      </c>
      <c r="M8">
        <f>'Pretax Fuel Prices'!M9+'Fuel Taxes'!M9</f>
        <v>1.5786874143788462E-6</v>
      </c>
      <c r="N8">
        <f>'Pretax Fuel Prices'!N9+'Fuel Taxes'!N9</f>
        <v>1.5815216640759164E-6</v>
      </c>
      <c r="O8">
        <f>'Pretax Fuel Prices'!O9+'Fuel Taxes'!O9</f>
        <v>1.571334267648852E-6</v>
      </c>
      <c r="P8">
        <f>'Pretax Fuel Prices'!P9+'Fuel Taxes'!P9</f>
        <v>1.5614137807279579E-6</v>
      </c>
      <c r="Q8">
        <f>'Pretax Fuel Prices'!Q9+'Fuel Taxes'!Q9</f>
        <v>1.5614325204373809E-6</v>
      </c>
      <c r="R8">
        <f>'Pretax Fuel Prices'!R9+'Fuel Taxes'!R9</f>
        <v>1.5841362913840522E-6</v>
      </c>
      <c r="S8">
        <f>'Pretax Fuel Prices'!S9+'Fuel Taxes'!S9</f>
        <v>1.58103898520518E-6</v>
      </c>
      <c r="T8">
        <f>'Pretax Fuel Prices'!T9+'Fuel Taxes'!T9</f>
        <v>1.6262079898626953E-6</v>
      </c>
      <c r="U8">
        <f>'Pretax Fuel Prices'!U9+'Fuel Taxes'!U9</f>
        <v>1.6240303305453018E-6</v>
      </c>
      <c r="V8">
        <f>'Pretax Fuel Prices'!V9+'Fuel Taxes'!V9</f>
        <v>1.6220160744885762E-6</v>
      </c>
      <c r="W8">
        <f>'Pretax Fuel Prices'!W9+'Fuel Taxes'!W9</f>
        <v>1.6209405552776932E-6</v>
      </c>
      <c r="X8">
        <f>'Pretax Fuel Prices'!X9+'Fuel Taxes'!X9</f>
        <v>1.6215319945180696E-6</v>
      </c>
      <c r="Y8">
        <f>'Pretax Fuel Prices'!Y9+'Fuel Taxes'!Y9</f>
        <v>1.6213370665125797E-6</v>
      </c>
      <c r="Z8">
        <f>'Pretax Fuel Prices'!Z9+'Fuel Taxes'!Z9</f>
        <v>1.6132066596852249E-6</v>
      </c>
      <c r="AA8">
        <f>'Pretax Fuel Prices'!AA9+'Fuel Taxes'!AA9</f>
        <v>1.3868668730413996E-6</v>
      </c>
      <c r="AB8">
        <f>'Pretax Fuel Prices'!AB9+'Fuel Taxes'!AB9</f>
        <v>1.600167674951438E-6</v>
      </c>
      <c r="AC8">
        <f>'Pretax Fuel Prices'!AC9+'Fuel Taxes'!AC9</f>
        <v>1.6000272146995035E-6</v>
      </c>
      <c r="AD8">
        <f>'Pretax Fuel Prices'!AD9+'Fuel Taxes'!AD9</f>
        <v>1.6127668894949424E-6</v>
      </c>
      <c r="AE8">
        <f>'Pretax Fuel Prices'!AE9+'Fuel Taxes'!AE9</f>
        <v>1.6102815136405814E-6</v>
      </c>
    </row>
    <row r="9" spans="1:31" x14ac:dyDescent="0.75">
      <c r="A9" t="s">
        <v>58</v>
      </c>
      <c r="B9">
        <f>'Pretax Fuel Prices'!B10+'Fuel Taxes'!B10</f>
        <v>0</v>
      </c>
      <c r="C9">
        <f>'Pretax Fuel Prices'!C10+'Fuel Taxes'!C10</f>
        <v>0</v>
      </c>
      <c r="D9">
        <f>'Pretax Fuel Prices'!D10+'Fuel Taxes'!D10</f>
        <v>0</v>
      </c>
      <c r="E9">
        <f>'Pretax Fuel Prices'!E10+'Fuel Taxes'!E10</f>
        <v>0</v>
      </c>
      <c r="F9">
        <f>'Pretax Fuel Prices'!F10+'Fuel Taxes'!F10</f>
        <v>0</v>
      </c>
      <c r="G9">
        <f>'Pretax Fuel Prices'!G10+'Fuel Taxes'!G10</f>
        <v>0</v>
      </c>
      <c r="H9">
        <f>'Pretax Fuel Prices'!H10+'Fuel Taxes'!H10</f>
        <v>0</v>
      </c>
      <c r="I9">
        <f>'Pretax Fuel Prices'!I10+'Fuel Taxes'!I10</f>
        <v>0</v>
      </c>
      <c r="J9">
        <f>'Pretax Fuel Prices'!J10+'Fuel Taxes'!J10</f>
        <v>0</v>
      </c>
      <c r="K9">
        <f>'Pretax Fuel Prices'!K10+'Fuel Taxes'!K10</f>
        <v>0</v>
      </c>
      <c r="L9">
        <f>'Pretax Fuel Prices'!L10+'Fuel Taxes'!L10</f>
        <v>0</v>
      </c>
      <c r="M9">
        <f>'Pretax Fuel Prices'!M10+'Fuel Taxes'!M10</f>
        <v>0</v>
      </c>
      <c r="N9">
        <f>'Pretax Fuel Prices'!N10+'Fuel Taxes'!N10</f>
        <v>0</v>
      </c>
      <c r="O9">
        <f>'Pretax Fuel Prices'!O10+'Fuel Taxes'!O10</f>
        <v>0</v>
      </c>
      <c r="P9">
        <f>'Pretax Fuel Prices'!P10+'Fuel Taxes'!P10</f>
        <v>0</v>
      </c>
      <c r="Q9">
        <f>'Pretax Fuel Prices'!Q10+'Fuel Taxes'!Q10</f>
        <v>0</v>
      </c>
      <c r="R9">
        <f>'Pretax Fuel Prices'!R10+'Fuel Taxes'!R10</f>
        <v>0</v>
      </c>
      <c r="S9">
        <f>'Pretax Fuel Prices'!S10+'Fuel Taxes'!S10</f>
        <v>0</v>
      </c>
      <c r="T9">
        <f>'Pretax Fuel Prices'!T10+'Fuel Taxes'!T10</f>
        <v>0</v>
      </c>
      <c r="U9">
        <f>'Pretax Fuel Prices'!U10+'Fuel Taxes'!U10</f>
        <v>0</v>
      </c>
      <c r="V9">
        <f>'Pretax Fuel Prices'!V10+'Fuel Taxes'!V10</f>
        <v>0</v>
      </c>
      <c r="W9">
        <f>'Pretax Fuel Prices'!W10+'Fuel Taxes'!W10</f>
        <v>0</v>
      </c>
      <c r="X9">
        <f>'Pretax Fuel Prices'!X10+'Fuel Taxes'!X10</f>
        <v>0</v>
      </c>
      <c r="Y9">
        <f>'Pretax Fuel Prices'!Y10+'Fuel Taxes'!Y10</f>
        <v>0</v>
      </c>
      <c r="Z9">
        <f>'Pretax Fuel Prices'!Z10+'Fuel Taxes'!Z10</f>
        <v>0</v>
      </c>
      <c r="AA9">
        <f>'Pretax Fuel Prices'!AA10+'Fuel Taxes'!AA10</f>
        <v>0</v>
      </c>
      <c r="AB9">
        <f>'Pretax Fuel Prices'!AB10+'Fuel Taxes'!AB10</f>
        <v>0</v>
      </c>
      <c r="AC9">
        <f>'Pretax Fuel Prices'!AC10+'Fuel Taxes'!AC10</f>
        <v>0</v>
      </c>
      <c r="AD9">
        <f>'Pretax Fuel Prices'!AD10+'Fuel Taxes'!AD10</f>
        <v>0</v>
      </c>
      <c r="AE9">
        <f>'Pretax Fuel Prices'!AE10+'Fuel Taxes'!AE10</f>
        <v>0</v>
      </c>
    </row>
    <row r="10" spans="1:31" x14ac:dyDescent="0.75">
      <c r="A10" t="s">
        <v>59</v>
      </c>
      <c r="B10">
        <f>'Pretax Fuel Prices'!B11+'Fuel Taxes'!B11</f>
        <v>5.2453030326525088E-6</v>
      </c>
      <c r="C10">
        <f>'Pretax Fuel Prices'!C11+'Fuel Taxes'!C11</f>
        <v>5.5727913482430881E-6</v>
      </c>
      <c r="D10">
        <f>'Pretax Fuel Prices'!D11+'Fuel Taxes'!D11</f>
        <v>6.0195552116043489E-6</v>
      </c>
      <c r="E10">
        <f>'Pretax Fuel Prices'!E11+'Fuel Taxes'!E11</f>
        <v>6.0962383287259457E-6</v>
      </c>
      <c r="F10">
        <f>'Pretax Fuel Prices'!F11+'Fuel Taxes'!F11</f>
        <v>5.8222742746886554E-6</v>
      </c>
      <c r="G10">
        <f>'Pretax Fuel Prices'!G11+'Fuel Taxes'!G11</f>
        <v>5.7673441907920387E-6</v>
      </c>
      <c r="H10">
        <f>'Pretax Fuel Prices'!H11+'Fuel Taxes'!H11</f>
        <v>5.74269073684219E-6</v>
      </c>
      <c r="I10">
        <f>'Pretax Fuel Prices'!I11+'Fuel Taxes'!I11</f>
        <v>5.7114838958737602E-6</v>
      </c>
      <c r="J10">
        <f>'Pretax Fuel Prices'!J11+'Fuel Taxes'!J11</f>
        <v>5.6982344027444395E-6</v>
      </c>
      <c r="K10">
        <f>'Pretax Fuel Prices'!K11+'Fuel Taxes'!K11</f>
        <v>5.6928369686819871E-6</v>
      </c>
      <c r="L10">
        <f>'Pretax Fuel Prices'!L11+'Fuel Taxes'!L11</f>
        <v>5.6950106073179496E-6</v>
      </c>
      <c r="M10">
        <f>'Pretax Fuel Prices'!M11+'Fuel Taxes'!M11</f>
        <v>5.7088989479741245E-6</v>
      </c>
      <c r="N10">
        <f>'Pretax Fuel Prices'!N11+'Fuel Taxes'!N11</f>
        <v>5.7039778257388129E-6</v>
      </c>
      <c r="O10">
        <f>'Pretax Fuel Prices'!O11+'Fuel Taxes'!O11</f>
        <v>5.6730673315292373E-6</v>
      </c>
      <c r="P10">
        <f>'Pretax Fuel Prices'!P11+'Fuel Taxes'!P11</f>
        <v>5.6864286974173853E-6</v>
      </c>
      <c r="Q10">
        <f>'Pretax Fuel Prices'!Q11+'Fuel Taxes'!Q11</f>
        <v>5.6849416267032004E-6</v>
      </c>
      <c r="R10">
        <f>'Pretax Fuel Prices'!R11+'Fuel Taxes'!R11</f>
        <v>5.6825920022377579E-6</v>
      </c>
      <c r="S10">
        <f>'Pretax Fuel Prices'!S11+'Fuel Taxes'!S11</f>
        <v>5.6829934931538894E-6</v>
      </c>
      <c r="T10">
        <f>'Pretax Fuel Prices'!T11+'Fuel Taxes'!T11</f>
        <v>5.6673497353418748E-6</v>
      </c>
      <c r="U10">
        <f>'Pretax Fuel Prices'!U11+'Fuel Taxes'!U11</f>
        <v>5.6626714971237094E-6</v>
      </c>
      <c r="V10">
        <f>'Pretax Fuel Prices'!V11+'Fuel Taxes'!V11</f>
        <v>5.6390584472553462E-6</v>
      </c>
      <c r="W10">
        <f>'Pretax Fuel Prices'!W11+'Fuel Taxes'!W11</f>
        <v>5.633749531373169E-6</v>
      </c>
      <c r="X10">
        <f>'Pretax Fuel Prices'!X11+'Fuel Taxes'!X11</f>
        <v>5.6250454924124371E-6</v>
      </c>
      <c r="Y10">
        <f>'Pretax Fuel Prices'!Y11+'Fuel Taxes'!Y11</f>
        <v>5.6275883301157428E-6</v>
      </c>
      <c r="Z10">
        <f>'Pretax Fuel Prices'!Z11+'Fuel Taxes'!Z11</f>
        <v>5.6368923630789923E-6</v>
      </c>
      <c r="AA10">
        <f>'Pretax Fuel Prices'!AA11+'Fuel Taxes'!AA11</f>
        <v>5.6331385911796669E-6</v>
      </c>
      <c r="AB10">
        <f>'Pretax Fuel Prices'!AB11+'Fuel Taxes'!AB11</f>
        <v>5.6271284034354974E-6</v>
      </c>
      <c r="AC10">
        <f>'Pretax Fuel Prices'!AC11+'Fuel Taxes'!AC11</f>
        <v>5.6263034105368496E-6</v>
      </c>
      <c r="AD10">
        <f>'Pretax Fuel Prices'!AD11+'Fuel Taxes'!AD11</f>
        <v>5.6322095748500571E-6</v>
      </c>
      <c r="AE10">
        <f>'Pretax Fuel Prices'!AE11+'Fuel Taxes'!AE11</f>
        <v>5.6277781251631418E-6</v>
      </c>
    </row>
    <row r="11" spans="1:31" s="3" customFormat="1" x14ac:dyDescent="0.75">
      <c r="A11" s="5" t="s">
        <v>31</v>
      </c>
    </row>
    <row r="12" spans="1:31" x14ac:dyDescent="0.75">
      <c r="A12" t="s">
        <v>30</v>
      </c>
      <c r="B12">
        <f>'Fuel Taxes'!B$1</f>
        <v>2021</v>
      </c>
      <c r="C12">
        <f>'Fuel Taxes'!C$1</f>
        <v>2022</v>
      </c>
      <c r="D12">
        <f>'Fuel Taxes'!D$1</f>
        <v>2023</v>
      </c>
      <c r="E12">
        <f>'Fuel Taxes'!E$1</f>
        <v>2024</v>
      </c>
      <c r="F12">
        <f>'Fuel Taxes'!F$1</f>
        <v>2025</v>
      </c>
      <c r="G12">
        <f>'Fuel Taxes'!G$1</f>
        <v>2026</v>
      </c>
      <c r="H12">
        <f>'Fuel Taxes'!H$1</f>
        <v>2027</v>
      </c>
      <c r="I12">
        <f>'Fuel Taxes'!I$1</f>
        <v>2028</v>
      </c>
      <c r="J12">
        <f>'Fuel Taxes'!J$1</f>
        <v>2029</v>
      </c>
      <c r="K12">
        <f>'Fuel Taxes'!K$1</f>
        <v>2030</v>
      </c>
      <c r="L12">
        <f>'Fuel Taxes'!L$1</f>
        <v>2031</v>
      </c>
      <c r="M12">
        <f>'Fuel Taxes'!M$1</f>
        <v>2032</v>
      </c>
      <c r="N12">
        <f>'Fuel Taxes'!N$1</f>
        <v>2033</v>
      </c>
      <c r="O12">
        <f>'Fuel Taxes'!O$1</f>
        <v>2034</v>
      </c>
      <c r="P12">
        <f>'Fuel Taxes'!P$1</f>
        <v>2035</v>
      </c>
      <c r="Q12">
        <f>'Fuel Taxes'!Q$1</f>
        <v>2036</v>
      </c>
      <c r="R12">
        <f>'Fuel Taxes'!R$1</f>
        <v>2037</v>
      </c>
      <c r="S12">
        <f>'Fuel Taxes'!S$1</f>
        <v>2038</v>
      </c>
      <c r="T12">
        <f>'Fuel Taxes'!T$1</f>
        <v>2039</v>
      </c>
      <c r="U12">
        <f>'Fuel Taxes'!U$1</f>
        <v>2040</v>
      </c>
      <c r="V12">
        <f>'Fuel Taxes'!V$1</f>
        <v>2041</v>
      </c>
      <c r="W12">
        <f>'Fuel Taxes'!W$1</f>
        <v>2042</v>
      </c>
      <c r="X12">
        <f>'Fuel Taxes'!X$1</f>
        <v>2043</v>
      </c>
      <c r="Y12">
        <f>'Fuel Taxes'!Y$1</f>
        <v>2044</v>
      </c>
      <c r="Z12">
        <f>'Fuel Taxes'!Z$1</f>
        <v>2045</v>
      </c>
      <c r="AA12">
        <f>'Fuel Taxes'!AA$1</f>
        <v>2046</v>
      </c>
      <c r="AB12">
        <f>'Fuel Taxes'!AB$1</f>
        <v>2047</v>
      </c>
      <c r="AC12">
        <f>'Fuel Taxes'!AC$1</f>
        <v>2048</v>
      </c>
      <c r="AD12">
        <f>'Fuel Taxes'!AD$1</f>
        <v>2049</v>
      </c>
      <c r="AE12">
        <f>'Fuel Taxes'!AE$1</f>
        <v>2050</v>
      </c>
    </row>
    <row r="13" spans="1:31" x14ac:dyDescent="0.75">
      <c r="A13" t="s">
        <v>52</v>
      </c>
      <c r="B13">
        <f>'Pretax Fuel Prices'!B14+'Fuel Taxes'!B14</f>
        <v>1.0701077573769856E-5</v>
      </c>
      <c r="C13">
        <f>'Pretax Fuel Prices'!C14+'Fuel Taxes'!C14</f>
        <v>1.7014680604732674E-5</v>
      </c>
      <c r="D13">
        <f>'Pretax Fuel Prices'!D14+'Fuel Taxes'!D14</f>
        <v>7.5123063030130466E-6</v>
      </c>
      <c r="E13">
        <f>'Pretax Fuel Prices'!E14+'Fuel Taxes'!E14</f>
        <v>1.070061200743411E-5</v>
      </c>
      <c r="F13">
        <f>'Pretax Fuel Prices'!F14+'Fuel Taxes'!F14</f>
        <v>1.2176019056851112E-5</v>
      </c>
      <c r="G13">
        <f>'Pretax Fuel Prices'!G14+'Fuel Taxes'!G14</f>
        <v>1.3115544020508886E-5</v>
      </c>
      <c r="H13">
        <f>'Pretax Fuel Prices'!H14+'Fuel Taxes'!H14</f>
        <v>1.3523882810001739E-5</v>
      </c>
      <c r="I13">
        <f>'Pretax Fuel Prices'!I14+'Fuel Taxes'!I14</f>
        <v>1.2720983504030251E-5</v>
      </c>
      <c r="J13">
        <f>'Pretax Fuel Prices'!J14+'Fuel Taxes'!J14</f>
        <v>1.1918084198058763E-5</v>
      </c>
      <c r="K13">
        <f>'Pretax Fuel Prices'!K14+'Fuel Taxes'!K14</f>
        <v>1.1115184892087276E-5</v>
      </c>
      <c r="L13">
        <f>'Pretax Fuel Prices'!L14+'Fuel Taxes'!L14</f>
        <v>1.1197876681138806E-5</v>
      </c>
      <c r="M13">
        <f>'Pretax Fuel Prices'!M14+'Fuel Taxes'!M14</f>
        <v>1.1466824626272306E-5</v>
      </c>
      <c r="N13">
        <f>'Pretax Fuel Prices'!N14+'Fuel Taxes'!N14</f>
        <v>1.1639814413860569E-5</v>
      </c>
      <c r="O13">
        <f>'Pretax Fuel Prices'!O14+'Fuel Taxes'!O14</f>
        <v>1.1723609755926336E-5</v>
      </c>
      <c r="P13">
        <f>'Pretax Fuel Prices'!P14+'Fuel Taxes'!P14</f>
        <v>1.1722470604427766E-5</v>
      </c>
      <c r="Q13">
        <f>'Pretax Fuel Prices'!Q14+'Fuel Taxes'!Q14</f>
        <v>1.1643216512147344E-5</v>
      </c>
      <c r="R13">
        <f>'Pretax Fuel Prices'!R14+'Fuel Taxes'!R14</f>
        <v>1.154355262218428E-5</v>
      </c>
      <c r="S13">
        <f>'Pretax Fuel Prices'!S14+'Fuel Taxes'!S14</f>
        <v>1.1455176941801373E-5</v>
      </c>
      <c r="T13">
        <f>'Pretax Fuel Prices'!T14+'Fuel Taxes'!T14</f>
        <v>1.1326956087310543E-5</v>
      </c>
      <c r="U13">
        <f>'Pretax Fuel Prices'!U14+'Fuel Taxes'!U14</f>
        <v>1.1273984146608242E-5</v>
      </c>
      <c r="V13">
        <f>'Pretax Fuel Prices'!V14+'Fuel Taxes'!V14</f>
        <v>1.1284416596545471E-5</v>
      </c>
      <c r="W13">
        <f>'Pretax Fuel Prices'!W14+'Fuel Taxes'!W14</f>
        <v>1.128326139082848E-5</v>
      </c>
      <c r="X13">
        <f>'Pretax Fuel Prices'!X14+'Fuel Taxes'!X14</f>
        <v>1.1282240900944358E-5</v>
      </c>
      <c r="Y13">
        <f>'Pretax Fuel Prices'!Y14+'Fuel Taxes'!Y14</f>
        <v>1.1260296878388039E-5</v>
      </c>
      <c r="Z13">
        <f>'Pretax Fuel Prices'!Z14+'Fuel Taxes'!Z14</f>
        <v>1.1243439949043444E-5</v>
      </c>
      <c r="AA13">
        <f>'Pretax Fuel Prices'!AA14+'Fuel Taxes'!AA14</f>
        <v>1.1237694632876353E-5</v>
      </c>
      <c r="AB13">
        <f>'Pretax Fuel Prices'!AB14+'Fuel Taxes'!AB14</f>
        <v>1.1184966297488392E-5</v>
      </c>
      <c r="AC13">
        <f>'Pretax Fuel Prices'!AC14+'Fuel Taxes'!AC14</f>
        <v>1.1136651476147876E-5</v>
      </c>
      <c r="AD13">
        <f>'Pretax Fuel Prices'!AD14+'Fuel Taxes'!AD14</f>
        <v>1.1130269575319822E-5</v>
      </c>
      <c r="AE13">
        <f>'Pretax Fuel Prices'!AE14+'Fuel Taxes'!AE14</f>
        <v>1.1118543015775766E-5</v>
      </c>
    </row>
    <row r="14" spans="1:31" x14ac:dyDescent="0.75">
      <c r="A14" t="s">
        <v>53</v>
      </c>
      <c r="B14">
        <f>'Pretax Fuel Prices'!B15+'Fuel Taxes'!B15</f>
        <v>3.5667248129358146E-6</v>
      </c>
      <c r="C14">
        <f>'Pretax Fuel Prices'!C15+'Fuel Taxes'!C15</f>
        <v>5.6710815409684595E-6</v>
      </c>
      <c r="D14">
        <f>'Pretax Fuel Prices'!D15+'Fuel Taxes'!D15</f>
        <v>2.503890763207639E-6</v>
      </c>
      <c r="E14">
        <f>'Pretax Fuel Prices'!E15+'Fuel Taxes'!E15</f>
        <v>2.0932797771040738E-6</v>
      </c>
      <c r="F14">
        <f>'Pretax Fuel Prices'!F15+'Fuel Taxes'!F15</f>
        <v>3.3573316102581838E-6</v>
      </c>
      <c r="G14">
        <f>'Pretax Fuel Prices'!G15+'Fuel Taxes'!G15</f>
        <v>3.61638975105011E-6</v>
      </c>
      <c r="H14">
        <f>'Pretax Fuel Prices'!H15+'Fuel Taxes'!H15</f>
        <v>3.7289822756887377E-6</v>
      </c>
      <c r="I14">
        <f>'Pretax Fuel Prices'!I15+'Fuel Taxes'!I15</f>
        <v>3.3652038541711712E-6</v>
      </c>
      <c r="J14">
        <f>'Pretax Fuel Prices'!J15+'Fuel Taxes'!J15</f>
        <v>3.0014254326536042E-6</v>
      </c>
      <c r="K14">
        <f>'Pretax Fuel Prices'!K15+'Fuel Taxes'!K15</f>
        <v>2.6376470111360376E-6</v>
      </c>
      <c r="L14">
        <f>'Pretax Fuel Prices'!L15+'Fuel Taxes'!L15</f>
        <v>2.7049379186530317E-6</v>
      </c>
      <c r="M14">
        <f>'Pretax Fuel Prices'!M15+'Fuel Taxes'!M15</f>
        <v>3.0720985920060166E-6</v>
      </c>
      <c r="N14">
        <f>'Pretax Fuel Prices'!N15+'Fuel Taxes'!N15</f>
        <v>3.299458782323161E-6</v>
      </c>
      <c r="O14">
        <f>'Pretax Fuel Prices'!O15+'Fuel Taxes'!O15</f>
        <v>3.4530889275165285E-6</v>
      </c>
      <c r="P14">
        <f>'Pretax Fuel Prices'!P15+'Fuel Taxes'!P15</f>
        <v>3.5054099743631848E-6</v>
      </c>
      <c r="Q14">
        <f>'Pretax Fuel Prices'!Q15+'Fuel Taxes'!Q15</f>
        <v>3.5018375617592268E-6</v>
      </c>
      <c r="R14">
        <f>'Pretax Fuel Prices'!R15+'Fuel Taxes'!R15</f>
        <v>3.4763291537081626E-6</v>
      </c>
      <c r="S14">
        <f>'Pretax Fuel Prices'!S15+'Fuel Taxes'!S15</f>
        <v>3.4514248728764675E-6</v>
      </c>
      <c r="T14">
        <f>'Pretax Fuel Prices'!T15+'Fuel Taxes'!T15</f>
        <v>3.4107057908787148E-6</v>
      </c>
      <c r="U14">
        <f>'Pretax Fuel Prices'!U15+'Fuel Taxes'!U15</f>
        <v>3.4333118754426236E-6</v>
      </c>
      <c r="V14">
        <f>'Pretax Fuel Prices'!V15+'Fuel Taxes'!V15</f>
        <v>3.4908962628989214E-6</v>
      </c>
      <c r="W14">
        <f>'Pretax Fuel Prices'!W15+'Fuel Taxes'!W15</f>
        <v>3.544106922849084E-6</v>
      </c>
      <c r="X14">
        <f>'Pretax Fuel Prices'!X15+'Fuel Taxes'!X15</f>
        <v>3.6078938226927925E-6</v>
      </c>
      <c r="Y14">
        <f>'Pretax Fuel Prices'!Y15+'Fuel Taxes'!Y15</f>
        <v>3.6704040631670921E-6</v>
      </c>
      <c r="Z14">
        <f>'Pretax Fuel Prices'!Z15+'Fuel Taxes'!Z15</f>
        <v>3.7031818911212274E-6</v>
      </c>
      <c r="AA14">
        <f>'Pretax Fuel Prices'!AA15+'Fuel Taxes'!AA15</f>
        <v>3.7448579441389145E-6</v>
      </c>
      <c r="AB14">
        <f>'Pretax Fuel Prices'!AB15+'Fuel Taxes'!AB15</f>
        <v>3.750939351878654E-6</v>
      </c>
      <c r="AC14">
        <f>'Pretax Fuel Prices'!AC15+'Fuel Taxes'!AC15</f>
        <v>3.7677010029269437E-6</v>
      </c>
      <c r="AD14">
        <f>'Pretax Fuel Prices'!AD15+'Fuel Taxes'!AD15</f>
        <v>3.8188891803605041E-6</v>
      </c>
      <c r="AE14">
        <f>'Pretax Fuel Prices'!AE15+'Fuel Taxes'!AE15</f>
        <v>3.8774095985518358E-6</v>
      </c>
    </row>
    <row r="15" spans="1:31" x14ac:dyDescent="0.75">
      <c r="A15" t="s">
        <v>54</v>
      </c>
      <c r="B15">
        <f>'Pretax Fuel Prices'!B16+'Fuel Taxes'!B16</f>
        <v>1.0701077573769856E-5</v>
      </c>
      <c r="C15">
        <f>'Pretax Fuel Prices'!C16+'Fuel Taxes'!C16</f>
        <v>1.7014680604732674E-5</v>
      </c>
      <c r="D15">
        <f>'Pretax Fuel Prices'!D16+'Fuel Taxes'!D16</f>
        <v>7.5123063030130466E-6</v>
      </c>
      <c r="E15">
        <f>'Pretax Fuel Prices'!E16+'Fuel Taxes'!E16</f>
        <v>1.070061200743411E-5</v>
      </c>
      <c r="F15">
        <f>'Pretax Fuel Prices'!F16+'Fuel Taxes'!F16</f>
        <v>1.2176019056851112E-5</v>
      </c>
      <c r="G15">
        <f>'Pretax Fuel Prices'!G16+'Fuel Taxes'!G16</f>
        <v>1.3115544020508886E-5</v>
      </c>
      <c r="H15">
        <f>'Pretax Fuel Prices'!H16+'Fuel Taxes'!H16</f>
        <v>1.3523882810001739E-5</v>
      </c>
      <c r="I15">
        <f>'Pretax Fuel Prices'!I16+'Fuel Taxes'!I16</f>
        <v>1.1852836751914853E-5</v>
      </c>
      <c r="J15">
        <f>'Pretax Fuel Prices'!J16+'Fuel Taxes'!J16</f>
        <v>1.0181790693827968E-5</v>
      </c>
      <c r="K15">
        <f>'Pretax Fuel Prices'!K16+'Fuel Taxes'!K16</f>
        <v>8.5107446357410801E-6</v>
      </c>
      <c r="L15">
        <f>'Pretax Fuel Prices'!L16+'Fuel Taxes'!L16</f>
        <v>8.6581014205831295E-6</v>
      </c>
      <c r="M15">
        <f>'Pretax Fuel Prices'!M16+'Fuel Taxes'!M16</f>
        <v>8.9730495875661923E-6</v>
      </c>
      <c r="N15">
        <f>'Pretax Fuel Prices'!N16+'Fuel Taxes'!N16</f>
        <v>9.2526519496568618E-6</v>
      </c>
      <c r="O15">
        <f>'Pretax Fuel Prices'!O16+'Fuel Taxes'!O16</f>
        <v>9.4428881558888579E-6</v>
      </c>
      <c r="P15">
        <f>'Pretax Fuel Prices'!P16+'Fuel Taxes'!P16</f>
        <v>9.5488515815593642E-6</v>
      </c>
      <c r="Q15">
        <f>'Pretax Fuel Prices'!Q16+'Fuel Taxes'!Q16</f>
        <v>9.5596763128337267E-6</v>
      </c>
      <c r="R15">
        <f>'Pretax Fuel Prices'!R16+'Fuel Taxes'!R16</f>
        <v>9.5502859910750212E-6</v>
      </c>
      <c r="S15">
        <f>'Pretax Fuel Prices'!S16+'Fuel Taxes'!S16</f>
        <v>9.5343595083894977E-6</v>
      </c>
      <c r="T15">
        <f>'Pretax Fuel Prices'!T16+'Fuel Taxes'!T16</f>
        <v>9.4919533374382933E-6</v>
      </c>
      <c r="U15">
        <f>'Pretax Fuel Prices'!U16+'Fuel Taxes'!U16</f>
        <v>9.5151467969936515E-6</v>
      </c>
      <c r="V15">
        <f>'Pretax Fuel Prices'!V16+'Fuel Taxes'!V16</f>
        <v>9.606676084282521E-6</v>
      </c>
      <c r="W15">
        <f>'Pretax Fuel Prices'!W16+'Fuel Taxes'!W16</f>
        <v>9.6866470323160213E-6</v>
      </c>
      <c r="X15">
        <f>'Pretax Fuel Prices'!X16+'Fuel Taxes'!X16</f>
        <v>9.7543741957684332E-6</v>
      </c>
      <c r="Y15">
        <f>'Pretax Fuel Prices'!Y16+'Fuel Taxes'!Y16</f>
        <v>9.7968173612229608E-6</v>
      </c>
      <c r="Z15">
        <f>'Pretax Fuel Prices'!Z16+'Fuel Taxes'!Z16</f>
        <v>9.8599816365956365E-6</v>
      </c>
      <c r="AA15">
        <f>'Pretax Fuel Prices'!AA16+'Fuel Taxes'!AA16</f>
        <v>9.9309035895143145E-6</v>
      </c>
      <c r="AB15">
        <f>'Pretax Fuel Prices'!AB16+'Fuel Taxes'!AB16</f>
        <v>9.9632395774570544E-6</v>
      </c>
      <c r="AC15">
        <f>'Pretax Fuel Prices'!AC16+'Fuel Taxes'!AC16</f>
        <v>9.9841121554359865E-6</v>
      </c>
      <c r="AD15">
        <f>'Pretax Fuel Prices'!AD16+'Fuel Taxes'!AD16</f>
        <v>1.0043916911101191E-5</v>
      </c>
      <c r="AE15">
        <f>'Pretax Fuel Prices'!AE16+'Fuel Taxes'!AE16</f>
        <v>1.0096513322694287E-5</v>
      </c>
    </row>
    <row r="16" spans="1:31" x14ac:dyDescent="0.75">
      <c r="A16" t="s">
        <v>55</v>
      </c>
      <c r="B16">
        <f>'Pretax Fuel Prices'!B17+'Fuel Taxes'!B17</f>
        <v>7.7443612386308703E-6</v>
      </c>
      <c r="C16">
        <f>'Pretax Fuel Prices'!C17+'Fuel Taxes'!C17</f>
        <v>1.2313510677276215E-5</v>
      </c>
      <c r="D16">
        <f>'Pretax Fuel Prices'!D17+'Fuel Taxes'!D17</f>
        <v>5.436650033112621E-6</v>
      </c>
      <c r="E16">
        <f>'Pretax Fuel Prices'!E17+'Fuel Taxes'!E17</f>
        <v>7.4069899805221061E-6</v>
      </c>
      <c r="F16">
        <f>'Pretax Fuel Prices'!F17+'Fuel Taxes'!F17</f>
        <v>8.6553850041512381E-6</v>
      </c>
      <c r="G16">
        <f>'Pretax Fuel Prices'!G17+'Fuel Taxes'!G17</f>
        <v>9.3232510976174439E-6</v>
      </c>
      <c r="H16">
        <f>'Pretax Fuel Prices'!H17+'Fuel Taxes'!H17</f>
        <v>9.6135208006039121E-6</v>
      </c>
      <c r="I16">
        <f>'Pretax Fuel Prices'!I17+'Fuel Taxes'!I17</f>
        <v>8.5989551440078106E-6</v>
      </c>
      <c r="J16">
        <f>'Pretax Fuel Prices'!J17+'Fuel Taxes'!J17</f>
        <v>7.5843894874117099E-6</v>
      </c>
      <c r="K16">
        <f>'Pretax Fuel Prices'!K17+'Fuel Taxes'!K17</f>
        <v>6.5698238308156102E-6</v>
      </c>
      <c r="L16">
        <f>'Pretax Fuel Prices'!L17+'Fuel Taxes'!L17</f>
        <v>6.6760141095725379E-6</v>
      </c>
      <c r="M16">
        <f>'Pretax Fuel Prices'!M17+'Fuel Taxes'!M17</f>
        <v>6.93307634899674E-6</v>
      </c>
      <c r="N16">
        <f>'Pretax Fuel Prices'!N17+'Fuel Taxes'!N17</f>
        <v>7.1638717930517459E-6</v>
      </c>
      <c r="O16">
        <f>'Pretax Fuel Prices'!O17+'Fuel Taxes'!O17</f>
        <v>7.3107246150371959E-6</v>
      </c>
      <c r="P16">
        <f>'Pretax Fuel Prices'!P17+'Fuel Taxes'!P17</f>
        <v>7.3814357690878735E-6</v>
      </c>
      <c r="Q16">
        <f>'Pretax Fuel Prices'!Q17+'Fuel Taxes'!Q17</f>
        <v>7.3684716387062193E-6</v>
      </c>
      <c r="R16">
        <f>'Pretax Fuel Prices'!R17+'Fuel Taxes'!R17</f>
        <v>7.3386896675117896E-6</v>
      </c>
      <c r="S16">
        <f>'Pretax Fuel Prices'!S17+'Fuel Taxes'!S17</f>
        <v>7.3029885757855993E-6</v>
      </c>
      <c r="T16">
        <f>'Pretax Fuel Prices'!T17+'Fuel Taxes'!T17</f>
        <v>7.241985337814611E-6</v>
      </c>
      <c r="U16">
        <f>'Pretax Fuel Prices'!U17+'Fuel Taxes'!U17</f>
        <v>7.2421668202837444E-6</v>
      </c>
      <c r="V16">
        <f>'Pretax Fuel Prices'!V17+'Fuel Taxes'!V17</f>
        <v>7.305501409973612E-6</v>
      </c>
      <c r="W16">
        <f>'Pretax Fuel Prices'!W17+'Fuel Taxes'!W17</f>
        <v>7.3579051709456253E-6</v>
      </c>
      <c r="X16">
        <f>'Pretax Fuel Prices'!X17+'Fuel Taxes'!X17</f>
        <v>7.4008858037125877E-6</v>
      </c>
      <c r="Y16">
        <f>'Pretax Fuel Prices'!Y17+'Fuel Taxes'!Y17</f>
        <v>7.4197516043885906E-6</v>
      </c>
      <c r="Z16">
        <f>'Pretax Fuel Prices'!Z17+'Fuel Taxes'!Z17</f>
        <v>7.4593517771631775E-6</v>
      </c>
      <c r="AA16">
        <f>'Pretax Fuel Prices'!AA17+'Fuel Taxes'!AA17</f>
        <v>7.5083883403232579E-6</v>
      </c>
      <c r="AB16">
        <f>'Pretax Fuel Prices'!AB17+'Fuel Taxes'!AB17</f>
        <v>7.5203131345643673E-6</v>
      </c>
      <c r="AC16">
        <f>'Pretax Fuel Prices'!AC17+'Fuel Taxes'!AC17</f>
        <v>7.5238192362661426E-6</v>
      </c>
      <c r="AD16">
        <f>'Pretax Fuel Prices'!AD17+'Fuel Taxes'!AD17</f>
        <v>7.5654178102296946E-6</v>
      </c>
      <c r="AE16">
        <f>'Pretax Fuel Prices'!AE17+'Fuel Taxes'!AE17</f>
        <v>7.6002729144459236E-6</v>
      </c>
    </row>
    <row r="17" spans="1:31" x14ac:dyDescent="0.75">
      <c r="A17" t="s">
        <v>56</v>
      </c>
      <c r="B17">
        <f>'Pretax Fuel Prices'!B18+'Fuel Taxes'!B18</f>
        <v>4.1967185264784174E-6</v>
      </c>
      <c r="C17">
        <f>'Pretax Fuel Prices'!C18+'Fuel Taxes'!C18</f>
        <v>6.6727696181758665E-6</v>
      </c>
      <c r="D17">
        <f>'Pretax Fuel Prices'!D18+'Fuel Taxes'!D18</f>
        <v>2.9461551718598426E-6</v>
      </c>
      <c r="E17">
        <f>'Pretax Fuel Prices'!E18+'Fuel Taxes'!E18</f>
        <v>2.8544724233237368E-6</v>
      </c>
      <c r="F17">
        <f>'Pretax Fuel Prices'!F18+'Fuel Taxes'!F18</f>
        <v>4.0423348968059076E-6</v>
      </c>
      <c r="G17">
        <f>'Pretax Fuel Prices'!G18+'Fuel Taxes'!G18</f>
        <v>4.3542492038779848E-6</v>
      </c>
      <c r="H17">
        <f>'Pretax Fuel Prices'!H18+'Fuel Taxes'!H18</f>
        <v>4.4898142133264274E-6</v>
      </c>
      <c r="I17">
        <f>'Pretax Fuel Prices'!I18+'Fuel Taxes'!I18</f>
        <v>4.0253715908210105E-6</v>
      </c>
      <c r="J17">
        <f>'Pretax Fuel Prices'!J18+'Fuel Taxes'!J18</f>
        <v>3.5609289683155932E-6</v>
      </c>
      <c r="K17">
        <f>'Pretax Fuel Prices'!K18+'Fuel Taxes'!K18</f>
        <v>3.0964863458101767E-6</v>
      </c>
      <c r="L17">
        <f>'Pretax Fuel Prices'!L18+'Fuel Taxes'!L18</f>
        <v>3.2131792244587514E-6</v>
      </c>
      <c r="M17">
        <f>'Pretax Fuel Prices'!M18+'Fuel Taxes'!M18</f>
        <v>3.5357067275614065E-6</v>
      </c>
      <c r="N17">
        <f>'Pretax Fuel Prices'!N18+'Fuel Taxes'!N18</f>
        <v>3.7906571392534319E-6</v>
      </c>
      <c r="O17">
        <f>'Pretax Fuel Prices'!O18+'Fuel Taxes'!O18</f>
        <v>3.9613794429917643E-6</v>
      </c>
      <c r="P17">
        <f>'Pretax Fuel Prices'!P18+'Fuel Taxes'!P18</f>
        <v>4.0211859436807113E-6</v>
      </c>
      <c r="Q17">
        <f>'Pretax Fuel Prices'!Q18+'Fuel Taxes'!Q18</f>
        <v>4.0119334787975994E-6</v>
      </c>
      <c r="R17">
        <f>'Pretax Fuel Prices'!R18+'Fuel Taxes'!R18</f>
        <v>3.9748876717760741E-6</v>
      </c>
      <c r="S17">
        <f>'Pretax Fuel Prices'!S18+'Fuel Taxes'!S18</f>
        <v>3.9308903881772097E-6</v>
      </c>
      <c r="T17">
        <f>'Pretax Fuel Prices'!T18+'Fuel Taxes'!T18</f>
        <v>3.8720206162327941E-6</v>
      </c>
      <c r="U17">
        <f>'Pretax Fuel Prices'!U18+'Fuel Taxes'!U18</f>
        <v>3.8869656975659999E-6</v>
      </c>
      <c r="V17">
        <f>'Pretax Fuel Prices'!V18+'Fuel Taxes'!V18</f>
        <v>3.9550101063346486E-6</v>
      </c>
      <c r="W17">
        <f>'Pretax Fuel Prices'!W18+'Fuel Taxes'!W18</f>
        <v>4.0156385132059251E-6</v>
      </c>
      <c r="X17">
        <f>'Pretax Fuel Prices'!X18+'Fuel Taxes'!X18</f>
        <v>4.070361061725876E-6</v>
      </c>
      <c r="Y17">
        <f>'Pretax Fuel Prices'!Y18+'Fuel Taxes'!Y18</f>
        <v>4.1102041418053061E-6</v>
      </c>
      <c r="Z17">
        <f>'Pretax Fuel Prices'!Z18+'Fuel Taxes'!Z18</f>
        <v>4.146766926255136E-6</v>
      </c>
      <c r="AA17">
        <f>'Pretax Fuel Prices'!AA18+'Fuel Taxes'!AA18</f>
        <v>4.1844590900705781E-6</v>
      </c>
      <c r="AB17">
        <f>'Pretax Fuel Prices'!AB18+'Fuel Taxes'!AB18</f>
        <v>4.1884988200325567E-6</v>
      </c>
      <c r="AC17">
        <f>'Pretax Fuel Prices'!AC18+'Fuel Taxes'!AC18</f>
        <v>4.1989291759413003E-6</v>
      </c>
      <c r="AD17">
        <f>'Pretax Fuel Prices'!AD18+'Fuel Taxes'!AD18</f>
        <v>4.2434332144347459E-6</v>
      </c>
      <c r="AE17">
        <f>'Pretax Fuel Prices'!AE18+'Fuel Taxes'!AE18</f>
        <v>4.2911756679879941E-6</v>
      </c>
    </row>
    <row r="18" spans="1:31" x14ac:dyDescent="0.75">
      <c r="A18" t="s">
        <v>57</v>
      </c>
      <c r="B18">
        <f>'Pretax Fuel Prices'!B19+'Fuel Taxes'!B19</f>
        <v>3.5667248129358146E-6</v>
      </c>
      <c r="C18">
        <f>'Pretax Fuel Prices'!C19+'Fuel Taxes'!C19</f>
        <v>5.6710815409684595E-6</v>
      </c>
      <c r="D18">
        <f>'Pretax Fuel Prices'!D19+'Fuel Taxes'!D19</f>
        <v>2.503890763207639E-6</v>
      </c>
      <c r="E18">
        <f>'Pretax Fuel Prices'!E19+'Fuel Taxes'!E19</f>
        <v>2.0932797771040738E-6</v>
      </c>
      <c r="F18">
        <f>'Pretax Fuel Prices'!F19+'Fuel Taxes'!F19</f>
        <v>3.3573316102581838E-6</v>
      </c>
      <c r="G18">
        <f>'Pretax Fuel Prices'!G19+'Fuel Taxes'!G19</f>
        <v>3.61638975105011E-6</v>
      </c>
      <c r="H18">
        <f>'Pretax Fuel Prices'!H19+'Fuel Taxes'!H19</f>
        <v>3.7289822756887377E-6</v>
      </c>
      <c r="I18">
        <f>'Pretax Fuel Prices'!I19+'Fuel Taxes'!I19</f>
        <v>3.3652038541711712E-6</v>
      </c>
      <c r="J18">
        <f>'Pretax Fuel Prices'!J19+'Fuel Taxes'!J19</f>
        <v>3.0014254326536042E-6</v>
      </c>
      <c r="K18">
        <f>'Pretax Fuel Prices'!K19+'Fuel Taxes'!K19</f>
        <v>2.6376470111360376E-6</v>
      </c>
      <c r="L18">
        <f>'Pretax Fuel Prices'!L19+'Fuel Taxes'!L19</f>
        <v>2.7049379186530317E-6</v>
      </c>
      <c r="M18">
        <f>'Pretax Fuel Prices'!M19+'Fuel Taxes'!M19</f>
        <v>3.0720985920060166E-6</v>
      </c>
      <c r="N18">
        <f>'Pretax Fuel Prices'!N19+'Fuel Taxes'!N19</f>
        <v>3.299458782323161E-6</v>
      </c>
      <c r="O18">
        <f>'Pretax Fuel Prices'!O19+'Fuel Taxes'!O19</f>
        <v>3.4530889275165285E-6</v>
      </c>
      <c r="P18">
        <f>'Pretax Fuel Prices'!P19+'Fuel Taxes'!P19</f>
        <v>3.5054099743631848E-6</v>
      </c>
      <c r="Q18">
        <f>'Pretax Fuel Prices'!Q19+'Fuel Taxes'!Q19</f>
        <v>3.5018375617592268E-6</v>
      </c>
      <c r="R18">
        <f>'Pretax Fuel Prices'!R19+'Fuel Taxes'!R19</f>
        <v>3.4763291537081626E-6</v>
      </c>
      <c r="S18">
        <f>'Pretax Fuel Prices'!S19+'Fuel Taxes'!S19</f>
        <v>3.4514248728764675E-6</v>
      </c>
      <c r="T18">
        <f>'Pretax Fuel Prices'!T19+'Fuel Taxes'!T19</f>
        <v>3.4107057908787148E-6</v>
      </c>
      <c r="U18">
        <f>'Pretax Fuel Prices'!U19+'Fuel Taxes'!U19</f>
        <v>3.4333118754426236E-6</v>
      </c>
      <c r="V18">
        <f>'Pretax Fuel Prices'!V19+'Fuel Taxes'!V19</f>
        <v>3.4908962628989214E-6</v>
      </c>
      <c r="W18">
        <f>'Pretax Fuel Prices'!W19+'Fuel Taxes'!W19</f>
        <v>3.544106922849084E-6</v>
      </c>
      <c r="X18">
        <f>'Pretax Fuel Prices'!X19+'Fuel Taxes'!X19</f>
        <v>3.6078938226927925E-6</v>
      </c>
      <c r="Y18">
        <f>'Pretax Fuel Prices'!Y19+'Fuel Taxes'!Y19</f>
        <v>3.6704040631670921E-6</v>
      </c>
      <c r="Z18">
        <f>'Pretax Fuel Prices'!Z19+'Fuel Taxes'!Z19</f>
        <v>3.7031818911212274E-6</v>
      </c>
      <c r="AA18">
        <f>'Pretax Fuel Prices'!AA19+'Fuel Taxes'!AA19</f>
        <v>3.7448579441389145E-6</v>
      </c>
      <c r="AB18">
        <f>'Pretax Fuel Prices'!AB19+'Fuel Taxes'!AB19</f>
        <v>3.750939351878654E-6</v>
      </c>
      <c r="AC18">
        <f>'Pretax Fuel Prices'!AC19+'Fuel Taxes'!AC19</f>
        <v>3.7677010029269437E-6</v>
      </c>
      <c r="AD18">
        <f>'Pretax Fuel Prices'!AD19+'Fuel Taxes'!AD19</f>
        <v>3.8188891803605041E-6</v>
      </c>
      <c r="AE18">
        <f>'Pretax Fuel Prices'!AE19+'Fuel Taxes'!AE19</f>
        <v>3.8774095985518358E-6</v>
      </c>
    </row>
    <row r="19" spans="1:31" x14ac:dyDescent="0.75">
      <c r="A19" t="s">
        <v>58</v>
      </c>
      <c r="B19">
        <f>'Pretax Fuel Prices'!B20+'Fuel Taxes'!B20</f>
        <v>0</v>
      </c>
      <c r="C19">
        <f>'Pretax Fuel Prices'!C20+'Fuel Taxes'!C20</f>
        <v>0</v>
      </c>
      <c r="D19">
        <f>'Pretax Fuel Prices'!D20+'Fuel Taxes'!D20</f>
        <v>0</v>
      </c>
      <c r="E19">
        <f>'Pretax Fuel Prices'!E20+'Fuel Taxes'!E20</f>
        <v>0</v>
      </c>
      <c r="F19">
        <f>'Pretax Fuel Prices'!F20+'Fuel Taxes'!F20</f>
        <v>0</v>
      </c>
      <c r="G19">
        <f>'Pretax Fuel Prices'!G20+'Fuel Taxes'!G20</f>
        <v>0</v>
      </c>
      <c r="H19">
        <f>'Pretax Fuel Prices'!H20+'Fuel Taxes'!H20</f>
        <v>0</v>
      </c>
      <c r="I19">
        <f>'Pretax Fuel Prices'!I20+'Fuel Taxes'!I20</f>
        <v>0</v>
      </c>
      <c r="J19">
        <f>'Pretax Fuel Prices'!J20+'Fuel Taxes'!J20</f>
        <v>0</v>
      </c>
      <c r="K19">
        <f>'Pretax Fuel Prices'!K20+'Fuel Taxes'!K20</f>
        <v>0</v>
      </c>
      <c r="L19">
        <f>'Pretax Fuel Prices'!L20+'Fuel Taxes'!L20</f>
        <v>0</v>
      </c>
      <c r="M19">
        <f>'Pretax Fuel Prices'!M20+'Fuel Taxes'!M20</f>
        <v>0</v>
      </c>
      <c r="N19">
        <f>'Pretax Fuel Prices'!N20+'Fuel Taxes'!N20</f>
        <v>0</v>
      </c>
      <c r="O19">
        <f>'Pretax Fuel Prices'!O20+'Fuel Taxes'!O20</f>
        <v>0</v>
      </c>
      <c r="P19">
        <f>'Pretax Fuel Prices'!P20+'Fuel Taxes'!P20</f>
        <v>0</v>
      </c>
      <c r="Q19">
        <f>'Pretax Fuel Prices'!Q20+'Fuel Taxes'!Q20</f>
        <v>0</v>
      </c>
      <c r="R19">
        <f>'Pretax Fuel Prices'!R20+'Fuel Taxes'!R20</f>
        <v>0</v>
      </c>
      <c r="S19">
        <f>'Pretax Fuel Prices'!S20+'Fuel Taxes'!S20</f>
        <v>0</v>
      </c>
      <c r="T19">
        <f>'Pretax Fuel Prices'!T20+'Fuel Taxes'!T20</f>
        <v>0</v>
      </c>
      <c r="U19">
        <f>'Pretax Fuel Prices'!U20+'Fuel Taxes'!U20</f>
        <v>0</v>
      </c>
      <c r="V19">
        <f>'Pretax Fuel Prices'!V20+'Fuel Taxes'!V20</f>
        <v>0</v>
      </c>
      <c r="W19">
        <f>'Pretax Fuel Prices'!W20+'Fuel Taxes'!W20</f>
        <v>0</v>
      </c>
      <c r="X19">
        <f>'Pretax Fuel Prices'!X20+'Fuel Taxes'!X20</f>
        <v>0</v>
      </c>
      <c r="Y19">
        <f>'Pretax Fuel Prices'!Y20+'Fuel Taxes'!Y20</f>
        <v>0</v>
      </c>
      <c r="Z19">
        <f>'Pretax Fuel Prices'!Z20+'Fuel Taxes'!Z20</f>
        <v>0</v>
      </c>
      <c r="AA19">
        <f>'Pretax Fuel Prices'!AA20+'Fuel Taxes'!AA20</f>
        <v>0</v>
      </c>
      <c r="AB19">
        <f>'Pretax Fuel Prices'!AB20+'Fuel Taxes'!AB20</f>
        <v>0</v>
      </c>
      <c r="AC19">
        <f>'Pretax Fuel Prices'!AC20+'Fuel Taxes'!AC20</f>
        <v>0</v>
      </c>
      <c r="AD19">
        <f>'Pretax Fuel Prices'!AD20+'Fuel Taxes'!AD20</f>
        <v>0</v>
      </c>
      <c r="AE19">
        <f>'Pretax Fuel Prices'!AE20+'Fuel Taxes'!AE20</f>
        <v>0</v>
      </c>
    </row>
    <row r="20" spans="1:31" x14ac:dyDescent="0.75">
      <c r="A20" t="s">
        <v>59</v>
      </c>
      <c r="B20">
        <f>'Pretax Fuel Prices'!B21+'Fuel Taxes'!B21</f>
        <v>4.1967185264784174E-6</v>
      </c>
      <c r="C20">
        <f>'Pretax Fuel Prices'!C21+'Fuel Taxes'!C21</f>
        <v>6.6727696181758665E-6</v>
      </c>
      <c r="D20">
        <f>'Pretax Fuel Prices'!D21+'Fuel Taxes'!D21</f>
        <v>2.9461551718598426E-6</v>
      </c>
      <c r="E20">
        <f>'Pretax Fuel Prices'!E21+'Fuel Taxes'!E21</f>
        <v>2.8544724233237368E-6</v>
      </c>
      <c r="F20">
        <f>'Pretax Fuel Prices'!F21+'Fuel Taxes'!F21</f>
        <v>4.0423348968059076E-6</v>
      </c>
      <c r="G20">
        <f>'Pretax Fuel Prices'!G21+'Fuel Taxes'!G21</f>
        <v>4.3542492038779848E-6</v>
      </c>
      <c r="H20">
        <f>'Pretax Fuel Prices'!H21+'Fuel Taxes'!H21</f>
        <v>4.4898142133264274E-6</v>
      </c>
      <c r="I20">
        <f>'Pretax Fuel Prices'!I21+'Fuel Taxes'!I21</f>
        <v>4.0253715908210105E-6</v>
      </c>
      <c r="J20">
        <f>'Pretax Fuel Prices'!J21+'Fuel Taxes'!J21</f>
        <v>3.5609289683155932E-6</v>
      </c>
      <c r="K20">
        <f>'Pretax Fuel Prices'!K21+'Fuel Taxes'!K21</f>
        <v>3.0964863458101767E-6</v>
      </c>
      <c r="L20">
        <f>'Pretax Fuel Prices'!L21+'Fuel Taxes'!L21</f>
        <v>3.2131792244587514E-6</v>
      </c>
      <c r="M20">
        <f>'Pretax Fuel Prices'!M21+'Fuel Taxes'!M21</f>
        <v>3.5357067275614065E-6</v>
      </c>
      <c r="N20">
        <f>'Pretax Fuel Prices'!N21+'Fuel Taxes'!N21</f>
        <v>3.7906571392534319E-6</v>
      </c>
      <c r="O20">
        <f>'Pretax Fuel Prices'!O21+'Fuel Taxes'!O21</f>
        <v>3.9613794429917643E-6</v>
      </c>
      <c r="P20">
        <f>'Pretax Fuel Prices'!P21+'Fuel Taxes'!P21</f>
        <v>4.0211859436807113E-6</v>
      </c>
      <c r="Q20">
        <f>'Pretax Fuel Prices'!Q21+'Fuel Taxes'!Q21</f>
        <v>4.0119334787975994E-6</v>
      </c>
      <c r="R20">
        <f>'Pretax Fuel Prices'!R21+'Fuel Taxes'!R21</f>
        <v>3.9748876717760741E-6</v>
      </c>
      <c r="S20">
        <f>'Pretax Fuel Prices'!S21+'Fuel Taxes'!S21</f>
        <v>3.9308903881772097E-6</v>
      </c>
      <c r="T20">
        <f>'Pretax Fuel Prices'!T21+'Fuel Taxes'!T21</f>
        <v>3.8720206162327941E-6</v>
      </c>
      <c r="U20">
        <f>'Pretax Fuel Prices'!U21+'Fuel Taxes'!U21</f>
        <v>3.8869656975659999E-6</v>
      </c>
      <c r="V20">
        <f>'Pretax Fuel Prices'!V21+'Fuel Taxes'!V21</f>
        <v>3.9550101063346486E-6</v>
      </c>
      <c r="W20">
        <f>'Pretax Fuel Prices'!W21+'Fuel Taxes'!W21</f>
        <v>4.0156385132059251E-6</v>
      </c>
      <c r="X20">
        <f>'Pretax Fuel Prices'!X21+'Fuel Taxes'!X21</f>
        <v>4.070361061725876E-6</v>
      </c>
      <c r="Y20">
        <f>'Pretax Fuel Prices'!Y21+'Fuel Taxes'!Y21</f>
        <v>4.1102041418053061E-6</v>
      </c>
      <c r="Z20">
        <f>'Pretax Fuel Prices'!Z21+'Fuel Taxes'!Z21</f>
        <v>4.146766926255136E-6</v>
      </c>
      <c r="AA20">
        <f>'Pretax Fuel Prices'!AA21+'Fuel Taxes'!AA21</f>
        <v>4.1844590900705781E-6</v>
      </c>
      <c r="AB20">
        <f>'Pretax Fuel Prices'!AB21+'Fuel Taxes'!AB21</f>
        <v>4.1884988200325567E-6</v>
      </c>
      <c r="AC20">
        <f>'Pretax Fuel Prices'!AC21+'Fuel Taxes'!AC21</f>
        <v>4.1989291759413003E-6</v>
      </c>
      <c r="AD20">
        <f>'Pretax Fuel Prices'!AD21+'Fuel Taxes'!AD21</f>
        <v>4.2434332144347459E-6</v>
      </c>
      <c r="AE20">
        <f>'Pretax Fuel Prices'!AE21+'Fuel Taxes'!AE21</f>
        <v>4.2911756679879941E-6</v>
      </c>
    </row>
    <row r="21" spans="1:31" s="3" customFormat="1" x14ac:dyDescent="0.75">
      <c r="A21" s="5" t="s">
        <v>32</v>
      </c>
    </row>
    <row r="22" spans="1:31" x14ac:dyDescent="0.75">
      <c r="A22" t="s">
        <v>30</v>
      </c>
      <c r="B22">
        <f>'Fuel Taxes'!B$1</f>
        <v>2021</v>
      </c>
      <c r="C22">
        <f>'Fuel Taxes'!C$1</f>
        <v>2022</v>
      </c>
      <c r="D22">
        <f>'Fuel Taxes'!D$1</f>
        <v>2023</v>
      </c>
      <c r="E22">
        <f>'Fuel Taxes'!E$1</f>
        <v>2024</v>
      </c>
      <c r="F22">
        <f>'Fuel Taxes'!F$1</f>
        <v>2025</v>
      </c>
      <c r="G22">
        <f>'Fuel Taxes'!G$1</f>
        <v>2026</v>
      </c>
      <c r="H22">
        <f>'Fuel Taxes'!H$1</f>
        <v>2027</v>
      </c>
      <c r="I22">
        <f>'Fuel Taxes'!I$1</f>
        <v>2028</v>
      </c>
      <c r="J22">
        <f>'Fuel Taxes'!J$1</f>
        <v>2029</v>
      </c>
      <c r="K22">
        <f>'Fuel Taxes'!K$1</f>
        <v>2030</v>
      </c>
      <c r="L22">
        <f>'Fuel Taxes'!L$1</f>
        <v>2031</v>
      </c>
      <c r="M22">
        <f>'Fuel Taxes'!M$1</f>
        <v>2032</v>
      </c>
      <c r="N22">
        <f>'Fuel Taxes'!N$1</f>
        <v>2033</v>
      </c>
      <c r="O22">
        <f>'Fuel Taxes'!O$1</f>
        <v>2034</v>
      </c>
      <c r="P22">
        <f>'Fuel Taxes'!P$1</f>
        <v>2035</v>
      </c>
      <c r="Q22">
        <f>'Fuel Taxes'!Q$1</f>
        <v>2036</v>
      </c>
      <c r="R22">
        <f>'Fuel Taxes'!R$1</f>
        <v>2037</v>
      </c>
      <c r="S22">
        <f>'Fuel Taxes'!S$1</f>
        <v>2038</v>
      </c>
      <c r="T22">
        <f>'Fuel Taxes'!T$1</f>
        <v>2039</v>
      </c>
      <c r="U22">
        <f>'Fuel Taxes'!U$1</f>
        <v>2040</v>
      </c>
      <c r="V22">
        <f>'Fuel Taxes'!V$1</f>
        <v>2041</v>
      </c>
      <c r="W22">
        <f>'Fuel Taxes'!W$1</f>
        <v>2042</v>
      </c>
      <c r="X22">
        <f>'Fuel Taxes'!X$1</f>
        <v>2043</v>
      </c>
      <c r="Y22">
        <f>'Fuel Taxes'!Y$1</f>
        <v>2044</v>
      </c>
      <c r="Z22">
        <f>'Fuel Taxes'!Z$1</f>
        <v>2045</v>
      </c>
      <c r="AA22">
        <f>'Fuel Taxes'!AA$1</f>
        <v>2046</v>
      </c>
      <c r="AB22">
        <f>'Fuel Taxes'!AB$1</f>
        <v>2047</v>
      </c>
      <c r="AC22">
        <f>'Fuel Taxes'!AC$1</f>
        <v>2048</v>
      </c>
      <c r="AD22">
        <f>'Fuel Taxes'!AD$1</f>
        <v>2049</v>
      </c>
      <c r="AE22">
        <f>'Fuel Taxes'!AE$1</f>
        <v>2050</v>
      </c>
    </row>
    <row r="23" spans="1:31" x14ac:dyDescent="0.75">
      <c r="A23" t="s">
        <v>52</v>
      </c>
      <c r="B23">
        <f>'Pretax Fuel Prices'!B24+'Fuel Taxes'!B24</f>
        <v>0</v>
      </c>
      <c r="C23">
        <f>'Pretax Fuel Prices'!C24+'Fuel Taxes'!C24</f>
        <v>0</v>
      </c>
      <c r="D23">
        <f>'Pretax Fuel Prices'!D24+'Fuel Taxes'!D24</f>
        <v>0</v>
      </c>
      <c r="E23">
        <f>'Pretax Fuel Prices'!E24+'Fuel Taxes'!E24</f>
        <v>0</v>
      </c>
      <c r="F23">
        <f>'Pretax Fuel Prices'!F24+'Fuel Taxes'!F24</f>
        <v>0</v>
      </c>
      <c r="G23">
        <f>'Pretax Fuel Prices'!G24+'Fuel Taxes'!G24</f>
        <v>0</v>
      </c>
      <c r="H23">
        <f>'Pretax Fuel Prices'!H24+'Fuel Taxes'!H24</f>
        <v>0</v>
      </c>
      <c r="I23">
        <f>'Pretax Fuel Prices'!I24+'Fuel Taxes'!I24</f>
        <v>0</v>
      </c>
      <c r="J23">
        <f>'Pretax Fuel Prices'!J24+'Fuel Taxes'!J24</f>
        <v>0</v>
      </c>
      <c r="K23">
        <f>'Pretax Fuel Prices'!K24+'Fuel Taxes'!K24</f>
        <v>0</v>
      </c>
      <c r="L23">
        <f>'Pretax Fuel Prices'!L24+'Fuel Taxes'!L24</f>
        <v>0</v>
      </c>
      <c r="M23">
        <f>'Pretax Fuel Prices'!M24+'Fuel Taxes'!M24</f>
        <v>0</v>
      </c>
      <c r="N23">
        <f>'Pretax Fuel Prices'!N24+'Fuel Taxes'!N24</f>
        <v>0</v>
      </c>
      <c r="O23">
        <f>'Pretax Fuel Prices'!O24+'Fuel Taxes'!O24</f>
        <v>0</v>
      </c>
      <c r="P23">
        <f>'Pretax Fuel Prices'!P24+'Fuel Taxes'!P24</f>
        <v>0</v>
      </c>
      <c r="Q23">
        <f>'Pretax Fuel Prices'!Q24+'Fuel Taxes'!Q24</f>
        <v>0</v>
      </c>
      <c r="R23">
        <f>'Pretax Fuel Prices'!R24+'Fuel Taxes'!R24</f>
        <v>0</v>
      </c>
      <c r="S23">
        <f>'Pretax Fuel Prices'!S24+'Fuel Taxes'!S24</f>
        <v>0</v>
      </c>
      <c r="T23">
        <f>'Pretax Fuel Prices'!T24+'Fuel Taxes'!T24</f>
        <v>0</v>
      </c>
      <c r="U23">
        <f>'Pretax Fuel Prices'!U24+'Fuel Taxes'!U24</f>
        <v>0</v>
      </c>
      <c r="V23">
        <f>'Pretax Fuel Prices'!V24+'Fuel Taxes'!V24</f>
        <v>0</v>
      </c>
      <c r="W23">
        <f>'Pretax Fuel Prices'!W24+'Fuel Taxes'!W24</f>
        <v>0</v>
      </c>
      <c r="X23">
        <f>'Pretax Fuel Prices'!X24+'Fuel Taxes'!X24</f>
        <v>0</v>
      </c>
      <c r="Y23">
        <f>'Pretax Fuel Prices'!Y24+'Fuel Taxes'!Y24</f>
        <v>0</v>
      </c>
      <c r="Z23">
        <f>'Pretax Fuel Prices'!Z24+'Fuel Taxes'!Z24</f>
        <v>0</v>
      </c>
      <c r="AA23">
        <f>'Pretax Fuel Prices'!AA24+'Fuel Taxes'!AA24</f>
        <v>0</v>
      </c>
      <c r="AB23">
        <f>'Pretax Fuel Prices'!AB24+'Fuel Taxes'!AB24</f>
        <v>0</v>
      </c>
      <c r="AC23">
        <f>'Pretax Fuel Prices'!AC24+'Fuel Taxes'!AC24</f>
        <v>0</v>
      </c>
      <c r="AD23">
        <f>'Pretax Fuel Prices'!AD24+'Fuel Taxes'!AD24</f>
        <v>0</v>
      </c>
      <c r="AE23">
        <f>'Pretax Fuel Prices'!AE24+'Fuel Taxes'!AE24</f>
        <v>0</v>
      </c>
    </row>
    <row r="24" spans="1:31" x14ac:dyDescent="0.75">
      <c r="A24" t="s">
        <v>53</v>
      </c>
      <c r="B24">
        <f>'Pretax Fuel Prices'!B25+'Fuel Taxes'!B25</f>
        <v>6.3483479520834867E-7</v>
      </c>
      <c r="C24">
        <f>'Pretax Fuel Prices'!C25+'Fuel Taxes'!C25</f>
        <v>5.5803451999999996E-7</v>
      </c>
      <c r="D24">
        <f>'Pretax Fuel Prices'!D25+'Fuel Taxes'!D25</f>
        <v>5.5797800000000002E-7</v>
      </c>
      <c r="E24">
        <f>'Pretax Fuel Prices'!E25+'Fuel Taxes'!E25</f>
        <v>5.5137249049599706E-7</v>
      </c>
      <c r="F24">
        <f>'Pretax Fuel Prices'!F25+'Fuel Taxes'!F25</f>
        <v>5.5132467684547511E-7</v>
      </c>
      <c r="G24">
        <f>'Pretax Fuel Prices'!G25+'Fuel Taxes'!G25</f>
        <v>5.5126896696252207E-7</v>
      </c>
      <c r="H24">
        <f>'Pretax Fuel Prices'!H25+'Fuel Taxes'!H25</f>
        <v>5.512213714399679E-7</v>
      </c>
      <c r="I24">
        <f>'Pretax Fuel Prices'!I25+'Fuel Taxes'!I25</f>
        <v>5.5117364504063314E-7</v>
      </c>
      <c r="J24">
        <f>'Pretax Fuel Prices'!J25+'Fuel Taxes'!J25</f>
        <v>5.5111797878327349E-7</v>
      </c>
      <c r="K24">
        <f>'Pretax Fuel Prices'!K25+'Fuel Taxes'!K25</f>
        <v>5.5107020875834525E-7</v>
      </c>
      <c r="L24">
        <f>'Pretax Fuel Prices'!L25+'Fuel Taxes'!L25</f>
        <v>5.5101454250098581E-7</v>
      </c>
      <c r="M24">
        <f>'Pretax Fuel Prices'!M25+'Fuel Taxes'!M25</f>
        <v>5.5096672885046386E-7</v>
      </c>
      <c r="N24">
        <f>'Pretax Fuel Prices'!N25+'Fuel Taxes'!N25</f>
        <v>5.509190460767226E-7</v>
      </c>
      <c r="O24">
        <f>'Pretax Fuel Prices'!O25+'Fuel Taxes'!O25</f>
        <v>5.5086333619376967E-7</v>
      </c>
      <c r="P24">
        <f>'Pretax Fuel Prices'!P25+'Fuel Taxes'!P25</f>
        <v>5.5081560979443481E-7</v>
      </c>
      <c r="Q24">
        <f>'Pretax Fuel Prices'!Q25+'Fuel Taxes'!Q25</f>
        <v>5.5075994353707537E-7</v>
      </c>
      <c r="R24">
        <f>'Pretax Fuel Prices'!R25+'Fuel Taxes'!R25</f>
        <v>5.5071221713774061E-7</v>
      </c>
      <c r="S24">
        <f>'Pretax Fuel Prices'!S25+'Fuel Taxes'!S25</f>
        <v>5.5066444711281226E-7</v>
      </c>
      <c r="T24">
        <f>'Pretax Fuel Prices'!T25+'Fuel Taxes'!T25</f>
        <v>5.5060878085545283E-7</v>
      </c>
      <c r="U24">
        <f>'Pretax Fuel Prices'!U25+'Fuel Taxes'!U25</f>
        <v>5.5056101083052437E-7</v>
      </c>
      <c r="V24">
        <f>'Pretax Fuel Prices'!V25+'Fuel Taxes'!V25</f>
        <v>5.5051341530797019E-7</v>
      </c>
      <c r="W24">
        <f>'Pretax Fuel Prices'!W25+'Fuel Taxes'!W25</f>
        <v>5.5045766179942367E-7</v>
      </c>
      <c r="X24">
        <f>'Pretax Fuel Prices'!X25+'Fuel Taxes'!X25</f>
        <v>5.5040989177449531E-7</v>
      </c>
      <c r="Y24">
        <f>'Pretax Fuel Prices'!Y25+'Fuel Taxes'!Y25</f>
        <v>5.5035422551713577E-7</v>
      </c>
      <c r="Z24">
        <f>'Pretax Fuel Prices'!Z25+'Fuel Taxes'!Z25</f>
        <v>5.5030649911780091E-7</v>
      </c>
      <c r="AA24">
        <f>'Pretax Fuel Prices'!AA25+'Fuel Taxes'!AA25</f>
        <v>5.5025872909287266E-7</v>
      </c>
      <c r="AB24">
        <f>'Pretax Fuel Prices'!AB25+'Fuel Taxes'!AB25</f>
        <v>5.5020306283551312E-7</v>
      </c>
      <c r="AC24">
        <f>'Pretax Fuel Prices'!AC25+'Fuel Taxes'!AC25</f>
        <v>5.5015542368736535E-7</v>
      </c>
      <c r="AD24">
        <f>'Pretax Fuel Prices'!AD25+'Fuel Taxes'!AD25</f>
        <v>5.5010769728803059E-7</v>
      </c>
      <c r="AE24">
        <f>'Pretax Fuel Prices'!AE25+'Fuel Taxes'!AE25</f>
        <v>5.5005194377948407E-7</v>
      </c>
    </row>
    <row r="25" spans="1:31" x14ac:dyDescent="0.75">
      <c r="A25" t="s">
        <v>54</v>
      </c>
      <c r="B25">
        <f>'Pretax Fuel Prices'!B26+'Fuel Taxes'!B26</f>
        <v>0</v>
      </c>
      <c r="C25">
        <f>'Pretax Fuel Prices'!C26+'Fuel Taxes'!C26</f>
        <v>0</v>
      </c>
      <c r="D25">
        <f>'Pretax Fuel Prices'!D26+'Fuel Taxes'!D26</f>
        <v>0</v>
      </c>
      <c r="E25">
        <f>'Pretax Fuel Prices'!E26+'Fuel Taxes'!E26</f>
        <v>0</v>
      </c>
      <c r="F25">
        <f>'Pretax Fuel Prices'!F26+'Fuel Taxes'!F26</f>
        <v>0</v>
      </c>
      <c r="G25">
        <f>'Pretax Fuel Prices'!G26+'Fuel Taxes'!G26</f>
        <v>0</v>
      </c>
      <c r="H25">
        <f>'Pretax Fuel Prices'!H26+'Fuel Taxes'!H26</f>
        <v>0</v>
      </c>
      <c r="I25">
        <f>'Pretax Fuel Prices'!I26+'Fuel Taxes'!I26</f>
        <v>0</v>
      </c>
      <c r="J25">
        <f>'Pretax Fuel Prices'!J26+'Fuel Taxes'!J26</f>
        <v>0</v>
      </c>
      <c r="K25">
        <f>'Pretax Fuel Prices'!K26+'Fuel Taxes'!K26</f>
        <v>0</v>
      </c>
      <c r="L25">
        <f>'Pretax Fuel Prices'!L26+'Fuel Taxes'!L26</f>
        <v>0</v>
      </c>
      <c r="M25">
        <f>'Pretax Fuel Prices'!M26+'Fuel Taxes'!M26</f>
        <v>0</v>
      </c>
      <c r="N25">
        <f>'Pretax Fuel Prices'!N26+'Fuel Taxes'!N26</f>
        <v>0</v>
      </c>
      <c r="O25">
        <f>'Pretax Fuel Prices'!O26+'Fuel Taxes'!O26</f>
        <v>0</v>
      </c>
      <c r="P25">
        <f>'Pretax Fuel Prices'!P26+'Fuel Taxes'!P26</f>
        <v>0</v>
      </c>
      <c r="Q25">
        <f>'Pretax Fuel Prices'!Q26+'Fuel Taxes'!Q26</f>
        <v>0</v>
      </c>
      <c r="R25">
        <f>'Pretax Fuel Prices'!R26+'Fuel Taxes'!R26</f>
        <v>0</v>
      </c>
      <c r="S25">
        <f>'Pretax Fuel Prices'!S26+'Fuel Taxes'!S26</f>
        <v>0</v>
      </c>
      <c r="T25">
        <f>'Pretax Fuel Prices'!T26+'Fuel Taxes'!T26</f>
        <v>0</v>
      </c>
      <c r="U25">
        <f>'Pretax Fuel Prices'!U26+'Fuel Taxes'!U26</f>
        <v>0</v>
      </c>
      <c r="V25">
        <f>'Pretax Fuel Prices'!V26+'Fuel Taxes'!V26</f>
        <v>0</v>
      </c>
      <c r="W25">
        <f>'Pretax Fuel Prices'!W26+'Fuel Taxes'!W26</f>
        <v>0</v>
      </c>
      <c r="X25">
        <f>'Pretax Fuel Prices'!X26+'Fuel Taxes'!X26</f>
        <v>0</v>
      </c>
      <c r="Y25">
        <f>'Pretax Fuel Prices'!Y26+'Fuel Taxes'!Y26</f>
        <v>0</v>
      </c>
      <c r="Z25">
        <f>'Pretax Fuel Prices'!Z26+'Fuel Taxes'!Z26</f>
        <v>0</v>
      </c>
      <c r="AA25">
        <f>'Pretax Fuel Prices'!AA26+'Fuel Taxes'!AA26</f>
        <v>0</v>
      </c>
      <c r="AB25">
        <f>'Pretax Fuel Prices'!AB26+'Fuel Taxes'!AB26</f>
        <v>0</v>
      </c>
      <c r="AC25">
        <f>'Pretax Fuel Prices'!AC26+'Fuel Taxes'!AC26</f>
        <v>0</v>
      </c>
      <c r="AD25">
        <f>'Pretax Fuel Prices'!AD26+'Fuel Taxes'!AD26</f>
        <v>0</v>
      </c>
      <c r="AE25">
        <f>'Pretax Fuel Prices'!AE26+'Fuel Taxes'!AE26</f>
        <v>0</v>
      </c>
    </row>
    <row r="26" spans="1:31" x14ac:dyDescent="0.75">
      <c r="A26" t="s">
        <v>55</v>
      </c>
      <c r="B26">
        <f>'Pretax Fuel Prices'!B27+'Fuel Taxes'!B27</f>
        <v>0</v>
      </c>
      <c r="C26">
        <f>'Pretax Fuel Prices'!C27+'Fuel Taxes'!C27</f>
        <v>0</v>
      </c>
      <c r="D26">
        <f>'Pretax Fuel Prices'!D27+'Fuel Taxes'!D27</f>
        <v>0</v>
      </c>
      <c r="E26">
        <f>'Pretax Fuel Prices'!E27+'Fuel Taxes'!E27</f>
        <v>0</v>
      </c>
      <c r="F26">
        <f>'Pretax Fuel Prices'!F27+'Fuel Taxes'!F27</f>
        <v>0</v>
      </c>
      <c r="G26">
        <f>'Pretax Fuel Prices'!G27+'Fuel Taxes'!G27</f>
        <v>0</v>
      </c>
      <c r="H26">
        <f>'Pretax Fuel Prices'!H27+'Fuel Taxes'!H27</f>
        <v>0</v>
      </c>
      <c r="I26">
        <f>'Pretax Fuel Prices'!I27+'Fuel Taxes'!I27</f>
        <v>0</v>
      </c>
      <c r="J26">
        <f>'Pretax Fuel Prices'!J27+'Fuel Taxes'!J27</f>
        <v>0</v>
      </c>
      <c r="K26">
        <f>'Pretax Fuel Prices'!K27+'Fuel Taxes'!K27</f>
        <v>0</v>
      </c>
      <c r="L26">
        <f>'Pretax Fuel Prices'!L27+'Fuel Taxes'!L27</f>
        <v>0</v>
      </c>
      <c r="M26">
        <f>'Pretax Fuel Prices'!M27+'Fuel Taxes'!M27</f>
        <v>0</v>
      </c>
      <c r="N26">
        <f>'Pretax Fuel Prices'!N27+'Fuel Taxes'!N27</f>
        <v>0</v>
      </c>
      <c r="O26">
        <f>'Pretax Fuel Prices'!O27+'Fuel Taxes'!O27</f>
        <v>0</v>
      </c>
      <c r="P26">
        <f>'Pretax Fuel Prices'!P27+'Fuel Taxes'!P27</f>
        <v>0</v>
      </c>
      <c r="Q26">
        <f>'Pretax Fuel Prices'!Q27+'Fuel Taxes'!Q27</f>
        <v>0</v>
      </c>
      <c r="R26">
        <f>'Pretax Fuel Prices'!R27+'Fuel Taxes'!R27</f>
        <v>0</v>
      </c>
      <c r="S26">
        <f>'Pretax Fuel Prices'!S27+'Fuel Taxes'!S27</f>
        <v>0</v>
      </c>
      <c r="T26">
        <f>'Pretax Fuel Prices'!T27+'Fuel Taxes'!T27</f>
        <v>0</v>
      </c>
      <c r="U26">
        <f>'Pretax Fuel Prices'!U27+'Fuel Taxes'!U27</f>
        <v>0</v>
      </c>
      <c r="V26">
        <f>'Pretax Fuel Prices'!V27+'Fuel Taxes'!V27</f>
        <v>0</v>
      </c>
      <c r="W26">
        <f>'Pretax Fuel Prices'!W27+'Fuel Taxes'!W27</f>
        <v>0</v>
      </c>
      <c r="X26">
        <f>'Pretax Fuel Prices'!X27+'Fuel Taxes'!X27</f>
        <v>0</v>
      </c>
      <c r="Y26">
        <f>'Pretax Fuel Prices'!Y27+'Fuel Taxes'!Y27</f>
        <v>0</v>
      </c>
      <c r="Z26">
        <f>'Pretax Fuel Prices'!Z27+'Fuel Taxes'!Z27</f>
        <v>0</v>
      </c>
      <c r="AA26">
        <f>'Pretax Fuel Prices'!AA27+'Fuel Taxes'!AA27</f>
        <v>0</v>
      </c>
      <c r="AB26">
        <f>'Pretax Fuel Prices'!AB27+'Fuel Taxes'!AB27</f>
        <v>0</v>
      </c>
      <c r="AC26">
        <f>'Pretax Fuel Prices'!AC27+'Fuel Taxes'!AC27</f>
        <v>0</v>
      </c>
      <c r="AD26">
        <f>'Pretax Fuel Prices'!AD27+'Fuel Taxes'!AD27</f>
        <v>0</v>
      </c>
      <c r="AE26">
        <f>'Pretax Fuel Prices'!AE27+'Fuel Taxes'!AE27</f>
        <v>0</v>
      </c>
    </row>
    <row r="27" spans="1:31" x14ac:dyDescent="0.75">
      <c r="A27" t="s">
        <v>56</v>
      </c>
      <c r="B27">
        <f>'Pretax Fuel Prices'!B28+'Fuel Taxes'!B28</f>
        <v>0</v>
      </c>
      <c r="C27">
        <f>'Pretax Fuel Prices'!C28+'Fuel Taxes'!C28</f>
        <v>0</v>
      </c>
      <c r="D27">
        <f>'Pretax Fuel Prices'!D28+'Fuel Taxes'!D28</f>
        <v>0</v>
      </c>
      <c r="E27">
        <f>'Pretax Fuel Prices'!E28+'Fuel Taxes'!E28</f>
        <v>0</v>
      </c>
      <c r="F27">
        <f>'Pretax Fuel Prices'!F28+'Fuel Taxes'!F28</f>
        <v>0</v>
      </c>
      <c r="G27">
        <f>'Pretax Fuel Prices'!G28+'Fuel Taxes'!G28</f>
        <v>0</v>
      </c>
      <c r="H27">
        <f>'Pretax Fuel Prices'!H28+'Fuel Taxes'!H28</f>
        <v>0</v>
      </c>
      <c r="I27">
        <f>'Pretax Fuel Prices'!I28+'Fuel Taxes'!I28</f>
        <v>0</v>
      </c>
      <c r="J27">
        <f>'Pretax Fuel Prices'!J28+'Fuel Taxes'!J28</f>
        <v>0</v>
      </c>
      <c r="K27">
        <f>'Pretax Fuel Prices'!K28+'Fuel Taxes'!K28</f>
        <v>0</v>
      </c>
      <c r="L27">
        <f>'Pretax Fuel Prices'!L28+'Fuel Taxes'!L28</f>
        <v>0</v>
      </c>
      <c r="M27">
        <f>'Pretax Fuel Prices'!M28+'Fuel Taxes'!M28</f>
        <v>0</v>
      </c>
      <c r="N27">
        <f>'Pretax Fuel Prices'!N28+'Fuel Taxes'!N28</f>
        <v>0</v>
      </c>
      <c r="O27">
        <f>'Pretax Fuel Prices'!O28+'Fuel Taxes'!O28</f>
        <v>0</v>
      </c>
      <c r="P27">
        <f>'Pretax Fuel Prices'!P28+'Fuel Taxes'!P28</f>
        <v>0</v>
      </c>
      <c r="Q27">
        <f>'Pretax Fuel Prices'!Q28+'Fuel Taxes'!Q28</f>
        <v>0</v>
      </c>
      <c r="R27">
        <f>'Pretax Fuel Prices'!R28+'Fuel Taxes'!R28</f>
        <v>0</v>
      </c>
      <c r="S27">
        <f>'Pretax Fuel Prices'!S28+'Fuel Taxes'!S28</f>
        <v>0</v>
      </c>
      <c r="T27">
        <f>'Pretax Fuel Prices'!T28+'Fuel Taxes'!T28</f>
        <v>0</v>
      </c>
      <c r="U27">
        <f>'Pretax Fuel Prices'!U28+'Fuel Taxes'!U28</f>
        <v>0</v>
      </c>
      <c r="V27">
        <f>'Pretax Fuel Prices'!V28+'Fuel Taxes'!V28</f>
        <v>0</v>
      </c>
      <c r="W27">
        <f>'Pretax Fuel Prices'!W28+'Fuel Taxes'!W28</f>
        <v>0</v>
      </c>
      <c r="X27">
        <f>'Pretax Fuel Prices'!X28+'Fuel Taxes'!X28</f>
        <v>0</v>
      </c>
      <c r="Y27">
        <f>'Pretax Fuel Prices'!Y28+'Fuel Taxes'!Y28</f>
        <v>0</v>
      </c>
      <c r="Z27">
        <f>'Pretax Fuel Prices'!Z28+'Fuel Taxes'!Z28</f>
        <v>0</v>
      </c>
      <c r="AA27">
        <f>'Pretax Fuel Prices'!AA28+'Fuel Taxes'!AA28</f>
        <v>0</v>
      </c>
      <c r="AB27">
        <f>'Pretax Fuel Prices'!AB28+'Fuel Taxes'!AB28</f>
        <v>0</v>
      </c>
      <c r="AC27">
        <f>'Pretax Fuel Prices'!AC28+'Fuel Taxes'!AC28</f>
        <v>0</v>
      </c>
      <c r="AD27">
        <f>'Pretax Fuel Prices'!AD28+'Fuel Taxes'!AD28</f>
        <v>0</v>
      </c>
      <c r="AE27">
        <f>'Pretax Fuel Prices'!AE28+'Fuel Taxes'!AE28</f>
        <v>0</v>
      </c>
    </row>
    <row r="28" spans="1:31" x14ac:dyDescent="0.75">
      <c r="A28" t="s">
        <v>57</v>
      </c>
      <c r="B28">
        <f>'Pretax Fuel Prices'!B29+'Fuel Taxes'!B29</f>
        <v>0</v>
      </c>
      <c r="C28">
        <f>'Pretax Fuel Prices'!C29+'Fuel Taxes'!C29</f>
        <v>0</v>
      </c>
      <c r="D28">
        <f>'Pretax Fuel Prices'!D29+'Fuel Taxes'!D29</f>
        <v>0</v>
      </c>
      <c r="E28">
        <f>'Pretax Fuel Prices'!E29+'Fuel Taxes'!E29</f>
        <v>0</v>
      </c>
      <c r="F28">
        <f>'Pretax Fuel Prices'!F29+'Fuel Taxes'!F29</f>
        <v>0</v>
      </c>
      <c r="G28">
        <f>'Pretax Fuel Prices'!G29+'Fuel Taxes'!G29</f>
        <v>0</v>
      </c>
      <c r="H28">
        <f>'Pretax Fuel Prices'!H29+'Fuel Taxes'!H29</f>
        <v>0</v>
      </c>
      <c r="I28">
        <f>'Pretax Fuel Prices'!I29+'Fuel Taxes'!I29</f>
        <v>0</v>
      </c>
      <c r="J28">
        <f>'Pretax Fuel Prices'!J29+'Fuel Taxes'!J29</f>
        <v>0</v>
      </c>
      <c r="K28">
        <f>'Pretax Fuel Prices'!K29+'Fuel Taxes'!K29</f>
        <v>0</v>
      </c>
      <c r="L28">
        <f>'Pretax Fuel Prices'!L29+'Fuel Taxes'!L29</f>
        <v>0</v>
      </c>
      <c r="M28">
        <f>'Pretax Fuel Prices'!M29+'Fuel Taxes'!M29</f>
        <v>0</v>
      </c>
      <c r="N28">
        <f>'Pretax Fuel Prices'!N29+'Fuel Taxes'!N29</f>
        <v>0</v>
      </c>
      <c r="O28">
        <f>'Pretax Fuel Prices'!O29+'Fuel Taxes'!O29</f>
        <v>0</v>
      </c>
      <c r="P28">
        <f>'Pretax Fuel Prices'!P29+'Fuel Taxes'!P29</f>
        <v>0</v>
      </c>
      <c r="Q28">
        <f>'Pretax Fuel Prices'!Q29+'Fuel Taxes'!Q29</f>
        <v>0</v>
      </c>
      <c r="R28">
        <f>'Pretax Fuel Prices'!R29+'Fuel Taxes'!R29</f>
        <v>0</v>
      </c>
      <c r="S28">
        <f>'Pretax Fuel Prices'!S29+'Fuel Taxes'!S29</f>
        <v>0</v>
      </c>
      <c r="T28">
        <f>'Pretax Fuel Prices'!T29+'Fuel Taxes'!T29</f>
        <v>0</v>
      </c>
      <c r="U28">
        <f>'Pretax Fuel Prices'!U29+'Fuel Taxes'!U29</f>
        <v>0</v>
      </c>
      <c r="V28">
        <f>'Pretax Fuel Prices'!V29+'Fuel Taxes'!V29</f>
        <v>0</v>
      </c>
      <c r="W28">
        <f>'Pretax Fuel Prices'!W29+'Fuel Taxes'!W29</f>
        <v>0</v>
      </c>
      <c r="X28">
        <f>'Pretax Fuel Prices'!X29+'Fuel Taxes'!X29</f>
        <v>0</v>
      </c>
      <c r="Y28">
        <f>'Pretax Fuel Prices'!Y29+'Fuel Taxes'!Y29</f>
        <v>0</v>
      </c>
      <c r="Z28">
        <f>'Pretax Fuel Prices'!Z29+'Fuel Taxes'!Z29</f>
        <v>0</v>
      </c>
      <c r="AA28">
        <f>'Pretax Fuel Prices'!AA29+'Fuel Taxes'!AA29</f>
        <v>0</v>
      </c>
      <c r="AB28">
        <f>'Pretax Fuel Prices'!AB29+'Fuel Taxes'!AB29</f>
        <v>0</v>
      </c>
      <c r="AC28">
        <f>'Pretax Fuel Prices'!AC29+'Fuel Taxes'!AC29</f>
        <v>0</v>
      </c>
      <c r="AD28">
        <f>'Pretax Fuel Prices'!AD29+'Fuel Taxes'!AD29</f>
        <v>0</v>
      </c>
      <c r="AE28">
        <f>'Pretax Fuel Prices'!AE29+'Fuel Taxes'!AE29</f>
        <v>0</v>
      </c>
    </row>
    <row r="29" spans="1:31" x14ac:dyDescent="0.75">
      <c r="A29" t="s">
        <v>58</v>
      </c>
      <c r="B29">
        <f>'Pretax Fuel Prices'!B30+'Fuel Taxes'!B30</f>
        <v>0</v>
      </c>
      <c r="C29">
        <f>'Pretax Fuel Prices'!C30+'Fuel Taxes'!C30</f>
        <v>0</v>
      </c>
      <c r="D29">
        <f>'Pretax Fuel Prices'!D30+'Fuel Taxes'!D30</f>
        <v>0</v>
      </c>
      <c r="E29">
        <f>'Pretax Fuel Prices'!E30+'Fuel Taxes'!E30</f>
        <v>0</v>
      </c>
      <c r="F29">
        <f>'Pretax Fuel Prices'!F30+'Fuel Taxes'!F30</f>
        <v>0</v>
      </c>
      <c r="G29">
        <f>'Pretax Fuel Prices'!G30+'Fuel Taxes'!G30</f>
        <v>0</v>
      </c>
      <c r="H29">
        <f>'Pretax Fuel Prices'!H30+'Fuel Taxes'!H30</f>
        <v>0</v>
      </c>
      <c r="I29">
        <f>'Pretax Fuel Prices'!I30+'Fuel Taxes'!I30</f>
        <v>0</v>
      </c>
      <c r="J29">
        <f>'Pretax Fuel Prices'!J30+'Fuel Taxes'!J30</f>
        <v>0</v>
      </c>
      <c r="K29">
        <f>'Pretax Fuel Prices'!K30+'Fuel Taxes'!K30</f>
        <v>0</v>
      </c>
      <c r="L29">
        <f>'Pretax Fuel Prices'!L30+'Fuel Taxes'!L30</f>
        <v>0</v>
      </c>
      <c r="M29">
        <f>'Pretax Fuel Prices'!M30+'Fuel Taxes'!M30</f>
        <v>0</v>
      </c>
      <c r="N29">
        <f>'Pretax Fuel Prices'!N30+'Fuel Taxes'!N30</f>
        <v>0</v>
      </c>
      <c r="O29">
        <f>'Pretax Fuel Prices'!O30+'Fuel Taxes'!O30</f>
        <v>0</v>
      </c>
      <c r="P29">
        <f>'Pretax Fuel Prices'!P30+'Fuel Taxes'!P30</f>
        <v>0</v>
      </c>
      <c r="Q29">
        <f>'Pretax Fuel Prices'!Q30+'Fuel Taxes'!Q30</f>
        <v>0</v>
      </c>
      <c r="R29">
        <f>'Pretax Fuel Prices'!R30+'Fuel Taxes'!R30</f>
        <v>0</v>
      </c>
      <c r="S29">
        <f>'Pretax Fuel Prices'!S30+'Fuel Taxes'!S30</f>
        <v>0</v>
      </c>
      <c r="T29">
        <f>'Pretax Fuel Prices'!T30+'Fuel Taxes'!T30</f>
        <v>0</v>
      </c>
      <c r="U29">
        <f>'Pretax Fuel Prices'!U30+'Fuel Taxes'!U30</f>
        <v>0</v>
      </c>
      <c r="V29">
        <f>'Pretax Fuel Prices'!V30+'Fuel Taxes'!V30</f>
        <v>0</v>
      </c>
      <c r="W29">
        <f>'Pretax Fuel Prices'!W30+'Fuel Taxes'!W30</f>
        <v>0</v>
      </c>
      <c r="X29">
        <f>'Pretax Fuel Prices'!X30+'Fuel Taxes'!X30</f>
        <v>0</v>
      </c>
      <c r="Y29">
        <f>'Pretax Fuel Prices'!Y30+'Fuel Taxes'!Y30</f>
        <v>0</v>
      </c>
      <c r="Z29">
        <f>'Pretax Fuel Prices'!Z30+'Fuel Taxes'!Z30</f>
        <v>0</v>
      </c>
      <c r="AA29">
        <f>'Pretax Fuel Prices'!AA30+'Fuel Taxes'!AA30</f>
        <v>0</v>
      </c>
      <c r="AB29">
        <f>'Pretax Fuel Prices'!AB30+'Fuel Taxes'!AB30</f>
        <v>0</v>
      </c>
      <c r="AC29">
        <f>'Pretax Fuel Prices'!AC30+'Fuel Taxes'!AC30</f>
        <v>0</v>
      </c>
      <c r="AD29">
        <f>'Pretax Fuel Prices'!AD30+'Fuel Taxes'!AD30</f>
        <v>0</v>
      </c>
      <c r="AE29">
        <f>'Pretax Fuel Prices'!AE30+'Fuel Taxes'!AE30</f>
        <v>0</v>
      </c>
    </row>
    <row r="30" spans="1:31" x14ac:dyDescent="0.75">
      <c r="A30" t="s">
        <v>59</v>
      </c>
      <c r="B30">
        <f>'Pretax Fuel Prices'!B31+'Fuel Taxes'!B31</f>
        <v>0</v>
      </c>
      <c r="C30">
        <f>'Pretax Fuel Prices'!C31+'Fuel Taxes'!C31</f>
        <v>0</v>
      </c>
      <c r="D30">
        <f>'Pretax Fuel Prices'!D31+'Fuel Taxes'!D31</f>
        <v>0</v>
      </c>
      <c r="E30">
        <f>'Pretax Fuel Prices'!E31+'Fuel Taxes'!E31</f>
        <v>0</v>
      </c>
      <c r="F30">
        <f>'Pretax Fuel Prices'!F31+'Fuel Taxes'!F31</f>
        <v>0</v>
      </c>
      <c r="G30">
        <f>'Pretax Fuel Prices'!G31+'Fuel Taxes'!G31</f>
        <v>0</v>
      </c>
      <c r="H30">
        <f>'Pretax Fuel Prices'!H31+'Fuel Taxes'!H31</f>
        <v>0</v>
      </c>
      <c r="I30">
        <f>'Pretax Fuel Prices'!I31+'Fuel Taxes'!I31</f>
        <v>0</v>
      </c>
      <c r="J30">
        <f>'Pretax Fuel Prices'!J31+'Fuel Taxes'!J31</f>
        <v>0</v>
      </c>
      <c r="K30">
        <f>'Pretax Fuel Prices'!K31+'Fuel Taxes'!K31</f>
        <v>0</v>
      </c>
      <c r="L30">
        <f>'Pretax Fuel Prices'!L31+'Fuel Taxes'!L31</f>
        <v>0</v>
      </c>
      <c r="M30">
        <f>'Pretax Fuel Prices'!M31+'Fuel Taxes'!M31</f>
        <v>0</v>
      </c>
      <c r="N30">
        <f>'Pretax Fuel Prices'!N31+'Fuel Taxes'!N31</f>
        <v>0</v>
      </c>
      <c r="O30">
        <f>'Pretax Fuel Prices'!O31+'Fuel Taxes'!O31</f>
        <v>0</v>
      </c>
      <c r="P30">
        <f>'Pretax Fuel Prices'!P31+'Fuel Taxes'!P31</f>
        <v>0</v>
      </c>
      <c r="Q30">
        <f>'Pretax Fuel Prices'!Q31+'Fuel Taxes'!Q31</f>
        <v>0</v>
      </c>
      <c r="R30">
        <f>'Pretax Fuel Prices'!R31+'Fuel Taxes'!R31</f>
        <v>0</v>
      </c>
      <c r="S30">
        <f>'Pretax Fuel Prices'!S31+'Fuel Taxes'!S31</f>
        <v>0</v>
      </c>
      <c r="T30">
        <f>'Pretax Fuel Prices'!T31+'Fuel Taxes'!T31</f>
        <v>0</v>
      </c>
      <c r="U30">
        <f>'Pretax Fuel Prices'!U31+'Fuel Taxes'!U31</f>
        <v>0</v>
      </c>
      <c r="V30">
        <f>'Pretax Fuel Prices'!V31+'Fuel Taxes'!V31</f>
        <v>0</v>
      </c>
      <c r="W30">
        <f>'Pretax Fuel Prices'!W31+'Fuel Taxes'!W31</f>
        <v>0</v>
      </c>
      <c r="X30">
        <f>'Pretax Fuel Prices'!X31+'Fuel Taxes'!X31</f>
        <v>0</v>
      </c>
      <c r="Y30">
        <f>'Pretax Fuel Prices'!Y31+'Fuel Taxes'!Y31</f>
        <v>0</v>
      </c>
      <c r="Z30">
        <f>'Pretax Fuel Prices'!Z31+'Fuel Taxes'!Z31</f>
        <v>0</v>
      </c>
      <c r="AA30">
        <f>'Pretax Fuel Prices'!AA31+'Fuel Taxes'!AA31</f>
        <v>0</v>
      </c>
      <c r="AB30">
        <f>'Pretax Fuel Prices'!AB31+'Fuel Taxes'!AB31</f>
        <v>0</v>
      </c>
      <c r="AC30">
        <f>'Pretax Fuel Prices'!AC31+'Fuel Taxes'!AC31</f>
        <v>0</v>
      </c>
      <c r="AD30">
        <f>'Pretax Fuel Prices'!AD31+'Fuel Taxes'!AD31</f>
        <v>0</v>
      </c>
      <c r="AE30">
        <f>'Pretax Fuel Prices'!AE31+'Fuel Taxes'!AE31</f>
        <v>0</v>
      </c>
    </row>
    <row r="31" spans="1:31" s="3" customFormat="1" x14ac:dyDescent="0.75">
      <c r="A31" s="5" t="s">
        <v>33</v>
      </c>
    </row>
    <row r="32" spans="1:31" x14ac:dyDescent="0.75">
      <c r="A32" t="s">
        <v>30</v>
      </c>
      <c r="B32">
        <f>'Fuel Taxes'!B$1</f>
        <v>2021</v>
      </c>
      <c r="C32">
        <f>'Fuel Taxes'!C$1</f>
        <v>2022</v>
      </c>
      <c r="D32">
        <f>'Fuel Taxes'!D$1</f>
        <v>2023</v>
      </c>
      <c r="E32">
        <f>'Fuel Taxes'!E$1</f>
        <v>2024</v>
      </c>
      <c r="F32">
        <f>'Fuel Taxes'!F$1</f>
        <v>2025</v>
      </c>
      <c r="G32">
        <f>'Fuel Taxes'!G$1</f>
        <v>2026</v>
      </c>
      <c r="H32">
        <f>'Fuel Taxes'!H$1</f>
        <v>2027</v>
      </c>
      <c r="I32">
        <f>'Fuel Taxes'!I$1</f>
        <v>2028</v>
      </c>
      <c r="J32">
        <f>'Fuel Taxes'!J$1</f>
        <v>2029</v>
      </c>
      <c r="K32">
        <f>'Fuel Taxes'!K$1</f>
        <v>2030</v>
      </c>
      <c r="L32">
        <f>'Fuel Taxes'!L$1</f>
        <v>2031</v>
      </c>
      <c r="M32">
        <f>'Fuel Taxes'!M$1</f>
        <v>2032</v>
      </c>
      <c r="N32">
        <f>'Fuel Taxes'!N$1</f>
        <v>2033</v>
      </c>
      <c r="O32">
        <f>'Fuel Taxes'!O$1</f>
        <v>2034</v>
      </c>
      <c r="P32">
        <f>'Fuel Taxes'!P$1</f>
        <v>2035</v>
      </c>
      <c r="Q32">
        <f>'Fuel Taxes'!Q$1</f>
        <v>2036</v>
      </c>
      <c r="R32">
        <f>'Fuel Taxes'!R$1</f>
        <v>2037</v>
      </c>
      <c r="S32">
        <f>'Fuel Taxes'!S$1</f>
        <v>2038</v>
      </c>
      <c r="T32">
        <f>'Fuel Taxes'!T$1</f>
        <v>2039</v>
      </c>
      <c r="U32">
        <f>'Fuel Taxes'!U$1</f>
        <v>2040</v>
      </c>
      <c r="V32">
        <f>'Fuel Taxes'!V$1</f>
        <v>2041</v>
      </c>
      <c r="W32">
        <f>'Fuel Taxes'!W$1</f>
        <v>2042</v>
      </c>
      <c r="X32">
        <f>'Fuel Taxes'!X$1</f>
        <v>2043</v>
      </c>
      <c r="Y32">
        <f>'Fuel Taxes'!Y$1</f>
        <v>2044</v>
      </c>
      <c r="Z32">
        <f>'Fuel Taxes'!Z$1</f>
        <v>2045</v>
      </c>
      <c r="AA32">
        <f>'Fuel Taxes'!AA$1</f>
        <v>2046</v>
      </c>
      <c r="AB32">
        <f>'Fuel Taxes'!AB$1</f>
        <v>2047</v>
      </c>
      <c r="AC32">
        <f>'Fuel Taxes'!AC$1</f>
        <v>2048</v>
      </c>
      <c r="AD32">
        <f>'Fuel Taxes'!AD$1</f>
        <v>2049</v>
      </c>
      <c r="AE32">
        <f>'Fuel Taxes'!AE$1</f>
        <v>2050</v>
      </c>
    </row>
    <row r="33" spans="1:31" x14ac:dyDescent="0.75">
      <c r="A33" t="s">
        <v>52</v>
      </c>
      <c r="B33">
        <f>'Pretax Fuel Prices'!B34+'Fuel Taxes'!B34</f>
        <v>0</v>
      </c>
      <c r="C33">
        <f>'Pretax Fuel Prices'!C34+'Fuel Taxes'!C34</f>
        <v>0</v>
      </c>
      <c r="D33">
        <f>'Pretax Fuel Prices'!C34+'Fuel Taxes'!D34</f>
        <v>0</v>
      </c>
      <c r="E33">
        <f>'Pretax Fuel Prices'!D34+'Fuel Taxes'!E34</f>
        <v>0</v>
      </c>
      <c r="F33">
        <f>'Pretax Fuel Prices'!E34+'Fuel Taxes'!F34</f>
        <v>0</v>
      </c>
      <c r="G33">
        <f>'Pretax Fuel Prices'!F34+'Fuel Taxes'!G34</f>
        <v>0</v>
      </c>
      <c r="H33">
        <f>'Pretax Fuel Prices'!G34+'Fuel Taxes'!H34</f>
        <v>0</v>
      </c>
      <c r="I33">
        <f>'Pretax Fuel Prices'!H34+'Fuel Taxes'!I34</f>
        <v>0</v>
      </c>
      <c r="J33">
        <f>'Pretax Fuel Prices'!I34+'Fuel Taxes'!J34</f>
        <v>0</v>
      </c>
      <c r="K33">
        <f>'Pretax Fuel Prices'!J34+'Fuel Taxes'!K34</f>
        <v>0</v>
      </c>
      <c r="L33">
        <f>'Pretax Fuel Prices'!K34+'Fuel Taxes'!L34</f>
        <v>0</v>
      </c>
      <c r="M33">
        <f>'Pretax Fuel Prices'!L34+'Fuel Taxes'!M34</f>
        <v>0</v>
      </c>
      <c r="N33">
        <f>'Pretax Fuel Prices'!M34+'Fuel Taxes'!N34</f>
        <v>0</v>
      </c>
      <c r="O33">
        <f>'Pretax Fuel Prices'!N34+'Fuel Taxes'!O34</f>
        <v>0</v>
      </c>
      <c r="P33">
        <f>'Pretax Fuel Prices'!O34+'Fuel Taxes'!P34</f>
        <v>0</v>
      </c>
      <c r="Q33">
        <f>'Pretax Fuel Prices'!P34+'Fuel Taxes'!Q34</f>
        <v>0</v>
      </c>
      <c r="R33">
        <f>'Pretax Fuel Prices'!Q34+'Fuel Taxes'!R34</f>
        <v>0</v>
      </c>
      <c r="S33">
        <f>'Pretax Fuel Prices'!R34+'Fuel Taxes'!S34</f>
        <v>0</v>
      </c>
      <c r="T33">
        <f>'Pretax Fuel Prices'!S34+'Fuel Taxes'!T34</f>
        <v>0</v>
      </c>
      <c r="U33">
        <f>'Pretax Fuel Prices'!T34+'Fuel Taxes'!U34</f>
        <v>0</v>
      </c>
      <c r="V33">
        <f>'Pretax Fuel Prices'!U34+'Fuel Taxes'!V34</f>
        <v>0</v>
      </c>
      <c r="W33">
        <f>'Pretax Fuel Prices'!V34+'Fuel Taxes'!W34</f>
        <v>0</v>
      </c>
      <c r="X33">
        <f>'Pretax Fuel Prices'!W34+'Fuel Taxes'!X34</f>
        <v>0</v>
      </c>
      <c r="Y33">
        <f>'Pretax Fuel Prices'!X34+'Fuel Taxes'!Y34</f>
        <v>0</v>
      </c>
      <c r="Z33">
        <f>'Pretax Fuel Prices'!Y34+'Fuel Taxes'!Z34</f>
        <v>0</v>
      </c>
      <c r="AA33">
        <f>'Pretax Fuel Prices'!Z34+'Fuel Taxes'!AA34</f>
        <v>0</v>
      </c>
      <c r="AB33">
        <f>'Pretax Fuel Prices'!AA34+'Fuel Taxes'!AB34</f>
        <v>0</v>
      </c>
      <c r="AC33">
        <f>'Pretax Fuel Prices'!AB34+'Fuel Taxes'!AC34</f>
        <v>0</v>
      </c>
      <c r="AD33">
        <f>'Pretax Fuel Prices'!AC34+'Fuel Taxes'!AD34</f>
        <v>0</v>
      </c>
      <c r="AE33">
        <f>'Pretax Fuel Prices'!AD34+'Fuel Taxes'!AE34</f>
        <v>0</v>
      </c>
    </row>
    <row r="34" spans="1:31" x14ac:dyDescent="0.75">
      <c r="A34" t="s">
        <v>53</v>
      </c>
      <c r="B34">
        <f>'Pretax Fuel Prices'!B35+'Fuel Taxes'!B35</f>
        <v>2.0290800000000005E-6</v>
      </c>
      <c r="C34">
        <f>'Pretax Fuel Prices'!C35+'Fuel Taxes'!C35</f>
        <v>2.0290800000000005E-6</v>
      </c>
      <c r="D34">
        <f>'Pretax Fuel Prices'!C35+'Fuel Taxes'!D35</f>
        <v>2.0290800000000005E-6</v>
      </c>
      <c r="E34">
        <f>'Pretax Fuel Prices'!D35+'Fuel Taxes'!E35</f>
        <v>2.0335448470870558E-6</v>
      </c>
      <c r="F34">
        <f>'Pretax Fuel Prices'!E35+'Fuel Taxes'!F35</f>
        <v>2.0947395159861102E-6</v>
      </c>
      <c r="G34">
        <f>'Pretax Fuel Prices'!F35+'Fuel Taxes'!G35</f>
        <v>2.0947395159861102E-6</v>
      </c>
      <c r="H34">
        <f>'Pretax Fuel Prices'!G35+'Fuel Taxes'!H35</f>
        <v>2.0947395159861102E-6</v>
      </c>
      <c r="I34">
        <f>'Pretax Fuel Prices'!H35+'Fuel Taxes'!I35</f>
        <v>2.0947395159861102E-6</v>
      </c>
      <c r="J34">
        <f>'Pretax Fuel Prices'!I35+'Fuel Taxes'!J35</f>
        <v>2.0947395159861102E-6</v>
      </c>
      <c r="K34">
        <f>'Pretax Fuel Prices'!J35+'Fuel Taxes'!K35</f>
        <v>2.0947395159861102E-6</v>
      </c>
      <c r="L34">
        <f>'Pretax Fuel Prices'!K35+'Fuel Taxes'!L35</f>
        <v>2.0947395159861102E-6</v>
      </c>
      <c r="M34">
        <f>'Pretax Fuel Prices'!L35+'Fuel Taxes'!M35</f>
        <v>2.0947395159861102E-6</v>
      </c>
      <c r="N34">
        <f>'Pretax Fuel Prices'!M35+'Fuel Taxes'!N35</f>
        <v>2.0947395159861102E-6</v>
      </c>
      <c r="O34">
        <f>'Pretax Fuel Prices'!N35+'Fuel Taxes'!O35</f>
        <v>2.0947395159861102E-6</v>
      </c>
      <c r="P34">
        <f>'Pretax Fuel Prices'!O35+'Fuel Taxes'!P35</f>
        <v>2.0947395159861102E-6</v>
      </c>
      <c r="Q34">
        <f>'Pretax Fuel Prices'!P35+'Fuel Taxes'!Q35</f>
        <v>2.0947395159861102E-6</v>
      </c>
      <c r="R34">
        <f>'Pretax Fuel Prices'!Q35+'Fuel Taxes'!R35</f>
        <v>2.0947395159861102E-6</v>
      </c>
      <c r="S34">
        <f>'Pretax Fuel Prices'!R35+'Fuel Taxes'!S35</f>
        <v>2.0947395159861102E-6</v>
      </c>
      <c r="T34">
        <f>'Pretax Fuel Prices'!S35+'Fuel Taxes'!T35</f>
        <v>2.0947395159861102E-6</v>
      </c>
      <c r="U34">
        <f>'Pretax Fuel Prices'!T35+'Fuel Taxes'!U35</f>
        <v>2.0947395159861102E-6</v>
      </c>
      <c r="V34">
        <f>'Pretax Fuel Prices'!U35+'Fuel Taxes'!V35</f>
        <v>2.0947395159861102E-6</v>
      </c>
      <c r="W34">
        <f>'Pretax Fuel Prices'!V35+'Fuel Taxes'!W35</f>
        <v>2.0947395159861102E-6</v>
      </c>
      <c r="X34">
        <f>'Pretax Fuel Prices'!W35+'Fuel Taxes'!X35</f>
        <v>2.0947395159861102E-6</v>
      </c>
      <c r="Y34">
        <f>'Pretax Fuel Prices'!X35+'Fuel Taxes'!Y35</f>
        <v>2.0947395159861102E-6</v>
      </c>
      <c r="Z34">
        <f>'Pretax Fuel Prices'!Y35+'Fuel Taxes'!Z35</f>
        <v>2.0947395159861102E-6</v>
      </c>
      <c r="AA34">
        <f>'Pretax Fuel Prices'!Z35+'Fuel Taxes'!AA35</f>
        <v>2.0947395159861102E-6</v>
      </c>
      <c r="AB34">
        <f>'Pretax Fuel Prices'!AA35+'Fuel Taxes'!AB35</f>
        <v>2.0947395159861102E-6</v>
      </c>
      <c r="AC34">
        <f>'Pretax Fuel Prices'!AB35+'Fuel Taxes'!AC35</f>
        <v>2.0947395159861102E-6</v>
      </c>
      <c r="AD34">
        <f>'Pretax Fuel Prices'!AC35+'Fuel Taxes'!AD35</f>
        <v>2.0947395159861102E-6</v>
      </c>
      <c r="AE34">
        <f>'Pretax Fuel Prices'!AD35+'Fuel Taxes'!AE35</f>
        <v>2.0947395159861102E-6</v>
      </c>
    </row>
    <row r="35" spans="1:31" x14ac:dyDescent="0.75">
      <c r="A35" t="s">
        <v>54</v>
      </c>
      <c r="B35">
        <f>'Pretax Fuel Prices'!B36+'Fuel Taxes'!B36</f>
        <v>8.0888999999999998E-6</v>
      </c>
      <c r="C35">
        <f>'Pretax Fuel Prices'!C36+'Fuel Taxes'!C36</f>
        <v>8.0888999999999998E-6</v>
      </c>
      <c r="D35">
        <f>'Pretax Fuel Prices'!C36+'Fuel Taxes'!D36</f>
        <v>8.0888999999999998E-6</v>
      </c>
      <c r="E35">
        <f>'Pretax Fuel Prices'!D36+'Fuel Taxes'!E36</f>
        <v>8.1501269168879759E-6</v>
      </c>
      <c r="F35">
        <f>'Pretax Fuel Prices'!E36+'Fuel Taxes'!F36</f>
        <v>8.9892958365878792E-6</v>
      </c>
      <c r="G35">
        <f>'Pretax Fuel Prices'!F36+'Fuel Taxes'!G36</f>
        <v>8.9892958365878792E-6</v>
      </c>
      <c r="H35">
        <f>'Pretax Fuel Prices'!G36+'Fuel Taxes'!H36</f>
        <v>8.9892958365878792E-6</v>
      </c>
      <c r="I35">
        <f>'Pretax Fuel Prices'!H36+'Fuel Taxes'!I36</f>
        <v>8.9892958365878792E-6</v>
      </c>
      <c r="J35">
        <f>'Pretax Fuel Prices'!I36+'Fuel Taxes'!J36</f>
        <v>8.9892958365878792E-6</v>
      </c>
      <c r="K35">
        <f>'Pretax Fuel Prices'!J36+'Fuel Taxes'!K36</f>
        <v>8.9892958365878792E-6</v>
      </c>
      <c r="L35">
        <f>'Pretax Fuel Prices'!K36+'Fuel Taxes'!L36</f>
        <v>8.9892958365878792E-6</v>
      </c>
      <c r="M35">
        <f>'Pretax Fuel Prices'!L36+'Fuel Taxes'!M36</f>
        <v>8.9892958365878792E-6</v>
      </c>
      <c r="N35">
        <f>'Pretax Fuel Prices'!M36+'Fuel Taxes'!N36</f>
        <v>8.9892958365878792E-6</v>
      </c>
      <c r="O35">
        <f>'Pretax Fuel Prices'!N36+'Fuel Taxes'!O36</f>
        <v>8.9892958365878792E-6</v>
      </c>
      <c r="P35">
        <f>'Pretax Fuel Prices'!O36+'Fuel Taxes'!P36</f>
        <v>8.9892958365878792E-6</v>
      </c>
      <c r="Q35">
        <f>'Pretax Fuel Prices'!P36+'Fuel Taxes'!Q36</f>
        <v>8.9892958365878792E-6</v>
      </c>
      <c r="R35">
        <f>'Pretax Fuel Prices'!Q36+'Fuel Taxes'!R36</f>
        <v>8.9892958365878792E-6</v>
      </c>
      <c r="S35">
        <f>'Pretax Fuel Prices'!R36+'Fuel Taxes'!S36</f>
        <v>8.9892958365878792E-6</v>
      </c>
      <c r="T35">
        <f>'Pretax Fuel Prices'!S36+'Fuel Taxes'!T36</f>
        <v>8.9892958365878792E-6</v>
      </c>
      <c r="U35">
        <f>'Pretax Fuel Prices'!T36+'Fuel Taxes'!U36</f>
        <v>8.9892958365878792E-6</v>
      </c>
      <c r="V35">
        <f>'Pretax Fuel Prices'!U36+'Fuel Taxes'!V36</f>
        <v>8.9892958365878792E-6</v>
      </c>
      <c r="W35">
        <f>'Pretax Fuel Prices'!V36+'Fuel Taxes'!W36</f>
        <v>8.9892958365878792E-6</v>
      </c>
      <c r="X35">
        <f>'Pretax Fuel Prices'!W36+'Fuel Taxes'!X36</f>
        <v>8.9892958365878792E-6</v>
      </c>
      <c r="Y35">
        <f>'Pretax Fuel Prices'!X36+'Fuel Taxes'!Y36</f>
        <v>8.9892958365878792E-6</v>
      </c>
      <c r="Z35">
        <f>'Pretax Fuel Prices'!Y36+'Fuel Taxes'!Z36</f>
        <v>8.9892958365878792E-6</v>
      </c>
      <c r="AA35">
        <f>'Pretax Fuel Prices'!Z36+'Fuel Taxes'!AA36</f>
        <v>8.9892958365878792E-6</v>
      </c>
      <c r="AB35">
        <f>'Pretax Fuel Prices'!AA36+'Fuel Taxes'!AB36</f>
        <v>8.9892958365878792E-6</v>
      </c>
      <c r="AC35">
        <f>'Pretax Fuel Prices'!AB36+'Fuel Taxes'!AC36</f>
        <v>8.9892958365878792E-6</v>
      </c>
      <c r="AD35">
        <f>'Pretax Fuel Prices'!AC36+'Fuel Taxes'!AD36</f>
        <v>8.9892958365878792E-6</v>
      </c>
      <c r="AE35">
        <f>'Pretax Fuel Prices'!AD36+'Fuel Taxes'!AE36</f>
        <v>8.9892958365878792E-6</v>
      </c>
    </row>
    <row r="36" spans="1:31" x14ac:dyDescent="0.75">
      <c r="A36" t="s">
        <v>55</v>
      </c>
      <c r="B36">
        <f>'Pretax Fuel Prices'!B37+'Fuel Taxes'!B37</f>
        <v>3.7565400000000006E-6</v>
      </c>
      <c r="C36">
        <f>'Pretax Fuel Prices'!C37+'Fuel Taxes'!C37</f>
        <v>3.7565400000000006E-6</v>
      </c>
      <c r="D36">
        <f>'Pretax Fuel Prices'!C37+'Fuel Taxes'!D37</f>
        <v>3.7565400000000006E-6</v>
      </c>
      <c r="E36">
        <f>'Pretax Fuel Prices'!D37+'Fuel Taxes'!E37</f>
        <v>3.7137339459752813E-6</v>
      </c>
      <c r="F36">
        <f>'Pretax Fuel Prices'!E37+'Fuel Taxes'!F37</f>
        <v>3.1270392055188349E-6</v>
      </c>
      <c r="G36">
        <f>'Pretax Fuel Prices'!F37+'Fuel Taxes'!G37</f>
        <v>3.1270392055188349E-6</v>
      </c>
      <c r="H36">
        <f>'Pretax Fuel Prices'!G37+'Fuel Taxes'!H37</f>
        <v>3.1270392055188349E-6</v>
      </c>
      <c r="I36">
        <f>'Pretax Fuel Prices'!H37+'Fuel Taxes'!I37</f>
        <v>3.1270392055188349E-6</v>
      </c>
      <c r="J36">
        <f>'Pretax Fuel Prices'!I37+'Fuel Taxes'!J37</f>
        <v>3.1270392055188349E-6</v>
      </c>
      <c r="K36">
        <f>'Pretax Fuel Prices'!J37+'Fuel Taxes'!K37</f>
        <v>3.1270392055188349E-6</v>
      </c>
      <c r="L36">
        <f>'Pretax Fuel Prices'!K37+'Fuel Taxes'!L37</f>
        <v>3.1270392055188349E-6</v>
      </c>
      <c r="M36">
        <f>'Pretax Fuel Prices'!L37+'Fuel Taxes'!M37</f>
        <v>3.1270392055188349E-6</v>
      </c>
      <c r="N36">
        <f>'Pretax Fuel Prices'!M37+'Fuel Taxes'!N37</f>
        <v>3.1270392055188349E-6</v>
      </c>
      <c r="O36">
        <f>'Pretax Fuel Prices'!N37+'Fuel Taxes'!O37</f>
        <v>3.1270392055188349E-6</v>
      </c>
      <c r="P36">
        <f>'Pretax Fuel Prices'!O37+'Fuel Taxes'!P37</f>
        <v>3.1270392055188349E-6</v>
      </c>
      <c r="Q36">
        <f>'Pretax Fuel Prices'!P37+'Fuel Taxes'!Q37</f>
        <v>3.1270392055188349E-6</v>
      </c>
      <c r="R36">
        <f>'Pretax Fuel Prices'!Q37+'Fuel Taxes'!R37</f>
        <v>3.1270392055188349E-6</v>
      </c>
      <c r="S36">
        <f>'Pretax Fuel Prices'!R37+'Fuel Taxes'!S37</f>
        <v>3.1270392055188349E-6</v>
      </c>
      <c r="T36">
        <f>'Pretax Fuel Prices'!S37+'Fuel Taxes'!T37</f>
        <v>3.1270392055188349E-6</v>
      </c>
      <c r="U36">
        <f>'Pretax Fuel Prices'!T37+'Fuel Taxes'!U37</f>
        <v>3.1270392055188349E-6</v>
      </c>
      <c r="V36">
        <f>'Pretax Fuel Prices'!U37+'Fuel Taxes'!V37</f>
        <v>3.1270392055188349E-6</v>
      </c>
      <c r="W36">
        <f>'Pretax Fuel Prices'!V37+'Fuel Taxes'!W37</f>
        <v>3.1270392055188349E-6</v>
      </c>
      <c r="X36">
        <f>'Pretax Fuel Prices'!W37+'Fuel Taxes'!X37</f>
        <v>3.1270392055188349E-6</v>
      </c>
      <c r="Y36">
        <f>'Pretax Fuel Prices'!X37+'Fuel Taxes'!Y37</f>
        <v>3.1270392055188349E-6</v>
      </c>
      <c r="Z36">
        <f>'Pretax Fuel Prices'!Y37+'Fuel Taxes'!Z37</f>
        <v>3.1270392055188349E-6</v>
      </c>
      <c r="AA36">
        <f>'Pretax Fuel Prices'!Z37+'Fuel Taxes'!AA37</f>
        <v>3.1270392055188349E-6</v>
      </c>
      <c r="AB36">
        <f>'Pretax Fuel Prices'!AA37+'Fuel Taxes'!AB37</f>
        <v>3.1270392055188349E-6</v>
      </c>
      <c r="AC36">
        <f>'Pretax Fuel Prices'!AB37+'Fuel Taxes'!AC37</f>
        <v>3.1270392055188349E-6</v>
      </c>
      <c r="AD36">
        <f>'Pretax Fuel Prices'!AC37+'Fuel Taxes'!AD37</f>
        <v>3.1270392055188349E-6</v>
      </c>
      <c r="AE36">
        <f>'Pretax Fuel Prices'!AD37+'Fuel Taxes'!AE37</f>
        <v>3.1270392055188349E-6</v>
      </c>
    </row>
    <row r="37" spans="1:31" x14ac:dyDescent="0.75">
      <c r="A37" t="s">
        <v>56</v>
      </c>
      <c r="B37">
        <f>'Pretax Fuel Prices'!B38+'Fuel Taxes'!B38</f>
        <v>2.4038199999999999E-6</v>
      </c>
      <c r="C37">
        <f>'Pretax Fuel Prices'!C38+'Fuel Taxes'!C38</f>
        <v>2.4038199999999999E-6</v>
      </c>
      <c r="D37">
        <f>'Pretax Fuel Prices'!C38+'Fuel Taxes'!D38</f>
        <v>2.4038199999999999E-6</v>
      </c>
      <c r="E37">
        <f>'Pretax Fuel Prices'!D38+'Fuel Taxes'!E38</f>
        <v>2.3991987615718962E-6</v>
      </c>
      <c r="F37">
        <f>'Pretax Fuel Prices'!E38+'Fuel Taxes'!F38</f>
        <v>2.3358606113514182E-6</v>
      </c>
      <c r="G37">
        <f>'Pretax Fuel Prices'!F38+'Fuel Taxes'!G38</f>
        <v>2.3358606113514182E-6</v>
      </c>
      <c r="H37">
        <f>'Pretax Fuel Prices'!G38+'Fuel Taxes'!H38</f>
        <v>2.3358606113514182E-6</v>
      </c>
      <c r="I37">
        <f>'Pretax Fuel Prices'!H38+'Fuel Taxes'!I38</f>
        <v>2.3358606113514182E-6</v>
      </c>
      <c r="J37">
        <f>'Pretax Fuel Prices'!I38+'Fuel Taxes'!J38</f>
        <v>2.3358606113514182E-6</v>
      </c>
      <c r="K37">
        <f>'Pretax Fuel Prices'!J38+'Fuel Taxes'!K38</f>
        <v>2.3358606113514182E-6</v>
      </c>
      <c r="L37">
        <f>'Pretax Fuel Prices'!K38+'Fuel Taxes'!L38</f>
        <v>2.3358606113514182E-6</v>
      </c>
      <c r="M37">
        <f>'Pretax Fuel Prices'!L38+'Fuel Taxes'!M38</f>
        <v>2.3358606113514182E-6</v>
      </c>
      <c r="N37">
        <f>'Pretax Fuel Prices'!M38+'Fuel Taxes'!N38</f>
        <v>2.3358606113514182E-6</v>
      </c>
      <c r="O37">
        <f>'Pretax Fuel Prices'!N38+'Fuel Taxes'!O38</f>
        <v>2.3358606113514182E-6</v>
      </c>
      <c r="P37">
        <f>'Pretax Fuel Prices'!O38+'Fuel Taxes'!P38</f>
        <v>2.3358606113514182E-6</v>
      </c>
      <c r="Q37">
        <f>'Pretax Fuel Prices'!P38+'Fuel Taxes'!Q38</f>
        <v>2.3358606113514182E-6</v>
      </c>
      <c r="R37">
        <f>'Pretax Fuel Prices'!Q38+'Fuel Taxes'!R38</f>
        <v>2.3358606113514182E-6</v>
      </c>
      <c r="S37">
        <f>'Pretax Fuel Prices'!R38+'Fuel Taxes'!S38</f>
        <v>2.3358606113514182E-6</v>
      </c>
      <c r="T37">
        <f>'Pretax Fuel Prices'!S38+'Fuel Taxes'!T38</f>
        <v>2.3358606113514182E-6</v>
      </c>
      <c r="U37">
        <f>'Pretax Fuel Prices'!T38+'Fuel Taxes'!U38</f>
        <v>2.3358606113514182E-6</v>
      </c>
      <c r="V37">
        <f>'Pretax Fuel Prices'!U38+'Fuel Taxes'!V38</f>
        <v>2.3358606113514182E-6</v>
      </c>
      <c r="W37">
        <f>'Pretax Fuel Prices'!V38+'Fuel Taxes'!W38</f>
        <v>2.3358606113514182E-6</v>
      </c>
      <c r="X37">
        <f>'Pretax Fuel Prices'!W38+'Fuel Taxes'!X38</f>
        <v>2.3358606113514182E-6</v>
      </c>
      <c r="Y37">
        <f>'Pretax Fuel Prices'!X38+'Fuel Taxes'!Y38</f>
        <v>2.3358606113514182E-6</v>
      </c>
      <c r="Z37">
        <f>'Pretax Fuel Prices'!Y38+'Fuel Taxes'!Z38</f>
        <v>2.3358606113514182E-6</v>
      </c>
      <c r="AA37">
        <f>'Pretax Fuel Prices'!Z38+'Fuel Taxes'!AA38</f>
        <v>2.3358606113514182E-6</v>
      </c>
      <c r="AB37">
        <f>'Pretax Fuel Prices'!AA38+'Fuel Taxes'!AB38</f>
        <v>2.3358606113514182E-6</v>
      </c>
      <c r="AC37">
        <f>'Pretax Fuel Prices'!AB38+'Fuel Taxes'!AC38</f>
        <v>2.3358606113514182E-6</v>
      </c>
      <c r="AD37">
        <f>'Pretax Fuel Prices'!AC38+'Fuel Taxes'!AD38</f>
        <v>2.3358606113514182E-6</v>
      </c>
      <c r="AE37">
        <f>'Pretax Fuel Prices'!AD38+'Fuel Taxes'!AE38</f>
        <v>2.3358606113514182E-6</v>
      </c>
    </row>
    <row r="38" spans="1:31" x14ac:dyDescent="0.75">
      <c r="A38" t="s">
        <v>57</v>
      </c>
      <c r="B38">
        <f>'Pretax Fuel Prices'!B39+'Fuel Taxes'!B39</f>
        <v>2.0290800000000005E-6</v>
      </c>
      <c r="C38">
        <f>'Pretax Fuel Prices'!C39+'Fuel Taxes'!C39</f>
        <v>2.0290800000000005E-6</v>
      </c>
      <c r="D38">
        <f>'Pretax Fuel Prices'!C39+'Fuel Taxes'!D39</f>
        <v>2.0290800000000005E-6</v>
      </c>
      <c r="E38">
        <f>'Pretax Fuel Prices'!D39+'Fuel Taxes'!E39</f>
        <v>2.0335448470870558E-6</v>
      </c>
      <c r="F38">
        <f>'Pretax Fuel Prices'!E39+'Fuel Taxes'!F39</f>
        <v>2.0947395159861102E-6</v>
      </c>
      <c r="G38">
        <f>'Pretax Fuel Prices'!F39+'Fuel Taxes'!G39</f>
        <v>2.0947395159861102E-6</v>
      </c>
      <c r="H38">
        <f>'Pretax Fuel Prices'!G39+'Fuel Taxes'!H39</f>
        <v>2.0947395159861102E-6</v>
      </c>
      <c r="I38">
        <f>'Pretax Fuel Prices'!H39+'Fuel Taxes'!I39</f>
        <v>2.0947395159861102E-6</v>
      </c>
      <c r="J38">
        <f>'Pretax Fuel Prices'!I39+'Fuel Taxes'!J39</f>
        <v>2.0947395159861102E-6</v>
      </c>
      <c r="K38">
        <f>'Pretax Fuel Prices'!J39+'Fuel Taxes'!K39</f>
        <v>2.0947395159861102E-6</v>
      </c>
      <c r="L38">
        <f>'Pretax Fuel Prices'!K39+'Fuel Taxes'!L39</f>
        <v>2.0947395159861102E-6</v>
      </c>
      <c r="M38">
        <f>'Pretax Fuel Prices'!L39+'Fuel Taxes'!M39</f>
        <v>2.0947395159861102E-6</v>
      </c>
      <c r="N38">
        <f>'Pretax Fuel Prices'!M39+'Fuel Taxes'!N39</f>
        <v>2.0947395159861102E-6</v>
      </c>
      <c r="O38">
        <f>'Pretax Fuel Prices'!N39+'Fuel Taxes'!O39</f>
        <v>2.0947395159861102E-6</v>
      </c>
      <c r="P38">
        <f>'Pretax Fuel Prices'!O39+'Fuel Taxes'!P39</f>
        <v>2.0947395159861102E-6</v>
      </c>
      <c r="Q38">
        <f>'Pretax Fuel Prices'!P39+'Fuel Taxes'!Q39</f>
        <v>2.0947395159861102E-6</v>
      </c>
      <c r="R38">
        <f>'Pretax Fuel Prices'!Q39+'Fuel Taxes'!R39</f>
        <v>2.0947395159861102E-6</v>
      </c>
      <c r="S38">
        <f>'Pretax Fuel Prices'!R39+'Fuel Taxes'!S39</f>
        <v>2.0947395159861102E-6</v>
      </c>
      <c r="T38">
        <f>'Pretax Fuel Prices'!S39+'Fuel Taxes'!T39</f>
        <v>2.0947395159861102E-6</v>
      </c>
      <c r="U38">
        <f>'Pretax Fuel Prices'!T39+'Fuel Taxes'!U39</f>
        <v>2.0947395159861102E-6</v>
      </c>
      <c r="V38">
        <f>'Pretax Fuel Prices'!U39+'Fuel Taxes'!V39</f>
        <v>2.0947395159861102E-6</v>
      </c>
      <c r="W38">
        <f>'Pretax Fuel Prices'!V39+'Fuel Taxes'!W39</f>
        <v>2.0947395159861102E-6</v>
      </c>
      <c r="X38">
        <f>'Pretax Fuel Prices'!W39+'Fuel Taxes'!X39</f>
        <v>2.0947395159861102E-6</v>
      </c>
      <c r="Y38">
        <f>'Pretax Fuel Prices'!X39+'Fuel Taxes'!Y39</f>
        <v>2.0947395159861102E-6</v>
      </c>
      <c r="Z38">
        <f>'Pretax Fuel Prices'!Y39+'Fuel Taxes'!Z39</f>
        <v>2.0947395159861102E-6</v>
      </c>
      <c r="AA38">
        <f>'Pretax Fuel Prices'!Z39+'Fuel Taxes'!AA39</f>
        <v>2.0947395159861102E-6</v>
      </c>
      <c r="AB38">
        <f>'Pretax Fuel Prices'!AA39+'Fuel Taxes'!AB39</f>
        <v>2.0947395159861102E-6</v>
      </c>
      <c r="AC38">
        <f>'Pretax Fuel Prices'!AB39+'Fuel Taxes'!AC39</f>
        <v>2.0947395159861102E-6</v>
      </c>
      <c r="AD38">
        <f>'Pretax Fuel Prices'!AC39+'Fuel Taxes'!AD39</f>
        <v>2.0947395159861102E-6</v>
      </c>
      <c r="AE38">
        <f>'Pretax Fuel Prices'!AD39+'Fuel Taxes'!AE39</f>
        <v>2.0947395159861102E-6</v>
      </c>
    </row>
    <row r="39" spans="1:31" x14ac:dyDescent="0.75">
      <c r="A39" t="s">
        <v>58</v>
      </c>
      <c r="B39">
        <f>'Pretax Fuel Prices'!B40+'Fuel Taxes'!B40</f>
        <v>0</v>
      </c>
      <c r="C39">
        <f>'Pretax Fuel Prices'!C40+'Fuel Taxes'!C40</f>
        <v>0</v>
      </c>
      <c r="D39">
        <f>'Pretax Fuel Prices'!C40+'Fuel Taxes'!D40</f>
        <v>0</v>
      </c>
      <c r="E39">
        <f>'Pretax Fuel Prices'!D40+'Fuel Taxes'!E40</f>
        <v>0</v>
      </c>
      <c r="F39">
        <f>'Pretax Fuel Prices'!E40+'Fuel Taxes'!F40</f>
        <v>0</v>
      </c>
      <c r="G39">
        <f>'Pretax Fuel Prices'!F40+'Fuel Taxes'!G40</f>
        <v>0</v>
      </c>
      <c r="H39">
        <f>'Pretax Fuel Prices'!G40+'Fuel Taxes'!H40</f>
        <v>0</v>
      </c>
      <c r="I39">
        <f>'Pretax Fuel Prices'!H40+'Fuel Taxes'!I40</f>
        <v>0</v>
      </c>
      <c r="J39">
        <f>'Pretax Fuel Prices'!I40+'Fuel Taxes'!J40</f>
        <v>0</v>
      </c>
      <c r="K39">
        <f>'Pretax Fuel Prices'!J40+'Fuel Taxes'!K40</f>
        <v>0</v>
      </c>
      <c r="L39">
        <f>'Pretax Fuel Prices'!K40+'Fuel Taxes'!L40</f>
        <v>0</v>
      </c>
      <c r="M39">
        <f>'Pretax Fuel Prices'!L40+'Fuel Taxes'!M40</f>
        <v>0</v>
      </c>
      <c r="N39">
        <f>'Pretax Fuel Prices'!M40+'Fuel Taxes'!N40</f>
        <v>0</v>
      </c>
      <c r="O39">
        <f>'Pretax Fuel Prices'!N40+'Fuel Taxes'!O40</f>
        <v>0</v>
      </c>
      <c r="P39">
        <f>'Pretax Fuel Prices'!O40+'Fuel Taxes'!P40</f>
        <v>0</v>
      </c>
      <c r="Q39">
        <f>'Pretax Fuel Prices'!P40+'Fuel Taxes'!Q40</f>
        <v>0</v>
      </c>
      <c r="R39">
        <f>'Pretax Fuel Prices'!Q40+'Fuel Taxes'!R40</f>
        <v>0</v>
      </c>
      <c r="S39">
        <f>'Pretax Fuel Prices'!R40+'Fuel Taxes'!S40</f>
        <v>0</v>
      </c>
      <c r="T39">
        <f>'Pretax Fuel Prices'!S40+'Fuel Taxes'!T40</f>
        <v>0</v>
      </c>
      <c r="U39">
        <f>'Pretax Fuel Prices'!T40+'Fuel Taxes'!U40</f>
        <v>0</v>
      </c>
      <c r="V39">
        <f>'Pretax Fuel Prices'!U40+'Fuel Taxes'!V40</f>
        <v>0</v>
      </c>
      <c r="W39">
        <f>'Pretax Fuel Prices'!V40+'Fuel Taxes'!W40</f>
        <v>0</v>
      </c>
      <c r="X39">
        <f>'Pretax Fuel Prices'!W40+'Fuel Taxes'!X40</f>
        <v>0</v>
      </c>
      <c r="Y39">
        <f>'Pretax Fuel Prices'!X40+'Fuel Taxes'!Y40</f>
        <v>0</v>
      </c>
      <c r="Z39">
        <f>'Pretax Fuel Prices'!Y40+'Fuel Taxes'!Z40</f>
        <v>0</v>
      </c>
      <c r="AA39">
        <f>'Pretax Fuel Prices'!Z40+'Fuel Taxes'!AA40</f>
        <v>0</v>
      </c>
      <c r="AB39">
        <f>'Pretax Fuel Prices'!AA40+'Fuel Taxes'!AB40</f>
        <v>0</v>
      </c>
      <c r="AC39">
        <f>'Pretax Fuel Prices'!AB40+'Fuel Taxes'!AC40</f>
        <v>0</v>
      </c>
      <c r="AD39">
        <f>'Pretax Fuel Prices'!AC40+'Fuel Taxes'!AD40</f>
        <v>0</v>
      </c>
      <c r="AE39">
        <f>'Pretax Fuel Prices'!AD40+'Fuel Taxes'!AE40</f>
        <v>0</v>
      </c>
    </row>
    <row r="40" spans="1:31" x14ac:dyDescent="0.75">
      <c r="A40" t="s">
        <v>59</v>
      </c>
      <c r="B40">
        <f>'Pretax Fuel Prices'!B41+'Fuel Taxes'!B41</f>
        <v>2.4038199999999999E-6</v>
      </c>
      <c r="C40">
        <f>'Pretax Fuel Prices'!C41+'Fuel Taxes'!C41</f>
        <v>2.4038199999999999E-6</v>
      </c>
      <c r="D40">
        <f>'Pretax Fuel Prices'!C41+'Fuel Taxes'!D41</f>
        <v>2.4038199999999999E-6</v>
      </c>
      <c r="E40">
        <f>'Pretax Fuel Prices'!D41+'Fuel Taxes'!E41</f>
        <v>2.3991987615718962E-6</v>
      </c>
      <c r="F40">
        <f>'Pretax Fuel Prices'!E41+'Fuel Taxes'!F41</f>
        <v>2.3358606113514182E-6</v>
      </c>
      <c r="G40">
        <f>'Pretax Fuel Prices'!F41+'Fuel Taxes'!G41</f>
        <v>2.3358606113514182E-6</v>
      </c>
      <c r="H40">
        <f>'Pretax Fuel Prices'!G41+'Fuel Taxes'!H41</f>
        <v>2.3358606113514182E-6</v>
      </c>
      <c r="I40">
        <f>'Pretax Fuel Prices'!H41+'Fuel Taxes'!I41</f>
        <v>2.3358606113514182E-6</v>
      </c>
      <c r="J40">
        <f>'Pretax Fuel Prices'!I41+'Fuel Taxes'!J41</f>
        <v>2.3358606113514182E-6</v>
      </c>
      <c r="K40">
        <f>'Pretax Fuel Prices'!J41+'Fuel Taxes'!K41</f>
        <v>2.3358606113514182E-6</v>
      </c>
      <c r="L40">
        <f>'Pretax Fuel Prices'!K41+'Fuel Taxes'!L41</f>
        <v>2.3358606113514182E-6</v>
      </c>
      <c r="M40">
        <f>'Pretax Fuel Prices'!L41+'Fuel Taxes'!M41</f>
        <v>2.3358606113514182E-6</v>
      </c>
      <c r="N40">
        <f>'Pretax Fuel Prices'!M41+'Fuel Taxes'!N41</f>
        <v>2.3358606113514182E-6</v>
      </c>
      <c r="O40">
        <f>'Pretax Fuel Prices'!N41+'Fuel Taxes'!O41</f>
        <v>2.3358606113514182E-6</v>
      </c>
      <c r="P40">
        <f>'Pretax Fuel Prices'!O41+'Fuel Taxes'!P41</f>
        <v>2.3358606113514182E-6</v>
      </c>
      <c r="Q40">
        <f>'Pretax Fuel Prices'!P41+'Fuel Taxes'!Q41</f>
        <v>2.3358606113514182E-6</v>
      </c>
      <c r="R40">
        <f>'Pretax Fuel Prices'!Q41+'Fuel Taxes'!R41</f>
        <v>2.3358606113514182E-6</v>
      </c>
      <c r="S40">
        <f>'Pretax Fuel Prices'!R41+'Fuel Taxes'!S41</f>
        <v>2.3358606113514182E-6</v>
      </c>
      <c r="T40">
        <f>'Pretax Fuel Prices'!S41+'Fuel Taxes'!T41</f>
        <v>2.3358606113514182E-6</v>
      </c>
      <c r="U40">
        <f>'Pretax Fuel Prices'!T41+'Fuel Taxes'!U41</f>
        <v>2.3358606113514182E-6</v>
      </c>
      <c r="V40">
        <f>'Pretax Fuel Prices'!U41+'Fuel Taxes'!V41</f>
        <v>2.3358606113514182E-6</v>
      </c>
      <c r="W40">
        <f>'Pretax Fuel Prices'!V41+'Fuel Taxes'!W41</f>
        <v>2.3358606113514182E-6</v>
      </c>
      <c r="X40">
        <f>'Pretax Fuel Prices'!W41+'Fuel Taxes'!X41</f>
        <v>2.3358606113514182E-6</v>
      </c>
      <c r="Y40">
        <f>'Pretax Fuel Prices'!X41+'Fuel Taxes'!Y41</f>
        <v>2.3358606113514182E-6</v>
      </c>
      <c r="Z40">
        <f>'Pretax Fuel Prices'!Y41+'Fuel Taxes'!Z41</f>
        <v>2.3358606113514182E-6</v>
      </c>
      <c r="AA40">
        <f>'Pretax Fuel Prices'!Z41+'Fuel Taxes'!AA41</f>
        <v>2.3358606113514182E-6</v>
      </c>
      <c r="AB40">
        <f>'Pretax Fuel Prices'!AA41+'Fuel Taxes'!AB41</f>
        <v>2.3358606113514182E-6</v>
      </c>
      <c r="AC40">
        <f>'Pretax Fuel Prices'!AB41+'Fuel Taxes'!AC41</f>
        <v>2.3358606113514182E-6</v>
      </c>
      <c r="AD40">
        <f>'Pretax Fuel Prices'!AC41+'Fuel Taxes'!AD41</f>
        <v>2.3358606113514182E-6</v>
      </c>
      <c r="AE40">
        <f>'Pretax Fuel Prices'!AD41+'Fuel Taxes'!AE41</f>
        <v>2.3358606113514182E-6</v>
      </c>
    </row>
    <row r="41" spans="1:31" s="3" customFormat="1" x14ac:dyDescent="0.75">
      <c r="A41" s="5" t="s">
        <v>34</v>
      </c>
    </row>
    <row r="42" spans="1:31" x14ac:dyDescent="0.75">
      <c r="A42" t="s">
        <v>30</v>
      </c>
      <c r="B42">
        <f>'Fuel Taxes'!B$1</f>
        <v>2021</v>
      </c>
      <c r="C42">
        <f>'Fuel Taxes'!C$1</f>
        <v>2022</v>
      </c>
      <c r="D42">
        <f>'Fuel Taxes'!D$1</f>
        <v>2023</v>
      </c>
      <c r="E42">
        <f>'Fuel Taxes'!E$1</f>
        <v>2024</v>
      </c>
      <c r="F42">
        <f>'Fuel Taxes'!F$1</f>
        <v>2025</v>
      </c>
      <c r="G42">
        <f>'Fuel Taxes'!G$1</f>
        <v>2026</v>
      </c>
      <c r="H42">
        <f>'Fuel Taxes'!H$1</f>
        <v>2027</v>
      </c>
      <c r="I42">
        <f>'Fuel Taxes'!I$1</f>
        <v>2028</v>
      </c>
      <c r="J42">
        <f>'Fuel Taxes'!J$1</f>
        <v>2029</v>
      </c>
      <c r="K42">
        <f>'Fuel Taxes'!K$1</f>
        <v>2030</v>
      </c>
      <c r="L42">
        <f>'Fuel Taxes'!L$1</f>
        <v>2031</v>
      </c>
      <c r="M42">
        <f>'Fuel Taxes'!M$1</f>
        <v>2032</v>
      </c>
      <c r="N42">
        <f>'Fuel Taxes'!N$1</f>
        <v>2033</v>
      </c>
      <c r="O42">
        <f>'Fuel Taxes'!O$1</f>
        <v>2034</v>
      </c>
      <c r="P42">
        <f>'Fuel Taxes'!P$1</f>
        <v>2035</v>
      </c>
      <c r="Q42">
        <f>'Fuel Taxes'!Q$1</f>
        <v>2036</v>
      </c>
      <c r="R42">
        <f>'Fuel Taxes'!R$1</f>
        <v>2037</v>
      </c>
      <c r="S42">
        <f>'Fuel Taxes'!S$1</f>
        <v>2038</v>
      </c>
      <c r="T42">
        <f>'Fuel Taxes'!T$1</f>
        <v>2039</v>
      </c>
      <c r="U42">
        <f>'Fuel Taxes'!U$1</f>
        <v>2040</v>
      </c>
      <c r="V42">
        <f>'Fuel Taxes'!V$1</f>
        <v>2041</v>
      </c>
      <c r="W42">
        <f>'Fuel Taxes'!W$1</f>
        <v>2042</v>
      </c>
      <c r="X42">
        <f>'Fuel Taxes'!X$1</f>
        <v>2043</v>
      </c>
      <c r="Y42">
        <f>'Fuel Taxes'!Y$1</f>
        <v>2044</v>
      </c>
      <c r="Z42">
        <f>'Fuel Taxes'!Z$1</f>
        <v>2045</v>
      </c>
      <c r="AA42">
        <f>'Fuel Taxes'!AA$1</f>
        <v>2046</v>
      </c>
      <c r="AB42">
        <f>'Fuel Taxes'!AB$1</f>
        <v>2047</v>
      </c>
      <c r="AC42">
        <f>'Fuel Taxes'!AC$1</f>
        <v>2048</v>
      </c>
      <c r="AD42">
        <f>'Fuel Taxes'!AD$1</f>
        <v>2049</v>
      </c>
      <c r="AE42">
        <f>'Fuel Taxes'!AE$1</f>
        <v>2050</v>
      </c>
    </row>
    <row r="43" spans="1:31" x14ac:dyDescent="0.75">
      <c r="A43" t="s">
        <v>52</v>
      </c>
      <c r="B43">
        <f>'Pretax Fuel Prices'!B44+'Fuel Taxes'!B44</f>
        <v>2.0317026333154531E-5</v>
      </c>
      <c r="C43">
        <f>'Pretax Fuel Prices'!C44+'Fuel Taxes'!C44</f>
        <v>2.6624236664865044E-5</v>
      </c>
      <c r="D43">
        <f>'Pretax Fuel Prices'!C44+'Fuel Taxes'!D44</f>
        <v>2.5782056223263561E-5</v>
      </c>
      <c r="E43">
        <f>'Pretax Fuel Prices'!D44+'Fuel Taxes'!E44</f>
        <v>2.2819539349066578E-5</v>
      </c>
      <c r="F43">
        <f>'Pretax Fuel Prices'!E44+'Fuel Taxes'!F44</f>
        <v>2.2567639752205892E-5</v>
      </c>
      <c r="G43">
        <f>'Pretax Fuel Prices'!F44+'Fuel Taxes'!G44</f>
        <v>2.1987477926315637E-5</v>
      </c>
      <c r="H43">
        <f>'Pretax Fuel Prices'!G44+'Fuel Taxes'!H44</f>
        <v>2.1177897126500469E-5</v>
      </c>
      <c r="I43">
        <f>'Pretax Fuel Prices'!H44+'Fuel Taxes'!I44</f>
        <v>1.961088410777087E-5</v>
      </c>
      <c r="J43">
        <f>'Pretax Fuel Prices'!I44+'Fuel Taxes'!J44</f>
        <v>1.8096538618306908E-5</v>
      </c>
      <c r="K43">
        <f>'Pretax Fuel Prices'!J44+'Fuel Taxes'!K44</f>
        <v>1.8154127243214991E-5</v>
      </c>
      <c r="L43">
        <f>'Pretax Fuel Prices'!K44+'Fuel Taxes'!L44</f>
        <v>1.8149689870373391E-5</v>
      </c>
      <c r="M43">
        <f>'Pretax Fuel Prices'!L44+'Fuel Taxes'!M44</f>
        <v>1.8341199736382601E-5</v>
      </c>
      <c r="N43">
        <f>'Pretax Fuel Prices'!M44+'Fuel Taxes'!N44</f>
        <v>1.8225909724038978E-5</v>
      </c>
      <c r="O43">
        <f>'Pretax Fuel Prices'!N44+'Fuel Taxes'!O44</f>
        <v>1.8273365061609685E-5</v>
      </c>
      <c r="P43">
        <f>'Pretax Fuel Prices'!O44+'Fuel Taxes'!P44</f>
        <v>1.873700921025484E-5</v>
      </c>
      <c r="Q43">
        <f>'Pretax Fuel Prices'!P44+'Fuel Taxes'!Q44</f>
        <v>1.9021067114765602E-5</v>
      </c>
      <c r="R43">
        <f>'Pretax Fuel Prices'!Q44+'Fuel Taxes'!R44</f>
        <v>1.921523167240771E-5</v>
      </c>
      <c r="S43">
        <f>'Pretax Fuel Prices'!R44+'Fuel Taxes'!S44</f>
        <v>1.9297742437046197E-5</v>
      </c>
      <c r="T43">
        <f>'Pretax Fuel Prices'!S44+'Fuel Taxes'!T44</f>
        <v>1.9464455931043701E-5</v>
      </c>
      <c r="U43">
        <f>'Pretax Fuel Prices'!T44+'Fuel Taxes'!U44</f>
        <v>1.966403125984662E-5</v>
      </c>
      <c r="V43">
        <f>'Pretax Fuel Prices'!U44+'Fuel Taxes'!V44</f>
        <v>1.9680094278663884E-5</v>
      </c>
      <c r="W43">
        <f>'Pretax Fuel Prices'!V44+'Fuel Taxes'!W44</f>
        <v>1.9665939063710658E-5</v>
      </c>
      <c r="X43">
        <f>'Pretax Fuel Prices'!W44+'Fuel Taxes'!X44</f>
        <v>1.9549573935553378E-5</v>
      </c>
      <c r="Y43">
        <f>'Pretax Fuel Prices'!X44+'Fuel Taxes'!Y44</f>
        <v>1.9696165638990204E-5</v>
      </c>
      <c r="Z43">
        <f>'Pretax Fuel Prices'!Y44+'Fuel Taxes'!Z44</f>
        <v>1.9718060582910965E-5</v>
      </c>
      <c r="AA43">
        <f>'Pretax Fuel Prices'!Z44+'Fuel Taxes'!AA44</f>
        <v>1.9852442073481516E-5</v>
      </c>
      <c r="AB43">
        <f>'Pretax Fuel Prices'!AA44+'Fuel Taxes'!AB44</f>
        <v>1.9957525515604657E-5</v>
      </c>
      <c r="AC43">
        <f>'Pretax Fuel Prices'!AB44+'Fuel Taxes'!AC44</f>
        <v>1.9898685479683092E-5</v>
      </c>
      <c r="AD43">
        <f>'Pretax Fuel Prices'!AC44+'Fuel Taxes'!AD44</f>
        <v>1.9969717586728511E-5</v>
      </c>
      <c r="AE43">
        <f>'Pretax Fuel Prices'!AD44+'Fuel Taxes'!AE44</f>
        <v>2.0102182872386788E-5</v>
      </c>
    </row>
    <row r="44" spans="1:31" x14ac:dyDescent="0.75">
      <c r="A44" t="s">
        <v>53</v>
      </c>
      <c r="B44">
        <f>'Pretax Fuel Prices'!B45+'Fuel Taxes'!B45</f>
        <v>0</v>
      </c>
      <c r="C44">
        <f>'Pretax Fuel Prices'!C45+'Fuel Taxes'!C45</f>
        <v>0</v>
      </c>
      <c r="D44">
        <f>'Pretax Fuel Prices'!C45+'Fuel Taxes'!D45</f>
        <v>0</v>
      </c>
      <c r="E44">
        <f>'Pretax Fuel Prices'!D45+'Fuel Taxes'!E45</f>
        <v>0</v>
      </c>
      <c r="F44">
        <f>'Pretax Fuel Prices'!E45+'Fuel Taxes'!F45</f>
        <v>0</v>
      </c>
      <c r="G44">
        <f>'Pretax Fuel Prices'!F45+'Fuel Taxes'!G45</f>
        <v>0</v>
      </c>
      <c r="H44">
        <f>'Pretax Fuel Prices'!G45+'Fuel Taxes'!H45</f>
        <v>0</v>
      </c>
      <c r="I44">
        <f>'Pretax Fuel Prices'!H45+'Fuel Taxes'!I45</f>
        <v>0</v>
      </c>
      <c r="J44">
        <f>'Pretax Fuel Prices'!I45+'Fuel Taxes'!J45</f>
        <v>0</v>
      </c>
      <c r="K44">
        <f>'Pretax Fuel Prices'!J45+'Fuel Taxes'!K45</f>
        <v>0</v>
      </c>
      <c r="L44">
        <f>'Pretax Fuel Prices'!K45+'Fuel Taxes'!L45</f>
        <v>0</v>
      </c>
      <c r="M44">
        <f>'Pretax Fuel Prices'!L45+'Fuel Taxes'!M45</f>
        <v>0</v>
      </c>
      <c r="N44">
        <f>'Pretax Fuel Prices'!M45+'Fuel Taxes'!N45</f>
        <v>0</v>
      </c>
      <c r="O44">
        <f>'Pretax Fuel Prices'!N45+'Fuel Taxes'!O45</f>
        <v>0</v>
      </c>
      <c r="P44">
        <f>'Pretax Fuel Prices'!O45+'Fuel Taxes'!P45</f>
        <v>0</v>
      </c>
      <c r="Q44">
        <f>'Pretax Fuel Prices'!P45+'Fuel Taxes'!Q45</f>
        <v>0</v>
      </c>
      <c r="R44">
        <f>'Pretax Fuel Prices'!Q45+'Fuel Taxes'!R45</f>
        <v>0</v>
      </c>
      <c r="S44">
        <f>'Pretax Fuel Prices'!R45+'Fuel Taxes'!S45</f>
        <v>0</v>
      </c>
      <c r="T44">
        <f>'Pretax Fuel Prices'!S45+'Fuel Taxes'!T45</f>
        <v>0</v>
      </c>
      <c r="U44">
        <f>'Pretax Fuel Prices'!T45+'Fuel Taxes'!U45</f>
        <v>0</v>
      </c>
      <c r="V44">
        <f>'Pretax Fuel Prices'!U45+'Fuel Taxes'!V45</f>
        <v>0</v>
      </c>
      <c r="W44">
        <f>'Pretax Fuel Prices'!V45+'Fuel Taxes'!W45</f>
        <v>0</v>
      </c>
      <c r="X44">
        <f>'Pretax Fuel Prices'!W45+'Fuel Taxes'!X45</f>
        <v>0</v>
      </c>
      <c r="Y44">
        <f>'Pretax Fuel Prices'!X45+'Fuel Taxes'!Y45</f>
        <v>0</v>
      </c>
      <c r="Z44">
        <f>'Pretax Fuel Prices'!Y45+'Fuel Taxes'!Z45</f>
        <v>0</v>
      </c>
      <c r="AA44">
        <f>'Pretax Fuel Prices'!Z45+'Fuel Taxes'!AA45</f>
        <v>0</v>
      </c>
      <c r="AB44">
        <f>'Pretax Fuel Prices'!AA45+'Fuel Taxes'!AB45</f>
        <v>0</v>
      </c>
      <c r="AC44">
        <f>'Pretax Fuel Prices'!AB45+'Fuel Taxes'!AC45</f>
        <v>0</v>
      </c>
      <c r="AD44">
        <f>'Pretax Fuel Prices'!AC45+'Fuel Taxes'!AD45</f>
        <v>0</v>
      </c>
      <c r="AE44">
        <f>'Pretax Fuel Prices'!AD45+'Fuel Taxes'!AE45</f>
        <v>0</v>
      </c>
    </row>
    <row r="45" spans="1:31" x14ac:dyDescent="0.75">
      <c r="A45" t="s">
        <v>54</v>
      </c>
      <c r="B45">
        <f>'Pretax Fuel Prices'!B46+'Fuel Taxes'!B46</f>
        <v>0</v>
      </c>
      <c r="C45">
        <f>'Pretax Fuel Prices'!C46+'Fuel Taxes'!C46</f>
        <v>0</v>
      </c>
      <c r="D45">
        <f>'Pretax Fuel Prices'!C46+'Fuel Taxes'!D46</f>
        <v>0</v>
      </c>
      <c r="E45">
        <f>'Pretax Fuel Prices'!D46+'Fuel Taxes'!E46</f>
        <v>0</v>
      </c>
      <c r="F45">
        <f>'Pretax Fuel Prices'!E46+'Fuel Taxes'!F46</f>
        <v>0</v>
      </c>
      <c r="G45">
        <f>'Pretax Fuel Prices'!F46+'Fuel Taxes'!G46</f>
        <v>0</v>
      </c>
      <c r="H45">
        <f>'Pretax Fuel Prices'!G46+'Fuel Taxes'!H46</f>
        <v>0</v>
      </c>
      <c r="I45">
        <f>'Pretax Fuel Prices'!H46+'Fuel Taxes'!I46</f>
        <v>0</v>
      </c>
      <c r="J45">
        <f>'Pretax Fuel Prices'!I46+'Fuel Taxes'!J46</f>
        <v>0</v>
      </c>
      <c r="K45">
        <f>'Pretax Fuel Prices'!J46+'Fuel Taxes'!K46</f>
        <v>0</v>
      </c>
      <c r="L45">
        <f>'Pretax Fuel Prices'!K46+'Fuel Taxes'!L46</f>
        <v>0</v>
      </c>
      <c r="M45">
        <f>'Pretax Fuel Prices'!L46+'Fuel Taxes'!M46</f>
        <v>0</v>
      </c>
      <c r="N45">
        <f>'Pretax Fuel Prices'!M46+'Fuel Taxes'!N46</f>
        <v>0</v>
      </c>
      <c r="O45">
        <f>'Pretax Fuel Prices'!N46+'Fuel Taxes'!O46</f>
        <v>0</v>
      </c>
      <c r="P45">
        <f>'Pretax Fuel Prices'!O46+'Fuel Taxes'!P46</f>
        <v>0</v>
      </c>
      <c r="Q45">
        <f>'Pretax Fuel Prices'!P46+'Fuel Taxes'!Q46</f>
        <v>0</v>
      </c>
      <c r="R45">
        <f>'Pretax Fuel Prices'!Q46+'Fuel Taxes'!R46</f>
        <v>0</v>
      </c>
      <c r="S45">
        <f>'Pretax Fuel Prices'!R46+'Fuel Taxes'!S46</f>
        <v>0</v>
      </c>
      <c r="T45">
        <f>'Pretax Fuel Prices'!S46+'Fuel Taxes'!T46</f>
        <v>0</v>
      </c>
      <c r="U45">
        <f>'Pretax Fuel Prices'!T46+'Fuel Taxes'!U46</f>
        <v>0</v>
      </c>
      <c r="V45">
        <f>'Pretax Fuel Prices'!U46+'Fuel Taxes'!V46</f>
        <v>0</v>
      </c>
      <c r="W45">
        <f>'Pretax Fuel Prices'!V46+'Fuel Taxes'!W46</f>
        <v>0</v>
      </c>
      <c r="X45">
        <f>'Pretax Fuel Prices'!W46+'Fuel Taxes'!X46</f>
        <v>0</v>
      </c>
      <c r="Y45">
        <f>'Pretax Fuel Prices'!X46+'Fuel Taxes'!Y46</f>
        <v>0</v>
      </c>
      <c r="Z45">
        <f>'Pretax Fuel Prices'!Y46+'Fuel Taxes'!Z46</f>
        <v>0</v>
      </c>
      <c r="AA45">
        <f>'Pretax Fuel Prices'!Z46+'Fuel Taxes'!AA46</f>
        <v>0</v>
      </c>
      <c r="AB45">
        <f>'Pretax Fuel Prices'!AA46+'Fuel Taxes'!AB46</f>
        <v>0</v>
      </c>
      <c r="AC45">
        <f>'Pretax Fuel Prices'!AB46+'Fuel Taxes'!AC46</f>
        <v>0</v>
      </c>
      <c r="AD45">
        <f>'Pretax Fuel Prices'!AC46+'Fuel Taxes'!AD46</f>
        <v>0</v>
      </c>
      <c r="AE45">
        <f>'Pretax Fuel Prices'!AD46+'Fuel Taxes'!AE46</f>
        <v>0</v>
      </c>
    </row>
    <row r="46" spans="1:31" x14ac:dyDescent="0.75">
      <c r="A46" t="s">
        <v>55</v>
      </c>
      <c r="B46">
        <f>'Pretax Fuel Prices'!B47+'Fuel Taxes'!B47</f>
        <v>0</v>
      </c>
      <c r="C46">
        <f>'Pretax Fuel Prices'!C47+'Fuel Taxes'!C47</f>
        <v>0</v>
      </c>
      <c r="D46">
        <f>'Pretax Fuel Prices'!C47+'Fuel Taxes'!D47</f>
        <v>0</v>
      </c>
      <c r="E46">
        <f>'Pretax Fuel Prices'!D47+'Fuel Taxes'!E47</f>
        <v>0</v>
      </c>
      <c r="F46">
        <f>'Pretax Fuel Prices'!E47+'Fuel Taxes'!F47</f>
        <v>0</v>
      </c>
      <c r="G46">
        <f>'Pretax Fuel Prices'!F47+'Fuel Taxes'!G47</f>
        <v>0</v>
      </c>
      <c r="H46">
        <f>'Pretax Fuel Prices'!G47+'Fuel Taxes'!H47</f>
        <v>0</v>
      </c>
      <c r="I46">
        <f>'Pretax Fuel Prices'!H47+'Fuel Taxes'!I47</f>
        <v>0</v>
      </c>
      <c r="J46">
        <f>'Pretax Fuel Prices'!I47+'Fuel Taxes'!J47</f>
        <v>0</v>
      </c>
      <c r="K46">
        <f>'Pretax Fuel Prices'!J47+'Fuel Taxes'!K47</f>
        <v>0</v>
      </c>
      <c r="L46">
        <f>'Pretax Fuel Prices'!K47+'Fuel Taxes'!L47</f>
        <v>0</v>
      </c>
      <c r="M46">
        <f>'Pretax Fuel Prices'!L47+'Fuel Taxes'!M47</f>
        <v>0</v>
      </c>
      <c r="N46">
        <f>'Pretax Fuel Prices'!M47+'Fuel Taxes'!N47</f>
        <v>0</v>
      </c>
      <c r="O46">
        <f>'Pretax Fuel Prices'!N47+'Fuel Taxes'!O47</f>
        <v>0</v>
      </c>
      <c r="P46">
        <f>'Pretax Fuel Prices'!O47+'Fuel Taxes'!P47</f>
        <v>0</v>
      </c>
      <c r="Q46">
        <f>'Pretax Fuel Prices'!P47+'Fuel Taxes'!Q47</f>
        <v>0</v>
      </c>
      <c r="R46">
        <f>'Pretax Fuel Prices'!Q47+'Fuel Taxes'!R47</f>
        <v>0</v>
      </c>
      <c r="S46">
        <f>'Pretax Fuel Prices'!R47+'Fuel Taxes'!S47</f>
        <v>0</v>
      </c>
      <c r="T46">
        <f>'Pretax Fuel Prices'!S47+'Fuel Taxes'!T47</f>
        <v>0</v>
      </c>
      <c r="U46">
        <f>'Pretax Fuel Prices'!T47+'Fuel Taxes'!U47</f>
        <v>0</v>
      </c>
      <c r="V46">
        <f>'Pretax Fuel Prices'!U47+'Fuel Taxes'!V47</f>
        <v>0</v>
      </c>
      <c r="W46">
        <f>'Pretax Fuel Prices'!V47+'Fuel Taxes'!W47</f>
        <v>0</v>
      </c>
      <c r="X46">
        <f>'Pretax Fuel Prices'!W47+'Fuel Taxes'!X47</f>
        <v>0</v>
      </c>
      <c r="Y46">
        <f>'Pretax Fuel Prices'!X47+'Fuel Taxes'!Y47</f>
        <v>0</v>
      </c>
      <c r="Z46">
        <f>'Pretax Fuel Prices'!Y47+'Fuel Taxes'!Z47</f>
        <v>0</v>
      </c>
      <c r="AA46">
        <f>'Pretax Fuel Prices'!Z47+'Fuel Taxes'!AA47</f>
        <v>0</v>
      </c>
      <c r="AB46">
        <f>'Pretax Fuel Prices'!AA47+'Fuel Taxes'!AB47</f>
        <v>0</v>
      </c>
      <c r="AC46">
        <f>'Pretax Fuel Prices'!AB47+'Fuel Taxes'!AC47</f>
        <v>0</v>
      </c>
      <c r="AD46">
        <f>'Pretax Fuel Prices'!AC47+'Fuel Taxes'!AD47</f>
        <v>0</v>
      </c>
      <c r="AE46">
        <f>'Pretax Fuel Prices'!AD47+'Fuel Taxes'!AE47</f>
        <v>0</v>
      </c>
    </row>
    <row r="47" spans="1:31" x14ac:dyDescent="0.75">
      <c r="A47" t="s">
        <v>56</v>
      </c>
      <c r="B47">
        <f>'Pretax Fuel Prices'!B48+'Fuel Taxes'!B48</f>
        <v>0</v>
      </c>
      <c r="C47">
        <f>'Pretax Fuel Prices'!C48+'Fuel Taxes'!C48</f>
        <v>0</v>
      </c>
      <c r="D47">
        <f>'Pretax Fuel Prices'!C48+'Fuel Taxes'!D48</f>
        <v>0</v>
      </c>
      <c r="E47">
        <f>'Pretax Fuel Prices'!D48+'Fuel Taxes'!E48</f>
        <v>0</v>
      </c>
      <c r="F47">
        <f>'Pretax Fuel Prices'!E48+'Fuel Taxes'!F48</f>
        <v>0</v>
      </c>
      <c r="G47">
        <f>'Pretax Fuel Prices'!F48+'Fuel Taxes'!G48</f>
        <v>0</v>
      </c>
      <c r="H47">
        <f>'Pretax Fuel Prices'!G48+'Fuel Taxes'!H48</f>
        <v>0</v>
      </c>
      <c r="I47">
        <f>'Pretax Fuel Prices'!H48+'Fuel Taxes'!I48</f>
        <v>0</v>
      </c>
      <c r="J47">
        <f>'Pretax Fuel Prices'!I48+'Fuel Taxes'!J48</f>
        <v>0</v>
      </c>
      <c r="K47">
        <f>'Pretax Fuel Prices'!J48+'Fuel Taxes'!K48</f>
        <v>0</v>
      </c>
      <c r="L47">
        <f>'Pretax Fuel Prices'!K48+'Fuel Taxes'!L48</f>
        <v>0</v>
      </c>
      <c r="M47">
        <f>'Pretax Fuel Prices'!L48+'Fuel Taxes'!M48</f>
        <v>0</v>
      </c>
      <c r="N47">
        <f>'Pretax Fuel Prices'!M48+'Fuel Taxes'!N48</f>
        <v>0</v>
      </c>
      <c r="O47">
        <f>'Pretax Fuel Prices'!N48+'Fuel Taxes'!O48</f>
        <v>0</v>
      </c>
      <c r="P47">
        <f>'Pretax Fuel Prices'!O48+'Fuel Taxes'!P48</f>
        <v>0</v>
      </c>
      <c r="Q47">
        <f>'Pretax Fuel Prices'!P48+'Fuel Taxes'!Q48</f>
        <v>0</v>
      </c>
      <c r="R47">
        <f>'Pretax Fuel Prices'!Q48+'Fuel Taxes'!R48</f>
        <v>0</v>
      </c>
      <c r="S47">
        <f>'Pretax Fuel Prices'!R48+'Fuel Taxes'!S48</f>
        <v>0</v>
      </c>
      <c r="T47">
        <f>'Pretax Fuel Prices'!S48+'Fuel Taxes'!T48</f>
        <v>0</v>
      </c>
      <c r="U47">
        <f>'Pretax Fuel Prices'!T48+'Fuel Taxes'!U48</f>
        <v>0</v>
      </c>
      <c r="V47">
        <f>'Pretax Fuel Prices'!U48+'Fuel Taxes'!V48</f>
        <v>0</v>
      </c>
      <c r="W47">
        <f>'Pretax Fuel Prices'!V48+'Fuel Taxes'!W48</f>
        <v>0</v>
      </c>
      <c r="X47">
        <f>'Pretax Fuel Prices'!W48+'Fuel Taxes'!X48</f>
        <v>0</v>
      </c>
      <c r="Y47">
        <f>'Pretax Fuel Prices'!X48+'Fuel Taxes'!Y48</f>
        <v>0</v>
      </c>
      <c r="Z47">
        <f>'Pretax Fuel Prices'!Y48+'Fuel Taxes'!Z48</f>
        <v>0</v>
      </c>
      <c r="AA47">
        <f>'Pretax Fuel Prices'!Z48+'Fuel Taxes'!AA48</f>
        <v>0</v>
      </c>
      <c r="AB47">
        <f>'Pretax Fuel Prices'!AA48+'Fuel Taxes'!AB48</f>
        <v>0</v>
      </c>
      <c r="AC47">
        <f>'Pretax Fuel Prices'!AB48+'Fuel Taxes'!AC48</f>
        <v>0</v>
      </c>
      <c r="AD47">
        <f>'Pretax Fuel Prices'!AC48+'Fuel Taxes'!AD48</f>
        <v>0</v>
      </c>
      <c r="AE47">
        <f>'Pretax Fuel Prices'!AD48+'Fuel Taxes'!AE48</f>
        <v>0</v>
      </c>
    </row>
    <row r="48" spans="1:31" x14ac:dyDescent="0.75">
      <c r="A48" t="s">
        <v>57</v>
      </c>
      <c r="B48">
        <f>'Pretax Fuel Prices'!B49+'Fuel Taxes'!B49</f>
        <v>0</v>
      </c>
      <c r="C48">
        <f>'Pretax Fuel Prices'!C49+'Fuel Taxes'!C49</f>
        <v>0</v>
      </c>
      <c r="D48">
        <f>'Pretax Fuel Prices'!C49+'Fuel Taxes'!D49</f>
        <v>0</v>
      </c>
      <c r="E48">
        <f>'Pretax Fuel Prices'!D49+'Fuel Taxes'!E49</f>
        <v>0</v>
      </c>
      <c r="F48">
        <f>'Pretax Fuel Prices'!E49+'Fuel Taxes'!F49</f>
        <v>0</v>
      </c>
      <c r="G48">
        <f>'Pretax Fuel Prices'!F49+'Fuel Taxes'!G49</f>
        <v>0</v>
      </c>
      <c r="H48">
        <f>'Pretax Fuel Prices'!G49+'Fuel Taxes'!H49</f>
        <v>0</v>
      </c>
      <c r="I48">
        <f>'Pretax Fuel Prices'!H49+'Fuel Taxes'!I49</f>
        <v>0</v>
      </c>
      <c r="J48">
        <f>'Pretax Fuel Prices'!I49+'Fuel Taxes'!J49</f>
        <v>0</v>
      </c>
      <c r="K48">
        <f>'Pretax Fuel Prices'!J49+'Fuel Taxes'!K49</f>
        <v>0</v>
      </c>
      <c r="L48">
        <f>'Pretax Fuel Prices'!K49+'Fuel Taxes'!L49</f>
        <v>0</v>
      </c>
      <c r="M48">
        <f>'Pretax Fuel Prices'!L49+'Fuel Taxes'!M49</f>
        <v>0</v>
      </c>
      <c r="N48">
        <f>'Pretax Fuel Prices'!M49+'Fuel Taxes'!N49</f>
        <v>0</v>
      </c>
      <c r="O48">
        <f>'Pretax Fuel Prices'!N49+'Fuel Taxes'!O49</f>
        <v>0</v>
      </c>
      <c r="P48">
        <f>'Pretax Fuel Prices'!O49+'Fuel Taxes'!P49</f>
        <v>0</v>
      </c>
      <c r="Q48">
        <f>'Pretax Fuel Prices'!P49+'Fuel Taxes'!Q49</f>
        <v>0</v>
      </c>
      <c r="R48">
        <f>'Pretax Fuel Prices'!Q49+'Fuel Taxes'!R49</f>
        <v>0</v>
      </c>
      <c r="S48">
        <f>'Pretax Fuel Prices'!R49+'Fuel Taxes'!S49</f>
        <v>0</v>
      </c>
      <c r="T48">
        <f>'Pretax Fuel Prices'!S49+'Fuel Taxes'!T49</f>
        <v>0</v>
      </c>
      <c r="U48">
        <f>'Pretax Fuel Prices'!T49+'Fuel Taxes'!U49</f>
        <v>0</v>
      </c>
      <c r="V48">
        <f>'Pretax Fuel Prices'!U49+'Fuel Taxes'!V49</f>
        <v>0</v>
      </c>
      <c r="W48">
        <f>'Pretax Fuel Prices'!V49+'Fuel Taxes'!W49</f>
        <v>0</v>
      </c>
      <c r="X48">
        <f>'Pretax Fuel Prices'!W49+'Fuel Taxes'!X49</f>
        <v>0</v>
      </c>
      <c r="Y48">
        <f>'Pretax Fuel Prices'!X49+'Fuel Taxes'!Y49</f>
        <v>0</v>
      </c>
      <c r="Z48">
        <f>'Pretax Fuel Prices'!Y49+'Fuel Taxes'!Z49</f>
        <v>0</v>
      </c>
      <c r="AA48">
        <f>'Pretax Fuel Prices'!Z49+'Fuel Taxes'!AA49</f>
        <v>0</v>
      </c>
      <c r="AB48">
        <f>'Pretax Fuel Prices'!AA49+'Fuel Taxes'!AB49</f>
        <v>0</v>
      </c>
      <c r="AC48">
        <f>'Pretax Fuel Prices'!AB49+'Fuel Taxes'!AC49</f>
        <v>0</v>
      </c>
      <c r="AD48">
        <f>'Pretax Fuel Prices'!AC49+'Fuel Taxes'!AD49</f>
        <v>0</v>
      </c>
      <c r="AE48">
        <f>'Pretax Fuel Prices'!AD49+'Fuel Taxes'!AE49</f>
        <v>0</v>
      </c>
    </row>
    <row r="49" spans="1:31" x14ac:dyDescent="0.75">
      <c r="A49" t="s">
        <v>58</v>
      </c>
      <c r="B49">
        <f>'Pretax Fuel Prices'!B50+'Fuel Taxes'!B50</f>
        <v>0</v>
      </c>
      <c r="C49">
        <f>'Pretax Fuel Prices'!C50+'Fuel Taxes'!C50</f>
        <v>0</v>
      </c>
      <c r="D49">
        <f>'Pretax Fuel Prices'!C50+'Fuel Taxes'!D50</f>
        <v>0</v>
      </c>
      <c r="E49">
        <f>'Pretax Fuel Prices'!D50+'Fuel Taxes'!E50</f>
        <v>0</v>
      </c>
      <c r="F49">
        <f>'Pretax Fuel Prices'!E50+'Fuel Taxes'!F50</f>
        <v>0</v>
      </c>
      <c r="G49">
        <f>'Pretax Fuel Prices'!F50+'Fuel Taxes'!G50</f>
        <v>0</v>
      </c>
      <c r="H49">
        <f>'Pretax Fuel Prices'!G50+'Fuel Taxes'!H50</f>
        <v>0</v>
      </c>
      <c r="I49">
        <f>'Pretax Fuel Prices'!H50+'Fuel Taxes'!I50</f>
        <v>0</v>
      </c>
      <c r="J49">
        <f>'Pretax Fuel Prices'!I50+'Fuel Taxes'!J50</f>
        <v>0</v>
      </c>
      <c r="K49">
        <f>'Pretax Fuel Prices'!J50+'Fuel Taxes'!K50</f>
        <v>0</v>
      </c>
      <c r="L49">
        <f>'Pretax Fuel Prices'!K50+'Fuel Taxes'!L50</f>
        <v>0</v>
      </c>
      <c r="M49">
        <f>'Pretax Fuel Prices'!L50+'Fuel Taxes'!M50</f>
        <v>0</v>
      </c>
      <c r="N49">
        <f>'Pretax Fuel Prices'!M50+'Fuel Taxes'!N50</f>
        <v>0</v>
      </c>
      <c r="O49">
        <f>'Pretax Fuel Prices'!N50+'Fuel Taxes'!O50</f>
        <v>0</v>
      </c>
      <c r="P49">
        <f>'Pretax Fuel Prices'!O50+'Fuel Taxes'!P50</f>
        <v>0</v>
      </c>
      <c r="Q49">
        <f>'Pretax Fuel Prices'!P50+'Fuel Taxes'!Q50</f>
        <v>0</v>
      </c>
      <c r="R49">
        <f>'Pretax Fuel Prices'!Q50+'Fuel Taxes'!R50</f>
        <v>0</v>
      </c>
      <c r="S49">
        <f>'Pretax Fuel Prices'!R50+'Fuel Taxes'!S50</f>
        <v>0</v>
      </c>
      <c r="T49">
        <f>'Pretax Fuel Prices'!S50+'Fuel Taxes'!T50</f>
        <v>0</v>
      </c>
      <c r="U49">
        <f>'Pretax Fuel Prices'!T50+'Fuel Taxes'!U50</f>
        <v>0</v>
      </c>
      <c r="V49">
        <f>'Pretax Fuel Prices'!U50+'Fuel Taxes'!V50</f>
        <v>0</v>
      </c>
      <c r="W49">
        <f>'Pretax Fuel Prices'!V50+'Fuel Taxes'!W50</f>
        <v>0</v>
      </c>
      <c r="X49">
        <f>'Pretax Fuel Prices'!W50+'Fuel Taxes'!X50</f>
        <v>0</v>
      </c>
      <c r="Y49">
        <f>'Pretax Fuel Prices'!X50+'Fuel Taxes'!Y50</f>
        <v>0</v>
      </c>
      <c r="Z49">
        <f>'Pretax Fuel Prices'!Y50+'Fuel Taxes'!Z50</f>
        <v>0</v>
      </c>
      <c r="AA49">
        <f>'Pretax Fuel Prices'!Z50+'Fuel Taxes'!AA50</f>
        <v>0</v>
      </c>
      <c r="AB49">
        <f>'Pretax Fuel Prices'!AA50+'Fuel Taxes'!AB50</f>
        <v>0</v>
      </c>
      <c r="AC49">
        <f>'Pretax Fuel Prices'!AB50+'Fuel Taxes'!AC50</f>
        <v>0</v>
      </c>
      <c r="AD49">
        <f>'Pretax Fuel Prices'!AC50+'Fuel Taxes'!AD50</f>
        <v>0</v>
      </c>
      <c r="AE49">
        <f>'Pretax Fuel Prices'!AD50+'Fuel Taxes'!AE50</f>
        <v>0</v>
      </c>
    </row>
    <row r="50" spans="1:31" x14ac:dyDescent="0.75">
      <c r="A50" t="s">
        <v>59</v>
      </c>
      <c r="B50">
        <f>'Pretax Fuel Prices'!B51+'Fuel Taxes'!B51</f>
        <v>0</v>
      </c>
      <c r="C50">
        <f>'Pretax Fuel Prices'!C51+'Fuel Taxes'!C51</f>
        <v>0</v>
      </c>
      <c r="D50">
        <f>'Pretax Fuel Prices'!C51+'Fuel Taxes'!D51</f>
        <v>0</v>
      </c>
      <c r="E50">
        <f>'Pretax Fuel Prices'!D51+'Fuel Taxes'!E51</f>
        <v>0</v>
      </c>
      <c r="F50">
        <f>'Pretax Fuel Prices'!E51+'Fuel Taxes'!F51</f>
        <v>0</v>
      </c>
      <c r="G50">
        <f>'Pretax Fuel Prices'!F51+'Fuel Taxes'!G51</f>
        <v>0</v>
      </c>
      <c r="H50">
        <f>'Pretax Fuel Prices'!G51+'Fuel Taxes'!H51</f>
        <v>0</v>
      </c>
      <c r="I50">
        <f>'Pretax Fuel Prices'!H51+'Fuel Taxes'!I51</f>
        <v>0</v>
      </c>
      <c r="J50">
        <f>'Pretax Fuel Prices'!I51+'Fuel Taxes'!J51</f>
        <v>0</v>
      </c>
      <c r="K50">
        <f>'Pretax Fuel Prices'!J51+'Fuel Taxes'!K51</f>
        <v>0</v>
      </c>
      <c r="L50">
        <f>'Pretax Fuel Prices'!K51+'Fuel Taxes'!L51</f>
        <v>0</v>
      </c>
      <c r="M50">
        <f>'Pretax Fuel Prices'!L51+'Fuel Taxes'!M51</f>
        <v>0</v>
      </c>
      <c r="N50">
        <f>'Pretax Fuel Prices'!M51+'Fuel Taxes'!N51</f>
        <v>0</v>
      </c>
      <c r="O50">
        <f>'Pretax Fuel Prices'!N51+'Fuel Taxes'!O51</f>
        <v>0</v>
      </c>
      <c r="P50">
        <f>'Pretax Fuel Prices'!O51+'Fuel Taxes'!P51</f>
        <v>0</v>
      </c>
      <c r="Q50">
        <f>'Pretax Fuel Prices'!P51+'Fuel Taxes'!Q51</f>
        <v>0</v>
      </c>
      <c r="R50">
        <f>'Pretax Fuel Prices'!Q51+'Fuel Taxes'!R51</f>
        <v>0</v>
      </c>
      <c r="S50">
        <f>'Pretax Fuel Prices'!R51+'Fuel Taxes'!S51</f>
        <v>0</v>
      </c>
      <c r="T50">
        <f>'Pretax Fuel Prices'!S51+'Fuel Taxes'!T51</f>
        <v>0</v>
      </c>
      <c r="U50">
        <f>'Pretax Fuel Prices'!T51+'Fuel Taxes'!U51</f>
        <v>0</v>
      </c>
      <c r="V50">
        <f>'Pretax Fuel Prices'!U51+'Fuel Taxes'!V51</f>
        <v>0</v>
      </c>
      <c r="W50">
        <f>'Pretax Fuel Prices'!V51+'Fuel Taxes'!W51</f>
        <v>0</v>
      </c>
      <c r="X50">
        <f>'Pretax Fuel Prices'!W51+'Fuel Taxes'!X51</f>
        <v>0</v>
      </c>
      <c r="Y50">
        <f>'Pretax Fuel Prices'!X51+'Fuel Taxes'!Y51</f>
        <v>0</v>
      </c>
      <c r="Z50">
        <f>'Pretax Fuel Prices'!Y51+'Fuel Taxes'!Z51</f>
        <v>0</v>
      </c>
      <c r="AA50">
        <f>'Pretax Fuel Prices'!Z51+'Fuel Taxes'!AA51</f>
        <v>0</v>
      </c>
      <c r="AB50">
        <f>'Pretax Fuel Prices'!AA51+'Fuel Taxes'!AB51</f>
        <v>0</v>
      </c>
      <c r="AC50">
        <f>'Pretax Fuel Prices'!AB51+'Fuel Taxes'!AC51</f>
        <v>0</v>
      </c>
      <c r="AD50">
        <f>'Pretax Fuel Prices'!AC51+'Fuel Taxes'!AD51</f>
        <v>0</v>
      </c>
      <c r="AE50">
        <f>'Pretax Fuel Prices'!AD51+'Fuel Taxes'!AE51</f>
        <v>0</v>
      </c>
    </row>
    <row r="51" spans="1:31" s="3" customFormat="1" x14ac:dyDescent="0.75">
      <c r="A51" s="5" t="s">
        <v>35</v>
      </c>
    </row>
    <row r="52" spans="1:31" x14ac:dyDescent="0.75">
      <c r="A52" t="s">
        <v>30</v>
      </c>
      <c r="B52">
        <f>'Fuel Taxes'!B$1</f>
        <v>2021</v>
      </c>
      <c r="C52">
        <f>'Fuel Taxes'!C$1</f>
        <v>2022</v>
      </c>
      <c r="D52">
        <f>'Fuel Taxes'!D$1</f>
        <v>2023</v>
      </c>
      <c r="E52">
        <f>'Fuel Taxes'!E$1</f>
        <v>2024</v>
      </c>
      <c r="F52">
        <f>'Fuel Taxes'!F$1</f>
        <v>2025</v>
      </c>
      <c r="G52">
        <f>'Fuel Taxes'!G$1</f>
        <v>2026</v>
      </c>
      <c r="H52">
        <f>'Fuel Taxes'!H$1</f>
        <v>2027</v>
      </c>
      <c r="I52">
        <f>'Fuel Taxes'!I$1</f>
        <v>2028</v>
      </c>
      <c r="J52">
        <f>'Fuel Taxes'!J$1</f>
        <v>2029</v>
      </c>
      <c r="K52">
        <f>'Fuel Taxes'!K$1</f>
        <v>2030</v>
      </c>
      <c r="L52">
        <f>'Fuel Taxes'!L$1</f>
        <v>2031</v>
      </c>
      <c r="M52">
        <f>'Fuel Taxes'!M$1</f>
        <v>2032</v>
      </c>
      <c r="N52">
        <f>'Fuel Taxes'!N$1</f>
        <v>2033</v>
      </c>
      <c r="O52">
        <f>'Fuel Taxes'!O$1</f>
        <v>2034</v>
      </c>
      <c r="P52">
        <f>'Fuel Taxes'!P$1</f>
        <v>2035</v>
      </c>
      <c r="Q52">
        <f>'Fuel Taxes'!Q$1</f>
        <v>2036</v>
      </c>
      <c r="R52">
        <f>'Fuel Taxes'!R$1</f>
        <v>2037</v>
      </c>
      <c r="S52">
        <f>'Fuel Taxes'!S$1</f>
        <v>2038</v>
      </c>
      <c r="T52">
        <f>'Fuel Taxes'!T$1</f>
        <v>2039</v>
      </c>
      <c r="U52">
        <f>'Fuel Taxes'!U$1</f>
        <v>2040</v>
      </c>
      <c r="V52">
        <f>'Fuel Taxes'!V$1</f>
        <v>2041</v>
      </c>
      <c r="W52">
        <f>'Fuel Taxes'!W$1</f>
        <v>2042</v>
      </c>
      <c r="X52">
        <f>'Fuel Taxes'!X$1</f>
        <v>2043</v>
      </c>
      <c r="Y52">
        <f>'Fuel Taxes'!Y$1</f>
        <v>2044</v>
      </c>
      <c r="Z52">
        <f>'Fuel Taxes'!Z$1</f>
        <v>2045</v>
      </c>
      <c r="AA52">
        <f>'Fuel Taxes'!AA$1</f>
        <v>2046</v>
      </c>
      <c r="AB52">
        <f>'Fuel Taxes'!AB$1</f>
        <v>2047</v>
      </c>
      <c r="AC52">
        <f>'Fuel Taxes'!AC$1</f>
        <v>2048</v>
      </c>
      <c r="AD52">
        <f>'Fuel Taxes'!AD$1</f>
        <v>2049</v>
      </c>
      <c r="AE52">
        <f>'Fuel Taxes'!AE$1</f>
        <v>2050</v>
      </c>
    </row>
    <row r="53" spans="1:31" x14ac:dyDescent="0.75">
      <c r="A53" t="s">
        <v>52</v>
      </c>
      <c r="B53">
        <f>'Pretax Fuel Prices'!B54+'Fuel Taxes'!B54</f>
        <v>1.8789468323487472E-5</v>
      </c>
      <c r="C53">
        <f>'Pretax Fuel Prices'!C54+'Fuel Taxes'!C54</f>
        <v>2.8669644675959601E-5</v>
      </c>
      <c r="D53">
        <f>'Pretax Fuel Prices'!C54+'Fuel Taxes'!D54</f>
        <v>2.755499694801063E-5</v>
      </c>
      <c r="E53">
        <f>'Pretax Fuel Prices'!D54+'Fuel Taxes'!E54</f>
        <v>2.2065587003121339E-5</v>
      </c>
      <c r="F53">
        <f>'Pretax Fuel Prices'!E54+'Fuel Taxes'!F54</f>
        <v>1.9115663751447989E-5</v>
      </c>
      <c r="G53">
        <f>'Pretax Fuel Prices'!F54+'Fuel Taxes'!G54</f>
        <v>1.8825965875439437E-5</v>
      </c>
      <c r="H53">
        <f>'Pretax Fuel Prices'!G54+'Fuel Taxes'!H54</f>
        <v>1.7937706741793568E-5</v>
      </c>
      <c r="I53">
        <f>'Pretax Fuel Prices'!H54+'Fuel Taxes'!I54</f>
        <v>1.8350978747644037E-5</v>
      </c>
      <c r="J53">
        <f>'Pretax Fuel Prices'!I54+'Fuel Taxes'!J54</f>
        <v>1.846445755199388E-5</v>
      </c>
      <c r="K53">
        <f>'Pretax Fuel Prices'!J54+'Fuel Taxes'!K54</f>
        <v>1.8775344235780149E-5</v>
      </c>
      <c r="L53">
        <f>'Pretax Fuel Prices'!K54+'Fuel Taxes'!L54</f>
        <v>1.898711225880519E-5</v>
      </c>
      <c r="M53">
        <f>'Pretax Fuel Prices'!L54+'Fuel Taxes'!M54</f>
        <v>1.9224876214891355E-5</v>
      </c>
      <c r="N53">
        <f>'Pretax Fuel Prices'!M54+'Fuel Taxes'!N54</f>
        <v>1.9004887580942401E-5</v>
      </c>
      <c r="O53">
        <f>'Pretax Fuel Prices'!N54+'Fuel Taxes'!O54</f>
        <v>1.9103535668405056E-5</v>
      </c>
      <c r="P53">
        <f>'Pretax Fuel Prices'!O54+'Fuel Taxes'!P54</f>
        <v>1.9398527280272599E-5</v>
      </c>
      <c r="Q53">
        <f>'Pretax Fuel Prices'!P54+'Fuel Taxes'!Q54</f>
        <v>1.9771879840163533E-5</v>
      </c>
      <c r="R53">
        <f>'Pretax Fuel Prices'!Q54+'Fuel Taxes'!R54</f>
        <v>1.9784386304294589E-5</v>
      </c>
      <c r="S53">
        <f>'Pretax Fuel Prices'!R54+'Fuel Taxes'!S54</f>
        <v>1.995813000265615E-5</v>
      </c>
      <c r="T53">
        <f>'Pretax Fuel Prices'!S54+'Fuel Taxes'!T54</f>
        <v>2.0050063724953418E-5</v>
      </c>
      <c r="U53">
        <f>'Pretax Fuel Prices'!T54+'Fuel Taxes'!U54</f>
        <v>2.0176562756042844E-5</v>
      </c>
      <c r="V53">
        <f>'Pretax Fuel Prices'!U54+'Fuel Taxes'!V54</f>
        <v>2.0299919601373467E-5</v>
      </c>
      <c r="W53">
        <f>'Pretax Fuel Prices'!V54+'Fuel Taxes'!W54</f>
        <v>2.0342406225380004E-5</v>
      </c>
      <c r="X53">
        <f>'Pretax Fuel Prices'!W54+'Fuel Taxes'!X54</f>
        <v>2.0261972709702232E-5</v>
      </c>
      <c r="Y53">
        <f>'Pretax Fuel Prices'!X54+'Fuel Taxes'!Y54</f>
        <v>2.0413303514802449E-5</v>
      </c>
      <c r="Z53">
        <f>'Pretax Fuel Prices'!Y54+'Fuel Taxes'!Z54</f>
        <v>2.0502569320540026E-5</v>
      </c>
      <c r="AA53">
        <f>'Pretax Fuel Prices'!Z54+'Fuel Taxes'!AA54</f>
        <v>2.0640610039882473E-5</v>
      </c>
      <c r="AB53">
        <f>'Pretax Fuel Prices'!AA54+'Fuel Taxes'!AB54</f>
        <v>2.0994573268942048E-5</v>
      </c>
      <c r="AC53">
        <f>'Pretax Fuel Prices'!AB54+'Fuel Taxes'!AC54</f>
        <v>2.0971131635991976E-5</v>
      </c>
      <c r="AD53">
        <f>'Pretax Fuel Prices'!AC54+'Fuel Taxes'!AD54</f>
        <v>2.1034810392094585E-5</v>
      </c>
      <c r="AE53">
        <f>'Pretax Fuel Prices'!AD54+'Fuel Taxes'!AE54</f>
        <v>2.1216345552294289E-5</v>
      </c>
    </row>
    <row r="54" spans="1:31" x14ac:dyDescent="0.75">
      <c r="A54" t="s">
        <v>53</v>
      </c>
      <c r="B54">
        <f>'Pretax Fuel Prices'!B55+'Fuel Taxes'!B55</f>
        <v>1.7845889752200973E-5</v>
      </c>
      <c r="C54">
        <f>'Pretax Fuel Prices'!C55+'Fuel Taxes'!C55</f>
        <v>2.7229898649254979E-5</v>
      </c>
      <c r="D54">
        <f>'Pretax Fuel Prices'!C55+'Fuel Taxes'!D55</f>
        <v>2.6357829318230532E-5</v>
      </c>
      <c r="E54">
        <f>'Pretax Fuel Prices'!D55+'Fuel Taxes'!E55</f>
        <v>2.2140662834257419E-5</v>
      </c>
      <c r="F54">
        <f>'Pretax Fuel Prices'!E55+'Fuel Taxes'!F55</f>
        <v>1.9152878060625754E-5</v>
      </c>
      <c r="G54">
        <f>'Pretax Fuel Prices'!F55+'Fuel Taxes'!G55</f>
        <v>1.7935737543025626E-5</v>
      </c>
      <c r="H54">
        <f>'Pretax Fuel Prices'!G55+'Fuel Taxes'!H55</f>
        <v>1.7101621271155558E-5</v>
      </c>
      <c r="I54">
        <f>'Pretax Fuel Prices'!H55+'Fuel Taxes'!I55</f>
        <v>1.6695160657221181E-5</v>
      </c>
      <c r="J54">
        <f>'Pretax Fuel Prices'!I55+'Fuel Taxes'!J55</f>
        <v>1.6472636476235757E-5</v>
      </c>
      <c r="K54">
        <f>'Pretax Fuel Prices'!J55+'Fuel Taxes'!K55</f>
        <v>1.6440886549305954E-5</v>
      </c>
      <c r="L54">
        <f>'Pretax Fuel Prices'!K55+'Fuel Taxes'!L55</f>
        <v>1.6390803256850504E-5</v>
      </c>
      <c r="M54">
        <f>'Pretax Fuel Prices'!L55+'Fuel Taxes'!M55</f>
        <v>1.6644860262037921E-5</v>
      </c>
      <c r="N54">
        <f>'Pretax Fuel Prices'!M55+'Fuel Taxes'!N55</f>
        <v>1.6955379074701838E-5</v>
      </c>
      <c r="O54">
        <f>'Pretax Fuel Prices'!N55+'Fuel Taxes'!O55</f>
        <v>1.7048977774649055E-5</v>
      </c>
      <c r="P54">
        <f>'Pretax Fuel Prices'!O55+'Fuel Taxes'!P55</f>
        <v>1.7264575680028532E-5</v>
      </c>
      <c r="Q54">
        <f>'Pretax Fuel Prices'!P55+'Fuel Taxes'!Q55</f>
        <v>1.7316245406277302E-5</v>
      </c>
      <c r="R54">
        <f>'Pretax Fuel Prices'!Q55+'Fuel Taxes'!R55</f>
        <v>1.7236138964588177E-5</v>
      </c>
      <c r="S54">
        <f>'Pretax Fuel Prices'!R55+'Fuel Taxes'!S55</f>
        <v>1.739759388178561E-5</v>
      </c>
      <c r="T54">
        <f>'Pretax Fuel Prices'!S55+'Fuel Taxes'!T55</f>
        <v>1.7482282301820175E-5</v>
      </c>
      <c r="U54">
        <f>'Pretax Fuel Prices'!T55+'Fuel Taxes'!U55</f>
        <v>1.7590487093881932E-5</v>
      </c>
      <c r="V54">
        <f>'Pretax Fuel Prices'!U55+'Fuel Taxes'!V55</f>
        <v>1.7724172531537649E-5</v>
      </c>
      <c r="W54">
        <f>'Pretax Fuel Prices'!V55+'Fuel Taxes'!W55</f>
        <v>1.7740497258527441E-5</v>
      </c>
      <c r="X54">
        <f>'Pretax Fuel Prices'!W55+'Fuel Taxes'!X55</f>
        <v>1.769920901283818E-5</v>
      </c>
      <c r="Y54">
        <f>'Pretax Fuel Prices'!X55+'Fuel Taxes'!Y55</f>
        <v>1.7824841134685091E-5</v>
      </c>
      <c r="Z54">
        <f>'Pretax Fuel Prices'!Y55+'Fuel Taxes'!Z55</f>
        <v>1.7885679397558796E-5</v>
      </c>
      <c r="AA54">
        <f>'Pretax Fuel Prices'!Z55+'Fuel Taxes'!AA55</f>
        <v>1.8080741710248534E-5</v>
      </c>
      <c r="AB54">
        <f>'Pretax Fuel Prices'!AA55+'Fuel Taxes'!AB55</f>
        <v>1.8414356727756635E-5</v>
      </c>
      <c r="AC54">
        <f>'Pretax Fuel Prices'!AB55+'Fuel Taxes'!AC55</f>
        <v>1.8359292796414791E-5</v>
      </c>
      <c r="AD54">
        <f>'Pretax Fuel Prices'!AC55+'Fuel Taxes'!AD55</f>
        <v>1.8417083694741452E-5</v>
      </c>
      <c r="AE54">
        <f>'Pretax Fuel Prices'!AD55+'Fuel Taxes'!AE55</f>
        <v>1.8534458972786442E-5</v>
      </c>
    </row>
    <row r="55" spans="1:31" x14ac:dyDescent="0.75">
      <c r="A55" t="s">
        <v>54</v>
      </c>
      <c r="B55">
        <f>'Pretax Fuel Prices'!B56+'Fuel Taxes'!B56</f>
        <v>1.7837330565666737E-5</v>
      </c>
      <c r="C55">
        <f>'Pretax Fuel Prices'!C56+'Fuel Taxes'!C56</f>
        <v>2.7216838735455016E-5</v>
      </c>
      <c r="D55">
        <f>'Pretax Fuel Prices'!C56+'Fuel Taxes'!D56</f>
        <v>2.6337822123121938E-5</v>
      </c>
      <c r="E55">
        <f>'Pretax Fuel Prices'!D56+'Fuel Taxes'!E56</f>
        <v>2.2096405707567686E-5</v>
      </c>
      <c r="F55">
        <f>'Pretax Fuel Prices'!E56+'Fuel Taxes'!F56</f>
        <v>1.9163477765504556E-5</v>
      </c>
      <c r="G55">
        <f>'Pretax Fuel Prices'!F56+'Fuel Taxes'!G56</f>
        <v>1.809223783420025E-5</v>
      </c>
      <c r="H55">
        <f>'Pretax Fuel Prices'!G56+'Fuel Taxes'!H56</f>
        <v>1.8117370756762401E-5</v>
      </c>
      <c r="I55">
        <f>'Pretax Fuel Prices'!H56+'Fuel Taxes'!I56</f>
        <v>1.8562812667434319E-5</v>
      </c>
      <c r="J55">
        <f>'Pretax Fuel Prices'!I56+'Fuel Taxes'!J56</f>
        <v>1.9213248305610472E-5</v>
      </c>
      <c r="K55">
        <f>'Pretax Fuel Prices'!J56+'Fuel Taxes'!K56</f>
        <v>1.997645166107444E-5</v>
      </c>
      <c r="L55">
        <f>'Pretax Fuel Prices'!K56+'Fuel Taxes'!L56</f>
        <v>2.0596496073555661E-5</v>
      </c>
      <c r="M55">
        <f>'Pretax Fuel Prices'!L56+'Fuel Taxes'!M56</f>
        <v>2.0842976395000155E-5</v>
      </c>
      <c r="N55">
        <f>'Pretax Fuel Prices'!M56+'Fuel Taxes'!N56</f>
        <v>2.0660778646028102E-5</v>
      </c>
      <c r="O55">
        <f>'Pretax Fuel Prices'!N56+'Fuel Taxes'!O56</f>
        <v>2.0749138977437029E-5</v>
      </c>
      <c r="P55">
        <f>'Pretax Fuel Prices'!O56+'Fuel Taxes'!P56</f>
        <v>2.097960025962733E-5</v>
      </c>
      <c r="Q55">
        <f>'Pretax Fuel Prices'!P56+'Fuel Taxes'!Q56</f>
        <v>2.1090875583282026E-5</v>
      </c>
      <c r="R55">
        <f>'Pretax Fuel Prices'!Q56+'Fuel Taxes'!R56</f>
        <v>2.1038242096762668E-5</v>
      </c>
      <c r="S55">
        <f>'Pretax Fuel Prices'!R56+'Fuel Taxes'!S56</f>
        <v>2.1206529197110656E-5</v>
      </c>
      <c r="T55">
        <f>'Pretax Fuel Prices'!S56+'Fuel Taxes'!T56</f>
        <v>2.1313214150968786E-5</v>
      </c>
      <c r="U55">
        <f>'Pretax Fuel Prices'!T56+'Fuel Taxes'!U56</f>
        <v>2.1445523066191653E-5</v>
      </c>
      <c r="V55">
        <f>'Pretax Fuel Prices'!U56+'Fuel Taxes'!V56</f>
        <v>2.1564091796748228E-5</v>
      </c>
      <c r="W55">
        <f>'Pretax Fuel Prices'!V56+'Fuel Taxes'!W56</f>
        <v>2.1616557623629977E-5</v>
      </c>
      <c r="X55">
        <f>'Pretax Fuel Prices'!W56+'Fuel Taxes'!X56</f>
        <v>2.1553560509688497E-5</v>
      </c>
      <c r="Y55">
        <f>'Pretax Fuel Prices'!X56+'Fuel Taxes'!Y56</f>
        <v>2.1688213496400263E-5</v>
      </c>
      <c r="Z55">
        <f>'Pretax Fuel Prices'!Y56+'Fuel Taxes'!Z56</f>
        <v>2.1771109871796366E-5</v>
      </c>
      <c r="AA55">
        <f>'Pretax Fuel Prices'!Z56+'Fuel Taxes'!AA56</f>
        <v>2.1931190195332754E-5</v>
      </c>
      <c r="AB55">
        <f>'Pretax Fuel Prices'!AA56+'Fuel Taxes'!AB56</f>
        <v>2.2207649257327313E-5</v>
      </c>
      <c r="AC55">
        <f>'Pretax Fuel Prices'!AB56+'Fuel Taxes'!AC56</f>
        <v>2.2194302678695304E-5</v>
      </c>
      <c r="AD55">
        <f>'Pretax Fuel Prices'!AC56+'Fuel Taxes'!AD56</f>
        <v>2.2246195089176496E-5</v>
      </c>
      <c r="AE55">
        <f>'Pretax Fuel Prices'!AD56+'Fuel Taxes'!AE56</f>
        <v>2.2369946198181857E-5</v>
      </c>
    </row>
    <row r="56" spans="1:31" x14ac:dyDescent="0.75">
      <c r="A56" t="s">
        <v>55</v>
      </c>
      <c r="B56">
        <f>'Pretax Fuel Prices'!B57+'Fuel Taxes'!B57</f>
        <v>1.7848060043245782E-5</v>
      </c>
      <c r="C56">
        <f>'Pretax Fuel Prices'!C57+'Fuel Taxes'!C57</f>
        <v>2.7233210157171371E-5</v>
      </c>
      <c r="D56">
        <f>'Pretax Fuel Prices'!C57+'Fuel Taxes'!D57</f>
        <v>2.6368550632367805E-5</v>
      </c>
      <c r="E56">
        <f>'Pretax Fuel Prices'!D57+'Fuel Taxes'!E57</f>
        <v>2.2191258250617866E-5</v>
      </c>
      <c r="F56">
        <f>'Pretax Fuel Prices'!E57+'Fuel Taxes'!F57</f>
        <v>1.9205846944345436E-5</v>
      </c>
      <c r="G56">
        <f>'Pretax Fuel Prices'!F57+'Fuel Taxes'!G57</f>
        <v>1.7991699171900935E-5</v>
      </c>
      <c r="H56">
        <f>'Pretax Fuel Prices'!G57+'Fuel Taxes'!H57</f>
        <v>1.7167428733169629E-5</v>
      </c>
      <c r="I56">
        <f>'Pretax Fuel Prices'!H57+'Fuel Taxes'!I57</f>
        <v>1.6763525191140552E-5</v>
      </c>
      <c r="J56">
        <f>'Pretax Fuel Prices'!I57+'Fuel Taxes'!J57</f>
        <v>1.6565404126711138E-5</v>
      </c>
      <c r="K56">
        <f>'Pretax Fuel Prices'!J57+'Fuel Taxes'!K57</f>
        <v>1.647480054846886E-5</v>
      </c>
      <c r="L56">
        <f>'Pretax Fuel Prices'!K57+'Fuel Taxes'!L57</f>
        <v>1.6395753640941233E-5</v>
      </c>
      <c r="M56">
        <f>'Pretax Fuel Prices'!L57+'Fuel Taxes'!M57</f>
        <v>1.6621907657477158E-5</v>
      </c>
      <c r="N56">
        <f>'Pretax Fuel Prices'!M57+'Fuel Taxes'!N57</f>
        <v>1.6447553011641471E-5</v>
      </c>
      <c r="O56">
        <f>'Pretax Fuel Prices'!N57+'Fuel Taxes'!O57</f>
        <v>1.6537596702900518E-5</v>
      </c>
      <c r="P56">
        <f>'Pretax Fuel Prices'!O57+'Fuel Taxes'!P57</f>
        <v>1.6794452896817087E-5</v>
      </c>
      <c r="Q56">
        <f>'Pretax Fuel Prices'!P57+'Fuel Taxes'!Q57</f>
        <v>1.7040541252830833E-5</v>
      </c>
      <c r="R56">
        <f>'Pretax Fuel Prices'!Q57+'Fuel Taxes'!R57</f>
        <v>1.7017597556169517E-5</v>
      </c>
      <c r="S56">
        <f>'Pretax Fuel Prices'!R57+'Fuel Taxes'!S57</f>
        <v>1.7179625197507513E-5</v>
      </c>
      <c r="T56">
        <f>'Pretax Fuel Prices'!S57+'Fuel Taxes'!T57</f>
        <v>1.7277195786320584E-5</v>
      </c>
      <c r="U56">
        <f>'Pretax Fuel Prices'!T57+'Fuel Taxes'!U57</f>
        <v>1.7396379681769431E-5</v>
      </c>
      <c r="V56">
        <f>'Pretax Fuel Prices'!U57+'Fuel Taxes'!V57</f>
        <v>1.7510565467388741E-5</v>
      </c>
      <c r="W56">
        <f>'Pretax Fuel Prices'!V57+'Fuel Taxes'!W57</f>
        <v>1.7553303029755832E-5</v>
      </c>
      <c r="X56">
        <f>'Pretax Fuel Prices'!W57+'Fuel Taxes'!X57</f>
        <v>1.7498975563792087E-5</v>
      </c>
      <c r="Y56">
        <f>'Pretax Fuel Prices'!X57+'Fuel Taxes'!Y57</f>
        <v>1.7636837397383018E-5</v>
      </c>
      <c r="Z56">
        <f>'Pretax Fuel Prices'!Y57+'Fuel Taxes'!Z57</f>
        <v>1.7729015764275992E-5</v>
      </c>
      <c r="AA56">
        <f>'Pretax Fuel Prices'!Z57+'Fuel Taxes'!AA57</f>
        <v>1.7890693994799067E-5</v>
      </c>
      <c r="AB56">
        <f>'Pretax Fuel Prices'!AA57+'Fuel Taxes'!AB57</f>
        <v>1.8150925703718081E-5</v>
      </c>
      <c r="AC56">
        <f>'Pretax Fuel Prices'!AB57+'Fuel Taxes'!AC57</f>
        <v>1.8132885460097512E-5</v>
      </c>
      <c r="AD56">
        <f>'Pretax Fuel Prices'!AC57+'Fuel Taxes'!AD57</f>
        <v>1.8190272565940867E-5</v>
      </c>
      <c r="AE56">
        <f>'Pretax Fuel Prices'!AD57+'Fuel Taxes'!AE57</f>
        <v>1.8339260957094795E-5</v>
      </c>
    </row>
    <row r="57" spans="1:31" x14ac:dyDescent="0.75">
      <c r="A57" t="s">
        <v>56</v>
      </c>
      <c r="B57">
        <f>'Pretax Fuel Prices'!B58+'Fuel Taxes'!B58</f>
        <v>1.7809395154303096E-5</v>
      </c>
      <c r="C57">
        <f>'Pretax Fuel Prices'!C58+'Fuel Taxes'!C58</f>
        <v>2.7174213882857613E-5</v>
      </c>
      <c r="D57">
        <f>'Pretax Fuel Prices'!C58+'Fuel Taxes'!D58</f>
        <v>2.6299902798674336E-5</v>
      </c>
      <c r="E57">
        <f>'Pretax Fuel Prices'!D58+'Fuel Taxes'!E58</f>
        <v>2.2075662733101248E-5</v>
      </c>
      <c r="F57">
        <f>'Pretax Fuel Prices'!E58+'Fuel Taxes'!F58</f>
        <v>1.9121104319122427E-5</v>
      </c>
      <c r="G57">
        <f>'Pretax Fuel Prices'!F58+'Fuel Taxes'!G58</f>
        <v>1.7908414081052631E-5</v>
      </c>
      <c r="H57">
        <f>'Pretax Fuel Prices'!G58+'Fuel Taxes'!H58</f>
        <v>1.7060145722460031E-5</v>
      </c>
      <c r="I57">
        <f>'Pretax Fuel Prices'!H58+'Fuel Taxes'!I58</f>
        <v>1.6635077315092854E-5</v>
      </c>
      <c r="J57">
        <f>'Pretax Fuel Prices'!I58+'Fuel Taxes'!J58</f>
        <v>1.6416308803897489E-5</v>
      </c>
      <c r="K57">
        <f>'Pretax Fuel Prices'!J58+'Fuel Taxes'!K58</f>
        <v>1.6300902858034473E-5</v>
      </c>
      <c r="L57">
        <f>'Pretax Fuel Prices'!K58+'Fuel Taxes'!L58</f>
        <v>1.620035569646383E-5</v>
      </c>
      <c r="M57">
        <f>'Pretax Fuel Prices'!L58+'Fuel Taxes'!M58</f>
        <v>1.6426016713620764E-5</v>
      </c>
      <c r="N57">
        <f>'Pretax Fuel Prices'!M58+'Fuel Taxes'!N58</f>
        <v>1.6243313662018518E-5</v>
      </c>
      <c r="O57">
        <f>'Pretax Fuel Prices'!N58+'Fuel Taxes'!O58</f>
        <v>1.6342202632885237E-5</v>
      </c>
      <c r="P57">
        <f>'Pretax Fuel Prices'!O58+'Fuel Taxes'!P58</f>
        <v>1.6570882441973018E-5</v>
      </c>
      <c r="Q57">
        <f>'Pretax Fuel Prices'!P58+'Fuel Taxes'!Q58</f>
        <v>1.6652502878590026E-5</v>
      </c>
      <c r="R57">
        <f>'Pretax Fuel Prices'!Q58+'Fuel Taxes'!R58</f>
        <v>1.6609022897505276E-5</v>
      </c>
      <c r="S57">
        <f>'Pretax Fuel Prices'!R58+'Fuel Taxes'!S58</f>
        <v>1.6776539683129813E-5</v>
      </c>
      <c r="T57">
        <f>'Pretax Fuel Prices'!S58+'Fuel Taxes'!T58</f>
        <v>1.6872645033184581E-5</v>
      </c>
      <c r="U57">
        <f>'Pretax Fuel Prices'!T58+'Fuel Taxes'!U58</f>
        <v>1.6988887694552563E-5</v>
      </c>
      <c r="V57">
        <f>'Pretax Fuel Prices'!U58+'Fuel Taxes'!V58</f>
        <v>1.7104697849487118E-5</v>
      </c>
      <c r="W57">
        <f>'Pretax Fuel Prices'!V58+'Fuel Taxes'!W58</f>
        <v>1.7150644941474744E-5</v>
      </c>
      <c r="X57">
        <f>'Pretax Fuel Prices'!W58+'Fuel Taxes'!X58</f>
        <v>1.7101586856584325E-5</v>
      </c>
      <c r="Y57">
        <f>'Pretax Fuel Prices'!X58+'Fuel Taxes'!Y58</f>
        <v>1.7246484620089095E-5</v>
      </c>
      <c r="Z57">
        <f>'Pretax Fuel Prices'!Y58+'Fuel Taxes'!Z58</f>
        <v>1.7350504021063135E-5</v>
      </c>
      <c r="AA57">
        <f>'Pretax Fuel Prices'!Z58+'Fuel Taxes'!AA58</f>
        <v>1.7514465377342472E-5</v>
      </c>
      <c r="AB57">
        <f>'Pretax Fuel Prices'!AA58+'Fuel Taxes'!AB58</f>
        <v>1.7772858030360956E-5</v>
      </c>
      <c r="AC57">
        <f>'Pretax Fuel Prices'!AB58+'Fuel Taxes'!AC58</f>
        <v>1.7755391688577736E-5</v>
      </c>
      <c r="AD57">
        <f>'Pretax Fuel Prices'!AC58+'Fuel Taxes'!AD58</f>
        <v>1.7812721713426545E-5</v>
      </c>
      <c r="AE57">
        <f>'Pretax Fuel Prices'!AD58+'Fuel Taxes'!AE58</f>
        <v>1.7939218060333718E-5</v>
      </c>
    </row>
    <row r="58" spans="1:31" x14ac:dyDescent="0.75">
      <c r="A58" t="s">
        <v>57</v>
      </c>
      <c r="B58">
        <f>'Pretax Fuel Prices'!B59+'Fuel Taxes'!B59</f>
        <v>1.7845889752200973E-5</v>
      </c>
      <c r="C58">
        <f>'Pretax Fuel Prices'!C59+'Fuel Taxes'!C59</f>
        <v>2.7229898649254979E-5</v>
      </c>
      <c r="D58">
        <f>'Pretax Fuel Prices'!C59+'Fuel Taxes'!D59</f>
        <v>2.6357829318230532E-5</v>
      </c>
      <c r="E58">
        <f>'Pretax Fuel Prices'!D59+'Fuel Taxes'!E59</f>
        <v>2.2306250971334805E-5</v>
      </c>
      <c r="F58">
        <f>'Pretax Fuel Prices'!E59+'Fuel Taxes'!F59</f>
        <v>2.0065605089927218E-5</v>
      </c>
      <c r="G58">
        <f>'Pretax Fuel Prices'!F59+'Fuel Taxes'!G59</f>
        <v>1.9162588964686585E-5</v>
      </c>
      <c r="H58">
        <f>'Pretax Fuel Prices'!G59+'Fuel Taxes'!H59</f>
        <v>1.8259572839445955E-5</v>
      </c>
      <c r="I58">
        <f>'Pretax Fuel Prices'!H59+'Fuel Taxes'!I59</f>
        <v>1.7356556714205325E-5</v>
      </c>
      <c r="J58">
        <f>'Pretax Fuel Prices'!I59+'Fuel Taxes'!J59</f>
        <v>1.6472636476235757E-5</v>
      </c>
      <c r="K58">
        <f>'Pretax Fuel Prices'!J59+'Fuel Taxes'!K59</f>
        <v>1.6440886549305954E-5</v>
      </c>
      <c r="L58">
        <f>'Pretax Fuel Prices'!K59+'Fuel Taxes'!L59</f>
        <v>1.6390803256850504E-5</v>
      </c>
      <c r="M58">
        <f>'Pretax Fuel Prices'!L59+'Fuel Taxes'!M59</f>
        <v>1.6644860262037921E-5</v>
      </c>
      <c r="N58">
        <f>'Pretax Fuel Prices'!M59+'Fuel Taxes'!N59</f>
        <v>1.6955379074701838E-5</v>
      </c>
      <c r="O58">
        <f>'Pretax Fuel Prices'!N59+'Fuel Taxes'!O59</f>
        <v>1.7048977774649055E-5</v>
      </c>
      <c r="P58">
        <f>'Pretax Fuel Prices'!O59+'Fuel Taxes'!P59</f>
        <v>1.7264575680028532E-5</v>
      </c>
      <c r="Q58">
        <f>'Pretax Fuel Prices'!P59+'Fuel Taxes'!Q59</f>
        <v>1.7316245406277302E-5</v>
      </c>
      <c r="R58">
        <f>'Pretax Fuel Prices'!Q59+'Fuel Taxes'!R59</f>
        <v>1.7236138964588177E-5</v>
      </c>
      <c r="S58">
        <f>'Pretax Fuel Prices'!R59+'Fuel Taxes'!S59</f>
        <v>1.739759388178561E-5</v>
      </c>
      <c r="T58">
        <f>'Pretax Fuel Prices'!S59+'Fuel Taxes'!T59</f>
        <v>1.7482282301820175E-5</v>
      </c>
      <c r="U58">
        <f>'Pretax Fuel Prices'!T59+'Fuel Taxes'!U59</f>
        <v>1.7590487093881932E-5</v>
      </c>
      <c r="V58">
        <f>'Pretax Fuel Prices'!U59+'Fuel Taxes'!V59</f>
        <v>1.7724172531537649E-5</v>
      </c>
      <c r="W58">
        <f>'Pretax Fuel Prices'!V59+'Fuel Taxes'!W59</f>
        <v>1.7740497258527441E-5</v>
      </c>
      <c r="X58">
        <f>'Pretax Fuel Prices'!W59+'Fuel Taxes'!X59</f>
        <v>1.769920901283818E-5</v>
      </c>
      <c r="Y58">
        <f>'Pretax Fuel Prices'!X59+'Fuel Taxes'!Y59</f>
        <v>1.7824841134685091E-5</v>
      </c>
      <c r="Z58">
        <f>'Pretax Fuel Prices'!Y59+'Fuel Taxes'!Z59</f>
        <v>1.7885679397558796E-5</v>
      </c>
      <c r="AA58">
        <f>'Pretax Fuel Prices'!Z59+'Fuel Taxes'!AA59</f>
        <v>1.8080741710248534E-5</v>
      </c>
      <c r="AB58">
        <f>'Pretax Fuel Prices'!AA59+'Fuel Taxes'!AB59</f>
        <v>1.8414356727756635E-5</v>
      </c>
      <c r="AC58">
        <f>'Pretax Fuel Prices'!AB59+'Fuel Taxes'!AC59</f>
        <v>1.8359292796414791E-5</v>
      </c>
      <c r="AD58">
        <f>'Pretax Fuel Prices'!AC59+'Fuel Taxes'!AD59</f>
        <v>1.8417083694741452E-5</v>
      </c>
      <c r="AE58">
        <f>'Pretax Fuel Prices'!AD59+'Fuel Taxes'!AE59</f>
        <v>1.8534458972786442E-5</v>
      </c>
    </row>
    <row r="59" spans="1:31" x14ac:dyDescent="0.75">
      <c r="A59" t="s">
        <v>58</v>
      </c>
      <c r="B59">
        <f>'Pretax Fuel Prices'!B60+'Fuel Taxes'!B60</f>
        <v>0</v>
      </c>
      <c r="C59">
        <f>'Pretax Fuel Prices'!C60+'Fuel Taxes'!C60</f>
        <v>0</v>
      </c>
      <c r="D59">
        <f>'Pretax Fuel Prices'!C60+'Fuel Taxes'!D60</f>
        <v>0</v>
      </c>
      <c r="E59">
        <f>'Pretax Fuel Prices'!D60+'Fuel Taxes'!E60</f>
        <v>0</v>
      </c>
      <c r="F59">
        <f>'Pretax Fuel Prices'!E60+'Fuel Taxes'!F60</f>
        <v>0</v>
      </c>
      <c r="G59">
        <f>'Pretax Fuel Prices'!F60+'Fuel Taxes'!G60</f>
        <v>0</v>
      </c>
      <c r="H59">
        <f>'Pretax Fuel Prices'!G60+'Fuel Taxes'!H60</f>
        <v>0</v>
      </c>
      <c r="I59">
        <f>'Pretax Fuel Prices'!H60+'Fuel Taxes'!I60</f>
        <v>0</v>
      </c>
      <c r="J59">
        <f>'Pretax Fuel Prices'!I60+'Fuel Taxes'!J60</f>
        <v>0</v>
      </c>
      <c r="K59">
        <f>'Pretax Fuel Prices'!J60+'Fuel Taxes'!K60</f>
        <v>0</v>
      </c>
      <c r="L59">
        <f>'Pretax Fuel Prices'!K60+'Fuel Taxes'!L60</f>
        <v>0</v>
      </c>
      <c r="M59">
        <f>'Pretax Fuel Prices'!L60+'Fuel Taxes'!M60</f>
        <v>0</v>
      </c>
      <c r="N59">
        <f>'Pretax Fuel Prices'!M60+'Fuel Taxes'!N60</f>
        <v>0</v>
      </c>
      <c r="O59">
        <f>'Pretax Fuel Prices'!N60+'Fuel Taxes'!O60</f>
        <v>0</v>
      </c>
      <c r="P59">
        <f>'Pretax Fuel Prices'!O60+'Fuel Taxes'!P60</f>
        <v>0</v>
      </c>
      <c r="Q59">
        <f>'Pretax Fuel Prices'!P60+'Fuel Taxes'!Q60</f>
        <v>0</v>
      </c>
      <c r="R59">
        <f>'Pretax Fuel Prices'!Q60+'Fuel Taxes'!R60</f>
        <v>0</v>
      </c>
      <c r="S59">
        <f>'Pretax Fuel Prices'!R60+'Fuel Taxes'!S60</f>
        <v>0</v>
      </c>
      <c r="T59">
        <f>'Pretax Fuel Prices'!S60+'Fuel Taxes'!T60</f>
        <v>0</v>
      </c>
      <c r="U59">
        <f>'Pretax Fuel Prices'!T60+'Fuel Taxes'!U60</f>
        <v>0</v>
      </c>
      <c r="V59">
        <f>'Pretax Fuel Prices'!U60+'Fuel Taxes'!V60</f>
        <v>0</v>
      </c>
      <c r="W59">
        <f>'Pretax Fuel Prices'!V60+'Fuel Taxes'!W60</f>
        <v>0</v>
      </c>
      <c r="X59">
        <f>'Pretax Fuel Prices'!W60+'Fuel Taxes'!X60</f>
        <v>0</v>
      </c>
      <c r="Y59">
        <f>'Pretax Fuel Prices'!X60+'Fuel Taxes'!Y60</f>
        <v>0</v>
      </c>
      <c r="Z59">
        <f>'Pretax Fuel Prices'!Y60+'Fuel Taxes'!Z60</f>
        <v>0</v>
      </c>
      <c r="AA59">
        <f>'Pretax Fuel Prices'!Z60+'Fuel Taxes'!AA60</f>
        <v>0</v>
      </c>
      <c r="AB59">
        <f>'Pretax Fuel Prices'!AA60+'Fuel Taxes'!AB60</f>
        <v>0</v>
      </c>
      <c r="AC59">
        <f>'Pretax Fuel Prices'!AB60+'Fuel Taxes'!AC60</f>
        <v>0</v>
      </c>
      <c r="AD59">
        <f>'Pretax Fuel Prices'!AC60+'Fuel Taxes'!AD60</f>
        <v>0</v>
      </c>
      <c r="AE59">
        <f>'Pretax Fuel Prices'!AD60+'Fuel Taxes'!AE60</f>
        <v>0</v>
      </c>
    </row>
    <row r="60" spans="1:31" x14ac:dyDescent="0.75">
      <c r="A60" t="s">
        <v>59</v>
      </c>
      <c r="B60">
        <f>'Pretax Fuel Prices'!B61+'Fuel Taxes'!B61</f>
        <v>1.7809395154303096E-5</v>
      </c>
      <c r="C60">
        <f>'Pretax Fuel Prices'!C61+'Fuel Taxes'!C61</f>
        <v>2.7174213882857613E-5</v>
      </c>
      <c r="D60">
        <f>'Pretax Fuel Prices'!C61+'Fuel Taxes'!D61</f>
        <v>2.6299902798674336E-5</v>
      </c>
      <c r="E60">
        <f>'Pretax Fuel Prices'!D61+'Fuel Taxes'!E61</f>
        <v>2.2075662733101248E-5</v>
      </c>
      <c r="F60">
        <f>'Pretax Fuel Prices'!E61+'Fuel Taxes'!F61</f>
        <v>1.9121104319122427E-5</v>
      </c>
      <c r="G60">
        <f>'Pretax Fuel Prices'!F61+'Fuel Taxes'!G61</f>
        <v>1.7908414081052631E-5</v>
      </c>
      <c r="H60">
        <f>'Pretax Fuel Prices'!G61+'Fuel Taxes'!H61</f>
        <v>1.7060145722460031E-5</v>
      </c>
      <c r="I60">
        <f>'Pretax Fuel Prices'!H61+'Fuel Taxes'!I61</f>
        <v>1.6635077315092854E-5</v>
      </c>
      <c r="J60">
        <f>'Pretax Fuel Prices'!I61+'Fuel Taxes'!J61</f>
        <v>1.6416308803897489E-5</v>
      </c>
      <c r="K60">
        <f>'Pretax Fuel Prices'!J61+'Fuel Taxes'!K61</f>
        <v>1.6300902858034473E-5</v>
      </c>
      <c r="L60">
        <f>'Pretax Fuel Prices'!K61+'Fuel Taxes'!L61</f>
        <v>1.620035569646383E-5</v>
      </c>
      <c r="M60">
        <f>'Pretax Fuel Prices'!L61+'Fuel Taxes'!M61</f>
        <v>1.6426016713620764E-5</v>
      </c>
      <c r="N60">
        <f>'Pretax Fuel Prices'!M61+'Fuel Taxes'!N61</f>
        <v>1.6243313662018518E-5</v>
      </c>
      <c r="O60">
        <f>'Pretax Fuel Prices'!N61+'Fuel Taxes'!O61</f>
        <v>1.6342202632885237E-5</v>
      </c>
      <c r="P60">
        <f>'Pretax Fuel Prices'!O61+'Fuel Taxes'!P61</f>
        <v>1.6570882441973018E-5</v>
      </c>
      <c r="Q60">
        <f>'Pretax Fuel Prices'!P61+'Fuel Taxes'!Q61</f>
        <v>1.6652502878590026E-5</v>
      </c>
      <c r="R60">
        <f>'Pretax Fuel Prices'!Q61+'Fuel Taxes'!R61</f>
        <v>1.6609022897505276E-5</v>
      </c>
      <c r="S60">
        <f>'Pretax Fuel Prices'!R61+'Fuel Taxes'!S61</f>
        <v>1.6776539683129813E-5</v>
      </c>
      <c r="T60">
        <f>'Pretax Fuel Prices'!S61+'Fuel Taxes'!T61</f>
        <v>1.6872645033184581E-5</v>
      </c>
      <c r="U60">
        <f>'Pretax Fuel Prices'!T61+'Fuel Taxes'!U61</f>
        <v>1.6988887694552563E-5</v>
      </c>
      <c r="V60">
        <f>'Pretax Fuel Prices'!U61+'Fuel Taxes'!V61</f>
        <v>1.7104697849487118E-5</v>
      </c>
      <c r="W60">
        <f>'Pretax Fuel Prices'!V61+'Fuel Taxes'!W61</f>
        <v>1.7150644941474744E-5</v>
      </c>
      <c r="X60">
        <f>'Pretax Fuel Prices'!W61+'Fuel Taxes'!X61</f>
        <v>1.7101586856584325E-5</v>
      </c>
      <c r="Y60">
        <f>'Pretax Fuel Prices'!X61+'Fuel Taxes'!Y61</f>
        <v>1.7246484620089095E-5</v>
      </c>
      <c r="Z60">
        <f>'Pretax Fuel Prices'!Y61+'Fuel Taxes'!Z61</f>
        <v>1.7350504021063135E-5</v>
      </c>
      <c r="AA60">
        <f>'Pretax Fuel Prices'!Z61+'Fuel Taxes'!AA61</f>
        <v>1.7514465377342472E-5</v>
      </c>
      <c r="AB60">
        <f>'Pretax Fuel Prices'!AA61+'Fuel Taxes'!AB61</f>
        <v>1.7772858030360956E-5</v>
      </c>
      <c r="AC60">
        <f>'Pretax Fuel Prices'!AB61+'Fuel Taxes'!AC61</f>
        <v>1.7755391688577736E-5</v>
      </c>
      <c r="AD60">
        <f>'Pretax Fuel Prices'!AC61+'Fuel Taxes'!AD61</f>
        <v>1.7812721713426545E-5</v>
      </c>
      <c r="AE60">
        <f>'Pretax Fuel Prices'!AD61+'Fuel Taxes'!AE61</f>
        <v>1.7939218060333718E-5</v>
      </c>
    </row>
    <row r="61" spans="1:31" s="3" customFormat="1" x14ac:dyDescent="0.75">
      <c r="A61" s="5" t="s">
        <v>36</v>
      </c>
    </row>
    <row r="62" spans="1:31" x14ac:dyDescent="0.75">
      <c r="A62" t="s">
        <v>30</v>
      </c>
      <c r="B62">
        <f>'Fuel Taxes'!B$1</f>
        <v>2021</v>
      </c>
      <c r="C62">
        <f>'Fuel Taxes'!C$1</f>
        <v>2022</v>
      </c>
      <c r="D62">
        <f>'Fuel Taxes'!D$1</f>
        <v>2023</v>
      </c>
      <c r="E62">
        <f>'Fuel Taxes'!E$1</f>
        <v>2024</v>
      </c>
      <c r="F62">
        <f>'Fuel Taxes'!F$1</f>
        <v>2025</v>
      </c>
      <c r="G62">
        <f>'Fuel Taxes'!G$1</f>
        <v>2026</v>
      </c>
      <c r="H62">
        <f>'Fuel Taxes'!H$1</f>
        <v>2027</v>
      </c>
      <c r="I62">
        <f>'Fuel Taxes'!I$1</f>
        <v>2028</v>
      </c>
      <c r="J62">
        <f>'Fuel Taxes'!J$1</f>
        <v>2029</v>
      </c>
      <c r="K62">
        <f>'Fuel Taxes'!K$1</f>
        <v>2030</v>
      </c>
      <c r="L62">
        <f>'Fuel Taxes'!L$1</f>
        <v>2031</v>
      </c>
      <c r="M62">
        <f>'Fuel Taxes'!M$1</f>
        <v>2032</v>
      </c>
      <c r="N62">
        <f>'Fuel Taxes'!N$1</f>
        <v>2033</v>
      </c>
      <c r="O62">
        <f>'Fuel Taxes'!O$1</f>
        <v>2034</v>
      </c>
      <c r="P62">
        <f>'Fuel Taxes'!P$1</f>
        <v>2035</v>
      </c>
      <c r="Q62">
        <f>'Fuel Taxes'!Q$1</f>
        <v>2036</v>
      </c>
      <c r="R62">
        <f>'Fuel Taxes'!R$1</f>
        <v>2037</v>
      </c>
      <c r="S62">
        <f>'Fuel Taxes'!S$1</f>
        <v>2038</v>
      </c>
      <c r="T62">
        <f>'Fuel Taxes'!T$1</f>
        <v>2039</v>
      </c>
      <c r="U62">
        <f>'Fuel Taxes'!U$1</f>
        <v>2040</v>
      </c>
      <c r="V62">
        <f>'Fuel Taxes'!V$1</f>
        <v>2041</v>
      </c>
      <c r="W62">
        <f>'Fuel Taxes'!W$1</f>
        <v>2042</v>
      </c>
      <c r="X62">
        <f>'Fuel Taxes'!X$1</f>
        <v>2043</v>
      </c>
      <c r="Y62">
        <f>'Fuel Taxes'!Y$1</f>
        <v>2044</v>
      </c>
      <c r="Z62">
        <f>'Fuel Taxes'!Z$1</f>
        <v>2045</v>
      </c>
      <c r="AA62">
        <f>'Fuel Taxes'!AA$1</f>
        <v>2046</v>
      </c>
      <c r="AB62">
        <f>'Fuel Taxes'!AB$1</f>
        <v>2047</v>
      </c>
      <c r="AC62">
        <f>'Fuel Taxes'!AC$1</f>
        <v>2048</v>
      </c>
      <c r="AD62">
        <f>'Fuel Taxes'!AD$1</f>
        <v>2049</v>
      </c>
      <c r="AE62">
        <f>'Fuel Taxes'!AE$1</f>
        <v>2050</v>
      </c>
    </row>
    <row r="63" spans="1:31" x14ac:dyDescent="0.75">
      <c r="A63" t="s">
        <v>52</v>
      </c>
      <c r="B63">
        <f>'Pretax Fuel Prices'!B64+'Fuel Taxes'!B64</f>
        <v>2.1850196705841969E-5</v>
      </c>
      <c r="C63">
        <f>'Pretax Fuel Prices'!C64+'Fuel Taxes'!C64</f>
        <v>2.9952006270000006E-5</v>
      </c>
      <c r="D63">
        <f>'Pretax Fuel Prices'!C64+'Fuel Taxes'!D64</f>
        <v>2.9998391794352227E-5</v>
      </c>
      <c r="E63">
        <f>'Pretax Fuel Prices'!D64+'Fuel Taxes'!E64</f>
        <v>2.595919242269132E-5</v>
      </c>
      <c r="F63">
        <f>'Pretax Fuel Prices'!E64+'Fuel Taxes'!F64</f>
        <v>2.1349012309030851E-5</v>
      </c>
      <c r="G63">
        <f>'Pretax Fuel Prices'!F64+'Fuel Taxes'!G64</f>
        <v>2.1622595728449732E-5</v>
      </c>
      <c r="H63">
        <f>'Pretax Fuel Prices'!G64+'Fuel Taxes'!H64</f>
        <v>2.1946664537101951E-5</v>
      </c>
      <c r="I63">
        <f>'Pretax Fuel Prices'!H64+'Fuel Taxes'!I64</f>
        <v>2.1777619705414024E-5</v>
      </c>
      <c r="J63">
        <f>'Pretax Fuel Prices'!I64+'Fuel Taxes'!J64</f>
        <v>2.1432435076206925E-5</v>
      </c>
      <c r="K63">
        <f>'Pretax Fuel Prices'!J64+'Fuel Taxes'!K64</f>
        <v>2.1342508003792339E-5</v>
      </c>
      <c r="L63">
        <f>'Pretax Fuel Prices'!K64+'Fuel Taxes'!L64</f>
        <v>2.1287371472369569E-5</v>
      </c>
      <c r="M63">
        <f>'Pretax Fuel Prices'!L64+'Fuel Taxes'!M64</f>
        <v>2.1524835875384604E-5</v>
      </c>
      <c r="N63">
        <f>'Pretax Fuel Prices'!M64+'Fuel Taxes'!N64</f>
        <v>2.1412634121660371E-5</v>
      </c>
      <c r="O63">
        <f>'Pretax Fuel Prices'!N64+'Fuel Taxes'!O64</f>
        <v>2.1435556030992334E-5</v>
      </c>
      <c r="P63">
        <f>'Pretax Fuel Prices'!O64+'Fuel Taxes'!P64</f>
        <v>2.1965328964986298E-5</v>
      </c>
      <c r="Q63">
        <f>'Pretax Fuel Prices'!P64+'Fuel Taxes'!Q64</f>
        <v>2.2168777745623114E-5</v>
      </c>
      <c r="R63">
        <f>'Pretax Fuel Prices'!Q64+'Fuel Taxes'!R64</f>
        <v>2.235155171523596E-5</v>
      </c>
      <c r="S63">
        <f>'Pretax Fuel Prices'!R64+'Fuel Taxes'!S64</f>
        <v>2.2392557866050608E-5</v>
      </c>
      <c r="T63">
        <f>'Pretax Fuel Prices'!S64+'Fuel Taxes'!T64</f>
        <v>2.2651046577351975E-5</v>
      </c>
      <c r="U63">
        <f>'Pretax Fuel Prices'!T64+'Fuel Taxes'!U64</f>
        <v>2.2767614035565474E-5</v>
      </c>
      <c r="V63">
        <f>'Pretax Fuel Prices'!U64+'Fuel Taxes'!V64</f>
        <v>2.2732815426542107E-5</v>
      </c>
      <c r="W63">
        <f>'Pretax Fuel Prices'!V64+'Fuel Taxes'!W64</f>
        <v>2.2686742179299049E-5</v>
      </c>
      <c r="X63">
        <f>'Pretax Fuel Prices'!W64+'Fuel Taxes'!X64</f>
        <v>2.2544523275926282E-5</v>
      </c>
      <c r="Y63">
        <f>'Pretax Fuel Prices'!X64+'Fuel Taxes'!Y64</f>
        <v>2.2708944114658641E-5</v>
      </c>
      <c r="Z63">
        <f>'Pretax Fuel Prices'!Y64+'Fuel Taxes'!Z64</f>
        <v>2.2725786937454196E-5</v>
      </c>
      <c r="AA63">
        <f>'Pretax Fuel Prices'!Z64+'Fuel Taxes'!AA64</f>
        <v>2.2867597665826982E-5</v>
      </c>
      <c r="AB63">
        <f>'Pretax Fuel Prices'!AA64+'Fuel Taxes'!AB64</f>
        <v>2.2970265712610279E-5</v>
      </c>
      <c r="AC63">
        <f>'Pretax Fuel Prices'!AB64+'Fuel Taxes'!AC64</f>
        <v>2.2903467798616295E-5</v>
      </c>
      <c r="AD63">
        <f>'Pretax Fuel Prices'!AC64+'Fuel Taxes'!AD64</f>
        <v>2.2980352498788358E-5</v>
      </c>
      <c r="AE63">
        <f>'Pretax Fuel Prices'!AD64+'Fuel Taxes'!AE64</f>
        <v>2.3114553436139489E-5</v>
      </c>
    </row>
    <row r="64" spans="1:31" x14ac:dyDescent="0.75">
      <c r="A64" t="s">
        <v>53</v>
      </c>
      <c r="B64">
        <f>'Pretax Fuel Prices'!B65+'Fuel Taxes'!B65</f>
        <v>0</v>
      </c>
      <c r="C64">
        <f>'Pretax Fuel Prices'!C65+'Fuel Taxes'!C65</f>
        <v>0</v>
      </c>
      <c r="D64">
        <f>'Pretax Fuel Prices'!C65+'Fuel Taxes'!D65</f>
        <v>0</v>
      </c>
      <c r="E64">
        <f>'Pretax Fuel Prices'!D65+'Fuel Taxes'!E65</f>
        <v>0</v>
      </c>
      <c r="F64">
        <f>'Pretax Fuel Prices'!E65+'Fuel Taxes'!F65</f>
        <v>0</v>
      </c>
      <c r="G64">
        <f>'Pretax Fuel Prices'!F65+'Fuel Taxes'!G65</f>
        <v>0</v>
      </c>
      <c r="H64">
        <f>'Pretax Fuel Prices'!G65+'Fuel Taxes'!H65</f>
        <v>0</v>
      </c>
      <c r="I64">
        <f>'Pretax Fuel Prices'!H65+'Fuel Taxes'!I65</f>
        <v>0</v>
      </c>
      <c r="J64">
        <f>'Pretax Fuel Prices'!I65+'Fuel Taxes'!J65</f>
        <v>0</v>
      </c>
      <c r="K64">
        <f>'Pretax Fuel Prices'!J65+'Fuel Taxes'!K65</f>
        <v>0</v>
      </c>
      <c r="L64">
        <f>'Pretax Fuel Prices'!K65+'Fuel Taxes'!L65</f>
        <v>0</v>
      </c>
      <c r="M64">
        <f>'Pretax Fuel Prices'!L65+'Fuel Taxes'!M65</f>
        <v>0</v>
      </c>
      <c r="N64">
        <f>'Pretax Fuel Prices'!M65+'Fuel Taxes'!N65</f>
        <v>0</v>
      </c>
      <c r="O64">
        <f>'Pretax Fuel Prices'!N65+'Fuel Taxes'!O65</f>
        <v>0</v>
      </c>
      <c r="P64">
        <f>'Pretax Fuel Prices'!O65+'Fuel Taxes'!P65</f>
        <v>0</v>
      </c>
      <c r="Q64">
        <f>'Pretax Fuel Prices'!P65+'Fuel Taxes'!Q65</f>
        <v>0</v>
      </c>
      <c r="R64">
        <f>'Pretax Fuel Prices'!Q65+'Fuel Taxes'!R65</f>
        <v>0</v>
      </c>
      <c r="S64">
        <f>'Pretax Fuel Prices'!R65+'Fuel Taxes'!S65</f>
        <v>0</v>
      </c>
      <c r="T64">
        <f>'Pretax Fuel Prices'!S65+'Fuel Taxes'!T65</f>
        <v>0</v>
      </c>
      <c r="U64">
        <f>'Pretax Fuel Prices'!T65+'Fuel Taxes'!U65</f>
        <v>0</v>
      </c>
      <c r="V64">
        <f>'Pretax Fuel Prices'!U65+'Fuel Taxes'!V65</f>
        <v>0</v>
      </c>
      <c r="W64">
        <f>'Pretax Fuel Prices'!V65+'Fuel Taxes'!W65</f>
        <v>0</v>
      </c>
      <c r="X64">
        <f>'Pretax Fuel Prices'!W65+'Fuel Taxes'!X65</f>
        <v>0</v>
      </c>
      <c r="Y64">
        <f>'Pretax Fuel Prices'!X65+'Fuel Taxes'!Y65</f>
        <v>0</v>
      </c>
      <c r="Z64">
        <f>'Pretax Fuel Prices'!Y65+'Fuel Taxes'!Z65</f>
        <v>0</v>
      </c>
      <c r="AA64">
        <f>'Pretax Fuel Prices'!Z65+'Fuel Taxes'!AA65</f>
        <v>0</v>
      </c>
      <c r="AB64">
        <f>'Pretax Fuel Prices'!AA65+'Fuel Taxes'!AB65</f>
        <v>0</v>
      </c>
      <c r="AC64">
        <f>'Pretax Fuel Prices'!AB65+'Fuel Taxes'!AC65</f>
        <v>0</v>
      </c>
      <c r="AD64">
        <f>'Pretax Fuel Prices'!AC65+'Fuel Taxes'!AD65</f>
        <v>0</v>
      </c>
      <c r="AE64">
        <f>'Pretax Fuel Prices'!AD65+'Fuel Taxes'!AE65</f>
        <v>0</v>
      </c>
    </row>
    <row r="65" spans="1:31" x14ac:dyDescent="0.75">
      <c r="A65" t="s">
        <v>54</v>
      </c>
      <c r="B65">
        <f>'Pretax Fuel Prices'!B66+'Fuel Taxes'!B66</f>
        <v>0</v>
      </c>
      <c r="C65">
        <f>'Pretax Fuel Prices'!C66+'Fuel Taxes'!C66</f>
        <v>0</v>
      </c>
      <c r="D65">
        <f>'Pretax Fuel Prices'!C66+'Fuel Taxes'!D66</f>
        <v>0</v>
      </c>
      <c r="E65">
        <f>'Pretax Fuel Prices'!D66+'Fuel Taxes'!E66</f>
        <v>0</v>
      </c>
      <c r="F65">
        <f>'Pretax Fuel Prices'!E66+'Fuel Taxes'!F66</f>
        <v>0</v>
      </c>
      <c r="G65">
        <f>'Pretax Fuel Prices'!F66+'Fuel Taxes'!G66</f>
        <v>0</v>
      </c>
      <c r="H65">
        <f>'Pretax Fuel Prices'!G66+'Fuel Taxes'!H66</f>
        <v>0</v>
      </c>
      <c r="I65">
        <f>'Pretax Fuel Prices'!H66+'Fuel Taxes'!I66</f>
        <v>0</v>
      </c>
      <c r="J65">
        <f>'Pretax Fuel Prices'!I66+'Fuel Taxes'!J66</f>
        <v>0</v>
      </c>
      <c r="K65">
        <f>'Pretax Fuel Prices'!J66+'Fuel Taxes'!K66</f>
        <v>0</v>
      </c>
      <c r="L65">
        <f>'Pretax Fuel Prices'!K66+'Fuel Taxes'!L66</f>
        <v>0</v>
      </c>
      <c r="M65">
        <f>'Pretax Fuel Prices'!L66+'Fuel Taxes'!M66</f>
        <v>0</v>
      </c>
      <c r="N65">
        <f>'Pretax Fuel Prices'!M66+'Fuel Taxes'!N66</f>
        <v>0</v>
      </c>
      <c r="O65">
        <f>'Pretax Fuel Prices'!N66+'Fuel Taxes'!O66</f>
        <v>0</v>
      </c>
      <c r="P65">
        <f>'Pretax Fuel Prices'!O66+'Fuel Taxes'!P66</f>
        <v>0</v>
      </c>
      <c r="Q65">
        <f>'Pretax Fuel Prices'!P66+'Fuel Taxes'!Q66</f>
        <v>0</v>
      </c>
      <c r="R65">
        <f>'Pretax Fuel Prices'!Q66+'Fuel Taxes'!R66</f>
        <v>0</v>
      </c>
      <c r="S65">
        <f>'Pretax Fuel Prices'!R66+'Fuel Taxes'!S66</f>
        <v>0</v>
      </c>
      <c r="T65">
        <f>'Pretax Fuel Prices'!S66+'Fuel Taxes'!T66</f>
        <v>0</v>
      </c>
      <c r="U65">
        <f>'Pretax Fuel Prices'!T66+'Fuel Taxes'!U66</f>
        <v>0</v>
      </c>
      <c r="V65">
        <f>'Pretax Fuel Prices'!U66+'Fuel Taxes'!V66</f>
        <v>0</v>
      </c>
      <c r="W65">
        <f>'Pretax Fuel Prices'!V66+'Fuel Taxes'!W66</f>
        <v>0</v>
      </c>
      <c r="X65">
        <f>'Pretax Fuel Prices'!W66+'Fuel Taxes'!X66</f>
        <v>0</v>
      </c>
      <c r="Y65">
        <f>'Pretax Fuel Prices'!X66+'Fuel Taxes'!Y66</f>
        <v>0</v>
      </c>
      <c r="Z65">
        <f>'Pretax Fuel Prices'!Y66+'Fuel Taxes'!Z66</f>
        <v>0</v>
      </c>
      <c r="AA65">
        <f>'Pretax Fuel Prices'!Z66+'Fuel Taxes'!AA66</f>
        <v>0</v>
      </c>
      <c r="AB65">
        <f>'Pretax Fuel Prices'!AA66+'Fuel Taxes'!AB66</f>
        <v>0</v>
      </c>
      <c r="AC65">
        <f>'Pretax Fuel Prices'!AB66+'Fuel Taxes'!AC66</f>
        <v>0</v>
      </c>
      <c r="AD65">
        <f>'Pretax Fuel Prices'!AC66+'Fuel Taxes'!AD66</f>
        <v>0</v>
      </c>
      <c r="AE65">
        <f>'Pretax Fuel Prices'!AD66+'Fuel Taxes'!AE66</f>
        <v>0</v>
      </c>
    </row>
    <row r="66" spans="1:31" x14ac:dyDescent="0.75">
      <c r="A66" t="s">
        <v>55</v>
      </c>
      <c r="B66">
        <f>'Pretax Fuel Prices'!B67+'Fuel Taxes'!B67</f>
        <v>0</v>
      </c>
      <c r="C66">
        <f>'Pretax Fuel Prices'!C67+'Fuel Taxes'!C67</f>
        <v>0</v>
      </c>
      <c r="D66">
        <f>'Pretax Fuel Prices'!C67+'Fuel Taxes'!D67</f>
        <v>0</v>
      </c>
      <c r="E66">
        <f>'Pretax Fuel Prices'!D67+'Fuel Taxes'!E67</f>
        <v>0</v>
      </c>
      <c r="F66">
        <f>'Pretax Fuel Prices'!E67+'Fuel Taxes'!F67</f>
        <v>0</v>
      </c>
      <c r="G66">
        <f>'Pretax Fuel Prices'!F67+'Fuel Taxes'!G67</f>
        <v>0</v>
      </c>
      <c r="H66">
        <f>'Pretax Fuel Prices'!G67+'Fuel Taxes'!H67</f>
        <v>0</v>
      </c>
      <c r="I66">
        <f>'Pretax Fuel Prices'!H67+'Fuel Taxes'!I67</f>
        <v>0</v>
      </c>
      <c r="J66">
        <f>'Pretax Fuel Prices'!I67+'Fuel Taxes'!J67</f>
        <v>0</v>
      </c>
      <c r="K66">
        <f>'Pretax Fuel Prices'!J67+'Fuel Taxes'!K67</f>
        <v>0</v>
      </c>
      <c r="L66">
        <f>'Pretax Fuel Prices'!K67+'Fuel Taxes'!L67</f>
        <v>0</v>
      </c>
      <c r="M66">
        <f>'Pretax Fuel Prices'!L67+'Fuel Taxes'!M67</f>
        <v>0</v>
      </c>
      <c r="N66">
        <f>'Pretax Fuel Prices'!M67+'Fuel Taxes'!N67</f>
        <v>0</v>
      </c>
      <c r="O66">
        <f>'Pretax Fuel Prices'!N67+'Fuel Taxes'!O67</f>
        <v>0</v>
      </c>
      <c r="P66">
        <f>'Pretax Fuel Prices'!O67+'Fuel Taxes'!P67</f>
        <v>0</v>
      </c>
      <c r="Q66">
        <f>'Pretax Fuel Prices'!P67+'Fuel Taxes'!Q67</f>
        <v>0</v>
      </c>
      <c r="R66">
        <f>'Pretax Fuel Prices'!Q67+'Fuel Taxes'!R67</f>
        <v>0</v>
      </c>
      <c r="S66">
        <f>'Pretax Fuel Prices'!R67+'Fuel Taxes'!S67</f>
        <v>0</v>
      </c>
      <c r="T66">
        <f>'Pretax Fuel Prices'!S67+'Fuel Taxes'!T67</f>
        <v>0</v>
      </c>
      <c r="U66">
        <f>'Pretax Fuel Prices'!T67+'Fuel Taxes'!U67</f>
        <v>0</v>
      </c>
      <c r="V66">
        <f>'Pretax Fuel Prices'!U67+'Fuel Taxes'!V67</f>
        <v>0</v>
      </c>
      <c r="W66">
        <f>'Pretax Fuel Prices'!V67+'Fuel Taxes'!W67</f>
        <v>0</v>
      </c>
      <c r="X66">
        <f>'Pretax Fuel Prices'!W67+'Fuel Taxes'!X67</f>
        <v>0</v>
      </c>
      <c r="Y66">
        <f>'Pretax Fuel Prices'!X67+'Fuel Taxes'!Y67</f>
        <v>0</v>
      </c>
      <c r="Z66">
        <f>'Pretax Fuel Prices'!Y67+'Fuel Taxes'!Z67</f>
        <v>0</v>
      </c>
      <c r="AA66">
        <f>'Pretax Fuel Prices'!Z67+'Fuel Taxes'!AA67</f>
        <v>0</v>
      </c>
      <c r="AB66">
        <f>'Pretax Fuel Prices'!AA67+'Fuel Taxes'!AB67</f>
        <v>0</v>
      </c>
      <c r="AC66">
        <f>'Pretax Fuel Prices'!AB67+'Fuel Taxes'!AC67</f>
        <v>0</v>
      </c>
      <c r="AD66">
        <f>'Pretax Fuel Prices'!AC67+'Fuel Taxes'!AD67</f>
        <v>0</v>
      </c>
      <c r="AE66">
        <f>'Pretax Fuel Prices'!AD67+'Fuel Taxes'!AE67</f>
        <v>0</v>
      </c>
    </row>
    <row r="67" spans="1:31" x14ac:dyDescent="0.75">
      <c r="A67" t="s">
        <v>56</v>
      </c>
      <c r="B67">
        <f>'Pretax Fuel Prices'!B68+'Fuel Taxes'!B68</f>
        <v>0</v>
      </c>
      <c r="C67">
        <f>'Pretax Fuel Prices'!C68+'Fuel Taxes'!C68</f>
        <v>0</v>
      </c>
      <c r="D67">
        <f>'Pretax Fuel Prices'!C68+'Fuel Taxes'!D68</f>
        <v>0</v>
      </c>
      <c r="E67">
        <f>'Pretax Fuel Prices'!D68+'Fuel Taxes'!E68</f>
        <v>0</v>
      </c>
      <c r="F67">
        <f>'Pretax Fuel Prices'!E68+'Fuel Taxes'!F68</f>
        <v>0</v>
      </c>
      <c r="G67">
        <f>'Pretax Fuel Prices'!F68+'Fuel Taxes'!G68</f>
        <v>0</v>
      </c>
      <c r="H67">
        <f>'Pretax Fuel Prices'!G68+'Fuel Taxes'!H68</f>
        <v>0</v>
      </c>
      <c r="I67">
        <f>'Pretax Fuel Prices'!H68+'Fuel Taxes'!I68</f>
        <v>0</v>
      </c>
      <c r="J67">
        <f>'Pretax Fuel Prices'!I68+'Fuel Taxes'!J68</f>
        <v>0</v>
      </c>
      <c r="K67">
        <f>'Pretax Fuel Prices'!J68+'Fuel Taxes'!K68</f>
        <v>0</v>
      </c>
      <c r="L67">
        <f>'Pretax Fuel Prices'!K68+'Fuel Taxes'!L68</f>
        <v>0</v>
      </c>
      <c r="M67">
        <f>'Pretax Fuel Prices'!L68+'Fuel Taxes'!M68</f>
        <v>0</v>
      </c>
      <c r="N67">
        <f>'Pretax Fuel Prices'!M68+'Fuel Taxes'!N68</f>
        <v>0</v>
      </c>
      <c r="O67">
        <f>'Pretax Fuel Prices'!N68+'Fuel Taxes'!O68</f>
        <v>0</v>
      </c>
      <c r="P67">
        <f>'Pretax Fuel Prices'!O68+'Fuel Taxes'!P68</f>
        <v>0</v>
      </c>
      <c r="Q67">
        <f>'Pretax Fuel Prices'!P68+'Fuel Taxes'!Q68</f>
        <v>0</v>
      </c>
      <c r="R67">
        <f>'Pretax Fuel Prices'!Q68+'Fuel Taxes'!R68</f>
        <v>0</v>
      </c>
      <c r="S67">
        <f>'Pretax Fuel Prices'!R68+'Fuel Taxes'!S68</f>
        <v>0</v>
      </c>
      <c r="T67">
        <f>'Pretax Fuel Prices'!S68+'Fuel Taxes'!T68</f>
        <v>0</v>
      </c>
      <c r="U67">
        <f>'Pretax Fuel Prices'!T68+'Fuel Taxes'!U68</f>
        <v>0</v>
      </c>
      <c r="V67">
        <f>'Pretax Fuel Prices'!U68+'Fuel Taxes'!V68</f>
        <v>0</v>
      </c>
      <c r="W67">
        <f>'Pretax Fuel Prices'!V68+'Fuel Taxes'!W68</f>
        <v>0</v>
      </c>
      <c r="X67">
        <f>'Pretax Fuel Prices'!W68+'Fuel Taxes'!X68</f>
        <v>0</v>
      </c>
      <c r="Y67">
        <f>'Pretax Fuel Prices'!X68+'Fuel Taxes'!Y68</f>
        <v>0</v>
      </c>
      <c r="Z67">
        <f>'Pretax Fuel Prices'!Y68+'Fuel Taxes'!Z68</f>
        <v>0</v>
      </c>
      <c r="AA67">
        <f>'Pretax Fuel Prices'!Z68+'Fuel Taxes'!AA68</f>
        <v>0</v>
      </c>
      <c r="AB67">
        <f>'Pretax Fuel Prices'!AA68+'Fuel Taxes'!AB68</f>
        <v>0</v>
      </c>
      <c r="AC67">
        <f>'Pretax Fuel Prices'!AB68+'Fuel Taxes'!AC68</f>
        <v>0</v>
      </c>
      <c r="AD67">
        <f>'Pretax Fuel Prices'!AC68+'Fuel Taxes'!AD68</f>
        <v>0</v>
      </c>
      <c r="AE67">
        <f>'Pretax Fuel Prices'!AD68+'Fuel Taxes'!AE68</f>
        <v>0</v>
      </c>
    </row>
    <row r="68" spans="1:31" x14ac:dyDescent="0.75">
      <c r="A68" t="s">
        <v>57</v>
      </c>
      <c r="B68">
        <f>'Pretax Fuel Prices'!B69+'Fuel Taxes'!B69</f>
        <v>0</v>
      </c>
      <c r="C68">
        <f>'Pretax Fuel Prices'!C69+'Fuel Taxes'!C69</f>
        <v>0</v>
      </c>
      <c r="D68">
        <f>'Pretax Fuel Prices'!C69+'Fuel Taxes'!D69</f>
        <v>0</v>
      </c>
      <c r="E68">
        <f>'Pretax Fuel Prices'!D69+'Fuel Taxes'!E69</f>
        <v>0</v>
      </c>
      <c r="F68">
        <f>'Pretax Fuel Prices'!E69+'Fuel Taxes'!F69</f>
        <v>0</v>
      </c>
      <c r="G68">
        <f>'Pretax Fuel Prices'!F69+'Fuel Taxes'!G69</f>
        <v>0</v>
      </c>
      <c r="H68">
        <f>'Pretax Fuel Prices'!G69+'Fuel Taxes'!H69</f>
        <v>0</v>
      </c>
      <c r="I68">
        <f>'Pretax Fuel Prices'!H69+'Fuel Taxes'!I69</f>
        <v>0</v>
      </c>
      <c r="J68">
        <f>'Pretax Fuel Prices'!I69+'Fuel Taxes'!J69</f>
        <v>0</v>
      </c>
      <c r="K68">
        <f>'Pretax Fuel Prices'!J69+'Fuel Taxes'!K69</f>
        <v>0</v>
      </c>
      <c r="L68">
        <f>'Pretax Fuel Prices'!K69+'Fuel Taxes'!L69</f>
        <v>0</v>
      </c>
      <c r="M68">
        <f>'Pretax Fuel Prices'!L69+'Fuel Taxes'!M69</f>
        <v>0</v>
      </c>
      <c r="N68">
        <f>'Pretax Fuel Prices'!M69+'Fuel Taxes'!N69</f>
        <v>0</v>
      </c>
      <c r="O68">
        <f>'Pretax Fuel Prices'!N69+'Fuel Taxes'!O69</f>
        <v>0</v>
      </c>
      <c r="P68">
        <f>'Pretax Fuel Prices'!O69+'Fuel Taxes'!P69</f>
        <v>0</v>
      </c>
      <c r="Q68">
        <f>'Pretax Fuel Prices'!P69+'Fuel Taxes'!Q69</f>
        <v>0</v>
      </c>
      <c r="R68">
        <f>'Pretax Fuel Prices'!Q69+'Fuel Taxes'!R69</f>
        <v>0</v>
      </c>
      <c r="S68">
        <f>'Pretax Fuel Prices'!R69+'Fuel Taxes'!S69</f>
        <v>0</v>
      </c>
      <c r="T68">
        <f>'Pretax Fuel Prices'!S69+'Fuel Taxes'!T69</f>
        <v>0</v>
      </c>
      <c r="U68">
        <f>'Pretax Fuel Prices'!T69+'Fuel Taxes'!U69</f>
        <v>0</v>
      </c>
      <c r="V68">
        <f>'Pretax Fuel Prices'!U69+'Fuel Taxes'!V69</f>
        <v>0</v>
      </c>
      <c r="W68">
        <f>'Pretax Fuel Prices'!V69+'Fuel Taxes'!W69</f>
        <v>0</v>
      </c>
      <c r="X68">
        <f>'Pretax Fuel Prices'!W69+'Fuel Taxes'!X69</f>
        <v>0</v>
      </c>
      <c r="Y68">
        <f>'Pretax Fuel Prices'!X69+'Fuel Taxes'!Y69</f>
        <v>0</v>
      </c>
      <c r="Z68">
        <f>'Pretax Fuel Prices'!Y69+'Fuel Taxes'!Z69</f>
        <v>0</v>
      </c>
      <c r="AA68">
        <f>'Pretax Fuel Prices'!Z69+'Fuel Taxes'!AA69</f>
        <v>0</v>
      </c>
      <c r="AB68">
        <f>'Pretax Fuel Prices'!AA69+'Fuel Taxes'!AB69</f>
        <v>0</v>
      </c>
      <c r="AC68">
        <f>'Pretax Fuel Prices'!AB69+'Fuel Taxes'!AC69</f>
        <v>0</v>
      </c>
      <c r="AD68">
        <f>'Pretax Fuel Prices'!AC69+'Fuel Taxes'!AD69</f>
        <v>0</v>
      </c>
      <c r="AE68">
        <f>'Pretax Fuel Prices'!AD69+'Fuel Taxes'!AE69</f>
        <v>0</v>
      </c>
    </row>
    <row r="69" spans="1:31" x14ac:dyDescent="0.75">
      <c r="A69" t="s">
        <v>58</v>
      </c>
      <c r="B69">
        <f>'Pretax Fuel Prices'!B70+'Fuel Taxes'!B70</f>
        <v>0</v>
      </c>
      <c r="C69">
        <f>'Pretax Fuel Prices'!C70+'Fuel Taxes'!C70</f>
        <v>0</v>
      </c>
      <c r="D69">
        <f>'Pretax Fuel Prices'!C70+'Fuel Taxes'!D70</f>
        <v>0</v>
      </c>
      <c r="E69">
        <f>'Pretax Fuel Prices'!D70+'Fuel Taxes'!E70</f>
        <v>0</v>
      </c>
      <c r="F69">
        <f>'Pretax Fuel Prices'!E70+'Fuel Taxes'!F70</f>
        <v>0</v>
      </c>
      <c r="G69">
        <f>'Pretax Fuel Prices'!F70+'Fuel Taxes'!G70</f>
        <v>0</v>
      </c>
      <c r="H69">
        <f>'Pretax Fuel Prices'!G70+'Fuel Taxes'!H70</f>
        <v>0</v>
      </c>
      <c r="I69">
        <f>'Pretax Fuel Prices'!H70+'Fuel Taxes'!I70</f>
        <v>0</v>
      </c>
      <c r="J69">
        <f>'Pretax Fuel Prices'!I70+'Fuel Taxes'!J70</f>
        <v>0</v>
      </c>
      <c r="K69">
        <f>'Pretax Fuel Prices'!J70+'Fuel Taxes'!K70</f>
        <v>0</v>
      </c>
      <c r="L69">
        <f>'Pretax Fuel Prices'!K70+'Fuel Taxes'!L70</f>
        <v>0</v>
      </c>
      <c r="M69">
        <f>'Pretax Fuel Prices'!L70+'Fuel Taxes'!M70</f>
        <v>0</v>
      </c>
      <c r="N69">
        <f>'Pretax Fuel Prices'!M70+'Fuel Taxes'!N70</f>
        <v>0</v>
      </c>
      <c r="O69">
        <f>'Pretax Fuel Prices'!N70+'Fuel Taxes'!O70</f>
        <v>0</v>
      </c>
      <c r="P69">
        <f>'Pretax Fuel Prices'!O70+'Fuel Taxes'!P70</f>
        <v>0</v>
      </c>
      <c r="Q69">
        <f>'Pretax Fuel Prices'!P70+'Fuel Taxes'!Q70</f>
        <v>0</v>
      </c>
      <c r="R69">
        <f>'Pretax Fuel Prices'!Q70+'Fuel Taxes'!R70</f>
        <v>0</v>
      </c>
      <c r="S69">
        <f>'Pretax Fuel Prices'!R70+'Fuel Taxes'!S70</f>
        <v>0</v>
      </c>
      <c r="T69">
        <f>'Pretax Fuel Prices'!S70+'Fuel Taxes'!T70</f>
        <v>0</v>
      </c>
      <c r="U69">
        <f>'Pretax Fuel Prices'!T70+'Fuel Taxes'!U70</f>
        <v>0</v>
      </c>
      <c r="V69">
        <f>'Pretax Fuel Prices'!U70+'Fuel Taxes'!V70</f>
        <v>0</v>
      </c>
      <c r="W69">
        <f>'Pretax Fuel Prices'!V70+'Fuel Taxes'!W70</f>
        <v>0</v>
      </c>
      <c r="X69">
        <f>'Pretax Fuel Prices'!W70+'Fuel Taxes'!X70</f>
        <v>0</v>
      </c>
      <c r="Y69">
        <f>'Pretax Fuel Prices'!X70+'Fuel Taxes'!Y70</f>
        <v>0</v>
      </c>
      <c r="Z69">
        <f>'Pretax Fuel Prices'!Y70+'Fuel Taxes'!Z70</f>
        <v>0</v>
      </c>
      <c r="AA69">
        <f>'Pretax Fuel Prices'!Z70+'Fuel Taxes'!AA70</f>
        <v>0</v>
      </c>
      <c r="AB69">
        <f>'Pretax Fuel Prices'!AA70+'Fuel Taxes'!AB70</f>
        <v>0</v>
      </c>
      <c r="AC69">
        <f>'Pretax Fuel Prices'!AB70+'Fuel Taxes'!AC70</f>
        <v>0</v>
      </c>
      <c r="AD69">
        <f>'Pretax Fuel Prices'!AC70+'Fuel Taxes'!AD70</f>
        <v>0</v>
      </c>
      <c r="AE69">
        <f>'Pretax Fuel Prices'!AD70+'Fuel Taxes'!AE70</f>
        <v>0</v>
      </c>
    </row>
    <row r="70" spans="1:31" x14ac:dyDescent="0.75">
      <c r="A70" t="s">
        <v>59</v>
      </c>
      <c r="B70">
        <f>'Pretax Fuel Prices'!B71+'Fuel Taxes'!B71</f>
        <v>0</v>
      </c>
      <c r="C70">
        <f>'Pretax Fuel Prices'!C71+'Fuel Taxes'!C71</f>
        <v>0</v>
      </c>
      <c r="D70">
        <f>'Pretax Fuel Prices'!C71+'Fuel Taxes'!D71</f>
        <v>0</v>
      </c>
      <c r="E70">
        <f>'Pretax Fuel Prices'!D71+'Fuel Taxes'!E71</f>
        <v>0</v>
      </c>
      <c r="F70">
        <f>'Pretax Fuel Prices'!E71+'Fuel Taxes'!F71</f>
        <v>0</v>
      </c>
      <c r="G70">
        <f>'Pretax Fuel Prices'!F71+'Fuel Taxes'!G71</f>
        <v>0</v>
      </c>
      <c r="H70">
        <f>'Pretax Fuel Prices'!G71+'Fuel Taxes'!H71</f>
        <v>0</v>
      </c>
      <c r="I70">
        <f>'Pretax Fuel Prices'!H71+'Fuel Taxes'!I71</f>
        <v>0</v>
      </c>
      <c r="J70">
        <f>'Pretax Fuel Prices'!I71+'Fuel Taxes'!J71</f>
        <v>0</v>
      </c>
      <c r="K70">
        <f>'Pretax Fuel Prices'!J71+'Fuel Taxes'!K71</f>
        <v>0</v>
      </c>
      <c r="L70">
        <f>'Pretax Fuel Prices'!K71+'Fuel Taxes'!L71</f>
        <v>0</v>
      </c>
      <c r="M70">
        <f>'Pretax Fuel Prices'!L71+'Fuel Taxes'!M71</f>
        <v>0</v>
      </c>
      <c r="N70">
        <f>'Pretax Fuel Prices'!M71+'Fuel Taxes'!N71</f>
        <v>0</v>
      </c>
      <c r="O70">
        <f>'Pretax Fuel Prices'!N71+'Fuel Taxes'!O71</f>
        <v>0</v>
      </c>
      <c r="P70">
        <f>'Pretax Fuel Prices'!O71+'Fuel Taxes'!P71</f>
        <v>0</v>
      </c>
      <c r="Q70">
        <f>'Pretax Fuel Prices'!P71+'Fuel Taxes'!Q71</f>
        <v>0</v>
      </c>
      <c r="R70">
        <f>'Pretax Fuel Prices'!Q71+'Fuel Taxes'!R71</f>
        <v>0</v>
      </c>
      <c r="S70">
        <f>'Pretax Fuel Prices'!R71+'Fuel Taxes'!S71</f>
        <v>0</v>
      </c>
      <c r="T70">
        <f>'Pretax Fuel Prices'!S71+'Fuel Taxes'!T71</f>
        <v>0</v>
      </c>
      <c r="U70">
        <f>'Pretax Fuel Prices'!T71+'Fuel Taxes'!U71</f>
        <v>0</v>
      </c>
      <c r="V70">
        <f>'Pretax Fuel Prices'!U71+'Fuel Taxes'!V71</f>
        <v>0</v>
      </c>
      <c r="W70">
        <f>'Pretax Fuel Prices'!V71+'Fuel Taxes'!W71</f>
        <v>0</v>
      </c>
      <c r="X70">
        <f>'Pretax Fuel Prices'!W71+'Fuel Taxes'!X71</f>
        <v>0</v>
      </c>
      <c r="Y70">
        <f>'Pretax Fuel Prices'!X71+'Fuel Taxes'!Y71</f>
        <v>0</v>
      </c>
      <c r="Z70">
        <f>'Pretax Fuel Prices'!Y71+'Fuel Taxes'!Z71</f>
        <v>0</v>
      </c>
      <c r="AA70">
        <f>'Pretax Fuel Prices'!Z71+'Fuel Taxes'!AA71</f>
        <v>0</v>
      </c>
      <c r="AB70">
        <f>'Pretax Fuel Prices'!AA71+'Fuel Taxes'!AB71</f>
        <v>0</v>
      </c>
      <c r="AC70">
        <f>'Pretax Fuel Prices'!AB71+'Fuel Taxes'!AC71</f>
        <v>0</v>
      </c>
      <c r="AD70">
        <f>'Pretax Fuel Prices'!AC71+'Fuel Taxes'!AD71</f>
        <v>0</v>
      </c>
      <c r="AE70">
        <f>'Pretax Fuel Prices'!AD71+'Fuel Taxes'!AE71</f>
        <v>0</v>
      </c>
    </row>
    <row r="71" spans="1:31" s="3" customFormat="1" x14ac:dyDescent="0.75">
      <c r="A71" s="5" t="s">
        <v>37</v>
      </c>
    </row>
    <row r="72" spans="1:31" x14ac:dyDescent="0.75">
      <c r="A72" t="s">
        <v>30</v>
      </c>
      <c r="B72">
        <f>'Fuel Taxes'!B$1</f>
        <v>2021</v>
      </c>
      <c r="C72">
        <f>'Fuel Taxes'!C$1</f>
        <v>2022</v>
      </c>
      <c r="D72">
        <f>'Fuel Taxes'!D$1</f>
        <v>2023</v>
      </c>
      <c r="E72">
        <f>'Fuel Taxes'!E$1</f>
        <v>2024</v>
      </c>
      <c r="F72">
        <f>'Fuel Taxes'!F$1</f>
        <v>2025</v>
      </c>
      <c r="G72">
        <f>'Fuel Taxes'!G$1</f>
        <v>2026</v>
      </c>
      <c r="H72">
        <f>'Fuel Taxes'!H$1</f>
        <v>2027</v>
      </c>
      <c r="I72">
        <f>'Fuel Taxes'!I$1</f>
        <v>2028</v>
      </c>
      <c r="J72">
        <f>'Fuel Taxes'!J$1</f>
        <v>2029</v>
      </c>
      <c r="K72">
        <f>'Fuel Taxes'!K$1</f>
        <v>2030</v>
      </c>
      <c r="L72">
        <f>'Fuel Taxes'!L$1</f>
        <v>2031</v>
      </c>
      <c r="M72">
        <f>'Fuel Taxes'!M$1</f>
        <v>2032</v>
      </c>
      <c r="N72">
        <f>'Fuel Taxes'!N$1</f>
        <v>2033</v>
      </c>
      <c r="O72">
        <f>'Fuel Taxes'!O$1</f>
        <v>2034</v>
      </c>
      <c r="P72">
        <f>'Fuel Taxes'!P$1</f>
        <v>2035</v>
      </c>
      <c r="Q72">
        <f>'Fuel Taxes'!Q$1</f>
        <v>2036</v>
      </c>
      <c r="R72">
        <f>'Fuel Taxes'!R$1</f>
        <v>2037</v>
      </c>
      <c r="S72">
        <f>'Fuel Taxes'!S$1</f>
        <v>2038</v>
      </c>
      <c r="T72">
        <f>'Fuel Taxes'!T$1</f>
        <v>2039</v>
      </c>
      <c r="U72">
        <f>'Fuel Taxes'!U$1</f>
        <v>2040</v>
      </c>
      <c r="V72">
        <f>'Fuel Taxes'!V$1</f>
        <v>2041</v>
      </c>
      <c r="W72">
        <f>'Fuel Taxes'!W$1</f>
        <v>2042</v>
      </c>
      <c r="X72">
        <f>'Fuel Taxes'!X$1</f>
        <v>2043</v>
      </c>
      <c r="Y72">
        <f>'Fuel Taxes'!Y$1</f>
        <v>2044</v>
      </c>
      <c r="Z72">
        <f>'Fuel Taxes'!Z$1</f>
        <v>2045</v>
      </c>
      <c r="AA72">
        <f>'Fuel Taxes'!AA$1</f>
        <v>2046</v>
      </c>
      <c r="AB72">
        <f>'Fuel Taxes'!AB$1</f>
        <v>2047</v>
      </c>
      <c r="AC72">
        <f>'Fuel Taxes'!AC$1</f>
        <v>2048</v>
      </c>
      <c r="AD72">
        <f>'Fuel Taxes'!AD$1</f>
        <v>2049</v>
      </c>
      <c r="AE72">
        <f>'Fuel Taxes'!AE$1</f>
        <v>2050</v>
      </c>
    </row>
    <row r="73" spans="1:31" x14ac:dyDescent="0.75">
      <c r="A73" t="s">
        <v>52</v>
      </c>
      <c r="B73">
        <f>'Pretax Fuel Prices'!B74+'Fuel Taxes'!B74</f>
        <v>1.7090124294202308E-5</v>
      </c>
      <c r="C73">
        <f>'Pretax Fuel Prices'!C74+'Fuel Taxes'!C74</f>
        <v>1.5228828240266224E-5</v>
      </c>
      <c r="D73">
        <f>'Pretax Fuel Prices'!C74+'Fuel Taxes'!D74</f>
        <v>1.5380937307813354E-5</v>
      </c>
      <c r="E73">
        <f>'Pretax Fuel Prices'!D74+'Fuel Taxes'!E74</f>
        <v>1.582515619453195E-5</v>
      </c>
      <c r="F73">
        <f>'Pretax Fuel Prices'!E74+'Fuel Taxes'!F74</f>
        <v>1.7836198013149422E-5</v>
      </c>
      <c r="G73">
        <f>'Pretax Fuel Prices'!F74+'Fuel Taxes'!G74</f>
        <v>1.5929301964375735E-5</v>
      </c>
      <c r="H73">
        <f>'Pretax Fuel Prices'!G74+'Fuel Taxes'!H74</f>
        <v>1.344558642550373E-5</v>
      </c>
      <c r="I73">
        <f>'Pretax Fuel Prices'!H74+'Fuel Taxes'!I74</f>
        <v>1.1498870536397316E-5</v>
      </c>
      <c r="J73">
        <f>'Pretax Fuel Prices'!I74+'Fuel Taxes'!J74</f>
        <v>9.9796193144855105E-6</v>
      </c>
      <c r="K73">
        <f>'Pretax Fuel Prices'!J74+'Fuel Taxes'!K74</f>
        <v>8.8688500497701133E-6</v>
      </c>
      <c r="L73">
        <f>'Pretax Fuel Prices'!K74+'Fuel Taxes'!L74</f>
        <v>7.9999497258628429E-6</v>
      </c>
      <c r="M73">
        <f>'Pretax Fuel Prices'!L74+'Fuel Taxes'!M74</f>
        <v>7.336984092576082E-6</v>
      </c>
      <c r="N73">
        <f>'Pretax Fuel Prices'!M74+'Fuel Taxes'!N74</f>
        <v>6.6197025933799281E-6</v>
      </c>
      <c r="O73">
        <f>'Pretax Fuel Prices'!N74+'Fuel Taxes'!O74</f>
        <v>6.047267887055483E-6</v>
      </c>
      <c r="P73">
        <f>'Pretax Fuel Prices'!O74+'Fuel Taxes'!P74</f>
        <v>5.6528772808319594E-6</v>
      </c>
      <c r="Q73">
        <f>'Pretax Fuel Prices'!P74+'Fuel Taxes'!Q74</f>
        <v>5.4173183934513296E-6</v>
      </c>
      <c r="R73">
        <f>'Pretax Fuel Prices'!Q74+'Fuel Taxes'!R74</f>
        <v>5.1872488117465886E-6</v>
      </c>
      <c r="S73">
        <f>'Pretax Fuel Prices'!R74+'Fuel Taxes'!S74</f>
        <v>5.0347417048023925E-6</v>
      </c>
      <c r="T73">
        <f>'Pretax Fuel Prices'!S74+'Fuel Taxes'!T74</f>
        <v>4.9180894523380363E-6</v>
      </c>
      <c r="U73">
        <f>'Pretax Fuel Prices'!T74+'Fuel Taxes'!U74</f>
        <v>4.8493301101223646E-6</v>
      </c>
      <c r="V73">
        <f>'Pretax Fuel Prices'!U74+'Fuel Taxes'!V74</f>
        <v>4.8230507634590544E-6</v>
      </c>
      <c r="W73">
        <f>'Pretax Fuel Prices'!V74+'Fuel Taxes'!W74</f>
        <v>4.8116443710270736E-6</v>
      </c>
      <c r="X73">
        <f>'Pretax Fuel Prices'!W74+'Fuel Taxes'!X74</f>
        <v>4.7816053304323643E-6</v>
      </c>
      <c r="Y73">
        <f>'Pretax Fuel Prices'!X74+'Fuel Taxes'!Y74</f>
        <v>4.8101008645814641E-6</v>
      </c>
      <c r="Z73">
        <f>'Pretax Fuel Prices'!Y74+'Fuel Taxes'!Z74</f>
        <v>4.8688419605493767E-6</v>
      </c>
      <c r="AA73">
        <f>'Pretax Fuel Prices'!Z74+'Fuel Taxes'!AA74</f>
        <v>4.9783058118616386E-6</v>
      </c>
      <c r="AB73">
        <f>'Pretax Fuel Prices'!AA74+'Fuel Taxes'!AB74</f>
        <v>5.2061160318880347E-6</v>
      </c>
      <c r="AC73">
        <f>'Pretax Fuel Prices'!AB74+'Fuel Taxes'!AC74</f>
        <v>5.4294641099078241E-6</v>
      </c>
      <c r="AD73">
        <f>'Pretax Fuel Prices'!AC74+'Fuel Taxes'!AD74</f>
        <v>5.69464500248726E-6</v>
      </c>
      <c r="AE73">
        <f>'Pretax Fuel Prices'!AD74+'Fuel Taxes'!AE74</f>
        <v>6.0461227025718463E-6</v>
      </c>
    </row>
    <row r="74" spans="1:31" x14ac:dyDescent="0.75">
      <c r="A74" t="s">
        <v>53</v>
      </c>
      <c r="B74">
        <f>'Pretax Fuel Prices'!B75+'Fuel Taxes'!B75</f>
        <v>0</v>
      </c>
      <c r="C74">
        <f>'Pretax Fuel Prices'!C75+'Fuel Taxes'!C75</f>
        <v>0</v>
      </c>
      <c r="D74">
        <f>'Pretax Fuel Prices'!C75+'Fuel Taxes'!D75</f>
        <v>0</v>
      </c>
      <c r="E74">
        <f>'Pretax Fuel Prices'!D75+'Fuel Taxes'!E75</f>
        <v>0</v>
      </c>
      <c r="F74">
        <f>'Pretax Fuel Prices'!E75+'Fuel Taxes'!F75</f>
        <v>0</v>
      </c>
      <c r="G74">
        <f>'Pretax Fuel Prices'!F75+'Fuel Taxes'!G75</f>
        <v>0</v>
      </c>
      <c r="H74">
        <f>'Pretax Fuel Prices'!G75+'Fuel Taxes'!H75</f>
        <v>0</v>
      </c>
      <c r="I74">
        <f>'Pretax Fuel Prices'!H75+'Fuel Taxes'!I75</f>
        <v>0</v>
      </c>
      <c r="J74">
        <f>'Pretax Fuel Prices'!I75+'Fuel Taxes'!J75</f>
        <v>0</v>
      </c>
      <c r="K74">
        <f>'Pretax Fuel Prices'!J75+'Fuel Taxes'!K75</f>
        <v>0</v>
      </c>
      <c r="L74">
        <f>'Pretax Fuel Prices'!K75+'Fuel Taxes'!L75</f>
        <v>0</v>
      </c>
      <c r="M74">
        <f>'Pretax Fuel Prices'!L75+'Fuel Taxes'!M75</f>
        <v>0</v>
      </c>
      <c r="N74">
        <f>'Pretax Fuel Prices'!M75+'Fuel Taxes'!N75</f>
        <v>0</v>
      </c>
      <c r="O74">
        <f>'Pretax Fuel Prices'!N75+'Fuel Taxes'!O75</f>
        <v>0</v>
      </c>
      <c r="P74">
        <f>'Pretax Fuel Prices'!O75+'Fuel Taxes'!P75</f>
        <v>0</v>
      </c>
      <c r="Q74">
        <f>'Pretax Fuel Prices'!P75+'Fuel Taxes'!Q75</f>
        <v>0</v>
      </c>
      <c r="R74">
        <f>'Pretax Fuel Prices'!Q75+'Fuel Taxes'!R75</f>
        <v>0</v>
      </c>
      <c r="S74">
        <f>'Pretax Fuel Prices'!R75+'Fuel Taxes'!S75</f>
        <v>0</v>
      </c>
      <c r="T74">
        <f>'Pretax Fuel Prices'!S75+'Fuel Taxes'!T75</f>
        <v>0</v>
      </c>
      <c r="U74">
        <f>'Pretax Fuel Prices'!T75+'Fuel Taxes'!U75</f>
        <v>0</v>
      </c>
      <c r="V74">
        <f>'Pretax Fuel Prices'!U75+'Fuel Taxes'!V75</f>
        <v>0</v>
      </c>
      <c r="W74">
        <f>'Pretax Fuel Prices'!V75+'Fuel Taxes'!W75</f>
        <v>0</v>
      </c>
      <c r="X74">
        <f>'Pretax Fuel Prices'!W75+'Fuel Taxes'!X75</f>
        <v>0</v>
      </c>
      <c r="Y74">
        <f>'Pretax Fuel Prices'!X75+'Fuel Taxes'!Y75</f>
        <v>0</v>
      </c>
      <c r="Z74">
        <f>'Pretax Fuel Prices'!Y75+'Fuel Taxes'!Z75</f>
        <v>0</v>
      </c>
      <c r="AA74">
        <f>'Pretax Fuel Prices'!Z75+'Fuel Taxes'!AA75</f>
        <v>0</v>
      </c>
      <c r="AB74">
        <f>'Pretax Fuel Prices'!AA75+'Fuel Taxes'!AB75</f>
        <v>0</v>
      </c>
      <c r="AC74">
        <f>'Pretax Fuel Prices'!AB75+'Fuel Taxes'!AC75</f>
        <v>0</v>
      </c>
      <c r="AD74">
        <f>'Pretax Fuel Prices'!AC75+'Fuel Taxes'!AD75</f>
        <v>0</v>
      </c>
      <c r="AE74">
        <f>'Pretax Fuel Prices'!AD75+'Fuel Taxes'!AE75</f>
        <v>0</v>
      </c>
    </row>
    <row r="75" spans="1:31" x14ac:dyDescent="0.75">
      <c r="A75" t="s">
        <v>54</v>
      </c>
      <c r="B75">
        <f>'Pretax Fuel Prices'!B76+'Fuel Taxes'!B76</f>
        <v>0</v>
      </c>
      <c r="C75">
        <f>'Pretax Fuel Prices'!C76+'Fuel Taxes'!C76</f>
        <v>0</v>
      </c>
      <c r="D75">
        <f>'Pretax Fuel Prices'!C76+'Fuel Taxes'!D76</f>
        <v>0</v>
      </c>
      <c r="E75">
        <f>'Pretax Fuel Prices'!D76+'Fuel Taxes'!E76</f>
        <v>0</v>
      </c>
      <c r="F75">
        <f>'Pretax Fuel Prices'!E76+'Fuel Taxes'!F76</f>
        <v>0</v>
      </c>
      <c r="G75">
        <f>'Pretax Fuel Prices'!F76+'Fuel Taxes'!G76</f>
        <v>0</v>
      </c>
      <c r="H75">
        <f>'Pretax Fuel Prices'!G76+'Fuel Taxes'!H76</f>
        <v>0</v>
      </c>
      <c r="I75">
        <f>'Pretax Fuel Prices'!H76+'Fuel Taxes'!I76</f>
        <v>0</v>
      </c>
      <c r="J75">
        <f>'Pretax Fuel Prices'!I76+'Fuel Taxes'!J76</f>
        <v>0</v>
      </c>
      <c r="K75">
        <f>'Pretax Fuel Prices'!J76+'Fuel Taxes'!K76</f>
        <v>0</v>
      </c>
      <c r="L75">
        <f>'Pretax Fuel Prices'!K76+'Fuel Taxes'!L76</f>
        <v>0</v>
      </c>
      <c r="M75">
        <f>'Pretax Fuel Prices'!L76+'Fuel Taxes'!M76</f>
        <v>0</v>
      </c>
      <c r="N75">
        <f>'Pretax Fuel Prices'!M76+'Fuel Taxes'!N76</f>
        <v>0</v>
      </c>
      <c r="O75">
        <f>'Pretax Fuel Prices'!N76+'Fuel Taxes'!O76</f>
        <v>0</v>
      </c>
      <c r="P75">
        <f>'Pretax Fuel Prices'!O76+'Fuel Taxes'!P76</f>
        <v>0</v>
      </c>
      <c r="Q75">
        <f>'Pretax Fuel Prices'!P76+'Fuel Taxes'!Q76</f>
        <v>0</v>
      </c>
      <c r="R75">
        <f>'Pretax Fuel Prices'!Q76+'Fuel Taxes'!R76</f>
        <v>0</v>
      </c>
      <c r="S75">
        <f>'Pretax Fuel Prices'!R76+'Fuel Taxes'!S76</f>
        <v>0</v>
      </c>
      <c r="T75">
        <f>'Pretax Fuel Prices'!S76+'Fuel Taxes'!T76</f>
        <v>0</v>
      </c>
      <c r="U75">
        <f>'Pretax Fuel Prices'!T76+'Fuel Taxes'!U76</f>
        <v>0</v>
      </c>
      <c r="V75">
        <f>'Pretax Fuel Prices'!U76+'Fuel Taxes'!V76</f>
        <v>0</v>
      </c>
      <c r="W75">
        <f>'Pretax Fuel Prices'!V76+'Fuel Taxes'!W76</f>
        <v>0</v>
      </c>
      <c r="X75">
        <f>'Pretax Fuel Prices'!W76+'Fuel Taxes'!X76</f>
        <v>0</v>
      </c>
      <c r="Y75">
        <f>'Pretax Fuel Prices'!X76+'Fuel Taxes'!Y76</f>
        <v>0</v>
      </c>
      <c r="Z75">
        <f>'Pretax Fuel Prices'!Y76+'Fuel Taxes'!Z76</f>
        <v>0</v>
      </c>
      <c r="AA75">
        <f>'Pretax Fuel Prices'!Z76+'Fuel Taxes'!AA76</f>
        <v>0</v>
      </c>
      <c r="AB75">
        <f>'Pretax Fuel Prices'!AA76+'Fuel Taxes'!AB76</f>
        <v>0</v>
      </c>
      <c r="AC75">
        <f>'Pretax Fuel Prices'!AB76+'Fuel Taxes'!AC76</f>
        <v>0</v>
      </c>
      <c r="AD75">
        <f>'Pretax Fuel Prices'!AC76+'Fuel Taxes'!AD76</f>
        <v>0</v>
      </c>
      <c r="AE75">
        <f>'Pretax Fuel Prices'!AD76+'Fuel Taxes'!AE76</f>
        <v>0</v>
      </c>
    </row>
    <row r="76" spans="1:31" x14ac:dyDescent="0.75">
      <c r="A76" t="s">
        <v>55</v>
      </c>
      <c r="B76">
        <f>'Pretax Fuel Prices'!B77+'Fuel Taxes'!B77</f>
        <v>0</v>
      </c>
      <c r="C76">
        <f>'Pretax Fuel Prices'!C77+'Fuel Taxes'!C77</f>
        <v>0</v>
      </c>
      <c r="D76">
        <f>'Pretax Fuel Prices'!C77+'Fuel Taxes'!D77</f>
        <v>0</v>
      </c>
      <c r="E76">
        <f>'Pretax Fuel Prices'!D77+'Fuel Taxes'!E77</f>
        <v>0</v>
      </c>
      <c r="F76">
        <f>'Pretax Fuel Prices'!E77+'Fuel Taxes'!F77</f>
        <v>0</v>
      </c>
      <c r="G76">
        <f>'Pretax Fuel Prices'!F77+'Fuel Taxes'!G77</f>
        <v>0</v>
      </c>
      <c r="H76">
        <f>'Pretax Fuel Prices'!G77+'Fuel Taxes'!H77</f>
        <v>0</v>
      </c>
      <c r="I76">
        <f>'Pretax Fuel Prices'!H77+'Fuel Taxes'!I77</f>
        <v>0</v>
      </c>
      <c r="J76">
        <f>'Pretax Fuel Prices'!I77+'Fuel Taxes'!J77</f>
        <v>0</v>
      </c>
      <c r="K76">
        <f>'Pretax Fuel Prices'!J77+'Fuel Taxes'!K77</f>
        <v>0</v>
      </c>
      <c r="L76">
        <f>'Pretax Fuel Prices'!K77+'Fuel Taxes'!L77</f>
        <v>0</v>
      </c>
      <c r="M76">
        <f>'Pretax Fuel Prices'!L77+'Fuel Taxes'!M77</f>
        <v>0</v>
      </c>
      <c r="N76">
        <f>'Pretax Fuel Prices'!M77+'Fuel Taxes'!N77</f>
        <v>0</v>
      </c>
      <c r="O76">
        <f>'Pretax Fuel Prices'!N77+'Fuel Taxes'!O77</f>
        <v>0</v>
      </c>
      <c r="P76">
        <f>'Pretax Fuel Prices'!O77+'Fuel Taxes'!P77</f>
        <v>0</v>
      </c>
      <c r="Q76">
        <f>'Pretax Fuel Prices'!P77+'Fuel Taxes'!Q77</f>
        <v>0</v>
      </c>
      <c r="R76">
        <f>'Pretax Fuel Prices'!Q77+'Fuel Taxes'!R77</f>
        <v>0</v>
      </c>
      <c r="S76">
        <f>'Pretax Fuel Prices'!R77+'Fuel Taxes'!S77</f>
        <v>0</v>
      </c>
      <c r="T76">
        <f>'Pretax Fuel Prices'!S77+'Fuel Taxes'!T77</f>
        <v>0</v>
      </c>
      <c r="U76">
        <f>'Pretax Fuel Prices'!T77+'Fuel Taxes'!U77</f>
        <v>0</v>
      </c>
      <c r="V76">
        <f>'Pretax Fuel Prices'!U77+'Fuel Taxes'!V77</f>
        <v>0</v>
      </c>
      <c r="W76">
        <f>'Pretax Fuel Prices'!V77+'Fuel Taxes'!W77</f>
        <v>0</v>
      </c>
      <c r="X76">
        <f>'Pretax Fuel Prices'!W77+'Fuel Taxes'!X77</f>
        <v>0</v>
      </c>
      <c r="Y76">
        <f>'Pretax Fuel Prices'!X77+'Fuel Taxes'!Y77</f>
        <v>0</v>
      </c>
      <c r="Z76">
        <f>'Pretax Fuel Prices'!Y77+'Fuel Taxes'!Z77</f>
        <v>0</v>
      </c>
      <c r="AA76">
        <f>'Pretax Fuel Prices'!Z77+'Fuel Taxes'!AA77</f>
        <v>0</v>
      </c>
      <c r="AB76">
        <f>'Pretax Fuel Prices'!AA77+'Fuel Taxes'!AB77</f>
        <v>0</v>
      </c>
      <c r="AC76">
        <f>'Pretax Fuel Prices'!AB77+'Fuel Taxes'!AC77</f>
        <v>0</v>
      </c>
      <c r="AD76">
        <f>'Pretax Fuel Prices'!AC77+'Fuel Taxes'!AD77</f>
        <v>0</v>
      </c>
      <c r="AE76">
        <f>'Pretax Fuel Prices'!AD77+'Fuel Taxes'!AE77</f>
        <v>0</v>
      </c>
    </row>
    <row r="77" spans="1:31" x14ac:dyDescent="0.75">
      <c r="A77" t="s">
        <v>56</v>
      </c>
      <c r="B77">
        <f>'Pretax Fuel Prices'!B78+'Fuel Taxes'!B78</f>
        <v>0</v>
      </c>
      <c r="C77">
        <f>'Pretax Fuel Prices'!C78+'Fuel Taxes'!C78</f>
        <v>0</v>
      </c>
      <c r="D77">
        <f>'Pretax Fuel Prices'!C78+'Fuel Taxes'!D78</f>
        <v>0</v>
      </c>
      <c r="E77">
        <f>'Pretax Fuel Prices'!D78+'Fuel Taxes'!E78</f>
        <v>0</v>
      </c>
      <c r="F77">
        <f>'Pretax Fuel Prices'!E78+'Fuel Taxes'!F78</f>
        <v>0</v>
      </c>
      <c r="G77">
        <f>'Pretax Fuel Prices'!F78+'Fuel Taxes'!G78</f>
        <v>0</v>
      </c>
      <c r="H77">
        <f>'Pretax Fuel Prices'!G78+'Fuel Taxes'!H78</f>
        <v>0</v>
      </c>
      <c r="I77">
        <f>'Pretax Fuel Prices'!H78+'Fuel Taxes'!I78</f>
        <v>0</v>
      </c>
      <c r="J77">
        <f>'Pretax Fuel Prices'!I78+'Fuel Taxes'!J78</f>
        <v>0</v>
      </c>
      <c r="K77">
        <f>'Pretax Fuel Prices'!J78+'Fuel Taxes'!K78</f>
        <v>0</v>
      </c>
      <c r="L77">
        <f>'Pretax Fuel Prices'!K78+'Fuel Taxes'!L78</f>
        <v>0</v>
      </c>
      <c r="M77">
        <f>'Pretax Fuel Prices'!L78+'Fuel Taxes'!M78</f>
        <v>0</v>
      </c>
      <c r="N77">
        <f>'Pretax Fuel Prices'!M78+'Fuel Taxes'!N78</f>
        <v>0</v>
      </c>
      <c r="O77">
        <f>'Pretax Fuel Prices'!N78+'Fuel Taxes'!O78</f>
        <v>0</v>
      </c>
      <c r="P77">
        <f>'Pretax Fuel Prices'!O78+'Fuel Taxes'!P78</f>
        <v>0</v>
      </c>
      <c r="Q77">
        <f>'Pretax Fuel Prices'!P78+'Fuel Taxes'!Q78</f>
        <v>0</v>
      </c>
      <c r="R77">
        <f>'Pretax Fuel Prices'!Q78+'Fuel Taxes'!R78</f>
        <v>0</v>
      </c>
      <c r="S77">
        <f>'Pretax Fuel Prices'!R78+'Fuel Taxes'!S78</f>
        <v>0</v>
      </c>
      <c r="T77">
        <f>'Pretax Fuel Prices'!S78+'Fuel Taxes'!T78</f>
        <v>0</v>
      </c>
      <c r="U77">
        <f>'Pretax Fuel Prices'!T78+'Fuel Taxes'!U78</f>
        <v>0</v>
      </c>
      <c r="V77">
        <f>'Pretax Fuel Prices'!U78+'Fuel Taxes'!V78</f>
        <v>0</v>
      </c>
      <c r="W77">
        <f>'Pretax Fuel Prices'!V78+'Fuel Taxes'!W78</f>
        <v>0</v>
      </c>
      <c r="X77">
        <f>'Pretax Fuel Prices'!W78+'Fuel Taxes'!X78</f>
        <v>0</v>
      </c>
      <c r="Y77">
        <f>'Pretax Fuel Prices'!X78+'Fuel Taxes'!Y78</f>
        <v>0</v>
      </c>
      <c r="Z77">
        <f>'Pretax Fuel Prices'!Y78+'Fuel Taxes'!Z78</f>
        <v>0</v>
      </c>
      <c r="AA77">
        <f>'Pretax Fuel Prices'!Z78+'Fuel Taxes'!AA78</f>
        <v>0</v>
      </c>
      <c r="AB77">
        <f>'Pretax Fuel Prices'!AA78+'Fuel Taxes'!AB78</f>
        <v>0</v>
      </c>
      <c r="AC77">
        <f>'Pretax Fuel Prices'!AB78+'Fuel Taxes'!AC78</f>
        <v>0</v>
      </c>
      <c r="AD77">
        <f>'Pretax Fuel Prices'!AC78+'Fuel Taxes'!AD78</f>
        <v>0</v>
      </c>
      <c r="AE77">
        <f>'Pretax Fuel Prices'!AD78+'Fuel Taxes'!AE78</f>
        <v>0</v>
      </c>
    </row>
    <row r="78" spans="1:31" x14ac:dyDescent="0.75">
      <c r="A78" t="s">
        <v>57</v>
      </c>
      <c r="B78">
        <f>'Pretax Fuel Prices'!B79+'Fuel Taxes'!B79</f>
        <v>0</v>
      </c>
      <c r="C78">
        <f>'Pretax Fuel Prices'!C79+'Fuel Taxes'!C79</f>
        <v>0</v>
      </c>
      <c r="D78">
        <f>'Pretax Fuel Prices'!C79+'Fuel Taxes'!D79</f>
        <v>0</v>
      </c>
      <c r="E78">
        <f>'Pretax Fuel Prices'!D79+'Fuel Taxes'!E79</f>
        <v>0</v>
      </c>
      <c r="F78">
        <f>'Pretax Fuel Prices'!E79+'Fuel Taxes'!F79</f>
        <v>0</v>
      </c>
      <c r="G78">
        <f>'Pretax Fuel Prices'!F79+'Fuel Taxes'!G79</f>
        <v>0</v>
      </c>
      <c r="H78">
        <f>'Pretax Fuel Prices'!G79+'Fuel Taxes'!H79</f>
        <v>0</v>
      </c>
      <c r="I78">
        <f>'Pretax Fuel Prices'!H79+'Fuel Taxes'!I79</f>
        <v>0</v>
      </c>
      <c r="J78">
        <f>'Pretax Fuel Prices'!I79+'Fuel Taxes'!J79</f>
        <v>0</v>
      </c>
      <c r="K78">
        <f>'Pretax Fuel Prices'!J79+'Fuel Taxes'!K79</f>
        <v>0</v>
      </c>
      <c r="L78">
        <f>'Pretax Fuel Prices'!K79+'Fuel Taxes'!L79</f>
        <v>0</v>
      </c>
      <c r="M78">
        <f>'Pretax Fuel Prices'!L79+'Fuel Taxes'!M79</f>
        <v>0</v>
      </c>
      <c r="N78">
        <f>'Pretax Fuel Prices'!M79+'Fuel Taxes'!N79</f>
        <v>0</v>
      </c>
      <c r="O78">
        <f>'Pretax Fuel Prices'!N79+'Fuel Taxes'!O79</f>
        <v>0</v>
      </c>
      <c r="P78">
        <f>'Pretax Fuel Prices'!O79+'Fuel Taxes'!P79</f>
        <v>0</v>
      </c>
      <c r="Q78">
        <f>'Pretax Fuel Prices'!P79+'Fuel Taxes'!Q79</f>
        <v>0</v>
      </c>
      <c r="R78">
        <f>'Pretax Fuel Prices'!Q79+'Fuel Taxes'!R79</f>
        <v>0</v>
      </c>
      <c r="S78">
        <f>'Pretax Fuel Prices'!R79+'Fuel Taxes'!S79</f>
        <v>0</v>
      </c>
      <c r="T78">
        <f>'Pretax Fuel Prices'!S79+'Fuel Taxes'!T79</f>
        <v>0</v>
      </c>
      <c r="U78">
        <f>'Pretax Fuel Prices'!T79+'Fuel Taxes'!U79</f>
        <v>0</v>
      </c>
      <c r="V78">
        <f>'Pretax Fuel Prices'!U79+'Fuel Taxes'!V79</f>
        <v>0</v>
      </c>
      <c r="W78">
        <f>'Pretax Fuel Prices'!V79+'Fuel Taxes'!W79</f>
        <v>0</v>
      </c>
      <c r="X78">
        <f>'Pretax Fuel Prices'!W79+'Fuel Taxes'!X79</f>
        <v>0</v>
      </c>
      <c r="Y78">
        <f>'Pretax Fuel Prices'!X79+'Fuel Taxes'!Y79</f>
        <v>0</v>
      </c>
      <c r="Z78">
        <f>'Pretax Fuel Prices'!Y79+'Fuel Taxes'!Z79</f>
        <v>0</v>
      </c>
      <c r="AA78">
        <f>'Pretax Fuel Prices'!Z79+'Fuel Taxes'!AA79</f>
        <v>0</v>
      </c>
      <c r="AB78">
        <f>'Pretax Fuel Prices'!AA79+'Fuel Taxes'!AB79</f>
        <v>0</v>
      </c>
      <c r="AC78">
        <f>'Pretax Fuel Prices'!AB79+'Fuel Taxes'!AC79</f>
        <v>0</v>
      </c>
      <c r="AD78">
        <f>'Pretax Fuel Prices'!AC79+'Fuel Taxes'!AD79</f>
        <v>0</v>
      </c>
      <c r="AE78">
        <f>'Pretax Fuel Prices'!AD79+'Fuel Taxes'!AE79</f>
        <v>0</v>
      </c>
    </row>
    <row r="79" spans="1:31" x14ac:dyDescent="0.75">
      <c r="A79" t="s">
        <v>58</v>
      </c>
      <c r="B79">
        <f>'Pretax Fuel Prices'!B80+'Fuel Taxes'!B80</f>
        <v>0</v>
      </c>
      <c r="C79">
        <f>'Pretax Fuel Prices'!C80+'Fuel Taxes'!C80</f>
        <v>0</v>
      </c>
      <c r="D79">
        <f>'Pretax Fuel Prices'!C80+'Fuel Taxes'!D80</f>
        <v>0</v>
      </c>
      <c r="E79">
        <f>'Pretax Fuel Prices'!D80+'Fuel Taxes'!E80</f>
        <v>0</v>
      </c>
      <c r="F79">
        <f>'Pretax Fuel Prices'!E80+'Fuel Taxes'!F80</f>
        <v>0</v>
      </c>
      <c r="G79">
        <f>'Pretax Fuel Prices'!F80+'Fuel Taxes'!G80</f>
        <v>0</v>
      </c>
      <c r="H79">
        <f>'Pretax Fuel Prices'!G80+'Fuel Taxes'!H80</f>
        <v>0</v>
      </c>
      <c r="I79">
        <f>'Pretax Fuel Prices'!H80+'Fuel Taxes'!I80</f>
        <v>0</v>
      </c>
      <c r="J79">
        <f>'Pretax Fuel Prices'!I80+'Fuel Taxes'!J80</f>
        <v>0</v>
      </c>
      <c r="K79">
        <f>'Pretax Fuel Prices'!J80+'Fuel Taxes'!K80</f>
        <v>0</v>
      </c>
      <c r="L79">
        <f>'Pretax Fuel Prices'!K80+'Fuel Taxes'!L80</f>
        <v>0</v>
      </c>
      <c r="M79">
        <f>'Pretax Fuel Prices'!L80+'Fuel Taxes'!M80</f>
        <v>0</v>
      </c>
      <c r="N79">
        <f>'Pretax Fuel Prices'!M80+'Fuel Taxes'!N80</f>
        <v>0</v>
      </c>
      <c r="O79">
        <f>'Pretax Fuel Prices'!N80+'Fuel Taxes'!O80</f>
        <v>0</v>
      </c>
      <c r="P79">
        <f>'Pretax Fuel Prices'!O80+'Fuel Taxes'!P80</f>
        <v>0</v>
      </c>
      <c r="Q79">
        <f>'Pretax Fuel Prices'!P80+'Fuel Taxes'!Q80</f>
        <v>0</v>
      </c>
      <c r="R79">
        <f>'Pretax Fuel Prices'!Q80+'Fuel Taxes'!R80</f>
        <v>0</v>
      </c>
      <c r="S79">
        <f>'Pretax Fuel Prices'!R80+'Fuel Taxes'!S80</f>
        <v>0</v>
      </c>
      <c r="T79">
        <f>'Pretax Fuel Prices'!S80+'Fuel Taxes'!T80</f>
        <v>0</v>
      </c>
      <c r="U79">
        <f>'Pretax Fuel Prices'!T80+'Fuel Taxes'!U80</f>
        <v>0</v>
      </c>
      <c r="V79">
        <f>'Pretax Fuel Prices'!U80+'Fuel Taxes'!V80</f>
        <v>0</v>
      </c>
      <c r="W79">
        <f>'Pretax Fuel Prices'!V80+'Fuel Taxes'!W80</f>
        <v>0</v>
      </c>
      <c r="X79">
        <f>'Pretax Fuel Prices'!W80+'Fuel Taxes'!X80</f>
        <v>0</v>
      </c>
      <c r="Y79">
        <f>'Pretax Fuel Prices'!X80+'Fuel Taxes'!Y80</f>
        <v>0</v>
      </c>
      <c r="Z79">
        <f>'Pretax Fuel Prices'!Y80+'Fuel Taxes'!Z80</f>
        <v>0</v>
      </c>
      <c r="AA79">
        <f>'Pretax Fuel Prices'!Z80+'Fuel Taxes'!AA80</f>
        <v>0</v>
      </c>
      <c r="AB79">
        <f>'Pretax Fuel Prices'!AA80+'Fuel Taxes'!AB80</f>
        <v>0</v>
      </c>
      <c r="AC79">
        <f>'Pretax Fuel Prices'!AB80+'Fuel Taxes'!AC80</f>
        <v>0</v>
      </c>
      <c r="AD79">
        <f>'Pretax Fuel Prices'!AC80+'Fuel Taxes'!AD80</f>
        <v>0</v>
      </c>
      <c r="AE79">
        <f>'Pretax Fuel Prices'!AD80+'Fuel Taxes'!AE80</f>
        <v>0</v>
      </c>
    </row>
    <row r="80" spans="1:31" x14ac:dyDescent="0.75">
      <c r="A80" t="s">
        <v>59</v>
      </c>
      <c r="B80">
        <f>'Pretax Fuel Prices'!B81+'Fuel Taxes'!B81</f>
        <v>0</v>
      </c>
      <c r="C80">
        <f>'Pretax Fuel Prices'!C81+'Fuel Taxes'!C81</f>
        <v>0</v>
      </c>
      <c r="D80">
        <f>'Pretax Fuel Prices'!C81+'Fuel Taxes'!D81</f>
        <v>0</v>
      </c>
      <c r="E80">
        <f>'Pretax Fuel Prices'!D81+'Fuel Taxes'!E81</f>
        <v>0</v>
      </c>
      <c r="F80">
        <f>'Pretax Fuel Prices'!E81+'Fuel Taxes'!F81</f>
        <v>0</v>
      </c>
      <c r="G80">
        <f>'Pretax Fuel Prices'!F81+'Fuel Taxes'!G81</f>
        <v>0</v>
      </c>
      <c r="H80">
        <f>'Pretax Fuel Prices'!G81+'Fuel Taxes'!H81</f>
        <v>0</v>
      </c>
      <c r="I80">
        <f>'Pretax Fuel Prices'!H81+'Fuel Taxes'!I81</f>
        <v>0</v>
      </c>
      <c r="J80">
        <f>'Pretax Fuel Prices'!I81+'Fuel Taxes'!J81</f>
        <v>0</v>
      </c>
      <c r="K80">
        <f>'Pretax Fuel Prices'!J81+'Fuel Taxes'!K81</f>
        <v>0</v>
      </c>
      <c r="L80">
        <f>'Pretax Fuel Prices'!K81+'Fuel Taxes'!L81</f>
        <v>0</v>
      </c>
      <c r="M80">
        <f>'Pretax Fuel Prices'!L81+'Fuel Taxes'!M81</f>
        <v>0</v>
      </c>
      <c r="N80">
        <f>'Pretax Fuel Prices'!M81+'Fuel Taxes'!N81</f>
        <v>0</v>
      </c>
      <c r="O80">
        <f>'Pretax Fuel Prices'!N81+'Fuel Taxes'!O81</f>
        <v>0</v>
      </c>
      <c r="P80">
        <f>'Pretax Fuel Prices'!O81+'Fuel Taxes'!P81</f>
        <v>0</v>
      </c>
      <c r="Q80">
        <f>'Pretax Fuel Prices'!P81+'Fuel Taxes'!Q81</f>
        <v>0</v>
      </c>
      <c r="R80">
        <f>'Pretax Fuel Prices'!Q81+'Fuel Taxes'!R81</f>
        <v>0</v>
      </c>
      <c r="S80">
        <f>'Pretax Fuel Prices'!R81+'Fuel Taxes'!S81</f>
        <v>0</v>
      </c>
      <c r="T80">
        <f>'Pretax Fuel Prices'!S81+'Fuel Taxes'!T81</f>
        <v>0</v>
      </c>
      <c r="U80">
        <f>'Pretax Fuel Prices'!T81+'Fuel Taxes'!U81</f>
        <v>0</v>
      </c>
      <c r="V80">
        <f>'Pretax Fuel Prices'!U81+'Fuel Taxes'!V81</f>
        <v>0</v>
      </c>
      <c r="W80">
        <f>'Pretax Fuel Prices'!V81+'Fuel Taxes'!W81</f>
        <v>0</v>
      </c>
      <c r="X80">
        <f>'Pretax Fuel Prices'!W81+'Fuel Taxes'!X81</f>
        <v>0</v>
      </c>
      <c r="Y80">
        <f>'Pretax Fuel Prices'!X81+'Fuel Taxes'!Y81</f>
        <v>0</v>
      </c>
      <c r="Z80">
        <f>'Pretax Fuel Prices'!Y81+'Fuel Taxes'!Z81</f>
        <v>0</v>
      </c>
      <c r="AA80">
        <f>'Pretax Fuel Prices'!Z81+'Fuel Taxes'!AA81</f>
        <v>0</v>
      </c>
      <c r="AB80">
        <f>'Pretax Fuel Prices'!AA81+'Fuel Taxes'!AB81</f>
        <v>0</v>
      </c>
      <c r="AC80">
        <f>'Pretax Fuel Prices'!AB81+'Fuel Taxes'!AC81</f>
        <v>0</v>
      </c>
      <c r="AD80">
        <f>'Pretax Fuel Prices'!AC81+'Fuel Taxes'!AD81</f>
        <v>0</v>
      </c>
      <c r="AE80">
        <f>'Pretax Fuel Prices'!AD81+'Fuel Taxes'!AE81</f>
        <v>0</v>
      </c>
    </row>
    <row r="81" spans="1:31" s="3" customFormat="1" x14ac:dyDescent="0.75">
      <c r="A81" s="5" t="s">
        <v>38</v>
      </c>
    </row>
    <row r="82" spans="1:31" x14ac:dyDescent="0.75">
      <c r="A82" t="s">
        <v>30</v>
      </c>
      <c r="B82">
        <f>'Fuel Taxes'!B$1</f>
        <v>2021</v>
      </c>
      <c r="C82">
        <f>'Fuel Taxes'!C$1</f>
        <v>2022</v>
      </c>
      <c r="D82">
        <f>'Fuel Taxes'!D$1</f>
        <v>2023</v>
      </c>
      <c r="E82">
        <f>'Fuel Taxes'!E$1</f>
        <v>2024</v>
      </c>
      <c r="F82">
        <f>'Fuel Taxes'!F$1</f>
        <v>2025</v>
      </c>
      <c r="G82">
        <f>'Fuel Taxes'!G$1</f>
        <v>2026</v>
      </c>
      <c r="H82">
        <f>'Fuel Taxes'!H$1</f>
        <v>2027</v>
      </c>
      <c r="I82">
        <f>'Fuel Taxes'!I$1</f>
        <v>2028</v>
      </c>
      <c r="J82">
        <f>'Fuel Taxes'!J$1</f>
        <v>2029</v>
      </c>
      <c r="K82">
        <f>'Fuel Taxes'!K$1</f>
        <v>2030</v>
      </c>
      <c r="L82">
        <f>'Fuel Taxes'!L$1</f>
        <v>2031</v>
      </c>
      <c r="M82">
        <f>'Fuel Taxes'!M$1</f>
        <v>2032</v>
      </c>
      <c r="N82">
        <f>'Fuel Taxes'!N$1</f>
        <v>2033</v>
      </c>
      <c r="O82">
        <f>'Fuel Taxes'!O$1</f>
        <v>2034</v>
      </c>
      <c r="P82">
        <f>'Fuel Taxes'!P$1</f>
        <v>2035</v>
      </c>
      <c r="Q82">
        <f>'Fuel Taxes'!Q$1</f>
        <v>2036</v>
      </c>
      <c r="R82">
        <f>'Fuel Taxes'!R$1</f>
        <v>2037</v>
      </c>
      <c r="S82">
        <f>'Fuel Taxes'!S$1</f>
        <v>2038</v>
      </c>
      <c r="T82">
        <f>'Fuel Taxes'!T$1</f>
        <v>2039</v>
      </c>
      <c r="U82">
        <f>'Fuel Taxes'!U$1</f>
        <v>2040</v>
      </c>
      <c r="V82">
        <f>'Fuel Taxes'!V$1</f>
        <v>2041</v>
      </c>
      <c r="W82">
        <f>'Fuel Taxes'!W$1</f>
        <v>2042</v>
      </c>
      <c r="X82">
        <f>'Fuel Taxes'!X$1</f>
        <v>2043</v>
      </c>
      <c r="Y82">
        <f>'Fuel Taxes'!Y$1</f>
        <v>2044</v>
      </c>
      <c r="Z82">
        <f>'Fuel Taxes'!Z$1</f>
        <v>2045</v>
      </c>
      <c r="AA82">
        <f>'Fuel Taxes'!AA$1</f>
        <v>2046</v>
      </c>
      <c r="AB82">
        <f>'Fuel Taxes'!AB$1</f>
        <v>2047</v>
      </c>
      <c r="AC82">
        <f>'Fuel Taxes'!AC$1</f>
        <v>2048</v>
      </c>
      <c r="AD82">
        <f>'Fuel Taxes'!AD$1</f>
        <v>2049</v>
      </c>
      <c r="AE82">
        <f>'Fuel Taxes'!AE$1</f>
        <v>2050</v>
      </c>
    </row>
    <row r="83" spans="1:31" x14ac:dyDescent="0.75">
      <c r="A83" t="s">
        <v>52</v>
      </c>
      <c r="B83">
        <f>'Pretax Fuel Prices'!B84+'Fuel Taxes'!B84</f>
        <v>1.134696777709005E-5</v>
      </c>
      <c r="C83">
        <f>'Pretax Fuel Prices'!C84+'Fuel Taxes'!C84</f>
        <v>1.9781963999691554E-5</v>
      </c>
      <c r="D83">
        <f>'Pretax Fuel Prices'!C84+'Fuel Taxes'!D84</f>
        <v>1.957269102690973E-5</v>
      </c>
      <c r="E83">
        <f>'Pretax Fuel Prices'!D84+'Fuel Taxes'!E84</f>
        <v>1.3952688790416288E-5</v>
      </c>
      <c r="F83">
        <f>'Pretax Fuel Prices'!E84+'Fuel Taxes'!F84</f>
        <v>1.0631448340293165E-5</v>
      </c>
      <c r="G83">
        <f>'Pretax Fuel Prices'!F84+'Fuel Taxes'!G84</f>
        <v>9.3162846233650075E-6</v>
      </c>
      <c r="H83">
        <f>'Pretax Fuel Prices'!G84+'Fuel Taxes'!H84</f>
        <v>7.664994126443412E-6</v>
      </c>
      <c r="I83">
        <f>'Pretax Fuel Prices'!H84+'Fuel Taxes'!I84</f>
        <v>1.019779167043512E-5</v>
      </c>
      <c r="J83">
        <f>'Pretax Fuel Prices'!I84+'Fuel Taxes'!J84</f>
        <v>1.2596903160378754E-5</v>
      </c>
      <c r="K83">
        <f>'Pretax Fuel Prices'!J84+'Fuel Taxes'!K84</f>
        <v>1.3127729058074643E-5</v>
      </c>
      <c r="L83">
        <f>'Pretax Fuel Prices'!K84+'Fuel Taxes'!L84</f>
        <v>1.3616355577068593E-5</v>
      </c>
      <c r="M83">
        <f>'Pretax Fuel Prices'!L84+'Fuel Taxes'!M84</f>
        <v>1.3881514594536069E-5</v>
      </c>
      <c r="N83">
        <f>'Pretax Fuel Prices'!M84+'Fuel Taxes'!N84</f>
        <v>1.3762888874481803E-5</v>
      </c>
      <c r="O83">
        <f>'Pretax Fuel Prices'!N84+'Fuel Taxes'!O84</f>
        <v>1.3860783678934976E-5</v>
      </c>
      <c r="P83">
        <f>'Pretax Fuel Prices'!O84+'Fuel Taxes'!P84</f>
        <v>1.4169980456700406E-5</v>
      </c>
      <c r="Q83">
        <f>'Pretax Fuel Prices'!P84+'Fuel Taxes'!Q84</f>
        <v>1.4270852283661628E-5</v>
      </c>
      <c r="R83">
        <f>'Pretax Fuel Prices'!Q84+'Fuel Taxes'!R84</f>
        <v>1.4244444693517422E-5</v>
      </c>
      <c r="S83">
        <f>'Pretax Fuel Prices'!R84+'Fuel Taxes'!S84</f>
        <v>1.4427739698541816E-5</v>
      </c>
      <c r="T83">
        <f>'Pretax Fuel Prices'!S84+'Fuel Taxes'!T84</f>
        <v>1.4551021348597144E-5</v>
      </c>
      <c r="U83">
        <f>'Pretax Fuel Prices'!T84+'Fuel Taxes'!U84</f>
        <v>1.4699355998879875E-5</v>
      </c>
      <c r="V83">
        <f>'Pretax Fuel Prices'!U84+'Fuel Taxes'!V84</f>
        <v>1.4820390435723815E-5</v>
      </c>
      <c r="W83">
        <f>'Pretax Fuel Prices'!V84+'Fuel Taxes'!W84</f>
        <v>1.4885792209440659E-5</v>
      </c>
      <c r="X83">
        <f>'Pretax Fuel Prices'!W84+'Fuel Taxes'!X84</f>
        <v>1.4874617367765639E-5</v>
      </c>
      <c r="Y83">
        <f>'Pretax Fuel Prices'!X84+'Fuel Taxes'!Y84</f>
        <v>1.5043385607550238E-5</v>
      </c>
      <c r="Z83">
        <f>'Pretax Fuel Prices'!Y84+'Fuel Taxes'!Z84</f>
        <v>1.5149498620923002E-5</v>
      </c>
      <c r="AA83">
        <f>'Pretax Fuel Prices'!Z84+'Fuel Taxes'!AA84</f>
        <v>1.5354522949352969E-5</v>
      </c>
      <c r="AB83">
        <f>'Pretax Fuel Prices'!AA84+'Fuel Taxes'!AB84</f>
        <v>1.5619825695213399E-5</v>
      </c>
      <c r="AC83">
        <f>'Pretax Fuel Prices'!AB84+'Fuel Taxes'!AC84</f>
        <v>1.5618251570347089E-5</v>
      </c>
      <c r="AD83">
        <f>'Pretax Fuel Prices'!AC84+'Fuel Taxes'!AD84</f>
        <v>1.5697569494242666E-5</v>
      </c>
      <c r="AE83">
        <f>'Pretax Fuel Prices'!AD84+'Fuel Taxes'!AE84</f>
        <v>1.5848163607027799E-5</v>
      </c>
    </row>
    <row r="84" spans="1:31" x14ac:dyDescent="0.75">
      <c r="A84" t="s">
        <v>53</v>
      </c>
      <c r="B84">
        <f>'Pretax Fuel Prices'!B85+'Fuel Taxes'!B85</f>
        <v>0</v>
      </c>
      <c r="C84">
        <f>'Pretax Fuel Prices'!C85+'Fuel Taxes'!C85</f>
        <v>0</v>
      </c>
      <c r="D84">
        <f>'Pretax Fuel Prices'!C85+'Fuel Taxes'!D85</f>
        <v>0</v>
      </c>
      <c r="E84">
        <f>'Pretax Fuel Prices'!D85+'Fuel Taxes'!E85</f>
        <v>0</v>
      </c>
      <c r="F84">
        <f>'Pretax Fuel Prices'!E85+'Fuel Taxes'!F85</f>
        <v>0</v>
      </c>
      <c r="G84">
        <f>'Pretax Fuel Prices'!F85+'Fuel Taxes'!G85</f>
        <v>0</v>
      </c>
      <c r="H84">
        <f>'Pretax Fuel Prices'!G85+'Fuel Taxes'!H85</f>
        <v>0</v>
      </c>
      <c r="I84">
        <f>'Pretax Fuel Prices'!H85+'Fuel Taxes'!I85</f>
        <v>0</v>
      </c>
      <c r="J84">
        <f>'Pretax Fuel Prices'!I85+'Fuel Taxes'!J85</f>
        <v>0</v>
      </c>
      <c r="K84">
        <f>'Pretax Fuel Prices'!J85+'Fuel Taxes'!K85</f>
        <v>0</v>
      </c>
      <c r="L84">
        <f>'Pretax Fuel Prices'!K85+'Fuel Taxes'!L85</f>
        <v>0</v>
      </c>
      <c r="M84">
        <f>'Pretax Fuel Prices'!L85+'Fuel Taxes'!M85</f>
        <v>0</v>
      </c>
      <c r="N84">
        <f>'Pretax Fuel Prices'!M85+'Fuel Taxes'!N85</f>
        <v>0</v>
      </c>
      <c r="O84">
        <f>'Pretax Fuel Prices'!N85+'Fuel Taxes'!O85</f>
        <v>0</v>
      </c>
      <c r="P84">
        <f>'Pretax Fuel Prices'!O85+'Fuel Taxes'!P85</f>
        <v>0</v>
      </c>
      <c r="Q84">
        <f>'Pretax Fuel Prices'!P85+'Fuel Taxes'!Q85</f>
        <v>0</v>
      </c>
      <c r="R84">
        <f>'Pretax Fuel Prices'!Q85+'Fuel Taxes'!R85</f>
        <v>0</v>
      </c>
      <c r="S84">
        <f>'Pretax Fuel Prices'!R85+'Fuel Taxes'!S85</f>
        <v>0</v>
      </c>
      <c r="T84">
        <f>'Pretax Fuel Prices'!S85+'Fuel Taxes'!T85</f>
        <v>0</v>
      </c>
      <c r="U84">
        <f>'Pretax Fuel Prices'!T85+'Fuel Taxes'!U85</f>
        <v>0</v>
      </c>
      <c r="V84">
        <f>'Pretax Fuel Prices'!U85+'Fuel Taxes'!V85</f>
        <v>0</v>
      </c>
      <c r="W84">
        <f>'Pretax Fuel Prices'!V85+'Fuel Taxes'!W85</f>
        <v>0</v>
      </c>
      <c r="X84">
        <f>'Pretax Fuel Prices'!W85+'Fuel Taxes'!X85</f>
        <v>0</v>
      </c>
      <c r="Y84">
        <f>'Pretax Fuel Prices'!X85+'Fuel Taxes'!Y85</f>
        <v>0</v>
      </c>
      <c r="Z84">
        <f>'Pretax Fuel Prices'!Y85+'Fuel Taxes'!Z85</f>
        <v>0</v>
      </c>
      <c r="AA84">
        <f>'Pretax Fuel Prices'!Z85+'Fuel Taxes'!AA85</f>
        <v>0</v>
      </c>
      <c r="AB84">
        <f>'Pretax Fuel Prices'!AA85+'Fuel Taxes'!AB85</f>
        <v>0</v>
      </c>
      <c r="AC84">
        <f>'Pretax Fuel Prices'!AB85+'Fuel Taxes'!AC85</f>
        <v>0</v>
      </c>
      <c r="AD84">
        <f>'Pretax Fuel Prices'!AC85+'Fuel Taxes'!AD85</f>
        <v>0</v>
      </c>
      <c r="AE84">
        <f>'Pretax Fuel Prices'!AD85+'Fuel Taxes'!AE85</f>
        <v>0</v>
      </c>
    </row>
    <row r="85" spans="1:31" x14ac:dyDescent="0.75">
      <c r="A85" t="s">
        <v>54</v>
      </c>
      <c r="B85">
        <f>'Pretax Fuel Prices'!B86+'Fuel Taxes'!B86</f>
        <v>1.4955057336642939E-5</v>
      </c>
      <c r="C85">
        <f>'Pretax Fuel Prices'!C86+'Fuel Taxes'!C86</f>
        <v>2.6072199345106672E-5</v>
      </c>
      <c r="D85">
        <f>'Pretax Fuel Prices'!C86+'Fuel Taxes'!D86</f>
        <v>2.58630427163033E-5</v>
      </c>
      <c r="E85">
        <f>'Pretax Fuel Prices'!D86+'Fuel Taxes'!E86</f>
        <v>2.0374802818446143E-5</v>
      </c>
      <c r="F85">
        <f>'Pretax Fuel Prices'!E86+'Fuel Taxes'!F86</f>
        <v>1.680123917738661E-5</v>
      </c>
      <c r="G85">
        <f>'Pretax Fuel Prices'!F86+'Fuel Taxes'!G86</f>
        <v>1.7405143883028352E-5</v>
      </c>
      <c r="H85">
        <f>'Pretax Fuel Prices'!G86+'Fuel Taxes'!H86</f>
        <v>1.8009048588670095E-5</v>
      </c>
      <c r="I85">
        <f>'Pretax Fuel Prices'!H86+'Fuel Taxes'!I86</f>
        <v>1.8612953294311841E-5</v>
      </c>
      <c r="J85">
        <f>'Pretax Fuel Prices'!I86+'Fuel Taxes'!J86</f>
        <v>1.9166038707915578E-5</v>
      </c>
      <c r="K85">
        <f>'Pretax Fuel Prices'!J86+'Fuel Taxes'!K86</f>
        <v>1.9919322567044415E-5</v>
      </c>
      <c r="L85">
        <f>'Pretax Fuel Prices'!K86+'Fuel Taxes'!L86</f>
        <v>2.0631197788025686E-5</v>
      </c>
      <c r="M85">
        <f>'Pretax Fuel Prices'!L86+'Fuel Taxes'!M86</f>
        <v>2.0852668099606084E-5</v>
      </c>
      <c r="N85">
        <f>'Pretax Fuel Prices'!M86+'Fuel Taxes'!N86</f>
        <v>2.0693521710540996E-5</v>
      </c>
      <c r="O85">
        <f>'Pretax Fuel Prices'!N86+'Fuel Taxes'!O86</f>
        <v>2.0787164876632085E-5</v>
      </c>
      <c r="P85">
        <f>'Pretax Fuel Prices'!O86+'Fuel Taxes'!P86</f>
        <v>2.1069705787662893E-5</v>
      </c>
      <c r="Q85">
        <f>'Pretax Fuel Prices'!P86+'Fuel Taxes'!Q86</f>
        <v>2.112747095229559E-5</v>
      </c>
      <c r="R85">
        <f>'Pretax Fuel Prices'!Q86+'Fuel Taxes'!R86</f>
        <v>2.106639181967911E-5</v>
      </c>
      <c r="S85">
        <f>'Pretax Fuel Prices'!R86+'Fuel Taxes'!S86</f>
        <v>2.1228017650583622E-5</v>
      </c>
      <c r="T85">
        <f>'Pretax Fuel Prices'!S86+'Fuel Taxes'!T86</f>
        <v>2.1336006374166759E-5</v>
      </c>
      <c r="U85">
        <f>'Pretax Fuel Prices'!T86+'Fuel Taxes'!U86</f>
        <v>2.1471393536447392E-5</v>
      </c>
      <c r="V85">
        <f>'Pretax Fuel Prices'!U86+'Fuel Taxes'!V86</f>
        <v>2.1585340495338831E-5</v>
      </c>
      <c r="W85">
        <f>'Pretax Fuel Prices'!V86+'Fuel Taxes'!W86</f>
        <v>2.1631279369757129E-5</v>
      </c>
      <c r="X85">
        <f>'Pretax Fuel Prices'!W86+'Fuel Taxes'!X86</f>
        <v>2.1579965274851903E-5</v>
      </c>
      <c r="Y85">
        <f>'Pretax Fuel Prices'!X86+'Fuel Taxes'!Y86</f>
        <v>2.1712850909738969E-5</v>
      </c>
      <c r="Z85">
        <f>'Pretax Fuel Prices'!Y86+'Fuel Taxes'!Z86</f>
        <v>2.178771816222641E-5</v>
      </c>
      <c r="AA85">
        <f>'Pretax Fuel Prices'!Z86+'Fuel Taxes'!AA86</f>
        <v>2.1972661046233952E-5</v>
      </c>
      <c r="AB85">
        <f>'Pretax Fuel Prices'!AA86+'Fuel Taxes'!AB86</f>
        <v>2.2225901182411279E-5</v>
      </c>
      <c r="AC85">
        <f>'Pretax Fuel Prices'!AB86+'Fuel Taxes'!AC86</f>
        <v>2.2215624671795498E-5</v>
      </c>
      <c r="AD85">
        <f>'Pretax Fuel Prices'!AC86+'Fuel Taxes'!AD86</f>
        <v>2.2277201652794852E-5</v>
      </c>
      <c r="AE85">
        <f>'Pretax Fuel Prices'!AD86+'Fuel Taxes'!AE86</f>
        <v>2.2394020015574135E-5</v>
      </c>
    </row>
    <row r="86" spans="1:31" x14ac:dyDescent="0.75">
      <c r="A86" t="s">
        <v>55</v>
      </c>
      <c r="B86">
        <f>'Pretax Fuel Prices'!B87+'Fuel Taxes'!B87</f>
        <v>1.4964053074642872E-5</v>
      </c>
      <c r="C86">
        <f>'Pretax Fuel Prices'!C87+'Fuel Taxes'!C87</f>
        <v>2.6087882245486861E-5</v>
      </c>
      <c r="D86">
        <f>'Pretax Fuel Prices'!C87+'Fuel Taxes'!D87</f>
        <v>2.5881535196936602E-5</v>
      </c>
      <c r="E86">
        <f>'Pretax Fuel Prices'!D87+'Fuel Taxes'!E87</f>
        <v>2.0460124161869677E-5</v>
      </c>
      <c r="F86">
        <f>'Pretax Fuel Prices'!E87+'Fuel Taxes'!F87</f>
        <v>1.659280717433187E-5</v>
      </c>
      <c r="G86">
        <f>'Pretax Fuel Prices'!F87+'Fuel Taxes'!G87</f>
        <v>1.6922741818084839E-5</v>
      </c>
      <c r="H86">
        <f>'Pretax Fuel Prices'!G87+'Fuel Taxes'!H87</f>
        <v>1.7252676461837805E-5</v>
      </c>
      <c r="I86">
        <f>'Pretax Fuel Prices'!H87+'Fuel Taxes'!I87</f>
        <v>1.7582611105590775E-5</v>
      </c>
      <c r="J86">
        <f>'Pretax Fuel Prices'!I87+'Fuel Taxes'!J87</f>
        <v>1.7842090778006981E-5</v>
      </c>
      <c r="K86">
        <f>'Pretax Fuel Prices'!J87+'Fuel Taxes'!K87</f>
        <v>1.773272499399648E-5</v>
      </c>
      <c r="L86">
        <f>'Pretax Fuel Prices'!K87+'Fuel Taxes'!L87</f>
        <v>1.7607746036531701E-5</v>
      </c>
      <c r="M86">
        <f>'Pretax Fuel Prices'!L87+'Fuel Taxes'!M87</f>
        <v>1.7841536538122146E-5</v>
      </c>
      <c r="N86">
        <f>'Pretax Fuel Prices'!M87+'Fuel Taxes'!N87</f>
        <v>1.7666423348552947E-5</v>
      </c>
      <c r="O86">
        <f>'Pretax Fuel Prices'!N87+'Fuel Taxes'!O87</f>
        <v>1.7761966145364634E-5</v>
      </c>
      <c r="P86">
        <f>'Pretax Fuel Prices'!O87+'Fuel Taxes'!P87</f>
        <v>1.8063716493815998E-5</v>
      </c>
      <c r="Q86">
        <f>'Pretax Fuel Prices'!P87+'Fuel Taxes'!Q87</f>
        <v>1.8305661728730851E-5</v>
      </c>
      <c r="R86">
        <f>'Pretax Fuel Prices'!Q87+'Fuel Taxes'!R87</f>
        <v>1.8272321152489531E-5</v>
      </c>
      <c r="S86">
        <f>'Pretax Fuel Prices'!R87+'Fuel Taxes'!S87</f>
        <v>1.8442757076314888E-5</v>
      </c>
      <c r="T86">
        <f>'Pretax Fuel Prices'!S87+'Fuel Taxes'!T87</f>
        <v>1.8548705453338038E-5</v>
      </c>
      <c r="U86">
        <f>'Pretax Fuel Prices'!T87+'Fuel Taxes'!U87</f>
        <v>1.8677849769489331E-5</v>
      </c>
      <c r="V86">
        <f>'Pretax Fuel Prices'!U87+'Fuel Taxes'!V87</f>
        <v>1.879884206471315E-5</v>
      </c>
      <c r="W86">
        <f>'Pretax Fuel Prices'!V87+'Fuel Taxes'!W87</f>
        <v>1.8840369717813929E-5</v>
      </c>
      <c r="X86">
        <f>'Pretax Fuel Prices'!W87+'Fuel Taxes'!X87</f>
        <v>1.8787375157903137E-5</v>
      </c>
      <c r="Y86">
        <f>'Pretax Fuel Prices'!X87+'Fuel Taxes'!Y87</f>
        <v>1.8934462648910741E-5</v>
      </c>
      <c r="Z86">
        <f>'Pretax Fuel Prices'!Y87+'Fuel Taxes'!Z87</f>
        <v>1.9025675082984812E-5</v>
      </c>
      <c r="AA86">
        <f>'Pretax Fuel Prices'!Z87+'Fuel Taxes'!AA87</f>
        <v>1.921947723399555E-5</v>
      </c>
      <c r="AB86">
        <f>'Pretax Fuel Prices'!AA87+'Fuel Taxes'!AB87</f>
        <v>1.948453628164527E-5</v>
      </c>
      <c r="AC86">
        <f>'Pretax Fuel Prices'!AB87+'Fuel Taxes'!AC87</f>
        <v>1.9465586681276376E-5</v>
      </c>
      <c r="AD86">
        <f>'Pretax Fuel Prices'!AC87+'Fuel Taxes'!AD87</f>
        <v>1.9530851989940954E-5</v>
      </c>
      <c r="AE86">
        <f>'Pretax Fuel Prices'!AD87+'Fuel Taxes'!AE87</f>
        <v>1.9687194836901129E-5</v>
      </c>
    </row>
    <row r="87" spans="1:31" x14ac:dyDescent="0.75">
      <c r="A87" t="s">
        <v>56</v>
      </c>
      <c r="B87">
        <f>'Pretax Fuel Prices'!B88+'Fuel Taxes'!B88</f>
        <v>0</v>
      </c>
      <c r="C87">
        <f>'Pretax Fuel Prices'!C88+'Fuel Taxes'!C88</f>
        <v>0</v>
      </c>
      <c r="D87">
        <f>'Pretax Fuel Prices'!C88+'Fuel Taxes'!D88</f>
        <v>0</v>
      </c>
      <c r="E87">
        <f>'Pretax Fuel Prices'!D88+'Fuel Taxes'!E88</f>
        <v>0</v>
      </c>
      <c r="F87">
        <f>'Pretax Fuel Prices'!E88+'Fuel Taxes'!F88</f>
        <v>0</v>
      </c>
      <c r="G87">
        <f>'Pretax Fuel Prices'!F88+'Fuel Taxes'!G88</f>
        <v>0</v>
      </c>
      <c r="H87">
        <f>'Pretax Fuel Prices'!G88+'Fuel Taxes'!H88</f>
        <v>0</v>
      </c>
      <c r="I87">
        <f>'Pretax Fuel Prices'!H88+'Fuel Taxes'!I88</f>
        <v>0</v>
      </c>
      <c r="J87">
        <f>'Pretax Fuel Prices'!I88+'Fuel Taxes'!J88</f>
        <v>0</v>
      </c>
      <c r="K87">
        <f>'Pretax Fuel Prices'!J88+'Fuel Taxes'!K88</f>
        <v>0</v>
      </c>
      <c r="L87">
        <f>'Pretax Fuel Prices'!K88+'Fuel Taxes'!L88</f>
        <v>0</v>
      </c>
      <c r="M87">
        <f>'Pretax Fuel Prices'!L88+'Fuel Taxes'!M88</f>
        <v>0</v>
      </c>
      <c r="N87">
        <f>'Pretax Fuel Prices'!M88+'Fuel Taxes'!N88</f>
        <v>0</v>
      </c>
      <c r="O87">
        <f>'Pretax Fuel Prices'!N88+'Fuel Taxes'!O88</f>
        <v>0</v>
      </c>
      <c r="P87">
        <f>'Pretax Fuel Prices'!O88+'Fuel Taxes'!P88</f>
        <v>0</v>
      </c>
      <c r="Q87">
        <f>'Pretax Fuel Prices'!P88+'Fuel Taxes'!Q88</f>
        <v>0</v>
      </c>
      <c r="R87">
        <f>'Pretax Fuel Prices'!Q88+'Fuel Taxes'!R88</f>
        <v>0</v>
      </c>
      <c r="S87">
        <f>'Pretax Fuel Prices'!R88+'Fuel Taxes'!S88</f>
        <v>0</v>
      </c>
      <c r="T87">
        <f>'Pretax Fuel Prices'!S88+'Fuel Taxes'!T88</f>
        <v>0</v>
      </c>
      <c r="U87">
        <f>'Pretax Fuel Prices'!T88+'Fuel Taxes'!U88</f>
        <v>0</v>
      </c>
      <c r="V87">
        <f>'Pretax Fuel Prices'!U88+'Fuel Taxes'!V88</f>
        <v>0</v>
      </c>
      <c r="W87">
        <f>'Pretax Fuel Prices'!V88+'Fuel Taxes'!W88</f>
        <v>0</v>
      </c>
      <c r="X87">
        <f>'Pretax Fuel Prices'!W88+'Fuel Taxes'!X88</f>
        <v>0</v>
      </c>
      <c r="Y87">
        <f>'Pretax Fuel Prices'!X88+'Fuel Taxes'!Y88</f>
        <v>0</v>
      </c>
      <c r="Z87">
        <f>'Pretax Fuel Prices'!Y88+'Fuel Taxes'!Z88</f>
        <v>0</v>
      </c>
      <c r="AA87">
        <f>'Pretax Fuel Prices'!Z88+'Fuel Taxes'!AA88</f>
        <v>0</v>
      </c>
      <c r="AB87">
        <f>'Pretax Fuel Prices'!AA88+'Fuel Taxes'!AB88</f>
        <v>0</v>
      </c>
      <c r="AC87">
        <f>'Pretax Fuel Prices'!AB88+'Fuel Taxes'!AC88</f>
        <v>0</v>
      </c>
      <c r="AD87">
        <f>'Pretax Fuel Prices'!AC88+'Fuel Taxes'!AD88</f>
        <v>0</v>
      </c>
      <c r="AE87">
        <f>'Pretax Fuel Prices'!AD88+'Fuel Taxes'!AE88</f>
        <v>0</v>
      </c>
    </row>
    <row r="88" spans="1:31" x14ac:dyDescent="0.75">
      <c r="A88" t="s">
        <v>57</v>
      </c>
      <c r="B88">
        <f>'Pretax Fuel Prices'!B89+'Fuel Taxes'!B89</f>
        <v>0</v>
      </c>
      <c r="C88">
        <f>'Pretax Fuel Prices'!C89+'Fuel Taxes'!C89</f>
        <v>0</v>
      </c>
      <c r="D88">
        <f>'Pretax Fuel Prices'!C89+'Fuel Taxes'!D89</f>
        <v>0</v>
      </c>
      <c r="E88">
        <f>'Pretax Fuel Prices'!D89+'Fuel Taxes'!E89</f>
        <v>0</v>
      </c>
      <c r="F88">
        <f>'Pretax Fuel Prices'!E89+'Fuel Taxes'!F89</f>
        <v>0</v>
      </c>
      <c r="G88">
        <f>'Pretax Fuel Prices'!F89+'Fuel Taxes'!G89</f>
        <v>0</v>
      </c>
      <c r="H88">
        <f>'Pretax Fuel Prices'!G89+'Fuel Taxes'!H89</f>
        <v>0</v>
      </c>
      <c r="I88">
        <f>'Pretax Fuel Prices'!H89+'Fuel Taxes'!I89</f>
        <v>0</v>
      </c>
      <c r="J88">
        <f>'Pretax Fuel Prices'!I89+'Fuel Taxes'!J89</f>
        <v>0</v>
      </c>
      <c r="K88">
        <f>'Pretax Fuel Prices'!J89+'Fuel Taxes'!K89</f>
        <v>0</v>
      </c>
      <c r="L88">
        <f>'Pretax Fuel Prices'!K89+'Fuel Taxes'!L89</f>
        <v>0</v>
      </c>
      <c r="M88">
        <f>'Pretax Fuel Prices'!L89+'Fuel Taxes'!M89</f>
        <v>0</v>
      </c>
      <c r="N88">
        <f>'Pretax Fuel Prices'!M89+'Fuel Taxes'!N89</f>
        <v>0</v>
      </c>
      <c r="O88">
        <f>'Pretax Fuel Prices'!N89+'Fuel Taxes'!O89</f>
        <v>0</v>
      </c>
      <c r="P88">
        <f>'Pretax Fuel Prices'!O89+'Fuel Taxes'!P89</f>
        <v>0</v>
      </c>
      <c r="Q88">
        <f>'Pretax Fuel Prices'!P89+'Fuel Taxes'!Q89</f>
        <v>0</v>
      </c>
      <c r="R88">
        <f>'Pretax Fuel Prices'!Q89+'Fuel Taxes'!R89</f>
        <v>0</v>
      </c>
      <c r="S88">
        <f>'Pretax Fuel Prices'!R89+'Fuel Taxes'!S89</f>
        <v>0</v>
      </c>
      <c r="T88">
        <f>'Pretax Fuel Prices'!S89+'Fuel Taxes'!T89</f>
        <v>0</v>
      </c>
      <c r="U88">
        <f>'Pretax Fuel Prices'!T89+'Fuel Taxes'!U89</f>
        <v>0</v>
      </c>
      <c r="V88">
        <f>'Pretax Fuel Prices'!U89+'Fuel Taxes'!V89</f>
        <v>0</v>
      </c>
      <c r="W88">
        <f>'Pretax Fuel Prices'!V89+'Fuel Taxes'!W89</f>
        <v>0</v>
      </c>
      <c r="X88">
        <f>'Pretax Fuel Prices'!W89+'Fuel Taxes'!X89</f>
        <v>0</v>
      </c>
      <c r="Y88">
        <f>'Pretax Fuel Prices'!X89+'Fuel Taxes'!Y89</f>
        <v>0</v>
      </c>
      <c r="Z88">
        <f>'Pretax Fuel Prices'!Y89+'Fuel Taxes'!Z89</f>
        <v>0</v>
      </c>
      <c r="AA88">
        <f>'Pretax Fuel Prices'!Z89+'Fuel Taxes'!AA89</f>
        <v>0</v>
      </c>
      <c r="AB88">
        <f>'Pretax Fuel Prices'!AA89+'Fuel Taxes'!AB89</f>
        <v>0</v>
      </c>
      <c r="AC88">
        <f>'Pretax Fuel Prices'!AB89+'Fuel Taxes'!AC89</f>
        <v>0</v>
      </c>
      <c r="AD88">
        <f>'Pretax Fuel Prices'!AC89+'Fuel Taxes'!AD89</f>
        <v>0</v>
      </c>
      <c r="AE88">
        <f>'Pretax Fuel Prices'!AD89+'Fuel Taxes'!AE89</f>
        <v>0</v>
      </c>
    </row>
    <row r="89" spans="1:31" x14ac:dyDescent="0.75">
      <c r="A89" t="s">
        <v>58</v>
      </c>
      <c r="B89">
        <f>'Pretax Fuel Prices'!B90+'Fuel Taxes'!B90</f>
        <v>0</v>
      </c>
      <c r="C89">
        <f>'Pretax Fuel Prices'!C90+'Fuel Taxes'!C90</f>
        <v>0</v>
      </c>
      <c r="D89">
        <f>'Pretax Fuel Prices'!C90+'Fuel Taxes'!D90</f>
        <v>0</v>
      </c>
      <c r="E89">
        <f>'Pretax Fuel Prices'!D90+'Fuel Taxes'!E90</f>
        <v>0</v>
      </c>
      <c r="F89">
        <f>'Pretax Fuel Prices'!E90+'Fuel Taxes'!F90</f>
        <v>0</v>
      </c>
      <c r="G89">
        <f>'Pretax Fuel Prices'!F90+'Fuel Taxes'!G90</f>
        <v>0</v>
      </c>
      <c r="H89">
        <f>'Pretax Fuel Prices'!G90+'Fuel Taxes'!H90</f>
        <v>0</v>
      </c>
      <c r="I89">
        <f>'Pretax Fuel Prices'!H90+'Fuel Taxes'!I90</f>
        <v>0</v>
      </c>
      <c r="J89">
        <f>'Pretax Fuel Prices'!I90+'Fuel Taxes'!J90</f>
        <v>0</v>
      </c>
      <c r="K89">
        <f>'Pretax Fuel Prices'!J90+'Fuel Taxes'!K90</f>
        <v>0</v>
      </c>
      <c r="L89">
        <f>'Pretax Fuel Prices'!K90+'Fuel Taxes'!L90</f>
        <v>0</v>
      </c>
      <c r="M89">
        <f>'Pretax Fuel Prices'!L90+'Fuel Taxes'!M90</f>
        <v>0</v>
      </c>
      <c r="N89">
        <f>'Pretax Fuel Prices'!M90+'Fuel Taxes'!N90</f>
        <v>0</v>
      </c>
      <c r="O89">
        <f>'Pretax Fuel Prices'!N90+'Fuel Taxes'!O90</f>
        <v>0</v>
      </c>
      <c r="P89">
        <f>'Pretax Fuel Prices'!O90+'Fuel Taxes'!P90</f>
        <v>0</v>
      </c>
      <c r="Q89">
        <f>'Pretax Fuel Prices'!P90+'Fuel Taxes'!Q90</f>
        <v>0</v>
      </c>
      <c r="R89">
        <f>'Pretax Fuel Prices'!Q90+'Fuel Taxes'!R90</f>
        <v>0</v>
      </c>
      <c r="S89">
        <f>'Pretax Fuel Prices'!R90+'Fuel Taxes'!S90</f>
        <v>0</v>
      </c>
      <c r="T89">
        <f>'Pretax Fuel Prices'!S90+'Fuel Taxes'!T90</f>
        <v>0</v>
      </c>
      <c r="U89">
        <f>'Pretax Fuel Prices'!T90+'Fuel Taxes'!U90</f>
        <v>0</v>
      </c>
      <c r="V89">
        <f>'Pretax Fuel Prices'!U90+'Fuel Taxes'!V90</f>
        <v>0</v>
      </c>
      <c r="W89">
        <f>'Pretax Fuel Prices'!V90+'Fuel Taxes'!W90</f>
        <v>0</v>
      </c>
      <c r="X89">
        <f>'Pretax Fuel Prices'!W90+'Fuel Taxes'!X90</f>
        <v>0</v>
      </c>
      <c r="Y89">
        <f>'Pretax Fuel Prices'!X90+'Fuel Taxes'!Y90</f>
        <v>0</v>
      </c>
      <c r="Z89">
        <f>'Pretax Fuel Prices'!Y90+'Fuel Taxes'!Z90</f>
        <v>0</v>
      </c>
      <c r="AA89">
        <f>'Pretax Fuel Prices'!Z90+'Fuel Taxes'!AA90</f>
        <v>0</v>
      </c>
      <c r="AB89">
        <f>'Pretax Fuel Prices'!AA90+'Fuel Taxes'!AB90</f>
        <v>0</v>
      </c>
      <c r="AC89">
        <f>'Pretax Fuel Prices'!AB90+'Fuel Taxes'!AC90</f>
        <v>0</v>
      </c>
      <c r="AD89">
        <f>'Pretax Fuel Prices'!AC90+'Fuel Taxes'!AD90</f>
        <v>0</v>
      </c>
      <c r="AE89">
        <f>'Pretax Fuel Prices'!AD90+'Fuel Taxes'!AE90</f>
        <v>0</v>
      </c>
    </row>
    <row r="90" spans="1:31" x14ac:dyDescent="0.75">
      <c r="A90" t="s">
        <v>59</v>
      </c>
      <c r="B90">
        <f>'Pretax Fuel Prices'!B91+'Fuel Taxes'!B91</f>
        <v>0</v>
      </c>
      <c r="C90">
        <f>'Pretax Fuel Prices'!C91+'Fuel Taxes'!C91</f>
        <v>0</v>
      </c>
      <c r="D90">
        <f>'Pretax Fuel Prices'!C91+'Fuel Taxes'!D91</f>
        <v>0</v>
      </c>
      <c r="E90">
        <f>'Pretax Fuel Prices'!D91+'Fuel Taxes'!E91</f>
        <v>0</v>
      </c>
      <c r="F90">
        <f>'Pretax Fuel Prices'!E91+'Fuel Taxes'!F91</f>
        <v>0</v>
      </c>
      <c r="G90">
        <f>'Pretax Fuel Prices'!F91+'Fuel Taxes'!G91</f>
        <v>0</v>
      </c>
      <c r="H90">
        <f>'Pretax Fuel Prices'!G91+'Fuel Taxes'!H91</f>
        <v>0</v>
      </c>
      <c r="I90">
        <f>'Pretax Fuel Prices'!H91+'Fuel Taxes'!I91</f>
        <v>0</v>
      </c>
      <c r="J90">
        <f>'Pretax Fuel Prices'!I91+'Fuel Taxes'!J91</f>
        <v>0</v>
      </c>
      <c r="K90">
        <f>'Pretax Fuel Prices'!J91+'Fuel Taxes'!K91</f>
        <v>0</v>
      </c>
      <c r="L90">
        <f>'Pretax Fuel Prices'!K91+'Fuel Taxes'!L91</f>
        <v>0</v>
      </c>
      <c r="M90">
        <f>'Pretax Fuel Prices'!L91+'Fuel Taxes'!M91</f>
        <v>0</v>
      </c>
      <c r="N90">
        <f>'Pretax Fuel Prices'!M91+'Fuel Taxes'!N91</f>
        <v>0</v>
      </c>
      <c r="O90">
        <f>'Pretax Fuel Prices'!N91+'Fuel Taxes'!O91</f>
        <v>0</v>
      </c>
      <c r="P90">
        <f>'Pretax Fuel Prices'!O91+'Fuel Taxes'!P91</f>
        <v>0</v>
      </c>
      <c r="Q90">
        <f>'Pretax Fuel Prices'!P91+'Fuel Taxes'!Q91</f>
        <v>0</v>
      </c>
      <c r="R90">
        <f>'Pretax Fuel Prices'!Q91+'Fuel Taxes'!R91</f>
        <v>0</v>
      </c>
      <c r="S90">
        <f>'Pretax Fuel Prices'!R91+'Fuel Taxes'!S91</f>
        <v>0</v>
      </c>
      <c r="T90">
        <f>'Pretax Fuel Prices'!S91+'Fuel Taxes'!T91</f>
        <v>0</v>
      </c>
      <c r="U90">
        <f>'Pretax Fuel Prices'!T91+'Fuel Taxes'!U91</f>
        <v>0</v>
      </c>
      <c r="V90">
        <f>'Pretax Fuel Prices'!U91+'Fuel Taxes'!V91</f>
        <v>0</v>
      </c>
      <c r="W90">
        <f>'Pretax Fuel Prices'!V91+'Fuel Taxes'!W91</f>
        <v>0</v>
      </c>
      <c r="X90">
        <f>'Pretax Fuel Prices'!W91+'Fuel Taxes'!X91</f>
        <v>0</v>
      </c>
      <c r="Y90">
        <f>'Pretax Fuel Prices'!X91+'Fuel Taxes'!Y91</f>
        <v>0</v>
      </c>
      <c r="Z90">
        <f>'Pretax Fuel Prices'!Y91+'Fuel Taxes'!Z91</f>
        <v>0</v>
      </c>
      <c r="AA90">
        <f>'Pretax Fuel Prices'!Z91+'Fuel Taxes'!AA91</f>
        <v>0</v>
      </c>
      <c r="AB90">
        <f>'Pretax Fuel Prices'!AA91+'Fuel Taxes'!AB91</f>
        <v>0</v>
      </c>
      <c r="AC90">
        <f>'Pretax Fuel Prices'!AB91+'Fuel Taxes'!AC91</f>
        <v>0</v>
      </c>
      <c r="AD90">
        <f>'Pretax Fuel Prices'!AC91+'Fuel Taxes'!AD91</f>
        <v>0</v>
      </c>
      <c r="AE90">
        <f>'Pretax Fuel Prices'!AD91+'Fuel Taxes'!AE91</f>
        <v>0</v>
      </c>
    </row>
    <row r="91" spans="1:31" s="3" customFormat="1" x14ac:dyDescent="0.75">
      <c r="A91" s="5" t="s">
        <v>39</v>
      </c>
    </row>
    <row r="92" spans="1:31" x14ac:dyDescent="0.75">
      <c r="A92" t="s">
        <v>30</v>
      </c>
      <c r="B92">
        <f>'Fuel Taxes'!B$1</f>
        <v>2021</v>
      </c>
      <c r="C92">
        <f>'Fuel Taxes'!C$1</f>
        <v>2022</v>
      </c>
      <c r="D92">
        <f>'Fuel Taxes'!D$1</f>
        <v>2023</v>
      </c>
      <c r="E92">
        <f>'Fuel Taxes'!E$1</f>
        <v>2024</v>
      </c>
      <c r="F92">
        <f>'Fuel Taxes'!F$1</f>
        <v>2025</v>
      </c>
      <c r="G92">
        <f>'Fuel Taxes'!G$1</f>
        <v>2026</v>
      </c>
      <c r="H92">
        <f>'Fuel Taxes'!H$1</f>
        <v>2027</v>
      </c>
      <c r="I92">
        <f>'Fuel Taxes'!I$1</f>
        <v>2028</v>
      </c>
      <c r="J92">
        <f>'Fuel Taxes'!J$1</f>
        <v>2029</v>
      </c>
      <c r="K92">
        <f>'Fuel Taxes'!K$1</f>
        <v>2030</v>
      </c>
      <c r="L92">
        <f>'Fuel Taxes'!L$1</f>
        <v>2031</v>
      </c>
      <c r="M92">
        <f>'Fuel Taxes'!M$1</f>
        <v>2032</v>
      </c>
      <c r="N92">
        <f>'Fuel Taxes'!N$1</f>
        <v>2033</v>
      </c>
      <c r="O92">
        <f>'Fuel Taxes'!O$1</f>
        <v>2034</v>
      </c>
      <c r="P92">
        <f>'Fuel Taxes'!P$1</f>
        <v>2035</v>
      </c>
      <c r="Q92">
        <f>'Fuel Taxes'!Q$1</f>
        <v>2036</v>
      </c>
      <c r="R92">
        <f>'Fuel Taxes'!R$1</f>
        <v>2037</v>
      </c>
      <c r="S92">
        <f>'Fuel Taxes'!S$1</f>
        <v>2038</v>
      </c>
      <c r="T92">
        <f>'Fuel Taxes'!T$1</f>
        <v>2039</v>
      </c>
      <c r="U92">
        <f>'Fuel Taxes'!U$1</f>
        <v>2040</v>
      </c>
      <c r="V92">
        <f>'Fuel Taxes'!V$1</f>
        <v>2041</v>
      </c>
      <c r="W92">
        <f>'Fuel Taxes'!W$1</f>
        <v>2042</v>
      </c>
      <c r="X92">
        <f>'Fuel Taxes'!X$1</f>
        <v>2043</v>
      </c>
      <c r="Y92">
        <f>'Fuel Taxes'!Y$1</f>
        <v>2044</v>
      </c>
      <c r="Z92">
        <f>'Fuel Taxes'!Z$1</f>
        <v>2045</v>
      </c>
      <c r="AA92">
        <f>'Fuel Taxes'!AA$1</f>
        <v>2046</v>
      </c>
      <c r="AB92">
        <f>'Fuel Taxes'!AB$1</f>
        <v>2047</v>
      </c>
      <c r="AC92">
        <f>'Fuel Taxes'!AC$1</f>
        <v>2048</v>
      </c>
      <c r="AD92">
        <f>'Fuel Taxes'!AD$1</f>
        <v>2049</v>
      </c>
      <c r="AE92">
        <f>'Fuel Taxes'!AE$1</f>
        <v>2050</v>
      </c>
    </row>
    <row r="93" spans="1:31" x14ac:dyDescent="0.75">
      <c r="A93" t="s">
        <v>52</v>
      </c>
      <c r="B93">
        <f>'Pretax Fuel Prices'!B94+'Fuel Taxes'!B94</f>
        <v>0</v>
      </c>
      <c r="C93">
        <f>'Pretax Fuel Prices'!C94+'Fuel Taxes'!C94</f>
        <v>0</v>
      </c>
      <c r="D93">
        <f>'Pretax Fuel Prices'!C94+'Fuel Taxes'!D94</f>
        <v>0</v>
      </c>
      <c r="E93">
        <f>'Pretax Fuel Prices'!D94+'Fuel Taxes'!E94</f>
        <v>0</v>
      </c>
      <c r="F93">
        <f>'Pretax Fuel Prices'!E94+'Fuel Taxes'!F94</f>
        <v>0</v>
      </c>
      <c r="G93">
        <f>'Pretax Fuel Prices'!F94+'Fuel Taxes'!G94</f>
        <v>0</v>
      </c>
      <c r="H93">
        <f>'Pretax Fuel Prices'!G94+'Fuel Taxes'!H94</f>
        <v>0</v>
      </c>
      <c r="I93">
        <f>'Pretax Fuel Prices'!H94+'Fuel Taxes'!I94</f>
        <v>0</v>
      </c>
      <c r="J93">
        <f>'Pretax Fuel Prices'!I94+'Fuel Taxes'!J94</f>
        <v>0</v>
      </c>
      <c r="K93">
        <f>'Pretax Fuel Prices'!J94+'Fuel Taxes'!K94</f>
        <v>0</v>
      </c>
      <c r="L93">
        <f>'Pretax Fuel Prices'!K94+'Fuel Taxes'!L94</f>
        <v>0</v>
      </c>
      <c r="M93">
        <f>'Pretax Fuel Prices'!L94+'Fuel Taxes'!M94</f>
        <v>0</v>
      </c>
      <c r="N93">
        <f>'Pretax Fuel Prices'!M94+'Fuel Taxes'!N94</f>
        <v>0</v>
      </c>
      <c r="O93">
        <f>'Pretax Fuel Prices'!N94+'Fuel Taxes'!O94</f>
        <v>0</v>
      </c>
      <c r="P93">
        <f>'Pretax Fuel Prices'!O94+'Fuel Taxes'!P94</f>
        <v>0</v>
      </c>
      <c r="Q93">
        <f>'Pretax Fuel Prices'!P94+'Fuel Taxes'!Q94</f>
        <v>0</v>
      </c>
      <c r="R93">
        <f>'Pretax Fuel Prices'!Q94+'Fuel Taxes'!R94</f>
        <v>0</v>
      </c>
      <c r="S93">
        <f>'Pretax Fuel Prices'!R94+'Fuel Taxes'!S94</f>
        <v>0</v>
      </c>
      <c r="T93">
        <f>'Pretax Fuel Prices'!S94+'Fuel Taxes'!T94</f>
        <v>0</v>
      </c>
      <c r="U93">
        <f>'Pretax Fuel Prices'!T94+'Fuel Taxes'!U94</f>
        <v>0</v>
      </c>
      <c r="V93">
        <f>'Pretax Fuel Prices'!U94+'Fuel Taxes'!V94</f>
        <v>0</v>
      </c>
      <c r="W93">
        <f>'Pretax Fuel Prices'!V94+'Fuel Taxes'!W94</f>
        <v>0</v>
      </c>
      <c r="X93">
        <f>'Pretax Fuel Prices'!W94+'Fuel Taxes'!X94</f>
        <v>0</v>
      </c>
      <c r="Y93">
        <f>'Pretax Fuel Prices'!X94+'Fuel Taxes'!Y94</f>
        <v>0</v>
      </c>
      <c r="Z93">
        <f>'Pretax Fuel Prices'!Y94+'Fuel Taxes'!Z94</f>
        <v>0</v>
      </c>
      <c r="AA93">
        <f>'Pretax Fuel Prices'!Z94+'Fuel Taxes'!AA94</f>
        <v>0</v>
      </c>
      <c r="AB93">
        <f>'Pretax Fuel Prices'!AA94+'Fuel Taxes'!AB94</f>
        <v>0</v>
      </c>
      <c r="AC93">
        <f>'Pretax Fuel Prices'!AB94+'Fuel Taxes'!AC94</f>
        <v>0</v>
      </c>
      <c r="AD93">
        <f>'Pretax Fuel Prices'!AC94+'Fuel Taxes'!AD94</f>
        <v>0</v>
      </c>
      <c r="AE93">
        <f>'Pretax Fuel Prices'!AD94+'Fuel Taxes'!AE94</f>
        <v>0</v>
      </c>
    </row>
    <row r="94" spans="1:31" x14ac:dyDescent="0.75">
      <c r="A94" t="s">
        <v>53</v>
      </c>
      <c r="B94">
        <f>'Pretax Fuel Prices'!B95+'Fuel Taxes'!B95</f>
        <v>1.5445041017719864E-6</v>
      </c>
      <c r="C94">
        <f>'Pretax Fuel Prices'!C95+'Fuel Taxes'!C95</f>
        <v>1.7127838346590252E-6</v>
      </c>
      <c r="D94">
        <f>'Pretax Fuel Prices'!C95+'Fuel Taxes'!D95</f>
        <v>1.7221210359855209E-6</v>
      </c>
      <c r="E94">
        <f>'Pretax Fuel Prices'!D95+'Fuel Taxes'!E95</f>
        <v>1.8374644191137425E-6</v>
      </c>
      <c r="F94">
        <f>'Pretax Fuel Prices'!E95+'Fuel Taxes'!F95</f>
        <v>1.6620516832251095E-6</v>
      </c>
      <c r="G94">
        <f>'Pretax Fuel Prices'!F95+'Fuel Taxes'!G95</f>
        <v>1.6297351346450901E-6</v>
      </c>
      <c r="H94">
        <f>'Pretax Fuel Prices'!G95+'Fuel Taxes'!H95</f>
        <v>1.6137907764955368E-6</v>
      </c>
      <c r="I94">
        <f>'Pretax Fuel Prices'!H95+'Fuel Taxes'!I95</f>
        <v>1.5628402881859516E-6</v>
      </c>
      <c r="J94">
        <f>'Pretax Fuel Prices'!I95+'Fuel Taxes'!J95</f>
        <v>1.5002738319221217E-6</v>
      </c>
      <c r="K94">
        <f>'Pretax Fuel Prices'!J95+'Fuel Taxes'!K95</f>
        <v>1.5013850361204973E-6</v>
      </c>
      <c r="L94">
        <f>'Pretax Fuel Prices'!K95+'Fuel Taxes'!L95</f>
        <v>1.5132915339285828E-6</v>
      </c>
      <c r="M94">
        <f>'Pretax Fuel Prices'!L95+'Fuel Taxes'!M95</f>
        <v>1.4913344727133914E-6</v>
      </c>
      <c r="N94">
        <f>'Pretax Fuel Prices'!M95+'Fuel Taxes'!N95</f>
        <v>1.4482914968308263E-6</v>
      </c>
      <c r="O94">
        <f>'Pretax Fuel Prices'!N95+'Fuel Taxes'!O95</f>
        <v>1.4500790918372014E-6</v>
      </c>
      <c r="P94">
        <f>'Pretax Fuel Prices'!O95+'Fuel Taxes'!P95</f>
        <v>1.4407509402267837E-6</v>
      </c>
      <c r="Q94">
        <f>'Pretax Fuel Prices'!P95+'Fuel Taxes'!Q95</f>
        <v>1.4322709400924234E-6</v>
      </c>
      <c r="R94">
        <f>'Pretax Fuel Prices'!Q95+'Fuel Taxes'!R95</f>
        <v>1.4337031255213601E-6</v>
      </c>
      <c r="S94">
        <f>'Pretax Fuel Prices'!R95+'Fuel Taxes'!S95</f>
        <v>1.452919713844553E-6</v>
      </c>
      <c r="T94">
        <f>'Pretax Fuel Prices'!S95+'Fuel Taxes'!T95</f>
        <v>1.4530892318119488E-6</v>
      </c>
      <c r="U94">
        <f>'Pretax Fuel Prices'!T95+'Fuel Taxes'!U95</f>
        <v>1.4915690399242801E-6</v>
      </c>
      <c r="V94">
        <f>'Pretax Fuel Prices'!U95+'Fuel Taxes'!V95</f>
        <v>1.489581686477616E-6</v>
      </c>
      <c r="W94">
        <f>'Pretax Fuel Prices'!V95+'Fuel Taxes'!W95</f>
        <v>1.4877925832711122E-6</v>
      </c>
      <c r="X94">
        <f>'Pretax Fuel Prices'!W95+'Fuel Taxes'!X95</f>
        <v>1.486909997664709E-6</v>
      </c>
      <c r="Y94">
        <f>'Pretax Fuel Prices'!X95+'Fuel Taxes'!Y95</f>
        <v>1.4874034689229976E-6</v>
      </c>
      <c r="Z94">
        <f>'Pretax Fuel Prices'!Y95+'Fuel Taxes'!Z95</f>
        <v>1.4867296819611517E-6</v>
      </c>
      <c r="AA94">
        <f>'Pretax Fuel Prices'!Z95+'Fuel Taxes'!AA95</f>
        <v>1.4656607661936578E-6</v>
      </c>
      <c r="AB94">
        <f>'Pretax Fuel Prices'!AA95+'Fuel Taxes'!AB95</f>
        <v>1.2854643755966856E-6</v>
      </c>
      <c r="AC94">
        <f>'Pretax Fuel Prices'!AB95+'Fuel Taxes'!AC95</f>
        <v>1.4678095825209602E-6</v>
      </c>
      <c r="AD94">
        <f>'Pretax Fuel Prices'!AC95+'Fuel Taxes'!AD95</f>
        <v>1.4684841476806566E-6</v>
      </c>
      <c r="AE94">
        <f>'Pretax Fuel Prices'!AD95+'Fuel Taxes'!AE95</f>
        <v>1.4792204544073433E-6</v>
      </c>
    </row>
    <row r="95" spans="1:31" x14ac:dyDescent="0.75">
      <c r="A95" t="s">
        <v>54</v>
      </c>
      <c r="B95">
        <f>'Pretax Fuel Prices'!B96+'Fuel Taxes'!B96</f>
        <v>0</v>
      </c>
      <c r="C95">
        <f>'Pretax Fuel Prices'!C96+'Fuel Taxes'!C96</f>
        <v>0</v>
      </c>
      <c r="D95">
        <f>'Pretax Fuel Prices'!C96+'Fuel Taxes'!D96</f>
        <v>0</v>
      </c>
      <c r="E95">
        <f>'Pretax Fuel Prices'!D96+'Fuel Taxes'!E96</f>
        <v>0</v>
      </c>
      <c r="F95">
        <f>'Pretax Fuel Prices'!E96+'Fuel Taxes'!F96</f>
        <v>0</v>
      </c>
      <c r="G95">
        <f>'Pretax Fuel Prices'!F96+'Fuel Taxes'!G96</f>
        <v>0</v>
      </c>
      <c r="H95">
        <f>'Pretax Fuel Prices'!G96+'Fuel Taxes'!H96</f>
        <v>0</v>
      </c>
      <c r="I95">
        <f>'Pretax Fuel Prices'!H96+'Fuel Taxes'!I96</f>
        <v>0</v>
      </c>
      <c r="J95">
        <f>'Pretax Fuel Prices'!I96+'Fuel Taxes'!J96</f>
        <v>0</v>
      </c>
      <c r="K95">
        <f>'Pretax Fuel Prices'!J96+'Fuel Taxes'!K96</f>
        <v>0</v>
      </c>
      <c r="L95">
        <f>'Pretax Fuel Prices'!K96+'Fuel Taxes'!L96</f>
        <v>0</v>
      </c>
      <c r="M95">
        <f>'Pretax Fuel Prices'!L96+'Fuel Taxes'!M96</f>
        <v>0</v>
      </c>
      <c r="N95">
        <f>'Pretax Fuel Prices'!M96+'Fuel Taxes'!N96</f>
        <v>0</v>
      </c>
      <c r="O95">
        <f>'Pretax Fuel Prices'!N96+'Fuel Taxes'!O96</f>
        <v>0</v>
      </c>
      <c r="P95">
        <f>'Pretax Fuel Prices'!O96+'Fuel Taxes'!P96</f>
        <v>0</v>
      </c>
      <c r="Q95">
        <f>'Pretax Fuel Prices'!P96+'Fuel Taxes'!Q96</f>
        <v>0</v>
      </c>
      <c r="R95">
        <f>'Pretax Fuel Prices'!Q96+'Fuel Taxes'!R96</f>
        <v>0</v>
      </c>
      <c r="S95">
        <f>'Pretax Fuel Prices'!R96+'Fuel Taxes'!S96</f>
        <v>0</v>
      </c>
      <c r="T95">
        <f>'Pretax Fuel Prices'!S96+'Fuel Taxes'!T96</f>
        <v>0</v>
      </c>
      <c r="U95">
        <f>'Pretax Fuel Prices'!T96+'Fuel Taxes'!U96</f>
        <v>0</v>
      </c>
      <c r="V95">
        <f>'Pretax Fuel Prices'!U96+'Fuel Taxes'!V96</f>
        <v>0</v>
      </c>
      <c r="W95">
        <f>'Pretax Fuel Prices'!V96+'Fuel Taxes'!W96</f>
        <v>0</v>
      </c>
      <c r="X95">
        <f>'Pretax Fuel Prices'!W96+'Fuel Taxes'!X96</f>
        <v>0</v>
      </c>
      <c r="Y95">
        <f>'Pretax Fuel Prices'!X96+'Fuel Taxes'!Y96</f>
        <v>0</v>
      </c>
      <c r="Z95">
        <f>'Pretax Fuel Prices'!Y96+'Fuel Taxes'!Z96</f>
        <v>0</v>
      </c>
      <c r="AA95">
        <f>'Pretax Fuel Prices'!Z96+'Fuel Taxes'!AA96</f>
        <v>0</v>
      </c>
      <c r="AB95">
        <f>'Pretax Fuel Prices'!AA96+'Fuel Taxes'!AB96</f>
        <v>0</v>
      </c>
      <c r="AC95">
        <f>'Pretax Fuel Prices'!AB96+'Fuel Taxes'!AC96</f>
        <v>0</v>
      </c>
      <c r="AD95">
        <f>'Pretax Fuel Prices'!AC96+'Fuel Taxes'!AD96</f>
        <v>0</v>
      </c>
      <c r="AE95">
        <f>'Pretax Fuel Prices'!AD96+'Fuel Taxes'!AE96</f>
        <v>0</v>
      </c>
    </row>
    <row r="96" spans="1:31" x14ac:dyDescent="0.75">
      <c r="A96" t="s">
        <v>55</v>
      </c>
      <c r="B96">
        <f>'Pretax Fuel Prices'!B97+'Fuel Taxes'!B97</f>
        <v>0</v>
      </c>
      <c r="C96">
        <f>'Pretax Fuel Prices'!C97+'Fuel Taxes'!C97</f>
        <v>0</v>
      </c>
      <c r="D96">
        <f>'Pretax Fuel Prices'!C97+'Fuel Taxes'!D97</f>
        <v>0</v>
      </c>
      <c r="E96">
        <f>'Pretax Fuel Prices'!D97+'Fuel Taxes'!E97</f>
        <v>0</v>
      </c>
      <c r="F96">
        <f>'Pretax Fuel Prices'!E97+'Fuel Taxes'!F97</f>
        <v>0</v>
      </c>
      <c r="G96">
        <f>'Pretax Fuel Prices'!F97+'Fuel Taxes'!G97</f>
        <v>0</v>
      </c>
      <c r="H96">
        <f>'Pretax Fuel Prices'!G97+'Fuel Taxes'!H97</f>
        <v>0</v>
      </c>
      <c r="I96">
        <f>'Pretax Fuel Prices'!H97+'Fuel Taxes'!I97</f>
        <v>0</v>
      </c>
      <c r="J96">
        <f>'Pretax Fuel Prices'!I97+'Fuel Taxes'!J97</f>
        <v>0</v>
      </c>
      <c r="K96">
        <f>'Pretax Fuel Prices'!J97+'Fuel Taxes'!K97</f>
        <v>0</v>
      </c>
      <c r="L96">
        <f>'Pretax Fuel Prices'!K97+'Fuel Taxes'!L97</f>
        <v>0</v>
      </c>
      <c r="M96">
        <f>'Pretax Fuel Prices'!L97+'Fuel Taxes'!M97</f>
        <v>0</v>
      </c>
      <c r="N96">
        <f>'Pretax Fuel Prices'!M97+'Fuel Taxes'!N97</f>
        <v>0</v>
      </c>
      <c r="O96">
        <f>'Pretax Fuel Prices'!N97+'Fuel Taxes'!O97</f>
        <v>0</v>
      </c>
      <c r="P96">
        <f>'Pretax Fuel Prices'!O97+'Fuel Taxes'!P97</f>
        <v>0</v>
      </c>
      <c r="Q96">
        <f>'Pretax Fuel Prices'!P97+'Fuel Taxes'!Q97</f>
        <v>0</v>
      </c>
      <c r="R96">
        <f>'Pretax Fuel Prices'!Q97+'Fuel Taxes'!R97</f>
        <v>0</v>
      </c>
      <c r="S96">
        <f>'Pretax Fuel Prices'!R97+'Fuel Taxes'!S97</f>
        <v>0</v>
      </c>
      <c r="T96">
        <f>'Pretax Fuel Prices'!S97+'Fuel Taxes'!T97</f>
        <v>0</v>
      </c>
      <c r="U96">
        <f>'Pretax Fuel Prices'!T97+'Fuel Taxes'!U97</f>
        <v>0</v>
      </c>
      <c r="V96">
        <f>'Pretax Fuel Prices'!U97+'Fuel Taxes'!V97</f>
        <v>0</v>
      </c>
      <c r="W96">
        <f>'Pretax Fuel Prices'!V97+'Fuel Taxes'!W97</f>
        <v>0</v>
      </c>
      <c r="X96">
        <f>'Pretax Fuel Prices'!W97+'Fuel Taxes'!X97</f>
        <v>0</v>
      </c>
      <c r="Y96">
        <f>'Pretax Fuel Prices'!X97+'Fuel Taxes'!Y97</f>
        <v>0</v>
      </c>
      <c r="Z96">
        <f>'Pretax Fuel Prices'!Y97+'Fuel Taxes'!Z97</f>
        <v>0</v>
      </c>
      <c r="AA96">
        <f>'Pretax Fuel Prices'!Z97+'Fuel Taxes'!AA97</f>
        <v>0</v>
      </c>
      <c r="AB96">
        <f>'Pretax Fuel Prices'!AA97+'Fuel Taxes'!AB97</f>
        <v>0</v>
      </c>
      <c r="AC96">
        <f>'Pretax Fuel Prices'!AB97+'Fuel Taxes'!AC97</f>
        <v>0</v>
      </c>
      <c r="AD96">
        <f>'Pretax Fuel Prices'!AC97+'Fuel Taxes'!AD97</f>
        <v>0</v>
      </c>
      <c r="AE96">
        <f>'Pretax Fuel Prices'!AD97+'Fuel Taxes'!AE97</f>
        <v>0</v>
      </c>
    </row>
    <row r="97" spans="1:31" x14ac:dyDescent="0.75">
      <c r="A97" t="s">
        <v>56</v>
      </c>
      <c r="B97">
        <f>'Pretax Fuel Prices'!B98+'Fuel Taxes'!B98</f>
        <v>0</v>
      </c>
      <c r="C97">
        <f>'Pretax Fuel Prices'!C98+'Fuel Taxes'!C98</f>
        <v>0</v>
      </c>
      <c r="D97">
        <f>'Pretax Fuel Prices'!C98+'Fuel Taxes'!D98</f>
        <v>0</v>
      </c>
      <c r="E97">
        <f>'Pretax Fuel Prices'!D98+'Fuel Taxes'!E98</f>
        <v>0</v>
      </c>
      <c r="F97">
        <f>'Pretax Fuel Prices'!E98+'Fuel Taxes'!F98</f>
        <v>0</v>
      </c>
      <c r="G97">
        <f>'Pretax Fuel Prices'!F98+'Fuel Taxes'!G98</f>
        <v>0</v>
      </c>
      <c r="H97">
        <f>'Pretax Fuel Prices'!G98+'Fuel Taxes'!H98</f>
        <v>0</v>
      </c>
      <c r="I97">
        <f>'Pretax Fuel Prices'!H98+'Fuel Taxes'!I98</f>
        <v>0</v>
      </c>
      <c r="J97">
        <f>'Pretax Fuel Prices'!I98+'Fuel Taxes'!J98</f>
        <v>0</v>
      </c>
      <c r="K97">
        <f>'Pretax Fuel Prices'!J98+'Fuel Taxes'!K98</f>
        <v>0</v>
      </c>
      <c r="L97">
        <f>'Pretax Fuel Prices'!K98+'Fuel Taxes'!L98</f>
        <v>0</v>
      </c>
      <c r="M97">
        <f>'Pretax Fuel Prices'!L98+'Fuel Taxes'!M98</f>
        <v>0</v>
      </c>
      <c r="N97">
        <f>'Pretax Fuel Prices'!M98+'Fuel Taxes'!N98</f>
        <v>0</v>
      </c>
      <c r="O97">
        <f>'Pretax Fuel Prices'!N98+'Fuel Taxes'!O98</f>
        <v>0</v>
      </c>
      <c r="P97">
        <f>'Pretax Fuel Prices'!O98+'Fuel Taxes'!P98</f>
        <v>0</v>
      </c>
      <c r="Q97">
        <f>'Pretax Fuel Prices'!P98+'Fuel Taxes'!Q98</f>
        <v>0</v>
      </c>
      <c r="R97">
        <f>'Pretax Fuel Prices'!Q98+'Fuel Taxes'!R98</f>
        <v>0</v>
      </c>
      <c r="S97">
        <f>'Pretax Fuel Prices'!R98+'Fuel Taxes'!S98</f>
        <v>0</v>
      </c>
      <c r="T97">
        <f>'Pretax Fuel Prices'!S98+'Fuel Taxes'!T98</f>
        <v>0</v>
      </c>
      <c r="U97">
        <f>'Pretax Fuel Prices'!T98+'Fuel Taxes'!U98</f>
        <v>0</v>
      </c>
      <c r="V97">
        <f>'Pretax Fuel Prices'!U98+'Fuel Taxes'!V98</f>
        <v>0</v>
      </c>
      <c r="W97">
        <f>'Pretax Fuel Prices'!V98+'Fuel Taxes'!W98</f>
        <v>0</v>
      </c>
      <c r="X97">
        <f>'Pretax Fuel Prices'!W98+'Fuel Taxes'!X98</f>
        <v>0</v>
      </c>
      <c r="Y97">
        <f>'Pretax Fuel Prices'!X98+'Fuel Taxes'!Y98</f>
        <v>0</v>
      </c>
      <c r="Z97">
        <f>'Pretax Fuel Prices'!Y98+'Fuel Taxes'!Z98</f>
        <v>0</v>
      </c>
      <c r="AA97">
        <f>'Pretax Fuel Prices'!Z98+'Fuel Taxes'!AA98</f>
        <v>0</v>
      </c>
      <c r="AB97">
        <f>'Pretax Fuel Prices'!AA98+'Fuel Taxes'!AB98</f>
        <v>0</v>
      </c>
      <c r="AC97">
        <f>'Pretax Fuel Prices'!AB98+'Fuel Taxes'!AC98</f>
        <v>0</v>
      </c>
      <c r="AD97">
        <f>'Pretax Fuel Prices'!AC98+'Fuel Taxes'!AD98</f>
        <v>0</v>
      </c>
      <c r="AE97">
        <f>'Pretax Fuel Prices'!AD98+'Fuel Taxes'!AE98</f>
        <v>0</v>
      </c>
    </row>
    <row r="98" spans="1:31" x14ac:dyDescent="0.75">
      <c r="A98" t="s">
        <v>57</v>
      </c>
      <c r="B98">
        <f>'Pretax Fuel Prices'!B99+'Fuel Taxes'!B99</f>
        <v>0</v>
      </c>
      <c r="C98">
        <f>'Pretax Fuel Prices'!C99+'Fuel Taxes'!C99</f>
        <v>0</v>
      </c>
      <c r="D98">
        <f>'Pretax Fuel Prices'!C99+'Fuel Taxes'!D99</f>
        <v>0</v>
      </c>
      <c r="E98">
        <f>'Pretax Fuel Prices'!D99+'Fuel Taxes'!E99</f>
        <v>0</v>
      </c>
      <c r="F98">
        <f>'Pretax Fuel Prices'!E99+'Fuel Taxes'!F99</f>
        <v>0</v>
      </c>
      <c r="G98">
        <f>'Pretax Fuel Prices'!F99+'Fuel Taxes'!G99</f>
        <v>0</v>
      </c>
      <c r="H98">
        <f>'Pretax Fuel Prices'!G99+'Fuel Taxes'!H99</f>
        <v>0</v>
      </c>
      <c r="I98">
        <f>'Pretax Fuel Prices'!H99+'Fuel Taxes'!I99</f>
        <v>0</v>
      </c>
      <c r="J98">
        <f>'Pretax Fuel Prices'!I99+'Fuel Taxes'!J99</f>
        <v>0</v>
      </c>
      <c r="K98">
        <f>'Pretax Fuel Prices'!J99+'Fuel Taxes'!K99</f>
        <v>0</v>
      </c>
      <c r="L98">
        <f>'Pretax Fuel Prices'!K99+'Fuel Taxes'!L99</f>
        <v>0</v>
      </c>
      <c r="M98">
        <f>'Pretax Fuel Prices'!L99+'Fuel Taxes'!M99</f>
        <v>0</v>
      </c>
      <c r="N98">
        <f>'Pretax Fuel Prices'!M99+'Fuel Taxes'!N99</f>
        <v>0</v>
      </c>
      <c r="O98">
        <f>'Pretax Fuel Prices'!N99+'Fuel Taxes'!O99</f>
        <v>0</v>
      </c>
      <c r="P98">
        <f>'Pretax Fuel Prices'!O99+'Fuel Taxes'!P99</f>
        <v>0</v>
      </c>
      <c r="Q98">
        <f>'Pretax Fuel Prices'!P99+'Fuel Taxes'!Q99</f>
        <v>0</v>
      </c>
      <c r="R98">
        <f>'Pretax Fuel Prices'!Q99+'Fuel Taxes'!R99</f>
        <v>0</v>
      </c>
      <c r="S98">
        <f>'Pretax Fuel Prices'!R99+'Fuel Taxes'!S99</f>
        <v>0</v>
      </c>
      <c r="T98">
        <f>'Pretax Fuel Prices'!S99+'Fuel Taxes'!T99</f>
        <v>0</v>
      </c>
      <c r="U98">
        <f>'Pretax Fuel Prices'!T99+'Fuel Taxes'!U99</f>
        <v>0</v>
      </c>
      <c r="V98">
        <f>'Pretax Fuel Prices'!U99+'Fuel Taxes'!V99</f>
        <v>0</v>
      </c>
      <c r="W98">
        <f>'Pretax Fuel Prices'!V99+'Fuel Taxes'!W99</f>
        <v>0</v>
      </c>
      <c r="X98">
        <f>'Pretax Fuel Prices'!W99+'Fuel Taxes'!X99</f>
        <v>0</v>
      </c>
      <c r="Y98">
        <f>'Pretax Fuel Prices'!X99+'Fuel Taxes'!Y99</f>
        <v>0</v>
      </c>
      <c r="Z98">
        <f>'Pretax Fuel Prices'!Y99+'Fuel Taxes'!Z99</f>
        <v>0</v>
      </c>
      <c r="AA98">
        <f>'Pretax Fuel Prices'!Z99+'Fuel Taxes'!AA99</f>
        <v>0</v>
      </c>
      <c r="AB98">
        <f>'Pretax Fuel Prices'!AA99+'Fuel Taxes'!AB99</f>
        <v>0</v>
      </c>
      <c r="AC98">
        <f>'Pretax Fuel Prices'!AB99+'Fuel Taxes'!AC99</f>
        <v>0</v>
      </c>
      <c r="AD98">
        <f>'Pretax Fuel Prices'!AC99+'Fuel Taxes'!AD99</f>
        <v>0</v>
      </c>
      <c r="AE98">
        <f>'Pretax Fuel Prices'!AD99+'Fuel Taxes'!AE99</f>
        <v>0</v>
      </c>
    </row>
    <row r="99" spans="1:31" x14ac:dyDescent="0.75">
      <c r="A99" t="s">
        <v>58</v>
      </c>
      <c r="B99">
        <f>'Pretax Fuel Prices'!B100+'Fuel Taxes'!B100</f>
        <v>0</v>
      </c>
      <c r="C99">
        <f>'Pretax Fuel Prices'!C100+'Fuel Taxes'!C100</f>
        <v>0</v>
      </c>
      <c r="D99">
        <f>'Pretax Fuel Prices'!C100+'Fuel Taxes'!D100</f>
        <v>0</v>
      </c>
      <c r="E99">
        <f>'Pretax Fuel Prices'!D100+'Fuel Taxes'!E100</f>
        <v>0</v>
      </c>
      <c r="F99">
        <f>'Pretax Fuel Prices'!E100+'Fuel Taxes'!F100</f>
        <v>0</v>
      </c>
      <c r="G99">
        <f>'Pretax Fuel Prices'!F100+'Fuel Taxes'!G100</f>
        <v>0</v>
      </c>
      <c r="H99">
        <f>'Pretax Fuel Prices'!G100+'Fuel Taxes'!H100</f>
        <v>0</v>
      </c>
      <c r="I99">
        <f>'Pretax Fuel Prices'!H100+'Fuel Taxes'!I100</f>
        <v>0</v>
      </c>
      <c r="J99">
        <f>'Pretax Fuel Prices'!I100+'Fuel Taxes'!J100</f>
        <v>0</v>
      </c>
      <c r="K99">
        <f>'Pretax Fuel Prices'!J100+'Fuel Taxes'!K100</f>
        <v>0</v>
      </c>
      <c r="L99">
        <f>'Pretax Fuel Prices'!K100+'Fuel Taxes'!L100</f>
        <v>0</v>
      </c>
      <c r="M99">
        <f>'Pretax Fuel Prices'!L100+'Fuel Taxes'!M100</f>
        <v>0</v>
      </c>
      <c r="N99">
        <f>'Pretax Fuel Prices'!M100+'Fuel Taxes'!N100</f>
        <v>0</v>
      </c>
      <c r="O99">
        <f>'Pretax Fuel Prices'!N100+'Fuel Taxes'!O100</f>
        <v>0</v>
      </c>
      <c r="P99">
        <f>'Pretax Fuel Prices'!O100+'Fuel Taxes'!P100</f>
        <v>0</v>
      </c>
      <c r="Q99">
        <f>'Pretax Fuel Prices'!P100+'Fuel Taxes'!Q100</f>
        <v>0</v>
      </c>
      <c r="R99">
        <f>'Pretax Fuel Prices'!Q100+'Fuel Taxes'!R100</f>
        <v>0</v>
      </c>
      <c r="S99">
        <f>'Pretax Fuel Prices'!R100+'Fuel Taxes'!S100</f>
        <v>0</v>
      </c>
      <c r="T99">
        <f>'Pretax Fuel Prices'!S100+'Fuel Taxes'!T100</f>
        <v>0</v>
      </c>
      <c r="U99">
        <f>'Pretax Fuel Prices'!T100+'Fuel Taxes'!U100</f>
        <v>0</v>
      </c>
      <c r="V99">
        <f>'Pretax Fuel Prices'!U100+'Fuel Taxes'!V100</f>
        <v>0</v>
      </c>
      <c r="W99">
        <f>'Pretax Fuel Prices'!V100+'Fuel Taxes'!W100</f>
        <v>0</v>
      </c>
      <c r="X99">
        <f>'Pretax Fuel Prices'!W100+'Fuel Taxes'!X100</f>
        <v>0</v>
      </c>
      <c r="Y99">
        <f>'Pretax Fuel Prices'!X100+'Fuel Taxes'!Y100</f>
        <v>0</v>
      </c>
      <c r="Z99">
        <f>'Pretax Fuel Prices'!Y100+'Fuel Taxes'!Z100</f>
        <v>0</v>
      </c>
      <c r="AA99">
        <f>'Pretax Fuel Prices'!Z100+'Fuel Taxes'!AA100</f>
        <v>0</v>
      </c>
      <c r="AB99">
        <f>'Pretax Fuel Prices'!AA100+'Fuel Taxes'!AB100</f>
        <v>0</v>
      </c>
      <c r="AC99">
        <f>'Pretax Fuel Prices'!AB100+'Fuel Taxes'!AC100</f>
        <v>0</v>
      </c>
      <c r="AD99">
        <f>'Pretax Fuel Prices'!AC100+'Fuel Taxes'!AD100</f>
        <v>0</v>
      </c>
      <c r="AE99">
        <f>'Pretax Fuel Prices'!AD100+'Fuel Taxes'!AE100</f>
        <v>0</v>
      </c>
    </row>
    <row r="100" spans="1:31" x14ac:dyDescent="0.75">
      <c r="A100" t="s">
        <v>59</v>
      </c>
      <c r="B100">
        <f>'Pretax Fuel Prices'!B101+'Fuel Taxes'!B101</f>
        <v>0</v>
      </c>
      <c r="C100">
        <f>'Pretax Fuel Prices'!C101+'Fuel Taxes'!C101</f>
        <v>0</v>
      </c>
      <c r="D100">
        <f>'Pretax Fuel Prices'!C101+'Fuel Taxes'!D101</f>
        <v>0</v>
      </c>
      <c r="E100">
        <f>'Pretax Fuel Prices'!D101+'Fuel Taxes'!E101</f>
        <v>0</v>
      </c>
      <c r="F100">
        <f>'Pretax Fuel Prices'!E101+'Fuel Taxes'!F101</f>
        <v>0</v>
      </c>
      <c r="G100">
        <f>'Pretax Fuel Prices'!F101+'Fuel Taxes'!G101</f>
        <v>0</v>
      </c>
      <c r="H100">
        <f>'Pretax Fuel Prices'!G101+'Fuel Taxes'!H101</f>
        <v>0</v>
      </c>
      <c r="I100">
        <f>'Pretax Fuel Prices'!H101+'Fuel Taxes'!I101</f>
        <v>0</v>
      </c>
      <c r="J100">
        <f>'Pretax Fuel Prices'!I101+'Fuel Taxes'!J101</f>
        <v>0</v>
      </c>
      <c r="K100">
        <f>'Pretax Fuel Prices'!J101+'Fuel Taxes'!K101</f>
        <v>0</v>
      </c>
      <c r="L100">
        <f>'Pretax Fuel Prices'!K101+'Fuel Taxes'!L101</f>
        <v>0</v>
      </c>
      <c r="M100">
        <f>'Pretax Fuel Prices'!L101+'Fuel Taxes'!M101</f>
        <v>0</v>
      </c>
      <c r="N100">
        <f>'Pretax Fuel Prices'!M101+'Fuel Taxes'!N101</f>
        <v>0</v>
      </c>
      <c r="O100">
        <f>'Pretax Fuel Prices'!N101+'Fuel Taxes'!O101</f>
        <v>0</v>
      </c>
      <c r="P100">
        <f>'Pretax Fuel Prices'!O101+'Fuel Taxes'!P101</f>
        <v>0</v>
      </c>
      <c r="Q100">
        <f>'Pretax Fuel Prices'!P101+'Fuel Taxes'!Q101</f>
        <v>0</v>
      </c>
      <c r="R100">
        <f>'Pretax Fuel Prices'!Q101+'Fuel Taxes'!R101</f>
        <v>0</v>
      </c>
      <c r="S100">
        <f>'Pretax Fuel Prices'!R101+'Fuel Taxes'!S101</f>
        <v>0</v>
      </c>
      <c r="T100">
        <f>'Pretax Fuel Prices'!S101+'Fuel Taxes'!T101</f>
        <v>0</v>
      </c>
      <c r="U100">
        <f>'Pretax Fuel Prices'!T101+'Fuel Taxes'!U101</f>
        <v>0</v>
      </c>
      <c r="V100">
        <f>'Pretax Fuel Prices'!U101+'Fuel Taxes'!V101</f>
        <v>0</v>
      </c>
      <c r="W100">
        <f>'Pretax Fuel Prices'!V101+'Fuel Taxes'!W101</f>
        <v>0</v>
      </c>
      <c r="X100">
        <f>'Pretax Fuel Prices'!W101+'Fuel Taxes'!X101</f>
        <v>0</v>
      </c>
      <c r="Y100">
        <f>'Pretax Fuel Prices'!X101+'Fuel Taxes'!Y101</f>
        <v>0</v>
      </c>
      <c r="Z100">
        <f>'Pretax Fuel Prices'!Y101+'Fuel Taxes'!Z101</f>
        <v>0</v>
      </c>
      <c r="AA100">
        <f>'Pretax Fuel Prices'!Z101+'Fuel Taxes'!AA101</f>
        <v>0</v>
      </c>
      <c r="AB100">
        <f>'Pretax Fuel Prices'!AA101+'Fuel Taxes'!AB101</f>
        <v>0</v>
      </c>
      <c r="AC100">
        <f>'Pretax Fuel Prices'!AB101+'Fuel Taxes'!AC101</f>
        <v>0</v>
      </c>
      <c r="AD100">
        <f>'Pretax Fuel Prices'!AC101+'Fuel Taxes'!AD101</f>
        <v>0</v>
      </c>
      <c r="AE100">
        <f>'Pretax Fuel Prices'!AD101+'Fuel Taxes'!AE101</f>
        <v>0</v>
      </c>
    </row>
    <row r="101" spans="1:31" s="3" customFormat="1" x14ac:dyDescent="0.75">
      <c r="A101" s="5" t="s">
        <v>46</v>
      </c>
    </row>
    <row r="102" spans="1:31" x14ac:dyDescent="0.75">
      <c r="A102" t="s">
        <v>30</v>
      </c>
      <c r="B102">
        <f>'Fuel Taxes'!B$1</f>
        <v>2021</v>
      </c>
      <c r="C102">
        <f>'Fuel Taxes'!C$1</f>
        <v>2022</v>
      </c>
      <c r="D102">
        <f>'Fuel Taxes'!D$1</f>
        <v>2023</v>
      </c>
      <c r="E102">
        <f>'Fuel Taxes'!E$1</f>
        <v>2024</v>
      </c>
      <c r="F102">
        <f>'Fuel Taxes'!F$1</f>
        <v>2025</v>
      </c>
      <c r="G102">
        <f>'Fuel Taxes'!G$1</f>
        <v>2026</v>
      </c>
      <c r="H102">
        <f>'Fuel Taxes'!H$1</f>
        <v>2027</v>
      </c>
      <c r="I102">
        <f>'Fuel Taxes'!I$1</f>
        <v>2028</v>
      </c>
      <c r="J102">
        <f>'Fuel Taxes'!J$1</f>
        <v>2029</v>
      </c>
      <c r="K102">
        <f>'Fuel Taxes'!K$1</f>
        <v>2030</v>
      </c>
      <c r="L102">
        <f>'Fuel Taxes'!L$1</f>
        <v>2031</v>
      </c>
      <c r="M102">
        <f>'Fuel Taxes'!M$1</f>
        <v>2032</v>
      </c>
      <c r="N102">
        <f>'Fuel Taxes'!N$1</f>
        <v>2033</v>
      </c>
      <c r="O102">
        <f>'Fuel Taxes'!O$1</f>
        <v>2034</v>
      </c>
      <c r="P102">
        <f>'Fuel Taxes'!P$1</f>
        <v>2035</v>
      </c>
      <c r="Q102">
        <f>'Fuel Taxes'!Q$1</f>
        <v>2036</v>
      </c>
      <c r="R102">
        <f>'Fuel Taxes'!R$1</f>
        <v>2037</v>
      </c>
      <c r="S102">
        <f>'Fuel Taxes'!S$1</f>
        <v>2038</v>
      </c>
      <c r="T102">
        <f>'Fuel Taxes'!T$1</f>
        <v>2039</v>
      </c>
      <c r="U102">
        <f>'Fuel Taxes'!U$1</f>
        <v>2040</v>
      </c>
      <c r="V102">
        <f>'Fuel Taxes'!V$1</f>
        <v>2041</v>
      </c>
      <c r="W102">
        <f>'Fuel Taxes'!W$1</f>
        <v>2042</v>
      </c>
      <c r="X102">
        <f>'Fuel Taxes'!X$1</f>
        <v>2043</v>
      </c>
      <c r="Y102">
        <f>'Fuel Taxes'!Y$1</f>
        <v>2044</v>
      </c>
      <c r="Z102">
        <f>'Fuel Taxes'!Z$1</f>
        <v>2045</v>
      </c>
      <c r="AA102">
        <f>'Fuel Taxes'!AA$1</f>
        <v>2046</v>
      </c>
      <c r="AB102">
        <f>'Fuel Taxes'!AB$1</f>
        <v>2047</v>
      </c>
      <c r="AC102">
        <f>'Fuel Taxes'!AC$1</f>
        <v>2048</v>
      </c>
      <c r="AD102">
        <f>'Fuel Taxes'!AD$1</f>
        <v>2049</v>
      </c>
      <c r="AE102">
        <f>'Fuel Taxes'!AE$1</f>
        <v>2050</v>
      </c>
    </row>
    <row r="103" spans="1:31" x14ac:dyDescent="0.75">
      <c r="A103" t="s">
        <v>52</v>
      </c>
      <c r="B103">
        <f>'Pretax Fuel Prices'!B104+'Fuel Taxes'!B104</f>
        <v>0</v>
      </c>
      <c r="C103">
        <f>'Pretax Fuel Prices'!C104+'Fuel Taxes'!C104</f>
        <v>0</v>
      </c>
      <c r="D103">
        <f>'Pretax Fuel Prices'!C104+'Fuel Taxes'!D104</f>
        <v>0</v>
      </c>
      <c r="E103">
        <f>'Pretax Fuel Prices'!D104+'Fuel Taxes'!E104</f>
        <v>0</v>
      </c>
      <c r="F103">
        <f>'Pretax Fuel Prices'!E104+'Fuel Taxes'!F104</f>
        <v>0</v>
      </c>
      <c r="G103">
        <f>'Pretax Fuel Prices'!F104+'Fuel Taxes'!G104</f>
        <v>0</v>
      </c>
      <c r="H103">
        <f>'Pretax Fuel Prices'!G104+'Fuel Taxes'!H104</f>
        <v>0</v>
      </c>
      <c r="I103">
        <f>'Pretax Fuel Prices'!H104+'Fuel Taxes'!I104</f>
        <v>0</v>
      </c>
      <c r="J103">
        <f>'Pretax Fuel Prices'!I104+'Fuel Taxes'!J104</f>
        <v>0</v>
      </c>
      <c r="K103">
        <f>'Pretax Fuel Prices'!J104+'Fuel Taxes'!K104</f>
        <v>0</v>
      </c>
      <c r="L103">
        <f>'Pretax Fuel Prices'!K104+'Fuel Taxes'!L104</f>
        <v>0</v>
      </c>
      <c r="M103">
        <f>'Pretax Fuel Prices'!L104+'Fuel Taxes'!M104</f>
        <v>0</v>
      </c>
      <c r="N103">
        <f>'Pretax Fuel Prices'!M104+'Fuel Taxes'!N104</f>
        <v>0</v>
      </c>
      <c r="O103">
        <f>'Pretax Fuel Prices'!N104+'Fuel Taxes'!O104</f>
        <v>0</v>
      </c>
      <c r="P103">
        <f>'Pretax Fuel Prices'!O104+'Fuel Taxes'!P104</f>
        <v>0</v>
      </c>
      <c r="Q103">
        <f>'Pretax Fuel Prices'!P104+'Fuel Taxes'!Q104</f>
        <v>0</v>
      </c>
      <c r="R103">
        <f>'Pretax Fuel Prices'!Q104+'Fuel Taxes'!R104</f>
        <v>0</v>
      </c>
      <c r="S103">
        <f>'Pretax Fuel Prices'!R104+'Fuel Taxes'!S104</f>
        <v>0</v>
      </c>
      <c r="T103">
        <f>'Pretax Fuel Prices'!S104+'Fuel Taxes'!T104</f>
        <v>0</v>
      </c>
      <c r="U103">
        <f>'Pretax Fuel Prices'!T104+'Fuel Taxes'!U104</f>
        <v>0</v>
      </c>
      <c r="V103">
        <f>'Pretax Fuel Prices'!U104+'Fuel Taxes'!V104</f>
        <v>0</v>
      </c>
      <c r="W103">
        <f>'Pretax Fuel Prices'!V104+'Fuel Taxes'!W104</f>
        <v>0</v>
      </c>
      <c r="X103">
        <f>'Pretax Fuel Prices'!W104+'Fuel Taxes'!X104</f>
        <v>0</v>
      </c>
      <c r="Y103">
        <f>'Pretax Fuel Prices'!X104+'Fuel Taxes'!Y104</f>
        <v>0</v>
      </c>
      <c r="Z103">
        <f>'Pretax Fuel Prices'!Y104+'Fuel Taxes'!Z104</f>
        <v>0</v>
      </c>
      <c r="AA103">
        <f>'Pretax Fuel Prices'!Z104+'Fuel Taxes'!AA104</f>
        <v>0</v>
      </c>
      <c r="AB103">
        <f>'Pretax Fuel Prices'!AA104+'Fuel Taxes'!AB104</f>
        <v>0</v>
      </c>
      <c r="AC103">
        <f>'Pretax Fuel Prices'!AB104+'Fuel Taxes'!AC104</f>
        <v>0</v>
      </c>
      <c r="AD103">
        <f>'Pretax Fuel Prices'!AC104+'Fuel Taxes'!AD104</f>
        <v>0</v>
      </c>
      <c r="AE103">
        <f>'Pretax Fuel Prices'!AD104+'Fuel Taxes'!AE104</f>
        <v>0</v>
      </c>
    </row>
    <row r="104" spans="1:31" x14ac:dyDescent="0.75">
      <c r="A104" t="s">
        <v>53</v>
      </c>
      <c r="B104">
        <f>'Pretax Fuel Prices'!B105+'Fuel Taxes'!B105</f>
        <v>1.010572034981499E-5</v>
      </c>
      <c r="C104">
        <f>'Pretax Fuel Prices'!C105+'Fuel Taxes'!C105</f>
        <v>1.4061485389252906E-5</v>
      </c>
      <c r="D104">
        <f>'Pretax Fuel Prices'!C105+'Fuel Taxes'!D105</f>
        <v>1.4061485389252906E-5</v>
      </c>
      <c r="E104">
        <f>'Pretax Fuel Prices'!D105+'Fuel Taxes'!E105</f>
        <v>1.0907244277281626E-5</v>
      </c>
      <c r="F104">
        <f>'Pretax Fuel Prices'!E105+'Fuel Taxes'!F105</f>
        <v>9.4884162761654525E-6</v>
      </c>
      <c r="G104">
        <f>'Pretax Fuel Prices'!F105+'Fuel Taxes'!G105</f>
        <v>8.2431736221717939E-6</v>
      </c>
      <c r="H104">
        <f>'Pretax Fuel Prices'!G105+'Fuel Taxes'!H105</f>
        <v>6.222373878434911E-6</v>
      </c>
      <c r="I104">
        <f>'Pretax Fuel Prices'!H105+'Fuel Taxes'!I105</f>
        <v>8.1538604327725013E-6</v>
      </c>
      <c r="J104">
        <f>'Pretax Fuel Prices'!I105+'Fuel Taxes'!J105</f>
        <v>1.0085346987110093E-5</v>
      </c>
      <c r="K104">
        <f>'Pretax Fuel Prices'!J105+'Fuel Taxes'!K105</f>
        <v>1.0165895745183614E-5</v>
      </c>
      <c r="L104">
        <f>'Pretax Fuel Prices'!K105+'Fuel Taxes'!L105</f>
        <v>1.0173359406092931E-5</v>
      </c>
      <c r="M104">
        <f>'Pretax Fuel Prices'!L105+'Fuel Taxes'!M105</f>
        <v>1.0398503412779694E-5</v>
      </c>
      <c r="N104">
        <f>'Pretax Fuel Prices'!M105+'Fuel Taxes'!N105</f>
        <v>1.0227797067876952E-5</v>
      </c>
      <c r="O104">
        <f>'Pretax Fuel Prices'!N105+'Fuel Taxes'!O105</f>
        <v>1.0351942432387018E-5</v>
      </c>
      <c r="P104">
        <f>'Pretax Fuel Prices'!O105+'Fuel Taxes'!P105</f>
        <v>1.0649022304305715E-5</v>
      </c>
      <c r="Q104">
        <f>'Pretax Fuel Prices'!P105+'Fuel Taxes'!Q105</f>
        <v>1.0716089800451591E-5</v>
      </c>
      <c r="R104">
        <f>'Pretax Fuel Prices'!Q105+'Fuel Taxes'!R105</f>
        <v>1.0755848147987751E-5</v>
      </c>
      <c r="S104">
        <f>'Pretax Fuel Prices'!R105+'Fuel Taxes'!S105</f>
        <v>1.0948957192511546E-5</v>
      </c>
      <c r="T104">
        <f>'Pretax Fuel Prices'!S105+'Fuel Taxes'!T105</f>
        <v>1.1071603771111642E-5</v>
      </c>
      <c r="U104">
        <f>'Pretax Fuel Prices'!T105+'Fuel Taxes'!U105</f>
        <v>1.1233966711714263E-5</v>
      </c>
      <c r="V104">
        <f>'Pretax Fuel Prices'!U105+'Fuel Taxes'!V105</f>
        <v>1.1339020375313828E-5</v>
      </c>
      <c r="W104">
        <f>'Pretax Fuel Prices'!V105+'Fuel Taxes'!W105</f>
        <v>1.1378038605768718E-5</v>
      </c>
      <c r="X104">
        <f>'Pretax Fuel Prices'!W105+'Fuel Taxes'!X105</f>
        <v>1.1335429147576459E-5</v>
      </c>
      <c r="Y104">
        <f>'Pretax Fuel Prices'!X105+'Fuel Taxes'!Y105</f>
        <v>1.1429540209421617E-5</v>
      </c>
      <c r="Z104">
        <f>'Pretax Fuel Prices'!Y105+'Fuel Taxes'!Z105</f>
        <v>1.1491443484930471E-5</v>
      </c>
      <c r="AA104">
        <f>'Pretax Fuel Prices'!Z105+'Fuel Taxes'!AA105</f>
        <v>1.1595688682905637E-5</v>
      </c>
      <c r="AB104">
        <f>'Pretax Fuel Prices'!AA105+'Fuel Taxes'!AB105</f>
        <v>1.1917823177918667E-5</v>
      </c>
      <c r="AC104">
        <f>'Pretax Fuel Prices'!AB105+'Fuel Taxes'!AC105</f>
        <v>1.1930454965096033E-5</v>
      </c>
      <c r="AD104">
        <f>'Pretax Fuel Prices'!AC105+'Fuel Taxes'!AD105</f>
        <v>1.2001565765771667E-5</v>
      </c>
      <c r="AE104">
        <f>'Pretax Fuel Prices'!AD105+'Fuel Taxes'!AE105</f>
        <v>1.2146394375839298E-5</v>
      </c>
    </row>
    <row r="105" spans="1:31" x14ac:dyDescent="0.75">
      <c r="A105" t="s">
        <v>54</v>
      </c>
      <c r="B105">
        <f>'Pretax Fuel Prices'!B106+'Fuel Taxes'!B106</f>
        <v>0</v>
      </c>
      <c r="C105">
        <f>'Pretax Fuel Prices'!C106+'Fuel Taxes'!C106</f>
        <v>0</v>
      </c>
      <c r="D105">
        <f>'Pretax Fuel Prices'!C106+'Fuel Taxes'!D106</f>
        <v>0</v>
      </c>
      <c r="E105">
        <f>'Pretax Fuel Prices'!D106+'Fuel Taxes'!E106</f>
        <v>0</v>
      </c>
      <c r="F105">
        <f>'Pretax Fuel Prices'!E106+'Fuel Taxes'!F106</f>
        <v>0</v>
      </c>
      <c r="G105">
        <f>'Pretax Fuel Prices'!F106+'Fuel Taxes'!G106</f>
        <v>0</v>
      </c>
      <c r="H105">
        <f>'Pretax Fuel Prices'!G106+'Fuel Taxes'!H106</f>
        <v>0</v>
      </c>
      <c r="I105">
        <f>'Pretax Fuel Prices'!H106+'Fuel Taxes'!I106</f>
        <v>0</v>
      </c>
      <c r="J105">
        <f>'Pretax Fuel Prices'!I106+'Fuel Taxes'!J106</f>
        <v>0</v>
      </c>
      <c r="K105">
        <f>'Pretax Fuel Prices'!J106+'Fuel Taxes'!K106</f>
        <v>0</v>
      </c>
      <c r="L105">
        <f>'Pretax Fuel Prices'!K106+'Fuel Taxes'!L106</f>
        <v>0</v>
      </c>
      <c r="M105">
        <f>'Pretax Fuel Prices'!L106+'Fuel Taxes'!M106</f>
        <v>0</v>
      </c>
      <c r="N105">
        <f>'Pretax Fuel Prices'!M106+'Fuel Taxes'!N106</f>
        <v>0</v>
      </c>
      <c r="O105">
        <f>'Pretax Fuel Prices'!N106+'Fuel Taxes'!O106</f>
        <v>0</v>
      </c>
      <c r="P105">
        <f>'Pretax Fuel Prices'!O106+'Fuel Taxes'!P106</f>
        <v>0</v>
      </c>
      <c r="Q105">
        <f>'Pretax Fuel Prices'!P106+'Fuel Taxes'!Q106</f>
        <v>0</v>
      </c>
      <c r="R105">
        <f>'Pretax Fuel Prices'!Q106+'Fuel Taxes'!R106</f>
        <v>0</v>
      </c>
      <c r="S105">
        <f>'Pretax Fuel Prices'!R106+'Fuel Taxes'!S106</f>
        <v>0</v>
      </c>
      <c r="T105">
        <f>'Pretax Fuel Prices'!S106+'Fuel Taxes'!T106</f>
        <v>0</v>
      </c>
      <c r="U105">
        <f>'Pretax Fuel Prices'!T106+'Fuel Taxes'!U106</f>
        <v>0</v>
      </c>
      <c r="V105">
        <f>'Pretax Fuel Prices'!U106+'Fuel Taxes'!V106</f>
        <v>0</v>
      </c>
      <c r="W105">
        <f>'Pretax Fuel Prices'!V106+'Fuel Taxes'!W106</f>
        <v>0</v>
      </c>
      <c r="X105">
        <f>'Pretax Fuel Prices'!W106+'Fuel Taxes'!X106</f>
        <v>0</v>
      </c>
      <c r="Y105">
        <f>'Pretax Fuel Prices'!X106+'Fuel Taxes'!Y106</f>
        <v>0</v>
      </c>
      <c r="Z105">
        <f>'Pretax Fuel Prices'!Y106+'Fuel Taxes'!Z106</f>
        <v>0</v>
      </c>
      <c r="AA105">
        <f>'Pretax Fuel Prices'!Z106+'Fuel Taxes'!AA106</f>
        <v>0</v>
      </c>
      <c r="AB105">
        <f>'Pretax Fuel Prices'!AA106+'Fuel Taxes'!AB106</f>
        <v>0</v>
      </c>
      <c r="AC105">
        <f>'Pretax Fuel Prices'!AB106+'Fuel Taxes'!AC106</f>
        <v>0</v>
      </c>
      <c r="AD105">
        <f>'Pretax Fuel Prices'!AC106+'Fuel Taxes'!AD106</f>
        <v>0</v>
      </c>
      <c r="AE105">
        <f>'Pretax Fuel Prices'!AD106+'Fuel Taxes'!AE106</f>
        <v>0</v>
      </c>
    </row>
    <row r="106" spans="1:31" x14ac:dyDescent="0.75">
      <c r="A106" t="s">
        <v>55</v>
      </c>
      <c r="B106">
        <f>'Pretax Fuel Prices'!B107+'Fuel Taxes'!B107</f>
        <v>0</v>
      </c>
      <c r="C106">
        <f>'Pretax Fuel Prices'!C107+'Fuel Taxes'!C107</f>
        <v>0</v>
      </c>
      <c r="D106">
        <f>'Pretax Fuel Prices'!C107+'Fuel Taxes'!D107</f>
        <v>0</v>
      </c>
      <c r="E106">
        <f>'Pretax Fuel Prices'!D107+'Fuel Taxes'!E107</f>
        <v>0</v>
      </c>
      <c r="F106">
        <f>'Pretax Fuel Prices'!E107+'Fuel Taxes'!F107</f>
        <v>0</v>
      </c>
      <c r="G106">
        <f>'Pretax Fuel Prices'!F107+'Fuel Taxes'!G107</f>
        <v>0</v>
      </c>
      <c r="H106">
        <f>'Pretax Fuel Prices'!G107+'Fuel Taxes'!H107</f>
        <v>0</v>
      </c>
      <c r="I106">
        <f>'Pretax Fuel Prices'!H107+'Fuel Taxes'!I107</f>
        <v>0</v>
      </c>
      <c r="J106">
        <f>'Pretax Fuel Prices'!I107+'Fuel Taxes'!J107</f>
        <v>0</v>
      </c>
      <c r="K106">
        <f>'Pretax Fuel Prices'!J107+'Fuel Taxes'!K107</f>
        <v>0</v>
      </c>
      <c r="L106">
        <f>'Pretax Fuel Prices'!K107+'Fuel Taxes'!L107</f>
        <v>0</v>
      </c>
      <c r="M106">
        <f>'Pretax Fuel Prices'!L107+'Fuel Taxes'!M107</f>
        <v>0</v>
      </c>
      <c r="N106">
        <f>'Pretax Fuel Prices'!M107+'Fuel Taxes'!N107</f>
        <v>0</v>
      </c>
      <c r="O106">
        <f>'Pretax Fuel Prices'!N107+'Fuel Taxes'!O107</f>
        <v>0</v>
      </c>
      <c r="P106">
        <f>'Pretax Fuel Prices'!O107+'Fuel Taxes'!P107</f>
        <v>0</v>
      </c>
      <c r="Q106">
        <f>'Pretax Fuel Prices'!P107+'Fuel Taxes'!Q107</f>
        <v>0</v>
      </c>
      <c r="R106">
        <f>'Pretax Fuel Prices'!Q107+'Fuel Taxes'!R107</f>
        <v>0</v>
      </c>
      <c r="S106">
        <f>'Pretax Fuel Prices'!R107+'Fuel Taxes'!S107</f>
        <v>0</v>
      </c>
      <c r="T106">
        <f>'Pretax Fuel Prices'!S107+'Fuel Taxes'!T107</f>
        <v>0</v>
      </c>
      <c r="U106">
        <f>'Pretax Fuel Prices'!T107+'Fuel Taxes'!U107</f>
        <v>0</v>
      </c>
      <c r="V106">
        <f>'Pretax Fuel Prices'!U107+'Fuel Taxes'!V107</f>
        <v>0</v>
      </c>
      <c r="W106">
        <f>'Pretax Fuel Prices'!V107+'Fuel Taxes'!W107</f>
        <v>0</v>
      </c>
      <c r="X106">
        <f>'Pretax Fuel Prices'!W107+'Fuel Taxes'!X107</f>
        <v>0</v>
      </c>
      <c r="Y106">
        <f>'Pretax Fuel Prices'!X107+'Fuel Taxes'!Y107</f>
        <v>0</v>
      </c>
      <c r="Z106">
        <f>'Pretax Fuel Prices'!Y107+'Fuel Taxes'!Z107</f>
        <v>0</v>
      </c>
      <c r="AA106">
        <f>'Pretax Fuel Prices'!Z107+'Fuel Taxes'!AA107</f>
        <v>0</v>
      </c>
      <c r="AB106">
        <f>'Pretax Fuel Prices'!AA107+'Fuel Taxes'!AB107</f>
        <v>0</v>
      </c>
      <c r="AC106">
        <f>'Pretax Fuel Prices'!AB107+'Fuel Taxes'!AC107</f>
        <v>0</v>
      </c>
      <c r="AD106">
        <f>'Pretax Fuel Prices'!AC107+'Fuel Taxes'!AD107</f>
        <v>0</v>
      </c>
      <c r="AE106">
        <f>'Pretax Fuel Prices'!AD107+'Fuel Taxes'!AE107</f>
        <v>0</v>
      </c>
    </row>
    <row r="107" spans="1:31" x14ac:dyDescent="0.75">
      <c r="A107" t="s">
        <v>56</v>
      </c>
      <c r="B107">
        <f>'Pretax Fuel Prices'!B108+'Fuel Taxes'!B108</f>
        <v>1.010572034981499E-5</v>
      </c>
      <c r="C107">
        <f>'Pretax Fuel Prices'!C108+'Fuel Taxes'!C108</f>
        <v>1.4061485389252906E-5</v>
      </c>
      <c r="D107">
        <f>'Pretax Fuel Prices'!C108+'Fuel Taxes'!D108</f>
        <v>1.4061485389252906E-5</v>
      </c>
      <c r="E107">
        <f>'Pretax Fuel Prices'!D108+'Fuel Taxes'!E108</f>
        <v>1.0907244277281626E-5</v>
      </c>
      <c r="F107">
        <f>'Pretax Fuel Prices'!E108+'Fuel Taxes'!F108</f>
        <v>9.4884162761654525E-6</v>
      </c>
      <c r="G107">
        <f>'Pretax Fuel Prices'!F108+'Fuel Taxes'!G108</f>
        <v>8.2431736221717939E-6</v>
      </c>
      <c r="H107">
        <f>'Pretax Fuel Prices'!G108+'Fuel Taxes'!H108</f>
        <v>6.222373878434911E-6</v>
      </c>
      <c r="I107">
        <f>'Pretax Fuel Prices'!H108+'Fuel Taxes'!I108</f>
        <v>8.1538604327725013E-6</v>
      </c>
      <c r="J107">
        <f>'Pretax Fuel Prices'!I108+'Fuel Taxes'!J108</f>
        <v>1.0085346987110093E-5</v>
      </c>
      <c r="K107">
        <f>'Pretax Fuel Prices'!J108+'Fuel Taxes'!K108</f>
        <v>1.0165895745183614E-5</v>
      </c>
      <c r="L107">
        <f>'Pretax Fuel Prices'!K108+'Fuel Taxes'!L108</f>
        <v>1.0173359406092931E-5</v>
      </c>
      <c r="M107">
        <f>'Pretax Fuel Prices'!L108+'Fuel Taxes'!M108</f>
        <v>1.0398503412779694E-5</v>
      </c>
      <c r="N107">
        <f>'Pretax Fuel Prices'!M108+'Fuel Taxes'!N108</f>
        <v>1.0227797067876952E-5</v>
      </c>
      <c r="O107">
        <f>'Pretax Fuel Prices'!N108+'Fuel Taxes'!O108</f>
        <v>1.0351942432387018E-5</v>
      </c>
      <c r="P107">
        <f>'Pretax Fuel Prices'!O108+'Fuel Taxes'!P108</f>
        <v>1.0649022304305715E-5</v>
      </c>
      <c r="Q107">
        <f>'Pretax Fuel Prices'!P108+'Fuel Taxes'!Q108</f>
        <v>1.0716089800451591E-5</v>
      </c>
      <c r="R107">
        <f>'Pretax Fuel Prices'!Q108+'Fuel Taxes'!R108</f>
        <v>1.0755848147987751E-5</v>
      </c>
      <c r="S107">
        <f>'Pretax Fuel Prices'!R108+'Fuel Taxes'!S108</f>
        <v>1.0948957192511546E-5</v>
      </c>
      <c r="T107">
        <f>'Pretax Fuel Prices'!S108+'Fuel Taxes'!T108</f>
        <v>1.1071603771111642E-5</v>
      </c>
      <c r="U107">
        <f>'Pretax Fuel Prices'!T108+'Fuel Taxes'!U108</f>
        <v>1.1233966711714263E-5</v>
      </c>
      <c r="V107">
        <f>'Pretax Fuel Prices'!U108+'Fuel Taxes'!V108</f>
        <v>1.1339020375313828E-5</v>
      </c>
      <c r="W107">
        <f>'Pretax Fuel Prices'!V108+'Fuel Taxes'!W108</f>
        <v>1.1378038605768718E-5</v>
      </c>
      <c r="X107">
        <f>'Pretax Fuel Prices'!W108+'Fuel Taxes'!X108</f>
        <v>1.1335429147576459E-5</v>
      </c>
      <c r="Y107">
        <f>'Pretax Fuel Prices'!X108+'Fuel Taxes'!Y108</f>
        <v>1.1429540209421617E-5</v>
      </c>
      <c r="Z107">
        <f>'Pretax Fuel Prices'!Y108+'Fuel Taxes'!Z108</f>
        <v>1.1491443484930471E-5</v>
      </c>
      <c r="AA107">
        <f>'Pretax Fuel Prices'!Z108+'Fuel Taxes'!AA108</f>
        <v>1.1595688682905637E-5</v>
      </c>
      <c r="AB107">
        <f>'Pretax Fuel Prices'!AA108+'Fuel Taxes'!AB108</f>
        <v>1.1917823177918667E-5</v>
      </c>
      <c r="AC107">
        <f>'Pretax Fuel Prices'!AB108+'Fuel Taxes'!AC108</f>
        <v>1.1930454965096033E-5</v>
      </c>
      <c r="AD107">
        <f>'Pretax Fuel Prices'!AC108+'Fuel Taxes'!AD108</f>
        <v>1.2001565765771667E-5</v>
      </c>
      <c r="AE107">
        <f>'Pretax Fuel Prices'!AD108+'Fuel Taxes'!AE108</f>
        <v>1.2146394375839298E-5</v>
      </c>
    </row>
    <row r="108" spans="1:31" x14ac:dyDescent="0.75">
      <c r="A108" t="s">
        <v>57</v>
      </c>
      <c r="B108">
        <f>'Pretax Fuel Prices'!B109+'Fuel Taxes'!B109</f>
        <v>0</v>
      </c>
      <c r="C108">
        <f>'Pretax Fuel Prices'!C109+'Fuel Taxes'!C109</f>
        <v>0</v>
      </c>
      <c r="D108">
        <f>'Pretax Fuel Prices'!C109+'Fuel Taxes'!D109</f>
        <v>0</v>
      </c>
      <c r="E108">
        <f>'Pretax Fuel Prices'!D109+'Fuel Taxes'!E109</f>
        <v>0</v>
      </c>
      <c r="F108">
        <f>'Pretax Fuel Prices'!E109+'Fuel Taxes'!F109</f>
        <v>0</v>
      </c>
      <c r="G108">
        <f>'Pretax Fuel Prices'!F109+'Fuel Taxes'!G109</f>
        <v>0</v>
      </c>
      <c r="H108">
        <f>'Pretax Fuel Prices'!G109+'Fuel Taxes'!H109</f>
        <v>0</v>
      </c>
      <c r="I108">
        <f>'Pretax Fuel Prices'!H109+'Fuel Taxes'!I109</f>
        <v>0</v>
      </c>
      <c r="J108">
        <f>'Pretax Fuel Prices'!I109+'Fuel Taxes'!J109</f>
        <v>0</v>
      </c>
      <c r="K108">
        <f>'Pretax Fuel Prices'!J109+'Fuel Taxes'!K109</f>
        <v>0</v>
      </c>
      <c r="L108">
        <f>'Pretax Fuel Prices'!K109+'Fuel Taxes'!L109</f>
        <v>0</v>
      </c>
      <c r="M108">
        <f>'Pretax Fuel Prices'!L109+'Fuel Taxes'!M109</f>
        <v>0</v>
      </c>
      <c r="N108">
        <f>'Pretax Fuel Prices'!M109+'Fuel Taxes'!N109</f>
        <v>0</v>
      </c>
      <c r="O108">
        <f>'Pretax Fuel Prices'!N109+'Fuel Taxes'!O109</f>
        <v>0</v>
      </c>
      <c r="P108">
        <f>'Pretax Fuel Prices'!O109+'Fuel Taxes'!P109</f>
        <v>0</v>
      </c>
      <c r="Q108">
        <f>'Pretax Fuel Prices'!P109+'Fuel Taxes'!Q109</f>
        <v>0</v>
      </c>
      <c r="R108">
        <f>'Pretax Fuel Prices'!Q109+'Fuel Taxes'!R109</f>
        <v>0</v>
      </c>
      <c r="S108">
        <f>'Pretax Fuel Prices'!R109+'Fuel Taxes'!S109</f>
        <v>0</v>
      </c>
      <c r="T108">
        <f>'Pretax Fuel Prices'!S109+'Fuel Taxes'!T109</f>
        <v>0</v>
      </c>
      <c r="U108">
        <f>'Pretax Fuel Prices'!T109+'Fuel Taxes'!U109</f>
        <v>0</v>
      </c>
      <c r="V108">
        <f>'Pretax Fuel Prices'!U109+'Fuel Taxes'!V109</f>
        <v>0</v>
      </c>
      <c r="W108">
        <f>'Pretax Fuel Prices'!V109+'Fuel Taxes'!W109</f>
        <v>0</v>
      </c>
      <c r="X108">
        <f>'Pretax Fuel Prices'!W109+'Fuel Taxes'!X109</f>
        <v>0</v>
      </c>
      <c r="Y108">
        <f>'Pretax Fuel Prices'!X109+'Fuel Taxes'!Y109</f>
        <v>0</v>
      </c>
      <c r="Z108">
        <f>'Pretax Fuel Prices'!Y109+'Fuel Taxes'!Z109</f>
        <v>0</v>
      </c>
      <c r="AA108">
        <f>'Pretax Fuel Prices'!Z109+'Fuel Taxes'!AA109</f>
        <v>0</v>
      </c>
      <c r="AB108">
        <f>'Pretax Fuel Prices'!AA109+'Fuel Taxes'!AB109</f>
        <v>0</v>
      </c>
      <c r="AC108">
        <f>'Pretax Fuel Prices'!AB109+'Fuel Taxes'!AC109</f>
        <v>0</v>
      </c>
      <c r="AD108">
        <f>'Pretax Fuel Prices'!AC109+'Fuel Taxes'!AD109</f>
        <v>0</v>
      </c>
      <c r="AE108">
        <f>'Pretax Fuel Prices'!AD109+'Fuel Taxes'!AE109</f>
        <v>0</v>
      </c>
    </row>
    <row r="109" spans="1:31" x14ac:dyDescent="0.75">
      <c r="A109" t="s">
        <v>58</v>
      </c>
      <c r="B109">
        <f>'Pretax Fuel Prices'!B110+'Fuel Taxes'!B110</f>
        <v>0</v>
      </c>
      <c r="C109">
        <f>'Pretax Fuel Prices'!C110+'Fuel Taxes'!C110</f>
        <v>0</v>
      </c>
      <c r="D109">
        <f>'Pretax Fuel Prices'!C110+'Fuel Taxes'!D110</f>
        <v>0</v>
      </c>
      <c r="E109">
        <f>'Pretax Fuel Prices'!D110+'Fuel Taxes'!E110</f>
        <v>0</v>
      </c>
      <c r="F109">
        <f>'Pretax Fuel Prices'!E110+'Fuel Taxes'!F110</f>
        <v>0</v>
      </c>
      <c r="G109">
        <f>'Pretax Fuel Prices'!F110+'Fuel Taxes'!G110</f>
        <v>0</v>
      </c>
      <c r="H109">
        <f>'Pretax Fuel Prices'!G110+'Fuel Taxes'!H110</f>
        <v>0</v>
      </c>
      <c r="I109">
        <f>'Pretax Fuel Prices'!H110+'Fuel Taxes'!I110</f>
        <v>0</v>
      </c>
      <c r="J109">
        <f>'Pretax Fuel Prices'!I110+'Fuel Taxes'!J110</f>
        <v>0</v>
      </c>
      <c r="K109">
        <f>'Pretax Fuel Prices'!J110+'Fuel Taxes'!K110</f>
        <v>0</v>
      </c>
      <c r="L109">
        <f>'Pretax Fuel Prices'!K110+'Fuel Taxes'!L110</f>
        <v>0</v>
      </c>
      <c r="M109">
        <f>'Pretax Fuel Prices'!L110+'Fuel Taxes'!M110</f>
        <v>0</v>
      </c>
      <c r="N109">
        <f>'Pretax Fuel Prices'!M110+'Fuel Taxes'!N110</f>
        <v>0</v>
      </c>
      <c r="O109">
        <f>'Pretax Fuel Prices'!N110+'Fuel Taxes'!O110</f>
        <v>0</v>
      </c>
      <c r="P109">
        <f>'Pretax Fuel Prices'!O110+'Fuel Taxes'!P110</f>
        <v>0</v>
      </c>
      <c r="Q109">
        <f>'Pretax Fuel Prices'!P110+'Fuel Taxes'!Q110</f>
        <v>0</v>
      </c>
      <c r="R109">
        <f>'Pretax Fuel Prices'!Q110+'Fuel Taxes'!R110</f>
        <v>0</v>
      </c>
      <c r="S109">
        <f>'Pretax Fuel Prices'!R110+'Fuel Taxes'!S110</f>
        <v>0</v>
      </c>
      <c r="T109">
        <f>'Pretax Fuel Prices'!S110+'Fuel Taxes'!T110</f>
        <v>0</v>
      </c>
      <c r="U109">
        <f>'Pretax Fuel Prices'!T110+'Fuel Taxes'!U110</f>
        <v>0</v>
      </c>
      <c r="V109">
        <f>'Pretax Fuel Prices'!U110+'Fuel Taxes'!V110</f>
        <v>0</v>
      </c>
      <c r="W109">
        <f>'Pretax Fuel Prices'!V110+'Fuel Taxes'!W110</f>
        <v>0</v>
      </c>
      <c r="X109">
        <f>'Pretax Fuel Prices'!W110+'Fuel Taxes'!X110</f>
        <v>0</v>
      </c>
      <c r="Y109">
        <f>'Pretax Fuel Prices'!X110+'Fuel Taxes'!Y110</f>
        <v>0</v>
      </c>
      <c r="Z109">
        <f>'Pretax Fuel Prices'!Y110+'Fuel Taxes'!Z110</f>
        <v>0</v>
      </c>
      <c r="AA109">
        <f>'Pretax Fuel Prices'!Z110+'Fuel Taxes'!AA110</f>
        <v>0</v>
      </c>
      <c r="AB109">
        <f>'Pretax Fuel Prices'!AA110+'Fuel Taxes'!AB110</f>
        <v>0</v>
      </c>
      <c r="AC109">
        <f>'Pretax Fuel Prices'!AB110+'Fuel Taxes'!AC110</f>
        <v>0</v>
      </c>
      <c r="AD109">
        <f>'Pretax Fuel Prices'!AC110+'Fuel Taxes'!AD110</f>
        <v>0</v>
      </c>
      <c r="AE109">
        <f>'Pretax Fuel Prices'!AD110+'Fuel Taxes'!AE110</f>
        <v>0</v>
      </c>
    </row>
    <row r="110" spans="1:31" x14ac:dyDescent="0.75">
      <c r="A110" t="s">
        <v>59</v>
      </c>
      <c r="B110">
        <f>'Pretax Fuel Prices'!B111+'Fuel Taxes'!B111</f>
        <v>1.010572034981499E-5</v>
      </c>
      <c r="C110">
        <f>'Pretax Fuel Prices'!C111+'Fuel Taxes'!C111</f>
        <v>1.4061485389252906E-5</v>
      </c>
      <c r="D110">
        <f>'Pretax Fuel Prices'!C111+'Fuel Taxes'!D111</f>
        <v>1.4061485389252906E-5</v>
      </c>
      <c r="E110">
        <f>'Pretax Fuel Prices'!D111+'Fuel Taxes'!E111</f>
        <v>1.0907244277281626E-5</v>
      </c>
      <c r="F110">
        <f>'Pretax Fuel Prices'!E111+'Fuel Taxes'!F111</f>
        <v>9.4884162761654525E-6</v>
      </c>
      <c r="G110">
        <f>'Pretax Fuel Prices'!F111+'Fuel Taxes'!G111</f>
        <v>8.2431736221717939E-6</v>
      </c>
      <c r="H110">
        <f>'Pretax Fuel Prices'!G111+'Fuel Taxes'!H111</f>
        <v>6.222373878434911E-6</v>
      </c>
      <c r="I110">
        <f>'Pretax Fuel Prices'!H111+'Fuel Taxes'!I111</f>
        <v>8.1538604327725013E-6</v>
      </c>
      <c r="J110">
        <f>'Pretax Fuel Prices'!I111+'Fuel Taxes'!J111</f>
        <v>1.0085346987110093E-5</v>
      </c>
      <c r="K110">
        <f>'Pretax Fuel Prices'!J111+'Fuel Taxes'!K111</f>
        <v>1.0165895745183614E-5</v>
      </c>
      <c r="L110">
        <f>'Pretax Fuel Prices'!K111+'Fuel Taxes'!L111</f>
        <v>1.0173359406092931E-5</v>
      </c>
      <c r="M110">
        <f>'Pretax Fuel Prices'!L111+'Fuel Taxes'!M111</f>
        <v>1.0398503412779694E-5</v>
      </c>
      <c r="N110">
        <f>'Pretax Fuel Prices'!M111+'Fuel Taxes'!N111</f>
        <v>1.0227797067876952E-5</v>
      </c>
      <c r="O110">
        <f>'Pretax Fuel Prices'!N111+'Fuel Taxes'!O111</f>
        <v>1.0351942432387018E-5</v>
      </c>
      <c r="P110">
        <f>'Pretax Fuel Prices'!O111+'Fuel Taxes'!P111</f>
        <v>1.0649022304305715E-5</v>
      </c>
      <c r="Q110">
        <f>'Pretax Fuel Prices'!P111+'Fuel Taxes'!Q111</f>
        <v>1.0716089800451591E-5</v>
      </c>
      <c r="R110">
        <f>'Pretax Fuel Prices'!Q111+'Fuel Taxes'!R111</f>
        <v>1.0755848147987751E-5</v>
      </c>
      <c r="S110">
        <f>'Pretax Fuel Prices'!R111+'Fuel Taxes'!S111</f>
        <v>1.0948957192511546E-5</v>
      </c>
      <c r="T110">
        <f>'Pretax Fuel Prices'!S111+'Fuel Taxes'!T111</f>
        <v>1.1071603771111642E-5</v>
      </c>
      <c r="U110">
        <f>'Pretax Fuel Prices'!T111+'Fuel Taxes'!U111</f>
        <v>1.1233966711714263E-5</v>
      </c>
      <c r="V110">
        <f>'Pretax Fuel Prices'!U111+'Fuel Taxes'!V111</f>
        <v>1.1339020375313828E-5</v>
      </c>
      <c r="W110">
        <f>'Pretax Fuel Prices'!V111+'Fuel Taxes'!W111</f>
        <v>1.1378038605768718E-5</v>
      </c>
      <c r="X110">
        <f>'Pretax Fuel Prices'!W111+'Fuel Taxes'!X111</f>
        <v>1.1335429147576459E-5</v>
      </c>
      <c r="Y110">
        <f>'Pretax Fuel Prices'!X111+'Fuel Taxes'!Y111</f>
        <v>1.1429540209421617E-5</v>
      </c>
      <c r="Z110">
        <f>'Pretax Fuel Prices'!Y111+'Fuel Taxes'!Z111</f>
        <v>1.1491443484930471E-5</v>
      </c>
      <c r="AA110">
        <f>'Pretax Fuel Prices'!Z111+'Fuel Taxes'!AA111</f>
        <v>1.1595688682905637E-5</v>
      </c>
      <c r="AB110">
        <f>'Pretax Fuel Prices'!AA111+'Fuel Taxes'!AB111</f>
        <v>1.1917823177918667E-5</v>
      </c>
      <c r="AC110">
        <f>'Pretax Fuel Prices'!AB111+'Fuel Taxes'!AC111</f>
        <v>1.1930454965096033E-5</v>
      </c>
      <c r="AD110">
        <f>'Pretax Fuel Prices'!AC111+'Fuel Taxes'!AD111</f>
        <v>1.2001565765771667E-5</v>
      </c>
      <c r="AE110">
        <f>'Pretax Fuel Prices'!AD111+'Fuel Taxes'!AE111</f>
        <v>1.2146394375839298E-5</v>
      </c>
    </row>
    <row r="111" spans="1:31" s="3" customFormat="1" x14ac:dyDescent="0.75">
      <c r="A111" s="5" t="s">
        <v>47</v>
      </c>
    </row>
    <row r="112" spans="1:31" x14ac:dyDescent="0.75">
      <c r="A112" t="s">
        <v>30</v>
      </c>
      <c r="B112">
        <f>'Fuel Taxes'!B$1</f>
        <v>2021</v>
      </c>
      <c r="C112">
        <f>'Fuel Taxes'!C$1</f>
        <v>2022</v>
      </c>
      <c r="D112">
        <f>'Fuel Taxes'!D$1</f>
        <v>2023</v>
      </c>
      <c r="E112">
        <f>'Fuel Taxes'!E$1</f>
        <v>2024</v>
      </c>
      <c r="F112">
        <f>'Fuel Taxes'!F$1</f>
        <v>2025</v>
      </c>
      <c r="G112">
        <f>'Fuel Taxes'!G$1</f>
        <v>2026</v>
      </c>
      <c r="H112">
        <f>'Fuel Taxes'!H$1</f>
        <v>2027</v>
      </c>
      <c r="I112">
        <f>'Fuel Taxes'!I$1</f>
        <v>2028</v>
      </c>
      <c r="J112">
        <f>'Fuel Taxes'!J$1</f>
        <v>2029</v>
      </c>
      <c r="K112">
        <f>'Fuel Taxes'!K$1</f>
        <v>2030</v>
      </c>
      <c r="L112">
        <f>'Fuel Taxes'!L$1</f>
        <v>2031</v>
      </c>
      <c r="M112">
        <f>'Fuel Taxes'!M$1</f>
        <v>2032</v>
      </c>
      <c r="N112">
        <f>'Fuel Taxes'!N$1</f>
        <v>2033</v>
      </c>
      <c r="O112">
        <f>'Fuel Taxes'!O$1</f>
        <v>2034</v>
      </c>
      <c r="P112">
        <f>'Fuel Taxes'!P$1</f>
        <v>2035</v>
      </c>
      <c r="Q112">
        <f>'Fuel Taxes'!Q$1</f>
        <v>2036</v>
      </c>
      <c r="R112">
        <f>'Fuel Taxes'!R$1</f>
        <v>2037</v>
      </c>
      <c r="S112">
        <f>'Fuel Taxes'!S$1</f>
        <v>2038</v>
      </c>
      <c r="T112">
        <f>'Fuel Taxes'!T$1</f>
        <v>2039</v>
      </c>
      <c r="U112">
        <f>'Fuel Taxes'!U$1</f>
        <v>2040</v>
      </c>
      <c r="V112">
        <f>'Fuel Taxes'!V$1</f>
        <v>2041</v>
      </c>
      <c r="W112">
        <f>'Fuel Taxes'!W$1</f>
        <v>2042</v>
      </c>
      <c r="X112">
        <f>'Fuel Taxes'!X$1</f>
        <v>2043</v>
      </c>
      <c r="Y112">
        <f>'Fuel Taxes'!Y$1</f>
        <v>2044</v>
      </c>
      <c r="Z112">
        <f>'Fuel Taxes'!Z$1</f>
        <v>2045</v>
      </c>
      <c r="AA112">
        <f>'Fuel Taxes'!AA$1</f>
        <v>2046</v>
      </c>
      <c r="AB112">
        <f>'Fuel Taxes'!AB$1</f>
        <v>2047</v>
      </c>
      <c r="AC112">
        <f>'Fuel Taxes'!AC$1</f>
        <v>2048</v>
      </c>
      <c r="AD112">
        <f>'Fuel Taxes'!AD$1</f>
        <v>2049</v>
      </c>
      <c r="AE112">
        <f>'Fuel Taxes'!AE$1</f>
        <v>2050</v>
      </c>
    </row>
    <row r="113" spans="1:31" x14ac:dyDescent="0.75">
      <c r="A113" t="s">
        <v>52</v>
      </c>
      <c r="B113">
        <f>'Pretax Fuel Prices'!B114+'Fuel Taxes'!B114</f>
        <v>1.700361010830325E-5</v>
      </c>
      <c r="C113">
        <f>'Pretax Fuel Prices'!C114+'Fuel Taxes'!C114</f>
        <v>2.641227436823105E-5</v>
      </c>
      <c r="D113">
        <f>'Pretax Fuel Prices'!C114+'Fuel Taxes'!D114</f>
        <v>2.641227436823105E-5</v>
      </c>
      <c r="E113">
        <f>'Pretax Fuel Prices'!D114+'Fuel Taxes'!E114</f>
        <v>2.1141155234657041E-5</v>
      </c>
      <c r="F113">
        <f>'Pretax Fuel Prices'!E114+'Fuel Taxes'!F114</f>
        <v>1.3105788410335773E-5</v>
      </c>
      <c r="G113">
        <f>'Pretax Fuel Prices'!F114+'Fuel Taxes'!G114</f>
        <v>1.3105788410335772E-5</v>
      </c>
      <c r="H113">
        <f>'Pretax Fuel Prices'!G114+'Fuel Taxes'!H114</f>
        <v>1.2086449311754101E-5</v>
      </c>
      <c r="I113">
        <f>'Pretax Fuel Prices'!H114+'Fuel Taxes'!I114</f>
        <v>1.063308103052346E-5</v>
      </c>
      <c r="J113">
        <f>'Pretax Fuel Prices'!I114+'Fuel Taxes'!J114</f>
        <v>9.1797127492928201E-6</v>
      </c>
      <c r="K113">
        <f>'Pretax Fuel Prices'!J114+'Fuel Taxes'!K114</f>
        <v>9.2185639578774818E-6</v>
      </c>
      <c r="L113">
        <f>'Pretax Fuel Prices'!K114+'Fuel Taxes'!L114</f>
        <v>9.2450282899342299E-6</v>
      </c>
      <c r="M113">
        <f>'Pretax Fuel Prices'!L114+'Fuel Taxes'!M114</f>
        <v>9.3985729289642608E-6</v>
      </c>
      <c r="N113">
        <f>'Pretax Fuel Prices'!M114+'Fuel Taxes'!N114</f>
        <v>9.3339379475820991E-6</v>
      </c>
      <c r="O113">
        <f>'Pretax Fuel Prices'!N114+'Fuel Taxes'!O114</f>
        <v>9.4247636412983145E-6</v>
      </c>
      <c r="P113">
        <f>'Pretax Fuel Prices'!O114+'Fuel Taxes'!P114</f>
        <v>9.6299225925596225E-6</v>
      </c>
      <c r="Q113">
        <f>'Pretax Fuel Prices'!P114+'Fuel Taxes'!Q114</f>
        <v>9.6938860888059891E-6</v>
      </c>
      <c r="R113">
        <f>'Pretax Fuel Prices'!Q114+'Fuel Taxes'!R114</f>
        <v>9.6434234922442165E-6</v>
      </c>
      <c r="S113">
        <f>'Pretax Fuel Prices'!R114+'Fuel Taxes'!S114</f>
        <v>9.6777557873474391E-6</v>
      </c>
      <c r="T113">
        <f>'Pretax Fuel Prices'!S114+'Fuel Taxes'!T114</f>
        <v>9.7969478889988418E-6</v>
      </c>
      <c r="U113">
        <f>'Pretax Fuel Prices'!T114+'Fuel Taxes'!U114</f>
        <v>9.8733799288842247E-6</v>
      </c>
      <c r="V113">
        <f>'Pretax Fuel Prices'!U114+'Fuel Taxes'!V114</f>
        <v>9.8913976480217753E-6</v>
      </c>
      <c r="W113">
        <f>'Pretax Fuel Prices'!V114+'Fuel Taxes'!W114</f>
        <v>9.9333354546007136E-6</v>
      </c>
      <c r="X113">
        <f>'Pretax Fuel Prices'!W114+'Fuel Taxes'!X114</f>
        <v>9.9226866217195091E-6</v>
      </c>
      <c r="Y113">
        <f>'Pretax Fuel Prices'!X114+'Fuel Taxes'!Y114</f>
        <v>1.0001013059378865E-5</v>
      </c>
      <c r="Z113">
        <f>'Pretax Fuel Prices'!Y114+'Fuel Taxes'!Z114</f>
        <v>1.0097956108323903E-5</v>
      </c>
      <c r="AA113">
        <f>'Pretax Fuel Prices'!Z114+'Fuel Taxes'!AA114</f>
        <v>1.018685389981032E-5</v>
      </c>
      <c r="AB113">
        <f>'Pretax Fuel Prices'!AA114+'Fuel Taxes'!AB114</f>
        <v>1.0190916315080938E-5</v>
      </c>
      <c r="AC113">
        <f>'Pretax Fuel Prices'!AB114+'Fuel Taxes'!AC114</f>
        <v>1.0185806187555815E-5</v>
      </c>
      <c r="AD113">
        <f>'Pretax Fuel Prices'!AC114+'Fuel Taxes'!AD114</f>
        <v>1.0237081267171712E-5</v>
      </c>
      <c r="AE113">
        <f>'Pretax Fuel Prices'!AD114+'Fuel Taxes'!AE114</f>
        <v>1.0319279563509094E-5</v>
      </c>
    </row>
    <row r="114" spans="1:31" x14ac:dyDescent="0.75">
      <c r="A114" t="s">
        <v>53</v>
      </c>
      <c r="B114">
        <f>'Pretax Fuel Prices'!B115+'Fuel Taxes'!B115</f>
        <v>1.7895894821792879E-5</v>
      </c>
      <c r="C114">
        <f>'Pretax Fuel Prices'!C115+'Fuel Taxes'!C115</f>
        <v>3.7317160546000643E-5</v>
      </c>
      <c r="D114">
        <f>'Pretax Fuel Prices'!C115+'Fuel Taxes'!D115</f>
        <v>3.7317160546000643E-5</v>
      </c>
      <c r="E114">
        <f>'Pretax Fuel Prices'!D115+'Fuel Taxes'!E115</f>
        <v>2.5262351143948089E-5</v>
      </c>
      <c r="F114">
        <f>'Pretax Fuel Prices'!E115+'Fuel Taxes'!F115</f>
        <v>1.6496803791870166E-5</v>
      </c>
      <c r="G114">
        <f>'Pretax Fuel Prices'!F115+'Fuel Taxes'!G115</f>
        <v>1.5796282022652626E-5</v>
      </c>
      <c r="H114">
        <f>'Pretax Fuel Prices'!G115+'Fuel Taxes'!H115</f>
        <v>1.5095760253435084E-5</v>
      </c>
      <c r="I114">
        <f>'Pretax Fuel Prices'!H115+'Fuel Taxes'!I115</f>
        <v>1.4395238484217543E-5</v>
      </c>
      <c r="J114">
        <f>'Pretax Fuel Prices'!I115+'Fuel Taxes'!J115</f>
        <v>1.3694716715000001E-5</v>
      </c>
      <c r="K114">
        <f>'Pretax Fuel Prices'!J115+'Fuel Taxes'!K115</f>
        <v>1.374066355E-5</v>
      </c>
      <c r="L114">
        <f>'Pretax Fuel Prices'!K115+'Fuel Taxes'!L115</f>
        <v>1.3804506029999999E-5</v>
      </c>
      <c r="M114">
        <f>'Pretax Fuel Prices'!L115+'Fuel Taxes'!M115</f>
        <v>1.3837776685000001E-5</v>
      </c>
      <c r="N114">
        <f>'Pretax Fuel Prices'!M115+'Fuel Taxes'!N115</f>
        <v>1.3905235660000001E-5</v>
      </c>
      <c r="O114">
        <f>'Pretax Fuel Prices'!N115+'Fuel Taxes'!O115</f>
        <v>1.3964619340000001E-5</v>
      </c>
      <c r="P114">
        <f>'Pretax Fuel Prices'!O115+'Fuel Taxes'!P115</f>
        <v>1.4020533319999999E-5</v>
      </c>
      <c r="Q114">
        <f>'Pretax Fuel Prices'!P115+'Fuel Taxes'!Q115</f>
        <v>1.4113751285E-5</v>
      </c>
      <c r="R114">
        <f>'Pretax Fuel Prices'!Q115+'Fuel Taxes'!R115</f>
        <v>1.415505092E-5</v>
      </c>
      <c r="S114">
        <f>'Pretax Fuel Prices'!R115+'Fuel Taxes'!S115</f>
        <v>1.4203701294999999E-5</v>
      </c>
      <c r="T114">
        <f>'Pretax Fuel Prices'!S115+'Fuel Taxes'!T115</f>
        <v>1.4259440219999998E-5</v>
      </c>
      <c r="U114">
        <f>'Pretax Fuel Prices'!T115+'Fuel Taxes'!U115</f>
        <v>1.430455888E-5</v>
      </c>
      <c r="V114">
        <f>'Pretax Fuel Prices'!U115+'Fuel Taxes'!V115</f>
        <v>1.4314474214999998E-5</v>
      </c>
      <c r="W114">
        <f>'Pretax Fuel Prices'!V115+'Fuel Taxes'!W115</f>
        <v>1.4295083145000001E-5</v>
      </c>
      <c r="X114">
        <f>'Pretax Fuel Prices'!W115+'Fuel Taxes'!X115</f>
        <v>1.4213215495000002E-5</v>
      </c>
      <c r="Y114">
        <f>'Pretax Fuel Prices'!X115+'Fuel Taxes'!Y115</f>
        <v>1.4120440270000001E-5</v>
      </c>
      <c r="Z114">
        <f>'Pretax Fuel Prices'!Y115+'Fuel Taxes'!Z115</f>
        <v>1.3970152805E-5</v>
      </c>
      <c r="AA114">
        <f>'Pretax Fuel Prices'!Z115+'Fuel Taxes'!AA115</f>
        <v>1.3800121805E-5</v>
      </c>
      <c r="AB114">
        <f>'Pretax Fuel Prices'!AA115+'Fuel Taxes'!AB115</f>
        <v>1.3972320975E-5</v>
      </c>
      <c r="AC114">
        <f>'Pretax Fuel Prices'!AB115+'Fuel Taxes'!AC115</f>
        <v>1.399364079E-5</v>
      </c>
      <c r="AD114">
        <f>'Pretax Fuel Prices'!AC115+'Fuel Taxes'!AD115</f>
        <v>1.4076134084999999E-5</v>
      </c>
      <c r="AE114">
        <f>'Pretax Fuel Prices'!AD115+'Fuel Taxes'!AE115</f>
        <v>1.415107097E-5</v>
      </c>
    </row>
    <row r="115" spans="1:31" x14ac:dyDescent="0.75">
      <c r="A115" t="s">
        <v>54</v>
      </c>
      <c r="B115">
        <f>'Pretax Fuel Prices'!B116+'Fuel Taxes'!B116</f>
        <v>8.9573387735846202E-6</v>
      </c>
      <c r="C115">
        <f>'Pretax Fuel Prices'!C116+'Fuel Taxes'!C116</f>
        <v>2.1671296678884299E-5</v>
      </c>
      <c r="D115">
        <f>'Pretax Fuel Prices'!C116+'Fuel Taxes'!D116</f>
        <v>2.1671296678884299E-5</v>
      </c>
      <c r="E115">
        <f>'Pretax Fuel Prices'!D116+'Fuel Taxes'!E116</f>
        <v>1.0691695223889337E-5</v>
      </c>
      <c r="F115">
        <f>'Pretax Fuel Prices'!E116+'Fuel Taxes'!F116</f>
        <v>7.2810443478551944E-6</v>
      </c>
      <c r="G115">
        <f>'Pretax Fuel Prices'!F116+'Fuel Taxes'!G116</f>
        <v>7.2837256281778003E-6</v>
      </c>
      <c r="H115">
        <f>'Pretax Fuel Prices'!G116+'Fuel Taxes'!H116</f>
        <v>7.2864069085004062E-6</v>
      </c>
      <c r="I115">
        <f>'Pretax Fuel Prices'!H116+'Fuel Taxes'!I116</f>
        <v>7.2890881888230121E-6</v>
      </c>
      <c r="J115">
        <f>'Pretax Fuel Prices'!I116+'Fuel Taxes'!J116</f>
        <v>7.2917694691456197E-6</v>
      </c>
      <c r="K115">
        <f>'Pretax Fuel Prices'!J116+'Fuel Taxes'!K116</f>
        <v>8.1561900138979583E-6</v>
      </c>
      <c r="L115">
        <f>'Pretax Fuel Prices'!K116+'Fuel Taxes'!L116</f>
        <v>9.0089635721888638E-6</v>
      </c>
      <c r="M115">
        <f>'Pretax Fuel Prices'!L116+'Fuel Taxes'!M116</f>
        <v>9.2094346916705316E-6</v>
      </c>
      <c r="N115">
        <f>'Pretax Fuel Prices'!M116+'Fuel Taxes'!N116</f>
        <v>9.1213800956560922E-6</v>
      </c>
      <c r="O115">
        <f>'Pretax Fuel Prices'!N116+'Fuel Taxes'!O116</f>
        <v>9.2383951056873798E-6</v>
      </c>
      <c r="P115">
        <f>'Pretax Fuel Prices'!O116+'Fuel Taxes'!P116</f>
        <v>9.4955278440707439E-6</v>
      </c>
      <c r="Q115">
        <f>'Pretax Fuel Prices'!P116+'Fuel Taxes'!Q116</f>
        <v>9.5661252225734599E-6</v>
      </c>
      <c r="R115">
        <f>'Pretax Fuel Prices'!Q116+'Fuel Taxes'!R116</f>
        <v>9.4455001074253953E-6</v>
      </c>
      <c r="S115">
        <f>'Pretax Fuel Prices'!R116+'Fuel Taxes'!S116</f>
        <v>9.4924412460764675E-6</v>
      </c>
      <c r="T115">
        <f>'Pretax Fuel Prices'!S116+'Fuel Taxes'!T116</f>
        <v>9.6757385399020584E-6</v>
      </c>
      <c r="U115">
        <f>'Pretax Fuel Prices'!T116+'Fuel Taxes'!U116</f>
        <v>9.7815909820625951E-6</v>
      </c>
      <c r="V115">
        <f>'Pretax Fuel Prices'!U116+'Fuel Taxes'!V116</f>
        <v>9.8605065397371355E-6</v>
      </c>
      <c r="W115">
        <f>'Pretax Fuel Prices'!V116+'Fuel Taxes'!W116</f>
        <v>9.9163424134042793E-6</v>
      </c>
      <c r="X115">
        <f>'Pretax Fuel Prices'!W116+'Fuel Taxes'!X116</f>
        <v>9.9046584324395121E-6</v>
      </c>
      <c r="Y115">
        <f>'Pretax Fuel Prices'!X116+'Fuel Taxes'!Y116</f>
        <v>1.0007540146182225E-5</v>
      </c>
      <c r="Z115">
        <f>'Pretax Fuel Prices'!Y116+'Fuel Taxes'!Z116</f>
        <v>1.0096011453866177E-5</v>
      </c>
      <c r="AA115">
        <f>'Pretax Fuel Prices'!Z116+'Fuel Taxes'!AA116</f>
        <v>1.0246385035752832E-5</v>
      </c>
      <c r="AB115">
        <f>'Pretax Fuel Prices'!AA116+'Fuel Taxes'!AB116</f>
        <v>1.0253510316694845E-5</v>
      </c>
      <c r="AC115">
        <f>'Pretax Fuel Prices'!AB116+'Fuel Taxes'!AC116</f>
        <v>1.0248832257048157E-5</v>
      </c>
      <c r="AD115">
        <f>'Pretax Fuel Prices'!AC116+'Fuel Taxes'!AD116</f>
        <v>1.0314396289070388E-5</v>
      </c>
      <c r="AE115">
        <f>'Pretax Fuel Prices'!AD116+'Fuel Taxes'!AE116</f>
        <v>1.041782943031547E-5</v>
      </c>
    </row>
    <row r="116" spans="1:31" x14ac:dyDescent="0.75">
      <c r="A116" t="s">
        <v>55</v>
      </c>
      <c r="B116">
        <f>'Pretax Fuel Prices'!B117+'Fuel Taxes'!B117</f>
        <v>8.9573387735846202E-6</v>
      </c>
      <c r="C116">
        <f>'Pretax Fuel Prices'!C117+'Fuel Taxes'!C117</f>
        <v>2.1671296678884299E-5</v>
      </c>
      <c r="D116">
        <f>'Pretax Fuel Prices'!C117+'Fuel Taxes'!D117</f>
        <v>2.1671296678884299E-5</v>
      </c>
      <c r="E116">
        <f>'Pretax Fuel Prices'!D117+'Fuel Taxes'!E117</f>
        <v>1.0691695223889337E-5</v>
      </c>
      <c r="F116">
        <f>'Pretax Fuel Prices'!E117+'Fuel Taxes'!F117</f>
        <v>7.2810443478551944E-6</v>
      </c>
      <c r="G116">
        <f>'Pretax Fuel Prices'!F117+'Fuel Taxes'!G117</f>
        <v>7.2837256281778003E-6</v>
      </c>
      <c r="H116">
        <f>'Pretax Fuel Prices'!G117+'Fuel Taxes'!H117</f>
        <v>7.2864069085004062E-6</v>
      </c>
      <c r="I116">
        <f>'Pretax Fuel Prices'!H117+'Fuel Taxes'!I117</f>
        <v>7.2890881888230121E-6</v>
      </c>
      <c r="J116">
        <f>'Pretax Fuel Prices'!I117+'Fuel Taxes'!J117</f>
        <v>7.2917694691456197E-6</v>
      </c>
      <c r="K116">
        <f>'Pretax Fuel Prices'!J117+'Fuel Taxes'!K117</f>
        <v>8.1561900138979583E-6</v>
      </c>
      <c r="L116">
        <f>'Pretax Fuel Prices'!K117+'Fuel Taxes'!L117</f>
        <v>9.0089635721888638E-6</v>
      </c>
      <c r="M116">
        <f>'Pretax Fuel Prices'!L117+'Fuel Taxes'!M117</f>
        <v>9.2094346916705316E-6</v>
      </c>
      <c r="N116">
        <f>'Pretax Fuel Prices'!M117+'Fuel Taxes'!N117</f>
        <v>9.1213800956560922E-6</v>
      </c>
      <c r="O116">
        <f>'Pretax Fuel Prices'!N117+'Fuel Taxes'!O117</f>
        <v>9.2383951056873798E-6</v>
      </c>
      <c r="P116">
        <f>'Pretax Fuel Prices'!O117+'Fuel Taxes'!P117</f>
        <v>9.4955278440707439E-6</v>
      </c>
      <c r="Q116">
        <f>'Pretax Fuel Prices'!P117+'Fuel Taxes'!Q117</f>
        <v>9.5661252225734599E-6</v>
      </c>
      <c r="R116">
        <f>'Pretax Fuel Prices'!Q117+'Fuel Taxes'!R117</f>
        <v>9.4455001074253953E-6</v>
      </c>
      <c r="S116">
        <f>'Pretax Fuel Prices'!R117+'Fuel Taxes'!S117</f>
        <v>9.4924412460764675E-6</v>
      </c>
      <c r="T116">
        <f>'Pretax Fuel Prices'!S117+'Fuel Taxes'!T117</f>
        <v>9.6757385399020584E-6</v>
      </c>
      <c r="U116">
        <f>'Pretax Fuel Prices'!T117+'Fuel Taxes'!U117</f>
        <v>9.7815909820625951E-6</v>
      </c>
      <c r="V116">
        <f>'Pretax Fuel Prices'!U117+'Fuel Taxes'!V117</f>
        <v>9.8605065397371355E-6</v>
      </c>
      <c r="W116">
        <f>'Pretax Fuel Prices'!V117+'Fuel Taxes'!W117</f>
        <v>9.9163424134042793E-6</v>
      </c>
      <c r="X116">
        <f>'Pretax Fuel Prices'!W117+'Fuel Taxes'!X117</f>
        <v>9.9046584324395121E-6</v>
      </c>
      <c r="Y116">
        <f>'Pretax Fuel Prices'!X117+'Fuel Taxes'!Y117</f>
        <v>1.0007540146182225E-5</v>
      </c>
      <c r="Z116">
        <f>'Pretax Fuel Prices'!Y117+'Fuel Taxes'!Z117</f>
        <v>1.0096011453866177E-5</v>
      </c>
      <c r="AA116">
        <f>'Pretax Fuel Prices'!Z117+'Fuel Taxes'!AA117</f>
        <v>1.0246385035752832E-5</v>
      </c>
      <c r="AB116">
        <f>'Pretax Fuel Prices'!AA117+'Fuel Taxes'!AB117</f>
        <v>1.0253510316694845E-5</v>
      </c>
      <c r="AC116">
        <f>'Pretax Fuel Prices'!AB117+'Fuel Taxes'!AC117</f>
        <v>1.0248832257048157E-5</v>
      </c>
      <c r="AD116">
        <f>'Pretax Fuel Prices'!AC117+'Fuel Taxes'!AD117</f>
        <v>1.0314396289070388E-5</v>
      </c>
      <c r="AE116">
        <f>'Pretax Fuel Prices'!AD117+'Fuel Taxes'!AE117</f>
        <v>1.041782943031547E-5</v>
      </c>
    </row>
    <row r="117" spans="1:31" x14ac:dyDescent="0.75">
      <c r="A117" t="s">
        <v>56</v>
      </c>
      <c r="B117">
        <f>'Pretax Fuel Prices'!B118+'Fuel Taxes'!B118</f>
        <v>9.7583626398075181E-6</v>
      </c>
      <c r="C117">
        <f>'Pretax Fuel Prices'!C118+'Fuel Taxes'!C118</f>
        <v>2.2900215327839849E-5</v>
      </c>
      <c r="D117">
        <f>'Pretax Fuel Prices'!C118+'Fuel Taxes'!D118</f>
        <v>2.2900215327839849E-5</v>
      </c>
      <c r="E117">
        <f>'Pretax Fuel Prices'!D118+'Fuel Taxes'!E118</f>
        <v>1.1549577958782708E-5</v>
      </c>
      <c r="F117">
        <f>'Pretax Fuel Prices'!E118+'Fuel Taxes'!F118</f>
        <v>8.0363321535797844E-6</v>
      </c>
      <c r="G117">
        <f>'Pretax Fuel Prices'!F118+'Fuel Taxes'!G118</f>
        <v>8.210298246353254E-6</v>
      </c>
      <c r="H117">
        <f>'Pretax Fuel Prices'!G118+'Fuel Taxes'!H118</f>
        <v>8.3842643391267236E-6</v>
      </c>
      <c r="I117">
        <f>'Pretax Fuel Prices'!H118+'Fuel Taxes'!I118</f>
        <v>8.5582304319001932E-6</v>
      </c>
      <c r="J117">
        <f>'Pretax Fuel Prices'!I118+'Fuel Taxes'!J118</f>
        <v>8.7321965246736594E-6</v>
      </c>
      <c r="K117">
        <f>'Pretax Fuel Prices'!J118+'Fuel Taxes'!K118</f>
        <v>9.7686680342412469E-6</v>
      </c>
      <c r="L117">
        <f>'Pretax Fuel Prices'!K118+'Fuel Taxes'!L118</f>
        <v>1.0800683451182093E-5</v>
      </c>
      <c r="M117">
        <f>'Pretax Fuel Prices'!L118+'Fuel Taxes'!M118</f>
        <v>1.1002732072126232E-5</v>
      </c>
      <c r="N117">
        <f>'Pretax Fuel Prices'!M118+'Fuel Taxes'!N118</f>
        <v>1.0942659978823799E-5</v>
      </c>
      <c r="O117">
        <f>'Pretax Fuel Prices'!N118+'Fuel Taxes'!O118</f>
        <v>1.1091480489580364E-5</v>
      </c>
      <c r="P117">
        <f>'Pretax Fuel Prices'!O118+'Fuel Taxes'!P118</f>
        <v>1.1368151909794524E-5</v>
      </c>
      <c r="Q117">
        <f>'Pretax Fuel Prices'!P118+'Fuel Taxes'!Q118</f>
        <v>1.1449636142416804E-5</v>
      </c>
      <c r="R117">
        <f>'Pretax Fuel Prices'!Q118+'Fuel Taxes'!R118</f>
        <v>1.1347208832856425E-5</v>
      </c>
      <c r="S117">
        <f>'Pretax Fuel Prices'!R118+'Fuel Taxes'!S118</f>
        <v>1.1404757621828395E-5</v>
      </c>
      <c r="T117">
        <f>'Pretax Fuel Prices'!S118+'Fuel Taxes'!T118</f>
        <v>1.1576477032132719E-5</v>
      </c>
      <c r="U117">
        <f>'Pretax Fuel Prices'!T118+'Fuel Taxes'!U118</f>
        <v>1.1681378087349296E-5</v>
      </c>
      <c r="V117">
        <f>'Pretax Fuel Prices'!U118+'Fuel Taxes'!V118</f>
        <v>1.1756835007967832E-5</v>
      </c>
      <c r="W117">
        <f>'Pretax Fuel Prices'!V118+'Fuel Taxes'!W118</f>
        <v>1.1824075658801068E-5</v>
      </c>
      <c r="X117">
        <f>'Pretax Fuel Prices'!W118+'Fuel Taxes'!X118</f>
        <v>1.1826944477832384E-5</v>
      </c>
      <c r="Y117">
        <f>'Pretax Fuel Prices'!X118+'Fuel Taxes'!Y118</f>
        <v>1.1912813606112751E-5</v>
      </c>
      <c r="Z117">
        <f>'Pretax Fuel Prices'!Y118+'Fuel Taxes'!Z118</f>
        <v>1.2009437664717808E-5</v>
      </c>
      <c r="AA117">
        <f>'Pretax Fuel Prices'!Z118+'Fuel Taxes'!AA118</f>
        <v>1.2156021055037547E-5</v>
      </c>
      <c r="AB117">
        <f>'Pretax Fuel Prices'!AA118+'Fuel Taxes'!AB118</f>
        <v>1.2165882533206502E-5</v>
      </c>
      <c r="AC117">
        <f>'Pretax Fuel Prices'!AB118+'Fuel Taxes'!AC118</f>
        <v>1.2163820613153337E-5</v>
      </c>
      <c r="AD117">
        <f>'Pretax Fuel Prices'!AC118+'Fuel Taxes'!AD118</f>
        <v>1.2230054734292372E-5</v>
      </c>
      <c r="AE117">
        <f>'Pretax Fuel Prices'!AD118+'Fuel Taxes'!AE118</f>
        <v>1.2334437866462424E-5</v>
      </c>
    </row>
    <row r="118" spans="1:31" x14ac:dyDescent="0.75">
      <c r="A118" t="s">
        <v>57</v>
      </c>
      <c r="B118">
        <f>'Pretax Fuel Prices'!B119+'Fuel Taxes'!B119</f>
        <v>9.7583626398075181E-6</v>
      </c>
      <c r="C118">
        <f>'Pretax Fuel Prices'!C119+'Fuel Taxes'!C119</f>
        <v>2.2900215327839849E-5</v>
      </c>
      <c r="D118">
        <f>'Pretax Fuel Prices'!C119+'Fuel Taxes'!D119</f>
        <v>2.2900215327839849E-5</v>
      </c>
      <c r="E118">
        <f>'Pretax Fuel Prices'!D119+'Fuel Taxes'!E119</f>
        <v>1.1549577958782708E-5</v>
      </c>
      <c r="F118">
        <f>'Pretax Fuel Prices'!E119+'Fuel Taxes'!F119</f>
        <v>8.0363321535797844E-6</v>
      </c>
      <c r="G118">
        <f>'Pretax Fuel Prices'!F119+'Fuel Taxes'!G119</f>
        <v>8.210298246353254E-6</v>
      </c>
      <c r="H118">
        <f>'Pretax Fuel Prices'!G119+'Fuel Taxes'!H119</f>
        <v>8.3842643391267236E-6</v>
      </c>
      <c r="I118">
        <f>'Pretax Fuel Prices'!H119+'Fuel Taxes'!I119</f>
        <v>8.5582304319001932E-6</v>
      </c>
      <c r="J118">
        <f>'Pretax Fuel Prices'!I119+'Fuel Taxes'!J119</f>
        <v>8.7321965246736594E-6</v>
      </c>
      <c r="K118">
        <f>'Pretax Fuel Prices'!J119+'Fuel Taxes'!K119</f>
        <v>9.7686680342412469E-6</v>
      </c>
      <c r="L118">
        <f>'Pretax Fuel Prices'!K119+'Fuel Taxes'!L119</f>
        <v>1.0800683451182093E-5</v>
      </c>
      <c r="M118">
        <f>'Pretax Fuel Prices'!L119+'Fuel Taxes'!M119</f>
        <v>1.1002732072126232E-5</v>
      </c>
      <c r="N118">
        <f>'Pretax Fuel Prices'!M119+'Fuel Taxes'!N119</f>
        <v>1.0942659978823799E-5</v>
      </c>
      <c r="O118">
        <f>'Pretax Fuel Prices'!N119+'Fuel Taxes'!O119</f>
        <v>1.1091480489580364E-5</v>
      </c>
      <c r="P118">
        <f>'Pretax Fuel Prices'!O119+'Fuel Taxes'!P119</f>
        <v>1.1368151909794524E-5</v>
      </c>
      <c r="Q118">
        <f>'Pretax Fuel Prices'!P119+'Fuel Taxes'!Q119</f>
        <v>1.1449636142416804E-5</v>
      </c>
      <c r="R118">
        <f>'Pretax Fuel Prices'!Q119+'Fuel Taxes'!R119</f>
        <v>1.1347208832856425E-5</v>
      </c>
      <c r="S118">
        <f>'Pretax Fuel Prices'!R119+'Fuel Taxes'!S119</f>
        <v>1.1404757621828395E-5</v>
      </c>
      <c r="T118">
        <f>'Pretax Fuel Prices'!S119+'Fuel Taxes'!T119</f>
        <v>1.1576477032132719E-5</v>
      </c>
      <c r="U118">
        <f>'Pretax Fuel Prices'!T119+'Fuel Taxes'!U119</f>
        <v>1.1681378087349296E-5</v>
      </c>
      <c r="V118">
        <f>'Pretax Fuel Prices'!U119+'Fuel Taxes'!V119</f>
        <v>1.1756835007967832E-5</v>
      </c>
      <c r="W118">
        <f>'Pretax Fuel Prices'!V119+'Fuel Taxes'!W119</f>
        <v>1.1824075658801068E-5</v>
      </c>
      <c r="X118">
        <f>'Pretax Fuel Prices'!W119+'Fuel Taxes'!X119</f>
        <v>1.1826944477832384E-5</v>
      </c>
      <c r="Y118">
        <f>'Pretax Fuel Prices'!X119+'Fuel Taxes'!Y119</f>
        <v>1.1912813606112751E-5</v>
      </c>
      <c r="Z118">
        <f>'Pretax Fuel Prices'!Y119+'Fuel Taxes'!Z119</f>
        <v>1.2009437664717808E-5</v>
      </c>
      <c r="AA118">
        <f>'Pretax Fuel Prices'!Z119+'Fuel Taxes'!AA119</f>
        <v>1.2156021055037547E-5</v>
      </c>
      <c r="AB118">
        <f>'Pretax Fuel Prices'!AA119+'Fuel Taxes'!AB119</f>
        <v>1.2165882533206502E-5</v>
      </c>
      <c r="AC118">
        <f>'Pretax Fuel Prices'!AB119+'Fuel Taxes'!AC119</f>
        <v>1.2163820613153337E-5</v>
      </c>
      <c r="AD118">
        <f>'Pretax Fuel Prices'!AC119+'Fuel Taxes'!AD119</f>
        <v>1.2230054734292372E-5</v>
      </c>
      <c r="AE118">
        <f>'Pretax Fuel Prices'!AD119+'Fuel Taxes'!AE119</f>
        <v>1.2334437866462424E-5</v>
      </c>
    </row>
    <row r="119" spans="1:31" x14ac:dyDescent="0.75">
      <c r="A119" t="s">
        <v>58</v>
      </c>
      <c r="B119">
        <f>'Pretax Fuel Prices'!B120+'Fuel Taxes'!B120</f>
        <v>0</v>
      </c>
      <c r="C119">
        <f>'Pretax Fuel Prices'!C120+'Fuel Taxes'!C120</f>
        <v>0</v>
      </c>
      <c r="D119">
        <f>'Pretax Fuel Prices'!C120+'Fuel Taxes'!D120</f>
        <v>0</v>
      </c>
      <c r="E119">
        <f>'Pretax Fuel Prices'!D120+'Fuel Taxes'!E120</f>
        <v>0</v>
      </c>
      <c r="F119">
        <f>'Pretax Fuel Prices'!E120+'Fuel Taxes'!F120</f>
        <v>0</v>
      </c>
      <c r="G119">
        <f>'Pretax Fuel Prices'!F120+'Fuel Taxes'!G120</f>
        <v>0</v>
      </c>
      <c r="H119">
        <f>'Pretax Fuel Prices'!G120+'Fuel Taxes'!H120</f>
        <v>0</v>
      </c>
      <c r="I119">
        <f>'Pretax Fuel Prices'!H120+'Fuel Taxes'!I120</f>
        <v>0</v>
      </c>
      <c r="J119">
        <f>'Pretax Fuel Prices'!I120+'Fuel Taxes'!J120</f>
        <v>0</v>
      </c>
      <c r="K119">
        <f>'Pretax Fuel Prices'!J120+'Fuel Taxes'!K120</f>
        <v>0</v>
      </c>
      <c r="L119">
        <f>'Pretax Fuel Prices'!K120+'Fuel Taxes'!L120</f>
        <v>0</v>
      </c>
      <c r="M119">
        <f>'Pretax Fuel Prices'!L120+'Fuel Taxes'!M120</f>
        <v>0</v>
      </c>
      <c r="N119">
        <f>'Pretax Fuel Prices'!M120+'Fuel Taxes'!N120</f>
        <v>0</v>
      </c>
      <c r="O119">
        <f>'Pretax Fuel Prices'!N120+'Fuel Taxes'!O120</f>
        <v>0</v>
      </c>
      <c r="P119">
        <f>'Pretax Fuel Prices'!O120+'Fuel Taxes'!P120</f>
        <v>0</v>
      </c>
      <c r="Q119">
        <f>'Pretax Fuel Prices'!P120+'Fuel Taxes'!Q120</f>
        <v>0</v>
      </c>
      <c r="R119">
        <f>'Pretax Fuel Prices'!Q120+'Fuel Taxes'!R120</f>
        <v>0</v>
      </c>
      <c r="S119">
        <f>'Pretax Fuel Prices'!R120+'Fuel Taxes'!S120</f>
        <v>0</v>
      </c>
      <c r="T119">
        <f>'Pretax Fuel Prices'!S120+'Fuel Taxes'!T120</f>
        <v>0</v>
      </c>
      <c r="U119">
        <f>'Pretax Fuel Prices'!T120+'Fuel Taxes'!U120</f>
        <v>0</v>
      </c>
      <c r="V119">
        <f>'Pretax Fuel Prices'!U120+'Fuel Taxes'!V120</f>
        <v>0</v>
      </c>
      <c r="W119">
        <f>'Pretax Fuel Prices'!V120+'Fuel Taxes'!W120</f>
        <v>0</v>
      </c>
      <c r="X119">
        <f>'Pretax Fuel Prices'!W120+'Fuel Taxes'!X120</f>
        <v>0</v>
      </c>
      <c r="Y119">
        <f>'Pretax Fuel Prices'!X120+'Fuel Taxes'!Y120</f>
        <v>0</v>
      </c>
      <c r="Z119">
        <f>'Pretax Fuel Prices'!Y120+'Fuel Taxes'!Z120</f>
        <v>0</v>
      </c>
      <c r="AA119">
        <f>'Pretax Fuel Prices'!Z120+'Fuel Taxes'!AA120</f>
        <v>0</v>
      </c>
      <c r="AB119">
        <f>'Pretax Fuel Prices'!AA120+'Fuel Taxes'!AB120</f>
        <v>0</v>
      </c>
      <c r="AC119">
        <f>'Pretax Fuel Prices'!AB120+'Fuel Taxes'!AC120</f>
        <v>0</v>
      </c>
      <c r="AD119">
        <f>'Pretax Fuel Prices'!AC120+'Fuel Taxes'!AD120</f>
        <v>0</v>
      </c>
      <c r="AE119">
        <f>'Pretax Fuel Prices'!AD120+'Fuel Taxes'!AE120</f>
        <v>0</v>
      </c>
    </row>
    <row r="120" spans="1:31" x14ac:dyDescent="0.75">
      <c r="A120" t="s">
        <v>59</v>
      </c>
      <c r="B120">
        <f>'Pretax Fuel Prices'!B121+'Fuel Taxes'!B121</f>
        <v>9.7583626398075181E-6</v>
      </c>
      <c r="C120">
        <f>'Pretax Fuel Prices'!C121+'Fuel Taxes'!C121</f>
        <v>2.2900215327839849E-5</v>
      </c>
      <c r="D120">
        <f>'Pretax Fuel Prices'!C121+'Fuel Taxes'!D121</f>
        <v>2.2900215327839849E-5</v>
      </c>
      <c r="E120">
        <f>'Pretax Fuel Prices'!D121+'Fuel Taxes'!E121</f>
        <v>1.1549577958782708E-5</v>
      </c>
      <c r="F120">
        <f>'Pretax Fuel Prices'!E121+'Fuel Taxes'!F121</f>
        <v>8.0363321535797844E-6</v>
      </c>
      <c r="G120">
        <f>'Pretax Fuel Prices'!F121+'Fuel Taxes'!G121</f>
        <v>8.210298246353254E-6</v>
      </c>
      <c r="H120">
        <f>'Pretax Fuel Prices'!G121+'Fuel Taxes'!H121</f>
        <v>8.3842643391267236E-6</v>
      </c>
      <c r="I120">
        <f>'Pretax Fuel Prices'!H121+'Fuel Taxes'!I121</f>
        <v>8.5582304319001932E-6</v>
      </c>
      <c r="J120">
        <f>'Pretax Fuel Prices'!I121+'Fuel Taxes'!J121</f>
        <v>8.7321965246736594E-6</v>
      </c>
      <c r="K120">
        <f>'Pretax Fuel Prices'!J121+'Fuel Taxes'!K121</f>
        <v>9.7686680342412469E-6</v>
      </c>
      <c r="L120">
        <f>'Pretax Fuel Prices'!K121+'Fuel Taxes'!L121</f>
        <v>1.0800683451182093E-5</v>
      </c>
      <c r="M120">
        <f>'Pretax Fuel Prices'!L121+'Fuel Taxes'!M121</f>
        <v>1.1002732072126232E-5</v>
      </c>
      <c r="N120">
        <f>'Pretax Fuel Prices'!M121+'Fuel Taxes'!N121</f>
        <v>1.0942659978823799E-5</v>
      </c>
      <c r="O120">
        <f>'Pretax Fuel Prices'!N121+'Fuel Taxes'!O121</f>
        <v>1.1091480489580364E-5</v>
      </c>
      <c r="P120">
        <f>'Pretax Fuel Prices'!O121+'Fuel Taxes'!P121</f>
        <v>1.1368151909794524E-5</v>
      </c>
      <c r="Q120">
        <f>'Pretax Fuel Prices'!P121+'Fuel Taxes'!Q121</f>
        <v>1.1449636142416804E-5</v>
      </c>
      <c r="R120">
        <f>'Pretax Fuel Prices'!Q121+'Fuel Taxes'!R121</f>
        <v>1.1347208832856425E-5</v>
      </c>
      <c r="S120">
        <f>'Pretax Fuel Prices'!R121+'Fuel Taxes'!S121</f>
        <v>1.1404757621828395E-5</v>
      </c>
      <c r="T120">
        <f>'Pretax Fuel Prices'!S121+'Fuel Taxes'!T121</f>
        <v>1.1576477032132719E-5</v>
      </c>
      <c r="U120">
        <f>'Pretax Fuel Prices'!T121+'Fuel Taxes'!U121</f>
        <v>1.1681378087349296E-5</v>
      </c>
      <c r="V120">
        <f>'Pretax Fuel Prices'!U121+'Fuel Taxes'!V121</f>
        <v>1.1756835007967832E-5</v>
      </c>
      <c r="W120">
        <f>'Pretax Fuel Prices'!V121+'Fuel Taxes'!W121</f>
        <v>1.1824075658801068E-5</v>
      </c>
      <c r="X120">
        <f>'Pretax Fuel Prices'!W121+'Fuel Taxes'!X121</f>
        <v>1.1826944477832384E-5</v>
      </c>
      <c r="Y120">
        <f>'Pretax Fuel Prices'!X121+'Fuel Taxes'!Y121</f>
        <v>1.1912813606112751E-5</v>
      </c>
      <c r="Z120">
        <f>'Pretax Fuel Prices'!Y121+'Fuel Taxes'!Z121</f>
        <v>1.2009437664717808E-5</v>
      </c>
      <c r="AA120">
        <f>'Pretax Fuel Prices'!Z121+'Fuel Taxes'!AA121</f>
        <v>1.2156021055037547E-5</v>
      </c>
      <c r="AB120">
        <f>'Pretax Fuel Prices'!AA121+'Fuel Taxes'!AB121</f>
        <v>1.2165882533206502E-5</v>
      </c>
      <c r="AC120">
        <f>'Pretax Fuel Prices'!AB121+'Fuel Taxes'!AC121</f>
        <v>1.2163820613153337E-5</v>
      </c>
      <c r="AD120">
        <f>'Pretax Fuel Prices'!AC121+'Fuel Taxes'!AD121</f>
        <v>1.2230054734292372E-5</v>
      </c>
      <c r="AE120">
        <f>'Pretax Fuel Prices'!AD121+'Fuel Taxes'!AE121</f>
        <v>1.2334437866462424E-5</v>
      </c>
    </row>
    <row r="121" spans="1:31" s="3" customFormat="1" x14ac:dyDescent="0.75">
      <c r="A121" s="5" t="s">
        <v>48</v>
      </c>
    </row>
    <row r="122" spans="1:31" x14ac:dyDescent="0.75">
      <c r="A122" t="s">
        <v>30</v>
      </c>
      <c r="B122">
        <f>'Fuel Taxes'!B$1</f>
        <v>2021</v>
      </c>
      <c r="C122">
        <f>'Fuel Taxes'!C$1</f>
        <v>2022</v>
      </c>
      <c r="D122">
        <f>'Fuel Taxes'!D$1</f>
        <v>2023</v>
      </c>
      <c r="E122">
        <f>'Fuel Taxes'!E$1</f>
        <v>2024</v>
      </c>
      <c r="F122">
        <f>'Fuel Taxes'!F$1</f>
        <v>2025</v>
      </c>
      <c r="G122">
        <f>'Fuel Taxes'!G$1</f>
        <v>2026</v>
      </c>
      <c r="H122">
        <f>'Fuel Taxes'!H$1</f>
        <v>2027</v>
      </c>
      <c r="I122">
        <f>'Fuel Taxes'!I$1</f>
        <v>2028</v>
      </c>
      <c r="J122">
        <f>'Fuel Taxes'!J$1</f>
        <v>2029</v>
      </c>
      <c r="K122">
        <f>'Fuel Taxes'!K$1</f>
        <v>2030</v>
      </c>
      <c r="L122">
        <f>'Fuel Taxes'!L$1</f>
        <v>2031</v>
      </c>
      <c r="M122">
        <f>'Fuel Taxes'!M$1</f>
        <v>2032</v>
      </c>
      <c r="N122">
        <f>'Fuel Taxes'!N$1</f>
        <v>2033</v>
      </c>
      <c r="O122">
        <f>'Fuel Taxes'!O$1</f>
        <v>2034</v>
      </c>
      <c r="P122">
        <f>'Fuel Taxes'!P$1</f>
        <v>2035</v>
      </c>
      <c r="Q122">
        <f>'Fuel Taxes'!Q$1</f>
        <v>2036</v>
      </c>
      <c r="R122">
        <f>'Fuel Taxes'!R$1</f>
        <v>2037</v>
      </c>
      <c r="S122">
        <f>'Fuel Taxes'!S$1</f>
        <v>2038</v>
      </c>
      <c r="T122">
        <f>'Fuel Taxes'!T$1</f>
        <v>2039</v>
      </c>
      <c r="U122">
        <f>'Fuel Taxes'!U$1</f>
        <v>2040</v>
      </c>
      <c r="V122">
        <f>'Fuel Taxes'!V$1</f>
        <v>2041</v>
      </c>
      <c r="W122">
        <f>'Fuel Taxes'!W$1</f>
        <v>2042</v>
      </c>
      <c r="X122">
        <f>'Fuel Taxes'!X$1</f>
        <v>2043</v>
      </c>
      <c r="Y122">
        <f>'Fuel Taxes'!Y$1</f>
        <v>2044</v>
      </c>
      <c r="Z122">
        <f>'Fuel Taxes'!Z$1</f>
        <v>2045</v>
      </c>
      <c r="AA122">
        <f>'Fuel Taxes'!AA$1</f>
        <v>2046</v>
      </c>
      <c r="AB122">
        <f>'Fuel Taxes'!AB$1</f>
        <v>2047</v>
      </c>
      <c r="AC122">
        <f>'Fuel Taxes'!AC$1</f>
        <v>2048</v>
      </c>
      <c r="AD122">
        <f>'Fuel Taxes'!AD$1</f>
        <v>2049</v>
      </c>
      <c r="AE122">
        <f>'Fuel Taxes'!AE$1</f>
        <v>2050</v>
      </c>
    </row>
    <row r="123" spans="1:31" x14ac:dyDescent="0.75">
      <c r="A123" t="s">
        <v>52</v>
      </c>
      <c r="B123">
        <f>'Pretax Fuel Prices'!B124+'Fuel Taxes'!B124</f>
        <v>1.5057942444012247E-5</v>
      </c>
      <c r="C123">
        <f>'Pretax Fuel Prices'!C124+'Fuel Taxes'!C124</f>
        <v>2.0153898459999997E-5</v>
      </c>
      <c r="D123">
        <f>'Pretax Fuel Prices'!C124+'Fuel Taxes'!D124</f>
        <v>2.0071422036219999E-5</v>
      </c>
      <c r="E123">
        <f>'Pretax Fuel Prices'!D124+'Fuel Taxes'!E124</f>
        <v>1.8528444890754051E-5</v>
      </c>
      <c r="F123">
        <f>'Pretax Fuel Prices'!E124+'Fuel Taxes'!F124</f>
        <v>1.2882667256840408E-5</v>
      </c>
      <c r="G123">
        <f>'Pretax Fuel Prices'!F124+'Fuel Taxes'!G124</f>
        <v>1.3043809505878647E-5</v>
      </c>
      <c r="H123">
        <f>'Pretax Fuel Prices'!G124+'Fuel Taxes'!H124</f>
        <v>1.3589174527733875E-5</v>
      </c>
      <c r="I123">
        <f>'Pretax Fuel Prices'!H124+'Fuel Taxes'!I124</f>
        <v>1.3426559143613102E-5</v>
      </c>
      <c r="J123">
        <f>'Pretax Fuel Prices'!I124+'Fuel Taxes'!J124</f>
        <v>1.3490777435662055E-5</v>
      </c>
      <c r="K123">
        <f>'Pretax Fuel Prices'!J124+'Fuel Taxes'!K124</f>
        <v>1.3751187736269836E-5</v>
      </c>
      <c r="L123">
        <f>'Pretax Fuel Prices'!K124+'Fuel Taxes'!L124</f>
        <v>1.4037426582796267E-5</v>
      </c>
      <c r="M123">
        <f>'Pretax Fuel Prices'!L124+'Fuel Taxes'!M124</f>
        <v>1.4352786251505957E-5</v>
      </c>
      <c r="N123">
        <f>'Pretax Fuel Prices'!M124+'Fuel Taxes'!N124</f>
        <v>1.4837523525410876E-5</v>
      </c>
      <c r="O123">
        <f>'Pretax Fuel Prices'!N124+'Fuel Taxes'!O124</f>
        <v>1.5378750132721483E-5</v>
      </c>
      <c r="P123">
        <f>'Pretax Fuel Prices'!O124+'Fuel Taxes'!P124</f>
        <v>1.588186436612354E-5</v>
      </c>
      <c r="Q123">
        <f>'Pretax Fuel Prices'!P124+'Fuel Taxes'!Q124</f>
        <v>1.6220721234617084E-5</v>
      </c>
      <c r="R123">
        <f>'Pretax Fuel Prices'!Q124+'Fuel Taxes'!R124</f>
        <v>1.6297663307249648E-5</v>
      </c>
      <c r="S123">
        <f>'Pretax Fuel Prices'!R124+'Fuel Taxes'!S124</f>
        <v>1.6360899795892816E-5</v>
      </c>
      <c r="T123">
        <f>'Pretax Fuel Prices'!S124+'Fuel Taxes'!T124</f>
        <v>1.6430383369017816E-5</v>
      </c>
      <c r="U123">
        <f>'Pretax Fuel Prices'!T124+'Fuel Taxes'!U124</f>
        <v>1.6524954062374099E-5</v>
      </c>
      <c r="V123">
        <f>'Pretax Fuel Prices'!U124+'Fuel Taxes'!V124</f>
        <v>1.6648225225426593E-5</v>
      </c>
      <c r="W123">
        <f>'Pretax Fuel Prices'!V124+'Fuel Taxes'!W124</f>
        <v>1.6821631964799644E-5</v>
      </c>
      <c r="X123">
        <f>'Pretax Fuel Prices'!W124+'Fuel Taxes'!X124</f>
        <v>1.6950757780226797E-5</v>
      </c>
      <c r="Y123">
        <f>'Pretax Fuel Prices'!X124+'Fuel Taxes'!Y124</f>
        <v>1.7145598107355509E-5</v>
      </c>
      <c r="Z123">
        <f>'Pretax Fuel Prices'!Y124+'Fuel Taxes'!Z124</f>
        <v>1.731288677115393E-5</v>
      </c>
      <c r="AA123">
        <f>'Pretax Fuel Prices'!Z124+'Fuel Taxes'!AA124</f>
        <v>1.7457383855760724E-5</v>
      </c>
      <c r="AB123">
        <f>'Pretax Fuel Prices'!AA124+'Fuel Taxes'!AB124</f>
        <v>1.7753993124308476E-5</v>
      </c>
      <c r="AC123">
        <f>'Pretax Fuel Prices'!AB124+'Fuel Taxes'!AC124</f>
        <v>1.7794943878450211E-5</v>
      </c>
      <c r="AD123">
        <f>'Pretax Fuel Prices'!AC124+'Fuel Taxes'!AD124</f>
        <v>1.7892104064189477E-5</v>
      </c>
      <c r="AE123">
        <f>'Pretax Fuel Prices'!AD124+'Fuel Taxes'!AE124</f>
        <v>1.8085991351487741E-5</v>
      </c>
    </row>
    <row r="124" spans="1:31" x14ac:dyDescent="0.75">
      <c r="A124" t="s">
        <v>53</v>
      </c>
      <c r="B124">
        <f>'Pretax Fuel Prices'!B125+'Fuel Taxes'!B125</f>
        <v>0</v>
      </c>
      <c r="C124">
        <f>'Pretax Fuel Prices'!C125+'Fuel Taxes'!C125</f>
        <v>0</v>
      </c>
      <c r="D124">
        <f>'Pretax Fuel Prices'!C125+'Fuel Taxes'!D125</f>
        <v>0</v>
      </c>
      <c r="E124">
        <f>'Pretax Fuel Prices'!D125+'Fuel Taxes'!E125</f>
        <v>0</v>
      </c>
      <c r="F124">
        <f>'Pretax Fuel Prices'!E125+'Fuel Taxes'!F125</f>
        <v>0</v>
      </c>
      <c r="G124">
        <f>'Pretax Fuel Prices'!F125+'Fuel Taxes'!G125</f>
        <v>0</v>
      </c>
      <c r="H124">
        <f>'Pretax Fuel Prices'!G125+'Fuel Taxes'!H125</f>
        <v>0</v>
      </c>
      <c r="I124">
        <f>'Pretax Fuel Prices'!H125+'Fuel Taxes'!I125</f>
        <v>0</v>
      </c>
      <c r="J124">
        <f>'Pretax Fuel Prices'!I125+'Fuel Taxes'!J125</f>
        <v>0</v>
      </c>
      <c r="K124">
        <f>'Pretax Fuel Prices'!J125+'Fuel Taxes'!K125</f>
        <v>0</v>
      </c>
      <c r="L124">
        <f>'Pretax Fuel Prices'!K125+'Fuel Taxes'!L125</f>
        <v>0</v>
      </c>
      <c r="M124">
        <f>'Pretax Fuel Prices'!L125+'Fuel Taxes'!M125</f>
        <v>0</v>
      </c>
      <c r="N124">
        <f>'Pretax Fuel Prices'!M125+'Fuel Taxes'!N125</f>
        <v>0</v>
      </c>
      <c r="O124">
        <f>'Pretax Fuel Prices'!N125+'Fuel Taxes'!O125</f>
        <v>0</v>
      </c>
      <c r="P124">
        <f>'Pretax Fuel Prices'!O125+'Fuel Taxes'!P125</f>
        <v>0</v>
      </c>
      <c r="Q124">
        <f>'Pretax Fuel Prices'!P125+'Fuel Taxes'!Q125</f>
        <v>0</v>
      </c>
      <c r="R124">
        <f>'Pretax Fuel Prices'!Q125+'Fuel Taxes'!R125</f>
        <v>0</v>
      </c>
      <c r="S124">
        <f>'Pretax Fuel Prices'!R125+'Fuel Taxes'!S125</f>
        <v>0</v>
      </c>
      <c r="T124">
        <f>'Pretax Fuel Prices'!S125+'Fuel Taxes'!T125</f>
        <v>0</v>
      </c>
      <c r="U124">
        <f>'Pretax Fuel Prices'!T125+'Fuel Taxes'!U125</f>
        <v>0</v>
      </c>
      <c r="V124">
        <f>'Pretax Fuel Prices'!U125+'Fuel Taxes'!V125</f>
        <v>0</v>
      </c>
      <c r="W124">
        <f>'Pretax Fuel Prices'!V125+'Fuel Taxes'!W125</f>
        <v>0</v>
      </c>
      <c r="X124">
        <f>'Pretax Fuel Prices'!W125+'Fuel Taxes'!X125</f>
        <v>0</v>
      </c>
      <c r="Y124">
        <f>'Pretax Fuel Prices'!X125+'Fuel Taxes'!Y125</f>
        <v>0</v>
      </c>
      <c r="Z124">
        <f>'Pretax Fuel Prices'!Y125+'Fuel Taxes'!Z125</f>
        <v>0</v>
      </c>
      <c r="AA124">
        <f>'Pretax Fuel Prices'!Z125+'Fuel Taxes'!AA125</f>
        <v>0</v>
      </c>
      <c r="AB124">
        <f>'Pretax Fuel Prices'!AA125+'Fuel Taxes'!AB125</f>
        <v>0</v>
      </c>
      <c r="AC124">
        <f>'Pretax Fuel Prices'!AB125+'Fuel Taxes'!AC125</f>
        <v>0</v>
      </c>
      <c r="AD124">
        <f>'Pretax Fuel Prices'!AC125+'Fuel Taxes'!AD125</f>
        <v>0</v>
      </c>
      <c r="AE124">
        <f>'Pretax Fuel Prices'!AD125+'Fuel Taxes'!AE125</f>
        <v>0</v>
      </c>
    </row>
    <row r="125" spans="1:31" x14ac:dyDescent="0.75">
      <c r="A125" t="s">
        <v>54</v>
      </c>
      <c r="B125">
        <f>'Pretax Fuel Prices'!B126+'Fuel Taxes'!B126</f>
        <v>1.8233594261969958E-5</v>
      </c>
      <c r="C125">
        <f>'Pretax Fuel Prices'!C126+'Fuel Taxes'!C126</f>
        <v>2.2869693880000001E-5</v>
      </c>
      <c r="D125">
        <f>'Pretax Fuel Prices'!C126+'Fuel Taxes'!D126</f>
        <v>2.2985709705100001E-5</v>
      </c>
      <c r="E125">
        <f>'Pretax Fuel Prices'!D126+'Fuel Taxes'!E126</f>
        <v>2.4228246033334289E-5</v>
      </c>
      <c r="F125">
        <f>'Pretax Fuel Prices'!E126+'Fuel Taxes'!F126</f>
        <v>1.9420315636313436E-5</v>
      </c>
      <c r="G125">
        <f>'Pretax Fuel Prices'!F126+'Fuel Taxes'!G126</f>
        <v>1.88224849372518E-5</v>
      </c>
      <c r="H125">
        <f>'Pretax Fuel Prices'!G126+'Fuel Taxes'!H126</f>
        <v>1.8936116198269969E-5</v>
      </c>
      <c r="I125">
        <f>'Pretax Fuel Prices'!H126+'Fuel Taxes'!I126</f>
        <v>1.8805139591118135E-5</v>
      </c>
      <c r="J125">
        <f>'Pretax Fuel Prices'!I126+'Fuel Taxes'!J126</f>
        <v>1.8803197376901613E-5</v>
      </c>
      <c r="K125">
        <f>'Pretax Fuel Prices'!J126+'Fuel Taxes'!K126</f>
        <v>1.9010108728468949E-5</v>
      </c>
      <c r="L125">
        <f>'Pretax Fuel Prices'!K126+'Fuel Taxes'!L126</f>
        <v>1.933414022146593E-5</v>
      </c>
      <c r="M125">
        <f>'Pretax Fuel Prices'!L126+'Fuel Taxes'!M126</f>
        <v>1.9746002215924462E-5</v>
      </c>
      <c r="N125">
        <f>'Pretax Fuel Prices'!M126+'Fuel Taxes'!N126</f>
        <v>2.0343801337036466E-5</v>
      </c>
      <c r="O125">
        <f>'Pretax Fuel Prices'!N126+'Fuel Taxes'!O126</f>
        <v>2.107731414863002E-5</v>
      </c>
      <c r="P125">
        <f>'Pretax Fuel Prices'!O126+'Fuel Taxes'!P126</f>
        <v>2.1855345536858823E-5</v>
      </c>
      <c r="Q125">
        <f>'Pretax Fuel Prices'!P126+'Fuel Taxes'!Q126</f>
        <v>2.2542002311119153E-5</v>
      </c>
      <c r="R125">
        <f>'Pretax Fuel Prices'!Q126+'Fuel Taxes'!R126</f>
        <v>2.290974555436621E-5</v>
      </c>
      <c r="S125">
        <f>'Pretax Fuel Prices'!R126+'Fuel Taxes'!S126</f>
        <v>2.3155010528676382E-5</v>
      </c>
      <c r="T125">
        <f>'Pretax Fuel Prices'!S126+'Fuel Taxes'!T126</f>
        <v>2.3347041451342133E-5</v>
      </c>
      <c r="U125">
        <f>'Pretax Fuel Prices'!T126+'Fuel Taxes'!U126</f>
        <v>2.3529209382554346E-5</v>
      </c>
      <c r="V125">
        <f>'Pretax Fuel Prices'!U126+'Fuel Taxes'!V126</f>
        <v>2.3727460474455727E-5</v>
      </c>
      <c r="W125">
        <f>'Pretax Fuel Prices'!V126+'Fuel Taxes'!W126</f>
        <v>2.3974269942755297E-5</v>
      </c>
      <c r="X125">
        <f>'Pretax Fuel Prices'!W126+'Fuel Taxes'!X126</f>
        <v>2.4205495114960908E-5</v>
      </c>
      <c r="Y125">
        <f>'Pretax Fuel Prices'!X126+'Fuel Taxes'!Y126</f>
        <v>2.448878546327596E-5</v>
      </c>
      <c r="Z125">
        <f>'Pretax Fuel Prices'!Y126+'Fuel Taxes'!Z126</f>
        <v>2.4770998565158694E-5</v>
      </c>
      <c r="AA125">
        <f>'Pretax Fuel Prices'!Z126+'Fuel Taxes'!AA126</f>
        <v>2.5036405228911792E-5</v>
      </c>
      <c r="AB125">
        <f>'Pretax Fuel Prices'!AA126+'Fuel Taxes'!AB126</f>
        <v>2.5424672173823189E-5</v>
      </c>
      <c r="AC125">
        <f>'Pretax Fuel Prices'!AB126+'Fuel Taxes'!AC126</f>
        <v>2.5647800368858514E-5</v>
      </c>
      <c r="AD125">
        <f>'Pretax Fuel Prices'!AC126+'Fuel Taxes'!AD126</f>
        <v>2.5854276424951512E-5</v>
      </c>
      <c r="AE125">
        <f>'Pretax Fuel Prices'!AD126+'Fuel Taxes'!AE126</f>
        <v>2.6132312157775628E-5</v>
      </c>
    </row>
    <row r="126" spans="1:31" x14ac:dyDescent="0.75">
      <c r="A126" t="s">
        <v>55</v>
      </c>
      <c r="B126">
        <f>'Pretax Fuel Prices'!B127+'Fuel Taxes'!B127</f>
        <v>1.5948204045687712E-5</v>
      </c>
      <c r="C126">
        <f>'Pretax Fuel Prices'!C127+'Fuel Taxes'!C127</f>
        <v>2.184313054E-5</v>
      </c>
      <c r="D126">
        <f>'Pretax Fuel Prices'!C127+'Fuel Taxes'!D127</f>
        <v>2.178571522552E-5</v>
      </c>
      <c r="E126">
        <f>'Pretax Fuel Prices'!D127+'Fuel Taxes'!E127</f>
        <v>2.0520828107848041E-5</v>
      </c>
      <c r="F126">
        <f>'Pretax Fuel Prices'!E127+'Fuel Taxes'!F127</f>
        <v>1.397009109760078E-5</v>
      </c>
      <c r="G126">
        <f>'Pretax Fuel Prices'!F127+'Fuel Taxes'!G127</f>
        <v>1.401539583395601E-5</v>
      </c>
      <c r="H126">
        <f>'Pretax Fuel Prices'!G127+'Fuel Taxes'!H127</f>
        <v>1.4602889179894232E-5</v>
      </c>
      <c r="I126">
        <f>'Pretax Fuel Prices'!H127+'Fuel Taxes'!I127</f>
        <v>1.445853554461512E-5</v>
      </c>
      <c r="J126">
        <f>'Pretax Fuel Prices'!I127+'Fuel Taxes'!J127</f>
        <v>1.4525270060386199E-5</v>
      </c>
      <c r="K126">
        <f>'Pretax Fuel Prices'!J127+'Fuel Taxes'!K127</f>
        <v>1.481752122008832E-5</v>
      </c>
      <c r="L126">
        <f>'Pretax Fuel Prices'!K127+'Fuel Taxes'!L127</f>
        <v>1.5154269172945307E-5</v>
      </c>
      <c r="M126">
        <f>'Pretax Fuel Prices'!L127+'Fuel Taxes'!M127</f>
        <v>1.5528905220883448E-5</v>
      </c>
      <c r="N126">
        <f>'Pretax Fuel Prices'!M127+'Fuel Taxes'!N127</f>
        <v>1.6096323422812122E-5</v>
      </c>
      <c r="O126">
        <f>'Pretax Fuel Prices'!N127+'Fuel Taxes'!O127</f>
        <v>1.6741670319836707E-5</v>
      </c>
      <c r="P126">
        <f>'Pretax Fuel Prices'!O127+'Fuel Taxes'!P127</f>
        <v>1.7354604704741416E-5</v>
      </c>
      <c r="Q126">
        <f>'Pretax Fuel Prices'!P127+'Fuel Taxes'!Q127</f>
        <v>1.7799967536558891E-5</v>
      </c>
      <c r="R126">
        <f>'Pretax Fuel Prices'!Q127+'Fuel Taxes'!R127</f>
        <v>1.7914341133468802E-5</v>
      </c>
      <c r="S126">
        <f>'Pretax Fuel Prices'!R127+'Fuel Taxes'!S127</f>
        <v>1.7995020399203224E-5</v>
      </c>
      <c r="T126">
        <f>'Pretax Fuel Prices'!S127+'Fuel Taxes'!T127</f>
        <v>1.8080388239399383E-5</v>
      </c>
      <c r="U126">
        <f>'Pretax Fuel Prices'!T127+'Fuel Taxes'!U127</f>
        <v>1.819406646808056E-5</v>
      </c>
      <c r="V126">
        <f>'Pretax Fuel Prices'!U127+'Fuel Taxes'!V127</f>
        <v>1.834215732438191E-5</v>
      </c>
      <c r="W126">
        <f>'Pretax Fuel Prices'!V127+'Fuel Taxes'!W127</f>
        <v>1.8549512883608862E-5</v>
      </c>
      <c r="X126">
        <f>'Pretax Fuel Prices'!W127+'Fuel Taxes'!X127</f>
        <v>1.8711012971403629E-5</v>
      </c>
      <c r="Y126">
        <f>'Pretax Fuel Prices'!X127+'Fuel Taxes'!Y127</f>
        <v>1.8944713190355141E-5</v>
      </c>
      <c r="Z126">
        <f>'Pretax Fuel Prices'!Y127+'Fuel Taxes'!Z127</f>
        <v>1.9151637686837322E-5</v>
      </c>
      <c r="AA126">
        <f>'Pretax Fuel Prices'!Z127+'Fuel Taxes'!AA127</f>
        <v>1.9331616917135468E-5</v>
      </c>
      <c r="AB126">
        <f>'Pretax Fuel Prices'!AA127+'Fuel Taxes'!AB127</f>
        <v>1.9682932205338288E-5</v>
      </c>
      <c r="AC126">
        <f>'Pretax Fuel Prices'!AB127+'Fuel Taxes'!AC127</f>
        <v>1.9754301068609331E-5</v>
      </c>
      <c r="AD126">
        <f>'Pretax Fuel Prices'!AC127+'Fuel Taxes'!AD127</f>
        <v>1.9873593192229574E-5</v>
      </c>
      <c r="AE126">
        <f>'Pretax Fuel Prices'!AD127+'Fuel Taxes'!AE127</f>
        <v>2.0107481482859871E-5</v>
      </c>
    </row>
    <row r="127" spans="1:31" x14ac:dyDescent="0.75">
      <c r="A127" t="s">
        <v>56</v>
      </c>
      <c r="B127">
        <f>'Pretax Fuel Prices'!B128+'Fuel Taxes'!B128</f>
        <v>1.1577422127180129E-5</v>
      </c>
      <c r="C127">
        <f>'Pretax Fuel Prices'!C128+'Fuel Taxes'!C128</f>
        <v>1.83964907E-5</v>
      </c>
      <c r="D127">
        <f>'Pretax Fuel Prices'!C128+'Fuel Taxes'!D128</f>
        <v>1.8291551545180002E-5</v>
      </c>
      <c r="E127">
        <f>'Pretax Fuel Prices'!D128+'Fuel Taxes'!E128</f>
        <v>1.6337352654540752E-5</v>
      </c>
      <c r="F127">
        <f>'Pretax Fuel Prices'!E128+'Fuel Taxes'!F128</f>
        <v>9.264402660329509E-6</v>
      </c>
      <c r="G127">
        <f>'Pretax Fuel Prices'!F128+'Fuel Taxes'!G128</f>
        <v>9.2804734467063348E-6</v>
      </c>
      <c r="H127">
        <f>'Pretax Fuel Prices'!G128+'Fuel Taxes'!H128</f>
        <v>9.8433553854295168E-6</v>
      </c>
      <c r="I127">
        <f>'Pretax Fuel Prices'!H128+'Fuel Taxes'!I128</f>
        <v>9.7093298923404852E-6</v>
      </c>
      <c r="J127">
        <f>'Pretax Fuel Prices'!I128+'Fuel Taxes'!J128</f>
        <v>9.7742443008843555E-6</v>
      </c>
      <c r="K127">
        <f>'Pretax Fuel Prices'!J128+'Fuel Taxes'!K128</f>
        <v>1.0061055450981189E-5</v>
      </c>
      <c r="L127">
        <f>'Pretax Fuel Prices'!K128+'Fuel Taxes'!L128</f>
        <v>1.0397696150490952E-5</v>
      </c>
      <c r="M127">
        <f>'Pretax Fuel Prices'!L128+'Fuel Taxes'!M128</f>
        <v>1.0777227003984692E-5</v>
      </c>
      <c r="N127">
        <f>'Pretax Fuel Prices'!M128+'Fuel Taxes'!N128</f>
        <v>1.1357994604032724E-5</v>
      </c>
      <c r="O127">
        <f>'Pretax Fuel Prices'!N128+'Fuel Taxes'!O128</f>
        <v>1.2031876609511724E-5</v>
      </c>
      <c r="P127">
        <f>'Pretax Fuel Prices'!O128+'Fuel Taxes'!P128</f>
        <v>1.2672643073289875E-5</v>
      </c>
      <c r="Q127">
        <f>'Pretax Fuel Prices'!P128+'Fuel Taxes'!Q128</f>
        <v>1.2982357386376468E-5</v>
      </c>
      <c r="R127">
        <f>'Pretax Fuel Prices'!Q128+'Fuel Taxes'!R128</f>
        <v>1.3080409695261391E-5</v>
      </c>
      <c r="S127">
        <f>'Pretax Fuel Prices'!R128+'Fuel Taxes'!S128</f>
        <v>1.3169545212030144E-5</v>
      </c>
      <c r="T127">
        <f>'Pretax Fuel Prices'!S128+'Fuel Taxes'!T128</f>
        <v>1.3263065535111768E-5</v>
      </c>
      <c r="U127">
        <f>'Pretax Fuel Prices'!T128+'Fuel Taxes'!U128</f>
        <v>1.3387138984695667E-5</v>
      </c>
      <c r="V127">
        <f>'Pretax Fuel Prices'!U128+'Fuel Taxes'!V128</f>
        <v>1.3549079522066908E-5</v>
      </c>
      <c r="W127">
        <f>'Pretax Fuel Prices'!V128+'Fuel Taxes'!W128</f>
        <v>1.3776449062919267E-5</v>
      </c>
      <c r="X127">
        <f>'Pretax Fuel Prices'!W128+'Fuel Taxes'!X128</f>
        <v>1.3955949609472751E-5</v>
      </c>
      <c r="Y127">
        <f>'Pretax Fuel Prices'!X128+'Fuel Taxes'!Y128</f>
        <v>1.4214801668096089E-5</v>
      </c>
      <c r="Z127">
        <f>'Pretax Fuel Prices'!Y128+'Fuel Taxes'!Z128</f>
        <v>1.444653164076969E-5</v>
      </c>
      <c r="AA127">
        <f>'Pretax Fuel Prices'!Z128+'Fuel Taxes'!AA128</f>
        <v>1.4649524059898546E-5</v>
      </c>
      <c r="AB127">
        <f>'Pretax Fuel Prices'!AA128+'Fuel Taxes'!AB128</f>
        <v>1.5043694450840455E-5</v>
      </c>
      <c r="AC127">
        <f>'Pretax Fuel Prices'!AB128+'Fuel Taxes'!AC128</f>
        <v>1.5129476741155359E-5</v>
      </c>
      <c r="AD127">
        <f>'Pretax Fuel Prices'!AC128+'Fuel Taxes'!AD128</f>
        <v>1.5263497652510044E-5</v>
      </c>
      <c r="AE127">
        <f>'Pretax Fuel Prices'!AD128+'Fuel Taxes'!AE128</f>
        <v>1.5499194295887632E-5</v>
      </c>
    </row>
    <row r="128" spans="1:31" x14ac:dyDescent="0.75">
      <c r="A128" t="s">
        <v>57</v>
      </c>
      <c r="B128">
        <f>'Pretax Fuel Prices'!B129+'Fuel Taxes'!B129</f>
        <v>0</v>
      </c>
      <c r="C128">
        <f>'Pretax Fuel Prices'!C129+'Fuel Taxes'!C129</f>
        <v>0</v>
      </c>
      <c r="D128">
        <f>'Pretax Fuel Prices'!C129+'Fuel Taxes'!D129</f>
        <v>0</v>
      </c>
      <c r="E128">
        <f>'Pretax Fuel Prices'!D129+'Fuel Taxes'!E129</f>
        <v>0</v>
      </c>
      <c r="F128">
        <f>'Pretax Fuel Prices'!E129+'Fuel Taxes'!F129</f>
        <v>0</v>
      </c>
      <c r="G128">
        <f>'Pretax Fuel Prices'!F129+'Fuel Taxes'!G129</f>
        <v>0</v>
      </c>
      <c r="H128">
        <f>'Pretax Fuel Prices'!G129+'Fuel Taxes'!H129</f>
        <v>0</v>
      </c>
      <c r="I128">
        <f>'Pretax Fuel Prices'!H129+'Fuel Taxes'!I129</f>
        <v>0</v>
      </c>
      <c r="J128">
        <f>'Pretax Fuel Prices'!I129+'Fuel Taxes'!J129</f>
        <v>0</v>
      </c>
      <c r="K128">
        <f>'Pretax Fuel Prices'!J129+'Fuel Taxes'!K129</f>
        <v>0</v>
      </c>
      <c r="L128">
        <f>'Pretax Fuel Prices'!K129+'Fuel Taxes'!L129</f>
        <v>0</v>
      </c>
      <c r="M128">
        <f>'Pretax Fuel Prices'!L129+'Fuel Taxes'!M129</f>
        <v>0</v>
      </c>
      <c r="N128">
        <f>'Pretax Fuel Prices'!M129+'Fuel Taxes'!N129</f>
        <v>0</v>
      </c>
      <c r="O128">
        <f>'Pretax Fuel Prices'!N129+'Fuel Taxes'!O129</f>
        <v>0</v>
      </c>
      <c r="P128">
        <f>'Pretax Fuel Prices'!O129+'Fuel Taxes'!P129</f>
        <v>0</v>
      </c>
      <c r="Q128">
        <f>'Pretax Fuel Prices'!P129+'Fuel Taxes'!Q129</f>
        <v>0</v>
      </c>
      <c r="R128">
        <f>'Pretax Fuel Prices'!Q129+'Fuel Taxes'!R129</f>
        <v>0</v>
      </c>
      <c r="S128">
        <f>'Pretax Fuel Prices'!R129+'Fuel Taxes'!S129</f>
        <v>0</v>
      </c>
      <c r="T128">
        <f>'Pretax Fuel Prices'!S129+'Fuel Taxes'!T129</f>
        <v>0</v>
      </c>
      <c r="U128">
        <f>'Pretax Fuel Prices'!T129+'Fuel Taxes'!U129</f>
        <v>0</v>
      </c>
      <c r="V128">
        <f>'Pretax Fuel Prices'!U129+'Fuel Taxes'!V129</f>
        <v>0</v>
      </c>
      <c r="W128">
        <f>'Pretax Fuel Prices'!V129+'Fuel Taxes'!W129</f>
        <v>0</v>
      </c>
      <c r="X128">
        <f>'Pretax Fuel Prices'!W129+'Fuel Taxes'!X129</f>
        <v>0</v>
      </c>
      <c r="Y128">
        <f>'Pretax Fuel Prices'!X129+'Fuel Taxes'!Y129</f>
        <v>0</v>
      </c>
      <c r="Z128">
        <f>'Pretax Fuel Prices'!Y129+'Fuel Taxes'!Z129</f>
        <v>0</v>
      </c>
      <c r="AA128">
        <f>'Pretax Fuel Prices'!Z129+'Fuel Taxes'!AA129</f>
        <v>0</v>
      </c>
      <c r="AB128">
        <f>'Pretax Fuel Prices'!AA129+'Fuel Taxes'!AB129</f>
        <v>0</v>
      </c>
      <c r="AC128">
        <f>'Pretax Fuel Prices'!AB129+'Fuel Taxes'!AC129</f>
        <v>0</v>
      </c>
      <c r="AD128">
        <f>'Pretax Fuel Prices'!AC129+'Fuel Taxes'!AD129</f>
        <v>0</v>
      </c>
      <c r="AE128">
        <f>'Pretax Fuel Prices'!AD129+'Fuel Taxes'!AE129</f>
        <v>0</v>
      </c>
    </row>
    <row r="129" spans="1:31" x14ac:dyDescent="0.75">
      <c r="A129" t="s">
        <v>58</v>
      </c>
      <c r="B129">
        <f>'Pretax Fuel Prices'!B130+'Fuel Taxes'!B130</f>
        <v>0</v>
      </c>
      <c r="C129">
        <f>'Pretax Fuel Prices'!C130+'Fuel Taxes'!C130</f>
        <v>0</v>
      </c>
      <c r="D129">
        <f>'Pretax Fuel Prices'!C130+'Fuel Taxes'!D130</f>
        <v>0</v>
      </c>
      <c r="E129">
        <f>'Pretax Fuel Prices'!D130+'Fuel Taxes'!E130</f>
        <v>0</v>
      </c>
      <c r="F129">
        <f>'Pretax Fuel Prices'!E130+'Fuel Taxes'!F130</f>
        <v>0</v>
      </c>
      <c r="G129">
        <f>'Pretax Fuel Prices'!F130+'Fuel Taxes'!G130</f>
        <v>0</v>
      </c>
      <c r="H129">
        <f>'Pretax Fuel Prices'!G130+'Fuel Taxes'!H130</f>
        <v>0</v>
      </c>
      <c r="I129">
        <f>'Pretax Fuel Prices'!H130+'Fuel Taxes'!I130</f>
        <v>0</v>
      </c>
      <c r="J129">
        <f>'Pretax Fuel Prices'!I130+'Fuel Taxes'!J130</f>
        <v>0</v>
      </c>
      <c r="K129">
        <f>'Pretax Fuel Prices'!J130+'Fuel Taxes'!K130</f>
        <v>0</v>
      </c>
      <c r="L129">
        <f>'Pretax Fuel Prices'!K130+'Fuel Taxes'!L130</f>
        <v>0</v>
      </c>
      <c r="M129">
        <f>'Pretax Fuel Prices'!L130+'Fuel Taxes'!M130</f>
        <v>0</v>
      </c>
      <c r="N129">
        <f>'Pretax Fuel Prices'!M130+'Fuel Taxes'!N130</f>
        <v>0</v>
      </c>
      <c r="O129">
        <f>'Pretax Fuel Prices'!N130+'Fuel Taxes'!O130</f>
        <v>0</v>
      </c>
      <c r="P129">
        <f>'Pretax Fuel Prices'!O130+'Fuel Taxes'!P130</f>
        <v>0</v>
      </c>
      <c r="Q129">
        <f>'Pretax Fuel Prices'!P130+'Fuel Taxes'!Q130</f>
        <v>0</v>
      </c>
      <c r="R129">
        <f>'Pretax Fuel Prices'!Q130+'Fuel Taxes'!R130</f>
        <v>0</v>
      </c>
      <c r="S129">
        <f>'Pretax Fuel Prices'!R130+'Fuel Taxes'!S130</f>
        <v>0</v>
      </c>
      <c r="T129">
        <f>'Pretax Fuel Prices'!S130+'Fuel Taxes'!T130</f>
        <v>0</v>
      </c>
      <c r="U129">
        <f>'Pretax Fuel Prices'!T130+'Fuel Taxes'!U130</f>
        <v>0</v>
      </c>
      <c r="V129">
        <f>'Pretax Fuel Prices'!U130+'Fuel Taxes'!V130</f>
        <v>0</v>
      </c>
      <c r="W129">
        <f>'Pretax Fuel Prices'!V130+'Fuel Taxes'!W130</f>
        <v>0</v>
      </c>
      <c r="X129">
        <f>'Pretax Fuel Prices'!W130+'Fuel Taxes'!X130</f>
        <v>0</v>
      </c>
      <c r="Y129">
        <f>'Pretax Fuel Prices'!X130+'Fuel Taxes'!Y130</f>
        <v>0</v>
      </c>
      <c r="Z129">
        <f>'Pretax Fuel Prices'!Y130+'Fuel Taxes'!Z130</f>
        <v>0</v>
      </c>
      <c r="AA129">
        <f>'Pretax Fuel Prices'!Z130+'Fuel Taxes'!AA130</f>
        <v>0</v>
      </c>
      <c r="AB129">
        <f>'Pretax Fuel Prices'!AA130+'Fuel Taxes'!AB130</f>
        <v>0</v>
      </c>
      <c r="AC129">
        <f>'Pretax Fuel Prices'!AB130+'Fuel Taxes'!AC130</f>
        <v>0</v>
      </c>
      <c r="AD129">
        <f>'Pretax Fuel Prices'!AC130+'Fuel Taxes'!AD130</f>
        <v>0</v>
      </c>
      <c r="AE129">
        <f>'Pretax Fuel Prices'!AD130+'Fuel Taxes'!AE130</f>
        <v>0</v>
      </c>
    </row>
    <row r="130" spans="1:31" x14ac:dyDescent="0.75">
      <c r="A130" t="s">
        <v>59</v>
      </c>
      <c r="B130">
        <f>'Pretax Fuel Prices'!B131+'Fuel Taxes'!B131</f>
        <v>1.1577422127180129E-5</v>
      </c>
      <c r="C130">
        <f>'Pretax Fuel Prices'!C131+'Fuel Taxes'!C131</f>
        <v>1.83964907E-5</v>
      </c>
      <c r="D130">
        <f>'Pretax Fuel Prices'!C131+'Fuel Taxes'!D131</f>
        <v>1.8291551545180002E-5</v>
      </c>
      <c r="E130">
        <f>'Pretax Fuel Prices'!D131+'Fuel Taxes'!E131</f>
        <v>1.6337352654540752E-5</v>
      </c>
      <c r="F130">
        <f>'Pretax Fuel Prices'!E131+'Fuel Taxes'!F131</f>
        <v>9.264402660329509E-6</v>
      </c>
      <c r="G130">
        <f>'Pretax Fuel Prices'!F131+'Fuel Taxes'!G131</f>
        <v>9.2804734467063348E-6</v>
      </c>
      <c r="H130">
        <f>'Pretax Fuel Prices'!G131+'Fuel Taxes'!H131</f>
        <v>9.8433553854295168E-6</v>
      </c>
      <c r="I130">
        <f>'Pretax Fuel Prices'!H131+'Fuel Taxes'!I131</f>
        <v>9.7093298923404852E-6</v>
      </c>
      <c r="J130">
        <f>'Pretax Fuel Prices'!I131+'Fuel Taxes'!J131</f>
        <v>9.7742443008843555E-6</v>
      </c>
      <c r="K130">
        <f>'Pretax Fuel Prices'!J131+'Fuel Taxes'!K131</f>
        <v>1.0061055450981189E-5</v>
      </c>
      <c r="L130">
        <f>'Pretax Fuel Prices'!K131+'Fuel Taxes'!L131</f>
        <v>1.0397696150490952E-5</v>
      </c>
      <c r="M130">
        <f>'Pretax Fuel Prices'!L131+'Fuel Taxes'!M131</f>
        <v>1.0777227003984692E-5</v>
      </c>
      <c r="N130">
        <f>'Pretax Fuel Prices'!M131+'Fuel Taxes'!N131</f>
        <v>1.1357994604032724E-5</v>
      </c>
      <c r="O130">
        <f>'Pretax Fuel Prices'!N131+'Fuel Taxes'!O131</f>
        <v>1.2031876609511724E-5</v>
      </c>
      <c r="P130">
        <f>'Pretax Fuel Prices'!O131+'Fuel Taxes'!P131</f>
        <v>1.2672643073289875E-5</v>
      </c>
      <c r="Q130">
        <f>'Pretax Fuel Prices'!P131+'Fuel Taxes'!Q131</f>
        <v>1.2982357386376468E-5</v>
      </c>
      <c r="R130">
        <f>'Pretax Fuel Prices'!Q131+'Fuel Taxes'!R131</f>
        <v>1.3080409695261391E-5</v>
      </c>
      <c r="S130">
        <f>'Pretax Fuel Prices'!R131+'Fuel Taxes'!S131</f>
        <v>1.3169545212030144E-5</v>
      </c>
      <c r="T130">
        <f>'Pretax Fuel Prices'!S131+'Fuel Taxes'!T131</f>
        <v>1.3263065535111768E-5</v>
      </c>
      <c r="U130">
        <f>'Pretax Fuel Prices'!T131+'Fuel Taxes'!U131</f>
        <v>1.3387138984695667E-5</v>
      </c>
      <c r="V130">
        <f>'Pretax Fuel Prices'!U131+'Fuel Taxes'!V131</f>
        <v>1.3549079522066908E-5</v>
      </c>
      <c r="W130">
        <f>'Pretax Fuel Prices'!V131+'Fuel Taxes'!W131</f>
        <v>1.3776449062919267E-5</v>
      </c>
      <c r="X130">
        <f>'Pretax Fuel Prices'!W131+'Fuel Taxes'!X131</f>
        <v>1.3955949609472751E-5</v>
      </c>
      <c r="Y130">
        <f>'Pretax Fuel Prices'!X131+'Fuel Taxes'!Y131</f>
        <v>1.4214801668096089E-5</v>
      </c>
      <c r="Z130">
        <f>'Pretax Fuel Prices'!Y131+'Fuel Taxes'!Z131</f>
        <v>1.444653164076969E-5</v>
      </c>
      <c r="AA130">
        <f>'Pretax Fuel Prices'!Z131+'Fuel Taxes'!AA131</f>
        <v>1.4649524059898546E-5</v>
      </c>
      <c r="AB130">
        <f>'Pretax Fuel Prices'!AA131+'Fuel Taxes'!AB131</f>
        <v>1.5043694450840455E-5</v>
      </c>
      <c r="AC130">
        <f>'Pretax Fuel Prices'!AB131+'Fuel Taxes'!AC131</f>
        <v>1.5129476741155359E-5</v>
      </c>
      <c r="AD130">
        <f>'Pretax Fuel Prices'!AC131+'Fuel Taxes'!AD131</f>
        <v>1.5263497652510044E-5</v>
      </c>
      <c r="AE130">
        <f>'Pretax Fuel Prices'!AD131+'Fuel Taxes'!AE131</f>
        <v>1.5499194295887632E-5</v>
      </c>
    </row>
    <row r="131" spans="1:31" s="3" customFormat="1" x14ac:dyDescent="0.75">
      <c r="A131" s="5" t="s">
        <v>49</v>
      </c>
    </row>
    <row r="132" spans="1:31" x14ac:dyDescent="0.75">
      <c r="A132" t="s">
        <v>30</v>
      </c>
      <c r="B132">
        <f>'Fuel Taxes'!B$1</f>
        <v>2021</v>
      </c>
      <c r="C132">
        <f>'Fuel Taxes'!C$1</f>
        <v>2022</v>
      </c>
      <c r="D132">
        <f>'Fuel Taxes'!D$1</f>
        <v>2023</v>
      </c>
      <c r="E132">
        <f>'Fuel Taxes'!E$1</f>
        <v>2024</v>
      </c>
      <c r="F132">
        <f>'Fuel Taxes'!F$1</f>
        <v>2025</v>
      </c>
      <c r="G132">
        <f>'Fuel Taxes'!G$1</f>
        <v>2026</v>
      </c>
      <c r="H132">
        <f>'Fuel Taxes'!H$1</f>
        <v>2027</v>
      </c>
      <c r="I132">
        <f>'Fuel Taxes'!I$1</f>
        <v>2028</v>
      </c>
      <c r="J132">
        <f>'Fuel Taxes'!J$1</f>
        <v>2029</v>
      </c>
      <c r="K132">
        <f>'Fuel Taxes'!K$1</f>
        <v>2030</v>
      </c>
      <c r="L132">
        <f>'Fuel Taxes'!L$1</f>
        <v>2031</v>
      </c>
      <c r="M132">
        <f>'Fuel Taxes'!M$1</f>
        <v>2032</v>
      </c>
      <c r="N132">
        <f>'Fuel Taxes'!N$1</f>
        <v>2033</v>
      </c>
      <c r="O132">
        <f>'Fuel Taxes'!O$1</f>
        <v>2034</v>
      </c>
      <c r="P132">
        <f>'Fuel Taxes'!P$1</f>
        <v>2035</v>
      </c>
      <c r="Q132">
        <f>'Fuel Taxes'!Q$1</f>
        <v>2036</v>
      </c>
      <c r="R132">
        <f>'Fuel Taxes'!R$1</f>
        <v>2037</v>
      </c>
      <c r="S132">
        <f>'Fuel Taxes'!S$1</f>
        <v>2038</v>
      </c>
      <c r="T132">
        <f>'Fuel Taxes'!T$1</f>
        <v>2039</v>
      </c>
      <c r="U132">
        <f>'Fuel Taxes'!U$1</f>
        <v>2040</v>
      </c>
      <c r="V132">
        <f>'Fuel Taxes'!V$1</f>
        <v>2041</v>
      </c>
      <c r="W132">
        <f>'Fuel Taxes'!W$1</f>
        <v>2042</v>
      </c>
      <c r="X132">
        <f>'Fuel Taxes'!X$1</f>
        <v>2043</v>
      </c>
      <c r="Y132">
        <f>'Fuel Taxes'!Y$1</f>
        <v>2044</v>
      </c>
      <c r="Z132">
        <f>'Fuel Taxes'!Z$1</f>
        <v>2045</v>
      </c>
      <c r="AA132">
        <f>'Fuel Taxes'!AA$1</f>
        <v>2046</v>
      </c>
      <c r="AB132">
        <f>'Fuel Taxes'!AB$1</f>
        <v>2047</v>
      </c>
      <c r="AC132">
        <f>'Fuel Taxes'!AC$1</f>
        <v>2048</v>
      </c>
      <c r="AD132">
        <f>'Fuel Taxes'!AD$1</f>
        <v>2049</v>
      </c>
      <c r="AE132">
        <f>'Fuel Taxes'!AE$1</f>
        <v>2050</v>
      </c>
    </row>
    <row r="133" spans="1:31" x14ac:dyDescent="0.75">
      <c r="A133" t="s">
        <v>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75">
      <c r="A134" t="s">
        <v>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75">
      <c r="A135" t="s">
        <v>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75">
      <c r="A136" t="s">
        <v>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75">
      <c r="A137" t="s">
        <v>27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75">
      <c r="A138" t="s">
        <v>28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75">
      <c r="A139" t="s">
        <v>29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75">
      <c r="A140" t="s">
        <v>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s="3" customFormat="1" x14ac:dyDescent="0.75">
      <c r="A141" s="5" t="s">
        <v>50</v>
      </c>
    </row>
    <row r="142" spans="1:31" x14ac:dyDescent="0.75">
      <c r="A142" t="s">
        <v>30</v>
      </c>
      <c r="B142">
        <f>'Fuel Taxes'!B$1</f>
        <v>2021</v>
      </c>
      <c r="C142">
        <f>'Fuel Taxes'!C$1</f>
        <v>2022</v>
      </c>
      <c r="D142">
        <f>'Fuel Taxes'!D$1</f>
        <v>2023</v>
      </c>
      <c r="E142">
        <f>'Fuel Taxes'!E$1</f>
        <v>2024</v>
      </c>
      <c r="F142">
        <f>'Fuel Taxes'!F$1</f>
        <v>2025</v>
      </c>
      <c r="G142">
        <f>'Fuel Taxes'!G$1</f>
        <v>2026</v>
      </c>
      <c r="H142">
        <f>'Fuel Taxes'!H$1</f>
        <v>2027</v>
      </c>
      <c r="I142">
        <f>'Fuel Taxes'!I$1</f>
        <v>2028</v>
      </c>
      <c r="J142">
        <f>'Fuel Taxes'!J$1</f>
        <v>2029</v>
      </c>
      <c r="K142">
        <f>'Fuel Taxes'!K$1</f>
        <v>2030</v>
      </c>
      <c r="L142">
        <f>'Fuel Taxes'!L$1</f>
        <v>2031</v>
      </c>
      <c r="M142">
        <f>'Fuel Taxes'!M$1</f>
        <v>2032</v>
      </c>
      <c r="N142">
        <f>'Fuel Taxes'!N$1</f>
        <v>2033</v>
      </c>
      <c r="O142">
        <f>'Fuel Taxes'!O$1</f>
        <v>2034</v>
      </c>
      <c r="P142">
        <f>'Fuel Taxes'!P$1</f>
        <v>2035</v>
      </c>
      <c r="Q142">
        <f>'Fuel Taxes'!Q$1</f>
        <v>2036</v>
      </c>
      <c r="R142">
        <f>'Fuel Taxes'!R$1</f>
        <v>2037</v>
      </c>
      <c r="S142">
        <f>'Fuel Taxes'!S$1</f>
        <v>2038</v>
      </c>
      <c r="T142">
        <f>'Fuel Taxes'!T$1</f>
        <v>2039</v>
      </c>
      <c r="U142">
        <f>'Fuel Taxes'!U$1</f>
        <v>2040</v>
      </c>
      <c r="V142">
        <f>'Fuel Taxes'!V$1</f>
        <v>2041</v>
      </c>
      <c r="W142">
        <f>'Fuel Taxes'!W$1</f>
        <v>2042</v>
      </c>
      <c r="X142">
        <f>'Fuel Taxes'!X$1</f>
        <v>2043</v>
      </c>
      <c r="Y142">
        <f>'Fuel Taxes'!Y$1</f>
        <v>2044</v>
      </c>
      <c r="Z142">
        <f>'Fuel Taxes'!Z$1</f>
        <v>2045</v>
      </c>
      <c r="AA142">
        <f>'Fuel Taxes'!AA$1</f>
        <v>2046</v>
      </c>
      <c r="AB142">
        <f>'Fuel Taxes'!AB$1</f>
        <v>2047</v>
      </c>
      <c r="AC142">
        <f>'Fuel Taxes'!AC$1</f>
        <v>2048</v>
      </c>
      <c r="AD142">
        <f>'Fuel Taxes'!AD$1</f>
        <v>2049</v>
      </c>
      <c r="AE142">
        <f>'Fuel Taxes'!AE$1</f>
        <v>2050</v>
      </c>
    </row>
    <row r="143" spans="1:31" x14ac:dyDescent="0.75">
      <c r="A143" t="s">
        <v>52</v>
      </c>
      <c r="B143">
        <f>'Pretax Fuel Prices'!B144+'Fuel Taxes'!B144</f>
        <v>7.1252833465009711E-5</v>
      </c>
      <c r="C143">
        <f>'Pretax Fuel Prices'!C144+'Fuel Taxes'!C144</f>
        <v>6.4904900851937169E-5</v>
      </c>
      <c r="D143">
        <f>'Pretax Fuel Prices'!C144+'Fuel Taxes'!D144</f>
        <v>6.4473241434248127E-5</v>
      </c>
      <c r="E143">
        <f>'Pretax Fuel Prices'!D144+'Fuel Taxes'!E144</f>
        <v>5.7584615704943806E-5</v>
      </c>
      <c r="F143">
        <f>'Pretax Fuel Prices'!E144+'Fuel Taxes'!F144</f>
        <v>4.4271453799768179E-5</v>
      </c>
      <c r="G143">
        <f>'Pretax Fuel Prices'!F144+'Fuel Taxes'!G144</f>
        <v>4.4450694195390214E-5</v>
      </c>
      <c r="H143">
        <f>'Pretax Fuel Prices'!G144+'Fuel Taxes'!H144</f>
        <v>4.4312092482240072E-5</v>
      </c>
      <c r="I143">
        <f>'Pretax Fuel Prices'!H144+'Fuel Taxes'!I144</f>
        <v>4.4244548884117131E-5</v>
      </c>
      <c r="J143">
        <f>'Pretax Fuel Prices'!I144+'Fuel Taxes'!J144</f>
        <v>4.4314379853776583E-5</v>
      </c>
      <c r="K143">
        <f>'Pretax Fuel Prices'!J144+'Fuel Taxes'!K144</f>
        <v>4.4467567441404797E-5</v>
      </c>
      <c r="L143">
        <f>'Pretax Fuel Prices'!K144+'Fuel Taxes'!L144</f>
        <v>4.4682031093787901E-5</v>
      </c>
      <c r="M143">
        <f>'Pretax Fuel Prices'!L144+'Fuel Taxes'!M144</f>
        <v>4.5257121285616753E-5</v>
      </c>
      <c r="N143">
        <f>'Pretax Fuel Prices'!M144+'Fuel Taxes'!N144</f>
        <v>4.5443815730237812E-5</v>
      </c>
      <c r="O143">
        <f>'Pretax Fuel Prices'!N144+'Fuel Taxes'!O144</f>
        <v>4.5892234553729141E-5</v>
      </c>
      <c r="P143">
        <f>'Pretax Fuel Prices'!O144+'Fuel Taxes'!P144</f>
        <v>4.6154149874493267E-5</v>
      </c>
      <c r="Q143">
        <f>'Pretax Fuel Prices'!P144+'Fuel Taxes'!Q144</f>
        <v>4.6248353314340934E-5</v>
      </c>
      <c r="R143">
        <f>'Pretax Fuel Prices'!Q144+'Fuel Taxes'!R144</f>
        <v>4.6138542482661085E-5</v>
      </c>
      <c r="S143">
        <f>'Pretax Fuel Prices'!R144+'Fuel Taxes'!S144</f>
        <v>4.6086375207306541E-5</v>
      </c>
      <c r="T143">
        <f>'Pretax Fuel Prices'!S144+'Fuel Taxes'!T144</f>
        <v>4.6266853492058502E-5</v>
      </c>
      <c r="U143">
        <f>'Pretax Fuel Prices'!T144+'Fuel Taxes'!U144</f>
        <v>4.6354833691428742E-5</v>
      </c>
      <c r="V143">
        <f>'Pretax Fuel Prices'!U144+'Fuel Taxes'!V144</f>
        <v>4.6326734844493832E-5</v>
      </c>
      <c r="W143">
        <f>'Pretax Fuel Prices'!V144+'Fuel Taxes'!W144</f>
        <v>4.619981695037025E-5</v>
      </c>
      <c r="X143">
        <f>'Pretax Fuel Prices'!W144+'Fuel Taxes'!X144</f>
        <v>4.6091294320344846E-5</v>
      </c>
      <c r="Y143">
        <f>'Pretax Fuel Prices'!X144+'Fuel Taxes'!Y144</f>
        <v>4.6138779191641593E-5</v>
      </c>
      <c r="Z143">
        <f>'Pretax Fuel Prices'!Y144+'Fuel Taxes'!Z144</f>
        <v>4.6292885962847624E-5</v>
      </c>
      <c r="AA143">
        <f>'Pretax Fuel Prices'!Z144+'Fuel Taxes'!AA144</f>
        <v>4.6276668935105132E-5</v>
      </c>
      <c r="AB143">
        <f>'Pretax Fuel Prices'!AA144+'Fuel Taxes'!AB144</f>
        <v>4.638928524005846E-5</v>
      </c>
      <c r="AC143">
        <f>'Pretax Fuel Prices'!AB144+'Fuel Taxes'!AC144</f>
        <v>4.6373705478234192E-5</v>
      </c>
      <c r="AD143">
        <f>'Pretax Fuel Prices'!AC144+'Fuel Taxes'!AD144</f>
        <v>4.6390576881503702E-5</v>
      </c>
      <c r="AE143">
        <f>'Pretax Fuel Prices'!AD144+'Fuel Taxes'!AE144</f>
        <v>4.6127042067025794E-5</v>
      </c>
    </row>
    <row r="144" spans="1:31" x14ac:dyDescent="0.75">
      <c r="A144" t="s">
        <v>53</v>
      </c>
      <c r="B144">
        <f>'Pretax Fuel Prices'!B145+'Fuel Taxes'!B145</f>
        <v>0</v>
      </c>
      <c r="C144">
        <f>'Pretax Fuel Prices'!C145+'Fuel Taxes'!C145</f>
        <v>0</v>
      </c>
      <c r="D144">
        <f>'Pretax Fuel Prices'!C145+'Fuel Taxes'!D145</f>
        <v>0</v>
      </c>
      <c r="E144">
        <f>'Pretax Fuel Prices'!D145+'Fuel Taxes'!E145</f>
        <v>4.7450368408124517E-7</v>
      </c>
      <c r="F144">
        <f>'Pretax Fuel Prices'!E145+'Fuel Taxes'!F145</f>
        <v>7.0320376505208327E-6</v>
      </c>
      <c r="G144">
        <f>'Pretax Fuel Prices'!F145+'Fuel Taxes'!G145</f>
        <v>7.7674803383150524E-6</v>
      </c>
      <c r="H144">
        <f>'Pretax Fuel Prices'!G145+'Fuel Taxes'!H145</f>
        <v>7.6910803845302087E-6</v>
      </c>
      <c r="I144">
        <f>'Pretax Fuel Prices'!H145+'Fuel Taxes'!I145</f>
        <v>7.6376069742612356E-6</v>
      </c>
      <c r="J144">
        <f>'Pretax Fuel Prices'!I145+'Fuel Taxes'!J145</f>
        <v>7.7389461065605705E-6</v>
      </c>
      <c r="K144">
        <f>'Pretax Fuel Prices'!J145+'Fuel Taxes'!K145</f>
        <v>7.909512706716492E-6</v>
      </c>
      <c r="L144">
        <f>'Pretax Fuel Prices'!K145+'Fuel Taxes'!L145</f>
        <v>8.1118141969570128E-6</v>
      </c>
      <c r="M144">
        <f>'Pretax Fuel Prices'!L145+'Fuel Taxes'!M145</f>
        <v>8.3009919639245623E-6</v>
      </c>
      <c r="N144">
        <f>'Pretax Fuel Prices'!M145+'Fuel Taxes'!N145</f>
        <v>8.545141658660949E-6</v>
      </c>
      <c r="O144">
        <f>'Pretax Fuel Prices'!N145+'Fuel Taxes'!O145</f>
        <v>8.9155024626488656E-6</v>
      </c>
      <c r="P144">
        <f>'Pretax Fuel Prices'!O145+'Fuel Taxes'!P145</f>
        <v>9.1740992954957612E-6</v>
      </c>
      <c r="Q144">
        <f>'Pretax Fuel Prices'!P145+'Fuel Taxes'!Q145</f>
        <v>9.2685027820731383E-6</v>
      </c>
      <c r="R144">
        <f>'Pretax Fuel Prices'!Q145+'Fuel Taxes'!R145</f>
        <v>9.2298614593600512E-6</v>
      </c>
      <c r="S144">
        <f>'Pretax Fuel Prices'!R145+'Fuel Taxes'!S145</f>
        <v>9.1835340553310575E-6</v>
      </c>
      <c r="T144">
        <f>'Pretax Fuel Prices'!S145+'Fuel Taxes'!T145</f>
        <v>9.3297078201736958E-6</v>
      </c>
      <c r="U144">
        <f>'Pretax Fuel Prices'!T145+'Fuel Taxes'!U145</f>
        <v>9.3769469390788919E-6</v>
      </c>
      <c r="V144">
        <f>'Pretax Fuel Prices'!U145+'Fuel Taxes'!V145</f>
        <v>9.3628609817943767E-6</v>
      </c>
      <c r="W144">
        <f>'Pretax Fuel Prices'!V145+'Fuel Taxes'!W145</f>
        <v>9.2730906393485869E-6</v>
      </c>
      <c r="X144">
        <f>'Pretax Fuel Prices'!W145+'Fuel Taxes'!X145</f>
        <v>9.2158771964751245E-6</v>
      </c>
      <c r="Y144">
        <f>'Pretax Fuel Prices'!X145+'Fuel Taxes'!Y145</f>
        <v>9.2687036580381311E-6</v>
      </c>
      <c r="Z144">
        <f>'Pretax Fuel Prices'!Y145+'Fuel Taxes'!Z145</f>
        <v>9.3851142225577164E-6</v>
      </c>
      <c r="AA144">
        <f>'Pretax Fuel Prices'!Z145+'Fuel Taxes'!AA145</f>
        <v>9.3641935573085448E-6</v>
      </c>
      <c r="AB144">
        <f>'Pretax Fuel Prices'!AA145+'Fuel Taxes'!AB145</f>
        <v>9.3769005214473652E-6</v>
      </c>
      <c r="AC144">
        <f>'Pretax Fuel Prices'!AB145+'Fuel Taxes'!AC145</f>
        <v>9.3626958885882268E-6</v>
      </c>
      <c r="AD144">
        <f>'Pretax Fuel Prices'!AC145+'Fuel Taxes'!AD145</f>
        <v>9.3791457750908488E-6</v>
      </c>
      <c r="AE144">
        <f>'Pretax Fuel Prices'!AD145+'Fuel Taxes'!AE145</f>
        <v>9.2894144848803764E-6</v>
      </c>
    </row>
    <row r="145" spans="1:31" x14ac:dyDescent="0.75">
      <c r="A145" t="s">
        <v>54</v>
      </c>
      <c r="B145">
        <f>'Pretax Fuel Prices'!B146+'Fuel Taxes'!B146</f>
        <v>7.1252833465009711E-5</v>
      </c>
      <c r="C145">
        <f>'Pretax Fuel Prices'!C146+'Fuel Taxes'!C146</f>
        <v>6.4904900851937169E-5</v>
      </c>
      <c r="D145">
        <f>'Pretax Fuel Prices'!C146+'Fuel Taxes'!D146</f>
        <v>6.4473241434248127E-5</v>
      </c>
      <c r="E145">
        <f>'Pretax Fuel Prices'!D146+'Fuel Taxes'!E146</f>
        <v>5.5049598082701502E-5</v>
      </c>
      <c r="F145">
        <f>'Pretax Fuel Prices'!E146+'Fuel Taxes'!F146</f>
        <v>7.0320376505208327E-6</v>
      </c>
      <c r="G145">
        <f>'Pretax Fuel Prices'!F146+'Fuel Taxes'!G146</f>
        <v>7.7674803383150524E-6</v>
      </c>
      <c r="H145">
        <f>'Pretax Fuel Prices'!G146+'Fuel Taxes'!H146</f>
        <v>7.6910803845302087E-6</v>
      </c>
      <c r="I145">
        <f>'Pretax Fuel Prices'!H146+'Fuel Taxes'!I146</f>
        <v>7.6376069742612356E-6</v>
      </c>
      <c r="J145">
        <f>'Pretax Fuel Prices'!I146+'Fuel Taxes'!J146</f>
        <v>7.7389461065605705E-6</v>
      </c>
      <c r="K145">
        <f>'Pretax Fuel Prices'!J146+'Fuel Taxes'!K146</f>
        <v>7.909512706716492E-6</v>
      </c>
      <c r="L145">
        <f>'Pretax Fuel Prices'!K146+'Fuel Taxes'!L146</f>
        <v>8.1118141969570128E-6</v>
      </c>
      <c r="M145">
        <f>'Pretax Fuel Prices'!L146+'Fuel Taxes'!M146</f>
        <v>8.3009919639245623E-6</v>
      </c>
      <c r="N145">
        <f>'Pretax Fuel Prices'!M146+'Fuel Taxes'!N146</f>
        <v>8.545141658660949E-6</v>
      </c>
      <c r="O145">
        <f>'Pretax Fuel Prices'!N146+'Fuel Taxes'!O146</f>
        <v>8.9155024626488656E-6</v>
      </c>
      <c r="P145">
        <f>'Pretax Fuel Prices'!O146+'Fuel Taxes'!P146</f>
        <v>9.1740992954957612E-6</v>
      </c>
      <c r="Q145">
        <f>'Pretax Fuel Prices'!P146+'Fuel Taxes'!Q146</f>
        <v>9.2685027820731383E-6</v>
      </c>
      <c r="R145">
        <f>'Pretax Fuel Prices'!Q146+'Fuel Taxes'!R146</f>
        <v>9.2298614593600512E-6</v>
      </c>
      <c r="S145">
        <f>'Pretax Fuel Prices'!R146+'Fuel Taxes'!S146</f>
        <v>9.1835340553310575E-6</v>
      </c>
      <c r="T145">
        <f>'Pretax Fuel Prices'!S146+'Fuel Taxes'!T146</f>
        <v>9.3297078201736958E-6</v>
      </c>
      <c r="U145">
        <f>'Pretax Fuel Prices'!T146+'Fuel Taxes'!U146</f>
        <v>9.3769469390788919E-6</v>
      </c>
      <c r="V145">
        <f>'Pretax Fuel Prices'!U146+'Fuel Taxes'!V146</f>
        <v>9.3628609817943767E-6</v>
      </c>
      <c r="W145">
        <f>'Pretax Fuel Prices'!V146+'Fuel Taxes'!W146</f>
        <v>9.2730906393485869E-6</v>
      </c>
      <c r="X145">
        <f>'Pretax Fuel Prices'!W146+'Fuel Taxes'!X146</f>
        <v>9.2158771964751245E-6</v>
      </c>
      <c r="Y145">
        <f>'Pretax Fuel Prices'!X146+'Fuel Taxes'!Y146</f>
        <v>9.2687036580381311E-6</v>
      </c>
      <c r="Z145">
        <f>'Pretax Fuel Prices'!Y146+'Fuel Taxes'!Z146</f>
        <v>9.3851142225577164E-6</v>
      </c>
      <c r="AA145">
        <f>'Pretax Fuel Prices'!Z146+'Fuel Taxes'!AA146</f>
        <v>9.3641935573085448E-6</v>
      </c>
      <c r="AB145">
        <f>'Pretax Fuel Prices'!AA146+'Fuel Taxes'!AB146</f>
        <v>9.3769005214473652E-6</v>
      </c>
      <c r="AC145">
        <f>'Pretax Fuel Prices'!AB146+'Fuel Taxes'!AC146</f>
        <v>9.3626958885882268E-6</v>
      </c>
      <c r="AD145">
        <f>'Pretax Fuel Prices'!AC146+'Fuel Taxes'!AD146</f>
        <v>9.3791457750908488E-6</v>
      </c>
      <c r="AE145">
        <f>'Pretax Fuel Prices'!AD146+'Fuel Taxes'!AE146</f>
        <v>9.2894144848803764E-6</v>
      </c>
    </row>
    <row r="146" spans="1:31" x14ac:dyDescent="0.75">
      <c r="A146" t="s">
        <v>55</v>
      </c>
      <c r="B146">
        <f>'Pretax Fuel Prices'!B147+'Fuel Taxes'!B147</f>
        <v>7.1252833465009711E-5</v>
      </c>
      <c r="C146">
        <f>'Pretax Fuel Prices'!C147+'Fuel Taxes'!C147</f>
        <v>6.4904900851937169E-5</v>
      </c>
      <c r="D146">
        <f>'Pretax Fuel Prices'!C147+'Fuel Taxes'!D147</f>
        <v>6.4473241434248127E-5</v>
      </c>
      <c r="E146">
        <f>'Pretax Fuel Prices'!D147+'Fuel Taxes'!E147</f>
        <v>5.5049598082701502E-5</v>
      </c>
      <c r="F146">
        <f>'Pretax Fuel Prices'!E147+'Fuel Taxes'!F147</f>
        <v>7.0320376505208327E-6</v>
      </c>
      <c r="G146">
        <f>'Pretax Fuel Prices'!F147+'Fuel Taxes'!G147</f>
        <v>7.7674803383150524E-6</v>
      </c>
      <c r="H146">
        <f>'Pretax Fuel Prices'!G147+'Fuel Taxes'!H147</f>
        <v>7.6910803845302087E-6</v>
      </c>
      <c r="I146">
        <f>'Pretax Fuel Prices'!H147+'Fuel Taxes'!I147</f>
        <v>7.6376069742612356E-6</v>
      </c>
      <c r="J146">
        <f>'Pretax Fuel Prices'!I147+'Fuel Taxes'!J147</f>
        <v>7.7389461065605705E-6</v>
      </c>
      <c r="K146">
        <f>'Pretax Fuel Prices'!J147+'Fuel Taxes'!K147</f>
        <v>7.909512706716492E-6</v>
      </c>
      <c r="L146">
        <f>'Pretax Fuel Prices'!K147+'Fuel Taxes'!L147</f>
        <v>8.1118141969570128E-6</v>
      </c>
      <c r="M146">
        <f>'Pretax Fuel Prices'!L147+'Fuel Taxes'!M147</f>
        <v>8.3009919639245623E-6</v>
      </c>
      <c r="N146">
        <f>'Pretax Fuel Prices'!M147+'Fuel Taxes'!N147</f>
        <v>8.545141658660949E-6</v>
      </c>
      <c r="O146">
        <f>'Pretax Fuel Prices'!N147+'Fuel Taxes'!O147</f>
        <v>8.9155024626488656E-6</v>
      </c>
      <c r="P146">
        <f>'Pretax Fuel Prices'!O147+'Fuel Taxes'!P147</f>
        <v>9.1740992954957612E-6</v>
      </c>
      <c r="Q146">
        <f>'Pretax Fuel Prices'!P147+'Fuel Taxes'!Q147</f>
        <v>9.2685027820731383E-6</v>
      </c>
      <c r="R146">
        <f>'Pretax Fuel Prices'!Q147+'Fuel Taxes'!R147</f>
        <v>9.2298614593600512E-6</v>
      </c>
      <c r="S146">
        <f>'Pretax Fuel Prices'!R147+'Fuel Taxes'!S147</f>
        <v>9.1835340553310575E-6</v>
      </c>
      <c r="T146">
        <f>'Pretax Fuel Prices'!S147+'Fuel Taxes'!T147</f>
        <v>9.3297078201736958E-6</v>
      </c>
      <c r="U146">
        <f>'Pretax Fuel Prices'!T147+'Fuel Taxes'!U147</f>
        <v>9.3769469390788919E-6</v>
      </c>
      <c r="V146">
        <f>'Pretax Fuel Prices'!U147+'Fuel Taxes'!V147</f>
        <v>9.3628609817943767E-6</v>
      </c>
      <c r="W146">
        <f>'Pretax Fuel Prices'!V147+'Fuel Taxes'!W147</f>
        <v>9.2730906393485869E-6</v>
      </c>
      <c r="X146">
        <f>'Pretax Fuel Prices'!W147+'Fuel Taxes'!X147</f>
        <v>9.2158771964751245E-6</v>
      </c>
      <c r="Y146">
        <f>'Pretax Fuel Prices'!X147+'Fuel Taxes'!Y147</f>
        <v>9.2687036580381311E-6</v>
      </c>
      <c r="Z146">
        <f>'Pretax Fuel Prices'!Y147+'Fuel Taxes'!Z147</f>
        <v>9.3851142225577164E-6</v>
      </c>
      <c r="AA146">
        <f>'Pretax Fuel Prices'!Z147+'Fuel Taxes'!AA147</f>
        <v>9.3641935573085448E-6</v>
      </c>
      <c r="AB146">
        <f>'Pretax Fuel Prices'!AA147+'Fuel Taxes'!AB147</f>
        <v>9.3769005214473652E-6</v>
      </c>
      <c r="AC146">
        <f>'Pretax Fuel Prices'!AB147+'Fuel Taxes'!AC147</f>
        <v>9.3626958885882268E-6</v>
      </c>
      <c r="AD146">
        <f>'Pretax Fuel Prices'!AC147+'Fuel Taxes'!AD147</f>
        <v>9.3791457750908488E-6</v>
      </c>
      <c r="AE146">
        <f>'Pretax Fuel Prices'!AD147+'Fuel Taxes'!AE147</f>
        <v>9.2894144848803764E-6</v>
      </c>
    </row>
    <row r="147" spans="1:31" x14ac:dyDescent="0.75">
      <c r="A147" t="s">
        <v>56</v>
      </c>
      <c r="B147">
        <f>'Pretax Fuel Prices'!B148+'Fuel Taxes'!B148</f>
        <v>7.1252833465009711E-5</v>
      </c>
      <c r="C147">
        <f>'Pretax Fuel Prices'!C148+'Fuel Taxes'!C148</f>
        <v>6.4904900851937169E-5</v>
      </c>
      <c r="D147">
        <f>'Pretax Fuel Prices'!C148+'Fuel Taxes'!D148</f>
        <v>6.4473241434248127E-5</v>
      </c>
      <c r="E147">
        <f>'Pretax Fuel Prices'!D148+'Fuel Taxes'!E148</f>
        <v>5.5049598082701502E-5</v>
      </c>
      <c r="F147">
        <f>'Pretax Fuel Prices'!E148+'Fuel Taxes'!F148</f>
        <v>7.0320376505208327E-6</v>
      </c>
      <c r="G147">
        <f>'Pretax Fuel Prices'!F148+'Fuel Taxes'!G148</f>
        <v>7.7674803383150524E-6</v>
      </c>
      <c r="H147">
        <f>'Pretax Fuel Prices'!G148+'Fuel Taxes'!H148</f>
        <v>7.6910803845302087E-6</v>
      </c>
      <c r="I147">
        <f>'Pretax Fuel Prices'!H148+'Fuel Taxes'!I148</f>
        <v>7.6376069742612356E-6</v>
      </c>
      <c r="J147">
        <f>'Pretax Fuel Prices'!I148+'Fuel Taxes'!J148</f>
        <v>7.7389461065605705E-6</v>
      </c>
      <c r="K147">
        <f>'Pretax Fuel Prices'!J148+'Fuel Taxes'!K148</f>
        <v>7.909512706716492E-6</v>
      </c>
      <c r="L147">
        <f>'Pretax Fuel Prices'!K148+'Fuel Taxes'!L148</f>
        <v>8.1118141969570128E-6</v>
      </c>
      <c r="M147">
        <f>'Pretax Fuel Prices'!L148+'Fuel Taxes'!M148</f>
        <v>8.3009919639245623E-6</v>
      </c>
      <c r="N147">
        <f>'Pretax Fuel Prices'!M148+'Fuel Taxes'!N148</f>
        <v>8.545141658660949E-6</v>
      </c>
      <c r="O147">
        <f>'Pretax Fuel Prices'!N148+'Fuel Taxes'!O148</f>
        <v>8.9155024626488656E-6</v>
      </c>
      <c r="P147">
        <f>'Pretax Fuel Prices'!O148+'Fuel Taxes'!P148</f>
        <v>9.1740992954957612E-6</v>
      </c>
      <c r="Q147">
        <f>'Pretax Fuel Prices'!P148+'Fuel Taxes'!Q148</f>
        <v>9.2685027820731383E-6</v>
      </c>
      <c r="R147">
        <f>'Pretax Fuel Prices'!Q148+'Fuel Taxes'!R148</f>
        <v>9.2298614593600512E-6</v>
      </c>
      <c r="S147">
        <f>'Pretax Fuel Prices'!R148+'Fuel Taxes'!S148</f>
        <v>9.1835340553310575E-6</v>
      </c>
      <c r="T147">
        <f>'Pretax Fuel Prices'!S148+'Fuel Taxes'!T148</f>
        <v>9.3297078201736958E-6</v>
      </c>
      <c r="U147">
        <f>'Pretax Fuel Prices'!T148+'Fuel Taxes'!U148</f>
        <v>9.3769469390788919E-6</v>
      </c>
      <c r="V147">
        <f>'Pretax Fuel Prices'!U148+'Fuel Taxes'!V148</f>
        <v>9.3628609817943767E-6</v>
      </c>
      <c r="W147">
        <f>'Pretax Fuel Prices'!V148+'Fuel Taxes'!W148</f>
        <v>9.2730906393485869E-6</v>
      </c>
      <c r="X147">
        <f>'Pretax Fuel Prices'!W148+'Fuel Taxes'!X148</f>
        <v>9.2158771964751245E-6</v>
      </c>
      <c r="Y147">
        <f>'Pretax Fuel Prices'!X148+'Fuel Taxes'!Y148</f>
        <v>9.2687036580381311E-6</v>
      </c>
      <c r="Z147">
        <f>'Pretax Fuel Prices'!Y148+'Fuel Taxes'!Z148</f>
        <v>9.3851142225577164E-6</v>
      </c>
      <c r="AA147">
        <f>'Pretax Fuel Prices'!Z148+'Fuel Taxes'!AA148</f>
        <v>9.3641935573085448E-6</v>
      </c>
      <c r="AB147">
        <f>'Pretax Fuel Prices'!AA148+'Fuel Taxes'!AB148</f>
        <v>9.3769005214473652E-6</v>
      </c>
      <c r="AC147">
        <f>'Pretax Fuel Prices'!AB148+'Fuel Taxes'!AC148</f>
        <v>9.3626958885882268E-6</v>
      </c>
      <c r="AD147">
        <f>'Pretax Fuel Prices'!AC148+'Fuel Taxes'!AD148</f>
        <v>9.3791457750908488E-6</v>
      </c>
      <c r="AE147">
        <f>'Pretax Fuel Prices'!AD148+'Fuel Taxes'!AE148</f>
        <v>9.2894144848803764E-6</v>
      </c>
    </row>
    <row r="148" spans="1:31" x14ac:dyDescent="0.75">
      <c r="A148" t="s">
        <v>57</v>
      </c>
      <c r="B148">
        <f>'Pretax Fuel Prices'!B149+'Fuel Taxes'!B149</f>
        <v>7.1252833465009711E-5</v>
      </c>
      <c r="C148">
        <f>'Pretax Fuel Prices'!C149+'Fuel Taxes'!C149</f>
        <v>6.4904900851937169E-5</v>
      </c>
      <c r="D148">
        <f>'Pretax Fuel Prices'!C149+'Fuel Taxes'!D149</f>
        <v>6.4473241434248127E-5</v>
      </c>
      <c r="E148">
        <f>'Pretax Fuel Prices'!D149+'Fuel Taxes'!E149</f>
        <v>5.5049598082701502E-5</v>
      </c>
      <c r="F148">
        <f>'Pretax Fuel Prices'!E149+'Fuel Taxes'!F149</f>
        <v>7.0320376505208327E-6</v>
      </c>
      <c r="G148">
        <f>'Pretax Fuel Prices'!F149+'Fuel Taxes'!G149</f>
        <v>7.7674803383150524E-6</v>
      </c>
      <c r="H148">
        <f>'Pretax Fuel Prices'!G149+'Fuel Taxes'!H149</f>
        <v>7.6910803845302087E-6</v>
      </c>
      <c r="I148">
        <f>'Pretax Fuel Prices'!H149+'Fuel Taxes'!I149</f>
        <v>7.6376069742612356E-6</v>
      </c>
      <c r="J148">
        <f>'Pretax Fuel Prices'!I149+'Fuel Taxes'!J149</f>
        <v>7.7389461065605705E-6</v>
      </c>
      <c r="K148">
        <f>'Pretax Fuel Prices'!J149+'Fuel Taxes'!K149</f>
        <v>7.909512706716492E-6</v>
      </c>
      <c r="L148">
        <f>'Pretax Fuel Prices'!K149+'Fuel Taxes'!L149</f>
        <v>8.1118141969570128E-6</v>
      </c>
      <c r="M148">
        <f>'Pretax Fuel Prices'!L149+'Fuel Taxes'!M149</f>
        <v>8.3009919639245623E-6</v>
      </c>
      <c r="N148">
        <f>'Pretax Fuel Prices'!M149+'Fuel Taxes'!N149</f>
        <v>8.545141658660949E-6</v>
      </c>
      <c r="O148">
        <f>'Pretax Fuel Prices'!N149+'Fuel Taxes'!O149</f>
        <v>8.9155024626488656E-6</v>
      </c>
      <c r="P148">
        <f>'Pretax Fuel Prices'!O149+'Fuel Taxes'!P149</f>
        <v>9.1740992954957612E-6</v>
      </c>
      <c r="Q148">
        <f>'Pretax Fuel Prices'!P149+'Fuel Taxes'!Q149</f>
        <v>9.2685027820731383E-6</v>
      </c>
      <c r="R148">
        <f>'Pretax Fuel Prices'!Q149+'Fuel Taxes'!R149</f>
        <v>9.2298614593600512E-6</v>
      </c>
      <c r="S148">
        <f>'Pretax Fuel Prices'!R149+'Fuel Taxes'!S149</f>
        <v>9.1835340553310575E-6</v>
      </c>
      <c r="T148">
        <f>'Pretax Fuel Prices'!S149+'Fuel Taxes'!T149</f>
        <v>9.3297078201736958E-6</v>
      </c>
      <c r="U148">
        <f>'Pretax Fuel Prices'!T149+'Fuel Taxes'!U149</f>
        <v>9.3769469390788919E-6</v>
      </c>
      <c r="V148">
        <f>'Pretax Fuel Prices'!U149+'Fuel Taxes'!V149</f>
        <v>9.3628609817943767E-6</v>
      </c>
      <c r="W148">
        <f>'Pretax Fuel Prices'!V149+'Fuel Taxes'!W149</f>
        <v>9.2730906393485869E-6</v>
      </c>
      <c r="X148">
        <f>'Pretax Fuel Prices'!W149+'Fuel Taxes'!X149</f>
        <v>9.2158771964751245E-6</v>
      </c>
      <c r="Y148">
        <f>'Pretax Fuel Prices'!X149+'Fuel Taxes'!Y149</f>
        <v>9.2687036580381311E-6</v>
      </c>
      <c r="Z148">
        <f>'Pretax Fuel Prices'!Y149+'Fuel Taxes'!Z149</f>
        <v>9.3851142225577164E-6</v>
      </c>
      <c r="AA148">
        <f>'Pretax Fuel Prices'!Z149+'Fuel Taxes'!AA149</f>
        <v>9.3641935573085448E-6</v>
      </c>
      <c r="AB148">
        <f>'Pretax Fuel Prices'!AA149+'Fuel Taxes'!AB149</f>
        <v>9.3769005214473652E-6</v>
      </c>
      <c r="AC148">
        <f>'Pretax Fuel Prices'!AB149+'Fuel Taxes'!AC149</f>
        <v>9.3626958885882268E-6</v>
      </c>
      <c r="AD148">
        <f>'Pretax Fuel Prices'!AC149+'Fuel Taxes'!AD149</f>
        <v>9.3791457750908488E-6</v>
      </c>
      <c r="AE148">
        <f>'Pretax Fuel Prices'!AD149+'Fuel Taxes'!AE149</f>
        <v>9.2894144848803764E-6</v>
      </c>
    </row>
    <row r="149" spans="1:31" x14ac:dyDescent="0.75">
      <c r="A149" t="s">
        <v>58</v>
      </c>
      <c r="B149">
        <f>'Pretax Fuel Prices'!B150+'Fuel Taxes'!B150</f>
        <v>0</v>
      </c>
      <c r="C149">
        <f>'Pretax Fuel Prices'!C150+'Fuel Taxes'!C150</f>
        <v>0</v>
      </c>
      <c r="D149">
        <f>'Pretax Fuel Prices'!C150+'Fuel Taxes'!D150</f>
        <v>0</v>
      </c>
      <c r="E149">
        <f>'Pretax Fuel Prices'!D150+'Fuel Taxes'!E150</f>
        <v>0</v>
      </c>
      <c r="F149">
        <f>'Pretax Fuel Prices'!E150+'Fuel Taxes'!F150</f>
        <v>0</v>
      </c>
      <c r="G149">
        <f>'Pretax Fuel Prices'!F150+'Fuel Taxes'!G150</f>
        <v>0</v>
      </c>
      <c r="H149">
        <f>'Pretax Fuel Prices'!G150+'Fuel Taxes'!H150</f>
        <v>0</v>
      </c>
      <c r="I149">
        <f>'Pretax Fuel Prices'!H150+'Fuel Taxes'!I150</f>
        <v>0</v>
      </c>
      <c r="J149">
        <f>'Pretax Fuel Prices'!I150+'Fuel Taxes'!J150</f>
        <v>0</v>
      </c>
      <c r="K149">
        <f>'Pretax Fuel Prices'!J150+'Fuel Taxes'!K150</f>
        <v>0</v>
      </c>
      <c r="L149">
        <f>'Pretax Fuel Prices'!K150+'Fuel Taxes'!L150</f>
        <v>0</v>
      </c>
      <c r="M149">
        <f>'Pretax Fuel Prices'!L150+'Fuel Taxes'!M150</f>
        <v>0</v>
      </c>
      <c r="N149">
        <f>'Pretax Fuel Prices'!M150+'Fuel Taxes'!N150</f>
        <v>0</v>
      </c>
      <c r="O149">
        <f>'Pretax Fuel Prices'!N150+'Fuel Taxes'!O150</f>
        <v>0</v>
      </c>
      <c r="P149">
        <f>'Pretax Fuel Prices'!O150+'Fuel Taxes'!P150</f>
        <v>0</v>
      </c>
      <c r="Q149">
        <f>'Pretax Fuel Prices'!P150+'Fuel Taxes'!Q150</f>
        <v>0</v>
      </c>
      <c r="R149">
        <f>'Pretax Fuel Prices'!Q150+'Fuel Taxes'!R150</f>
        <v>0</v>
      </c>
      <c r="S149">
        <f>'Pretax Fuel Prices'!R150+'Fuel Taxes'!S150</f>
        <v>0</v>
      </c>
      <c r="T149">
        <f>'Pretax Fuel Prices'!S150+'Fuel Taxes'!T150</f>
        <v>0</v>
      </c>
      <c r="U149">
        <f>'Pretax Fuel Prices'!T150+'Fuel Taxes'!U150</f>
        <v>0</v>
      </c>
      <c r="V149">
        <f>'Pretax Fuel Prices'!U150+'Fuel Taxes'!V150</f>
        <v>0</v>
      </c>
      <c r="W149">
        <f>'Pretax Fuel Prices'!V150+'Fuel Taxes'!W150</f>
        <v>0</v>
      </c>
      <c r="X149">
        <f>'Pretax Fuel Prices'!W150+'Fuel Taxes'!X150</f>
        <v>0</v>
      </c>
      <c r="Y149">
        <f>'Pretax Fuel Prices'!X150+'Fuel Taxes'!Y150</f>
        <v>0</v>
      </c>
      <c r="Z149">
        <f>'Pretax Fuel Prices'!Y150+'Fuel Taxes'!Z150</f>
        <v>0</v>
      </c>
      <c r="AA149">
        <f>'Pretax Fuel Prices'!Z150+'Fuel Taxes'!AA150</f>
        <v>0</v>
      </c>
      <c r="AB149">
        <f>'Pretax Fuel Prices'!AA150+'Fuel Taxes'!AB150</f>
        <v>0</v>
      </c>
      <c r="AC149">
        <f>'Pretax Fuel Prices'!AB150+'Fuel Taxes'!AC150</f>
        <v>0</v>
      </c>
      <c r="AD149">
        <f>'Pretax Fuel Prices'!AC150+'Fuel Taxes'!AD150</f>
        <v>0</v>
      </c>
      <c r="AE149">
        <f>'Pretax Fuel Prices'!AD150+'Fuel Taxes'!AE150</f>
        <v>0</v>
      </c>
    </row>
    <row r="150" spans="1:31" x14ac:dyDescent="0.75">
      <c r="A150" t="s">
        <v>59</v>
      </c>
      <c r="B150">
        <f>'Pretax Fuel Prices'!B151+'Fuel Taxes'!B151</f>
        <v>7.1252833465009711E-5</v>
      </c>
      <c r="C150">
        <f>'Pretax Fuel Prices'!C151+'Fuel Taxes'!C151</f>
        <v>6.4904900851937169E-5</v>
      </c>
      <c r="D150">
        <f>'Pretax Fuel Prices'!C151+'Fuel Taxes'!D151</f>
        <v>6.4473241434248127E-5</v>
      </c>
      <c r="E150">
        <f>'Pretax Fuel Prices'!D151+'Fuel Taxes'!E151</f>
        <v>5.5049598082701502E-5</v>
      </c>
      <c r="F150">
        <f>'Pretax Fuel Prices'!E151+'Fuel Taxes'!F151</f>
        <v>7.0320376505208327E-6</v>
      </c>
      <c r="G150">
        <f>'Pretax Fuel Prices'!F151+'Fuel Taxes'!G151</f>
        <v>7.7674803383150524E-6</v>
      </c>
      <c r="H150">
        <f>'Pretax Fuel Prices'!G151+'Fuel Taxes'!H151</f>
        <v>7.6910803845302087E-6</v>
      </c>
      <c r="I150">
        <f>'Pretax Fuel Prices'!H151+'Fuel Taxes'!I151</f>
        <v>7.6376069742612356E-6</v>
      </c>
      <c r="J150">
        <f>'Pretax Fuel Prices'!I151+'Fuel Taxes'!J151</f>
        <v>7.7389461065605705E-6</v>
      </c>
      <c r="K150">
        <f>'Pretax Fuel Prices'!J151+'Fuel Taxes'!K151</f>
        <v>7.909512706716492E-6</v>
      </c>
      <c r="L150">
        <f>'Pretax Fuel Prices'!K151+'Fuel Taxes'!L151</f>
        <v>8.1118141969570128E-6</v>
      </c>
      <c r="M150">
        <f>'Pretax Fuel Prices'!L151+'Fuel Taxes'!M151</f>
        <v>8.3009919639245623E-6</v>
      </c>
      <c r="N150">
        <f>'Pretax Fuel Prices'!M151+'Fuel Taxes'!N151</f>
        <v>8.545141658660949E-6</v>
      </c>
      <c r="O150">
        <f>'Pretax Fuel Prices'!N151+'Fuel Taxes'!O151</f>
        <v>8.9155024626488656E-6</v>
      </c>
      <c r="P150">
        <f>'Pretax Fuel Prices'!O151+'Fuel Taxes'!P151</f>
        <v>9.1740992954957612E-6</v>
      </c>
      <c r="Q150">
        <f>'Pretax Fuel Prices'!P151+'Fuel Taxes'!Q151</f>
        <v>9.2685027820731383E-6</v>
      </c>
      <c r="R150">
        <f>'Pretax Fuel Prices'!Q151+'Fuel Taxes'!R151</f>
        <v>9.2298614593600512E-6</v>
      </c>
      <c r="S150">
        <f>'Pretax Fuel Prices'!R151+'Fuel Taxes'!S151</f>
        <v>9.1835340553310575E-6</v>
      </c>
      <c r="T150">
        <f>'Pretax Fuel Prices'!S151+'Fuel Taxes'!T151</f>
        <v>9.3297078201736958E-6</v>
      </c>
      <c r="U150">
        <f>'Pretax Fuel Prices'!T151+'Fuel Taxes'!U151</f>
        <v>9.3769469390788919E-6</v>
      </c>
      <c r="V150">
        <f>'Pretax Fuel Prices'!U151+'Fuel Taxes'!V151</f>
        <v>9.3628609817943767E-6</v>
      </c>
      <c r="W150">
        <f>'Pretax Fuel Prices'!V151+'Fuel Taxes'!W151</f>
        <v>9.2730906393485869E-6</v>
      </c>
      <c r="X150">
        <f>'Pretax Fuel Prices'!W151+'Fuel Taxes'!X151</f>
        <v>9.2158771964751245E-6</v>
      </c>
      <c r="Y150">
        <f>'Pretax Fuel Prices'!X151+'Fuel Taxes'!Y151</f>
        <v>9.2687036580381311E-6</v>
      </c>
      <c r="Z150">
        <f>'Pretax Fuel Prices'!Y151+'Fuel Taxes'!Z151</f>
        <v>9.3851142225577164E-6</v>
      </c>
      <c r="AA150">
        <f>'Pretax Fuel Prices'!Z151+'Fuel Taxes'!AA151</f>
        <v>9.3641935573085448E-6</v>
      </c>
      <c r="AB150">
        <f>'Pretax Fuel Prices'!AA151+'Fuel Taxes'!AB151</f>
        <v>9.3769005214473652E-6</v>
      </c>
      <c r="AC150">
        <f>'Pretax Fuel Prices'!AB151+'Fuel Taxes'!AC151</f>
        <v>9.3626958885882268E-6</v>
      </c>
      <c r="AD150">
        <f>'Pretax Fuel Prices'!AC151+'Fuel Taxes'!AD151</f>
        <v>9.3791457750908488E-6</v>
      </c>
      <c r="AE150">
        <f>'Pretax Fuel Prices'!AD151+'Fuel Taxes'!AE151</f>
        <v>9.2894144848803764E-6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AI26"/>
  <sheetViews>
    <sheetView workbookViewId="0">
      <selection activeCell="O29" sqref="O29"/>
    </sheetView>
  </sheetViews>
  <sheetFormatPr defaultRowHeight="14.75" x14ac:dyDescent="0.75"/>
  <cols>
    <col min="1" max="1" width="29.54296875" customWidth="1"/>
    <col min="2" max="2" width="9.40625" customWidth="1"/>
  </cols>
  <sheetData>
    <row r="1" spans="1:35" ht="29.5" x14ac:dyDescent="0.75">
      <c r="A1" s="8" t="s">
        <v>51</v>
      </c>
      <c r="B1" s="39">
        <v>2021</v>
      </c>
      <c r="C1" s="6">
        <f>'Fuel Price Data'!C2</f>
        <v>2022</v>
      </c>
      <c r="D1" s="6">
        <f>'Fuel Price Data'!D2</f>
        <v>2023</v>
      </c>
      <c r="E1" s="6">
        <f>'Fuel Price Data'!E2</f>
        <v>2024</v>
      </c>
      <c r="F1" s="6">
        <f>'Fuel Price Data'!F2</f>
        <v>2025</v>
      </c>
      <c r="G1" s="6">
        <f>'Fuel Price Data'!G2</f>
        <v>2026</v>
      </c>
      <c r="H1" s="6">
        <f>'Fuel Price Data'!H2</f>
        <v>2027</v>
      </c>
      <c r="I1" s="6">
        <f>'Fuel Price Data'!I2</f>
        <v>2028</v>
      </c>
      <c r="J1" s="6">
        <f>'Fuel Price Data'!J2</f>
        <v>2029</v>
      </c>
      <c r="K1" s="6">
        <f>'Fuel Price Data'!K2</f>
        <v>2030</v>
      </c>
      <c r="L1" s="6">
        <f>'Fuel Price Data'!L2</f>
        <v>2031</v>
      </c>
      <c r="M1" s="6">
        <f>'Fuel Price Data'!M2</f>
        <v>2032</v>
      </c>
      <c r="N1" s="6">
        <f>'Fuel Price Data'!N2</f>
        <v>2033</v>
      </c>
      <c r="O1" s="6">
        <f>'Fuel Price Data'!O2</f>
        <v>2034</v>
      </c>
      <c r="P1" s="6">
        <f>'Fuel Price Data'!P2</f>
        <v>2035</v>
      </c>
      <c r="Q1" s="6">
        <f>'Fuel Price Data'!Q2</f>
        <v>2036</v>
      </c>
      <c r="R1" s="6">
        <f>'Fuel Price Data'!R2</f>
        <v>2037</v>
      </c>
      <c r="S1" s="6">
        <f>'Fuel Price Data'!S2</f>
        <v>2038</v>
      </c>
      <c r="T1" s="6">
        <f>'Fuel Price Data'!T2</f>
        <v>2039</v>
      </c>
      <c r="U1" s="6">
        <f>'Fuel Price Data'!U2</f>
        <v>2040</v>
      </c>
      <c r="V1" s="6">
        <f>'Fuel Price Data'!V2</f>
        <v>2041</v>
      </c>
      <c r="W1" s="6">
        <f>'Fuel Price Data'!W2</f>
        <v>2042</v>
      </c>
      <c r="X1" s="6">
        <f>'Fuel Price Data'!X2</f>
        <v>2043</v>
      </c>
      <c r="Y1" s="6">
        <f>'Fuel Price Data'!Y2</f>
        <v>2044</v>
      </c>
      <c r="Z1" s="6">
        <f>'Fuel Price Data'!Z2</f>
        <v>2045</v>
      </c>
      <c r="AA1" s="6">
        <f>'Fuel Price Data'!AA2</f>
        <v>2046</v>
      </c>
      <c r="AB1" s="6">
        <f>'Fuel Price Data'!AB2</f>
        <v>2047</v>
      </c>
      <c r="AC1" s="6">
        <f>'Fuel Price Data'!AC2</f>
        <v>2048</v>
      </c>
      <c r="AD1" s="6">
        <f>'Fuel Price Data'!AD2</f>
        <v>2049</v>
      </c>
      <c r="AE1" s="6">
        <f>'Fuel Price Data'!AE2</f>
        <v>2050</v>
      </c>
      <c r="AF1" s="6"/>
      <c r="AG1" s="6"/>
      <c r="AH1" s="6"/>
      <c r="AI1" s="6"/>
    </row>
    <row r="2" spans="1:35" x14ac:dyDescent="0.75">
      <c r="A2" t="s">
        <v>21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/>
      <c r="AG2" s="3"/>
      <c r="AH2" s="3"/>
      <c r="AI2" s="3"/>
    </row>
    <row r="3" spans="1:35" x14ac:dyDescent="0.75">
      <c r="A3" t="s">
        <v>2</v>
      </c>
      <c r="B3" s="4">
        <f>SUMPRODUCT('Fuel Price Data'!B3:B7,'BAU Fuel Use by Sector'!$AL$3:$AL$7)/SUM('BAU Fuel Use by Sector'!$AL$3:$AL$7)</f>
        <v>2.1628593078503914E-6</v>
      </c>
      <c r="C3" s="4">
        <f>SUMPRODUCT('Fuel Price Data'!C3:C7,'BAU Fuel Use by Sector'!$AL$3:$AL$7)/SUM('BAU Fuel Use by Sector'!$AL$3:$AL$7)</f>
        <v>2.2978965301382226E-6</v>
      </c>
      <c r="D3" s="4">
        <f>SUMPRODUCT('Fuel Price Data'!D3:D7,'BAU Fuel Use by Sector'!$AL$3:$AL$7)/SUM('BAU Fuel Use by Sector'!$AL$3:$AL$7)</f>
        <v>2.4821160831872789E-6</v>
      </c>
      <c r="E3" s="4">
        <f>SUMPRODUCT('Fuel Price Data'!E3:E7,'BAU Fuel Use by Sector'!$AL$3:$AL$7)/SUM('BAU Fuel Use by Sector'!$AL$3:$AL$7)</f>
        <v>2.3262395690051111E-6</v>
      </c>
      <c r="F3" s="4">
        <f>SUMPRODUCT('Fuel Price Data'!F3:F7,'BAU Fuel Use by Sector'!$AL$3:$AL$7)/SUM('BAU Fuel Use by Sector'!$AL$3:$AL$7)</f>
        <v>2.2538170727602714E-6</v>
      </c>
      <c r="G3" s="4">
        <f>SUMPRODUCT('Fuel Price Data'!G3:G7,'BAU Fuel Use by Sector'!$AL$3:$AL$7)/SUM('BAU Fuel Use by Sector'!$AL$3:$AL$7)</f>
        <v>2.213864778595878E-6</v>
      </c>
      <c r="H3" s="4">
        <f>SUMPRODUCT('Fuel Price Data'!H3:H7,'BAU Fuel Use by Sector'!$AL$3:$AL$7)/SUM('BAU Fuel Use by Sector'!$AL$3:$AL$7)</f>
        <v>2.1791724287174252E-6</v>
      </c>
      <c r="I3" s="4">
        <f>SUMPRODUCT('Fuel Price Data'!I3:I7,'BAU Fuel Use by Sector'!$AL$3:$AL$7)/SUM('BAU Fuel Use by Sector'!$AL$3:$AL$7)</f>
        <v>2.1113208426771499E-6</v>
      </c>
      <c r="J3" s="4">
        <f>SUMPRODUCT('Fuel Price Data'!J3:J7,'BAU Fuel Use by Sector'!$AL$3:$AL$7)/SUM('BAU Fuel Use by Sector'!$AL$3:$AL$7)</f>
        <v>2.109894011430922E-6</v>
      </c>
      <c r="K3" s="4">
        <f>SUMPRODUCT('Fuel Price Data'!K3:K7,'BAU Fuel Use by Sector'!$AL$3:$AL$7)/SUM('BAU Fuel Use by Sector'!$AL$3:$AL$7)</f>
        <v>2.1228649522138525E-6</v>
      </c>
      <c r="L3" s="4">
        <f>SUMPRODUCT('Fuel Price Data'!L3:L7,'BAU Fuel Use by Sector'!$AL$3:$AL$7)/SUM('BAU Fuel Use by Sector'!$AL$3:$AL$7)</f>
        <v>2.103847429995332E-6</v>
      </c>
      <c r="M3" s="4">
        <f>SUMPRODUCT('Fuel Price Data'!M3:M7,'BAU Fuel Use by Sector'!$AL$3:$AL$7)/SUM('BAU Fuel Use by Sector'!$AL$3:$AL$7)</f>
        <v>2.0611917422348828E-6</v>
      </c>
      <c r="N3" s="4">
        <f>SUMPRODUCT('Fuel Price Data'!N3:N7,'BAU Fuel Use by Sector'!$AL$3:$AL$7)/SUM('BAU Fuel Use by Sector'!$AL$3:$AL$7)</f>
        <v>2.0630914201947748E-6</v>
      </c>
      <c r="O3" s="4">
        <f>SUMPRODUCT('Fuel Price Data'!O3:O7,'BAU Fuel Use by Sector'!$AL$3:$AL$7)/SUM('BAU Fuel Use by Sector'!$AL$3:$AL$7)</f>
        <v>2.0504942509469886E-6</v>
      </c>
      <c r="P3" s="4">
        <f>SUMPRODUCT('Fuel Price Data'!P3:P7,'BAU Fuel Use by Sector'!$AL$3:$AL$7)/SUM('BAU Fuel Use by Sector'!$AL$3:$AL$7)</f>
        <v>2.0433863313242343E-6</v>
      </c>
      <c r="Q3" s="4">
        <f>SUMPRODUCT('Fuel Price Data'!Q3:Q7,'BAU Fuel Use by Sector'!$AL$3:$AL$7)/SUM('BAU Fuel Use by Sector'!$AL$3:$AL$7)</f>
        <v>2.0432262298739419E-6</v>
      </c>
      <c r="R3" s="4">
        <f>SUMPRODUCT('Fuel Price Data'!R3:R7,'BAU Fuel Use by Sector'!$AL$3:$AL$7)/SUM('BAU Fuel Use by Sector'!$AL$3:$AL$7)</f>
        <v>2.0628441681123641E-6</v>
      </c>
      <c r="S3" s="4">
        <f>SUMPRODUCT('Fuel Price Data'!S3:S7,'BAU Fuel Use by Sector'!$AL$3:$AL$7)/SUM('BAU Fuel Use by Sector'!$AL$3:$AL$7)</f>
        <v>2.0601774482385458E-6</v>
      </c>
      <c r="T3" s="4">
        <f>SUMPRODUCT('Fuel Price Data'!T3:T7,'BAU Fuel Use by Sector'!$AL$3:$AL$7)/SUM('BAU Fuel Use by Sector'!$AL$3:$AL$7)</f>
        <v>2.0979050986814299E-6</v>
      </c>
      <c r="U3" s="4">
        <f>SUMPRODUCT('Fuel Price Data'!U3:U7,'BAU Fuel Use by Sector'!$AL$3:$AL$7)/SUM('BAU Fuel Use by Sector'!$AL$3:$AL$7)</f>
        <v>2.0954413329627159E-6</v>
      </c>
      <c r="V3" s="4">
        <f>SUMPRODUCT('Fuel Price Data'!V3:V7,'BAU Fuel Use by Sector'!$AL$3:$AL$7)/SUM('BAU Fuel Use by Sector'!$AL$3:$AL$7)</f>
        <v>2.0908730914248942E-6</v>
      </c>
      <c r="W3" s="4">
        <f>SUMPRODUCT('Fuel Price Data'!W3:W7,'BAU Fuel Use by Sector'!$AL$3:$AL$7)/SUM('BAU Fuel Use by Sector'!$AL$3:$AL$7)</f>
        <v>2.0893003404948705E-6</v>
      </c>
      <c r="X3" s="4">
        <f>SUMPRODUCT('Fuel Price Data'!X3:X7,'BAU Fuel Use by Sector'!$AL$3:$AL$7)/SUM('BAU Fuel Use by Sector'!$AL$3:$AL$7)</f>
        <v>2.0887854364780323E-6</v>
      </c>
      <c r="Y3" s="4">
        <f>SUMPRODUCT('Fuel Price Data'!Y3:Y7,'BAU Fuel Use by Sector'!$AL$3:$AL$7)/SUM('BAU Fuel Use by Sector'!$AL$3:$AL$7)</f>
        <v>2.0889164581408228E-6</v>
      </c>
      <c r="Z3" s="4">
        <f>SUMPRODUCT('Fuel Price Data'!Z3:Z7,'BAU Fuel Use by Sector'!$AL$3:$AL$7)/SUM('BAU Fuel Use by Sector'!$AL$3:$AL$7)</f>
        <v>2.0828956769377819E-6</v>
      </c>
      <c r="AA3" s="4">
        <f>SUMPRODUCT('Fuel Price Data'!AA3:AA7,'BAU Fuel Use by Sector'!$AL$3:$AL$7)/SUM('BAU Fuel Use by Sector'!$AL$3:$AL$7)</f>
        <v>1.8840931891113372E-6</v>
      </c>
      <c r="AB3" s="4">
        <f>SUMPRODUCT('Fuel Price Data'!AB3:AB7,'BAU Fuel Use by Sector'!$AL$3:$AL$7)/SUM('BAU Fuel Use by Sector'!$AL$3:$AL$7)</f>
        <v>2.0703096897421413E-6</v>
      </c>
      <c r="AC3" s="4">
        <f>SUMPRODUCT('Fuel Price Data'!AC3:AC7,'BAU Fuel Use by Sector'!$AL$3:$AL$7)/SUM('BAU Fuel Use by Sector'!$AL$3:$AL$7)</f>
        <v>2.0700886632367113E-6</v>
      </c>
      <c r="AD3" s="4">
        <f>SUMPRODUCT('Fuel Price Data'!AD3:AD7,'BAU Fuel Use by Sector'!$AL$3:$AL$7)/SUM('BAU Fuel Use by Sector'!$AL$3:$AL$7)</f>
        <v>2.081954401110278E-6</v>
      </c>
      <c r="AE3" s="4">
        <f>SUMPRODUCT('Fuel Price Data'!AE3:AE7,'BAU Fuel Use by Sector'!$AL$3:$AL$7)/SUM('BAU Fuel Use by Sector'!$AL$3:$AL$7)</f>
        <v>2.0792502578365594E-6</v>
      </c>
      <c r="AF3" s="4"/>
      <c r="AG3" s="4"/>
      <c r="AH3" s="4"/>
      <c r="AI3" s="4"/>
    </row>
    <row r="4" spans="1:35" x14ac:dyDescent="0.75">
      <c r="A4" t="s">
        <v>3</v>
      </c>
      <c r="B4" s="24" cm="1">
        <f t="array" ref="B4:AE4">TRANSPOSE('Natural Gas Prices'!D90:D119)</f>
        <v>5.58742929536906E-6</v>
      </c>
      <c r="C4" s="24">
        <v>7.8379605274029258E-6</v>
      </c>
      <c r="D4" s="24">
        <v>3.5504433695877621E-6</v>
      </c>
      <c r="E4" s="24">
        <v>4.6814796450934071E-6</v>
      </c>
      <c r="F4" s="24">
        <v>5.5306470887668856E-6</v>
      </c>
      <c r="G4" s="24">
        <v>5.630244245978192E-6</v>
      </c>
      <c r="H4" s="24">
        <v>5.2848305348571192E-6</v>
      </c>
      <c r="I4" s="24">
        <v>5.0363642992700095E-6</v>
      </c>
      <c r="J4" s="24">
        <v>4.7372444980446526E-6</v>
      </c>
      <c r="K4" s="24">
        <v>4.1221288473706489E-6</v>
      </c>
      <c r="L4" s="24">
        <v>4.3361002000895574E-6</v>
      </c>
      <c r="M4" s="24">
        <v>4.9274324769022511E-6</v>
      </c>
      <c r="N4" s="24">
        <v>5.4369584364050835E-6</v>
      </c>
      <c r="O4" s="24">
        <v>5.8032251095152562E-6</v>
      </c>
      <c r="P4" s="24">
        <v>5.9193682488845832E-6</v>
      </c>
      <c r="Q4" s="24">
        <v>5.9387649832031841E-6</v>
      </c>
      <c r="R4" s="24">
        <v>5.8942098931588513E-6</v>
      </c>
      <c r="S4" s="24">
        <v>5.8177650144070094E-6</v>
      </c>
      <c r="T4" s="24">
        <v>5.732394046261896E-6</v>
      </c>
      <c r="U4" s="24">
        <v>5.7641898730778836E-6</v>
      </c>
      <c r="V4" s="24">
        <v>5.863897289675367E-6</v>
      </c>
      <c r="W4" s="24">
        <v>5.9676158429621463E-6</v>
      </c>
      <c r="X4" s="24">
        <v>6.0956420787116264E-6</v>
      </c>
      <c r="Y4" s="24">
        <v>6.201511771044882E-6</v>
      </c>
      <c r="Z4" s="24">
        <v>6.2577737847101111E-6</v>
      </c>
      <c r="AA4" s="24">
        <v>6.282855967681596E-6</v>
      </c>
      <c r="AB4" s="24">
        <v>6.2894891272935805E-6</v>
      </c>
      <c r="AC4" s="24">
        <v>6.326465116653488E-6</v>
      </c>
      <c r="AD4" s="24">
        <v>6.4424506559980606E-6</v>
      </c>
      <c r="AE4" s="24">
        <v>6.5883798538800791E-6</v>
      </c>
      <c r="AF4" s="24"/>
      <c r="AG4" s="4"/>
      <c r="AH4" s="4"/>
      <c r="AI4" s="4"/>
    </row>
    <row r="5" spans="1:35" x14ac:dyDescent="0.75">
      <c r="A5" t="s">
        <v>4</v>
      </c>
      <c r="B5" s="4">
        <f>SUMPRODUCT('Fuel Price Data'!B23:B27,'BAU Fuel Use by Sector'!$AN$3:$AN$7)/SUM('BAU Fuel Use by Sector'!$AN$3:$AN$7)</f>
        <v>6.3483479520834867E-7</v>
      </c>
      <c r="C5" s="4">
        <f>SUMPRODUCT('Fuel Price Data'!C23:C27,'BAU Fuel Use by Sector'!$AN$3:$AN$7)/SUM('BAU Fuel Use by Sector'!$AN$3:$AN$7)</f>
        <v>5.5803451999999996E-7</v>
      </c>
      <c r="D5" s="4">
        <f>SUMPRODUCT('Fuel Price Data'!D23:D27,'BAU Fuel Use by Sector'!$AN$3:$AN$7)/SUM('BAU Fuel Use by Sector'!$AN$3:$AN$7)</f>
        <v>5.5797800000000002E-7</v>
      </c>
      <c r="E5" s="4">
        <f>SUMPRODUCT('Fuel Price Data'!E23:E27,'BAU Fuel Use by Sector'!$AN$3:$AN$7)/SUM('BAU Fuel Use by Sector'!$AN$3:$AN$7)</f>
        <v>5.5137249049599706E-7</v>
      </c>
      <c r="F5" s="4">
        <f>SUMPRODUCT('Fuel Price Data'!F23:F27,'BAU Fuel Use by Sector'!$AN$3:$AN$7)/SUM('BAU Fuel Use by Sector'!$AN$3:$AN$7)</f>
        <v>5.5132467684547511E-7</v>
      </c>
      <c r="G5" s="4">
        <f>SUMPRODUCT('Fuel Price Data'!G23:G27,'BAU Fuel Use by Sector'!$AN$3:$AN$7)/SUM('BAU Fuel Use by Sector'!$AN$3:$AN$7)</f>
        <v>5.5126896696252207E-7</v>
      </c>
      <c r="H5" s="4">
        <f>SUMPRODUCT('Fuel Price Data'!H23:H27,'BAU Fuel Use by Sector'!$AN$3:$AN$7)/SUM('BAU Fuel Use by Sector'!$AN$3:$AN$7)</f>
        <v>5.512213714399679E-7</v>
      </c>
      <c r="I5" s="4">
        <f>SUMPRODUCT('Fuel Price Data'!I23:I27,'BAU Fuel Use by Sector'!$AN$3:$AN$7)/SUM('BAU Fuel Use by Sector'!$AN$3:$AN$7)</f>
        <v>5.5117364504063304E-7</v>
      </c>
      <c r="J5" s="4">
        <f>SUMPRODUCT('Fuel Price Data'!J23:J27,'BAU Fuel Use by Sector'!$AN$3:$AN$7)/SUM('BAU Fuel Use by Sector'!$AN$3:$AN$7)</f>
        <v>5.5111797878327349E-7</v>
      </c>
      <c r="K5" s="4">
        <f>SUMPRODUCT('Fuel Price Data'!K23:K27,'BAU Fuel Use by Sector'!$AN$3:$AN$7)/SUM('BAU Fuel Use by Sector'!$AN$3:$AN$7)</f>
        <v>5.5107020875834525E-7</v>
      </c>
      <c r="L5" s="4">
        <f>SUMPRODUCT('Fuel Price Data'!L23:L27,'BAU Fuel Use by Sector'!$AN$3:$AN$7)/SUM('BAU Fuel Use by Sector'!$AN$3:$AN$7)</f>
        <v>5.5101454250098581E-7</v>
      </c>
      <c r="M5" s="4">
        <f>SUMPRODUCT('Fuel Price Data'!M23:M27,'BAU Fuel Use by Sector'!$AN$3:$AN$7)/SUM('BAU Fuel Use by Sector'!$AN$3:$AN$7)</f>
        <v>5.5096672885046386E-7</v>
      </c>
      <c r="N5" s="4">
        <f>SUMPRODUCT('Fuel Price Data'!N23:N27,'BAU Fuel Use by Sector'!$AN$3:$AN$7)/SUM('BAU Fuel Use by Sector'!$AN$3:$AN$7)</f>
        <v>5.5091904607672249E-7</v>
      </c>
      <c r="O5" s="4">
        <f>SUMPRODUCT('Fuel Price Data'!O23:O27,'BAU Fuel Use by Sector'!$AN$3:$AN$7)/SUM('BAU Fuel Use by Sector'!$AN$3:$AN$7)</f>
        <v>5.5086333619376967E-7</v>
      </c>
      <c r="P5" s="4">
        <f>SUMPRODUCT('Fuel Price Data'!P23:P27,'BAU Fuel Use by Sector'!$AN$3:$AN$7)/SUM('BAU Fuel Use by Sector'!$AN$3:$AN$7)</f>
        <v>5.5081560979443481E-7</v>
      </c>
      <c r="Q5" s="4">
        <f>SUMPRODUCT('Fuel Price Data'!Q23:Q27,'BAU Fuel Use by Sector'!$AN$3:$AN$7)/SUM('BAU Fuel Use by Sector'!$AN$3:$AN$7)</f>
        <v>5.5075994353707537E-7</v>
      </c>
      <c r="R5" s="4">
        <f>SUMPRODUCT('Fuel Price Data'!R23:R27,'BAU Fuel Use by Sector'!$AN$3:$AN$7)/SUM('BAU Fuel Use by Sector'!$AN$3:$AN$7)</f>
        <v>5.5071221713774061E-7</v>
      </c>
      <c r="S5" s="4">
        <f>SUMPRODUCT('Fuel Price Data'!S23:S27,'BAU Fuel Use by Sector'!$AN$3:$AN$7)/SUM('BAU Fuel Use by Sector'!$AN$3:$AN$7)</f>
        <v>5.5066444711281226E-7</v>
      </c>
      <c r="T5" s="4">
        <f>SUMPRODUCT('Fuel Price Data'!T23:T27,'BAU Fuel Use by Sector'!$AN$3:$AN$7)/SUM('BAU Fuel Use by Sector'!$AN$3:$AN$7)</f>
        <v>5.5060878085545283E-7</v>
      </c>
      <c r="U5" s="4">
        <f>SUMPRODUCT('Fuel Price Data'!U23:U27,'BAU Fuel Use by Sector'!$AN$3:$AN$7)/SUM('BAU Fuel Use by Sector'!$AN$3:$AN$7)</f>
        <v>5.5056101083052437E-7</v>
      </c>
      <c r="V5" s="4">
        <f>SUMPRODUCT('Fuel Price Data'!V23:V27,'BAU Fuel Use by Sector'!$AN$3:$AN$7)/SUM('BAU Fuel Use by Sector'!$AN$3:$AN$7)</f>
        <v>5.5051341530797019E-7</v>
      </c>
      <c r="W5" s="4">
        <f>SUMPRODUCT('Fuel Price Data'!W23:W27,'BAU Fuel Use by Sector'!$AN$3:$AN$7)/SUM('BAU Fuel Use by Sector'!$AN$3:$AN$7)</f>
        <v>5.5045766179942367E-7</v>
      </c>
      <c r="X5" s="4">
        <f>SUMPRODUCT('Fuel Price Data'!X23:X27,'BAU Fuel Use by Sector'!$AN$3:$AN$7)/SUM('BAU Fuel Use by Sector'!$AN$3:$AN$7)</f>
        <v>5.5040989177449531E-7</v>
      </c>
      <c r="Y5" s="4">
        <f>SUMPRODUCT('Fuel Price Data'!Y23:Y27,'BAU Fuel Use by Sector'!$AN$3:$AN$7)/SUM('BAU Fuel Use by Sector'!$AN$3:$AN$7)</f>
        <v>5.5035422551713577E-7</v>
      </c>
      <c r="Z5" s="4">
        <f>SUMPRODUCT('Fuel Price Data'!Z23:Z27,'BAU Fuel Use by Sector'!$AN$3:$AN$7)/SUM('BAU Fuel Use by Sector'!$AN$3:$AN$7)</f>
        <v>5.5030649911780091E-7</v>
      </c>
      <c r="AA5" s="4">
        <f>SUMPRODUCT('Fuel Price Data'!AA23:AA27,'BAU Fuel Use by Sector'!$AN$3:$AN$7)/SUM('BAU Fuel Use by Sector'!$AN$3:$AN$7)</f>
        <v>5.5025872909287266E-7</v>
      </c>
      <c r="AB5" s="4">
        <f>SUMPRODUCT('Fuel Price Data'!AB23:AB27,'BAU Fuel Use by Sector'!$AN$3:$AN$7)/SUM('BAU Fuel Use by Sector'!$AN$3:$AN$7)</f>
        <v>5.5020306283551312E-7</v>
      </c>
      <c r="AC5" s="4">
        <f>SUMPRODUCT('Fuel Price Data'!AC23:AC27,'BAU Fuel Use by Sector'!$AN$3:$AN$7)/SUM('BAU Fuel Use by Sector'!$AN$3:$AN$7)</f>
        <v>5.5015542368736535E-7</v>
      </c>
      <c r="AD5" s="4">
        <f>SUMPRODUCT('Fuel Price Data'!AD23:AD27,'BAU Fuel Use by Sector'!$AN$3:$AN$7)/SUM('BAU Fuel Use by Sector'!$AN$3:$AN$7)</f>
        <v>5.5010769728803059E-7</v>
      </c>
      <c r="AE5" s="4">
        <f>SUMPRODUCT('Fuel Price Data'!AE23:AE27,'BAU Fuel Use by Sector'!$AN$3:$AN$7)/SUM('BAU Fuel Use by Sector'!$AN$3:$AN$7)</f>
        <v>5.5005194377948407E-7</v>
      </c>
      <c r="AF5" s="4"/>
      <c r="AG5" s="4"/>
      <c r="AH5" s="4"/>
      <c r="AI5" s="4"/>
    </row>
    <row r="6" spans="1:35" x14ac:dyDescent="0.75">
      <c r="A6" t="s">
        <v>12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/>
      <c r="AG6" s="3"/>
      <c r="AH6" s="3"/>
      <c r="AI6" s="3"/>
    </row>
    <row r="7" spans="1:35" x14ac:dyDescent="0.75">
      <c r="A7" t="s">
        <v>13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/>
      <c r="AG7" s="3"/>
      <c r="AH7" s="3"/>
      <c r="AI7" s="3"/>
    </row>
    <row r="8" spans="1:35" x14ac:dyDescent="0.75">
      <c r="A8" t="s">
        <v>14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/>
      <c r="AG8" s="3"/>
      <c r="AH8" s="3"/>
      <c r="AI8" s="3"/>
    </row>
    <row r="9" spans="1:35" x14ac:dyDescent="0.75">
      <c r="A9" t="s">
        <v>5</v>
      </c>
      <c r="B9" s="4">
        <f>SUMPRODUCT('Fuel Price Data'!B33:B37,'BAU Fuel Use by Sector'!$AR$3:$AR$7)/SUM('BAU Fuel Use by Sector'!$AR$3:$AR$7)</f>
        <v>3.8317893838245514E-6</v>
      </c>
      <c r="C9" s="4">
        <f>SUMPRODUCT('Fuel Price Data'!C33:C37,'BAU Fuel Use by Sector'!$AR$3:$AR$7)/SUM('BAU Fuel Use by Sector'!$AR$3:$AR$7)</f>
        <v>3.8317893838245514E-6</v>
      </c>
      <c r="D9" s="4">
        <f>SUMPRODUCT('Fuel Price Data'!D33:D37,'BAU Fuel Use by Sector'!$AR$3:$AR$7)/SUM('BAU Fuel Use by Sector'!$AR$3:$AR$7)</f>
        <v>3.8317893838245514E-6</v>
      </c>
      <c r="E9" s="4">
        <f>SUMPRODUCT('Fuel Price Data'!E33:E37,'BAU Fuel Use by Sector'!$AR$3:$AR$7)/SUM('BAU Fuel Use by Sector'!$AR$3:$AR$7)</f>
        <v>3.8344631909981326E-6</v>
      </c>
      <c r="F9" s="4">
        <f>SUMPRODUCT('Fuel Price Data'!F33:F37,'BAU Fuel Use by Sector'!$AR$3:$AR$7)/SUM('BAU Fuel Use by Sector'!$AR$3:$AR$7)</f>
        <v>3.8711100775536895E-6</v>
      </c>
      <c r="G9" s="4">
        <f>SUMPRODUCT('Fuel Price Data'!G33:G37,'BAU Fuel Use by Sector'!$AR$3:$AR$7)/SUM('BAU Fuel Use by Sector'!$AR$3:$AR$7)</f>
        <v>3.8711100775536895E-6</v>
      </c>
      <c r="H9" s="4">
        <f>SUMPRODUCT('Fuel Price Data'!H33:H37,'BAU Fuel Use by Sector'!$AR$3:$AR$7)/SUM('BAU Fuel Use by Sector'!$AR$3:$AR$7)</f>
        <v>3.8711100775536895E-6</v>
      </c>
      <c r="I9" s="4">
        <f>SUMPRODUCT('Fuel Price Data'!I33:I37,'BAU Fuel Use by Sector'!$AR$3:$AR$7)/SUM('BAU Fuel Use by Sector'!$AR$3:$AR$7)</f>
        <v>3.8711100775536895E-6</v>
      </c>
      <c r="J9" s="4">
        <f>SUMPRODUCT('Fuel Price Data'!J33:J37,'BAU Fuel Use by Sector'!$AR$3:$AR$7)/SUM('BAU Fuel Use by Sector'!$AR$3:$AR$7)</f>
        <v>3.8711100775536895E-6</v>
      </c>
      <c r="K9" s="4">
        <f>SUMPRODUCT('Fuel Price Data'!K33:K37,'BAU Fuel Use by Sector'!$AR$3:$AR$7)/SUM('BAU Fuel Use by Sector'!$AR$3:$AR$7)</f>
        <v>3.8711100775536895E-6</v>
      </c>
      <c r="L9" s="4">
        <f>SUMPRODUCT('Fuel Price Data'!L33:L37,'BAU Fuel Use by Sector'!$AR$3:$AR$7)/SUM('BAU Fuel Use by Sector'!$AR$3:$AR$7)</f>
        <v>3.8711100775536895E-6</v>
      </c>
      <c r="M9" s="4">
        <f>SUMPRODUCT('Fuel Price Data'!M33:M37,'BAU Fuel Use by Sector'!$AR$3:$AR$7)/SUM('BAU Fuel Use by Sector'!$AR$3:$AR$7)</f>
        <v>3.8711100775536895E-6</v>
      </c>
      <c r="N9" s="4">
        <f>SUMPRODUCT('Fuel Price Data'!N33:N37,'BAU Fuel Use by Sector'!$AR$3:$AR$7)/SUM('BAU Fuel Use by Sector'!$AR$3:$AR$7)</f>
        <v>3.8711100775536895E-6</v>
      </c>
      <c r="O9" s="4">
        <f>SUMPRODUCT('Fuel Price Data'!O33:O37,'BAU Fuel Use by Sector'!$AR$3:$AR$7)/SUM('BAU Fuel Use by Sector'!$AR$3:$AR$7)</f>
        <v>3.8711100775536895E-6</v>
      </c>
      <c r="P9" s="4">
        <f>SUMPRODUCT('Fuel Price Data'!P33:P37,'BAU Fuel Use by Sector'!$AR$3:$AR$7)/SUM('BAU Fuel Use by Sector'!$AR$3:$AR$7)</f>
        <v>3.8711100775536895E-6</v>
      </c>
      <c r="Q9" s="4">
        <f>SUMPRODUCT('Fuel Price Data'!Q33:Q37,'BAU Fuel Use by Sector'!$AR$3:$AR$7)/SUM('BAU Fuel Use by Sector'!$AR$3:$AR$7)</f>
        <v>3.8711100775536895E-6</v>
      </c>
      <c r="R9" s="4">
        <f>SUMPRODUCT('Fuel Price Data'!R33:R37,'BAU Fuel Use by Sector'!$AR$3:$AR$7)/SUM('BAU Fuel Use by Sector'!$AR$3:$AR$7)</f>
        <v>3.8711100775536895E-6</v>
      </c>
      <c r="S9" s="4">
        <f>SUMPRODUCT('Fuel Price Data'!S33:S37,'BAU Fuel Use by Sector'!$AR$3:$AR$7)/SUM('BAU Fuel Use by Sector'!$AR$3:$AR$7)</f>
        <v>3.8711100775536895E-6</v>
      </c>
      <c r="T9" s="4">
        <f>SUMPRODUCT('Fuel Price Data'!T33:T37,'BAU Fuel Use by Sector'!$AR$3:$AR$7)/SUM('BAU Fuel Use by Sector'!$AR$3:$AR$7)</f>
        <v>3.8711100775536895E-6</v>
      </c>
      <c r="U9" s="4">
        <f>SUMPRODUCT('Fuel Price Data'!U33:U37,'BAU Fuel Use by Sector'!$AR$3:$AR$7)/SUM('BAU Fuel Use by Sector'!$AR$3:$AR$7)</f>
        <v>3.8711100775536895E-6</v>
      </c>
      <c r="V9" s="4">
        <f>SUMPRODUCT('Fuel Price Data'!V33:V37,'BAU Fuel Use by Sector'!$AR$3:$AR$7)/SUM('BAU Fuel Use by Sector'!$AR$3:$AR$7)</f>
        <v>3.8711100775536895E-6</v>
      </c>
      <c r="W9" s="4">
        <f>SUMPRODUCT('Fuel Price Data'!W33:W37,'BAU Fuel Use by Sector'!$AR$3:$AR$7)/SUM('BAU Fuel Use by Sector'!$AR$3:$AR$7)</f>
        <v>3.8711100775536895E-6</v>
      </c>
      <c r="X9" s="4">
        <f>SUMPRODUCT('Fuel Price Data'!X33:X37,'BAU Fuel Use by Sector'!$AR$3:$AR$7)/SUM('BAU Fuel Use by Sector'!$AR$3:$AR$7)</f>
        <v>3.8711100775536895E-6</v>
      </c>
      <c r="Y9" s="4">
        <f>SUMPRODUCT('Fuel Price Data'!Y33:Y37,'BAU Fuel Use by Sector'!$AR$3:$AR$7)/SUM('BAU Fuel Use by Sector'!$AR$3:$AR$7)</f>
        <v>3.8711100775536895E-6</v>
      </c>
      <c r="Z9" s="4">
        <f>SUMPRODUCT('Fuel Price Data'!Z33:Z37,'BAU Fuel Use by Sector'!$AR$3:$AR$7)/SUM('BAU Fuel Use by Sector'!$AR$3:$AR$7)</f>
        <v>3.8711100775536895E-6</v>
      </c>
      <c r="AA9" s="4">
        <f>SUMPRODUCT('Fuel Price Data'!AA33:AA37,'BAU Fuel Use by Sector'!$AR$3:$AR$7)/SUM('BAU Fuel Use by Sector'!$AR$3:$AR$7)</f>
        <v>3.8711100775536895E-6</v>
      </c>
      <c r="AB9" s="4">
        <f>SUMPRODUCT('Fuel Price Data'!AB33:AB37,'BAU Fuel Use by Sector'!$AR$3:$AR$7)/SUM('BAU Fuel Use by Sector'!$AR$3:$AR$7)</f>
        <v>3.8711100775536895E-6</v>
      </c>
      <c r="AC9" s="4">
        <f>SUMPRODUCT('Fuel Price Data'!AC33:AC37,'BAU Fuel Use by Sector'!$AR$3:$AR$7)/SUM('BAU Fuel Use by Sector'!$AR$3:$AR$7)</f>
        <v>3.8711100775536895E-6</v>
      </c>
      <c r="AD9" s="4">
        <f>SUMPRODUCT('Fuel Price Data'!AD33:AD37,'BAU Fuel Use by Sector'!$AR$3:$AR$7)/SUM('BAU Fuel Use by Sector'!$AR$3:$AR$7)</f>
        <v>3.8711100775536895E-6</v>
      </c>
      <c r="AE9" s="4">
        <f>SUMPRODUCT('Fuel Price Data'!AE33:AE37,'BAU Fuel Use by Sector'!$AR$3:$AR$7)/SUM('BAU Fuel Use by Sector'!$AR$3:$AR$7)</f>
        <v>3.8711100775536895E-6</v>
      </c>
      <c r="AF9" s="4"/>
      <c r="AG9" s="4"/>
      <c r="AH9" s="4"/>
      <c r="AI9" s="4"/>
    </row>
    <row r="10" spans="1:35" x14ac:dyDescent="0.75">
      <c r="A10" t="s">
        <v>6</v>
      </c>
      <c r="B10" s="4">
        <f>SUMPRODUCT('Fuel Price Data'!B43:B47,'BAU Fuel Use by Sector'!$AS$3:$AS$7)/SUM('BAU Fuel Use by Sector'!$AS$3:$AS$7)</f>
        <v>2.0317026333154531E-5</v>
      </c>
      <c r="C10" s="4">
        <f>SUMPRODUCT('Fuel Price Data'!C43:C47,'BAU Fuel Use by Sector'!$AS$3:$AS$7)/SUM('BAU Fuel Use by Sector'!$AS$3:$AS$7)</f>
        <v>2.6624236664865044E-5</v>
      </c>
      <c r="D10" s="4">
        <f>SUMPRODUCT('Fuel Price Data'!D43:D47,'BAU Fuel Use by Sector'!$AS$3:$AS$7)/SUM('BAU Fuel Use by Sector'!$AS$3:$AS$7)</f>
        <v>2.5782056223263561E-5</v>
      </c>
      <c r="E10" s="4">
        <f>SUMPRODUCT('Fuel Price Data'!E43:E47,'BAU Fuel Use by Sector'!$AS$3:$AS$7)/SUM('BAU Fuel Use by Sector'!$AS$3:$AS$7)</f>
        <v>2.2819539349066574E-5</v>
      </c>
      <c r="F10" s="4">
        <f>SUMPRODUCT('Fuel Price Data'!F43:F47,'BAU Fuel Use by Sector'!$AS$3:$AS$7)/SUM('BAU Fuel Use by Sector'!$AS$3:$AS$7)</f>
        <v>2.2567639752205888E-5</v>
      </c>
      <c r="G10" s="4">
        <f>SUMPRODUCT('Fuel Price Data'!G43:G47,'BAU Fuel Use by Sector'!$AS$3:$AS$7)/SUM('BAU Fuel Use by Sector'!$AS$3:$AS$7)</f>
        <v>2.1987477926315637E-5</v>
      </c>
      <c r="H10" s="4">
        <f>SUMPRODUCT('Fuel Price Data'!H43:H47,'BAU Fuel Use by Sector'!$AS$3:$AS$7)/SUM('BAU Fuel Use by Sector'!$AS$3:$AS$7)</f>
        <v>2.1177897126500469E-5</v>
      </c>
      <c r="I10" s="4">
        <f>SUMPRODUCT('Fuel Price Data'!I43:I47,'BAU Fuel Use by Sector'!$AS$3:$AS$7)/SUM('BAU Fuel Use by Sector'!$AS$3:$AS$7)</f>
        <v>1.961088410777087E-5</v>
      </c>
      <c r="J10" s="4">
        <f>SUMPRODUCT('Fuel Price Data'!J43:J47,'BAU Fuel Use by Sector'!$AS$3:$AS$7)/SUM('BAU Fuel Use by Sector'!$AS$3:$AS$7)</f>
        <v>1.8096538618306908E-5</v>
      </c>
      <c r="K10" s="4">
        <f>SUMPRODUCT('Fuel Price Data'!K43:K47,'BAU Fuel Use by Sector'!$AS$3:$AS$7)/SUM('BAU Fuel Use by Sector'!$AS$3:$AS$7)</f>
        <v>1.8154127243214991E-5</v>
      </c>
      <c r="L10" s="4">
        <f>SUMPRODUCT('Fuel Price Data'!L43:L47,'BAU Fuel Use by Sector'!$AS$3:$AS$7)/SUM('BAU Fuel Use by Sector'!$AS$3:$AS$7)</f>
        <v>1.8149689870373391E-5</v>
      </c>
      <c r="M10" s="4">
        <f>SUMPRODUCT('Fuel Price Data'!M43:M47,'BAU Fuel Use by Sector'!$AS$3:$AS$7)/SUM('BAU Fuel Use by Sector'!$AS$3:$AS$7)</f>
        <v>1.8341199736382601E-5</v>
      </c>
      <c r="N10" s="4">
        <f>SUMPRODUCT('Fuel Price Data'!N43:N47,'BAU Fuel Use by Sector'!$AS$3:$AS$7)/SUM('BAU Fuel Use by Sector'!$AS$3:$AS$7)</f>
        <v>1.8225909724038978E-5</v>
      </c>
      <c r="O10" s="4">
        <f>SUMPRODUCT('Fuel Price Data'!O43:O47,'BAU Fuel Use by Sector'!$AS$3:$AS$7)/SUM('BAU Fuel Use by Sector'!$AS$3:$AS$7)</f>
        <v>1.8273365061609685E-5</v>
      </c>
      <c r="P10" s="4">
        <f>SUMPRODUCT('Fuel Price Data'!P43:P47,'BAU Fuel Use by Sector'!$AS$3:$AS$7)/SUM('BAU Fuel Use by Sector'!$AS$3:$AS$7)</f>
        <v>1.873700921025484E-5</v>
      </c>
      <c r="Q10" s="4">
        <f>SUMPRODUCT('Fuel Price Data'!Q43:Q47,'BAU Fuel Use by Sector'!$AS$3:$AS$7)/SUM('BAU Fuel Use by Sector'!$AS$3:$AS$7)</f>
        <v>1.9021067114765602E-5</v>
      </c>
      <c r="R10" s="4">
        <f>SUMPRODUCT('Fuel Price Data'!R43:R47,'BAU Fuel Use by Sector'!$AS$3:$AS$7)/SUM('BAU Fuel Use by Sector'!$AS$3:$AS$7)</f>
        <v>1.921523167240771E-5</v>
      </c>
      <c r="S10" s="4">
        <f>SUMPRODUCT('Fuel Price Data'!S43:S47,'BAU Fuel Use by Sector'!$AS$3:$AS$7)/SUM('BAU Fuel Use by Sector'!$AS$3:$AS$7)</f>
        <v>1.9297742437046197E-5</v>
      </c>
      <c r="T10" s="4">
        <f>SUMPRODUCT('Fuel Price Data'!T43:T47,'BAU Fuel Use by Sector'!$AS$3:$AS$7)/SUM('BAU Fuel Use by Sector'!$AS$3:$AS$7)</f>
        <v>1.9464455931043701E-5</v>
      </c>
      <c r="U10" s="4">
        <f>SUMPRODUCT('Fuel Price Data'!U43:U47,'BAU Fuel Use by Sector'!$AS$3:$AS$7)/SUM('BAU Fuel Use by Sector'!$AS$3:$AS$7)</f>
        <v>1.966403125984662E-5</v>
      </c>
      <c r="V10" s="4">
        <f>SUMPRODUCT('Fuel Price Data'!V43:V47,'BAU Fuel Use by Sector'!$AS$3:$AS$7)/SUM('BAU Fuel Use by Sector'!$AS$3:$AS$7)</f>
        <v>1.9680094278663884E-5</v>
      </c>
      <c r="W10" s="4">
        <f>SUMPRODUCT('Fuel Price Data'!W43:W47,'BAU Fuel Use by Sector'!$AS$3:$AS$7)/SUM('BAU Fuel Use by Sector'!$AS$3:$AS$7)</f>
        <v>1.9665939063710658E-5</v>
      </c>
      <c r="X10" s="4">
        <f>SUMPRODUCT('Fuel Price Data'!X43:X47,'BAU Fuel Use by Sector'!$AS$3:$AS$7)/SUM('BAU Fuel Use by Sector'!$AS$3:$AS$7)</f>
        <v>1.9549573935553378E-5</v>
      </c>
      <c r="Y10" s="4">
        <f>SUMPRODUCT('Fuel Price Data'!Y43:Y47,'BAU Fuel Use by Sector'!$AS$3:$AS$7)/SUM('BAU Fuel Use by Sector'!$AS$3:$AS$7)</f>
        <v>1.9696165638990204E-5</v>
      </c>
      <c r="Z10" s="4">
        <f>SUMPRODUCT('Fuel Price Data'!Z43:Z47,'BAU Fuel Use by Sector'!$AS$3:$AS$7)/SUM('BAU Fuel Use by Sector'!$AS$3:$AS$7)</f>
        <v>1.9718060582910965E-5</v>
      </c>
      <c r="AA10" s="4">
        <f>SUMPRODUCT('Fuel Price Data'!AA43:AA47,'BAU Fuel Use by Sector'!$AS$3:$AS$7)/SUM('BAU Fuel Use by Sector'!$AS$3:$AS$7)</f>
        <v>1.9852442073481516E-5</v>
      </c>
      <c r="AB10" s="4">
        <f>SUMPRODUCT('Fuel Price Data'!AB43:AB47,'BAU Fuel Use by Sector'!$AS$3:$AS$7)/SUM('BAU Fuel Use by Sector'!$AS$3:$AS$7)</f>
        <v>1.9957525515604657E-5</v>
      </c>
      <c r="AC10" s="4">
        <f>SUMPRODUCT('Fuel Price Data'!AC43:AC47,'BAU Fuel Use by Sector'!$AS$3:$AS$7)/SUM('BAU Fuel Use by Sector'!$AS$3:$AS$7)</f>
        <v>1.9898685479683092E-5</v>
      </c>
      <c r="AD10" s="4">
        <f>SUMPRODUCT('Fuel Price Data'!AD43:AD47,'BAU Fuel Use by Sector'!$AS$3:$AS$7)/SUM('BAU Fuel Use by Sector'!$AS$3:$AS$7)</f>
        <v>1.9969717586728511E-5</v>
      </c>
      <c r="AE10" s="4">
        <f>SUMPRODUCT('Fuel Price Data'!AE43:AE47,'BAU Fuel Use by Sector'!$AS$3:$AS$7)/SUM('BAU Fuel Use by Sector'!$AS$3:$AS$7)</f>
        <v>2.0102182872386788E-5</v>
      </c>
      <c r="AF10" s="4"/>
      <c r="AG10" s="4"/>
      <c r="AH10" s="4"/>
      <c r="AI10" s="4"/>
    </row>
    <row r="11" spans="1:35" x14ac:dyDescent="0.75">
      <c r="A11" t="s">
        <v>7</v>
      </c>
      <c r="B11" s="4">
        <f>SUMPRODUCT('Fuel Price Data'!B53:B57,'BAU Fuel Use by Sector'!$AT$3:$AT$7)/SUM('BAU Fuel Use by Sector'!$AT$3:$AT$7)</f>
        <v>1.8412566858784493E-5</v>
      </c>
      <c r="C11" s="4">
        <f>SUMPRODUCT('Fuel Price Data'!C53:C57,'BAU Fuel Use by Sector'!$AT$3:$AT$7)/SUM('BAU Fuel Use by Sector'!$AT$3:$AT$7)</f>
        <v>2.8094554903069348E-5</v>
      </c>
      <c r="D11" s="4">
        <f>SUMPRODUCT('Fuel Price Data'!D53:D57,'BAU Fuel Use by Sector'!$AT$3:$AT$7)/SUM('BAU Fuel Use by Sector'!$AT$3:$AT$7)</f>
        <v>2.7073962084258926E-5</v>
      </c>
      <c r="E11" s="4">
        <f>SUMPRODUCT('Fuel Price Data'!E53:E57,'BAU Fuel Use by Sector'!$AT$3:$AT$7)/SUM('BAU Fuel Use by Sector'!$AT$3:$AT$7)</f>
        <v>2.2079958050979979E-5</v>
      </c>
      <c r="F11" s="4">
        <f>SUMPRODUCT('Fuel Price Data'!F53:F57,'BAU Fuel Use by Sector'!$AT$3:$AT$7)/SUM('BAU Fuel Use by Sector'!$AT$3:$AT$7)</f>
        <v>1.9127521693953304E-5</v>
      </c>
      <c r="G11" s="4">
        <f>SUMPRODUCT('Fuel Price Data'!G53:G57,'BAU Fuel Use by Sector'!$AT$3:$AT$7)/SUM('BAU Fuel Use by Sector'!$AT$3:$AT$7)</f>
        <v>1.8488792769411034E-5</v>
      </c>
      <c r="H11" s="4">
        <f>SUMPRODUCT('Fuel Price Data'!H53:H57,'BAU Fuel Use by Sector'!$AT$3:$AT$7)/SUM('BAU Fuel Use by Sector'!$AT$3:$AT$7)</f>
        <v>1.7684863605375436E-5</v>
      </c>
      <c r="I11" s="4">
        <f>SUMPRODUCT('Fuel Price Data'!I53:I57,'BAU Fuel Use by Sector'!$AT$3:$AT$7)/SUM('BAU Fuel Use by Sector'!$AT$3:$AT$7)</f>
        <v>1.783967989329951E-5</v>
      </c>
      <c r="J11" s="4">
        <f>SUMPRODUCT('Fuel Price Data'!J53:J57,'BAU Fuel Use by Sector'!$AT$3:$AT$7)/SUM('BAU Fuel Use by Sector'!$AT$3:$AT$7)</f>
        <v>1.7891823234703753E-5</v>
      </c>
      <c r="K11" s="4">
        <f>SUMPRODUCT('Fuel Price Data'!K53:K57,'BAU Fuel Use by Sector'!$AT$3:$AT$7)/SUM('BAU Fuel Use by Sector'!$AT$3:$AT$7)</f>
        <v>1.8105757137743889E-5</v>
      </c>
      <c r="L11" s="4">
        <f>SUMPRODUCT('Fuel Price Data'!L53:L57,'BAU Fuel Use by Sector'!$AT$3:$AT$7)/SUM('BAU Fuel Use by Sector'!$AT$3:$AT$7)</f>
        <v>1.8252639921250176E-5</v>
      </c>
      <c r="M11" s="4">
        <f>SUMPRODUCT('Fuel Price Data'!M53:M57,'BAU Fuel Use by Sector'!$AT$3:$AT$7)/SUM('BAU Fuel Use by Sector'!$AT$3:$AT$7)</f>
        <v>1.8487319083457384E-5</v>
      </c>
      <c r="N11" s="4">
        <f>SUMPRODUCT('Fuel Price Data'!N53:N57,'BAU Fuel Use by Sector'!$AT$3:$AT$7)/SUM('BAU Fuel Use by Sector'!$AT$3:$AT$7)</f>
        <v>1.8282541467452004E-5</v>
      </c>
      <c r="O11" s="4">
        <f>SUMPRODUCT('Fuel Price Data'!O53:O57,'BAU Fuel Use by Sector'!$AT$3:$AT$7)/SUM('BAU Fuel Use by Sector'!$AT$3:$AT$7)</f>
        <v>1.8379799359039242E-5</v>
      </c>
      <c r="P11" s="4">
        <f>SUMPRODUCT('Fuel Price Data'!P53:P57,'BAU Fuel Use by Sector'!$AT$3:$AT$7)/SUM('BAU Fuel Use by Sector'!$AT$3:$AT$7)</f>
        <v>1.8651239452539321E-5</v>
      </c>
      <c r="Q11" s="4">
        <f>SUMPRODUCT('Fuel Price Data'!Q53:Q57,'BAU Fuel Use by Sector'!$AT$3:$AT$7)/SUM('BAU Fuel Use by Sector'!$AT$3:$AT$7)</f>
        <v>1.8925753796195933E-5</v>
      </c>
      <c r="R11" s="4">
        <f>SUMPRODUCT('Fuel Price Data'!R53:R57,'BAU Fuel Use by Sector'!$AT$3:$AT$7)/SUM('BAU Fuel Use by Sector'!$AT$3:$AT$7)</f>
        <v>1.8917310365275725E-5</v>
      </c>
      <c r="S11" s="4">
        <f>SUMPRODUCT('Fuel Price Data'!S53:S57,'BAU Fuel Use by Sector'!$AT$3:$AT$7)/SUM('BAU Fuel Use by Sector'!$AT$3:$AT$7)</f>
        <v>1.908826552660497E-5</v>
      </c>
      <c r="T11" s="4">
        <f>SUMPRODUCT('Fuel Price Data'!T53:T57,'BAU Fuel Use by Sector'!$AT$3:$AT$7)/SUM('BAU Fuel Use by Sector'!$AT$3:$AT$7)</f>
        <v>1.9182747886136044E-5</v>
      </c>
      <c r="U11" s="4">
        <f>SUMPRODUCT('Fuel Price Data'!U53:U57,'BAU Fuel Use by Sector'!$AT$3:$AT$7)/SUM('BAU Fuel Use by Sector'!$AT$3:$AT$7)</f>
        <v>1.9306705306790529E-5</v>
      </c>
      <c r="V11" s="4">
        <f>SUMPRODUCT('Fuel Price Data'!V53:V57,'BAU Fuel Use by Sector'!$AT$3:$AT$7)/SUM('BAU Fuel Use by Sector'!$AT$3:$AT$7)</f>
        <v>1.9427207560732018E-5</v>
      </c>
      <c r="W11" s="4">
        <f>SUMPRODUCT('Fuel Price Data'!W53:W57,'BAU Fuel Use by Sector'!$AT$3:$AT$7)/SUM('BAU Fuel Use by Sector'!$AT$3:$AT$7)</f>
        <v>1.9471296464048572E-5</v>
      </c>
      <c r="X11" s="4">
        <f>SUMPRODUCT('Fuel Price Data'!X53:X57,'BAU Fuel Use by Sector'!$AT$3:$AT$7)/SUM('BAU Fuel Use by Sector'!$AT$3:$AT$7)</f>
        <v>1.9401620745785902E-5</v>
      </c>
      <c r="Y11" s="4">
        <f>SUMPRODUCT('Fuel Price Data'!Y53:Y57,'BAU Fuel Use by Sector'!$AT$3:$AT$7)/SUM('BAU Fuel Use by Sector'!$AT$3:$AT$7)</f>
        <v>1.9549120403440689E-5</v>
      </c>
      <c r="Z11" s="4">
        <f>SUMPRODUCT('Fuel Price Data'!Z53:Z57,'BAU Fuel Use by Sector'!$AT$3:$AT$7)/SUM('BAU Fuel Use by Sector'!$AT$3:$AT$7)</f>
        <v>1.9641611599310551E-5</v>
      </c>
      <c r="AA11" s="4">
        <f>SUMPRODUCT('Fuel Price Data'!AA53:AA57,'BAU Fuel Use by Sector'!$AT$3:$AT$7)/SUM('BAU Fuel Use by Sector'!$AT$3:$AT$7)</f>
        <v>1.9789283219150833E-5</v>
      </c>
      <c r="AB11" s="4">
        <f>SUMPRODUCT('Fuel Price Data'!AB53:AB57,'BAU Fuel Use by Sector'!$AT$3:$AT$7)/SUM('BAU Fuel Use by Sector'!$AT$3:$AT$7)</f>
        <v>2.0107520700002947E-5</v>
      </c>
      <c r="AC11" s="4">
        <f>SUMPRODUCT('Fuel Price Data'!AC53:AC57,'BAU Fuel Use by Sector'!$AT$3:$AT$7)/SUM('BAU Fuel Use by Sector'!$AT$3:$AT$7)</f>
        <v>2.0086679677566084E-5</v>
      </c>
      <c r="AD11" s="4">
        <f>SUMPRODUCT('Fuel Price Data'!AD53:AD57,'BAU Fuel Use by Sector'!$AT$3:$AT$7)/SUM('BAU Fuel Use by Sector'!$AT$3:$AT$7)</f>
        <v>2.0147471727449412E-5</v>
      </c>
      <c r="AE11" s="4">
        <f>SUMPRODUCT('Fuel Price Data'!AE53:AE57,'BAU Fuel Use by Sector'!$AT$3:$AT$7)/SUM('BAU Fuel Use by Sector'!$AT$3:$AT$7)</f>
        <v>2.0309067054146522E-5</v>
      </c>
      <c r="AF11" s="4"/>
      <c r="AG11" s="4"/>
      <c r="AH11" s="4"/>
      <c r="AI11" s="4"/>
    </row>
    <row r="12" spans="1:35" x14ac:dyDescent="0.75">
      <c r="A12" t="s">
        <v>8</v>
      </c>
      <c r="B12" s="4">
        <f>SUMPRODUCT('Fuel Price Data'!B63:B67,'BAU Fuel Use by Sector'!$AU$3:$AU$7)/SUM('BAU Fuel Use by Sector'!$AU$3:$AU$7)</f>
        <v>2.1850196705841969E-5</v>
      </c>
      <c r="C12" s="4">
        <f>SUMPRODUCT('Fuel Price Data'!C63:C67,'BAU Fuel Use by Sector'!$AU$3:$AU$7)/SUM('BAU Fuel Use by Sector'!$AU$3:$AU$7)</f>
        <v>2.9952006270000002E-5</v>
      </c>
      <c r="D12" s="4">
        <f>SUMPRODUCT('Fuel Price Data'!D63:D67,'BAU Fuel Use by Sector'!$AU$3:$AU$7)/SUM('BAU Fuel Use by Sector'!$AU$3:$AU$7)</f>
        <v>2.9998391794352227E-5</v>
      </c>
      <c r="E12" s="4">
        <f>SUMPRODUCT('Fuel Price Data'!E63:E67,'BAU Fuel Use by Sector'!$AU$3:$AU$7)/SUM('BAU Fuel Use by Sector'!$AU$3:$AU$7)</f>
        <v>2.595919242269132E-5</v>
      </c>
      <c r="F12" s="4">
        <f>SUMPRODUCT('Fuel Price Data'!F63:F67,'BAU Fuel Use by Sector'!$AU$3:$AU$7)/SUM('BAU Fuel Use by Sector'!$AU$3:$AU$7)</f>
        <v>2.1349012309030851E-5</v>
      </c>
      <c r="G12" s="4">
        <f>SUMPRODUCT('Fuel Price Data'!G63:G67,'BAU Fuel Use by Sector'!$AU$3:$AU$7)/SUM('BAU Fuel Use by Sector'!$AU$3:$AU$7)</f>
        <v>2.1622595728449732E-5</v>
      </c>
      <c r="H12" s="4">
        <f>SUMPRODUCT('Fuel Price Data'!H63:H67,'BAU Fuel Use by Sector'!$AU$3:$AU$7)/SUM('BAU Fuel Use by Sector'!$AU$3:$AU$7)</f>
        <v>2.1946664537101951E-5</v>
      </c>
      <c r="I12" s="4">
        <f>SUMPRODUCT('Fuel Price Data'!I63:I67,'BAU Fuel Use by Sector'!$AU$3:$AU$7)/SUM('BAU Fuel Use by Sector'!$AU$3:$AU$7)</f>
        <v>2.1777619705414024E-5</v>
      </c>
      <c r="J12" s="4">
        <f>SUMPRODUCT('Fuel Price Data'!J63:J67,'BAU Fuel Use by Sector'!$AU$3:$AU$7)/SUM('BAU Fuel Use by Sector'!$AU$3:$AU$7)</f>
        <v>2.1432435076206925E-5</v>
      </c>
      <c r="K12" s="4">
        <f>SUMPRODUCT('Fuel Price Data'!K63:K67,'BAU Fuel Use by Sector'!$AU$3:$AU$7)/SUM('BAU Fuel Use by Sector'!$AU$3:$AU$7)</f>
        <v>2.1342508003792339E-5</v>
      </c>
      <c r="L12" s="4">
        <f>SUMPRODUCT('Fuel Price Data'!L63:L67,'BAU Fuel Use by Sector'!$AU$3:$AU$7)/SUM('BAU Fuel Use by Sector'!$AU$3:$AU$7)</f>
        <v>2.1287371472369569E-5</v>
      </c>
      <c r="M12" s="4">
        <f>SUMPRODUCT('Fuel Price Data'!M63:M67,'BAU Fuel Use by Sector'!$AU$3:$AU$7)/SUM('BAU Fuel Use by Sector'!$AU$3:$AU$7)</f>
        <v>2.1524835875384604E-5</v>
      </c>
      <c r="N12" s="4">
        <f>SUMPRODUCT('Fuel Price Data'!N63:N67,'BAU Fuel Use by Sector'!$AU$3:$AU$7)/SUM('BAU Fuel Use by Sector'!$AU$3:$AU$7)</f>
        <v>2.1412634121660371E-5</v>
      </c>
      <c r="O12" s="4">
        <f>SUMPRODUCT('Fuel Price Data'!O63:O67,'BAU Fuel Use by Sector'!$AU$3:$AU$7)/SUM('BAU Fuel Use by Sector'!$AU$3:$AU$7)</f>
        <v>2.1435556030992334E-5</v>
      </c>
      <c r="P12" s="4">
        <f>SUMPRODUCT('Fuel Price Data'!P63:P67,'BAU Fuel Use by Sector'!$AU$3:$AU$7)/SUM('BAU Fuel Use by Sector'!$AU$3:$AU$7)</f>
        <v>2.1965328964986298E-5</v>
      </c>
      <c r="Q12" s="4">
        <f>SUMPRODUCT('Fuel Price Data'!Q63:Q67,'BAU Fuel Use by Sector'!$AU$3:$AU$7)/SUM('BAU Fuel Use by Sector'!$AU$3:$AU$7)</f>
        <v>2.2168777745623114E-5</v>
      </c>
      <c r="R12" s="4">
        <f>SUMPRODUCT('Fuel Price Data'!R63:R67,'BAU Fuel Use by Sector'!$AU$3:$AU$7)/SUM('BAU Fuel Use by Sector'!$AU$3:$AU$7)</f>
        <v>2.235155171523596E-5</v>
      </c>
      <c r="S12" s="4">
        <f>SUMPRODUCT('Fuel Price Data'!S63:S67,'BAU Fuel Use by Sector'!$AU$3:$AU$7)/SUM('BAU Fuel Use by Sector'!$AU$3:$AU$7)</f>
        <v>2.2392557866050608E-5</v>
      </c>
      <c r="T12" s="4">
        <f>SUMPRODUCT('Fuel Price Data'!T63:T67,'BAU Fuel Use by Sector'!$AU$3:$AU$7)/SUM('BAU Fuel Use by Sector'!$AU$3:$AU$7)</f>
        <v>2.2651046577351975E-5</v>
      </c>
      <c r="U12" s="4">
        <f>SUMPRODUCT('Fuel Price Data'!U63:U67,'BAU Fuel Use by Sector'!$AU$3:$AU$7)/SUM('BAU Fuel Use by Sector'!$AU$3:$AU$7)</f>
        <v>2.2767614035565474E-5</v>
      </c>
      <c r="V12" s="4">
        <f>SUMPRODUCT('Fuel Price Data'!V63:V67,'BAU Fuel Use by Sector'!$AU$3:$AU$7)/SUM('BAU Fuel Use by Sector'!$AU$3:$AU$7)</f>
        <v>2.2732815426542107E-5</v>
      </c>
      <c r="W12" s="4">
        <f>SUMPRODUCT('Fuel Price Data'!W63:W67,'BAU Fuel Use by Sector'!$AU$3:$AU$7)/SUM('BAU Fuel Use by Sector'!$AU$3:$AU$7)</f>
        <v>2.2686742179299049E-5</v>
      </c>
      <c r="X12" s="4">
        <f>SUMPRODUCT('Fuel Price Data'!X63:X67,'BAU Fuel Use by Sector'!$AU$3:$AU$7)/SUM('BAU Fuel Use by Sector'!$AU$3:$AU$7)</f>
        <v>2.2544523275926282E-5</v>
      </c>
      <c r="Y12" s="4">
        <f>SUMPRODUCT('Fuel Price Data'!Y63:Y67,'BAU Fuel Use by Sector'!$AU$3:$AU$7)/SUM('BAU Fuel Use by Sector'!$AU$3:$AU$7)</f>
        <v>2.2708944114658641E-5</v>
      </c>
      <c r="Z12" s="4">
        <f>SUMPRODUCT('Fuel Price Data'!Z63:Z67,'BAU Fuel Use by Sector'!$AU$3:$AU$7)/SUM('BAU Fuel Use by Sector'!$AU$3:$AU$7)</f>
        <v>2.2725786937454196E-5</v>
      </c>
      <c r="AA12" s="4">
        <f>SUMPRODUCT('Fuel Price Data'!AA63:AA67,'BAU Fuel Use by Sector'!$AU$3:$AU$7)/SUM('BAU Fuel Use by Sector'!$AU$3:$AU$7)</f>
        <v>2.2867597665826982E-5</v>
      </c>
      <c r="AB12" s="4">
        <f>SUMPRODUCT('Fuel Price Data'!AB63:AB67,'BAU Fuel Use by Sector'!$AU$3:$AU$7)/SUM('BAU Fuel Use by Sector'!$AU$3:$AU$7)</f>
        <v>2.2970265712610279E-5</v>
      </c>
      <c r="AC12" s="4">
        <f>SUMPRODUCT('Fuel Price Data'!AC63:AC67,'BAU Fuel Use by Sector'!$AU$3:$AU$7)/SUM('BAU Fuel Use by Sector'!$AU$3:$AU$7)</f>
        <v>2.2903467798616295E-5</v>
      </c>
      <c r="AD12" s="4">
        <f>SUMPRODUCT('Fuel Price Data'!AD63:AD67,'BAU Fuel Use by Sector'!$AU$3:$AU$7)/SUM('BAU Fuel Use by Sector'!$AU$3:$AU$7)</f>
        <v>2.2980352498788358E-5</v>
      </c>
      <c r="AE12" s="4">
        <f>SUMPRODUCT('Fuel Price Data'!AE63:AE67,'BAU Fuel Use by Sector'!$AU$3:$AU$7)/SUM('BAU Fuel Use by Sector'!$AU$3:$AU$7)</f>
        <v>2.3114553436139489E-5</v>
      </c>
      <c r="AF12" s="4"/>
      <c r="AG12" s="4"/>
      <c r="AH12" s="4"/>
      <c r="AI12" s="4"/>
    </row>
    <row r="13" spans="1:35" x14ac:dyDescent="0.75">
      <c r="A13" t="s">
        <v>9</v>
      </c>
      <c r="B13" s="4">
        <f>SUMPRODUCT('Fuel Price Data'!B73:B77,'BAU Fuel Use by Sector'!$AV$3:$AV$7)/SUM('BAU Fuel Use by Sector'!$AV$3:$AV$7)</f>
        <v>1.7090124294202308E-5</v>
      </c>
      <c r="C13" s="4">
        <f>SUMPRODUCT('Fuel Price Data'!C73:C77,'BAU Fuel Use by Sector'!$AV$3:$AV$7)/SUM('BAU Fuel Use by Sector'!$AV$3:$AV$7)</f>
        <v>1.5228828240266224E-5</v>
      </c>
      <c r="D13" s="4">
        <f>SUMPRODUCT('Fuel Price Data'!D73:D77,'BAU Fuel Use by Sector'!$AV$3:$AV$7)/SUM('BAU Fuel Use by Sector'!$AV$3:$AV$7)</f>
        <v>1.5380937307813354E-5</v>
      </c>
      <c r="E13" s="4">
        <f>SUMPRODUCT('Fuel Price Data'!E73:E77,'BAU Fuel Use by Sector'!$AV$3:$AV$7)/SUM('BAU Fuel Use by Sector'!$AV$3:$AV$7)</f>
        <v>1.582515619453195E-5</v>
      </c>
      <c r="F13" s="4">
        <f>SUMPRODUCT('Fuel Price Data'!F73:F77,'BAU Fuel Use by Sector'!$AV$3:$AV$7)/SUM('BAU Fuel Use by Sector'!$AV$3:$AV$7)</f>
        <v>1.7836198013149422E-5</v>
      </c>
      <c r="G13" s="4">
        <f>SUMPRODUCT('Fuel Price Data'!G73:G77,'BAU Fuel Use by Sector'!$AV$3:$AV$7)/SUM('BAU Fuel Use by Sector'!$AV$3:$AV$7)</f>
        <v>1.5929301964375735E-5</v>
      </c>
      <c r="H13" s="4">
        <f>SUMPRODUCT('Fuel Price Data'!H73:H77,'BAU Fuel Use by Sector'!$AV$3:$AV$7)/SUM('BAU Fuel Use by Sector'!$AV$3:$AV$7)</f>
        <v>1.344558642550373E-5</v>
      </c>
      <c r="I13" s="4">
        <f>SUMPRODUCT('Fuel Price Data'!I73:I77,'BAU Fuel Use by Sector'!$AV$3:$AV$7)/SUM('BAU Fuel Use by Sector'!$AV$3:$AV$7)</f>
        <v>1.1498870536397316E-5</v>
      </c>
      <c r="J13" s="4">
        <f>SUMPRODUCT('Fuel Price Data'!J73:J77,'BAU Fuel Use by Sector'!$AV$3:$AV$7)/SUM('BAU Fuel Use by Sector'!$AV$3:$AV$7)</f>
        <v>9.9796193144855105E-6</v>
      </c>
      <c r="K13" s="4">
        <f>SUMPRODUCT('Fuel Price Data'!K73:K77,'BAU Fuel Use by Sector'!$AV$3:$AV$7)/SUM('BAU Fuel Use by Sector'!$AV$3:$AV$7)</f>
        <v>8.8688500497701133E-6</v>
      </c>
      <c r="L13" s="4">
        <f>SUMPRODUCT('Fuel Price Data'!L73:L77,'BAU Fuel Use by Sector'!$AV$3:$AV$7)/SUM('BAU Fuel Use by Sector'!$AV$3:$AV$7)</f>
        <v>7.9999497258628429E-6</v>
      </c>
      <c r="M13" s="4">
        <f>SUMPRODUCT('Fuel Price Data'!M73:M77,'BAU Fuel Use by Sector'!$AV$3:$AV$7)/SUM('BAU Fuel Use by Sector'!$AV$3:$AV$7)</f>
        <v>7.336984092576082E-6</v>
      </c>
      <c r="N13" s="4">
        <f>SUMPRODUCT('Fuel Price Data'!N73:N77,'BAU Fuel Use by Sector'!$AV$3:$AV$7)/SUM('BAU Fuel Use by Sector'!$AV$3:$AV$7)</f>
        <v>6.6197025933799281E-6</v>
      </c>
      <c r="O13" s="4">
        <f>SUMPRODUCT('Fuel Price Data'!O73:O77,'BAU Fuel Use by Sector'!$AV$3:$AV$7)/SUM('BAU Fuel Use by Sector'!$AV$3:$AV$7)</f>
        <v>6.047267887055483E-6</v>
      </c>
      <c r="P13" s="4">
        <f>SUMPRODUCT('Fuel Price Data'!P73:P77,'BAU Fuel Use by Sector'!$AV$3:$AV$7)/SUM('BAU Fuel Use by Sector'!$AV$3:$AV$7)</f>
        <v>5.6528772808319594E-6</v>
      </c>
      <c r="Q13" s="4">
        <f>SUMPRODUCT('Fuel Price Data'!Q73:Q77,'BAU Fuel Use by Sector'!$AV$3:$AV$7)/SUM('BAU Fuel Use by Sector'!$AV$3:$AV$7)</f>
        <v>5.4173183934513296E-6</v>
      </c>
      <c r="R13" s="4">
        <f>SUMPRODUCT('Fuel Price Data'!R73:R77,'BAU Fuel Use by Sector'!$AV$3:$AV$7)/SUM('BAU Fuel Use by Sector'!$AV$3:$AV$7)</f>
        <v>5.1872488117465886E-6</v>
      </c>
      <c r="S13" s="4">
        <f>SUMPRODUCT('Fuel Price Data'!S73:S77,'BAU Fuel Use by Sector'!$AV$3:$AV$7)/SUM('BAU Fuel Use by Sector'!$AV$3:$AV$7)</f>
        <v>5.0347417048023925E-6</v>
      </c>
      <c r="T13" s="4">
        <f>SUMPRODUCT('Fuel Price Data'!T73:T77,'BAU Fuel Use by Sector'!$AV$3:$AV$7)/SUM('BAU Fuel Use by Sector'!$AV$3:$AV$7)</f>
        <v>4.9180894523380363E-6</v>
      </c>
      <c r="U13" s="4">
        <f>SUMPRODUCT('Fuel Price Data'!U73:U77,'BAU Fuel Use by Sector'!$AV$3:$AV$7)/SUM('BAU Fuel Use by Sector'!$AV$3:$AV$7)</f>
        <v>4.8493301101223646E-6</v>
      </c>
      <c r="V13" s="4">
        <f>SUMPRODUCT('Fuel Price Data'!V73:V77,'BAU Fuel Use by Sector'!$AV$3:$AV$7)/SUM('BAU Fuel Use by Sector'!$AV$3:$AV$7)</f>
        <v>4.8230507634590544E-6</v>
      </c>
      <c r="W13" s="4">
        <f>SUMPRODUCT('Fuel Price Data'!W73:W77,'BAU Fuel Use by Sector'!$AV$3:$AV$7)/SUM('BAU Fuel Use by Sector'!$AV$3:$AV$7)</f>
        <v>4.8116443710270736E-6</v>
      </c>
      <c r="X13" s="4">
        <f>SUMPRODUCT('Fuel Price Data'!X73:X77,'BAU Fuel Use by Sector'!$AV$3:$AV$7)/SUM('BAU Fuel Use by Sector'!$AV$3:$AV$7)</f>
        <v>4.7816053304323643E-6</v>
      </c>
      <c r="Y13" s="4">
        <f>SUMPRODUCT('Fuel Price Data'!Y73:Y77,'BAU Fuel Use by Sector'!$AV$3:$AV$7)/SUM('BAU Fuel Use by Sector'!$AV$3:$AV$7)</f>
        <v>4.8101008645814641E-6</v>
      </c>
      <c r="Z13" s="4">
        <f>SUMPRODUCT('Fuel Price Data'!Z73:Z77,'BAU Fuel Use by Sector'!$AV$3:$AV$7)/SUM('BAU Fuel Use by Sector'!$AV$3:$AV$7)</f>
        <v>4.8688419605493767E-6</v>
      </c>
      <c r="AA13" s="4">
        <f>SUMPRODUCT('Fuel Price Data'!AA73:AA77,'BAU Fuel Use by Sector'!$AV$3:$AV$7)/SUM('BAU Fuel Use by Sector'!$AV$3:$AV$7)</f>
        <v>4.9783058118616386E-6</v>
      </c>
      <c r="AB13" s="4">
        <f>SUMPRODUCT('Fuel Price Data'!AB73:AB77,'BAU Fuel Use by Sector'!$AV$3:$AV$7)/SUM('BAU Fuel Use by Sector'!$AV$3:$AV$7)</f>
        <v>5.2061160318880347E-6</v>
      </c>
      <c r="AC13" s="4">
        <f>SUMPRODUCT('Fuel Price Data'!AC73:AC77,'BAU Fuel Use by Sector'!$AV$3:$AV$7)/SUM('BAU Fuel Use by Sector'!$AV$3:$AV$7)</f>
        <v>5.4294641099078241E-6</v>
      </c>
      <c r="AD13" s="4">
        <f>SUMPRODUCT('Fuel Price Data'!AD73:AD77,'BAU Fuel Use by Sector'!$AV$3:$AV$7)/SUM('BAU Fuel Use by Sector'!$AV$3:$AV$7)</f>
        <v>5.69464500248726E-6</v>
      </c>
      <c r="AE13" s="4">
        <f>SUMPRODUCT('Fuel Price Data'!AE73:AE77,'BAU Fuel Use by Sector'!$AV$3:$AV$7)/SUM('BAU Fuel Use by Sector'!$AV$3:$AV$7)</f>
        <v>6.0461227025718463E-6</v>
      </c>
      <c r="AF13" s="4"/>
      <c r="AG13" s="4"/>
      <c r="AH13" s="4"/>
      <c r="AI13" s="4"/>
    </row>
    <row r="14" spans="1:35" x14ac:dyDescent="0.75">
      <c r="A14" t="s">
        <v>10</v>
      </c>
      <c r="B14" s="4">
        <f>SUMPRODUCT('Fuel Price Data'!B83:B87,'BAU Fuel Use by Sector'!$AW$3:$AW$7)/SUM('BAU Fuel Use by Sector'!$AW$3:$AW$7)</f>
        <v>1.134696777709005E-5</v>
      </c>
      <c r="C14" s="4">
        <f>SUMPRODUCT('Fuel Price Data'!C83:C87,'BAU Fuel Use by Sector'!$AW$3:$AW$7)/SUM('BAU Fuel Use by Sector'!$AW$3:$AW$7)</f>
        <v>1.9781963999691554E-5</v>
      </c>
      <c r="D14" s="4">
        <f>SUMPRODUCT('Fuel Price Data'!D83:D87,'BAU Fuel Use by Sector'!$AW$3:$AW$7)/SUM('BAU Fuel Use by Sector'!$AW$3:$AW$7)</f>
        <v>1.957269102690973E-5</v>
      </c>
      <c r="E14" s="4">
        <f>SUMPRODUCT('Fuel Price Data'!E83:E87,'BAU Fuel Use by Sector'!$AW$3:$AW$7)/SUM('BAU Fuel Use by Sector'!$AW$3:$AW$7)</f>
        <v>1.3952688790416288E-5</v>
      </c>
      <c r="F14" s="4">
        <f>SUMPRODUCT('Fuel Price Data'!F83:F87,'BAU Fuel Use by Sector'!$AW$3:$AW$7)/SUM('BAU Fuel Use by Sector'!$AW$3:$AW$7)</f>
        <v>1.0631448340293165E-5</v>
      </c>
      <c r="G14" s="4">
        <f>SUMPRODUCT('Fuel Price Data'!G83:G87,'BAU Fuel Use by Sector'!$AW$3:$AW$7)/SUM('BAU Fuel Use by Sector'!$AW$3:$AW$7)</f>
        <v>9.3162846233650075E-6</v>
      </c>
      <c r="H14" s="4">
        <f>SUMPRODUCT('Fuel Price Data'!H83:H87,'BAU Fuel Use by Sector'!$AW$3:$AW$7)/SUM('BAU Fuel Use by Sector'!$AW$3:$AW$7)</f>
        <v>7.664994126443412E-6</v>
      </c>
      <c r="I14" s="4">
        <f>SUMPRODUCT('Fuel Price Data'!I83:I87,'BAU Fuel Use by Sector'!$AW$3:$AW$7)/SUM('BAU Fuel Use by Sector'!$AW$3:$AW$7)</f>
        <v>1.019779167043512E-5</v>
      </c>
      <c r="J14" s="4">
        <f>SUMPRODUCT('Fuel Price Data'!J83:J87,'BAU Fuel Use by Sector'!$AW$3:$AW$7)/SUM('BAU Fuel Use by Sector'!$AW$3:$AW$7)</f>
        <v>1.2596903160378754E-5</v>
      </c>
      <c r="K14" s="4">
        <f>SUMPRODUCT('Fuel Price Data'!K83:K87,'BAU Fuel Use by Sector'!$AW$3:$AW$7)/SUM('BAU Fuel Use by Sector'!$AW$3:$AW$7)</f>
        <v>1.3127729058074641E-5</v>
      </c>
      <c r="L14" s="4">
        <f>SUMPRODUCT('Fuel Price Data'!L83:L87,'BAU Fuel Use by Sector'!$AW$3:$AW$7)/SUM('BAU Fuel Use by Sector'!$AW$3:$AW$7)</f>
        <v>1.3616355577068593E-5</v>
      </c>
      <c r="M14" s="4">
        <f>SUMPRODUCT('Fuel Price Data'!M83:M87,'BAU Fuel Use by Sector'!$AW$3:$AW$7)/SUM('BAU Fuel Use by Sector'!$AW$3:$AW$7)</f>
        <v>1.3881514594536069E-5</v>
      </c>
      <c r="N14" s="4">
        <f>SUMPRODUCT('Fuel Price Data'!N83:N87,'BAU Fuel Use by Sector'!$AW$3:$AW$7)/SUM('BAU Fuel Use by Sector'!$AW$3:$AW$7)</f>
        <v>1.3762888874481803E-5</v>
      </c>
      <c r="O14" s="4">
        <f>SUMPRODUCT('Fuel Price Data'!O83:O87,'BAU Fuel Use by Sector'!$AW$3:$AW$7)/SUM('BAU Fuel Use by Sector'!$AW$3:$AW$7)</f>
        <v>1.3860783678934976E-5</v>
      </c>
      <c r="P14" s="4">
        <f>SUMPRODUCT('Fuel Price Data'!P83:P87,'BAU Fuel Use by Sector'!$AW$3:$AW$7)/SUM('BAU Fuel Use by Sector'!$AW$3:$AW$7)</f>
        <v>1.4169980456700406E-5</v>
      </c>
      <c r="Q14" s="4">
        <f>SUMPRODUCT('Fuel Price Data'!Q83:Q87,'BAU Fuel Use by Sector'!$AW$3:$AW$7)/SUM('BAU Fuel Use by Sector'!$AW$3:$AW$7)</f>
        <v>1.4270852283661628E-5</v>
      </c>
      <c r="R14" s="4">
        <f>SUMPRODUCT('Fuel Price Data'!R83:R87,'BAU Fuel Use by Sector'!$AW$3:$AW$7)/SUM('BAU Fuel Use by Sector'!$AW$3:$AW$7)</f>
        <v>1.4244444693517422E-5</v>
      </c>
      <c r="S14" s="4">
        <f>SUMPRODUCT('Fuel Price Data'!S83:S87,'BAU Fuel Use by Sector'!$AW$3:$AW$7)/SUM('BAU Fuel Use by Sector'!$AW$3:$AW$7)</f>
        <v>1.4427739698541816E-5</v>
      </c>
      <c r="T14" s="4">
        <f>SUMPRODUCT('Fuel Price Data'!T83:T87,'BAU Fuel Use by Sector'!$AW$3:$AW$7)/SUM('BAU Fuel Use by Sector'!$AW$3:$AW$7)</f>
        <v>1.4551021348597144E-5</v>
      </c>
      <c r="U14" s="4">
        <f>SUMPRODUCT('Fuel Price Data'!U83:U87,'BAU Fuel Use by Sector'!$AW$3:$AW$7)/SUM('BAU Fuel Use by Sector'!$AW$3:$AW$7)</f>
        <v>1.4699355998879873E-5</v>
      </c>
      <c r="V14" s="4">
        <f>SUMPRODUCT('Fuel Price Data'!V83:V87,'BAU Fuel Use by Sector'!$AW$3:$AW$7)/SUM('BAU Fuel Use by Sector'!$AW$3:$AW$7)</f>
        <v>1.4820390435723815E-5</v>
      </c>
      <c r="W14" s="4">
        <f>SUMPRODUCT('Fuel Price Data'!W83:W87,'BAU Fuel Use by Sector'!$AW$3:$AW$7)/SUM('BAU Fuel Use by Sector'!$AW$3:$AW$7)</f>
        <v>1.4885792209440659E-5</v>
      </c>
      <c r="X14" s="4">
        <f>SUMPRODUCT('Fuel Price Data'!X83:X87,'BAU Fuel Use by Sector'!$AW$3:$AW$7)/SUM('BAU Fuel Use by Sector'!$AW$3:$AW$7)</f>
        <v>1.4874617367765639E-5</v>
      </c>
      <c r="Y14" s="4">
        <f>SUMPRODUCT('Fuel Price Data'!Y83:Y87,'BAU Fuel Use by Sector'!$AW$3:$AW$7)/SUM('BAU Fuel Use by Sector'!$AW$3:$AW$7)</f>
        <v>1.5043385607550238E-5</v>
      </c>
      <c r="Z14" s="4">
        <f>SUMPRODUCT('Fuel Price Data'!Z83:Z87,'BAU Fuel Use by Sector'!$AW$3:$AW$7)/SUM('BAU Fuel Use by Sector'!$AW$3:$AW$7)</f>
        <v>1.5149498620923002E-5</v>
      </c>
      <c r="AA14" s="4">
        <f>SUMPRODUCT('Fuel Price Data'!AA83:AA87,'BAU Fuel Use by Sector'!$AW$3:$AW$7)/SUM('BAU Fuel Use by Sector'!$AW$3:$AW$7)</f>
        <v>1.5354522949352969E-5</v>
      </c>
      <c r="AB14" s="4">
        <f>SUMPRODUCT('Fuel Price Data'!AB83:AB87,'BAU Fuel Use by Sector'!$AW$3:$AW$7)/SUM('BAU Fuel Use by Sector'!$AW$3:$AW$7)</f>
        <v>1.5619825695213399E-5</v>
      </c>
      <c r="AC14" s="4">
        <f>SUMPRODUCT('Fuel Price Data'!AC83:AC87,'BAU Fuel Use by Sector'!$AW$3:$AW$7)/SUM('BAU Fuel Use by Sector'!$AW$3:$AW$7)</f>
        <v>1.5618251570347089E-5</v>
      </c>
      <c r="AD14" s="4">
        <f>SUMPRODUCT('Fuel Price Data'!AD83:AD87,'BAU Fuel Use by Sector'!$AW$3:$AW$7)/SUM('BAU Fuel Use by Sector'!$AW$3:$AW$7)</f>
        <v>1.5697569494242666E-5</v>
      </c>
      <c r="AE14" s="4">
        <f>SUMPRODUCT('Fuel Price Data'!AE83:AE87,'BAU Fuel Use by Sector'!$AW$3:$AW$7)/SUM('BAU Fuel Use by Sector'!$AW$3:$AW$7)</f>
        <v>1.5848163607027799E-5</v>
      </c>
      <c r="AF14" s="4"/>
      <c r="AG14" s="4"/>
      <c r="AH14" s="4"/>
      <c r="AI14" s="4"/>
    </row>
    <row r="15" spans="1:35" x14ac:dyDescent="0.75">
      <c r="A15" t="s">
        <v>20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/>
      <c r="AG15" s="3"/>
      <c r="AH15" s="3"/>
      <c r="AI15" s="3"/>
    </row>
    <row r="16" spans="1:35" x14ac:dyDescent="0.75">
      <c r="A16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/>
      <c r="AG16" s="3"/>
      <c r="AH16" s="3"/>
      <c r="AI16" s="3"/>
    </row>
    <row r="17" spans="1:35" x14ac:dyDescent="0.75">
      <c r="A17" t="s">
        <v>11</v>
      </c>
      <c r="B17" s="4">
        <f>SUMPRODUCT('Fuel Price Data'!B93:B97,'BAU Fuel Use by Sector'!$AZ$3:$AZ$7)/SUM('BAU Fuel Use by Sector'!$AZ$3:$AZ$7)</f>
        <v>1.5445041017719864E-6</v>
      </c>
      <c r="C17" s="4">
        <f>SUMPRODUCT('Fuel Price Data'!C93:C97,'BAU Fuel Use by Sector'!$AZ$3:$AZ$7)/SUM('BAU Fuel Use by Sector'!$AZ$3:$AZ$7)</f>
        <v>1.7127838346590252E-6</v>
      </c>
      <c r="D17" s="4">
        <f>SUMPRODUCT('Fuel Price Data'!D93:D97,'BAU Fuel Use by Sector'!$AZ$3:$AZ$7)/SUM('BAU Fuel Use by Sector'!$AZ$3:$AZ$7)</f>
        <v>1.7221210359855207E-6</v>
      </c>
      <c r="E17" s="4">
        <f>SUMPRODUCT('Fuel Price Data'!E93:E97,'BAU Fuel Use by Sector'!$AZ$3:$AZ$7)/SUM('BAU Fuel Use by Sector'!$AZ$3:$AZ$7)</f>
        <v>1.8374644191137425E-6</v>
      </c>
      <c r="F17" s="4">
        <f>SUMPRODUCT('Fuel Price Data'!F93:F97,'BAU Fuel Use by Sector'!$AZ$3:$AZ$7)/SUM('BAU Fuel Use by Sector'!$AZ$3:$AZ$7)</f>
        <v>1.6620516832251093E-6</v>
      </c>
      <c r="G17" s="4">
        <f>SUMPRODUCT('Fuel Price Data'!G93:G97,'BAU Fuel Use by Sector'!$AZ$3:$AZ$7)/SUM('BAU Fuel Use by Sector'!$AZ$3:$AZ$7)</f>
        <v>1.6297351346450901E-6</v>
      </c>
      <c r="H17" s="4">
        <f>SUMPRODUCT('Fuel Price Data'!H93:H97,'BAU Fuel Use by Sector'!$AZ$3:$AZ$7)/SUM('BAU Fuel Use by Sector'!$AZ$3:$AZ$7)</f>
        <v>1.6137907764955368E-6</v>
      </c>
      <c r="I17" s="4">
        <f>SUMPRODUCT('Fuel Price Data'!I93:I97,'BAU Fuel Use by Sector'!$AZ$3:$AZ$7)/SUM('BAU Fuel Use by Sector'!$AZ$3:$AZ$7)</f>
        <v>1.5628402881859516E-6</v>
      </c>
      <c r="J17" s="4">
        <f>SUMPRODUCT('Fuel Price Data'!J93:J97,'BAU Fuel Use by Sector'!$AZ$3:$AZ$7)/SUM('BAU Fuel Use by Sector'!$AZ$3:$AZ$7)</f>
        <v>1.5002738319221217E-6</v>
      </c>
      <c r="K17" s="4">
        <f>SUMPRODUCT('Fuel Price Data'!K93:K97,'BAU Fuel Use by Sector'!$AZ$3:$AZ$7)/SUM('BAU Fuel Use by Sector'!$AZ$3:$AZ$7)</f>
        <v>1.5013850361204973E-6</v>
      </c>
      <c r="L17" s="4">
        <f>SUMPRODUCT('Fuel Price Data'!L93:L97,'BAU Fuel Use by Sector'!$AZ$3:$AZ$7)/SUM('BAU Fuel Use by Sector'!$AZ$3:$AZ$7)</f>
        <v>1.513291533928583E-6</v>
      </c>
      <c r="M17" s="4">
        <f>SUMPRODUCT('Fuel Price Data'!M93:M97,'BAU Fuel Use by Sector'!$AZ$3:$AZ$7)/SUM('BAU Fuel Use by Sector'!$AZ$3:$AZ$7)</f>
        <v>1.4913344727133914E-6</v>
      </c>
      <c r="N17" s="4">
        <f>SUMPRODUCT('Fuel Price Data'!N93:N97,'BAU Fuel Use by Sector'!$AZ$3:$AZ$7)/SUM('BAU Fuel Use by Sector'!$AZ$3:$AZ$7)</f>
        <v>1.4482914968308261E-6</v>
      </c>
      <c r="O17" s="4">
        <f>SUMPRODUCT('Fuel Price Data'!O93:O97,'BAU Fuel Use by Sector'!$AZ$3:$AZ$7)/SUM('BAU Fuel Use by Sector'!$AZ$3:$AZ$7)</f>
        <v>1.4500790918372014E-6</v>
      </c>
      <c r="P17" s="4">
        <f>SUMPRODUCT('Fuel Price Data'!P93:P97,'BAU Fuel Use by Sector'!$AZ$3:$AZ$7)/SUM('BAU Fuel Use by Sector'!$AZ$3:$AZ$7)</f>
        <v>1.4407509402267835E-6</v>
      </c>
      <c r="Q17" s="4">
        <f>SUMPRODUCT('Fuel Price Data'!Q93:Q97,'BAU Fuel Use by Sector'!$AZ$3:$AZ$7)/SUM('BAU Fuel Use by Sector'!$AZ$3:$AZ$7)</f>
        <v>1.4322709400924234E-6</v>
      </c>
      <c r="R17" s="4">
        <f>SUMPRODUCT('Fuel Price Data'!R93:R97,'BAU Fuel Use by Sector'!$AZ$3:$AZ$7)/SUM('BAU Fuel Use by Sector'!$AZ$3:$AZ$7)</f>
        <v>1.4337031255213601E-6</v>
      </c>
      <c r="S17" s="4">
        <f>SUMPRODUCT('Fuel Price Data'!S93:S97,'BAU Fuel Use by Sector'!$AZ$3:$AZ$7)/SUM('BAU Fuel Use by Sector'!$AZ$3:$AZ$7)</f>
        <v>1.4529197138445528E-6</v>
      </c>
      <c r="T17" s="4">
        <f>SUMPRODUCT('Fuel Price Data'!T93:T97,'BAU Fuel Use by Sector'!$AZ$3:$AZ$7)/SUM('BAU Fuel Use by Sector'!$AZ$3:$AZ$7)</f>
        <v>1.453089231811949E-6</v>
      </c>
      <c r="U17" s="4">
        <f>SUMPRODUCT('Fuel Price Data'!U93:U97,'BAU Fuel Use by Sector'!$AZ$3:$AZ$7)/SUM('BAU Fuel Use by Sector'!$AZ$3:$AZ$7)</f>
        <v>1.4915690399242799E-6</v>
      </c>
      <c r="V17" s="4">
        <f>SUMPRODUCT('Fuel Price Data'!V93:V97,'BAU Fuel Use by Sector'!$AZ$3:$AZ$7)/SUM('BAU Fuel Use by Sector'!$AZ$3:$AZ$7)</f>
        <v>1.489581686477616E-6</v>
      </c>
      <c r="W17" s="4">
        <f>SUMPRODUCT('Fuel Price Data'!W93:W97,'BAU Fuel Use by Sector'!$AZ$3:$AZ$7)/SUM('BAU Fuel Use by Sector'!$AZ$3:$AZ$7)</f>
        <v>1.4877925832711122E-6</v>
      </c>
      <c r="X17" s="4">
        <f>SUMPRODUCT('Fuel Price Data'!X93:X97,'BAU Fuel Use by Sector'!$AZ$3:$AZ$7)/SUM('BAU Fuel Use by Sector'!$AZ$3:$AZ$7)</f>
        <v>1.486909997664709E-6</v>
      </c>
      <c r="Y17" s="4">
        <f>SUMPRODUCT('Fuel Price Data'!Y93:Y97,'BAU Fuel Use by Sector'!$AZ$3:$AZ$7)/SUM('BAU Fuel Use by Sector'!$AZ$3:$AZ$7)</f>
        <v>1.4874034689229979E-6</v>
      </c>
      <c r="Z17" s="4">
        <f>SUMPRODUCT('Fuel Price Data'!Z93:Z97,'BAU Fuel Use by Sector'!$AZ$3:$AZ$7)/SUM('BAU Fuel Use by Sector'!$AZ$3:$AZ$7)</f>
        <v>1.4867296819611517E-6</v>
      </c>
      <c r="AA17" s="4">
        <f>SUMPRODUCT('Fuel Price Data'!AA93:AA97,'BAU Fuel Use by Sector'!$AZ$3:$AZ$7)/SUM('BAU Fuel Use by Sector'!$AZ$3:$AZ$7)</f>
        <v>1.4656607661936578E-6</v>
      </c>
      <c r="AB17" s="4">
        <f>SUMPRODUCT('Fuel Price Data'!AB93:AB97,'BAU Fuel Use by Sector'!$AZ$3:$AZ$7)/SUM('BAU Fuel Use by Sector'!$AZ$3:$AZ$7)</f>
        <v>1.2854643755966856E-6</v>
      </c>
      <c r="AC17" s="4">
        <f>SUMPRODUCT('Fuel Price Data'!AC93:AC97,'BAU Fuel Use by Sector'!$AZ$3:$AZ$7)/SUM('BAU Fuel Use by Sector'!$AZ$3:$AZ$7)</f>
        <v>1.4678095825209602E-6</v>
      </c>
      <c r="AD17" s="4">
        <f>SUMPRODUCT('Fuel Price Data'!AD93:AD97,'BAU Fuel Use by Sector'!$AZ$3:$AZ$7)/SUM('BAU Fuel Use by Sector'!$AZ$3:$AZ$7)</f>
        <v>1.4684841476806566E-6</v>
      </c>
      <c r="AE17" s="4">
        <f>SUMPRODUCT('Fuel Price Data'!AE93:AE97,'BAU Fuel Use by Sector'!$AZ$3:$AZ$7)/SUM('BAU Fuel Use by Sector'!$AZ$3:$AZ$7)</f>
        <v>1.4792204544073433E-6</v>
      </c>
      <c r="AF17" s="4"/>
      <c r="AG17" s="4"/>
      <c r="AH17" s="4"/>
      <c r="AI17" s="4"/>
    </row>
    <row r="18" spans="1:35" x14ac:dyDescent="0.75">
      <c r="A18" t="s">
        <v>41</v>
      </c>
      <c r="B18" s="4">
        <f>SUMPRODUCT('Fuel Price Data'!B103:B107,'BAU Fuel Use by Sector'!$BA$3:$BA$7)/SUM('BAU Fuel Use by Sector'!$BA$3:$BA$7)</f>
        <v>1.010572034981499E-5</v>
      </c>
      <c r="C18" s="4">
        <f>SUMPRODUCT('Fuel Price Data'!C103:C107,'BAU Fuel Use by Sector'!$BA$3:$BA$7)/SUM('BAU Fuel Use by Sector'!$BA$3:$BA$7)</f>
        <v>1.4061485389252906E-5</v>
      </c>
      <c r="D18" s="4">
        <f>SUMPRODUCT('Fuel Price Data'!D103:D107,'BAU Fuel Use by Sector'!$BA$3:$BA$7)/SUM('BAU Fuel Use by Sector'!$BA$3:$BA$7)</f>
        <v>1.4061485389252906E-5</v>
      </c>
      <c r="E18" s="4">
        <f>SUMPRODUCT('Fuel Price Data'!E103:E107,'BAU Fuel Use by Sector'!$BA$3:$BA$7)/SUM('BAU Fuel Use by Sector'!$BA$3:$BA$7)</f>
        <v>1.0907244277281624E-5</v>
      </c>
      <c r="F18" s="4">
        <f>SUMPRODUCT('Fuel Price Data'!F103:F107,'BAU Fuel Use by Sector'!$BA$3:$BA$7)/SUM('BAU Fuel Use by Sector'!$BA$3:$BA$7)</f>
        <v>9.4884162761654542E-6</v>
      </c>
      <c r="G18" s="4">
        <f>SUMPRODUCT('Fuel Price Data'!G103:G107,'BAU Fuel Use by Sector'!$BA$3:$BA$7)/SUM('BAU Fuel Use by Sector'!$BA$3:$BA$7)</f>
        <v>8.2431736221717939E-6</v>
      </c>
      <c r="H18" s="4">
        <f>SUMPRODUCT('Fuel Price Data'!H103:H107,'BAU Fuel Use by Sector'!$BA$3:$BA$7)/SUM('BAU Fuel Use by Sector'!$BA$3:$BA$7)</f>
        <v>6.222373878434911E-6</v>
      </c>
      <c r="I18" s="4">
        <f>SUMPRODUCT('Fuel Price Data'!I103:I107,'BAU Fuel Use by Sector'!$BA$3:$BA$7)/SUM('BAU Fuel Use by Sector'!$BA$3:$BA$7)</f>
        <v>8.1538604327725013E-6</v>
      </c>
      <c r="J18" s="4">
        <f>SUMPRODUCT('Fuel Price Data'!J103:J107,'BAU Fuel Use by Sector'!$BA$3:$BA$7)/SUM('BAU Fuel Use by Sector'!$BA$3:$BA$7)</f>
        <v>1.0085346987110093E-5</v>
      </c>
      <c r="K18" s="4">
        <f>SUMPRODUCT('Fuel Price Data'!K103:K107,'BAU Fuel Use by Sector'!$BA$3:$BA$7)/SUM('BAU Fuel Use by Sector'!$BA$3:$BA$7)</f>
        <v>1.0165895745183615E-5</v>
      </c>
      <c r="L18" s="4">
        <f>SUMPRODUCT('Fuel Price Data'!L103:L107,'BAU Fuel Use by Sector'!$BA$3:$BA$7)/SUM('BAU Fuel Use by Sector'!$BA$3:$BA$7)</f>
        <v>1.0173359406092931E-5</v>
      </c>
      <c r="M18" s="4">
        <f>SUMPRODUCT('Fuel Price Data'!M103:M107,'BAU Fuel Use by Sector'!$BA$3:$BA$7)/SUM('BAU Fuel Use by Sector'!$BA$3:$BA$7)</f>
        <v>1.0398503412779694E-5</v>
      </c>
      <c r="N18" s="4">
        <f>SUMPRODUCT('Fuel Price Data'!N103:N107,'BAU Fuel Use by Sector'!$BA$3:$BA$7)/SUM('BAU Fuel Use by Sector'!$BA$3:$BA$7)</f>
        <v>1.0227797067876952E-5</v>
      </c>
      <c r="O18" s="4">
        <f>SUMPRODUCT('Fuel Price Data'!O103:O107,'BAU Fuel Use by Sector'!$BA$3:$BA$7)/SUM('BAU Fuel Use by Sector'!$BA$3:$BA$7)</f>
        <v>1.0351942432387018E-5</v>
      </c>
      <c r="P18" s="4">
        <f>SUMPRODUCT('Fuel Price Data'!P103:P107,'BAU Fuel Use by Sector'!$BA$3:$BA$7)/SUM('BAU Fuel Use by Sector'!$BA$3:$BA$7)</f>
        <v>1.0649022304305715E-5</v>
      </c>
      <c r="Q18" s="4">
        <f>SUMPRODUCT('Fuel Price Data'!Q103:Q107,'BAU Fuel Use by Sector'!$BA$3:$BA$7)/SUM('BAU Fuel Use by Sector'!$BA$3:$BA$7)</f>
        <v>1.0716089800451591E-5</v>
      </c>
      <c r="R18" s="4">
        <f>SUMPRODUCT('Fuel Price Data'!R103:R107,'BAU Fuel Use by Sector'!$BA$3:$BA$7)/SUM('BAU Fuel Use by Sector'!$BA$3:$BA$7)</f>
        <v>1.0755848147987751E-5</v>
      </c>
      <c r="S18" s="4">
        <f>SUMPRODUCT('Fuel Price Data'!S103:S107,'BAU Fuel Use by Sector'!$BA$3:$BA$7)/SUM('BAU Fuel Use by Sector'!$BA$3:$BA$7)</f>
        <v>1.0948957192511546E-5</v>
      </c>
      <c r="T18" s="4">
        <f>SUMPRODUCT('Fuel Price Data'!T103:T107,'BAU Fuel Use by Sector'!$BA$3:$BA$7)/SUM('BAU Fuel Use by Sector'!$BA$3:$BA$7)</f>
        <v>1.1071603771111642E-5</v>
      </c>
      <c r="U18" s="4">
        <f>SUMPRODUCT('Fuel Price Data'!U103:U107,'BAU Fuel Use by Sector'!$BA$3:$BA$7)/SUM('BAU Fuel Use by Sector'!$BA$3:$BA$7)</f>
        <v>1.1233966711714263E-5</v>
      </c>
      <c r="V18" s="4">
        <f>SUMPRODUCT('Fuel Price Data'!V103:V107,'BAU Fuel Use by Sector'!$BA$3:$BA$7)/SUM('BAU Fuel Use by Sector'!$BA$3:$BA$7)</f>
        <v>1.1339020375313827E-5</v>
      </c>
      <c r="W18" s="4">
        <f>SUMPRODUCT('Fuel Price Data'!W103:W107,'BAU Fuel Use by Sector'!$BA$3:$BA$7)/SUM('BAU Fuel Use by Sector'!$BA$3:$BA$7)</f>
        <v>1.1378038605768718E-5</v>
      </c>
      <c r="X18" s="4">
        <f>SUMPRODUCT('Fuel Price Data'!X103:X107,'BAU Fuel Use by Sector'!$BA$3:$BA$7)/SUM('BAU Fuel Use by Sector'!$BA$3:$BA$7)</f>
        <v>1.1335429147576459E-5</v>
      </c>
      <c r="Y18" s="4">
        <f>SUMPRODUCT('Fuel Price Data'!Y103:Y107,'BAU Fuel Use by Sector'!$BA$3:$BA$7)/SUM('BAU Fuel Use by Sector'!$BA$3:$BA$7)</f>
        <v>1.1429540209421617E-5</v>
      </c>
      <c r="Z18" s="4">
        <f>SUMPRODUCT('Fuel Price Data'!Z103:Z107,'BAU Fuel Use by Sector'!$BA$3:$BA$7)/SUM('BAU Fuel Use by Sector'!$BA$3:$BA$7)</f>
        <v>1.1491443484930473E-5</v>
      </c>
      <c r="AA18" s="4">
        <f>SUMPRODUCT('Fuel Price Data'!AA103:AA107,'BAU Fuel Use by Sector'!$BA$3:$BA$7)/SUM('BAU Fuel Use by Sector'!$BA$3:$BA$7)</f>
        <v>1.1595688682905637E-5</v>
      </c>
      <c r="AB18" s="4">
        <f>SUMPRODUCT('Fuel Price Data'!AB103:AB107,'BAU Fuel Use by Sector'!$BA$3:$BA$7)/SUM('BAU Fuel Use by Sector'!$BA$3:$BA$7)</f>
        <v>1.1917823177918667E-5</v>
      </c>
      <c r="AC18" s="4">
        <f>SUMPRODUCT('Fuel Price Data'!AC103:AC107,'BAU Fuel Use by Sector'!$BA$3:$BA$7)/SUM('BAU Fuel Use by Sector'!$BA$3:$BA$7)</f>
        <v>1.1930454965096033E-5</v>
      </c>
      <c r="AD18" s="4">
        <f>SUMPRODUCT('Fuel Price Data'!AD103:AD107,'BAU Fuel Use by Sector'!$BA$3:$BA$7)/SUM('BAU Fuel Use by Sector'!$BA$3:$BA$7)</f>
        <v>1.2001565765771667E-5</v>
      </c>
      <c r="AE18" s="4">
        <f>SUMPRODUCT('Fuel Price Data'!AE103:AE107,'BAU Fuel Use by Sector'!$BA$3:$BA$7)/SUM('BAU Fuel Use by Sector'!$BA$3:$BA$7)</f>
        <v>1.2146394375839298E-5</v>
      </c>
      <c r="AF18" s="4"/>
      <c r="AG18" s="4"/>
      <c r="AH18" s="4"/>
      <c r="AI18" s="4"/>
    </row>
    <row r="19" spans="1:35" x14ac:dyDescent="0.75">
      <c r="A19" t="s">
        <v>42</v>
      </c>
      <c r="B19" s="4">
        <f>'Fuel Price Data'!B113</f>
        <v>1.700361010830325E-5</v>
      </c>
      <c r="C19" s="4">
        <f>'Fuel Price Data'!C113</f>
        <v>2.641227436823105E-5</v>
      </c>
      <c r="D19" s="4">
        <f>'Fuel Price Data'!D113</f>
        <v>2.641227436823105E-5</v>
      </c>
      <c r="E19" s="4">
        <f>'Fuel Price Data'!E113</f>
        <v>2.1141155234657041E-5</v>
      </c>
      <c r="F19" s="4">
        <f>'Fuel Price Data'!F113</f>
        <v>1.3105788410335773E-5</v>
      </c>
      <c r="G19" s="4">
        <f>'Fuel Price Data'!G113</f>
        <v>1.3105788410335772E-5</v>
      </c>
      <c r="H19" s="4">
        <f>'Fuel Price Data'!H113</f>
        <v>1.2086449311754101E-5</v>
      </c>
      <c r="I19" s="4">
        <f>'Fuel Price Data'!I113</f>
        <v>1.063308103052346E-5</v>
      </c>
      <c r="J19" s="4">
        <f>'Fuel Price Data'!J113</f>
        <v>9.1797127492928201E-6</v>
      </c>
      <c r="K19" s="4">
        <f>'Fuel Price Data'!K113</f>
        <v>9.2185639578774818E-6</v>
      </c>
      <c r="L19" s="4">
        <f>'Fuel Price Data'!L113</f>
        <v>9.2450282899342299E-6</v>
      </c>
      <c r="M19" s="4">
        <f>'Fuel Price Data'!M113</f>
        <v>9.3985729289642608E-6</v>
      </c>
      <c r="N19" s="4">
        <f>'Fuel Price Data'!N113</f>
        <v>9.3339379475820991E-6</v>
      </c>
      <c r="O19" s="4">
        <f>'Fuel Price Data'!O113</f>
        <v>9.4247636412983145E-6</v>
      </c>
      <c r="P19" s="4">
        <f>'Fuel Price Data'!P113</f>
        <v>9.6299225925596225E-6</v>
      </c>
      <c r="Q19" s="4">
        <f>'Fuel Price Data'!Q113</f>
        <v>9.6938860888059891E-6</v>
      </c>
      <c r="R19" s="4">
        <f>'Fuel Price Data'!R113</f>
        <v>9.6434234922442165E-6</v>
      </c>
      <c r="S19" s="4">
        <f>'Fuel Price Data'!S113</f>
        <v>9.6777557873474391E-6</v>
      </c>
      <c r="T19" s="4">
        <f>'Fuel Price Data'!T113</f>
        <v>9.7969478889988418E-6</v>
      </c>
      <c r="U19" s="4">
        <f>'Fuel Price Data'!U113</f>
        <v>9.8733799288842247E-6</v>
      </c>
      <c r="V19" s="4">
        <f>'Fuel Price Data'!V113</f>
        <v>9.8913976480217753E-6</v>
      </c>
      <c r="W19" s="4">
        <f>'Fuel Price Data'!W113</f>
        <v>9.9333354546007136E-6</v>
      </c>
      <c r="X19" s="4">
        <f>'Fuel Price Data'!X113</f>
        <v>9.9226866217195091E-6</v>
      </c>
      <c r="Y19" s="4">
        <f>'Fuel Price Data'!Y113</f>
        <v>1.0001013059378865E-5</v>
      </c>
      <c r="Z19" s="4">
        <f>'Fuel Price Data'!Z113</f>
        <v>1.0097956108323903E-5</v>
      </c>
      <c r="AA19" s="4">
        <f>'Fuel Price Data'!AA113</f>
        <v>1.018685389981032E-5</v>
      </c>
      <c r="AB19" s="4">
        <f>'Fuel Price Data'!AB113</f>
        <v>1.0190916315080938E-5</v>
      </c>
      <c r="AC19" s="4">
        <f>'Fuel Price Data'!AC113</f>
        <v>1.0185806187555815E-5</v>
      </c>
      <c r="AD19" s="4">
        <f>'Fuel Price Data'!AD113</f>
        <v>1.0237081267171712E-5</v>
      </c>
      <c r="AE19" s="4">
        <f>'Fuel Price Data'!AE113</f>
        <v>1.0319279563509094E-5</v>
      </c>
      <c r="AF19" s="4"/>
      <c r="AG19" s="4"/>
      <c r="AH19" s="4"/>
      <c r="AI19" s="4"/>
    </row>
    <row r="20" spans="1:35" x14ac:dyDescent="0.75">
      <c r="A20" t="s">
        <v>43</v>
      </c>
      <c r="B20" s="4">
        <f>SUMPRODUCT('Fuel Price Data'!B123:B127,'BAU Fuel Use by Sector'!$BC$3:$BC$7)/SUM('BAU Fuel Use by Sector'!$BC$3:$BC$7)</f>
        <v>1.3446875511348771E-5</v>
      </c>
      <c r="C20" s="4">
        <f>SUMPRODUCT('Fuel Price Data'!C123:C127,'BAU Fuel Use by Sector'!$BC$3:$BC$7)/SUM('BAU Fuel Use by Sector'!$BC$3:$BC$7)</f>
        <v>1.9738107178867089E-5</v>
      </c>
      <c r="D20" s="4">
        <f>SUMPRODUCT('Fuel Price Data'!D123:D127,'BAU Fuel Use by Sector'!$BC$3:$BC$7)/SUM('BAU Fuel Use by Sector'!$BC$3:$BC$7)</f>
        <v>1.9678594519588962E-5</v>
      </c>
      <c r="E20" s="4">
        <f>SUMPRODUCT('Fuel Price Data'!E123:E127,'BAU Fuel Use by Sector'!$BC$3:$BC$7)/SUM('BAU Fuel Use by Sector'!$BC$3:$BC$7)</f>
        <v>1.8382037480391831E-5</v>
      </c>
      <c r="F20" s="4">
        <f>SUMPRODUCT('Fuel Price Data'!F123:F127,'BAU Fuel Use by Sector'!$BC$3:$BC$7)/SUM('BAU Fuel Use by Sector'!$BC$3:$BC$7)</f>
        <v>1.1782411981608313E-5</v>
      </c>
      <c r="G20" s="4">
        <f>SUMPRODUCT('Fuel Price Data'!G123:G127,'BAU Fuel Use by Sector'!$BC$3:$BC$7)/SUM('BAU Fuel Use by Sector'!$BC$3:$BC$7)</f>
        <v>1.1699837712304446E-5</v>
      </c>
      <c r="H20" s="4">
        <f>SUMPRODUCT('Fuel Price Data'!H123:H127,'BAU Fuel Use by Sector'!$BC$3:$BC$7)/SUM('BAU Fuel Use by Sector'!$BC$3:$BC$7)</f>
        <v>1.2190896914474552E-5</v>
      </c>
      <c r="I20" s="4">
        <f>SUMPRODUCT('Fuel Price Data'!I123:I127,'BAU Fuel Use by Sector'!$BC$3:$BC$7)/SUM('BAU Fuel Use by Sector'!$BC$3:$BC$7)</f>
        <v>1.2055599325639166E-5</v>
      </c>
      <c r="J20" s="4">
        <f>SUMPRODUCT('Fuel Price Data'!J123:J127,'BAU Fuel Use by Sector'!$BC$3:$BC$7)/SUM('BAU Fuel Use by Sector'!$BC$3:$BC$7)</f>
        <v>1.2109516444749786E-5</v>
      </c>
      <c r="K20" s="4">
        <f>SUMPRODUCT('Fuel Price Data'!K123:K127,'BAU Fuel Use by Sector'!$BC$3:$BC$7)/SUM('BAU Fuel Use by Sector'!$BC$3:$BC$7)</f>
        <v>1.2383699873003371E-5</v>
      </c>
      <c r="L20" s="4">
        <f>SUMPRODUCT('Fuel Price Data'!L123:L127,'BAU Fuel Use by Sector'!$BC$3:$BC$7)/SUM('BAU Fuel Use by Sector'!$BC$3:$BC$7)</f>
        <v>1.2718153899308681E-5</v>
      </c>
      <c r="M20" s="4">
        <f>SUMPRODUCT('Fuel Price Data'!M123:M127,'BAU Fuel Use by Sector'!$BC$3:$BC$7)/SUM('BAU Fuel Use by Sector'!$BC$3:$BC$7)</f>
        <v>1.3102230884786625E-5</v>
      </c>
      <c r="N20" s="4">
        <f>SUMPRODUCT('Fuel Price Data'!N123:N127,'BAU Fuel Use by Sector'!$BC$3:$BC$7)/SUM('BAU Fuel Use by Sector'!$BC$3:$BC$7)</f>
        <v>1.3683482232508877E-5</v>
      </c>
      <c r="O20" s="4">
        <f>SUMPRODUCT('Fuel Price Data'!O123:O127,'BAU Fuel Use by Sector'!$BC$3:$BC$7)/SUM('BAU Fuel Use by Sector'!$BC$3:$BC$7)</f>
        <v>1.4362430089698643E-5</v>
      </c>
      <c r="P20" s="4">
        <f>SUMPRODUCT('Fuel Price Data'!P123:P127,'BAU Fuel Use by Sector'!$BC$3:$BC$7)/SUM('BAU Fuel Use by Sector'!$BC$3:$BC$7)</f>
        <v>1.5021500317279248E-5</v>
      </c>
      <c r="Q20" s="4">
        <f>SUMPRODUCT('Fuel Price Data'!Q123:Q127,'BAU Fuel Use by Sector'!$BC$3:$BC$7)/SUM('BAU Fuel Use by Sector'!$BC$3:$BC$7)</f>
        <v>1.5417924924914339E-5</v>
      </c>
      <c r="R20" s="4">
        <f>SUMPRODUCT('Fuel Price Data'!R123:R127,'BAU Fuel Use by Sector'!$BC$3:$BC$7)/SUM('BAU Fuel Use by Sector'!$BC$3:$BC$7)</f>
        <v>1.5564305263796299E-5</v>
      </c>
      <c r="S20" s="4">
        <f>SUMPRODUCT('Fuel Price Data'!S123:S127,'BAU Fuel Use by Sector'!$BC$3:$BC$7)/SUM('BAU Fuel Use by Sector'!$BC$3:$BC$7)</f>
        <v>1.5678371720504835E-5</v>
      </c>
      <c r="T20" s="4">
        <f>SUMPRODUCT('Fuel Price Data'!T123:T127,'BAU Fuel Use by Sector'!$BC$3:$BC$7)/SUM('BAU Fuel Use by Sector'!$BC$3:$BC$7)</f>
        <v>1.5787134920351993E-5</v>
      </c>
      <c r="U20" s="4">
        <f>SUMPRODUCT('Fuel Price Data'!U123:U127,'BAU Fuel Use by Sector'!$BC$3:$BC$7)/SUM('BAU Fuel Use by Sector'!$BC$3:$BC$7)</f>
        <v>1.5919230645358286E-5</v>
      </c>
      <c r="V20" s="4">
        <f>SUMPRODUCT('Fuel Price Data'!V123:V127,'BAU Fuel Use by Sector'!$BC$3:$BC$7)/SUM('BAU Fuel Use by Sector'!$BC$3:$BC$7)</f>
        <v>1.6084912935737106E-5</v>
      </c>
      <c r="W20" s="4">
        <f>SUMPRODUCT('Fuel Price Data'!W123:W127,'BAU Fuel Use by Sector'!$BC$3:$BC$7)/SUM('BAU Fuel Use by Sector'!$BC$3:$BC$7)</f>
        <v>1.6312107408198887E-5</v>
      </c>
      <c r="X20" s="4">
        <f>SUMPRODUCT('Fuel Price Data'!X123:X127,'BAU Fuel Use by Sector'!$BC$3:$BC$7)/SUM('BAU Fuel Use by Sector'!$BC$3:$BC$7)</f>
        <v>1.6497237168516557E-5</v>
      </c>
      <c r="Y20" s="4">
        <f>SUMPRODUCT('Fuel Price Data'!Y123:Y127,'BAU Fuel Use by Sector'!$BC$3:$BC$7)/SUM('BAU Fuel Use by Sector'!$BC$3:$BC$7)</f>
        <v>1.6755876046356471E-5</v>
      </c>
      <c r="Z20" s="4">
        <f>SUMPRODUCT('Fuel Price Data'!Z123:Z127,'BAU Fuel Use by Sector'!$BC$3:$BC$7)/SUM('BAU Fuel Use by Sector'!$BC$3:$BC$7)</f>
        <v>1.6991854404965114E-5</v>
      </c>
      <c r="AA20" s="4">
        <f>SUMPRODUCT('Fuel Price Data'!AA123:AA127,'BAU Fuel Use by Sector'!$BC$3:$BC$7)/SUM('BAU Fuel Use by Sector'!$BC$3:$BC$7)</f>
        <v>1.720142413923081E-5</v>
      </c>
      <c r="AB20" s="4">
        <f>SUMPRODUCT('Fuel Price Data'!AB123:AB127,'BAU Fuel Use by Sector'!$BC$3:$BC$7)/SUM('BAU Fuel Use by Sector'!$BC$3:$BC$7)</f>
        <v>1.7587209469474152E-5</v>
      </c>
      <c r="AC20" s="4">
        <f>SUMPRODUCT('Fuel Price Data'!AC123:AC127,'BAU Fuel Use by Sector'!$BC$3:$BC$7)/SUM('BAU Fuel Use by Sector'!$BC$3:$BC$7)</f>
        <v>1.7693712203228885E-5</v>
      </c>
      <c r="AD20" s="4">
        <f>SUMPRODUCT('Fuel Price Data'!AD123:AD127,'BAU Fuel Use by Sector'!$BC$3:$BC$7)/SUM('BAU Fuel Use by Sector'!$BC$3:$BC$7)</f>
        <v>1.783744012081757E-5</v>
      </c>
      <c r="AE20" s="4">
        <f>SUMPRODUCT('Fuel Price Data'!AE123:AE127,'BAU Fuel Use by Sector'!$BC$3:$BC$7)/SUM('BAU Fuel Use by Sector'!$BC$3:$BC$7)</f>
        <v>1.8079929205292128E-5</v>
      </c>
      <c r="AF20" s="4"/>
      <c r="AG20" s="4"/>
      <c r="AH20" s="4"/>
      <c r="AI20" s="4"/>
    </row>
    <row r="21" spans="1:35" x14ac:dyDescent="0.75">
      <c r="A21" t="s">
        <v>44</v>
      </c>
      <c r="B21">
        <f>SUMPRODUCT('Fuel Price Data'!B133:B137,'BAU Fuel Use by Sector'!$BD$3:$BD$7)/SUM('BAU Fuel Use by Sector'!$BD$3:$BD$7)</f>
        <v>0</v>
      </c>
      <c r="C21">
        <f>SUMPRODUCT('Fuel Price Data'!C133:C137,'BAU Fuel Use by Sector'!$BD$3:$BD$7)/SUM('BAU Fuel Use by Sector'!$BD$3:$BD$7)</f>
        <v>0</v>
      </c>
      <c r="D21">
        <f>SUMPRODUCT('Fuel Price Data'!D133:D137,'BAU Fuel Use by Sector'!$BD$3:$BD$7)/SUM('BAU Fuel Use by Sector'!$BD$3:$BD$7)</f>
        <v>0</v>
      </c>
      <c r="E21">
        <f>SUMPRODUCT('Fuel Price Data'!E133:E137,'BAU Fuel Use by Sector'!$BD$3:$BD$7)/SUM('BAU Fuel Use by Sector'!$BD$3:$BD$7)</f>
        <v>0</v>
      </c>
      <c r="F21">
        <f>SUMPRODUCT('Fuel Price Data'!F133:F137,'BAU Fuel Use by Sector'!$BD$3:$BD$7)/SUM('BAU Fuel Use by Sector'!$BD$3:$BD$7)</f>
        <v>0</v>
      </c>
      <c r="G21">
        <f>SUMPRODUCT('Fuel Price Data'!G133:G137,'BAU Fuel Use by Sector'!$BD$3:$BD$7)/SUM('BAU Fuel Use by Sector'!$BD$3:$BD$7)</f>
        <v>0</v>
      </c>
      <c r="H21">
        <f>SUMPRODUCT('Fuel Price Data'!H133:H137,'BAU Fuel Use by Sector'!$BD$3:$BD$7)/SUM('BAU Fuel Use by Sector'!$BD$3:$BD$7)</f>
        <v>0</v>
      </c>
      <c r="I21">
        <f>SUMPRODUCT('Fuel Price Data'!I133:I137,'BAU Fuel Use by Sector'!$BD$3:$BD$7)/SUM('BAU Fuel Use by Sector'!$BD$3:$BD$7)</f>
        <v>0</v>
      </c>
      <c r="J21">
        <f>SUMPRODUCT('Fuel Price Data'!J133:J137,'BAU Fuel Use by Sector'!$BD$3:$BD$7)/SUM('BAU Fuel Use by Sector'!$BD$3:$BD$7)</f>
        <v>0</v>
      </c>
      <c r="K21">
        <f>SUMPRODUCT('Fuel Price Data'!K133:K137,'BAU Fuel Use by Sector'!$BD$3:$BD$7)/SUM('BAU Fuel Use by Sector'!$BD$3:$BD$7)</f>
        <v>0</v>
      </c>
      <c r="L21">
        <f>SUMPRODUCT('Fuel Price Data'!L133:L137,'BAU Fuel Use by Sector'!$BD$3:$BD$7)/SUM('BAU Fuel Use by Sector'!$BD$3:$BD$7)</f>
        <v>0</v>
      </c>
      <c r="M21">
        <f>SUMPRODUCT('Fuel Price Data'!M133:M137,'BAU Fuel Use by Sector'!$BD$3:$BD$7)/SUM('BAU Fuel Use by Sector'!$BD$3:$BD$7)</f>
        <v>0</v>
      </c>
      <c r="N21">
        <f>SUMPRODUCT('Fuel Price Data'!N133:N137,'BAU Fuel Use by Sector'!$BD$3:$BD$7)/SUM('BAU Fuel Use by Sector'!$BD$3:$BD$7)</f>
        <v>0</v>
      </c>
      <c r="O21">
        <f>SUMPRODUCT('Fuel Price Data'!O133:O137,'BAU Fuel Use by Sector'!$BD$3:$BD$7)/SUM('BAU Fuel Use by Sector'!$BD$3:$BD$7)</f>
        <v>0</v>
      </c>
      <c r="P21">
        <f>SUMPRODUCT('Fuel Price Data'!P133:P137,'BAU Fuel Use by Sector'!$BD$3:$BD$7)/SUM('BAU Fuel Use by Sector'!$BD$3:$BD$7)</f>
        <v>0</v>
      </c>
      <c r="Q21">
        <f>SUMPRODUCT('Fuel Price Data'!Q133:Q137,'BAU Fuel Use by Sector'!$BD$3:$BD$7)/SUM('BAU Fuel Use by Sector'!$BD$3:$BD$7)</f>
        <v>0</v>
      </c>
      <c r="R21">
        <f>SUMPRODUCT('Fuel Price Data'!R133:R137,'BAU Fuel Use by Sector'!$BD$3:$BD$7)/SUM('BAU Fuel Use by Sector'!$BD$3:$BD$7)</f>
        <v>0</v>
      </c>
      <c r="S21">
        <f>SUMPRODUCT('Fuel Price Data'!S133:S137,'BAU Fuel Use by Sector'!$BD$3:$BD$7)/SUM('BAU Fuel Use by Sector'!$BD$3:$BD$7)</f>
        <v>0</v>
      </c>
      <c r="T21">
        <f>SUMPRODUCT('Fuel Price Data'!T133:T137,'BAU Fuel Use by Sector'!$BD$3:$BD$7)/SUM('BAU Fuel Use by Sector'!$BD$3:$BD$7)</f>
        <v>0</v>
      </c>
      <c r="U21">
        <f>SUMPRODUCT('Fuel Price Data'!U133:U137,'BAU Fuel Use by Sector'!$BD$3:$BD$7)/SUM('BAU Fuel Use by Sector'!$BD$3:$BD$7)</f>
        <v>0</v>
      </c>
      <c r="V21">
        <f>SUMPRODUCT('Fuel Price Data'!V133:V137,'BAU Fuel Use by Sector'!$BD$3:$BD$7)/SUM('BAU Fuel Use by Sector'!$BD$3:$BD$7)</f>
        <v>0</v>
      </c>
      <c r="W21">
        <f>SUMPRODUCT('Fuel Price Data'!W133:W137,'BAU Fuel Use by Sector'!$BD$3:$BD$7)/SUM('BAU Fuel Use by Sector'!$BD$3:$BD$7)</f>
        <v>0</v>
      </c>
      <c r="X21">
        <f>SUMPRODUCT('Fuel Price Data'!X133:X137,'BAU Fuel Use by Sector'!$BD$3:$BD$7)/SUM('BAU Fuel Use by Sector'!$BD$3:$BD$7)</f>
        <v>0</v>
      </c>
      <c r="Y21">
        <f>SUMPRODUCT('Fuel Price Data'!Y133:Y137,'BAU Fuel Use by Sector'!$BD$3:$BD$7)/SUM('BAU Fuel Use by Sector'!$BD$3:$BD$7)</f>
        <v>0</v>
      </c>
      <c r="Z21">
        <f>SUMPRODUCT('Fuel Price Data'!Z133:Z137,'BAU Fuel Use by Sector'!$BD$3:$BD$7)/SUM('BAU Fuel Use by Sector'!$BD$3:$BD$7)</f>
        <v>0</v>
      </c>
      <c r="AA21">
        <f>SUMPRODUCT('Fuel Price Data'!AA133:AA137,'BAU Fuel Use by Sector'!$BD$3:$BD$7)/SUM('BAU Fuel Use by Sector'!$BD$3:$BD$7)</f>
        <v>0</v>
      </c>
      <c r="AB21">
        <f>SUMPRODUCT('Fuel Price Data'!AB133:AB137,'BAU Fuel Use by Sector'!$BD$3:$BD$7)/SUM('BAU Fuel Use by Sector'!$BD$3:$BD$7)</f>
        <v>0</v>
      </c>
      <c r="AC21">
        <f>SUMPRODUCT('Fuel Price Data'!AC133:AC137,'BAU Fuel Use by Sector'!$BD$3:$BD$7)/SUM('BAU Fuel Use by Sector'!$BD$3:$BD$7)</f>
        <v>0</v>
      </c>
      <c r="AD21">
        <f>SUMPRODUCT('Fuel Price Data'!AD133:AD137,'BAU Fuel Use by Sector'!$BD$3:$BD$7)/SUM('BAU Fuel Use by Sector'!$BD$3:$BD$7)</f>
        <v>0</v>
      </c>
      <c r="AE21">
        <f>SUMPRODUCT('Fuel Price Data'!AE133:AE137,'BAU Fuel Use by Sector'!$BD$3:$BD$7)/SUM('BAU Fuel Use by Sector'!$BD$3:$BD$7)</f>
        <v>0</v>
      </c>
    </row>
    <row r="22" spans="1:35" x14ac:dyDescent="0.75">
      <c r="A22" t="s">
        <v>45</v>
      </c>
      <c r="B22" s="4">
        <f>SUMPRODUCT('Fuel Price Data'!B143:B147,'BAU Fuel Use by Sector'!$BE$3:$BE$7)/SUM('BAU Fuel Use by Sector'!$BE$3:$BE$7)</f>
        <v>7.1252833465009711E-5</v>
      </c>
      <c r="C22" s="4">
        <f>SUMPRODUCT('Fuel Price Data'!C143:C147,'BAU Fuel Use by Sector'!$BE$3:$BE$7)/SUM('BAU Fuel Use by Sector'!$BE$3:$BE$7)</f>
        <v>6.4904900851937169E-5</v>
      </c>
      <c r="D22" s="4">
        <f>SUMPRODUCT('Fuel Price Data'!D143:D147,'BAU Fuel Use by Sector'!$BE$3:$BE$7)/SUM('BAU Fuel Use by Sector'!$BE$3:$BE$7)</f>
        <v>6.4473241434248127E-5</v>
      </c>
      <c r="E22" s="4">
        <f>SUMPRODUCT('Fuel Price Data'!E143:E147,'BAU Fuel Use by Sector'!$BE$3:$BE$7)/SUM('BAU Fuel Use by Sector'!$BE$3:$BE$7)</f>
        <v>5.7584615704943806E-5</v>
      </c>
      <c r="F22" s="4">
        <f>SUMPRODUCT('Fuel Price Data'!F143:F147,'BAU Fuel Use by Sector'!$BE$3:$BE$7)/SUM('BAU Fuel Use by Sector'!$BE$3:$BE$7)</f>
        <v>4.4271453799768179E-5</v>
      </c>
      <c r="G22" s="4">
        <f>SUMPRODUCT('Fuel Price Data'!G143:G147,'BAU Fuel Use by Sector'!$BE$3:$BE$7)/SUM('BAU Fuel Use by Sector'!$BE$3:$BE$7)</f>
        <v>4.4450694195390207E-5</v>
      </c>
      <c r="H22" s="4">
        <f>SUMPRODUCT('Fuel Price Data'!H143:H147,'BAU Fuel Use by Sector'!$BE$3:$BE$7)/SUM('BAU Fuel Use by Sector'!$BE$3:$BE$7)</f>
        <v>4.4312092482240072E-5</v>
      </c>
      <c r="I22" s="4">
        <f>SUMPRODUCT('Fuel Price Data'!I143:I147,'BAU Fuel Use by Sector'!$BE$3:$BE$7)/SUM('BAU Fuel Use by Sector'!$BE$3:$BE$7)</f>
        <v>4.4244548884117131E-5</v>
      </c>
      <c r="J22" s="4">
        <f>SUMPRODUCT('Fuel Price Data'!J143:J147,'BAU Fuel Use by Sector'!$BE$3:$BE$7)/SUM('BAU Fuel Use by Sector'!$BE$3:$BE$7)</f>
        <v>4.4314379853776583E-5</v>
      </c>
      <c r="K22" s="4">
        <f>SUMPRODUCT('Fuel Price Data'!K143:K147,'BAU Fuel Use by Sector'!$BE$3:$BE$7)/SUM('BAU Fuel Use by Sector'!$BE$3:$BE$7)</f>
        <v>4.446756744140479E-5</v>
      </c>
      <c r="L22" s="4">
        <f>SUMPRODUCT('Fuel Price Data'!L143:L147,'BAU Fuel Use by Sector'!$BE$3:$BE$7)/SUM('BAU Fuel Use by Sector'!$BE$3:$BE$7)</f>
        <v>4.4682031093787901E-5</v>
      </c>
      <c r="M22" s="4">
        <f>SUMPRODUCT('Fuel Price Data'!M143:M147,'BAU Fuel Use by Sector'!$BE$3:$BE$7)/SUM('BAU Fuel Use by Sector'!$BE$3:$BE$7)</f>
        <v>4.5257121285616753E-5</v>
      </c>
      <c r="N22" s="4">
        <f>SUMPRODUCT('Fuel Price Data'!N143:N147,'BAU Fuel Use by Sector'!$BE$3:$BE$7)/SUM('BAU Fuel Use by Sector'!$BE$3:$BE$7)</f>
        <v>4.5443815730237812E-5</v>
      </c>
      <c r="O22" s="4">
        <f>SUMPRODUCT('Fuel Price Data'!O143:O147,'BAU Fuel Use by Sector'!$BE$3:$BE$7)/SUM('BAU Fuel Use by Sector'!$BE$3:$BE$7)</f>
        <v>4.5892234553729141E-5</v>
      </c>
      <c r="P22" s="4">
        <f>SUMPRODUCT('Fuel Price Data'!P143:P147,'BAU Fuel Use by Sector'!$BE$3:$BE$7)/SUM('BAU Fuel Use by Sector'!$BE$3:$BE$7)</f>
        <v>4.6154149874493274E-5</v>
      </c>
      <c r="Q22" s="4">
        <f>SUMPRODUCT('Fuel Price Data'!Q143:Q147,'BAU Fuel Use by Sector'!$BE$3:$BE$7)/SUM('BAU Fuel Use by Sector'!$BE$3:$BE$7)</f>
        <v>4.6248353314340934E-5</v>
      </c>
      <c r="R22" s="4">
        <f>SUMPRODUCT('Fuel Price Data'!R143:R147,'BAU Fuel Use by Sector'!$BE$3:$BE$7)/SUM('BAU Fuel Use by Sector'!$BE$3:$BE$7)</f>
        <v>4.6138542482661085E-5</v>
      </c>
      <c r="S22" s="4">
        <f>SUMPRODUCT('Fuel Price Data'!S143:S147,'BAU Fuel Use by Sector'!$BE$3:$BE$7)/SUM('BAU Fuel Use by Sector'!$BE$3:$BE$7)</f>
        <v>4.6086375207306541E-5</v>
      </c>
      <c r="T22" s="4">
        <f>SUMPRODUCT('Fuel Price Data'!T143:T147,'BAU Fuel Use by Sector'!$BE$3:$BE$7)/SUM('BAU Fuel Use by Sector'!$BE$3:$BE$7)</f>
        <v>4.6266853492058495E-5</v>
      </c>
      <c r="U22" s="4">
        <f>SUMPRODUCT('Fuel Price Data'!U143:U147,'BAU Fuel Use by Sector'!$BE$3:$BE$7)/SUM('BAU Fuel Use by Sector'!$BE$3:$BE$7)</f>
        <v>4.6354833691428742E-5</v>
      </c>
      <c r="V22" s="4">
        <f>SUMPRODUCT('Fuel Price Data'!V143:V147,'BAU Fuel Use by Sector'!$BE$3:$BE$7)/SUM('BAU Fuel Use by Sector'!$BE$3:$BE$7)</f>
        <v>4.6326734844493825E-5</v>
      </c>
      <c r="W22" s="4">
        <f>SUMPRODUCT('Fuel Price Data'!W143:W147,'BAU Fuel Use by Sector'!$BE$3:$BE$7)/SUM('BAU Fuel Use by Sector'!$BE$3:$BE$7)</f>
        <v>4.6199816950370257E-5</v>
      </c>
      <c r="X22" s="4">
        <f>SUMPRODUCT('Fuel Price Data'!X143:X147,'BAU Fuel Use by Sector'!$BE$3:$BE$7)/SUM('BAU Fuel Use by Sector'!$BE$3:$BE$7)</f>
        <v>4.6091294320344846E-5</v>
      </c>
      <c r="Y22" s="4">
        <f>SUMPRODUCT('Fuel Price Data'!Y143:Y147,'BAU Fuel Use by Sector'!$BE$3:$BE$7)/SUM('BAU Fuel Use by Sector'!$BE$3:$BE$7)</f>
        <v>4.6138779191641593E-5</v>
      </c>
      <c r="Z22" s="4">
        <f>SUMPRODUCT('Fuel Price Data'!Z143:Z147,'BAU Fuel Use by Sector'!$BE$3:$BE$7)/SUM('BAU Fuel Use by Sector'!$BE$3:$BE$7)</f>
        <v>4.6292885962847624E-5</v>
      </c>
      <c r="AA22" s="4">
        <f>SUMPRODUCT('Fuel Price Data'!AA143:AA147,'BAU Fuel Use by Sector'!$BE$3:$BE$7)/SUM('BAU Fuel Use by Sector'!$BE$3:$BE$7)</f>
        <v>4.6276668935105132E-5</v>
      </c>
      <c r="AB22" s="4">
        <f>SUMPRODUCT('Fuel Price Data'!AB143:AB147,'BAU Fuel Use by Sector'!$BE$3:$BE$7)/SUM('BAU Fuel Use by Sector'!$BE$3:$BE$7)</f>
        <v>4.638928524005846E-5</v>
      </c>
      <c r="AC22" s="4">
        <f>SUMPRODUCT('Fuel Price Data'!AC143:AC147,'BAU Fuel Use by Sector'!$BE$3:$BE$7)/SUM('BAU Fuel Use by Sector'!$BE$3:$BE$7)</f>
        <v>4.6373705478234192E-5</v>
      </c>
      <c r="AD22" s="4">
        <f>SUMPRODUCT('Fuel Price Data'!AD143:AD147,'BAU Fuel Use by Sector'!$BE$3:$BE$7)/SUM('BAU Fuel Use by Sector'!$BE$3:$BE$7)</f>
        <v>4.6390576881503702E-5</v>
      </c>
      <c r="AE22" s="4">
        <f>SUMPRODUCT('Fuel Price Data'!AE143:AE147,'BAU Fuel Use by Sector'!$BE$3:$BE$7)/SUM('BAU Fuel Use by Sector'!$BE$3:$BE$7)</f>
        <v>4.6127042067025794E-5</v>
      </c>
      <c r="AF22" s="4"/>
      <c r="AG22" s="4"/>
      <c r="AH22" s="4"/>
      <c r="AI22" s="4"/>
    </row>
    <row r="25" spans="1:35" x14ac:dyDescent="0.7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5" x14ac:dyDescent="0.75"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</row>
  </sheetData>
  <pageMargins left="0.7" right="0.7" top="0.75" bottom="0.75" header="0.3" footer="0.3"/>
  <pageSetup orientation="portrait" r:id="rId1"/>
  <ignoredErrors>
    <ignoredError sqref="C6:AE8 C15:AE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About</vt:lpstr>
      <vt:lpstr>AEO 2022 Table 13</vt:lpstr>
      <vt:lpstr>AEO 2023 Table 13</vt:lpstr>
      <vt:lpstr>AEO 2025 Table 13</vt:lpstr>
      <vt:lpstr>AEO 2022 Table 60</vt:lpstr>
      <vt:lpstr>AEO 2023 Table 60</vt:lpstr>
      <vt:lpstr>AEO 2025 Table 61</vt:lpstr>
      <vt:lpstr>Historical Monthly Gas Cons</vt:lpstr>
      <vt:lpstr>EIA Henry Hub Nat Gas Spot</vt:lpstr>
      <vt:lpstr>NG Sector Price Historicals</vt:lpstr>
      <vt:lpstr>NG Calcs</vt:lpstr>
      <vt:lpstr>Natural Gas Prices</vt:lpstr>
      <vt:lpstr>Pretax Fuel Prices</vt:lpstr>
      <vt:lpstr>Fuel Taxes</vt:lpstr>
      <vt:lpstr>BAU Fuel Use by Sector</vt:lpstr>
      <vt:lpstr>Fuel Price Data</vt:lpstr>
      <vt:lpstr>IMFPbFT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2019-05-15T20:03:57Z</dcterms:created>
  <dcterms:modified xsi:type="dcterms:W3CDTF">2025-12-18T23:57:29Z</dcterms:modified>
</cp:coreProperties>
</file>