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isic42-staging\io-model\GaHEbIC\"/>
    </mc:Choice>
  </mc:AlternateContent>
  <xr:revisionPtr revIDLastSave="0" documentId="11_808847D7FBC6AD52AEB0D8BE4E7168832A4E1406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out" sheetId="1" r:id="rId1"/>
    <sheet name="OECD_TTL" sheetId="2" r:id="rId2"/>
    <sheet name="BEA Use 2017" sheetId="3" r:id="rId3"/>
    <sheet name="Key" sheetId="4" r:id="rId4"/>
    <sheet name="Calculations" sheetId="5" r:id="rId5"/>
    <sheet name="Checks" sheetId="6" r:id="rId6"/>
    <sheet name="GaHEbIC-government" sheetId="7" r:id="rId7"/>
    <sheet name="GaHEbIC-househol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11" i="5" s="1"/>
  <c r="PK438" i="3"/>
  <c r="PJ438" i="3"/>
  <c r="PI438" i="3"/>
  <c r="PH438" i="3"/>
  <c r="PG438" i="3"/>
  <c r="PF438" i="3"/>
  <c r="PE438" i="3"/>
  <c r="PD438" i="3"/>
  <c r="PC438" i="3"/>
  <c r="PB438" i="3"/>
  <c r="PA438" i="3"/>
  <c r="OZ438" i="3"/>
  <c r="OY438" i="3"/>
  <c r="OX438" i="3"/>
  <c r="OW438" i="3"/>
  <c r="OV438" i="3"/>
  <c r="OU438" i="3"/>
  <c r="OT438" i="3"/>
  <c r="OS438" i="3"/>
  <c r="OR438" i="3"/>
  <c r="OQ438" i="3"/>
  <c r="OP438" i="3"/>
  <c r="OO438" i="3"/>
  <c r="ON438" i="3"/>
  <c r="OM438" i="3"/>
  <c r="OL438" i="3"/>
  <c r="OK438" i="3"/>
  <c r="OJ438" i="3"/>
  <c r="OI438" i="3"/>
  <c r="OH438" i="3"/>
  <c r="OG438" i="3"/>
  <c r="OF438" i="3"/>
  <c r="OE438" i="3"/>
  <c r="OD438" i="3"/>
  <c r="OC438" i="3"/>
  <c r="OB438" i="3"/>
  <c r="OA438" i="3"/>
  <c r="NZ438" i="3"/>
  <c r="NY438" i="3"/>
  <c r="NX438" i="3"/>
  <c r="NW438" i="3"/>
  <c r="NV438" i="3"/>
  <c r="NU438" i="3"/>
  <c r="NT438" i="3"/>
  <c r="NS438" i="3"/>
  <c r="NR438" i="3"/>
  <c r="NQ438" i="3"/>
  <c r="NP438" i="3"/>
  <c r="NO438" i="3"/>
  <c r="NN438" i="3"/>
  <c r="NM438" i="3"/>
  <c r="NL438" i="3"/>
  <c r="NK438" i="3"/>
  <c r="NJ438" i="3"/>
  <c r="NI438" i="3"/>
  <c r="NH438" i="3"/>
  <c r="NG438" i="3"/>
  <c r="NF438" i="3"/>
  <c r="NE438" i="3"/>
  <c r="ND438" i="3"/>
  <c r="NC438" i="3"/>
  <c r="NB438" i="3"/>
  <c r="NA438" i="3"/>
  <c r="MZ438" i="3"/>
  <c r="MY438" i="3"/>
  <c r="MX438" i="3"/>
  <c r="MW438" i="3"/>
  <c r="MV438" i="3"/>
  <c r="MU438" i="3"/>
  <c r="MT438" i="3"/>
  <c r="MS438" i="3"/>
  <c r="MR438" i="3"/>
  <c r="MQ438" i="3"/>
  <c r="MP438" i="3"/>
  <c r="MO438" i="3"/>
  <c r="MN438" i="3"/>
  <c r="MM438" i="3"/>
  <c r="ML438" i="3"/>
  <c r="MK438" i="3"/>
  <c r="MJ438" i="3"/>
  <c r="MI438" i="3"/>
  <c r="MH438" i="3"/>
  <c r="MG438" i="3"/>
  <c r="MF438" i="3"/>
  <c r="ME438" i="3"/>
  <c r="MD438" i="3"/>
  <c r="MC438" i="3"/>
  <c r="MB438" i="3"/>
  <c r="MA438" i="3"/>
  <c r="LZ438" i="3"/>
  <c r="LY438" i="3"/>
  <c r="LX438" i="3"/>
  <c r="LW438" i="3"/>
  <c r="LV438" i="3"/>
  <c r="LU438" i="3"/>
  <c r="LT438" i="3"/>
  <c r="LS438" i="3"/>
  <c r="LR438" i="3"/>
  <c r="LQ438" i="3"/>
  <c r="LP438" i="3"/>
  <c r="LO438" i="3"/>
  <c r="LN438" i="3"/>
  <c r="LM438" i="3"/>
  <c r="LL438" i="3"/>
  <c r="LK438" i="3"/>
  <c r="LJ438" i="3"/>
  <c r="LI438" i="3"/>
  <c r="LH438" i="3"/>
  <c r="LG438" i="3"/>
  <c r="LF438" i="3"/>
  <c r="LE438" i="3"/>
  <c r="LD438" i="3"/>
  <c r="LC438" i="3"/>
  <c r="LB438" i="3"/>
  <c r="LA438" i="3"/>
  <c r="KZ438" i="3"/>
  <c r="KY438" i="3"/>
  <c r="KX438" i="3"/>
  <c r="KW438" i="3"/>
  <c r="KV438" i="3"/>
  <c r="KU438" i="3"/>
  <c r="KT438" i="3"/>
  <c r="KS438" i="3"/>
  <c r="KR438" i="3"/>
  <c r="KQ438" i="3"/>
  <c r="KP438" i="3"/>
  <c r="KO438" i="3"/>
  <c r="KN438" i="3"/>
  <c r="KM438" i="3"/>
  <c r="KL438" i="3"/>
  <c r="KK438" i="3"/>
  <c r="KJ438" i="3"/>
  <c r="KI438" i="3"/>
  <c r="KH438" i="3"/>
  <c r="KG438" i="3"/>
  <c r="KF438" i="3"/>
  <c r="KE438" i="3"/>
  <c r="KD438" i="3"/>
  <c r="KC438" i="3"/>
  <c r="KB438" i="3"/>
  <c r="KA438" i="3"/>
  <c r="JZ438" i="3"/>
  <c r="JY438" i="3"/>
  <c r="JX438" i="3"/>
  <c r="JW438" i="3"/>
  <c r="JV438" i="3"/>
  <c r="JU438" i="3"/>
  <c r="JT438" i="3"/>
  <c r="JS438" i="3"/>
  <c r="JR438" i="3"/>
  <c r="JQ438" i="3"/>
  <c r="JP438" i="3"/>
  <c r="JO438" i="3"/>
  <c r="JN438" i="3"/>
  <c r="JM438" i="3"/>
  <c r="JL438" i="3"/>
  <c r="JK438" i="3"/>
  <c r="JJ438" i="3"/>
  <c r="JI438" i="3"/>
  <c r="JH438" i="3"/>
  <c r="JG438" i="3"/>
  <c r="JF438" i="3"/>
  <c r="JE438" i="3"/>
  <c r="JD438" i="3"/>
  <c r="JC438" i="3"/>
  <c r="JB438" i="3"/>
  <c r="JA438" i="3"/>
  <c r="IZ438" i="3"/>
  <c r="IY438" i="3"/>
  <c r="IX438" i="3"/>
  <c r="IW438" i="3"/>
  <c r="IV438" i="3"/>
  <c r="IU438" i="3"/>
  <c r="IT438" i="3"/>
  <c r="IS438" i="3"/>
  <c r="IR438" i="3"/>
  <c r="IQ438" i="3"/>
  <c r="IP438" i="3"/>
  <c r="IO438" i="3"/>
  <c r="IN438" i="3"/>
  <c r="IM438" i="3"/>
  <c r="IL438" i="3"/>
  <c r="IK438" i="3"/>
  <c r="IJ438" i="3"/>
  <c r="II438" i="3"/>
  <c r="IH438" i="3"/>
  <c r="IG438" i="3"/>
  <c r="IF438" i="3"/>
  <c r="IE438" i="3"/>
  <c r="ID438" i="3"/>
  <c r="IC438" i="3"/>
  <c r="IB438" i="3"/>
  <c r="IA438" i="3"/>
  <c r="HZ438" i="3"/>
  <c r="HY438" i="3"/>
  <c r="HX438" i="3"/>
  <c r="HW438" i="3"/>
  <c r="HV438" i="3"/>
  <c r="HU438" i="3"/>
  <c r="HT438" i="3"/>
  <c r="HS438" i="3"/>
  <c r="HR438" i="3"/>
  <c r="HQ438" i="3"/>
  <c r="HP438" i="3"/>
  <c r="HO438" i="3"/>
  <c r="HN438" i="3"/>
  <c r="HM438" i="3"/>
  <c r="HL438" i="3"/>
  <c r="HK438" i="3"/>
  <c r="HJ438" i="3"/>
  <c r="HI438" i="3"/>
  <c r="HH438" i="3"/>
  <c r="HG438" i="3"/>
  <c r="HF438" i="3"/>
  <c r="HE438" i="3"/>
  <c r="HD438" i="3"/>
  <c r="HC438" i="3"/>
  <c r="HB438" i="3"/>
  <c r="HA438" i="3"/>
  <c r="GZ438" i="3"/>
  <c r="GY438" i="3"/>
  <c r="GX438" i="3"/>
  <c r="GW438" i="3"/>
  <c r="GV438" i="3"/>
  <c r="GU438" i="3"/>
  <c r="GT438" i="3"/>
  <c r="GS438" i="3"/>
  <c r="GR438" i="3"/>
  <c r="GQ438" i="3"/>
  <c r="GP438" i="3"/>
  <c r="GO438" i="3"/>
  <c r="GN438" i="3"/>
  <c r="GM438" i="3"/>
  <c r="GL438" i="3"/>
  <c r="GK438" i="3"/>
  <c r="GJ438" i="3"/>
  <c r="GI438" i="3"/>
  <c r="GH438" i="3"/>
  <c r="GG438" i="3"/>
  <c r="GF438" i="3"/>
  <c r="GE438" i="3"/>
  <c r="GD438" i="3"/>
  <c r="GC438" i="3"/>
  <c r="GB438" i="3"/>
  <c r="GA438" i="3"/>
  <c r="FZ438" i="3"/>
  <c r="FY438" i="3"/>
  <c r="FX438" i="3"/>
  <c r="FW438" i="3"/>
  <c r="FV438" i="3"/>
  <c r="FU438" i="3"/>
  <c r="FT438" i="3"/>
  <c r="FS438" i="3"/>
  <c r="FR438" i="3"/>
  <c r="FQ438" i="3"/>
  <c r="FP438" i="3"/>
  <c r="FO438" i="3"/>
  <c r="FN438" i="3"/>
  <c r="FM438" i="3"/>
  <c r="FL438" i="3"/>
  <c r="FK438" i="3"/>
  <c r="FJ438" i="3"/>
  <c r="FI438" i="3"/>
  <c r="FH438" i="3"/>
  <c r="FG438" i="3"/>
  <c r="FF438" i="3"/>
  <c r="FE438" i="3"/>
  <c r="FD438" i="3"/>
  <c r="FC438" i="3"/>
  <c r="FB438" i="3"/>
  <c r="FA438" i="3"/>
  <c r="EZ438" i="3"/>
  <c r="EY438" i="3"/>
  <c r="EX438" i="3"/>
  <c r="EW438" i="3"/>
  <c r="EV438" i="3"/>
  <c r="EU438" i="3"/>
  <c r="ET438" i="3"/>
  <c r="ES438" i="3"/>
  <c r="ER438" i="3"/>
  <c r="EQ438" i="3"/>
  <c r="EP438" i="3"/>
  <c r="EO438" i="3"/>
  <c r="EN438" i="3"/>
  <c r="EM438" i="3"/>
  <c r="EL438" i="3"/>
  <c r="EK438" i="3"/>
  <c r="EJ438" i="3"/>
  <c r="EI438" i="3"/>
  <c r="EH438" i="3"/>
  <c r="EG438" i="3"/>
  <c r="EF438" i="3"/>
  <c r="EE438" i="3"/>
  <c r="ED438" i="3"/>
  <c r="EC438" i="3"/>
  <c r="EB438" i="3"/>
  <c r="EA438" i="3"/>
  <c r="DZ438" i="3"/>
  <c r="DY438" i="3"/>
  <c r="DX438" i="3"/>
  <c r="DW438" i="3"/>
  <c r="DV438" i="3"/>
  <c r="DU438" i="3"/>
  <c r="DT438" i="3"/>
  <c r="DS438" i="3"/>
  <c r="DR438" i="3"/>
  <c r="DQ438" i="3"/>
  <c r="DP438" i="3"/>
  <c r="DO438" i="3"/>
  <c r="DN438" i="3"/>
  <c r="DM438" i="3"/>
  <c r="DL438" i="3"/>
  <c r="DK438" i="3"/>
  <c r="DJ438" i="3"/>
  <c r="DI438" i="3"/>
  <c r="DH438" i="3"/>
  <c r="DG438" i="3"/>
  <c r="DF438" i="3"/>
  <c r="DE438" i="3"/>
  <c r="DD438" i="3"/>
  <c r="DC438" i="3"/>
  <c r="DB438" i="3"/>
  <c r="DA438" i="3"/>
  <c r="CZ438" i="3"/>
  <c r="CY438" i="3"/>
  <c r="CX438" i="3"/>
  <c r="CW438" i="3"/>
  <c r="CV438" i="3"/>
  <c r="CU438" i="3"/>
  <c r="CT438" i="3"/>
  <c r="CS438" i="3"/>
  <c r="CR438" i="3"/>
  <c r="CQ438" i="3"/>
  <c r="CP438" i="3"/>
  <c r="CO438" i="3"/>
  <c r="CN438" i="3"/>
  <c r="CM438" i="3"/>
  <c r="CL438" i="3"/>
  <c r="CK438" i="3"/>
  <c r="CJ438" i="3"/>
  <c r="CI438" i="3"/>
  <c r="CH438" i="3"/>
  <c r="CG438" i="3"/>
  <c r="CF438" i="3"/>
  <c r="CE438" i="3"/>
  <c r="CD438" i="3"/>
  <c r="CC438" i="3"/>
  <c r="CB438" i="3"/>
  <c r="CA438" i="3"/>
  <c r="BZ438" i="3"/>
  <c r="BY438" i="3"/>
  <c r="BX438" i="3"/>
  <c r="BW438" i="3"/>
  <c r="BV438" i="3"/>
  <c r="BU438" i="3"/>
  <c r="BT438" i="3"/>
  <c r="BS438" i="3"/>
  <c r="BR438" i="3"/>
  <c r="BQ438" i="3"/>
  <c r="BP438" i="3"/>
  <c r="BO438" i="3"/>
  <c r="BN438" i="3"/>
  <c r="BM438" i="3"/>
  <c r="BL438" i="3"/>
  <c r="BK438" i="3"/>
  <c r="BJ438" i="3"/>
  <c r="BI438" i="3"/>
  <c r="BH438" i="3"/>
  <c r="BG438" i="3"/>
  <c r="BF438" i="3"/>
  <c r="BE438" i="3"/>
  <c r="BD438" i="3"/>
  <c r="BC438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PM408" i="3"/>
  <c r="PM407" i="3"/>
  <c r="PM406" i="3"/>
  <c r="PM405" i="3"/>
  <c r="PM404" i="3"/>
  <c r="PM403" i="3"/>
  <c r="PM402" i="3"/>
  <c r="PM401" i="3"/>
  <c r="PM400" i="3"/>
  <c r="PM399" i="3"/>
  <c r="PM398" i="3"/>
  <c r="PM397" i="3"/>
  <c r="PM396" i="3"/>
  <c r="PM395" i="3"/>
  <c r="PM394" i="3"/>
  <c r="PM393" i="3"/>
  <c r="PM392" i="3"/>
  <c r="PM391" i="3"/>
  <c r="PM390" i="3"/>
  <c r="PM389" i="3"/>
  <c r="PM388" i="3"/>
  <c r="PM387" i="3"/>
  <c r="PM386" i="3"/>
  <c r="PM385" i="3"/>
  <c r="PM384" i="3"/>
  <c r="PM383" i="3"/>
  <c r="PM382" i="3"/>
  <c r="PM381" i="3"/>
  <c r="PM380" i="3"/>
  <c r="PM379" i="3"/>
  <c r="PM378" i="3"/>
  <c r="PM377" i="3"/>
  <c r="PM376" i="3"/>
  <c r="PM375" i="3"/>
  <c r="PM374" i="3"/>
  <c r="PM373" i="3"/>
  <c r="PM372" i="3"/>
  <c r="PM371" i="3"/>
  <c r="PM370" i="3"/>
  <c r="PM369" i="3"/>
  <c r="PM368" i="3"/>
  <c r="PM367" i="3"/>
  <c r="PM366" i="3"/>
  <c r="PM365" i="3"/>
  <c r="PM364" i="3"/>
  <c r="PM363" i="3"/>
  <c r="PM362" i="3"/>
  <c r="PM361" i="3"/>
  <c r="PM360" i="3"/>
  <c r="PM359" i="3"/>
  <c r="PM358" i="3"/>
  <c r="PM357" i="3"/>
  <c r="PM356" i="3"/>
  <c r="PM355" i="3"/>
  <c r="PM354" i="3"/>
  <c r="PM353" i="3"/>
  <c r="PM352" i="3"/>
  <c r="PM351" i="3"/>
  <c r="PM350" i="3"/>
  <c r="PM349" i="3"/>
  <c r="PM348" i="3"/>
  <c r="PM347" i="3"/>
  <c r="PM346" i="3"/>
  <c r="PM345" i="3"/>
  <c r="PM344" i="3"/>
  <c r="PM343" i="3"/>
  <c r="PM342" i="3"/>
  <c r="PM341" i="3"/>
  <c r="PM340" i="3"/>
  <c r="PM339" i="3"/>
  <c r="PM338" i="3"/>
  <c r="PM337" i="3"/>
  <c r="PM336" i="3"/>
  <c r="PM335" i="3"/>
  <c r="PM334" i="3"/>
  <c r="PM333" i="3"/>
  <c r="PM332" i="3"/>
  <c r="PM331" i="3"/>
  <c r="PM330" i="3"/>
  <c r="PM329" i="3"/>
  <c r="PM328" i="3"/>
  <c r="PM327" i="3"/>
  <c r="PM326" i="3"/>
  <c r="PM325" i="3"/>
  <c r="PM324" i="3"/>
  <c r="PM323" i="3"/>
  <c r="PM322" i="3"/>
  <c r="PM321" i="3"/>
  <c r="PM320" i="3"/>
  <c r="PM319" i="3"/>
  <c r="PM318" i="3"/>
  <c r="PM317" i="3"/>
  <c r="PM316" i="3"/>
  <c r="PM315" i="3"/>
  <c r="PM314" i="3"/>
  <c r="PM313" i="3"/>
  <c r="PM312" i="3"/>
  <c r="PM311" i="3"/>
  <c r="PM310" i="3"/>
  <c r="PM309" i="3"/>
  <c r="PM308" i="3"/>
  <c r="PM307" i="3"/>
  <c r="PM306" i="3"/>
  <c r="PM305" i="3"/>
  <c r="PM304" i="3"/>
  <c r="PM303" i="3"/>
  <c r="PM302" i="3"/>
  <c r="PM301" i="3"/>
  <c r="PM300" i="3"/>
  <c r="PM299" i="3"/>
  <c r="PM298" i="3"/>
  <c r="PM297" i="3"/>
  <c r="PM296" i="3"/>
  <c r="PM295" i="3"/>
  <c r="PM294" i="3"/>
  <c r="PM293" i="3"/>
  <c r="PM292" i="3"/>
  <c r="PM291" i="3"/>
  <c r="PM290" i="3"/>
  <c r="PM289" i="3"/>
  <c r="PM288" i="3"/>
  <c r="PM287" i="3"/>
  <c r="PM286" i="3"/>
  <c r="PM285" i="3"/>
  <c r="PM284" i="3"/>
  <c r="PM283" i="3"/>
  <c r="PM282" i="3"/>
  <c r="PM281" i="3"/>
  <c r="PM280" i="3"/>
  <c r="PM279" i="3"/>
  <c r="PM278" i="3"/>
  <c r="PM277" i="3"/>
  <c r="PM276" i="3"/>
  <c r="PM275" i="3"/>
  <c r="PM274" i="3"/>
  <c r="PM273" i="3"/>
  <c r="PM272" i="3"/>
  <c r="PM271" i="3"/>
  <c r="PM270" i="3"/>
  <c r="PM269" i="3"/>
  <c r="PM268" i="3"/>
  <c r="PM267" i="3"/>
  <c r="PM266" i="3"/>
  <c r="PM265" i="3"/>
  <c r="PM264" i="3"/>
  <c r="PM263" i="3"/>
  <c r="PM262" i="3"/>
  <c r="PM261" i="3"/>
  <c r="PM260" i="3"/>
  <c r="PM259" i="3"/>
  <c r="PM258" i="3"/>
  <c r="PM257" i="3"/>
  <c r="PM256" i="3"/>
  <c r="PM255" i="3"/>
  <c r="PM254" i="3"/>
  <c r="PM253" i="3"/>
  <c r="PM252" i="3"/>
  <c r="PM251" i="3"/>
  <c r="PM250" i="3"/>
  <c r="PM249" i="3"/>
  <c r="PM248" i="3"/>
  <c r="PM247" i="3"/>
  <c r="PM246" i="3"/>
  <c r="PM245" i="3"/>
  <c r="PM244" i="3"/>
  <c r="PM243" i="3"/>
  <c r="PM242" i="3"/>
  <c r="PM241" i="3"/>
  <c r="PM240" i="3"/>
  <c r="PM239" i="3"/>
  <c r="PM238" i="3"/>
  <c r="PM237" i="3"/>
  <c r="PM236" i="3"/>
  <c r="PM235" i="3"/>
  <c r="PM234" i="3"/>
  <c r="PM233" i="3"/>
  <c r="PM232" i="3"/>
  <c r="PM231" i="3"/>
  <c r="PM230" i="3"/>
  <c r="PM229" i="3"/>
  <c r="PM228" i="3"/>
  <c r="PM227" i="3"/>
  <c r="PM226" i="3"/>
  <c r="PM225" i="3"/>
  <c r="PM224" i="3"/>
  <c r="PM223" i="3"/>
  <c r="PM222" i="3"/>
  <c r="PM221" i="3"/>
  <c r="PM220" i="3"/>
  <c r="PM219" i="3"/>
  <c r="PM218" i="3"/>
  <c r="PM217" i="3"/>
  <c r="PM216" i="3"/>
  <c r="PM215" i="3"/>
  <c r="PM214" i="3"/>
  <c r="PM213" i="3"/>
  <c r="PM212" i="3"/>
  <c r="PM211" i="3"/>
  <c r="PM210" i="3"/>
  <c r="PM209" i="3"/>
  <c r="PM208" i="3"/>
  <c r="PM207" i="3"/>
  <c r="PM206" i="3"/>
  <c r="PM205" i="3"/>
  <c r="PM204" i="3"/>
  <c r="PM203" i="3"/>
  <c r="PM202" i="3"/>
  <c r="PM201" i="3"/>
  <c r="PM200" i="3"/>
  <c r="PM199" i="3"/>
  <c r="PM198" i="3"/>
  <c r="PM197" i="3"/>
  <c r="PM196" i="3"/>
  <c r="PM195" i="3"/>
  <c r="PM194" i="3"/>
  <c r="PM193" i="3"/>
  <c r="PM192" i="3"/>
  <c r="PM191" i="3"/>
  <c r="PM190" i="3"/>
  <c r="PM189" i="3"/>
  <c r="PM188" i="3"/>
  <c r="PM187" i="3"/>
  <c r="PM186" i="3"/>
  <c r="PM185" i="3"/>
  <c r="PM184" i="3"/>
  <c r="PM183" i="3"/>
  <c r="PM182" i="3"/>
  <c r="PM181" i="3"/>
  <c r="PM180" i="3"/>
  <c r="PM179" i="3"/>
  <c r="PM178" i="3"/>
  <c r="PM177" i="3"/>
  <c r="PM176" i="3"/>
  <c r="PM175" i="3"/>
  <c r="PM174" i="3"/>
  <c r="PM173" i="3"/>
  <c r="PM172" i="3"/>
  <c r="PM171" i="3"/>
  <c r="PM170" i="3"/>
  <c r="PM169" i="3"/>
  <c r="PM168" i="3"/>
  <c r="PM167" i="3"/>
  <c r="PM166" i="3"/>
  <c r="PM165" i="3"/>
  <c r="PM164" i="3"/>
  <c r="PM163" i="3"/>
  <c r="PM162" i="3"/>
  <c r="PM161" i="3"/>
  <c r="PM160" i="3"/>
  <c r="PM159" i="3"/>
  <c r="PM158" i="3"/>
  <c r="PM157" i="3"/>
  <c r="PM156" i="3"/>
  <c r="PM155" i="3"/>
  <c r="PM154" i="3"/>
  <c r="PM153" i="3"/>
  <c r="PM152" i="3"/>
  <c r="PM151" i="3"/>
  <c r="PM150" i="3"/>
  <c r="PM149" i="3"/>
  <c r="PM148" i="3"/>
  <c r="PM147" i="3"/>
  <c r="PM146" i="3"/>
  <c r="PM145" i="3"/>
  <c r="PM144" i="3"/>
  <c r="PM143" i="3"/>
  <c r="PM142" i="3"/>
  <c r="PM141" i="3"/>
  <c r="PM140" i="3"/>
  <c r="PM139" i="3"/>
  <c r="PM138" i="3"/>
  <c r="PM137" i="3"/>
  <c r="PM136" i="3"/>
  <c r="PM135" i="3"/>
  <c r="PM134" i="3"/>
  <c r="PM133" i="3"/>
  <c r="PM132" i="3"/>
  <c r="PM131" i="3"/>
  <c r="PM130" i="3"/>
  <c r="PM129" i="3"/>
  <c r="PM128" i="3"/>
  <c r="PM127" i="3"/>
  <c r="PM126" i="3"/>
  <c r="PM125" i="3"/>
  <c r="PM124" i="3"/>
  <c r="PM123" i="3"/>
  <c r="PM122" i="3"/>
  <c r="PM121" i="3"/>
  <c r="PM120" i="3"/>
  <c r="PM119" i="3"/>
  <c r="PM118" i="3"/>
  <c r="PM117" i="3"/>
  <c r="PM116" i="3"/>
  <c r="PM115" i="3"/>
  <c r="PM114" i="3"/>
  <c r="PM113" i="3"/>
  <c r="PM112" i="3"/>
  <c r="PM111" i="3"/>
  <c r="PM110" i="3"/>
  <c r="PM109" i="3"/>
  <c r="PM108" i="3"/>
  <c r="PM107" i="3"/>
  <c r="PM106" i="3"/>
  <c r="PM105" i="3"/>
  <c r="PM104" i="3"/>
  <c r="PM103" i="3"/>
  <c r="PM102" i="3"/>
  <c r="PM101" i="3"/>
  <c r="PM100" i="3"/>
  <c r="PM99" i="3"/>
  <c r="PM98" i="3"/>
  <c r="PM97" i="3"/>
  <c r="PM96" i="3"/>
  <c r="PM95" i="3"/>
  <c r="PM94" i="3"/>
  <c r="PM93" i="3"/>
  <c r="PM92" i="3"/>
  <c r="PM91" i="3"/>
  <c r="PM90" i="3"/>
  <c r="PM89" i="3"/>
  <c r="PM88" i="3"/>
  <c r="PM87" i="3"/>
  <c r="PM86" i="3"/>
  <c r="PM85" i="3"/>
  <c r="PM84" i="3"/>
  <c r="PM83" i="3"/>
  <c r="PM82" i="3"/>
  <c r="PM81" i="3"/>
  <c r="PM80" i="3"/>
  <c r="PM79" i="3"/>
  <c r="PM78" i="3"/>
  <c r="PM77" i="3"/>
  <c r="PM76" i="3"/>
  <c r="PM75" i="3"/>
  <c r="PM74" i="3"/>
  <c r="PM73" i="3"/>
  <c r="PM72" i="3"/>
  <c r="PM71" i="3"/>
  <c r="PM70" i="3"/>
  <c r="PM69" i="3"/>
  <c r="PM68" i="3"/>
  <c r="PM67" i="3"/>
  <c r="PM66" i="3"/>
  <c r="PM65" i="3"/>
  <c r="PM64" i="3"/>
  <c r="PM63" i="3"/>
  <c r="PM62" i="3"/>
  <c r="PM61" i="3"/>
  <c r="PM60" i="3"/>
  <c r="PM59" i="3"/>
  <c r="PM58" i="3"/>
  <c r="PM57" i="3"/>
  <c r="PM56" i="3"/>
  <c r="PM55" i="3"/>
  <c r="PM54" i="3"/>
  <c r="PM53" i="3"/>
  <c r="PM52" i="3"/>
  <c r="PM51" i="3"/>
  <c r="PM50" i="3"/>
  <c r="PM49" i="3"/>
  <c r="PM48" i="3"/>
  <c r="PM47" i="3"/>
  <c r="PM46" i="3"/>
  <c r="PM45" i="3"/>
  <c r="PM44" i="3"/>
  <c r="PM43" i="3"/>
  <c r="PM42" i="3"/>
  <c r="PM41" i="3"/>
  <c r="PM40" i="3"/>
  <c r="PM39" i="3"/>
  <c r="PM38" i="3"/>
  <c r="PM37" i="3"/>
  <c r="PM36" i="3"/>
  <c r="PM35" i="3"/>
  <c r="PM34" i="3"/>
  <c r="PM33" i="3"/>
  <c r="PM32" i="3"/>
  <c r="PM31" i="3"/>
  <c r="PM30" i="3"/>
  <c r="PM29" i="3"/>
  <c r="PM28" i="3"/>
  <c r="PM27" i="3"/>
  <c r="PM26" i="3"/>
  <c r="PM25" i="3"/>
  <c r="PM24" i="3"/>
  <c r="PM23" i="3"/>
  <c r="PM22" i="3"/>
  <c r="PM21" i="3"/>
  <c r="PM20" i="3"/>
  <c r="PM19" i="3"/>
  <c r="PM18" i="3"/>
  <c r="C4" i="5" s="1"/>
  <c r="PM17" i="3"/>
  <c r="PM16" i="3"/>
  <c r="PM15" i="3"/>
  <c r="PM14" i="3"/>
  <c r="PM13" i="3"/>
  <c r="PM12" i="3"/>
  <c r="PM11" i="3"/>
  <c r="PM10" i="3"/>
  <c r="PM9" i="3"/>
  <c r="PM8" i="3"/>
  <c r="PM7" i="3"/>
  <c r="C5" i="5" s="1"/>
  <c r="AQ2" i="8" l="1"/>
  <c r="U2" i="8"/>
  <c r="AO2" i="7"/>
  <c r="S2" i="7"/>
  <c r="AP2" i="8"/>
  <c r="T2" i="8"/>
  <c r="AN2" i="7"/>
  <c r="R2" i="7"/>
  <c r="AO2" i="8"/>
  <c r="S2" i="8"/>
  <c r="AM2" i="7"/>
  <c r="Q2" i="7"/>
  <c r="AK2" i="8"/>
  <c r="AI2" i="7"/>
  <c r="M2" i="7"/>
  <c r="AJ2" i="8"/>
  <c r="N2" i="8"/>
  <c r="AH2" i="7"/>
  <c r="L2" i="7"/>
  <c r="AI2" i="8"/>
  <c r="AG2" i="8"/>
  <c r="AE2" i="7"/>
  <c r="J2" i="8"/>
  <c r="I2" i="8"/>
  <c r="H2" i="8"/>
  <c r="G2" i="8"/>
  <c r="E2" i="7"/>
  <c r="AB2" i="8"/>
  <c r="D2" i="7"/>
  <c r="Y2" i="7"/>
  <c r="D2" i="8"/>
  <c r="Y2" i="8"/>
  <c r="W2" i="7"/>
  <c r="X2" i="8"/>
  <c r="V2" i="7"/>
  <c r="W2" i="8"/>
  <c r="U2" i="7"/>
  <c r="AP2" i="7"/>
  <c r="AN2" i="8"/>
  <c r="R2" i="8"/>
  <c r="AL2" i="7"/>
  <c r="AM2" i="8"/>
  <c r="Q2" i="8"/>
  <c r="AK2" i="7"/>
  <c r="AL2" i="8"/>
  <c r="AJ2" i="7"/>
  <c r="N2" i="7"/>
  <c r="M2" i="8"/>
  <c r="AG2" i="7"/>
  <c r="K2" i="7"/>
  <c r="K2" i="8"/>
  <c r="I2" i="7"/>
  <c r="AF2" i="8"/>
  <c r="AD2" i="7"/>
  <c r="H2" i="7"/>
  <c r="AE2" i="8"/>
  <c r="AC2" i="7"/>
  <c r="G2" i="7"/>
  <c r="AD2" i="8"/>
  <c r="AB2" i="7"/>
  <c r="F2" i="7"/>
  <c r="AC2" i="8"/>
  <c r="F2" i="8"/>
  <c r="E2" i="8"/>
  <c r="C2" i="7"/>
  <c r="X2" i="7"/>
  <c r="B2" i="7"/>
  <c r="C2" i="8"/>
  <c r="B2" i="8"/>
  <c r="AQ2" i="7"/>
  <c r="V2" i="8"/>
  <c r="T2" i="7"/>
  <c r="AH2" i="8"/>
  <c r="L2" i="8"/>
  <c r="AF2" i="7"/>
  <c r="J2" i="7"/>
  <c r="B6" i="5"/>
  <c r="B3" i="5"/>
  <c r="B5" i="5"/>
  <c r="D5" i="5" s="1"/>
  <c r="Z2" i="7" s="1"/>
  <c r="C6" i="5"/>
  <c r="E6" i="5" s="1"/>
  <c r="AA2" i="8" s="1"/>
  <c r="C3" i="5"/>
  <c r="E3" i="5" s="1"/>
  <c r="O2" i="8" s="1"/>
  <c r="B4" i="5"/>
  <c r="D4" i="5" s="1"/>
  <c r="P2" i="7" s="1"/>
  <c r="D3" i="5" l="1"/>
  <c r="O2" i="7" s="1"/>
  <c r="B4" i="6" s="1"/>
  <c r="C4" i="6" s="1"/>
  <c r="D6" i="5"/>
  <c r="AA2" i="7" s="1"/>
  <c r="B6" i="6" s="1"/>
  <c r="C6" i="6" s="1"/>
  <c r="E5" i="5"/>
  <c r="Z2" i="8" s="1"/>
  <c r="B7" i="6" s="1"/>
  <c r="C7" i="6" s="1"/>
  <c r="E4" i="5"/>
  <c r="P2" i="8" s="1"/>
  <c r="B5" i="6" s="1"/>
  <c r="C5" i="6" s="1"/>
</calcChain>
</file>

<file path=xl/sharedStrings.xml><?xml version="1.0" encoding="utf-8"?>
<sst xmlns="http://schemas.openxmlformats.org/spreadsheetml/2006/main" count="2600" uniqueCount="1111">
  <si>
    <t>GaHEbIC Government and Household Expenditures by ISIC Code (42-code)</t>
  </si>
  <si>
    <t>Sources:</t>
  </si>
  <si>
    <t>Government (GGFC) and household (HFCE) final consumption by industry, 2022</t>
  </si>
  <si>
    <t>OECD</t>
  </si>
  <si>
    <t>OECD Input-Output Tables (latest edition), total table</t>
  </si>
  <si>
    <t>https://www.oecd.org/en/data/datasets/input-output-tables.html</t>
  </si>
  <si>
    <t>Tab OECD_TTL, verbatim. Government = GGFC column; household = HFCE column. 42-code output: the six OECD-native splits are summed back to their parent (01T03/07T08/30/49T53/69T82/90T96); the C23 and D carves stay split.</t>
  </si>
  <si>
    <t>Carve-child shares (231/239, 351/352T353)</t>
  </si>
  <si>
    <t>U.S. Bureau of Economic Analysis</t>
  </si>
  <si>
    <t>2017 benchmark Use table: government final-demand columns (F06*/F07*/F10*) and PCE (F01000)</t>
  </si>
  <si>
    <t>https://www.bea.gov/industry/input-output-accounts-data</t>
  </si>
  <si>
    <t>Tab 'BEA Use 2017', verbatim with crosswalk helpers. Carve children retained as their own 42 codes (not collapsed).</t>
  </si>
  <si>
    <t>Notes:</t>
  </si>
  <si>
    <t>Currency</t>
  </si>
  <si>
    <t>2022 USD -&gt; 2012 USD conversion factor below (editable): CPI-U annual averages 2012/2022 from InputData/cpi.xlsx (229.594/292.655) — the model-canonical currency converter, matching every stock factor.</t>
  </si>
  <si>
    <t>2012 USD per 2022 USD</t>
  </si>
  <si>
    <t>Collapse</t>
  </si>
  <si>
    <t>42-code = 52-code with six OECD-native parents un-split. GaHEbIC is a level ($), so each 42 column is the exact sum of its 52 children (no re-weighting). Conservation of gov + hh totals vs the 52 build is verified in build_gahebic_42 (and the per-carve reaggregation on the Checks tab).</t>
  </si>
  <si>
    <t>A01</t>
  </si>
  <si>
    <t>A02</t>
  </si>
  <si>
    <t>A03</t>
  </si>
  <si>
    <t>B05</t>
  </si>
  <si>
    <t>B06</t>
  </si>
  <si>
    <t>B07</t>
  </si>
  <si>
    <t>B08</t>
  </si>
  <si>
    <t>B09</t>
  </si>
  <si>
    <t>C10T12</t>
  </si>
  <si>
    <t>C13T15</t>
  </si>
  <si>
    <t>C16</t>
  </si>
  <si>
    <t>C17_18</t>
  </si>
  <si>
    <t>C19</t>
  </si>
  <si>
    <t>C20</t>
  </si>
  <si>
    <t>C21</t>
  </si>
  <si>
    <t>C22</t>
  </si>
  <si>
    <t>C23</t>
  </si>
  <si>
    <t>C24A</t>
  </si>
  <si>
    <t>C24B</t>
  </si>
  <si>
    <t>C25</t>
  </si>
  <si>
    <t>C26</t>
  </si>
  <si>
    <t>C27</t>
  </si>
  <si>
    <t>C28</t>
  </si>
  <si>
    <t>C29</t>
  </si>
  <si>
    <t>C301</t>
  </si>
  <si>
    <t>C302T309</t>
  </si>
  <si>
    <t>C31T33</t>
  </si>
  <si>
    <t>D</t>
  </si>
  <si>
    <t>E</t>
  </si>
  <si>
    <t>F</t>
  </si>
  <si>
    <t>G</t>
  </si>
  <si>
    <t>H49</t>
  </si>
  <si>
    <t>H50</t>
  </si>
  <si>
    <t>H51</t>
  </si>
  <si>
    <t>H52</t>
  </si>
  <si>
    <t>H53</t>
  </si>
  <si>
    <t>I</t>
  </si>
  <si>
    <t>J58T60</t>
  </si>
  <si>
    <t>J61</t>
  </si>
  <si>
    <t>J62_63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</si>
  <si>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</si>
  <si>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</si>
  <si>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</si>
  <si>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</si>
  <si>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</si>
  <si>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</si>
  <si>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</si>
  <si>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</si>
  <si>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</si>
  <si>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</si>
  <si>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HFCE</t>
  </si>
  <si>
    <t>NPISH</t>
  </si>
  <si>
    <t>GGFC</t>
  </si>
  <si>
    <t>GFCF</t>
  </si>
  <si>
    <t>INVNT</t>
  </si>
  <si>
    <t>DPABR</t>
  </si>
  <si>
    <t>CONS_NONRES</t>
  </si>
  <si>
    <t>EXPO</t>
  </si>
  <si>
    <t>IMPO</t>
  </si>
  <si>
    <t>TOTAL</t>
  </si>
  <si>
    <t>TTL_A01</t>
  </si>
  <si>
    <t>TTL_A02</t>
  </si>
  <si>
    <t>TTL_A03</t>
  </si>
  <si>
    <t>TTL_B05</t>
  </si>
  <si>
    <t>TTL_B06</t>
  </si>
  <si>
    <t>TTL_B07</t>
  </si>
  <si>
    <t>TTL_B08</t>
  </si>
  <si>
    <t>TTL_B09</t>
  </si>
  <si>
    <t>TTL_C10T12</t>
  </si>
  <si>
    <t>TTL_C13T15</t>
  </si>
  <si>
    <t>TTL_C16</t>
  </si>
  <si>
    <t>TTL_C17_18</t>
  </si>
  <si>
    <t>TTL_C19</t>
  </si>
  <si>
    <t>TTL_C20</t>
  </si>
  <si>
    <t>TTL_C21</t>
  </si>
  <si>
    <t>TTL_C22</t>
  </si>
  <si>
    <t>TTL_C23</t>
  </si>
  <si>
    <t>TTL_C24A</t>
  </si>
  <si>
    <t>TTL_C24B</t>
  </si>
  <si>
    <t>TTL_C25</t>
  </si>
  <si>
    <t>TTL_C26</t>
  </si>
  <si>
    <t>TTL_C27</t>
  </si>
  <si>
    <t>TTL_C28</t>
  </si>
  <si>
    <t>TTL_C29</t>
  </si>
  <si>
    <t>TTL_C301</t>
  </si>
  <si>
    <t>TTL_C302T309</t>
  </si>
  <si>
    <t>TTL_C31T33</t>
  </si>
  <si>
    <t>TTL_D</t>
  </si>
  <si>
    <t>TTL_E</t>
  </si>
  <si>
    <t>TTL_F</t>
  </si>
  <si>
    <t>TTL_G</t>
  </si>
  <si>
    <t>TTL_H49</t>
  </si>
  <si>
    <t>TTL_H50</t>
  </si>
  <si>
    <t>TTL_H51</t>
  </si>
  <si>
    <t>TTL_H52</t>
  </si>
  <si>
    <t>TTL_H53</t>
  </si>
  <si>
    <t>TTL_I</t>
  </si>
  <si>
    <t>TTL_J58T60</t>
  </si>
  <si>
    <t>TTL_J61</t>
  </si>
  <si>
    <t>TTL_J62_63</t>
  </si>
  <si>
    <t>TTL_K</t>
  </si>
  <si>
    <t>TTL_L</t>
  </si>
  <si>
    <t>TTL_M</t>
  </si>
  <si>
    <t>TTL_N</t>
  </si>
  <si>
    <t>TTL_O</t>
  </si>
  <si>
    <t>TTL_P</t>
  </si>
  <si>
    <t>TTL_Q</t>
  </si>
  <si>
    <t>TTL_R</t>
  </si>
  <si>
    <t>TTL_S</t>
  </si>
  <si>
    <t>TTL_T</t>
  </si>
  <si>
    <t>IMP_OTHER</t>
  </si>
  <si>
    <t>TXS_INT_FNL</t>
  </si>
  <si>
    <t>TTL_INT_FNL</t>
  </si>
  <si>
    <t>VALU</t>
  </si>
  <si>
    <t>LABR</t>
  </si>
  <si>
    <t>OTXS</t>
  </si>
  <si>
    <t>CFC</t>
  </si>
  <si>
    <t>NOPS</t>
  </si>
  <si>
    <t>OUTPUT</t>
  </si>
  <si>
    <t>The Use Table (Supply-Use Framework), 2017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</si>
  <si>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</si>
  <si>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</si>
  <si>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</si>
  <si>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</si>
  <si>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</si>
  <si>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</si>
  <si>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</si>
  <si>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</si>
  <si>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</si>
  <si>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</si>
  <si>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</si>
  <si>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</si>
  <si>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</si>
  <si>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</si>
  <si>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</si>
  <si>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</si>
  <si>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</si>
  <si>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</si>
  <si>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</si>
  <si>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</si>
  <si>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</si>
  <si>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</si>
  <si>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</si>
  <si>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</si>
  <si>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</si>
  <si>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</si>
  <si>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</si>
  <si>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</si>
  <si>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</si>
  <si>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</si>
  <si>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</si>
  <si>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</si>
  <si>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</si>
  <si>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</si>
  <si>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</si>
  <si>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</si>
  <si>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</si>
  <si>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</si>
  <si>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</si>
  <si>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</si>
  <si>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</si>
  <si>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</si>
  <si>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</si>
  <si>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</si>
  <si>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</si>
  <si>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</si>
  <si>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</si>
  <si>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</si>
  <si>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</si>
  <si>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</si>
  <si>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</si>
  <si>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</si>
  <si>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</si>
  <si>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</si>
  <si>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</si>
  <si>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</si>
  <si>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</si>
  <si>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</si>
  <si>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</si>
  <si>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</si>
  <si>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</si>
  <si>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</si>
  <si>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</si>
  <si>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</si>
  <si>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</si>
  <si>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</si>
  <si>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</si>
  <si>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</si>
  <si>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</si>
  <si>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</si>
  <si>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</si>
  <si>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</si>
  <si>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</si>
  <si>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</si>
  <si>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</si>
  <si>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</si>
  <si>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</si>
  <si>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</si>
  <si>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</si>
  <si>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</si>
  <si>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</si>
  <si>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</si>
  <si>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</si>
  <si>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</si>
  <si>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</si>
  <si>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</si>
  <si>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</si>
  <si>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</si>
  <si>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</si>
  <si>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</si>
  <si>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</si>
  <si>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</si>
  <si>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</si>
  <si>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</si>
  <si>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</si>
  <si>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</si>
  <si>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</si>
  <si>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</si>
  <si>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</si>
  <si>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</si>
  <si>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</si>
  <si>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</si>
  <si>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</si>
  <si>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</si>
  <si>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</si>
  <si>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</si>
  <si>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</si>
  <si>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</si>
  <si>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</si>
  <si>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</si>
  <si>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</si>
  <si>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</si>
  <si>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</si>
  <si>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</si>
  <si>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</si>
  <si>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</si>
  <si>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</si>
  <si>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</si>
  <si>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</si>
  <si>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</si>
  <si>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</si>
  <si>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</si>
  <si>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</si>
  <si>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</si>
  <si>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</si>
  <si>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</si>
  <si>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</si>
  <si>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</si>
  <si>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</si>
  <si>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</si>
  <si>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</si>
  <si>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</si>
  <si>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</si>
  <si>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</si>
  <si>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</si>
  <si>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</si>
  <si>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</si>
  <si>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</si>
  <si>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</si>
  <si>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</si>
  <si>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</si>
  <si>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</si>
  <si>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</si>
  <si>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</si>
  <si>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</si>
  <si>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</si>
  <si>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</si>
  <si>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</si>
  <si>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</si>
  <si>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</si>
  <si>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</si>
  <si>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</si>
  <si>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</si>
  <si>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</si>
  <si>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</si>
  <si>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</si>
  <si>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</si>
  <si>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</si>
  <si>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</si>
  <si>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</si>
  <si>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</si>
  <si>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</si>
  <si>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</si>
  <si>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</si>
  <si>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</si>
  <si>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</si>
  <si>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</si>
  <si>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</si>
  <si>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</si>
  <si>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</si>
  <si>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</si>
  <si>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</si>
  <si>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</si>
  <si>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</si>
  <si>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</si>
  <si>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</si>
  <si>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</si>
  <si>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</si>
  <si>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</si>
  <si>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</si>
  <si>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</si>
  <si>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</si>
  <si>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</si>
  <si>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</si>
  <si>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</si>
  <si>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</si>
  <si>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</si>
  <si>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</si>
  <si>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</si>
  <si>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</si>
  <si>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</si>
  <si>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</si>
  <si>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</si>
  <si>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</si>
  <si>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</si>
  <si>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</si>
  <si>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</si>
  <si>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</si>
  <si>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</si>
  <si>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</si>
  <si>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</si>
  <si>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</si>
  <si>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</si>
  <si>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</si>
  <si>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</si>
  <si>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</si>
  <si>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</si>
  <si>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</si>
  <si>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</si>
  <si>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</si>
  <si>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</si>
  <si>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</si>
  <si>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</si>
  <si>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</si>
  <si>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</si>
  <si>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</si>
  <si>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</si>
  <si>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</si>
  <si>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</si>
  <si>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</si>
  <si>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</si>
  <si>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</si>
  <si>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</si>
  <si>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</si>
  <si>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</si>
  <si>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</si>
  <si>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</si>
  <si>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</si>
  <si>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</si>
  <si>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</si>
  <si>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</si>
  <si>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</si>
  <si>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</si>
  <si>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</si>
  <si>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</si>
  <si>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</si>
  <si>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</si>
  <si>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</si>
  <si>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</si>
  <si>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</si>
  <si>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</si>
  <si>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</si>
  <si>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</si>
  <si>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</si>
  <si>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</si>
  <si>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</si>
  <si>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</si>
  <si>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</si>
  <si>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</si>
  <si>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</si>
  <si>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</si>
  <si>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</si>
  <si>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</si>
  <si>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</si>
  <si>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</si>
  <si>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</si>
  <si>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</si>
  <si>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</si>
  <si>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</si>
  <si>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</si>
  <si>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</si>
  <si>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</si>
  <si>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</si>
  <si>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</si>
  <si>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</si>
  <si>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</si>
  <si>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</si>
  <si>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</si>
  <si>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</si>
  <si>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</si>
  <si>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</si>
  <si>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</si>
  <si>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</si>
  <si>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</si>
  <si>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</si>
  <si>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</si>
  <si>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druggists’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</si>
  <si>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</si>
  <si>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</si>
  <si>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</si>
  <si>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</si>
  <si>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</si>
  <si>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</si>
  <si>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</si>
  <si>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</si>
  <si>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</si>
  <si>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</si>
  <si>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</si>
  <si>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</si>
  <si>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</si>
  <si>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</si>
  <si>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</si>
  <si>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</si>
  <si>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</si>
  <si>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</si>
  <si>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</si>
  <si>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</si>
  <si>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</si>
  <si>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</si>
  <si>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</si>
  <si>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</si>
  <si>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</si>
  <si>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</si>
  <si>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</si>
  <si>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</si>
  <si>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</si>
  <si>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</si>
  <si>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</si>
  <si>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</si>
  <si>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</si>
  <si>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</si>
  <si>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</si>
  <si>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</si>
  <si>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</si>
  <si>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</si>
  <si>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</si>
  <si>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</si>
  <si>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</si>
  <si>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</si>
  <si>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</si>
  <si>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</si>
  <si>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</si>
  <si>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</si>
  <si>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</si>
  <si>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</si>
  <si>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</si>
  <si>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</si>
  <si>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</si>
  <si>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</si>
  <si>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</si>
  <si>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</si>
  <si>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</si>
  <si>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</si>
  <si>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</si>
  <si>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</si>
  <si>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</si>
  <si>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</si>
  <si>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</si>
  <si>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</si>
  <si>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</si>
  <si>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</si>
  <si>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</si>
  <si>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</si>
  <si>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</si>
  <si>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</si>
  <si>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</si>
  <si>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</si>
  <si>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</si>
  <si>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</si>
  <si>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</si>
  <si>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</si>
  <si>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</si>
  <si>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</si>
  <si>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</si>
  <si>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</si>
  <si>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</si>
  <si>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</si>
  <si>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</si>
  <si>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</si>
  <si>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</si>
  <si>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</si>
  <si>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</si>
  <si>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</si>
  <si>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</si>
  <si>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</si>
  <si>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</si>
  <si>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</si>
  <si>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</si>
  <si>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</si>
  <si>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</si>
  <si>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</si>
  <si>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</si>
  <si>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</si>
  <si>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</si>
  <si>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</si>
  <si>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</si>
  <si>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</si>
  <si>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</si>
  <si>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</si>
  <si>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</si>
  <si>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</si>
  <si>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</si>
  <si>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 (including car washes)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</si>
  <si>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</si>
  <si>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</si>
  <si>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</si>
  <si>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</si>
  <si>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</si>
  <si>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</si>
  <si>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</si>
  <si>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</si>
  <si>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</si>
  <si>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</si>
  <si>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</si>
  <si>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</si>
  <si>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</si>
  <si>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</si>
  <si>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</si>
  <si>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</si>
  <si>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(educational services)</t>
  </si>
  <si>
    <t>State and local government (hospitals and health services)</t>
  </si>
  <si>
    <t>State and local government (other services)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</si>
  <si>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</si>
  <si>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</si>
  <si>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</si>
  <si>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</si>
  <si>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</si>
  <si>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</si>
  <si>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</si>
  <si>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</si>
  <si>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</si>
  <si>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</si>
  <si>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</si>
  <si>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</si>
  <si>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</si>
  <si>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</si>
  <si>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</si>
  <si>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</si>
  <si>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</si>
  <si>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</si>
  <si>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</si>
  <si>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</si>
  <si>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</si>
  <si>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</si>
  <si>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</si>
  <si>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</si>
  <si>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</si>
  <si>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</si>
  <si>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</si>
  <si>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</si>
  <si>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</si>
  <si>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</si>
  <si>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</si>
  <si>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</si>
  <si>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</si>
  <si>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</si>
  <si>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</si>
  <si>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</si>
  <si>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</si>
  <si>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</si>
  <si>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</si>
  <si>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</si>
  <si>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</si>
  <si>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</si>
  <si>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</si>
  <si>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</si>
  <si>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</si>
  <si>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</si>
  <si>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</si>
  <si>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</si>
  <si>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</si>
  <si>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</si>
  <si>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</si>
  <si>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</si>
  <si>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</si>
  <si>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</si>
  <si>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</si>
  <si>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</si>
  <si>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</si>
  <si>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</si>
  <si>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</si>
  <si>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</si>
  <si>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</si>
  <si>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</si>
  <si>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</si>
  <si>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</si>
  <si>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</si>
  <si>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</si>
  <si>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</si>
  <si>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</si>
  <si>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</si>
  <si>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</si>
  <si>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</si>
  <si>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</si>
  <si>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</si>
  <si>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</si>
  <si>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</si>
  <si>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</si>
  <si>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</si>
  <si>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</si>
  <si>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</si>
  <si>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</si>
  <si>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</si>
  <si>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</si>
  <si>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</si>
  <si>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</si>
  <si>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</si>
  <si>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</si>
  <si>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</si>
  <si>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</si>
  <si>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</si>
  <si>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</si>
  <si>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</si>
  <si>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</si>
  <si>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</si>
  <si>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</si>
  <si>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</si>
  <si>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</si>
  <si>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</si>
  <si>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</si>
  <si>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</si>
  <si>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</si>
  <si>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</si>
  <si>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</si>
  <si>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</si>
  <si>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</si>
  <si>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</si>
  <si>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</si>
  <si>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</si>
  <si>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</si>
  <si>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</si>
  <si>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</si>
  <si>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</si>
  <si>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</si>
  <si>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</si>
  <si>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</si>
  <si>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</si>
  <si>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</si>
  <si>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EPS ISIC (commodity)</t>
  </si>
  <si>
    <t>441000</t>
  </si>
  <si>
    <t>445000</t>
  </si>
  <si>
    <t>452000</t>
  </si>
  <si>
    <t>444000</t>
  </si>
  <si>
    <t>446000</t>
  </si>
  <si>
    <t>447000</t>
  </si>
  <si>
    <t>448000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</si>
  <si>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</si>
  <si>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</si>
  <si>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</si>
  <si>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</si>
  <si>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</si>
  <si>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</si>
  <si>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</si>
  <si>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</si>
  <si>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</si>
  <si>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</si>
  <si>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</si>
  <si>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</si>
  <si>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</si>
  <si>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</si>
  <si>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</si>
  <si>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</si>
  <si>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</si>
  <si>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</si>
  <si>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</si>
  <si>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</si>
  <si>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</si>
  <si>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</si>
  <si>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</si>
  <si>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</si>
  <si>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</si>
  <si>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</si>
  <si>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</si>
  <si>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EPS ISIC (industry)</t>
  </si>
  <si>
    <t>BEA detail code</t>
  </si>
  <si>
    <t>Description (from BEA)</t>
  </si>
  <si>
    <t>EPS ISIC code (editable)</t>
  </si>
  <si>
    <t>#</t>
  </si>
  <si>
    <t>EPS ISIC code (canonical order)</t>
  </si>
  <si>
    <t>OECD source (blank = carve child)</t>
  </si>
  <si>
    <t>Carve parent (OECD)</t>
  </si>
  <si>
    <t>Child 1</t>
  </si>
  <si>
    <t>Child 2</t>
  </si>
  <si>
    <t>ISIC 01</t>
  </si>
  <si>
    <t>ISIC 231</t>
  </si>
  <si>
    <t>ISIC 239</t>
  </si>
  <si>
    <t>ISIC 02</t>
  </si>
  <si>
    <t>ISIC 351</t>
  </si>
  <si>
    <t>ISIC 352T353</t>
  </si>
  <si>
    <t>111200</t>
  </si>
  <si>
    <t>ISIC 03</t>
  </si>
  <si>
    <t>111300</t>
  </si>
  <si>
    <t>ISIC 05</t>
  </si>
  <si>
    <t>111400</t>
  </si>
  <si>
    <t>ISIC 06</t>
  </si>
  <si>
    <t>111900</t>
  </si>
  <si>
    <t>ISIC 07</t>
  </si>
  <si>
    <t>112120</t>
  </si>
  <si>
    <t>ISIC 08</t>
  </si>
  <si>
    <t>ISIC 09</t>
  </si>
  <si>
    <t>112300</t>
  </si>
  <si>
    <t>ISIC 10T12</t>
  </si>
  <si>
    <t>ISIC 13T15</t>
  </si>
  <si>
    <t>113000</t>
  </si>
  <si>
    <t>ISIC 16</t>
  </si>
  <si>
    <t>114000</t>
  </si>
  <si>
    <t>ISIC 17T18</t>
  </si>
  <si>
    <t>115000</t>
  </si>
  <si>
    <t>ISIC 19</t>
  </si>
  <si>
    <t>211000</t>
  </si>
  <si>
    <t>ISIC 20</t>
  </si>
  <si>
    <t>212100</t>
  </si>
  <si>
    <t>ISIC 21</t>
  </si>
  <si>
    <t>212230</t>
  </si>
  <si>
    <t>ISIC 22</t>
  </si>
  <si>
    <t>212310</t>
  </si>
  <si>
    <t>ISIC 241</t>
  </si>
  <si>
    <t>213111</t>
  </si>
  <si>
    <t>ISIC 242</t>
  </si>
  <si>
    <t>ISIC 25</t>
  </si>
  <si>
    <t>221100</t>
  </si>
  <si>
    <t>ISIC 26</t>
  </si>
  <si>
    <t>221200</t>
  </si>
  <si>
    <t>ISIC 27</t>
  </si>
  <si>
    <t>221300</t>
  </si>
  <si>
    <t>ISIC 36T39</t>
  </si>
  <si>
    <t>ISIC 28</t>
  </si>
  <si>
    <t>230301</t>
  </si>
  <si>
    <t>ISIC 41T43</t>
  </si>
  <si>
    <t>ISIC 29</t>
  </si>
  <si>
    <t>230302</t>
  </si>
  <si>
    <t>ISIC 301</t>
  </si>
  <si>
    <t>233210</t>
  </si>
  <si>
    <t>ISIC 302T309</t>
  </si>
  <si>
    <t>233230</t>
  </si>
  <si>
    <t>ISIC 31T33</t>
  </si>
  <si>
    <t>233240</t>
  </si>
  <si>
    <t>233262</t>
  </si>
  <si>
    <t>ISIC 45T47</t>
  </si>
  <si>
    <t>233411</t>
  </si>
  <si>
    <t>ISIC 49</t>
  </si>
  <si>
    <t>233412</t>
  </si>
  <si>
    <t>ISIC 50</t>
  </si>
  <si>
    <t>ISIC 51</t>
  </si>
  <si>
    <t>311111</t>
  </si>
  <si>
    <t>ISIC 52</t>
  </si>
  <si>
    <t>311119</t>
  </si>
  <si>
    <t>ISIC 53</t>
  </si>
  <si>
    <t>311210</t>
  </si>
  <si>
    <t>ISIC 55T56</t>
  </si>
  <si>
    <t>311221</t>
  </si>
  <si>
    <t>ISIC 58T60</t>
  </si>
  <si>
    <t>311224</t>
  </si>
  <si>
    <t>ISIC 61</t>
  </si>
  <si>
    <t>311225</t>
  </si>
  <si>
    <t>ISIC 62T63</t>
  </si>
  <si>
    <t>311230</t>
  </si>
  <si>
    <t>ISIC 64T66</t>
  </si>
  <si>
    <t>311300</t>
  </si>
  <si>
    <t>ISIC 68</t>
  </si>
  <si>
    <t>311410</t>
  </si>
  <si>
    <t>ISIC 69T75</t>
  </si>
  <si>
    <t>311420</t>
  </si>
  <si>
    <t>ISIC 77T82</t>
  </si>
  <si>
    <t>311513</t>
  </si>
  <si>
    <t>ISIC 84</t>
  </si>
  <si>
    <t>311514</t>
  </si>
  <si>
    <t>ISIC 85</t>
  </si>
  <si>
    <t>ISIC 86T88</t>
  </si>
  <si>
    <t>311520</t>
  </si>
  <si>
    <t>ISIC 90T93</t>
  </si>
  <si>
    <t>311615</t>
  </si>
  <si>
    <t>ISIC 94T96</t>
  </si>
  <si>
    <t>ISIC 97T98</t>
  </si>
  <si>
    <t>311700</t>
  </si>
  <si>
    <t>311810</t>
  </si>
  <si>
    <t>311910</t>
  </si>
  <si>
    <t>311920</t>
  </si>
  <si>
    <t>311930</t>
  </si>
  <si>
    <t>311940</t>
  </si>
  <si>
    <t>311990</t>
  </si>
  <si>
    <t>312110</t>
  </si>
  <si>
    <t>312120</t>
  </si>
  <si>
    <t>312130</t>
  </si>
  <si>
    <t>312140</t>
  </si>
  <si>
    <t>312200</t>
  </si>
  <si>
    <t>313100</t>
  </si>
  <si>
    <t>313200</t>
  </si>
  <si>
    <t>313300</t>
  </si>
  <si>
    <t>314110</t>
  </si>
  <si>
    <t>314120</t>
  </si>
  <si>
    <t>314900</t>
  </si>
  <si>
    <t>315000</t>
  </si>
  <si>
    <t>316000</t>
  </si>
  <si>
    <t>321100</t>
  </si>
  <si>
    <t>321200</t>
  </si>
  <si>
    <t>321910</t>
  </si>
  <si>
    <t>322110</t>
  </si>
  <si>
    <t>322120</t>
  </si>
  <si>
    <t>322130</t>
  </si>
  <si>
    <t>322210</t>
  </si>
  <si>
    <t>322220</t>
  </si>
  <si>
    <t>322230</t>
  </si>
  <si>
    <t>322291</t>
  </si>
  <si>
    <t>322299</t>
  </si>
  <si>
    <t>323110</t>
  </si>
  <si>
    <t>323120</t>
  </si>
  <si>
    <t>324110</t>
  </si>
  <si>
    <t>324121</t>
  </si>
  <si>
    <t>324122</t>
  </si>
  <si>
    <t>324190</t>
  </si>
  <si>
    <t>325110</t>
  </si>
  <si>
    <t>325120</t>
  </si>
  <si>
    <t>325130</t>
  </si>
  <si>
    <t>325180</t>
  </si>
  <si>
    <t>325190</t>
  </si>
  <si>
    <t>325211</t>
  </si>
  <si>
    <t>325310</t>
  </si>
  <si>
    <t>325320</t>
  </si>
  <si>
    <t>325411</t>
  </si>
  <si>
    <t>325412</t>
  </si>
  <si>
    <t>325413</t>
  </si>
  <si>
    <t>325414</t>
  </si>
  <si>
    <t>325510</t>
  </si>
  <si>
    <t>325520</t>
  </si>
  <si>
    <t>325610</t>
  </si>
  <si>
    <t>325620</t>
  </si>
  <si>
    <t>325910</t>
  </si>
  <si>
    <t>326110</t>
  </si>
  <si>
    <t>326120</t>
  </si>
  <si>
    <t>326130</t>
  </si>
  <si>
    <t>326140</t>
  </si>
  <si>
    <t>326150</t>
  </si>
  <si>
    <t>326160</t>
  </si>
  <si>
    <t>326190</t>
  </si>
  <si>
    <t>326210</t>
  </si>
  <si>
    <t>326220</t>
  </si>
  <si>
    <t>326290</t>
  </si>
  <si>
    <t>327100</t>
  </si>
  <si>
    <t>327200</t>
  </si>
  <si>
    <t>327310</t>
  </si>
  <si>
    <t>327320</t>
  </si>
  <si>
    <t>327330</t>
  </si>
  <si>
    <t>327390</t>
  </si>
  <si>
    <t>327400</t>
  </si>
  <si>
    <t>327910</t>
  </si>
  <si>
    <t>327991</t>
  </si>
  <si>
    <t>327992</t>
  </si>
  <si>
    <t>327993</t>
  </si>
  <si>
    <t>327999</t>
  </si>
  <si>
    <t>331110</t>
  </si>
  <si>
    <t>331200</t>
  </si>
  <si>
    <t>331313</t>
  </si>
  <si>
    <t>331314</t>
  </si>
  <si>
    <t>331410</t>
  </si>
  <si>
    <t>331420</t>
  </si>
  <si>
    <t>331490</t>
  </si>
  <si>
    <t>331510</t>
  </si>
  <si>
    <t>331520</t>
  </si>
  <si>
    <t>332114</t>
  </si>
  <si>
    <t>332119</t>
  </si>
  <si>
    <t>332200</t>
  </si>
  <si>
    <t>332310</t>
  </si>
  <si>
    <t>332320</t>
  </si>
  <si>
    <t>332410</t>
  </si>
  <si>
    <t>332420</t>
  </si>
  <si>
    <t>332430</t>
  </si>
  <si>
    <t>332500</t>
  </si>
  <si>
    <t>332600</t>
  </si>
  <si>
    <t>332710</t>
  </si>
  <si>
    <t>332720</t>
  </si>
  <si>
    <t>332800</t>
  </si>
  <si>
    <t>332913</t>
  </si>
  <si>
    <t>332991</t>
  </si>
  <si>
    <t>332996</t>
  </si>
  <si>
    <t>332999</t>
  </si>
  <si>
    <t>333111</t>
  </si>
  <si>
    <t>333112</t>
  </si>
  <si>
    <t>333120</t>
  </si>
  <si>
    <t>333130</t>
  </si>
  <si>
    <t>333242</t>
  </si>
  <si>
    <t>333314</t>
  </si>
  <si>
    <t>333316</t>
  </si>
  <si>
    <t>333318</t>
  </si>
  <si>
    <t>333413</t>
  </si>
  <si>
    <t>333414</t>
  </si>
  <si>
    <t>333415</t>
  </si>
  <si>
    <t>333511</t>
  </si>
  <si>
    <t>333514</t>
  </si>
  <si>
    <t>333517</t>
  </si>
  <si>
    <t>333611</t>
  </si>
  <si>
    <t>333612</t>
  </si>
  <si>
    <t>333613</t>
  </si>
  <si>
    <t>333618</t>
  </si>
  <si>
    <t>333912</t>
  </si>
  <si>
    <t>333914</t>
  </si>
  <si>
    <t>33391A</t>
  </si>
  <si>
    <t>333920</t>
  </si>
  <si>
    <t>333991</t>
  </si>
  <si>
    <t>333993</t>
  </si>
  <si>
    <t>333994</t>
  </si>
  <si>
    <t>334111</t>
  </si>
  <si>
    <t>334112</t>
  </si>
  <si>
    <t>334118</t>
  </si>
  <si>
    <t>334210</t>
  </si>
  <si>
    <t>334220</t>
  </si>
  <si>
    <t>334290</t>
  </si>
  <si>
    <t>334300</t>
  </si>
  <si>
    <t>334413</t>
  </si>
  <si>
    <t>334418</t>
  </si>
  <si>
    <t>334510</t>
  </si>
  <si>
    <t>334511</t>
  </si>
  <si>
    <t>334512</t>
  </si>
  <si>
    <t>334513</t>
  </si>
  <si>
    <t>334514</t>
  </si>
  <si>
    <t>334515</t>
  </si>
  <si>
    <t>334516</t>
  </si>
  <si>
    <t>334517</t>
  </si>
  <si>
    <t>334610</t>
  </si>
  <si>
    <t>335110</t>
  </si>
  <si>
    <t>335120</t>
  </si>
  <si>
    <t>335210</t>
  </si>
  <si>
    <t>335220</t>
  </si>
  <si>
    <t>335221</t>
  </si>
  <si>
    <t>335222</t>
  </si>
  <si>
    <t>335224</t>
  </si>
  <si>
    <t>335228</t>
  </si>
  <si>
    <t>335311</t>
  </si>
  <si>
    <t>335312</t>
  </si>
  <si>
    <t>335313</t>
  </si>
  <si>
    <t>335314</t>
  </si>
  <si>
    <t>335911</t>
  </si>
  <si>
    <t>335912</t>
  </si>
  <si>
    <t>335920</t>
  </si>
  <si>
    <t>335930</t>
  </si>
  <si>
    <t>335991</t>
  </si>
  <si>
    <t>335999</t>
  </si>
  <si>
    <t>336111</t>
  </si>
  <si>
    <t>336112</t>
  </si>
  <si>
    <t>336120</t>
  </si>
  <si>
    <t>336211</t>
  </si>
  <si>
    <t>336212</t>
  </si>
  <si>
    <t>336213</t>
  </si>
  <si>
    <t>336214</t>
  </si>
  <si>
    <t>336310</t>
  </si>
  <si>
    <t>336320</t>
  </si>
  <si>
    <t>336350</t>
  </si>
  <si>
    <t>336360</t>
  </si>
  <si>
    <t>336370</t>
  </si>
  <si>
    <t>336390</t>
  </si>
  <si>
    <t>336411</t>
  </si>
  <si>
    <t>336412</t>
  </si>
  <si>
    <t>336413</t>
  </si>
  <si>
    <t>336414</t>
  </si>
  <si>
    <t>336500</t>
  </si>
  <si>
    <t>336611</t>
  </si>
  <si>
    <t>336612</t>
  </si>
  <si>
    <t>336991</t>
  </si>
  <si>
    <t>336992</t>
  </si>
  <si>
    <t>336999</t>
  </si>
  <si>
    <t>337110</t>
  </si>
  <si>
    <t>337121</t>
  </si>
  <si>
    <t>337122</t>
  </si>
  <si>
    <t>337127</t>
  </si>
  <si>
    <t>337215</t>
  </si>
  <si>
    <t>337900</t>
  </si>
  <si>
    <t>339112</t>
  </si>
  <si>
    <t>339113</t>
  </si>
  <si>
    <t>339114</t>
  </si>
  <si>
    <t>339115</t>
  </si>
  <si>
    <t>339116</t>
  </si>
  <si>
    <t>339910</t>
  </si>
  <si>
    <t>339920</t>
  </si>
  <si>
    <t>339930</t>
  </si>
  <si>
    <t>339940</t>
  </si>
  <si>
    <t>339950</t>
  </si>
  <si>
    <t>339990</t>
  </si>
  <si>
    <t>423100</t>
  </si>
  <si>
    <t>423400</t>
  </si>
  <si>
    <t>423600</t>
  </si>
  <si>
    <t>Household appliances and electrical and electronic goods</t>
  </si>
  <si>
    <t>423800</t>
  </si>
  <si>
    <t>424200</t>
  </si>
  <si>
    <t>424400</t>
  </si>
  <si>
    <t>Grocery and related product wholesalers</t>
  </si>
  <si>
    <t>424700</t>
  </si>
  <si>
    <t>425000</t>
  </si>
  <si>
    <t>454000</t>
  </si>
  <si>
    <t>481000</t>
  </si>
  <si>
    <t>482000</t>
  </si>
  <si>
    <t>483000</t>
  </si>
  <si>
    <t>484000</t>
  </si>
  <si>
    <t>485000</t>
  </si>
  <si>
    <t>486000</t>
  </si>
  <si>
    <t>491000</t>
  </si>
  <si>
    <t>492000</t>
  </si>
  <si>
    <t>493000</t>
  </si>
  <si>
    <t>511110</t>
  </si>
  <si>
    <t>511120</t>
  </si>
  <si>
    <t>511130</t>
  </si>
  <si>
    <t>511200</t>
  </si>
  <si>
    <t>512100</t>
  </si>
  <si>
    <t>512200</t>
  </si>
  <si>
    <t>515100</t>
  </si>
  <si>
    <t>515200</t>
  </si>
  <si>
    <t>517110</t>
  </si>
  <si>
    <t>517210</t>
  </si>
  <si>
    <t>518200</t>
  </si>
  <si>
    <t>519130</t>
  </si>
  <si>
    <t>523900</t>
  </si>
  <si>
    <t>524113</t>
  </si>
  <si>
    <t>524200</t>
  </si>
  <si>
    <t>525000</t>
  </si>
  <si>
    <t>532100</t>
  </si>
  <si>
    <t>532400</t>
  </si>
  <si>
    <t>533000</t>
  </si>
  <si>
    <t>541100</t>
  </si>
  <si>
    <t>541200</t>
  </si>
  <si>
    <t>541300</t>
  </si>
  <si>
    <t>541400</t>
  </si>
  <si>
    <t>541511</t>
  </si>
  <si>
    <t>541512</t>
  </si>
  <si>
    <t>541610</t>
  </si>
  <si>
    <t>541700</t>
  </si>
  <si>
    <t>541800</t>
  </si>
  <si>
    <t>541920</t>
  </si>
  <si>
    <t>541940</t>
  </si>
  <si>
    <t>All other miscellaneous professional, scientific, and technical services</t>
  </si>
  <si>
    <t>550000</t>
  </si>
  <si>
    <t>561100</t>
  </si>
  <si>
    <t>561200</t>
  </si>
  <si>
    <t>561300</t>
  </si>
  <si>
    <t>561400</t>
  </si>
  <si>
    <t>561500</t>
  </si>
  <si>
    <t>561600</t>
  </si>
  <si>
    <t>561700</t>
  </si>
  <si>
    <t>561900</t>
  </si>
  <si>
    <t>562000</t>
  </si>
  <si>
    <t>611100</t>
  </si>
  <si>
    <t>621100</t>
  </si>
  <si>
    <t>621200</t>
  </si>
  <si>
    <t>621300</t>
  </si>
  <si>
    <t>621400</t>
  </si>
  <si>
    <t>621500</t>
  </si>
  <si>
    <t>621600</t>
  </si>
  <si>
    <t>621900</t>
  </si>
  <si>
    <t>622000</t>
  </si>
  <si>
    <t>624100</t>
  </si>
  <si>
    <t>624400</t>
  </si>
  <si>
    <t>711100</t>
  </si>
  <si>
    <t>711200</t>
  </si>
  <si>
    <t>711500</t>
  </si>
  <si>
    <t>712000</t>
  </si>
  <si>
    <t>713100</t>
  </si>
  <si>
    <t>713200</t>
  </si>
  <si>
    <t>713900</t>
  </si>
  <si>
    <t>721000</t>
  </si>
  <si>
    <t>722110</t>
  </si>
  <si>
    <t>722211</t>
  </si>
  <si>
    <t>811100</t>
  </si>
  <si>
    <t>811200</t>
  </si>
  <si>
    <t>811300</t>
  </si>
  <si>
    <t>811400</t>
  </si>
  <si>
    <t>812100</t>
  </si>
  <si>
    <t>812200</t>
  </si>
  <si>
    <t>812300</t>
  </si>
  <si>
    <t>812900</t>
  </si>
  <si>
    <t>813100</t>
  </si>
  <si>
    <t>814000</t>
  </si>
  <si>
    <t>Carve-child final-demand shares (BEA 2017 Use)</t>
  </si>
  <si>
    <t>Child</t>
  </si>
  <si>
    <t>gov FD purchases</t>
  </si>
  <si>
    <t>hh FD purchases</t>
  </si>
  <si>
    <t>gov share</t>
  </si>
  <si>
    <t>hh share</t>
  </si>
  <si>
    <t>OECD 2022 GDP (2012 USD; = VALU row x 1e6 x CPI factor)</t>
  </si>
  <si>
    <t>BGDP 2025 (pasted from io-model/BGDP.csv — repaste on update)</t>
  </si>
  <si>
    <t>Projection factor 2022-&gt;2025</t>
  </si>
  <si>
    <t>Validation</t>
  </si>
  <si>
    <t>Carve conservation (children sum = OECD parent x factor), gov + hh</t>
  </si>
  <si>
    <t>C23 / GGFC</t>
  </si>
  <si>
    <t>C23 / HFCE</t>
  </si>
  <si>
    <t>D / GGFC</t>
  </si>
  <si>
    <t>D / HFCE</t>
  </si>
  <si>
    <t>Unit: USD</t>
  </si>
  <si>
    <t>ISIC 01T03</t>
  </si>
  <si>
    <t>ISIC 07T08</t>
  </si>
  <si>
    <t>ISIC 30</t>
  </si>
  <si>
    <t>ISIC 49T53</t>
  </si>
  <si>
    <t>ISIC 69T82</t>
  </si>
  <si>
    <t>ISIC 90T96</t>
  </si>
  <si>
    <t>Government Expenditures</t>
  </si>
  <si>
    <t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</si>
</sst>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ea.gov/industry/input-output-accounts-data" TargetMode="External"/><Relationship Id="rId1" Type="http://schemas.openxmlformats.org/officeDocument/2006/relationships/hyperlink" Target="https://www.oecd.org/en/data/datasets/input-output-tabl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2024</v>
      </c>
    </row>
    <row r="7" spans="1:2" x14ac:dyDescent="0.25">
      <c r="B7" s="4" t="s">
        <v>5</v>
      </c>
    </row>
    <row r="8" spans="1:2" ht="30" x14ac:dyDescent="0.25">
      <c r="B8" s="3" t="s">
        <v>6</v>
      </c>
    </row>
    <row r="10" spans="1:2" x14ac:dyDescent="0.25">
      <c r="B10" s="2" t="s">
        <v>7</v>
      </c>
    </row>
    <row r="11" spans="1:2" x14ac:dyDescent="0.25">
      <c r="B11" s="3" t="s">
        <v>8</v>
      </c>
    </row>
    <row r="12" spans="1:2" x14ac:dyDescent="0.25">
      <c r="B12" s="3" t="s">
        <v>9</v>
      </c>
    </row>
    <row r="13" spans="1:2" x14ac:dyDescent="0.25">
      <c r="B13" s="3">
        <v>2023</v>
      </c>
    </row>
    <row r="14" spans="1:2" x14ac:dyDescent="0.25">
      <c r="B14" s="4" t="s">
        <v>10</v>
      </c>
    </row>
    <row r="15" spans="1:2" x14ac:dyDescent="0.25">
      <c r="B15" s="3" t="s">
        <v>11</v>
      </c>
    </row>
    <row r="18" spans="1:2" x14ac:dyDescent="0.25">
      <c r="A18" s="1" t="s">
        <v>12</v>
      </c>
    </row>
    <row r="19" spans="1:2" ht="30" x14ac:dyDescent="0.25">
      <c r="A19" s="1" t="s">
        <v>13</v>
      </c>
      <c r="B19" s="3" t="s">
        <v>14</v>
      </c>
    </row>
    <row r="20" spans="1:2" x14ac:dyDescent="0.25">
      <c r="A20">
        <v>0.78452102304761584</v>
      </c>
      <c r="B20" s="3" t="s">
        <v>15</v>
      </c>
    </row>
    <row r="22" spans="1:2" ht="45" x14ac:dyDescent="0.25">
      <c r="A22" s="1" t="s">
        <v>16</v>
      </c>
      <c r="B22" s="3" t="s">
        <v>17</v>
      </c>
    </row>
  </sheetData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61" x14ac:dyDescent="0.2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</row>
    <row r="2" spans="1:61" x14ac:dyDescent="0.25">
      <c r="A2" t="s">
        <v>78</v>
      </c>
      <c r="B2">
        <v>74779.370999999999</v>
      </c>
      <c r="C2">
        <v>729.47400000000005</v>
      </c>
      <c r="D2">
        <v>48.606000000000002</v>
      </c>
      <c r="E2">
        <v>3.371</v>
      </c>
      <c r="F2">
        <v>32.701000000000001</v>
      </c>
      <c r="G2">
        <v>1.71</v>
      </c>
      <c r="H2">
        <v>8.4380000000000006</v>
      </c>
      <c r="I2">
        <v>2.6850000000000001</v>
      </c>
      <c r="J2">
        <v>244020.024</v>
      </c>
      <c r="K2">
        <v>1261.74</v>
      </c>
      <c r="L2">
        <v>765.63300000000004</v>
      </c>
      <c r="M2">
        <v>104.3</v>
      </c>
      <c r="N2">
        <v>10.731999999999999</v>
      </c>
      <c r="O2">
        <v>986.88800000000003</v>
      </c>
      <c r="P2">
        <v>750.97799999999995</v>
      </c>
      <c r="Q2">
        <v>567.62199999999996</v>
      </c>
      <c r="R2">
        <v>9.34</v>
      </c>
      <c r="S2">
        <v>2.31</v>
      </c>
      <c r="T2">
        <v>2.5139999999999998</v>
      </c>
      <c r="U2">
        <v>8.9550000000000001</v>
      </c>
      <c r="V2">
        <v>8.1379999999999999</v>
      </c>
      <c r="W2">
        <v>3.681</v>
      </c>
      <c r="X2">
        <v>35.537999999999997</v>
      </c>
      <c r="Y2">
        <v>33.354999999999997</v>
      </c>
      <c r="Z2">
        <v>1.405</v>
      </c>
      <c r="AA2">
        <v>8.1519999999999992</v>
      </c>
      <c r="AB2">
        <v>179.08</v>
      </c>
      <c r="AC2">
        <v>162.94499999999999</v>
      </c>
      <c r="AD2">
        <v>55.649000000000001</v>
      </c>
      <c r="AE2">
        <v>689.94399999999996</v>
      </c>
      <c r="AF2">
        <v>9434.5759999999991</v>
      </c>
      <c r="AG2">
        <v>113.14700000000001</v>
      </c>
      <c r="AH2">
        <v>14.435</v>
      </c>
      <c r="AI2">
        <v>4.1360000000000001</v>
      </c>
      <c r="AJ2">
        <v>65.436000000000007</v>
      </c>
      <c r="AK2">
        <v>7.2850000000000001</v>
      </c>
      <c r="AL2">
        <v>52185.807000000001</v>
      </c>
      <c r="AM2">
        <v>78.16</v>
      </c>
      <c r="AN2">
        <v>19.382000000000001</v>
      </c>
      <c r="AO2">
        <v>17.161999999999999</v>
      </c>
      <c r="AP2">
        <v>74.635999999999996</v>
      </c>
      <c r="AQ2">
        <v>395.05799999999999</v>
      </c>
      <c r="AR2">
        <v>1051.5730000000001</v>
      </c>
      <c r="AS2">
        <v>1513.491</v>
      </c>
      <c r="AT2">
        <v>2681.5439999999999</v>
      </c>
      <c r="AU2">
        <v>1303.299</v>
      </c>
      <c r="AV2">
        <v>5182.2259999999997</v>
      </c>
      <c r="AW2">
        <v>586.57600000000002</v>
      </c>
      <c r="AX2">
        <v>834.92</v>
      </c>
      <c r="AY2">
        <v>0</v>
      </c>
      <c r="AZ2">
        <v>212576.90599999999</v>
      </c>
      <c r="BA2">
        <v>517.39</v>
      </c>
      <c r="BB2">
        <v>0.47299999999999998</v>
      </c>
      <c r="BC2">
        <v>98.44</v>
      </c>
      <c r="BD2">
        <v>208.61799999999999</v>
      </c>
      <c r="BE2">
        <v>1567.22</v>
      </c>
      <c r="BF2">
        <v>426.017</v>
      </c>
      <c r="BG2">
        <v>65992.047999999995</v>
      </c>
      <c r="BH2">
        <v>-51305.832000000002</v>
      </c>
      <c r="BI2">
        <v>630919.40500000003</v>
      </c>
    </row>
    <row r="3" spans="1:61" x14ac:dyDescent="0.25">
      <c r="A3" t="s">
        <v>79</v>
      </c>
      <c r="B3">
        <v>653.61500000000001</v>
      </c>
      <c r="C3">
        <v>2244.1030000000001</v>
      </c>
      <c r="D3">
        <v>0.90500000000000003</v>
      </c>
      <c r="E3">
        <v>10.943</v>
      </c>
      <c r="F3">
        <v>19.422999999999998</v>
      </c>
      <c r="G3">
        <v>1.665</v>
      </c>
      <c r="H3">
        <v>2.56</v>
      </c>
      <c r="I3">
        <v>7.5999999999999998E-2</v>
      </c>
      <c r="J3">
        <v>767.45299999999997</v>
      </c>
      <c r="K3">
        <v>12.704000000000001</v>
      </c>
      <c r="L3">
        <v>7209.6220000000003</v>
      </c>
      <c r="M3">
        <v>661.86699999999996</v>
      </c>
      <c r="N3">
        <v>0.79100000000000004</v>
      </c>
      <c r="O3">
        <v>47.506999999999998</v>
      </c>
      <c r="P3">
        <v>8.7729999999999997</v>
      </c>
      <c r="Q3">
        <v>242.50700000000001</v>
      </c>
      <c r="R3">
        <v>11.813000000000001</v>
      </c>
      <c r="S3">
        <v>2.5230000000000001</v>
      </c>
      <c r="T3">
        <v>2.073</v>
      </c>
      <c r="U3">
        <v>2.4500000000000002</v>
      </c>
      <c r="V3">
        <v>0.28599999999999998</v>
      </c>
      <c r="W3">
        <v>0.44400000000000001</v>
      </c>
      <c r="X3">
        <v>2.9630000000000001</v>
      </c>
      <c r="Y3">
        <v>2.6629999999999998</v>
      </c>
      <c r="Z3">
        <v>0.55200000000000005</v>
      </c>
      <c r="AA3">
        <v>0.80300000000000005</v>
      </c>
      <c r="AB3">
        <v>297.69200000000001</v>
      </c>
      <c r="AC3">
        <v>208.09299999999999</v>
      </c>
      <c r="AD3">
        <v>1.2090000000000001</v>
      </c>
      <c r="AE3">
        <v>209.583</v>
      </c>
      <c r="AF3">
        <v>448.72899999999998</v>
      </c>
      <c r="AG3">
        <v>3.2669999999999999</v>
      </c>
      <c r="AH3">
        <v>0.48299999999999998</v>
      </c>
      <c r="AI3">
        <v>0.252</v>
      </c>
      <c r="AJ3">
        <v>2.069</v>
      </c>
      <c r="AK3">
        <v>0.42</v>
      </c>
      <c r="AL3">
        <v>336.25799999999998</v>
      </c>
      <c r="AM3">
        <v>7.1120000000000001</v>
      </c>
      <c r="AN3">
        <v>4.0119999999999996</v>
      </c>
      <c r="AO3">
        <v>5.3719999999999999</v>
      </c>
      <c r="AP3">
        <v>3.4470000000000001</v>
      </c>
      <c r="AQ3">
        <v>42.151000000000003</v>
      </c>
      <c r="AR3">
        <v>14.444000000000001</v>
      </c>
      <c r="AS3">
        <v>25.652000000000001</v>
      </c>
      <c r="AT3">
        <v>245.703</v>
      </c>
      <c r="AU3">
        <v>49.752000000000002</v>
      </c>
      <c r="AV3">
        <v>66.658000000000001</v>
      </c>
      <c r="AW3">
        <v>37.576999999999998</v>
      </c>
      <c r="AX3">
        <v>34.299999999999997</v>
      </c>
      <c r="AY3">
        <v>0</v>
      </c>
      <c r="AZ3">
        <v>14849.906999999999</v>
      </c>
      <c r="BA3">
        <v>150.64500000000001</v>
      </c>
      <c r="BB3">
        <v>6.7000000000000004E-2</v>
      </c>
      <c r="BC3">
        <v>48.963000000000001</v>
      </c>
      <c r="BD3">
        <v>5.5469999999999997</v>
      </c>
      <c r="BE3">
        <v>22.263000000000002</v>
      </c>
      <c r="BF3">
        <v>2.5000000000000001E-2</v>
      </c>
      <c r="BG3">
        <v>1290.846</v>
      </c>
      <c r="BH3">
        <v>-3873.05</v>
      </c>
      <c r="BI3">
        <v>26450.532999999999</v>
      </c>
    </row>
    <row r="4" spans="1:61" x14ac:dyDescent="0.25">
      <c r="A4" t="s">
        <v>80</v>
      </c>
      <c r="B4">
        <v>23.876000000000001</v>
      </c>
      <c r="C4">
        <v>1.913</v>
      </c>
      <c r="D4">
        <v>92.259</v>
      </c>
      <c r="E4">
        <v>0.14499999999999999</v>
      </c>
      <c r="F4">
        <v>1.3620000000000001</v>
      </c>
      <c r="G4">
        <v>0.20899999999999999</v>
      </c>
      <c r="H4">
        <v>0.23899999999999999</v>
      </c>
      <c r="I4">
        <v>2.1000000000000001E-2</v>
      </c>
      <c r="J4">
        <v>8300.5460000000003</v>
      </c>
      <c r="K4">
        <v>0.37</v>
      </c>
      <c r="L4">
        <v>0.309</v>
      </c>
      <c r="M4">
        <v>0.45900000000000002</v>
      </c>
      <c r="N4">
        <v>0.97799999999999998</v>
      </c>
      <c r="O4">
        <v>2.9889999999999999</v>
      </c>
      <c r="P4">
        <v>1.752</v>
      </c>
      <c r="Q4">
        <v>0.70499999999999996</v>
      </c>
      <c r="R4">
        <v>0.38200000000000001</v>
      </c>
      <c r="S4">
        <v>0.22600000000000001</v>
      </c>
      <c r="T4">
        <v>0.215</v>
      </c>
      <c r="U4">
        <v>0.64700000000000002</v>
      </c>
      <c r="V4">
        <v>0.218</v>
      </c>
      <c r="W4">
        <v>0.20200000000000001</v>
      </c>
      <c r="X4">
        <v>0.63200000000000001</v>
      </c>
      <c r="Y4">
        <v>0.46500000000000002</v>
      </c>
      <c r="Z4">
        <v>0.27100000000000002</v>
      </c>
      <c r="AA4">
        <v>0.23599999999999999</v>
      </c>
      <c r="AB4">
        <v>0.52400000000000002</v>
      </c>
      <c r="AC4">
        <v>0.46100000000000002</v>
      </c>
      <c r="AD4">
        <v>0.27400000000000002</v>
      </c>
      <c r="AE4">
        <v>2.6890000000000001</v>
      </c>
      <c r="AF4">
        <v>179.46</v>
      </c>
      <c r="AG4">
        <v>2.0430000000000001</v>
      </c>
      <c r="AH4">
        <v>4.1710000000000003</v>
      </c>
      <c r="AI4">
        <v>0.24299999999999999</v>
      </c>
      <c r="AJ4">
        <v>2.9510000000000001</v>
      </c>
      <c r="AK4">
        <v>9.0999999999999998E-2</v>
      </c>
      <c r="AL4">
        <v>3857.3409999999999</v>
      </c>
      <c r="AM4">
        <v>3.3260000000000001</v>
      </c>
      <c r="AN4">
        <v>0.93300000000000005</v>
      </c>
      <c r="AO4">
        <v>2.532</v>
      </c>
      <c r="AP4">
        <v>5.6349999999999998</v>
      </c>
      <c r="AQ4">
        <v>15.058</v>
      </c>
      <c r="AR4">
        <v>6.2089999999999996</v>
      </c>
      <c r="AS4">
        <v>3.42</v>
      </c>
      <c r="AT4">
        <v>171.36799999999999</v>
      </c>
      <c r="AU4">
        <v>26.86</v>
      </c>
      <c r="AV4">
        <v>122.22799999999999</v>
      </c>
      <c r="AW4">
        <v>6.8780000000000001</v>
      </c>
      <c r="AX4">
        <v>13.061</v>
      </c>
      <c r="AY4">
        <v>0</v>
      </c>
      <c r="AZ4">
        <v>6908.5739999999996</v>
      </c>
      <c r="BA4">
        <v>42.877000000000002</v>
      </c>
      <c r="BB4">
        <v>8.0000000000000002E-3</v>
      </c>
      <c r="BC4">
        <v>4.2750000000000004</v>
      </c>
      <c r="BD4">
        <v>7.2249999999999996</v>
      </c>
      <c r="BE4">
        <v>96.870999999999995</v>
      </c>
      <c r="BF4">
        <v>10.609</v>
      </c>
      <c r="BG4">
        <v>2385.951</v>
      </c>
      <c r="BH4">
        <v>-15796.516</v>
      </c>
      <c r="BI4">
        <v>6519.2550000000001</v>
      </c>
    </row>
    <row r="5" spans="1:61" x14ac:dyDescent="0.25">
      <c r="A5" t="s">
        <v>81</v>
      </c>
      <c r="B5">
        <v>51.576000000000001</v>
      </c>
      <c r="C5">
        <v>2.3620000000000001</v>
      </c>
      <c r="D5">
        <v>0.152</v>
      </c>
      <c r="E5">
        <v>418.91699999999997</v>
      </c>
      <c r="F5">
        <v>479.78399999999999</v>
      </c>
      <c r="G5">
        <v>40.781999999999996</v>
      </c>
      <c r="H5">
        <v>40.222000000000001</v>
      </c>
      <c r="I5">
        <v>38.481000000000002</v>
      </c>
      <c r="J5">
        <v>138.84399999999999</v>
      </c>
      <c r="K5">
        <v>11.553000000000001</v>
      </c>
      <c r="L5">
        <v>8.1319999999999997</v>
      </c>
      <c r="M5">
        <v>95.254999999999995</v>
      </c>
      <c r="N5">
        <v>2046.4570000000001</v>
      </c>
      <c r="O5">
        <v>293.82600000000002</v>
      </c>
      <c r="P5">
        <v>6.1609999999999996</v>
      </c>
      <c r="Q5">
        <v>31.045999999999999</v>
      </c>
      <c r="R5">
        <v>466.82600000000002</v>
      </c>
      <c r="S5">
        <v>1924.3879999999999</v>
      </c>
      <c r="T5">
        <v>306.99200000000002</v>
      </c>
      <c r="U5">
        <v>10.866</v>
      </c>
      <c r="V5">
        <v>2.089</v>
      </c>
      <c r="W5">
        <v>5.181</v>
      </c>
      <c r="X5">
        <v>14.052</v>
      </c>
      <c r="Y5">
        <v>16.93</v>
      </c>
      <c r="Z5">
        <v>1.96</v>
      </c>
      <c r="AA5">
        <v>12.526</v>
      </c>
      <c r="AB5">
        <v>6.0039999999999996</v>
      </c>
      <c r="AC5">
        <v>12957.678</v>
      </c>
      <c r="AD5">
        <v>10.055999999999999</v>
      </c>
      <c r="AE5">
        <v>717.79899999999998</v>
      </c>
      <c r="AF5">
        <v>130.59899999999999</v>
      </c>
      <c r="AG5">
        <v>31.914999999999999</v>
      </c>
      <c r="AH5">
        <v>0.51400000000000001</v>
      </c>
      <c r="AI5">
        <v>1.3160000000000001</v>
      </c>
      <c r="AJ5">
        <v>17.128</v>
      </c>
      <c r="AK5">
        <v>1.6759999999999999</v>
      </c>
      <c r="AL5">
        <v>47.220999999999997</v>
      </c>
      <c r="AM5">
        <v>5.173</v>
      </c>
      <c r="AN5">
        <v>15.351000000000001</v>
      </c>
      <c r="AO5">
        <v>4.4889999999999999</v>
      </c>
      <c r="AP5">
        <v>21.678999999999998</v>
      </c>
      <c r="AQ5">
        <v>490.661</v>
      </c>
      <c r="AR5">
        <v>48.844999999999999</v>
      </c>
      <c r="AS5">
        <v>22.126999999999999</v>
      </c>
      <c r="AT5">
        <v>405.15499999999997</v>
      </c>
      <c r="AU5">
        <v>128.50800000000001</v>
      </c>
      <c r="AV5">
        <v>83.48</v>
      </c>
      <c r="AW5">
        <v>6.3879999999999999</v>
      </c>
      <c r="AX5">
        <v>50.899000000000001</v>
      </c>
      <c r="AY5">
        <v>0</v>
      </c>
      <c r="AZ5">
        <v>18.116</v>
      </c>
      <c r="BA5">
        <v>0.70899999999999996</v>
      </c>
      <c r="BB5">
        <v>3.3000000000000002E-2</v>
      </c>
      <c r="BC5">
        <v>5851.9960000000001</v>
      </c>
      <c r="BD5">
        <v>0.34</v>
      </c>
      <c r="BE5">
        <v>3.8090000000000002</v>
      </c>
      <c r="BF5">
        <v>0.01</v>
      </c>
      <c r="BG5">
        <v>13417.78</v>
      </c>
      <c r="BH5">
        <v>-461.32</v>
      </c>
      <c r="BI5">
        <v>40501.495000000003</v>
      </c>
    </row>
    <row r="6" spans="1:61" x14ac:dyDescent="0.25">
      <c r="A6" t="s">
        <v>82</v>
      </c>
      <c r="B6">
        <v>1337.6690000000001</v>
      </c>
      <c r="C6">
        <v>80.349999999999994</v>
      </c>
      <c r="D6">
        <v>34.975999999999999</v>
      </c>
      <c r="E6">
        <v>608.57399999999996</v>
      </c>
      <c r="F6">
        <v>44951.12</v>
      </c>
      <c r="G6">
        <v>457.20499999999998</v>
      </c>
      <c r="H6">
        <v>800.07</v>
      </c>
      <c r="I6">
        <v>833.57899999999995</v>
      </c>
      <c r="J6">
        <v>2743.2080000000001</v>
      </c>
      <c r="K6">
        <v>118.636</v>
      </c>
      <c r="L6">
        <v>278.17</v>
      </c>
      <c r="M6">
        <v>1531.424</v>
      </c>
      <c r="N6">
        <v>460643.67800000001</v>
      </c>
      <c r="O6">
        <v>13736.477999999999</v>
      </c>
      <c r="P6">
        <v>199.208</v>
      </c>
      <c r="Q6">
        <v>773.971</v>
      </c>
      <c r="R6">
        <v>3251.7939999999999</v>
      </c>
      <c r="S6">
        <v>3524.1190000000001</v>
      </c>
      <c r="T6">
        <v>2182.6709999999998</v>
      </c>
      <c r="U6">
        <v>1054.1010000000001</v>
      </c>
      <c r="V6">
        <v>75.212999999999994</v>
      </c>
      <c r="W6">
        <v>125.611</v>
      </c>
      <c r="X6">
        <v>371.03899999999999</v>
      </c>
      <c r="Y6">
        <v>864.44200000000001</v>
      </c>
      <c r="Z6">
        <v>31.587</v>
      </c>
      <c r="AA6">
        <v>242.47300000000001</v>
      </c>
      <c r="AB6">
        <v>376.68799999999999</v>
      </c>
      <c r="AC6">
        <v>97219.222999999998</v>
      </c>
      <c r="AD6">
        <v>479.41699999999997</v>
      </c>
      <c r="AE6">
        <v>3239.6219999999998</v>
      </c>
      <c r="AF6">
        <v>9710.0589999999993</v>
      </c>
      <c r="AG6">
        <v>7263.4859999999999</v>
      </c>
      <c r="AH6">
        <v>701.68700000000001</v>
      </c>
      <c r="AI6">
        <v>2661</v>
      </c>
      <c r="AJ6">
        <v>1246.527</v>
      </c>
      <c r="AK6">
        <v>305.47300000000001</v>
      </c>
      <c r="AL6">
        <v>1202.682</v>
      </c>
      <c r="AM6">
        <v>303.54399999999998</v>
      </c>
      <c r="AN6">
        <v>266.14800000000002</v>
      </c>
      <c r="AO6">
        <v>375.68099999999998</v>
      </c>
      <c r="AP6">
        <v>1055.6869999999999</v>
      </c>
      <c r="AQ6">
        <v>2669.84</v>
      </c>
      <c r="AR6">
        <v>2106.7959999999998</v>
      </c>
      <c r="AS6">
        <v>1946.8219999999999</v>
      </c>
      <c r="AT6">
        <v>6811.5569999999998</v>
      </c>
      <c r="AU6">
        <v>1427.3720000000001</v>
      </c>
      <c r="AV6">
        <v>1911.932</v>
      </c>
      <c r="AW6">
        <v>254.96899999999999</v>
      </c>
      <c r="AX6">
        <v>600.47699999999998</v>
      </c>
      <c r="AY6">
        <v>0</v>
      </c>
      <c r="AZ6">
        <v>15958.877</v>
      </c>
      <c r="BA6">
        <v>3.6619999999999999</v>
      </c>
      <c r="BB6">
        <v>0.41299999999999998</v>
      </c>
      <c r="BC6">
        <v>23691.18</v>
      </c>
      <c r="BD6">
        <v>10.843</v>
      </c>
      <c r="BE6">
        <v>29.63</v>
      </c>
      <c r="BF6">
        <v>115.74</v>
      </c>
      <c r="BG6">
        <v>177625.11900000001</v>
      </c>
      <c r="BH6">
        <v>-188381.39</v>
      </c>
      <c r="BI6">
        <v>714042.12800000003</v>
      </c>
    </row>
    <row r="7" spans="1:61" x14ac:dyDescent="0.25">
      <c r="A7" t="s">
        <v>83</v>
      </c>
      <c r="B7">
        <v>21.135999999999999</v>
      </c>
      <c r="C7">
        <v>0.53300000000000003</v>
      </c>
      <c r="D7">
        <v>0.107</v>
      </c>
      <c r="E7">
        <v>46.164999999999999</v>
      </c>
      <c r="F7">
        <v>391.47399999999999</v>
      </c>
      <c r="G7">
        <v>873.27599999999995</v>
      </c>
      <c r="H7">
        <v>175.26599999999999</v>
      </c>
      <c r="I7">
        <v>58.338999999999999</v>
      </c>
      <c r="J7">
        <v>87.68</v>
      </c>
      <c r="K7">
        <v>4.093</v>
      </c>
      <c r="L7">
        <v>3.2909999999999999</v>
      </c>
      <c r="M7">
        <v>8.0370000000000008</v>
      </c>
      <c r="N7">
        <v>445.07100000000003</v>
      </c>
      <c r="O7">
        <v>517.91999999999996</v>
      </c>
      <c r="P7">
        <v>11.419</v>
      </c>
      <c r="Q7">
        <v>21.192</v>
      </c>
      <c r="R7">
        <v>691.06299999999999</v>
      </c>
      <c r="S7">
        <v>8228.6010000000006</v>
      </c>
      <c r="T7">
        <v>11291.735000000001</v>
      </c>
      <c r="U7">
        <v>586.57299999999998</v>
      </c>
      <c r="V7">
        <v>34.598999999999997</v>
      </c>
      <c r="W7">
        <v>72.131</v>
      </c>
      <c r="X7">
        <v>130.60499999999999</v>
      </c>
      <c r="Y7">
        <v>156.905</v>
      </c>
      <c r="Z7">
        <v>3.4529999999999998</v>
      </c>
      <c r="AA7">
        <v>35.249000000000002</v>
      </c>
      <c r="AB7">
        <v>67.325999999999993</v>
      </c>
      <c r="AC7">
        <v>303.58999999999997</v>
      </c>
      <c r="AD7">
        <v>21.123999999999999</v>
      </c>
      <c r="AE7">
        <v>1234.9639999999999</v>
      </c>
      <c r="AF7">
        <v>91.334000000000003</v>
      </c>
      <c r="AG7">
        <v>17.811</v>
      </c>
      <c r="AH7">
        <v>0.48499999999999999</v>
      </c>
      <c r="AI7">
        <v>1.429</v>
      </c>
      <c r="AJ7">
        <v>9.1010000000000009</v>
      </c>
      <c r="AK7">
        <v>1.014</v>
      </c>
      <c r="AL7">
        <v>31.867000000000001</v>
      </c>
      <c r="AM7">
        <v>6.1109999999999998</v>
      </c>
      <c r="AN7">
        <v>8.343</v>
      </c>
      <c r="AO7">
        <v>9.8279999999999994</v>
      </c>
      <c r="AP7">
        <v>21.693000000000001</v>
      </c>
      <c r="AQ7">
        <v>190.596</v>
      </c>
      <c r="AR7">
        <v>66.025000000000006</v>
      </c>
      <c r="AS7">
        <v>30.670999999999999</v>
      </c>
      <c r="AT7">
        <v>105.289</v>
      </c>
      <c r="AU7">
        <v>21.494</v>
      </c>
      <c r="AV7">
        <v>30.898</v>
      </c>
      <c r="AW7">
        <v>5.3040000000000003</v>
      </c>
      <c r="AX7">
        <v>21.158999999999999</v>
      </c>
      <c r="AY7">
        <v>0</v>
      </c>
      <c r="AZ7">
        <v>18.254999999999999</v>
      </c>
      <c r="BA7">
        <v>0.442</v>
      </c>
      <c r="BB7">
        <v>0.14899999999999999</v>
      </c>
      <c r="BC7">
        <v>2085.3980000000001</v>
      </c>
      <c r="BD7">
        <v>0.90900000000000003</v>
      </c>
      <c r="BE7">
        <v>12.042999999999999</v>
      </c>
      <c r="BF7">
        <v>7.0000000000000001E-3</v>
      </c>
      <c r="BG7">
        <v>9919.6640000000007</v>
      </c>
      <c r="BH7">
        <v>-3762.4059999999999</v>
      </c>
      <c r="BI7">
        <v>34467.828000000001</v>
      </c>
    </row>
    <row r="8" spans="1:61" x14ac:dyDescent="0.25">
      <c r="A8" t="s">
        <v>84</v>
      </c>
      <c r="B8">
        <v>657.84799999999996</v>
      </c>
      <c r="C8">
        <v>11.285</v>
      </c>
      <c r="D8">
        <v>3.0640000000000001</v>
      </c>
      <c r="E8">
        <v>78.102999999999994</v>
      </c>
      <c r="F8">
        <v>1284.8309999999999</v>
      </c>
      <c r="G8">
        <v>160.47999999999999</v>
      </c>
      <c r="H8">
        <v>1619.92</v>
      </c>
      <c r="I8">
        <v>145.08099999999999</v>
      </c>
      <c r="J8">
        <v>641.96100000000001</v>
      </c>
      <c r="K8">
        <v>43.045999999999999</v>
      </c>
      <c r="L8">
        <v>26.571999999999999</v>
      </c>
      <c r="M8">
        <v>262.97699999999998</v>
      </c>
      <c r="N8">
        <v>957.26300000000003</v>
      </c>
      <c r="O8">
        <v>2588.614</v>
      </c>
      <c r="P8">
        <v>100.173</v>
      </c>
      <c r="Q8">
        <v>341.82900000000001</v>
      </c>
      <c r="R8">
        <v>10621.361999999999</v>
      </c>
      <c r="S8">
        <v>1700.2159999999999</v>
      </c>
      <c r="T8">
        <v>655.11599999999999</v>
      </c>
      <c r="U8">
        <v>196.93600000000001</v>
      </c>
      <c r="V8">
        <v>29.023</v>
      </c>
      <c r="W8">
        <v>47.667999999999999</v>
      </c>
      <c r="X8">
        <v>90.372</v>
      </c>
      <c r="Y8">
        <v>114.291</v>
      </c>
      <c r="Z8">
        <v>5.0869999999999997</v>
      </c>
      <c r="AA8">
        <v>21.408999999999999</v>
      </c>
      <c r="AB8">
        <v>174.77799999999999</v>
      </c>
      <c r="AC8">
        <v>779.71299999999997</v>
      </c>
      <c r="AD8">
        <v>133.34</v>
      </c>
      <c r="AE8">
        <v>20343.021000000001</v>
      </c>
      <c r="AF8">
        <v>315.39</v>
      </c>
      <c r="AG8">
        <v>58.430999999999997</v>
      </c>
      <c r="AH8">
        <v>4.1509999999999998</v>
      </c>
      <c r="AI8">
        <v>2.464</v>
      </c>
      <c r="AJ8">
        <v>33.276000000000003</v>
      </c>
      <c r="AK8">
        <v>2.734</v>
      </c>
      <c r="AL8">
        <v>155.17099999999999</v>
      </c>
      <c r="AM8">
        <v>23.324999999999999</v>
      </c>
      <c r="AN8">
        <v>19.451000000000001</v>
      </c>
      <c r="AO8">
        <v>9.8239999999999998</v>
      </c>
      <c r="AP8">
        <v>30.602</v>
      </c>
      <c r="AQ8">
        <v>1663.7270000000001</v>
      </c>
      <c r="AR8">
        <v>163.81899999999999</v>
      </c>
      <c r="AS8">
        <v>492.267</v>
      </c>
      <c r="AT8">
        <v>1005.297</v>
      </c>
      <c r="AU8">
        <v>99.174999999999997</v>
      </c>
      <c r="AV8">
        <v>215.87899999999999</v>
      </c>
      <c r="AW8">
        <v>21.187000000000001</v>
      </c>
      <c r="AX8">
        <v>74.716999999999999</v>
      </c>
      <c r="AY8">
        <v>0</v>
      </c>
      <c r="AZ8">
        <v>835.75099999999998</v>
      </c>
      <c r="BA8">
        <v>1.2709999999999999</v>
      </c>
      <c r="BB8">
        <v>8.6999999999999994E-2</v>
      </c>
      <c r="BC8">
        <v>7637.6149999999998</v>
      </c>
      <c r="BD8">
        <v>3.524</v>
      </c>
      <c r="BE8">
        <v>11.454000000000001</v>
      </c>
      <c r="BF8">
        <v>1.3169999999999999</v>
      </c>
      <c r="BG8">
        <v>2273.556</v>
      </c>
      <c r="BH8">
        <v>-6083.5959999999995</v>
      </c>
      <c r="BI8">
        <v>52907.245000000003</v>
      </c>
    </row>
    <row r="9" spans="1:61" x14ac:dyDescent="0.25">
      <c r="A9" t="s">
        <v>85</v>
      </c>
      <c r="B9">
        <v>55.881999999999998</v>
      </c>
      <c r="C9">
        <v>3.645</v>
      </c>
      <c r="D9">
        <v>2.903</v>
      </c>
      <c r="E9">
        <v>134.428</v>
      </c>
      <c r="F9">
        <v>12123.063</v>
      </c>
      <c r="G9">
        <v>123.964</v>
      </c>
      <c r="H9">
        <v>308.36399999999998</v>
      </c>
      <c r="I9">
        <v>687.27200000000005</v>
      </c>
      <c r="J9">
        <v>69.293000000000006</v>
      </c>
      <c r="K9">
        <v>2.968</v>
      </c>
      <c r="L9">
        <v>10.614000000000001</v>
      </c>
      <c r="M9">
        <v>36.926000000000002</v>
      </c>
      <c r="N9">
        <v>877.19600000000003</v>
      </c>
      <c r="O9">
        <v>46.042000000000002</v>
      </c>
      <c r="P9">
        <v>7.3159999999999998</v>
      </c>
      <c r="Q9">
        <v>25.535</v>
      </c>
      <c r="R9">
        <v>197.43700000000001</v>
      </c>
      <c r="S9">
        <v>66.587999999999994</v>
      </c>
      <c r="T9">
        <v>43.762999999999998</v>
      </c>
      <c r="U9">
        <v>120.43</v>
      </c>
      <c r="V9">
        <v>12.298</v>
      </c>
      <c r="W9">
        <v>12.56</v>
      </c>
      <c r="X9">
        <v>81.173000000000002</v>
      </c>
      <c r="Y9">
        <v>95.852000000000004</v>
      </c>
      <c r="Z9">
        <v>5.5049999999999999</v>
      </c>
      <c r="AA9">
        <v>27.148</v>
      </c>
      <c r="AB9">
        <v>26.295999999999999</v>
      </c>
      <c r="AC9">
        <v>371.08300000000003</v>
      </c>
      <c r="AD9">
        <v>19.824000000000002</v>
      </c>
      <c r="AE9">
        <v>1911.021</v>
      </c>
      <c r="AF9">
        <v>234.33699999999999</v>
      </c>
      <c r="AG9">
        <v>54.741</v>
      </c>
      <c r="AH9">
        <v>3.407</v>
      </c>
      <c r="AI9">
        <v>7.8540000000000001</v>
      </c>
      <c r="AJ9">
        <v>40.488999999999997</v>
      </c>
      <c r="AK9">
        <v>7.2389999999999999</v>
      </c>
      <c r="AL9">
        <v>69.438000000000002</v>
      </c>
      <c r="AM9">
        <v>22.666</v>
      </c>
      <c r="AN9">
        <v>40.65</v>
      </c>
      <c r="AO9">
        <v>15.644</v>
      </c>
      <c r="AP9">
        <v>64.399000000000001</v>
      </c>
      <c r="AQ9">
        <v>1231.444</v>
      </c>
      <c r="AR9">
        <v>156.05699999999999</v>
      </c>
      <c r="AS9">
        <v>63.82</v>
      </c>
      <c r="AT9">
        <v>650.56200000000001</v>
      </c>
      <c r="AU9">
        <v>115.548</v>
      </c>
      <c r="AV9">
        <v>146.81399999999999</v>
      </c>
      <c r="AW9">
        <v>16.077000000000002</v>
      </c>
      <c r="AX9">
        <v>28.731000000000002</v>
      </c>
      <c r="AY9">
        <v>0</v>
      </c>
      <c r="AZ9">
        <v>316.96600000000001</v>
      </c>
      <c r="BA9">
        <v>2.3929999999999998</v>
      </c>
      <c r="BB9">
        <v>0.23899999999999999</v>
      </c>
      <c r="BC9">
        <v>44724.572</v>
      </c>
      <c r="BD9">
        <v>9.3689999999999998</v>
      </c>
      <c r="BE9">
        <v>6.6120000000000001</v>
      </c>
      <c r="BF9">
        <v>0.71599999999999997</v>
      </c>
      <c r="BG9">
        <v>1828.4760000000001</v>
      </c>
      <c r="BH9">
        <v>-3726.442</v>
      </c>
      <c r="BI9">
        <v>63639.207000000002</v>
      </c>
    </row>
    <row r="10" spans="1:61" x14ac:dyDescent="0.25">
      <c r="A10" t="s">
        <v>86</v>
      </c>
      <c r="B10">
        <v>23749.496999999999</v>
      </c>
      <c r="C10">
        <v>21.376999999999999</v>
      </c>
      <c r="D10">
        <v>104.292</v>
      </c>
      <c r="E10">
        <v>7.9409999999999998</v>
      </c>
      <c r="F10">
        <v>139.048</v>
      </c>
      <c r="G10">
        <v>10.164999999999999</v>
      </c>
      <c r="H10">
        <v>19.262</v>
      </c>
      <c r="I10">
        <v>6.9290000000000003</v>
      </c>
      <c r="J10">
        <v>73351.165999999997</v>
      </c>
      <c r="K10">
        <v>164.63300000000001</v>
      </c>
      <c r="L10">
        <v>68.484999999999999</v>
      </c>
      <c r="M10">
        <v>327.96</v>
      </c>
      <c r="N10">
        <v>160.63300000000001</v>
      </c>
      <c r="O10">
        <v>1908.4860000000001</v>
      </c>
      <c r="P10">
        <v>838.38</v>
      </c>
      <c r="Q10">
        <v>376.82799999999997</v>
      </c>
      <c r="R10">
        <v>78.061999999999998</v>
      </c>
      <c r="S10">
        <v>47.314</v>
      </c>
      <c r="T10">
        <v>38.912999999999997</v>
      </c>
      <c r="U10">
        <v>121.907</v>
      </c>
      <c r="V10">
        <v>67.322999999999993</v>
      </c>
      <c r="W10">
        <v>40.203000000000003</v>
      </c>
      <c r="X10">
        <v>128.333</v>
      </c>
      <c r="Y10">
        <v>179.42</v>
      </c>
      <c r="Z10">
        <v>9.7759999999999998</v>
      </c>
      <c r="AA10">
        <v>68.081000000000003</v>
      </c>
      <c r="AB10">
        <v>169.90100000000001</v>
      </c>
      <c r="AC10">
        <v>71.938999999999993</v>
      </c>
      <c r="AD10">
        <v>77.558999999999997</v>
      </c>
      <c r="AE10">
        <v>463.24700000000001</v>
      </c>
      <c r="AF10">
        <v>8331.5509999999995</v>
      </c>
      <c r="AG10">
        <v>193.76400000000001</v>
      </c>
      <c r="AH10">
        <v>66.606999999999999</v>
      </c>
      <c r="AI10">
        <v>46.558</v>
      </c>
      <c r="AJ10">
        <v>132.102</v>
      </c>
      <c r="AK10">
        <v>32.533999999999999</v>
      </c>
      <c r="AL10">
        <v>96328.35</v>
      </c>
      <c r="AM10">
        <v>554.37800000000004</v>
      </c>
      <c r="AN10">
        <v>183.999</v>
      </c>
      <c r="AO10">
        <v>288.43799999999999</v>
      </c>
      <c r="AP10">
        <v>469.10399999999998</v>
      </c>
      <c r="AQ10">
        <v>1077.8399999999999</v>
      </c>
      <c r="AR10">
        <v>824.71100000000001</v>
      </c>
      <c r="AS10">
        <v>790.39400000000001</v>
      </c>
      <c r="AT10">
        <v>3978.8870000000002</v>
      </c>
      <c r="AU10">
        <v>3191.1590000000001</v>
      </c>
      <c r="AV10">
        <v>7598.6440000000002</v>
      </c>
      <c r="AW10">
        <v>1038.856</v>
      </c>
      <c r="AX10">
        <v>854.46500000000003</v>
      </c>
      <c r="AY10">
        <v>0</v>
      </c>
      <c r="AZ10">
        <v>968789.27</v>
      </c>
      <c r="BA10">
        <v>984.67200000000003</v>
      </c>
      <c r="BB10">
        <v>3.673</v>
      </c>
      <c r="BC10">
        <v>1049.8869999999999</v>
      </c>
      <c r="BD10">
        <v>448.55599999999998</v>
      </c>
      <c r="BE10">
        <v>4784.0540000000001</v>
      </c>
      <c r="BF10">
        <v>2628.502</v>
      </c>
      <c r="BG10">
        <v>63542.457000000002</v>
      </c>
      <c r="BH10">
        <v>-145888.799</v>
      </c>
      <c r="BI10">
        <v>1125141.6740000001</v>
      </c>
    </row>
    <row r="11" spans="1:61" x14ac:dyDescent="0.25">
      <c r="A11" t="s">
        <v>87</v>
      </c>
      <c r="B11">
        <v>423.68299999999999</v>
      </c>
      <c r="C11">
        <v>12.743</v>
      </c>
      <c r="D11">
        <v>13.901</v>
      </c>
      <c r="E11">
        <v>12.378</v>
      </c>
      <c r="F11">
        <v>188.667</v>
      </c>
      <c r="G11">
        <v>19.021000000000001</v>
      </c>
      <c r="H11">
        <v>15.731999999999999</v>
      </c>
      <c r="I11">
        <v>8.359</v>
      </c>
      <c r="J11">
        <v>397.39100000000002</v>
      </c>
      <c r="K11">
        <v>7337.3670000000002</v>
      </c>
      <c r="L11">
        <v>106.907</v>
      </c>
      <c r="M11">
        <v>763.49800000000005</v>
      </c>
      <c r="N11">
        <v>93.228999999999999</v>
      </c>
      <c r="O11">
        <v>981.66300000000001</v>
      </c>
      <c r="P11">
        <v>201.119</v>
      </c>
      <c r="Q11">
        <v>1050.2940000000001</v>
      </c>
      <c r="R11">
        <v>196.72</v>
      </c>
      <c r="S11">
        <v>47.963000000000001</v>
      </c>
      <c r="T11">
        <v>30.207999999999998</v>
      </c>
      <c r="U11">
        <v>189.43899999999999</v>
      </c>
      <c r="V11">
        <v>83.141000000000005</v>
      </c>
      <c r="W11">
        <v>57.98</v>
      </c>
      <c r="X11">
        <v>199.721</v>
      </c>
      <c r="Y11">
        <v>1639.653</v>
      </c>
      <c r="Z11">
        <v>32.225999999999999</v>
      </c>
      <c r="AA11">
        <v>159.67599999999999</v>
      </c>
      <c r="AB11">
        <v>1657.1279999999999</v>
      </c>
      <c r="AC11">
        <v>45.134999999999998</v>
      </c>
      <c r="AD11">
        <v>62.756</v>
      </c>
      <c r="AE11">
        <v>847.62099999999998</v>
      </c>
      <c r="AF11">
        <v>2868.6880000000001</v>
      </c>
      <c r="AG11">
        <v>93.391999999999996</v>
      </c>
      <c r="AH11">
        <v>7.01</v>
      </c>
      <c r="AI11">
        <v>18.702999999999999</v>
      </c>
      <c r="AJ11">
        <v>66.775000000000006</v>
      </c>
      <c r="AK11">
        <v>36.353000000000002</v>
      </c>
      <c r="AL11">
        <v>1408.6279999999999</v>
      </c>
      <c r="AM11">
        <v>161.29499999999999</v>
      </c>
      <c r="AN11">
        <v>54.847999999999999</v>
      </c>
      <c r="AO11">
        <v>74.25</v>
      </c>
      <c r="AP11">
        <v>156.54</v>
      </c>
      <c r="AQ11">
        <v>447.16500000000002</v>
      </c>
      <c r="AR11">
        <v>727.69500000000005</v>
      </c>
      <c r="AS11">
        <v>997.59100000000001</v>
      </c>
      <c r="AT11">
        <v>2368.7080000000001</v>
      </c>
      <c r="AU11">
        <v>576.60199999999998</v>
      </c>
      <c r="AV11">
        <v>2824.933</v>
      </c>
      <c r="AW11">
        <v>416.88499999999999</v>
      </c>
      <c r="AX11">
        <v>956.03899999999999</v>
      </c>
      <c r="AY11">
        <v>0</v>
      </c>
      <c r="AZ11">
        <v>187948.66099999999</v>
      </c>
      <c r="BA11">
        <v>55.914999999999999</v>
      </c>
      <c r="BB11">
        <v>2.504</v>
      </c>
      <c r="BC11">
        <v>4284.1750000000002</v>
      </c>
      <c r="BD11">
        <v>591.69600000000003</v>
      </c>
      <c r="BE11">
        <v>1847.9829999999999</v>
      </c>
      <c r="BF11">
        <v>370.50200000000001</v>
      </c>
      <c r="BG11">
        <v>14412.892</v>
      </c>
      <c r="BH11">
        <v>-168328.40900000001</v>
      </c>
      <c r="BI11">
        <v>72323.338000000003</v>
      </c>
    </row>
    <row r="12" spans="1:61" x14ac:dyDescent="0.25">
      <c r="A12" t="s">
        <v>88</v>
      </c>
      <c r="B12">
        <v>1370.992</v>
      </c>
      <c r="C12">
        <v>250.22200000000001</v>
      </c>
      <c r="D12">
        <v>6.42</v>
      </c>
      <c r="E12">
        <v>80.037999999999997</v>
      </c>
      <c r="F12">
        <v>413.41699999999997</v>
      </c>
      <c r="G12">
        <v>59.920999999999999</v>
      </c>
      <c r="H12">
        <v>65.010999999999996</v>
      </c>
      <c r="I12">
        <v>21.885000000000002</v>
      </c>
      <c r="J12">
        <v>2620.5259999999998</v>
      </c>
      <c r="K12">
        <v>158.071</v>
      </c>
      <c r="L12">
        <v>35331.089999999997</v>
      </c>
      <c r="M12">
        <v>4414.5469999999996</v>
      </c>
      <c r="N12">
        <v>52.924999999999997</v>
      </c>
      <c r="O12">
        <v>1134.51</v>
      </c>
      <c r="P12">
        <v>180.322</v>
      </c>
      <c r="Q12">
        <v>786.79499999999996</v>
      </c>
      <c r="R12">
        <v>1204.8389999999999</v>
      </c>
      <c r="S12">
        <v>124.72</v>
      </c>
      <c r="T12">
        <v>167.017</v>
      </c>
      <c r="U12">
        <v>1237.4100000000001</v>
      </c>
      <c r="V12">
        <v>204.245</v>
      </c>
      <c r="W12">
        <v>288.45600000000002</v>
      </c>
      <c r="X12">
        <v>728.74</v>
      </c>
      <c r="Y12">
        <v>2710.93</v>
      </c>
      <c r="Z12">
        <v>307.637</v>
      </c>
      <c r="AA12">
        <v>400.221</v>
      </c>
      <c r="AB12">
        <v>16380.022000000001</v>
      </c>
      <c r="AC12">
        <v>545.32000000000005</v>
      </c>
      <c r="AD12">
        <v>131.39699999999999</v>
      </c>
      <c r="AE12">
        <v>56706.307999999997</v>
      </c>
      <c r="AF12">
        <v>7515.6329999999998</v>
      </c>
      <c r="AG12">
        <v>455.58100000000002</v>
      </c>
      <c r="AH12">
        <v>13.071</v>
      </c>
      <c r="AI12">
        <v>30.556999999999999</v>
      </c>
      <c r="AJ12">
        <v>705.15800000000002</v>
      </c>
      <c r="AK12">
        <v>22.385000000000002</v>
      </c>
      <c r="AL12">
        <v>2462.48</v>
      </c>
      <c r="AM12">
        <v>553.07100000000003</v>
      </c>
      <c r="AN12">
        <v>147.40799999999999</v>
      </c>
      <c r="AO12">
        <v>165.69499999999999</v>
      </c>
      <c r="AP12">
        <v>336.02</v>
      </c>
      <c r="AQ12">
        <v>7227.9759999999997</v>
      </c>
      <c r="AR12">
        <v>2783.5340000000001</v>
      </c>
      <c r="AS12">
        <v>1946.8920000000001</v>
      </c>
      <c r="AT12">
        <v>1349.059</v>
      </c>
      <c r="AU12">
        <v>1106.6320000000001</v>
      </c>
      <c r="AV12">
        <v>2128.7049999999999</v>
      </c>
      <c r="AW12">
        <v>417.82400000000001</v>
      </c>
      <c r="AX12">
        <v>2058.027</v>
      </c>
      <c r="AY12">
        <v>0</v>
      </c>
      <c r="AZ12">
        <v>13170.584999999999</v>
      </c>
      <c r="BA12">
        <v>1.262</v>
      </c>
      <c r="BB12">
        <v>13.303000000000001</v>
      </c>
      <c r="BC12">
        <v>23976.196</v>
      </c>
      <c r="BD12">
        <v>2004.7280000000001</v>
      </c>
      <c r="BE12">
        <v>185.78299999999999</v>
      </c>
      <c r="BF12">
        <v>138.72900000000001</v>
      </c>
      <c r="BG12">
        <v>6137.6109999999999</v>
      </c>
      <c r="BH12">
        <v>-32413.007000000001</v>
      </c>
      <c r="BI12">
        <v>172724.85</v>
      </c>
    </row>
    <row r="13" spans="1:61" x14ac:dyDescent="0.25">
      <c r="A13" t="s">
        <v>89</v>
      </c>
      <c r="B13">
        <v>859.99199999999996</v>
      </c>
      <c r="C13">
        <v>19.611000000000001</v>
      </c>
      <c r="D13">
        <v>9.3239999999999998</v>
      </c>
      <c r="E13">
        <v>16.102</v>
      </c>
      <c r="F13">
        <v>541.07600000000002</v>
      </c>
      <c r="G13">
        <v>43.628999999999998</v>
      </c>
      <c r="H13">
        <v>32.552</v>
      </c>
      <c r="I13">
        <v>19.372</v>
      </c>
      <c r="J13">
        <v>15327.946</v>
      </c>
      <c r="K13">
        <v>562.34699999999998</v>
      </c>
      <c r="L13">
        <v>773.94299999999998</v>
      </c>
      <c r="M13">
        <v>51164.288999999997</v>
      </c>
      <c r="N13">
        <v>178.81200000000001</v>
      </c>
      <c r="O13">
        <v>1875.671</v>
      </c>
      <c r="P13">
        <v>2136.6149999999998</v>
      </c>
      <c r="Q13">
        <v>1634.0070000000001</v>
      </c>
      <c r="R13">
        <v>1226.7909999999999</v>
      </c>
      <c r="S13">
        <v>164.81899999999999</v>
      </c>
      <c r="T13">
        <v>175.34700000000001</v>
      </c>
      <c r="U13">
        <v>1127.231</v>
      </c>
      <c r="V13">
        <v>562.90599999999995</v>
      </c>
      <c r="W13">
        <v>430.81</v>
      </c>
      <c r="X13">
        <v>1086.086</v>
      </c>
      <c r="Y13">
        <v>1628.998</v>
      </c>
      <c r="Z13">
        <v>39.774999999999999</v>
      </c>
      <c r="AA13">
        <v>395.315</v>
      </c>
      <c r="AB13">
        <v>1772.799</v>
      </c>
      <c r="AC13">
        <v>338.53300000000002</v>
      </c>
      <c r="AD13">
        <v>261.24799999999999</v>
      </c>
      <c r="AE13">
        <v>2434.654</v>
      </c>
      <c r="AF13">
        <v>21436.153999999999</v>
      </c>
      <c r="AG13">
        <v>736.798</v>
      </c>
      <c r="AH13">
        <v>64.025000000000006</v>
      </c>
      <c r="AI13">
        <v>95.046999999999997</v>
      </c>
      <c r="AJ13">
        <v>637.625</v>
      </c>
      <c r="AK13">
        <v>617.28800000000001</v>
      </c>
      <c r="AL13">
        <v>4624.9979999999996</v>
      </c>
      <c r="AM13">
        <v>26113.503000000001</v>
      </c>
      <c r="AN13">
        <v>1820.5029999999999</v>
      </c>
      <c r="AO13">
        <v>4495.7820000000002</v>
      </c>
      <c r="AP13">
        <v>10753.951999999999</v>
      </c>
      <c r="AQ13">
        <v>3422.1219999999998</v>
      </c>
      <c r="AR13">
        <v>12625.146000000001</v>
      </c>
      <c r="AS13">
        <v>10049.4</v>
      </c>
      <c r="AT13">
        <v>19370.123</v>
      </c>
      <c r="AU13">
        <v>12128.673000000001</v>
      </c>
      <c r="AV13">
        <v>11480.726000000001</v>
      </c>
      <c r="AW13">
        <v>1600.0429999999999</v>
      </c>
      <c r="AX13">
        <v>3824.6529999999998</v>
      </c>
      <c r="AY13">
        <v>0</v>
      </c>
      <c r="AZ13">
        <v>62578.521999999997</v>
      </c>
      <c r="BA13">
        <v>6.2750000000000004</v>
      </c>
      <c r="BB13">
        <v>9.3140000000000001</v>
      </c>
      <c r="BC13">
        <v>1503.2909999999999</v>
      </c>
      <c r="BD13">
        <v>122.61799999999999</v>
      </c>
      <c r="BE13">
        <v>609.33000000000004</v>
      </c>
      <c r="BF13">
        <v>542.30600000000004</v>
      </c>
      <c r="BG13">
        <v>25795.812000000002</v>
      </c>
      <c r="BH13">
        <v>-32256.013999999999</v>
      </c>
      <c r="BI13">
        <v>291648.61800000002</v>
      </c>
    </row>
    <row r="14" spans="1:61" x14ac:dyDescent="0.25">
      <c r="A14" t="s">
        <v>90</v>
      </c>
      <c r="B14">
        <v>18880.967000000001</v>
      </c>
      <c r="C14">
        <v>1075.67</v>
      </c>
      <c r="D14">
        <v>442.77100000000002</v>
      </c>
      <c r="E14">
        <v>1003.4690000000001</v>
      </c>
      <c r="F14">
        <v>14180.75</v>
      </c>
      <c r="G14">
        <v>1733.1679999999999</v>
      </c>
      <c r="H14">
        <v>1658.855</v>
      </c>
      <c r="I14">
        <v>982.89099999999996</v>
      </c>
      <c r="J14">
        <v>12056.271000000001</v>
      </c>
      <c r="K14">
        <v>800.58299999999997</v>
      </c>
      <c r="L14">
        <v>2071.0880000000002</v>
      </c>
      <c r="M14">
        <v>3917.3719999999998</v>
      </c>
      <c r="N14">
        <v>50623.341</v>
      </c>
      <c r="O14">
        <v>33416.160000000003</v>
      </c>
      <c r="P14">
        <v>2196.087</v>
      </c>
      <c r="Q14">
        <v>5031.45</v>
      </c>
      <c r="R14">
        <v>4540.25</v>
      </c>
      <c r="S14">
        <v>5811.7830000000004</v>
      </c>
      <c r="T14">
        <v>1555.2909999999999</v>
      </c>
      <c r="U14">
        <v>2732.0569999999998</v>
      </c>
      <c r="V14">
        <v>547.27599999999995</v>
      </c>
      <c r="W14">
        <v>1067.2460000000001</v>
      </c>
      <c r="X14">
        <v>1951.0409999999999</v>
      </c>
      <c r="Y14">
        <v>5691.009</v>
      </c>
      <c r="Z14">
        <v>143.69800000000001</v>
      </c>
      <c r="AA14">
        <v>919.14599999999996</v>
      </c>
      <c r="AB14">
        <v>2395.1489999999999</v>
      </c>
      <c r="AC14">
        <v>18336.156999999999</v>
      </c>
      <c r="AD14">
        <v>3791.7220000000002</v>
      </c>
      <c r="AE14">
        <v>24550.46</v>
      </c>
      <c r="AF14">
        <v>70445.985000000001</v>
      </c>
      <c r="AG14">
        <v>91732.472999999998</v>
      </c>
      <c r="AH14">
        <v>9336.0759999999991</v>
      </c>
      <c r="AI14">
        <v>35815.629999999997</v>
      </c>
      <c r="AJ14">
        <v>10061.641</v>
      </c>
      <c r="AK14">
        <v>3205.2339999999999</v>
      </c>
      <c r="AL14">
        <v>10769.028</v>
      </c>
      <c r="AM14">
        <v>2880.0329999999999</v>
      </c>
      <c r="AN14">
        <v>2887.3229999999999</v>
      </c>
      <c r="AO14">
        <v>3566.6750000000002</v>
      </c>
      <c r="AP14">
        <v>10978.578</v>
      </c>
      <c r="AQ14">
        <v>9663.7749999999996</v>
      </c>
      <c r="AR14">
        <v>14560.748</v>
      </c>
      <c r="AS14">
        <v>19093.436000000002</v>
      </c>
      <c r="AT14">
        <v>52970.665000000001</v>
      </c>
      <c r="AU14">
        <v>9819.3860000000004</v>
      </c>
      <c r="AV14">
        <v>20134.588</v>
      </c>
      <c r="AW14">
        <v>2733.415</v>
      </c>
      <c r="AX14">
        <v>6876.7290000000003</v>
      </c>
      <c r="AY14">
        <v>0</v>
      </c>
      <c r="AZ14">
        <v>224441.465</v>
      </c>
      <c r="BA14">
        <v>39.838000000000001</v>
      </c>
      <c r="BB14">
        <v>2.6320000000000001</v>
      </c>
      <c r="BC14">
        <v>1203.289</v>
      </c>
      <c r="BD14">
        <v>698.76099999999997</v>
      </c>
      <c r="BE14">
        <v>942.66300000000001</v>
      </c>
      <c r="BF14">
        <v>1527.212</v>
      </c>
      <c r="BG14">
        <v>128511.31299999999</v>
      </c>
      <c r="BH14">
        <v>-87903.112999999998</v>
      </c>
      <c r="BI14">
        <v>881098.65500000003</v>
      </c>
    </row>
    <row r="15" spans="1:61" x14ac:dyDescent="0.25">
      <c r="A15" t="s">
        <v>91</v>
      </c>
      <c r="B15">
        <v>41043.896999999997</v>
      </c>
      <c r="C15">
        <v>162.57900000000001</v>
      </c>
      <c r="D15">
        <v>33.893000000000001</v>
      </c>
      <c r="E15">
        <v>438.07100000000003</v>
      </c>
      <c r="F15">
        <v>5444.4970000000003</v>
      </c>
      <c r="G15">
        <v>845.67899999999997</v>
      </c>
      <c r="H15">
        <v>805.92100000000005</v>
      </c>
      <c r="I15">
        <v>313.68700000000001</v>
      </c>
      <c r="J15">
        <v>14636.553</v>
      </c>
      <c r="K15">
        <v>6038.723</v>
      </c>
      <c r="L15">
        <v>4306.1729999999998</v>
      </c>
      <c r="M15">
        <v>14427.173000000001</v>
      </c>
      <c r="N15">
        <v>9899.5679999999993</v>
      </c>
      <c r="O15">
        <v>108012.79700000001</v>
      </c>
      <c r="P15">
        <v>16207.235000000001</v>
      </c>
      <c r="Q15">
        <v>60101.81</v>
      </c>
      <c r="R15">
        <v>5944.5010000000002</v>
      </c>
      <c r="S15">
        <v>1896.454</v>
      </c>
      <c r="T15">
        <v>1689.857</v>
      </c>
      <c r="U15">
        <v>5400.3530000000001</v>
      </c>
      <c r="V15">
        <v>2889.1080000000002</v>
      </c>
      <c r="W15">
        <v>2413.6909999999998</v>
      </c>
      <c r="X15">
        <v>3762.8670000000002</v>
      </c>
      <c r="Y15">
        <v>11824.421</v>
      </c>
      <c r="Z15">
        <v>541.38699999999994</v>
      </c>
      <c r="AA15">
        <v>1642.7380000000001</v>
      </c>
      <c r="AB15">
        <v>7251.3090000000002</v>
      </c>
      <c r="AC15">
        <v>1251.327</v>
      </c>
      <c r="AD15">
        <v>2269.4839999999999</v>
      </c>
      <c r="AE15">
        <v>16103.591</v>
      </c>
      <c r="AF15">
        <v>12992.512000000001</v>
      </c>
      <c r="AG15">
        <v>2839.3130000000001</v>
      </c>
      <c r="AH15">
        <v>277.79700000000003</v>
      </c>
      <c r="AI15">
        <v>930.94299999999998</v>
      </c>
      <c r="AJ15">
        <v>1169.173</v>
      </c>
      <c r="AK15">
        <v>145.36000000000001</v>
      </c>
      <c r="AL15">
        <v>7424.7719999999999</v>
      </c>
      <c r="AM15">
        <v>4124.9070000000002</v>
      </c>
      <c r="AN15">
        <v>312.66300000000001</v>
      </c>
      <c r="AO15">
        <v>1323.1279999999999</v>
      </c>
      <c r="AP15">
        <v>1198.396</v>
      </c>
      <c r="AQ15">
        <v>8926.7330000000002</v>
      </c>
      <c r="AR15">
        <v>12721.694</v>
      </c>
      <c r="AS15">
        <v>9685.5830000000005</v>
      </c>
      <c r="AT15">
        <v>8061.4880000000003</v>
      </c>
      <c r="AU15">
        <v>5205.3059999999996</v>
      </c>
      <c r="AV15">
        <v>32254.053</v>
      </c>
      <c r="AW15">
        <v>1201.0160000000001</v>
      </c>
      <c r="AX15">
        <v>8737.0640000000003</v>
      </c>
      <c r="AY15">
        <v>0</v>
      </c>
      <c r="AZ15">
        <v>178995.791</v>
      </c>
      <c r="BA15">
        <v>105.756</v>
      </c>
      <c r="BB15">
        <v>7.3769999999999998</v>
      </c>
      <c r="BC15">
        <v>6263.7129999999997</v>
      </c>
      <c r="BD15">
        <v>584.77800000000002</v>
      </c>
      <c r="BE15">
        <v>393.78699999999998</v>
      </c>
      <c r="BF15">
        <v>597.49900000000002</v>
      </c>
      <c r="BG15">
        <v>124289.89200000001</v>
      </c>
      <c r="BH15">
        <v>-140620.99600000001</v>
      </c>
      <c r="BI15">
        <v>637748.84400000004</v>
      </c>
    </row>
    <row r="16" spans="1:61" x14ac:dyDescent="0.25">
      <c r="A16" t="s">
        <v>92</v>
      </c>
      <c r="B16">
        <v>2723.098</v>
      </c>
      <c r="C16">
        <v>13.066000000000001</v>
      </c>
      <c r="D16">
        <v>4.4980000000000002</v>
      </c>
      <c r="E16">
        <v>30.817</v>
      </c>
      <c r="F16">
        <v>439.21199999999999</v>
      </c>
      <c r="G16">
        <v>56.670999999999999</v>
      </c>
      <c r="H16">
        <v>46.03</v>
      </c>
      <c r="I16">
        <v>22.34</v>
      </c>
      <c r="J16">
        <v>1702.7460000000001</v>
      </c>
      <c r="K16">
        <v>295.95499999999998</v>
      </c>
      <c r="L16">
        <v>271.363</v>
      </c>
      <c r="M16">
        <v>749.38699999999994</v>
      </c>
      <c r="N16">
        <v>553.18700000000001</v>
      </c>
      <c r="O16">
        <v>4891.8580000000002</v>
      </c>
      <c r="P16">
        <v>10582.433000000001</v>
      </c>
      <c r="Q16">
        <v>2659.7950000000001</v>
      </c>
      <c r="R16">
        <v>331.46100000000001</v>
      </c>
      <c r="S16">
        <v>184.33699999999999</v>
      </c>
      <c r="T16">
        <v>115.992</v>
      </c>
      <c r="U16">
        <v>435.27699999999999</v>
      </c>
      <c r="V16">
        <v>316.98700000000002</v>
      </c>
      <c r="W16">
        <v>168.10300000000001</v>
      </c>
      <c r="X16">
        <v>433.17700000000002</v>
      </c>
      <c r="Y16">
        <v>855.31600000000003</v>
      </c>
      <c r="Z16">
        <v>42.27</v>
      </c>
      <c r="AA16">
        <v>238.80500000000001</v>
      </c>
      <c r="AB16">
        <v>478.899</v>
      </c>
      <c r="AC16">
        <v>136.95699999999999</v>
      </c>
      <c r="AD16">
        <v>159.08699999999999</v>
      </c>
      <c r="AE16">
        <v>1413.297</v>
      </c>
      <c r="AF16">
        <v>1952.7270000000001</v>
      </c>
      <c r="AG16">
        <v>289.928</v>
      </c>
      <c r="AH16">
        <v>26.984000000000002</v>
      </c>
      <c r="AI16">
        <v>87.216999999999999</v>
      </c>
      <c r="AJ16">
        <v>96.423000000000002</v>
      </c>
      <c r="AK16">
        <v>20.785</v>
      </c>
      <c r="AL16">
        <v>616.16399999999999</v>
      </c>
      <c r="AM16">
        <v>357.34</v>
      </c>
      <c r="AN16">
        <v>169.964</v>
      </c>
      <c r="AO16">
        <v>334.11900000000003</v>
      </c>
      <c r="AP16">
        <v>224.77500000000001</v>
      </c>
      <c r="AQ16">
        <v>606.57799999999997</v>
      </c>
      <c r="AR16">
        <v>3871.6529999999998</v>
      </c>
      <c r="AS16">
        <v>639.94600000000003</v>
      </c>
      <c r="AT16">
        <v>3831.3719999999998</v>
      </c>
      <c r="AU16">
        <v>802.14599999999996</v>
      </c>
      <c r="AV16">
        <v>64412.474999999999</v>
      </c>
      <c r="AW16">
        <v>210.02099999999999</v>
      </c>
      <c r="AX16">
        <v>711.096</v>
      </c>
      <c r="AY16">
        <v>0</v>
      </c>
      <c r="AZ16">
        <v>301992.772</v>
      </c>
      <c r="BA16">
        <v>229.21199999999999</v>
      </c>
      <c r="BB16">
        <v>8.2669999999999995</v>
      </c>
      <c r="BC16">
        <v>35980.947999999997</v>
      </c>
      <c r="BD16">
        <v>472.70600000000002</v>
      </c>
      <c r="BE16">
        <v>267.541</v>
      </c>
      <c r="BF16">
        <v>309.26400000000001</v>
      </c>
      <c r="BG16">
        <v>56665.652999999998</v>
      </c>
      <c r="BH16">
        <v>-145051.111</v>
      </c>
      <c r="BI16">
        <v>360489.386</v>
      </c>
    </row>
    <row r="17" spans="1:61" x14ac:dyDescent="0.25">
      <c r="A17" t="s">
        <v>93</v>
      </c>
      <c r="B17">
        <v>4036.6129999999998</v>
      </c>
      <c r="C17">
        <v>98.394000000000005</v>
      </c>
      <c r="D17">
        <v>27.766999999999999</v>
      </c>
      <c r="E17">
        <v>220.71299999999999</v>
      </c>
      <c r="F17">
        <v>3102.6089999999999</v>
      </c>
      <c r="G17">
        <v>211.654</v>
      </c>
      <c r="H17">
        <v>205.92</v>
      </c>
      <c r="I17">
        <v>93.067999999999998</v>
      </c>
      <c r="J17">
        <v>25704.024000000001</v>
      </c>
      <c r="K17">
        <v>1433.346</v>
      </c>
      <c r="L17">
        <v>1463.9690000000001</v>
      </c>
      <c r="M17">
        <v>5860.5550000000003</v>
      </c>
      <c r="N17">
        <v>607.71100000000001</v>
      </c>
      <c r="O17">
        <v>6763.7879999999996</v>
      </c>
      <c r="P17">
        <v>4573.9849999999997</v>
      </c>
      <c r="Q17">
        <v>33281.432999999997</v>
      </c>
      <c r="R17">
        <v>1688.232</v>
      </c>
      <c r="S17">
        <v>405.15899999999999</v>
      </c>
      <c r="T17">
        <v>561.59100000000001</v>
      </c>
      <c r="U17">
        <v>4576.0249999999996</v>
      </c>
      <c r="V17">
        <v>3282.5729999999999</v>
      </c>
      <c r="W17">
        <v>3501.7979999999998</v>
      </c>
      <c r="X17">
        <v>7505.95</v>
      </c>
      <c r="Y17">
        <v>32779.131000000001</v>
      </c>
      <c r="Z17">
        <v>286.42599999999999</v>
      </c>
      <c r="AA17">
        <v>4010.8009999999999</v>
      </c>
      <c r="AB17">
        <v>6108.5429999999997</v>
      </c>
      <c r="AC17">
        <v>360.73500000000001</v>
      </c>
      <c r="AD17">
        <v>1202.923</v>
      </c>
      <c r="AE17">
        <v>31786.685000000001</v>
      </c>
      <c r="AF17">
        <v>40855.997000000003</v>
      </c>
      <c r="AG17">
        <v>6389.47</v>
      </c>
      <c r="AH17">
        <v>119.842</v>
      </c>
      <c r="AI17">
        <v>171.315</v>
      </c>
      <c r="AJ17">
        <v>1163.0550000000001</v>
      </c>
      <c r="AK17">
        <v>258.40800000000002</v>
      </c>
      <c r="AL17">
        <v>3902.547</v>
      </c>
      <c r="AM17">
        <v>1559.1990000000001</v>
      </c>
      <c r="AN17">
        <v>660.38900000000001</v>
      </c>
      <c r="AO17">
        <v>575.69500000000005</v>
      </c>
      <c r="AP17">
        <v>1608.9690000000001</v>
      </c>
      <c r="AQ17">
        <v>6937.0069999999996</v>
      </c>
      <c r="AR17">
        <v>5270.9870000000001</v>
      </c>
      <c r="AS17">
        <v>6369.3639999999996</v>
      </c>
      <c r="AT17">
        <v>4727.509</v>
      </c>
      <c r="AU17">
        <v>2602.0300000000002</v>
      </c>
      <c r="AV17">
        <v>8169.0829999999996</v>
      </c>
      <c r="AW17">
        <v>748.13800000000003</v>
      </c>
      <c r="AX17">
        <v>1960.829</v>
      </c>
      <c r="AY17">
        <v>0</v>
      </c>
      <c r="AZ17">
        <v>77485.129000000001</v>
      </c>
      <c r="BA17">
        <v>3.1080000000000001</v>
      </c>
      <c r="BB17">
        <v>15.452999999999999</v>
      </c>
      <c r="BC17">
        <v>5501.1030000000001</v>
      </c>
      <c r="BD17">
        <v>487.24299999999999</v>
      </c>
      <c r="BE17">
        <v>59.03</v>
      </c>
      <c r="BF17">
        <v>20.102</v>
      </c>
      <c r="BG17">
        <v>27434.314999999999</v>
      </c>
      <c r="BH17">
        <v>-87139.551999999996</v>
      </c>
      <c r="BI17">
        <v>303657.886</v>
      </c>
    </row>
    <row r="18" spans="1:61" x14ac:dyDescent="0.25">
      <c r="A18" t="s">
        <v>94</v>
      </c>
      <c r="B18">
        <v>1193.4159999999999</v>
      </c>
      <c r="C18">
        <v>26.673999999999999</v>
      </c>
      <c r="D18">
        <v>2.3860000000000001</v>
      </c>
      <c r="E18">
        <v>45.262</v>
      </c>
      <c r="F18">
        <v>1386.0540000000001</v>
      </c>
      <c r="G18">
        <v>193.56100000000001</v>
      </c>
      <c r="H18">
        <v>241.96700000000001</v>
      </c>
      <c r="I18">
        <v>47.837000000000003</v>
      </c>
      <c r="J18">
        <v>4499.598</v>
      </c>
      <c r="K18">
        <v>98.475999999999999</v>
      </c>
      <c r="L18">
        <v>621.91800000000001</v>
      </c>
      <c r="M18">
        <v>164.36500000000001</v>
      </c>
      <c r="N18">
        <v>219.91399999999999</v>
      </c>
      <c r="O18">
        <v>1269.096</v>
      </c>
      <c r="P18">
        <v>936.60199999999998</v>
      </c>
      <c r="Q18">
        <v>1500.953</v>
      </c>
      <c r="R18">
        <v>17029.310000000001</v>
      </c>
      <c r="S18">
        <v>1423.2719999999999</v>
      </c>
      <c r="T18">
        <v>433.52499999999998</v>
      </c>
      <c r="U18">
        <v>1480.0070000000001</v>
      </c>
      <c r="V18">
        <v>925.60400000000004</v>
      </c>
      <c r="W18">
        <v>674.16</v>
      </c>
      <c r="X18">
        <v>978.94799999999998</v>
      </c>
      <c r="Y18">
        <v>4301.2759999999998</v>
      </c>
      <c r="Z18">
        <v>134.578</v>
      </c>
      <c r="AA18">
        <v>388.87</v>
      </c>
      <c r="AB18">
        <v>1041.5260000000001</v>
      </c>
      <c r="AC18">
        <v>357.03399999999999</v>
      </c>
      <c r="AD18">
        <v>283.67200000000003</v>
      </c>
      <c r="AE18">
        <v>109929.792</v>
      </c>
      <c r="AF18">
        <v>4009.683</v>
      </c>
      <c r="AG18">
        <v>373.51400000000001</v>
      </c>
      <c r="AH18">
        <v>62.307000000000002</v>
      </c>
      <c r="AI18">
        <v>41.972000000000001</v>
      </c>
      <c r="AJ18">
        <v>232.739</v>
      </c>
      <c r="AK18">
        <v>29.248000000000001</v>
      </c>
      <c r="AL18">
        <v>2390.2330000000002</v>
      </c>
      <c r="AM18">
        <v>75.637</v>
      </c>
      <c r="AN18">
        <v>96.796000000000006</v>
      </c>
      <c r="AO18">
        <v>61.783999999999999</v>
      </c>
      <c r="AP18">
        <v>379.78100000000001</v>
      </c>
      <c r="AQ18">
        <v>16235.993</v>
      </c>
      <c r="AR18">
        <v>2068.2080000000001</v>
      </c>
      <c r="AS18">
        <v>1046.482</v>
      </c>
      <c r="AT18">
        <v>1963.37</v>
      </c>
      <c r="AU18">
        <v>1713.2070000000001</v>
      </c>
      <c r="AV18">
        <v>1970.3789999999999</v>
      </c>
      <c r="AW18">
        <v>250.55199999999999</v>
      </c>
      <c r="AX18">
        <v>874.24599999999998</v>
      </c>
      <c r="AY18">
        <v>0</v>
      </c>
      <c r="AZ18">
        <v>27427.439999999999</v>
      </c>
      <c r="BA18">
        <v>0.98799999999999999</v>
      </c>
      <c r="BB18">
        <v>2.3780000000000001</v>
      </c>
      <c r="BC18">
        <v>1169.0820000000001</v>
      </c>
      <c r="BD18">
        <v>88.587000000000003</v>
      </c>
      <c r="BE18">
        <v>44.857999999999997</v>
      </c>
      <c r="BF18">
        <v>2.2320000000000002</v>
      </c>
      <c r="BG18">
        <v>9806.6929999999993</v>
      </c>
      <c r="BH18">
        <v>-34192.42</v>
      </c>
      <c r="BI18">
        <v>190055.622</v>
      </c>
    </row>
    <row r="19" spans="1:61" x14ac:dyDescent="0.25">
      <c r="A19" t="s">
        <v>95</v>
      </c>
      <c r="B19">
        <v>319.56299999999999</v>
      </c>
      <c r="C19">
        <v>17.78</v>
      </c>
      <c r="D19">
        <v>2.605</v>
      </c>
      <c r="E19">
        <v>151.80600000000001</v>
      </c>
      <c r="F19">
        <v>5988.6220000000003</v>
      </c>
      <c r="G19">
        <v>196.648</v>
      </c>
      <c r="H19">
        <v>51.676000000000002</v>
      </c>
      <c r="I19">
        <v>78.808999999999997</v>
      </c>
      <c r="J19">
        <v>481.12799999999999</v>
      </c>
      <c r="K19">
        <v>49.002000000000002</v>
      </c>
      <c r="L19">
        <v>294.88900000000001</v>
      </c>
      <c r="M19">
        <v>194.44399999999999</v>
      </c>
      <c r="N19">
        <v>358.74299999999999</v>
      </c>
      <c r="O19">
        <v>383.34899999999999</v>
      </c>
      <c r="P19">
        <v>74.582999999999998</v>
      </c>
      <c r="Q19">
        <v>1314.6569999999999</v>
      </c>
      <c r="R19">
        <v>1208.057</v>
      </c>
      <c r="S19">
        <v>39805.828000000001</v>
      </c>
      <c r="T19">
        <v>2027.0160000000001</v>
      </c>
      <c r="U19">
        <v>52182.606</v>
      </c>
      <c r="V19">
        <v>1411.8679999999999</v>
      </c>
      <c r="W19">
        <v>2898.357</v>
      </c>
      <c r="X19">
        <v>24647.156999999999</v>
      </c>
      <c r="Y19">
        <v>28170.859</v>
      </c>
      <c r="Z19">
        <v>1299.356</v>
      </c>
      <c r="AA19">
        <v>8395.1239999999998</v>
      </c>
      <c r="AB19">
        <v>2810.393</v>
      </c>
      <c r="AC19">
        <v>557.49699999999996</v>
      </c>
      <c r="AD19">
        <v>1662.12</v>
      </c>
      <c r="AE19">
        <v>36786.550000000003</v>
      </c>
      <c r="AF19">
        <v>3043.1619999999998</v>
      </c>
      <c r="AG19">
        <v>545.16099999999994</v>
      </c>
      <c r="AH19">
        <v>64.316000000000003</v>
      </c>
      <c r="AI19">
        <v>129.06100000000001</v>
      </c>
      <c r="AJ19">
        <v>305.077</v>
      </c>
      <c r="AK19">
        <v>18.204000000000001</v>
      </c>
      <c r="AL19">
        <v>134.66300000000001</v>
      </c>
      <c r="AM19">
        <v>32.652999999999999</v>
      </c>
      <c r="AN19">
        <v>33.338000000000001</v>
      </c>
      <c r="AO19">
        <v>34.447000000000003</v>
      </c>
      <c r="AP19">
        <v>104.27200000000001</v>
      </c>
      <c r="AQ19">
        <v>2000.501</v>
      </c>
      <c r="AR19">
        <v>1651.1780000000001</v>
      </c>
      <c r="AS19">
        <v>419.00799999999998</v>
      </c>
      <c r="AT19">
        <v>849.78200000000004</v>
      </c>
      <c r="AU19">
        <v>306.38299999999998</v>
      </c>
      <c r="AV19">
        <v>278.37200000000001</v>
      </c>
      <c r="AW19">
        <v>111.794</v>
      </c>
      <c r="AX19">
        <v>222.08799999999999</v>
      </c>
      <c r="AY19">
        <v>0</v>
      </c>
      <c r="AZ19">
        <v>1165.425</v>
      </c>
      <c r="BA19">
        <v>0.51500000000000001</v>
      </c>
      <c r="BB19">
        <v>0.502</v>
      </c>
      <c r="BC19">
        <v>829.06700000000001</v>
      </c>
      <c r="BD19">
        <v>23.137</v>
      </c>
      <c r="BE19">
        <v>6.9</v>
      </c>
      <c r="BF19">
        <v>5.875</v>
      </c>
      <c r="BG19">
        <v>18199.361000000001</v>
      </c>
      <c r="BH19">
        <v>-45869.811000000002</v>
      </c>
      <c r="BI19">
        <v>198465.524</v>
      </c>
    </row>
    <row r="20" spans="1:61" x14ac:dyDescent="0.25">
      <c r="A20" t="s">
        <v>96</v>
      </c>
      <c r="B20">
        <v>243.55799999999999</v>
      </c>
      <c r="C20">
        <v>12.98</v>
      </c>
      <c r="D20">
        <v>0.499</v>
      </c>
      <c r="E20">
        <v>20.001000000000001</v>
      </c>
      <c r="F20">
        <v>1321.4829999999999</v>
      </c>
      <c r="G20">
        <v>81.546000000000006</v>
      </c>
      <c r="H20">
        <v>28.004999999999999</v>
      </c>
      <c r="I20">
        <v>14.196</v>
      </c>
      <c r="J20">
        <v>1755.296</v>
      </c>
      <c r="K20">
        <v>97.927000000000007</v>
      </c>
      <c r="L20">
        <v>286.74799999999999</v>
      </c>
      <c r="M20">
        <v>470.06299999999999</v>
      </c>
      <c r="N20">
        <v>154.34399999999999</v>
      </c>
      <c r="O20">
        <v>2716.1129999999998</v>
      </c>
      <c r="P20">
        <v>370.36599999999999</v>
      </c>
      <c r="Q20">
        <v>1337.2470000000001</v>
      </c>
      <c r="R20">
        <v>657.42399999999998</v>
      </c>
      <c r="S20">
        <v>7932.2709999999997</v>
      </c>
      <c r="T20">
        <v>48288.124000000003</v>
      </c>
      <c r="U20">
        <v>30864.16</v>
      </c>
      <c r="V20">
        <v>4702.0020000000004</v>
      </c>
      <c r="W20">
        <v>9493.8160000000007</v>
      </c>
      <c r="X20">
        <v>12837.789000000001</v>
      </c>
      <c r="Y20">
        <v>19403.186000000002</v>
      </c>
      <c r="Z20">
        <v>449.82900000000001</v>
      </c>
      <c r="AA20">
        <v>5298.2539999999999</v>
      </c>
      <c r="AB20">
        <v>5723.9009999999998</v>
      </c>
      <c r="AC20">
        <v>338.96800000000002</v>
      </c>
      <c r="AD20">
        <v>2004.8779999999999</v>
      </c>
      <c r="AE20">
        <v>11663.454</v>
      </c>
      <c r="AF20">
        <v>3461.88</v>
      </c>
      <c r="AG20">
        <v>181.44499999999999</v>
      </c>
      <c r="AH20">
        <v>23.254000000000001</v>
      </c>
      <c r="AI20">
        <v>12.849</v>
      </c>
      <c r="AJ20">
        <v>109.76300000000001</v>
      </c>
      <c r="AK20">
        <v>3.87</v>
      </c>
      <c r="AL20">
        <v>392.33499999999998</v>
      </c>
      <c r="AM20">
        <v>114.26600000000001</v>
      </c>
      <c r="AN20">
        <v>47.54</v>
      </c>
      <c r="AO20">
        <v>47.591999999999999</v>
      </c>
      <c r="AP20">
        <v>126.282</v>
      </c>
      <c r="AQ20">
        <v>1373.769</v>
      </c>
      <c r="AR20">
        <v>992.05600000000004</v>
      </c>
      <c r="AS20">
        <v>241.69499999999999</v>
      </c>
      <c r="AT20">
        <v>669.08399999999995</v>
      </c>
      <c r="AU20">
        <v>117.73399999999999</v>
      </c>
      <c r="AV20">
        <v>659.529</v>
      </c>
      <c r="AW20">
        <v>105.188</v>
      </c>
      <c r="AX20">
        <v>311.55900000000003</v>
      </c>
      <c r="AY20">
        <v>0</v>
      </c>
      <c r="AZ20">
        <v>3053.8539999999998</v>
      </c>
      <c r="BA20">
        <v>0.87</v>
      </c>
      <c r="BB20">
        <v>15.09</v>
      </c>
      <c r="BC20">
        <v>1982.825</v>
      </c>
      <c r="BD20">
        <v>91.578000000000003</v>
      </c>
      <c r="BE20">
        <v>11.68</v>
      </c>
      <c r="BF20">
        <v>1.9419999999999999</v>
      </c>
      <c r="BG20">
        <v>36090.175999999999</v>
      </c>
      <c r="BH20">
        <v>-57062.620999999999</v>
      </c>
      <c r="BI20">
        <v>161745.51300000001</v>
      </c>
    </row>
    <row r="21" spans="1:61" x14ac:dyDescent="0.25">
      <c r="A21" t="s">
        <v>97</v>
      </c>
      <c r="B21">
        <v>2593.9250000000002</v>
      </c>
      <c r="C21">
        <v>150.24799999999999</v>
      </c>
      <c r="D21">
        <v>12.856999999999999</v>
      </c>
      <c r="E21">
        <v>548.51599999999996</v>
      </c>
      <c r="F21">
        <v>9468.4</v>
      </c>
      <c r="G21">
        <v>509.38900000000001</v>
      </c>
      <c r="H21">
        <v>291.91000000000003</v>
      </c>
      <c r="I21">
        <v>410.77199999999999</v>
      </c>
      <c r="J21">
        <v>11160.544</v>
      </c>
      <c r="K21">
        <v>333.05599999999998</v>
      </c>
      <c r="L21">
        <v>2601.8910000000001</v>
      </c>
      <c r="M21">
        <v>1143.6199999999999</v>
      </c>
      <c r="N21">
        <v>756.73500000000001</v>
      </c>
      <c r="O21">
        <v>3105.0309999999999</v>
      </c>
      <c r="P21">
        <v>892.39099999999996</v>
      </c>
      <c r="Q21">
        <v>3230.163</v>
      </c>
      <c r="R21">
        <v>1949.779</v>
      </c>
      <c r="S21">
        <v>5956.0749999999998</v>
      </c>
      <c r="T21">
        <v>2012.289</v>
      </c>
      <c r="U21">
        <v>52075.118999999999</v>
      </c>
      <c r="V21">
        <v>3228.913</v>
      </c>
      <c r="W21">
        <v>4387.8789999999999</v>
      </c>
      <c r="X21">
        <v>34413.534</v>
      </c>
      <c r="Y21">
        <v>40233.067999999999</v>
      </c>
      <c r="Z21">
        <v>2185.895</v>
      </c>
      <c r="AA21">
        <v>9997.1560000000009</v>
      </c>
      <c r="AB21">
        <v>7574.4530000000004</v>
      </c>
      <c r="AC21">
        <v>1134.72</v>
      </c>
      <c r="AD21">
        <v>994.48500000000001</v>
      </c>
      <c r="AE21">
        <v>83611.445000000007</v>
      </c>
      <c r="AF21">
        <v>15400.085999999999</v>
      </c>
      <c r="AG21">
        <v>1157.6079999999999</v>
      </c>
      <c r="AH21">
        <v>110.11</v>
      </c>
      <c r="AI21">
        <v>80.733000000000004</v>
      </c>
      <c r="AJ21">
        <v>863.70399999999995</v>
      </c>
      <c r="AK21">
        <v>62.987000000000002</v>
      </c>
      <c r="AL21">
        <v>3322.1419999999998</v>
      </c>
      <c r="AM21">
        <v>545.43700000000001</v>
      </c>
      <c r="AN21">
        <v>855.00099999999998</v>
      </c>
      <c r="AO21">
        <v>601.33500000000004</v>
      </c>
      <c r="AP21">
        <v>548.16499999999996</v>
      </c>
      <c r="AQ21">
        <v>12450.017</v>
      </c>
      <c r="AR21">
        <v>6518.4589999999998</v>
      </c>
      <c r="AS21">
        <v>5632.3310000000001</v>
      </c>
      <c r="AT21">
        <v>18866.607</v>
      </c>
      <c r="AU21">
        <v>2200.0439999999999</v>
      </c>
      <c r="AV21">
        <v>3031.6770000000001</v>
      </c>
      <c r="AW21">
        <v>624.84500000000003</v>
      </c>
      <c r="AX21">
        <v>2042.2460000000001</v>
      </c>
      <c r="AY21">
        <v>0</v>
      </c>
      <c r="AZ21">
        <v>66980.899999999994</v>
      </c>
      <c r="BA21">
        <v>4.891</v>
      </c>
      <c r="BB21">
        <v>7.3230000000000004</v>
      </c>
      <c r="BC21">
        <v>59986.923999999999</v>
      </c>
      <c r="BD21">
        <v>4797.0469999999996</v>
      </c>
      <c r="BE21">
        <v>77.113</v>
      </c>
      <c r="BF21">
        <v>8.8260000000000005</v>
      </c>
      <c r="BG21">
        <v>30298.788</v>
      </c>
      <c r="BH21">
        <v>-70495.259999999995</v>
      </c>
      <c r="BI21">
        <v>453544.34600000002</v>
      </c>
    </row>
    <row r="22" spans="1:61" x14ac:dyDescent="0.25">
      <c r="A22" t="s">
        <v>98</v>
      </c>
      <c r="B22">
        <v>603.53499999999997</v>
      </c>
      <c r="C22">
        <v>28.856000000000002</v>
      </c>
      <c r="D22">
        <v>5.2229999999999999</v>
      </c>
      <c r="E22">
        <v>44.018000000000001</v>
      </c>
      <c r="F22">
        <v>1253.6990000000001</v>
      </c>
      <c r="G22">
        <v>59.871000000000002</v>
      </c>
      <c r="H22">
        <v>43.72</v>
      </c>
      <c r="I22">
        <v>44.978999999999999</v>
      </c>
      <c r="J22">
        <v>1238.7809999999999</v>
      </c>
      <c r="K22">
        <v>104.223</v>
      </c>
      <c r="L22">
        <v>959.60799999999995</v>
      </c>
      <c r="M22">
        <v>601.42200000000003</v>
      </c>
      <c r="N22">
        <v>420.96300000000002</v>
      </c>
      <c r="O22">
        <v>1128.9690000000001</v>
      </c>
      <c r="P22">
        <v>399.71100000000001</v>
      </c>
      <c r="Q22">
        <v>701.84299999999996</v>
      </c>
      <c r="R22">
        <v>290.28800000000001</v>
      </c>
      <c r="S22">
        <v>234.42</v>
      </c>
      <c r="T22">
        <v>225.76599999999999</v>
      </c>
      <c r="U22">
        <v>1467.962</v>
      </c>
      <c r="V22">
        <v>44933.597000000002</v>
      </c>
      <c r="W22">
        <v>4838.3559999999998</v>
      </c>
      <c r="X22">
        <v>7382.91</v>
      </c>
      <c r="Y22">
        <v>8624.1980000000003</v>
      </c>
      <c r="Z22">
        <v>530.58600000000001</v>
      </c>
      <c r="AA22">
        <v>2232.328</v>
      </c>
      <c r="AB22">
        <v>2305.8240000000001</v>
      </c>
      <c r="AC22">
        <v>1126.4870000000001</v>
      </c>
      <c r="AD22">
        <v>234.03</v>
      </c>
      <c r="AE22">
        <v>8393.5470000000005</v>
      </c>
      <c r="AF22">
        <v>14262.8</v>
      </c>
      <c r="AG22">
        <v>704.95600000000002</v>
      </c>
      <c r="AH22">
        <v>91.686000000000007</v>
      </c>
      <c r="AI22">
        <v>323.79700000000003</v>
      </c>
      <c r="AJ22">
        <v>676.25</v>
      </c>
      <c r="AK22">
        <v>259.346</v>
      </c>
      <c r="AL22">
        <v>1507.0340000000001</v>
      </c>
      <c r="AM22">
        <v>3354.6149999999998</v>
      </c>
      <c r="AN22">
        <v>16974.082999999999</v>
      </c>
      <c r="AO22">
        <v>13010.855</v>
      </c>
      <c r="AP22">
        <v>3565.4520000000002</v>
      </c>
      <c r="AQ22">
        <v>2329.1309999999999</v>
      </c>
      <c r="AR22">
        <v>11668.486000000001</v>
      </c>
      <c r="AS22">
        <v>5386.2669999999998</v>
      </c>
      <c r="AT22">
        <v>10351.799999999999</v>
      </c>
      <c r="AU22">
        <v>4637.9489999999996</v>
      </c>
      <c r="AV22">
        <v>16838.786</v>
      </c>
      <c r="AW22">
        <v>1052.0139999999999</v>
      </c>
      <c r="AX22">
        <v>2427.453</v>
      </c>
      <c r="AY22">
        <v>0</v>
      </c>
      <c r="AZ22">
        <v>148081.109</v>
      </c>
      <c r="BA22">
        <v>224.67400000000001</v>
      </c>
      <c r="BB22">
        <v>42.566000000000003</v>
      </c>
      <c r="BC22">
        <v>321369.03700000001</v>
      </c>
      <c r="BD22">
        <v>23867.343000000001</v>
      </c>
      <c r="BE22">
        <v>351.7</v>
      </c>
      <c r="BF22">
        <v>324.05399999999997</v>
      </c>
      <c r="BG22">
        <v>104845.106</v>
      </c>
      <c r="BH22">
        <v>-309436.00699999998</v>
      </c>
      <c r="BI22">
        <v>489552.06199999998</v>
      </c>
    </row>
    <row r="23" spans="1:61" x14ac:dyDescent="0.25">
      <c r="A23" t="s">
        <v>99</v>
      </c>
      <c r="B23">
        <v>368.97800000000001</v>
      </c>
      <c r="C23">
        <v>12.151</v>
      </c>
      <c r="D23">
        <v>4.8140000000000001</v>
      </c>
      <c r="E23">
        <v>57.076000000000001</v>
      </c>
      <c r="F23">
        <v>687.39</v>
      </c>
      <c r="G23">
        <v>94.796000000000006</v>
      </c>
      <c r="H23">
        <v>81.536000000000001</v>
      </c>
      <c r="I23">
        <v>65.381</v>
      </c>
      <c r="J23">
        <v>652.971</v>
      </c>
      <c r="K23">
        <v>37.472000000000001</v>
      </c>
      <c r="L23">
        <v>88.727000000000004</v>
      </c>
      <c r="M23">
        <v>295.01400000000001</v>
      </c>
      <c r="N23">
        <v>118.58499999999999</v>
      </c>
      <c r="O23">
        <v>374.49700000000001</v>
      </c>
      <c r="P23">
        <v>142.65600000000001</v>
      </c>
      <c r="Q23">
        <v>383.89100000000002</v>
      </c>
      <c r="R23">
        <v>214.178</v>
      </c>
      <c r="S23">
        <v>282.61500000000001</v>
      </c>
      <c r="T23">
        <v>531.55100000000004</v>
      </c>
      <c r="U23">
        <v>1640.6559999999999</v>
      </c>
      <c r="V23">
        <v>3976.2460000000001</v>
      </c>
      <c r="W23">
        <v>11269.101000000001</v>
      </c>
      <c r="X23">
        <v>7124.3040000000001</v>
      </c>
      <c r="Y23">
        <v>14651.880999999999</v>
      </c>
      <c r="Z23">
        <v>247.56200000000001</v>
      </c>
      <c r="AA23">
        <v>2262.2420000000002</v>
      </c>
      <c r="AB23">
        <v>1490.5229999999999</v>
      </c>
      <c r="AC23">
        <v>3365.9369999999999</v>
      </c>
      <c r="AD23">
        <v>289.649</v>
      </c>
      <c r="AE23">
        <v>19669.504000000001</v>
      </c>
      <c r="AF23">
        <v>8767.1749999999993</v>
      </c>
      <c r="AG23">
        <v>890.09199999999998</v>
      </c>
      <c r="AH23">
        <v>81.569000000000003</v>
      </c>
      <c r="AI23">
        <v>95.792000000000002</v>
      </c>
      <c r="AJ23">
        <v>321.54700000000003</v>
      </c>
      <c r="AK23">
        <v>54.826000000000001</v>
      </c>
      <c r="AL23">
        <v>1057.1389999999999</v>
      </c>
      <c r="AM23">
        <v>648.25599999999997</v>
      </c>
      <c r="AN23">
        <v>3656.5839999999998</v>
      </c>
      <c r="AO23">
        <v>1470.018</v>
      </c>
      <c r="AP23">
        <v>476.29899999999998</v>
      </c>
      <c r="AQ23">
        <v>2223.5479999999998</v>
      </c>
      <c r="AR23">
        <v>4167.384</v>
      </c>
      <c r="AS23">
        <v>2742.7730000000001</v>
      </c>
      <c r="AT23">
        <v>5400.3209999999999</v>
      </c>
      <c r="AU23">
        <v>1160.047</v>
      </c>
      <c r="AV23">
        <v>3034.0059999999999</v>
      </c>
      <c r="AW23">
        <v>711.48199999999997</v>
      </c>
      <c r="AX23">
        <v>1030.203</v>
      </c>
      <c r="AY23">
        <v>0</v>
      </c>
      <c r="AZ23">
        <v>93189.697</v>
      </c>
      <c r="BA23">
        <v>3.7639999999999998</v>
      </c>
      <c r="BB23">
        <v>3.7120000000000002</v>
      </c>
      <c r="BC23">
        <v>78334.900999999998</v>
      </c>
      <c r="BD23">
        <v>6662.5839999999998</v>
      </c>
      <c r="BE23">
        <v>176.51900000000001</v>
      </c>
      <c r="BF23">
        <v>128.74299999999999</v>
      </c>
      <c r="BG23">
        <v>26803.274000000001</v>
      </c>
      <c r="BH23">
        <v>-156930.905</v>
      </c>
      <c r="BI23">
        <v>156843.236</v>
      </c>
    </row>
    <row r="24" spans="1:61" x14ac:dyDescent="0.25">
      <c r="A24" t="s">
        <v>100</v>
      </c>
      <c r="B24">
        <v>1415.4849999999999</v>
      </c>
      <c r="C24">
        <v>179.48</v>
      </c>
      <c r="D24">
        <v>18.399999999999999</v>
      </c>
      <c r="E24">
        <v>611.93899999999996</v>
      </c>
      <c r="F24">
        <v>10125.901</v>
      </c>
      <c r="G24">
        <v>591.19200000000001</v>
      </c>
      <c r="H24">
        <v>400.642</v>
      </c>
      <c r="I24">
        <v>416.12299999999999</v>
      </c>
      <c r="J24">
        <v>3051.1089999999999</v>
      </c>
      <c r="K24">
        <v>192.214</v>
      </c>
      <c r="L24">
        <v>508.685</v>
      </c>
      <c r="M24">
        <v>1077.414</v>
      </c>
      <c r="N24">
        <v>1022.0170000000001</v>
      </c>
      <c r="O24">
        <v>1282.635</v>
      </c>
      <c r="P24">
        <v>406.17</v>
      </c>
      <c r="Q24">
        <v>1141.5260000000001</v>
      </c>
      <c r="R24">
        <v>1507.672</v>
      </c>
      <c r="S24">
        <v>995.20500000000004</v>
      </c>
      <c r="T24">
        <v>432.44099999999997</v>
      </c>
      <c r="U24">
        <v>3656.6379999999999</v>
      </c>
      <c r="V24">
        <v>1296.722</v>
      </c>
      <c r="W24">
        <v>2056.489</v>
      </c>
      <c r="X24">
        <v>36281.256999999998</v>
      </c>
      <c r="Y24">
        <v>15709.651</v>
      </c>
      <c r="Z24">
        <v>908.90499999999997</v>
      </c>
      <c r="AA24">
        <v>3370.6480000000001</v>
      </c>
      <c r="AB24">
        <v>2880.799</v>
      </c>
      <c r="AC24">
        <v>2066.29</v>
      </c>
      <c r="AD24">
        <v>740.88599999999997</v>
      </c>
      <c r="AE24">
        <v>16418.013999999999</v>
      </c>
      <c r="AF24">
        <v>10886.948</v>
      </c>
      <c r="AG24">
        <v>1209.0219999999999</v>
      </c>
      <c r="AH24">
        <v>56.567999999999998</v>
      </c>
      <c r="AI24">
        <v>148.255</v>
      </c>
      <c r="AJ24">
        <v>612.08000000000004</v>
      </c>
      <c r="AK24">
        <v>112.30500000000001</v>
      </c>
      <c r="AL24">
        <v>770.81100000000004</v>
      </c>
      <c r="AM24">
        <v>619.62400000000002</v>
      </c>
      <c r="AN24">
        <v>847.72299999999996</v>
      </c>
      <c r="AO24">
        <v>882.62300000000005</v>
      </c>
      <c r="AP24">
        <v>1616.3140000000001</v>
      </c>
      <c r="AQ24">
        <v>1395.058</v>
      </c>
      <c r="AR24">
        <v>4358.6679999999997</v>
      </c>
      <c r="AS24">
        <v>4507.5659999999998</v>
      </c>
      <c r="AT24">
        <v>6021.9030000000002</v>
      </c>
      <c r="AU24">
        <v>1400.2860000000001</v>
      </c>
      <c r="AV24">
        <v>3512.5659999999998</v>
      </c>
      <c r="AW24">
        <v>525.10799999999995</v>
      </c>
      <c r="AX24">
        <v>712.15200000000004</v>
      </c>
      <c r="AY24">
        <v>0</v>
      </c>
      <c r="AZ24">
        <v>28891.330999999998</v>
      </c>
      <c r="BA24">
        <v>37.808999999999997</v>
      </c>
      <c r="BB24">
        <v>7.7229999999999999</v>
      </c>
      <c r="BC24">
        <v>291879.32199999999</v>
      </c>
      <c r="BD24">
        <v>24556.084999999999</v>
      </c>
      <c r="BE24">
        <v>78.44</v>
      </c>
      <c r="BF24">
        <v>20.617999999999999</v>
      </c>
      <c r="BG24">
        <v>101570.72199999999</v>
      </c>
      <c r="BH24">
        <v>-151184.90599999999</v>
      </c>
      <c r="BI24">
        <v>446815.27100000001</v>
      </c>
    </row>
    <row r="25" spans="1:61" x14ac:dyDescent="0.25">
      <c r="A25" t="s">
        <v>101</v>
      </c>
      <c r="B25">
        <v>227.3</v>
      </c>
      <c r="C25">
        <v>84.742000000000004</v>
      </c>
      <c r="D25">
        <v>3.089</v>
      </c>
      <c r="E25">
        <v>18.632000000000001</v>
      </c>
      <c r="F25">
        <v>579.52</v>
      </c>
      <c r="G25">
        <v>70.888999999999996</v>
      </c>
      <c r="H25">
        <v>46.651000000000003</v>
      </c>
      <c r="I25">
        <v>29.001000000000001</v>
      </c>
      <c r="J25">
        <v>360.01499999999999</v>
      </c>
      <c r="K25">
        <v>20.669</v>
      </c>
      <c r="L25">
        <v>64.53</v>
      </c>
      <c r="M25">
        <v>76.691000000000003</v>
      </c>
      <c r="N25">
        <v>75.715000000000003</v>
      </c>
      <c r="O25">
        <v>154.678</v>
      </c>
      <c r="P25">
        <v>51.862000000000002</v>
      </c>
      <c r="Q25">
        <v>215.11799999999999</v>
      </c>
      <c r="R25">
        <v>190.99100000000001</v>
      </c>
      <c r="S25">
        <v>111.705</v>
      </c>
      <c r="T25">
        <v>108.925</v>
      </c>
      <c r="U25">
        <v>518.08699999999999</v>
      </c>
      <c r="V25">
        <v>385.66500000000002</v>
      </c>
      <c r="W25">
        <v>419.9</v>
      </c>
      <c r="X25">
        <v>1765.7429999999999</v>
      </c>
      <c r="Y25">
        <v>130625.74</v>
      </c>
      <c r="Z25">
        <v>58.883000000000003</v>
      </c>
      <c r="AA25">
        <v>1456.932</v>
      </c>
      <c r="AB25">
        <v>355.88400000000001</v>
      </c>
      <c r="AC25">
        <v>233.239</v>
      </c>
      <c r="AD25">
        <v>214.55600000000001</v>
      </c>
      <c r="AE25">
        <v>2025.627</v>
      </c>
      <c r="AF25">
        <v>40004.593000000001</v>
      </c>
      <c r="AG25">
        <v>5590.3329999999996</v>
      </c>
      <c r="AH25">
        <v>105.768</v>
      </c>
      <c r="AI25">
        <v>291.43700000000001</v>
      </c>
      <c r="AJ25">
        <v>589.51</v>
      </c>
      <c r="AK25">
        <v>97.495999999999995</v>
      </c>
      <c r="AL25">
        <v>203.64400000000001</v>
      </c>
      <c r="AM25">
        <v>138.55699999999999</v>
      </c>
      <c r="AN25">
        <v>273.12</v>
      </c>
      <c r="AO25">
        <v>312.09500000000003</v>
      </c>
      <c r="AP25">
        <v>400.95499999999998</v>
      </c>
      <c r="AQ25">
        <v>594.86599999999999</v>
      </c>
      <c r="AR25">
        <v>1342.0229999999999</v>
      </c>
      <c r="AS25">
        <v>2645.3670000000002</v>
      </c>
      <c r="AT25">
        <v>2026.893</v>
      </c>
      <c r="AU25">
        <v>530.24800000000005</v>
      </c>
      <c r="AV25">
        <v>824.15</v>
      </c>
      <c r="AW25">
        <v>183.01400000000001</v>
      </c>
      <c r="AX25">
        <v>249.55699999999999</v>
      </c>
      <c r="AY25">
        <v>0</v>
      </c>
      <c r="AZ25">
        <v>309620.84299999999</v>
      </c>
      <c r="BA25">
        <v>8.7100000000000009</v>
      </c>
      <c r="BB25">
        <v>1.288</v>
      </c>
      <c r="BC25">
        <v>414936.96</v>
      </c>
      <c r="BD25">
        <v>35267.476000000002</v>
      </c>
      <c r="BE25">
        <v>283.67</v>
      </c>
      <c r="BF25">
        <v>323.59300000000002</v>
      </c>
      <c r="BG25">
        <v>91544.523000000001</v>
      </c>
      <c r="BH25">
        <v>-315406.71399999998</v>
      </c>
      <c r="BI25">
        <v>733534.951</v>
      </c>
    </row>
    <row r="26" spans="1:61" x14ac:dyDescent="0.25">
      <c r="A26" t="s">
        <v>102</v>
      </c>
      <c r="B26">
        <v>6.1550000000000002</v>
      </c>
      <c r="C26">
        <v>0.54500000000000004</v>
      </c>
      <c r="D26">
        <v>7.3639999999999999</v>
      </c>
      <c r="E26">
        <v>0.68300000000000005</v>
      </c>
      <c r="F26">
        <v>96.004000000000005</v>
      </c>
      <c r="G26">
        <v>2.1509999999999998</v>
      </c>
      <c r="H26">
        <v>1.41</v>
      </c>
      <c r="I26">
        <v>0.33100000000000002</v>
      </c>
      <c r="J26">
        <v>16.946999999999999</v>
      </c>
      <c r="K26">
        <v>0.73599999999999999</v>
      </c>
      <c r="L26">
        <v>1.833</v>
      </c>
      <c r="M26">
        <v>3.1680000000000001</v>
      </c>
      <c r="N26">
        <v>11.914999999999999</v>
      </c>
      <c r="O26">
        <v>5.05</v>
      </c>
      <c r="P26">
        <v>2.1040000000000001</v>
      </c>
      <c r="Q26">
        <v>11.436999999999999</v>
      </c>
      <c r="R26">
        <v>2.0030000000000001</v>
      </c>
      <c r="S26">
        <v>2.7490000000000001</v>
      </c>
      <c r="T26">
        <v>1.57</v>
      </c>
      <c r="U26">
        <v>21.683</v>
      </c>
      <c r="V26">
        <v>8.8420000000000005</v>
      </c>
      <c r="W26">
        <v>6.0460000000000003</v>
      </c>
      <c r="X26">
        <v>77.218000000000004</v>
      </c>
      <c r="Y26">
        <v>147.48400000000001</v>
      </c>
      <c r="Z26">
        <v>4228.33</v>
      </c>
      <c r="AA26">
        <v>1792.5129999999999</v>
      </c>
      <c r="AB26">
        <v>103.80800000000001</v>
      </c>
      <c r="AC26">
        <v>7.1790000000000003</v>
      </c>
      <c r="AD26">
        <v>3.024</v>
      </c>
      <c r="AE26">
        <v>105.13800000000001</v>
      </c>
      <c r="AF26">
        <v>112.599</v>
      </c>
      <c r="AG26">
        <v>124.48</v>
      </c>
      <c r="AH26">
        <v>865.94200000000001</v>
      </c>
      <c r="AI26">
        <v>368.49700000000001</v>
      </c>
      <c r="AJ26">
        <v>129.27500000000001</v>
      </c>
      <c r="AK26">
        <v>1.7869999999999999</v>
      </c>
      <c r="AL26">
        <v>8.2850000000000001</v>
      </c>
      <c r="AM26">
        <v>2.3340000000000001</v>
      </c>
      <c r="AN26">
        <v>3.327</v>
      </c>
      <c r="AO26">
        <v>2.508</v>
      </c>
      <c r="AP26">
        <v>12.173999999999999</v>
      </c>
      <c r="AQ26">
        <v>66.637</v>
      </c>
      <c r="AR26">
        <v>32.515999999999998</v>
      </c>
      <c r="AS26">
        <v>63.695</v>
      </c>
      <c r="AT26">
        <v>2994.5680000000002</v>
      </c>
      <c r="AU26">
        <v>18.204000000000001</v>
      </c>
      <c r="AV26">
        <v>19.23</v>
      </c>
      <c r="AW26">
        <v>12.654999999999999</v>
      </c>
      <c r="AX26">
        <v>24.779</v>
      </c>
      <c r="AY26">
        <v>0</v>
      </c>
      <c r="AZ26">
        <v>11424.576999999999</v>
      </c>
      <c r="BA26">
        <v>0.128</v>
      </c>
      <c r="BB26">
        <v>0.08</v>
      </c>
      <c r="BC26">
        <v>24955.499</v>
      </c>
      <c r="BD26">
        <v>2082.3530000000001</v>
      </c>
      <c r="BE26">
        <v>0.89300000000000002</v>
      </c>
      <c r="BF26">
        <v>0.10199999999999999</v>
      </c>
      <c r="BG26">
        <v>2049.0830000000001</v>
      </c>
      <c r="BH26">
        <v>-3781.9949999999999</v>
      </c>
      <c r="BI26">
        <v>48269.633999999998</v>
      </c>
    </row>
    <row r="27" spans="1:61" x14ac:dyDescent="0.25">
      <c r="A27" t="s">
        <v>103</v>
      </c>
      <c r="B27">
        <v>64.863</v>
      </c>
      <c r="C27">
        <v>19.082000000000001</v>
      </c>
      <c r="D27">
        <v>15.834</v>
      </c>
      <c r="E27">
        <v>15.662000000000001</v>
      </c>
      <c r="F27">
        <v>126.468</v>
      </c>
      <c r="G27">
        <v>13.411</v>
      </c>
      <c r="H27">
        <v>6.0540000000000003</v>
      </c>
      <c r="I27">
        <v>8.4250000000000007</v>
      </c>
      <c r="J27">
        <v>194.589</v>
      </c>
      <c r="K27">
        <v>8.3759999999999994</v>
      </c>
      <c r="L27">
        <v>25.582000000000001</v>
      </c>
      <c r="M27">
        <v>33.859000000000002</v>
      </c>
      <c r="N27">
        <v>121.71299999999999</v>
      </c>
      <c r="O27">
        <v>80.891000000000005</v>
      </c>
      <c r="P27">
        <v>24.888999999999999</v>
      </c>
      <c r="Q27">
        <v>65.400999999999996</v>
      </c>
      <c r="R27">
        <v>29.718</v>
      </c>
      <c r="S27">
        <v>40.280999999999999</v>
      </c>
      <c r="T27">
        <v>23.378</v>
      </c>
      <c r="U27">
        <v>296.63099999999997</v>
      </c>
      <c r="V27">
        <v>128.09100000000001</v>
      </c>
      <c r="W27">
        <v>127.511</v>
      </c>
      <c r="X27">
        <v>515.01599999999996</v>
      </c>
      <c r="Y27">
        <v>7127.2309999999998</v>
      </c>
      <c r="Z27">
        <v>902.18600000000004</v>
      </c>
      <c r="AA27">
        <v>60844.875999999997</v>
      </c>
      <c r="AB27">
        <v>784.56399999999996</v>
      </c>
      <c r="AC27">
        <v>66.384</v>
      </c>
      <c r="AD27">
        <v>21.34</v>
      </c>
      <c r="AE27">
        <v>640.23900000000003</v>
      </c>
      <c r="AF27">
        <v>3470.0839999999998</v>
      </c>
      <c r="AG27">
        <v>3987.55</v>
      </c>
      <c r="AH27">
        <v>270.87400000000002</v>
      </c>
      <c r="AI27">
        <v>4226.4059999999999</v>
      </c>
      <c r="AJ27">
        <v>315.32299999999998</v>
      </c>
      <c r="AK27">
        <v>19.062999999999999</v>
      </c>
      <c r="AL27">
        <v>80.731999999999999</v>
      </c>
      <c r="AM27">
        <v>40.96</v>
      </c>
      <c r="AN27">
        <v>71.519000000000005</v>
      </c>
      <c r="AO27">
        <v>173.38200000000001</v>
      </c>
      <c r="AP27">
        <v>135.18700000000001</v>
      </c>
      <c r="AQ27">
        <v>197.67400000000001</v>
      </c>
      <c r="AR27">
        <v>530.37400000000002</v>
      </c>
      <c r="AS27">
        <v>1038.539</v>
      </c>
      <c r="AT27">
        <v>11506.186</v>
      </c>
      <c r="AU27">
        <v>141.88999999999999</v>
      </c>
      <c r="AV27">
        <v>848.97900000000004</v>
      </c>
      <c r="AW27">
        <v>52.203000000000003</v>
      </c>
      <c r="AX27">
        <v>204.352</v>
      </c>
      <c r="AY27">
        <v>0</v>
      </c>
      <c r="AZ27">
        <v>38464.680999999997</v>
      </c>
      <c r="BA27">
        <v>24.312999999999999</v>
      </c>
      <c r="BB27">
        <v>1.274</v>
      </c>
      <c r="BC27">
        <v>134290.87100000001</v>
      </c>
      <c r="BD27">
        <v>10775.906000000001</v>
      </c>
      <c r="BE27">
        <v>4.617</v>
      </c>
      <c r="BF27">
        <v>6.8129999999999997</v>
      </c>
      <c r="BG27">
        <v>91144.845000000001</v>
      </c>
      <c r="BH27">
        <v>-68672.936000000002</v>
      </c>
      <c r="BI27">
        <v>305724.20699999999</v>
      </c>
    </row>
    <row r="28" spans="1:61" x14ac:dyDescent="0.25">
      <c r="A28" t="s">
        <v>104</v>
      </c>
      <c r="B28">
        <v>2849.4830000000002</v>
      </c>
      <c r="C28">
        <v>127.875</v>
      </c>
      <c r="D28">
        <v>33.618000000000002</v>
      </c>
      <c r="E28">
        <v>162.71799999999999</v>
      </c>
      <c r="F28">
        <v>4331.1379999999999</v>
      </c>
      <c r="G28">
        <v>218.102</v>
      </c>
      <c r="H28">
        <v>300.77</v>
      </c>
      <c r="I28">
        <v>168.18299999999999</v>
      </c>
      <c r="J28">
        <v>3289.364</v>
      </c>
      <c r="K28">
        <v>343.91699999999997</v>
      </c>
      <c r="L28">
        <v>558.02300000000002</v>
      </c>
      <c r="M28">
        <v>1123.9459999999999</v>
      </c>
      <c r="N28">
        <v>852.58199999999999</v>
      </c>
      <c r="O28">
        <v>1517.4259999999999</v>
      </c>
      <c r="P28">
        <v>684.12800000000004</v>
      </c>
      <c r="Q28">
        <v>926.83100000000002</v>
      </c>
      <c r="R28">
        <v>790.76700000000005</v>
      </c>
      <c r="S28">
        <v>947.495</v>
      </c>
      <c r="T28">
        <v>714.64499999999998</v>
      </c>
      <c r="U28">
        <v>1547.9549999999999</v>
      </c>
      <c r="V28">
        <v>965.31500000000005</v>
      </c>
      <c r="W28">
        <v>528.726</v>
      </c>
      <c r="X28">
        <v>1815.587</v>
      </c>
      <c r="Y28">
        <v>2797.6889999999999</v>
      </c>
      <c r="Z28">
        <v>141.249</v>
      </c>
      <c r="AA28">
        <v>1134.0530000000001</v>
      </c>
      <c r="AB28">
        <v>6242.38</v>
      </c>
      <c r="AC28">
        <v>2220.4740000000002</v>
      </c>
      <c r="AD28">
        <v>720.88300000000004</v>
      </c>
      <c r="AE28">
        <v>6636.77</v>
      </c>
      <c r="AF28">
        <v>9581.3070000000007</v>
      </c>
      <c r="AG28">
        <v>3159.8969999999999</v>
      </c>
      <c r="AH28">
        <v>346.31299999999999</v>
      </c>
      <c r="AI28">
        <v>2010.6780000000001</v>
      </c>
      <c r="AJ28">
        <v>1215.5440000000001</v>
      </c>
      <c r="AK28">
        <v>236.90899999999999</v>
      </c>
      <c r="AL28">
        <v>3322.1190000000001</v>
      </c>
      <c r="AM28">
        <v>969.10900000000004</v>
      </c>
      <c r="AN28">
        <v>1691.6659999999999</v>
      </c>
      <c r="AO28">
        <v>1552.7570000000001</v>
      </c>
      <c r="AP28">
        <v>3219.89</v>
      </c>
      <c r="AQ28">
        <v>3862.0709999999999</v>
      </c>
      <c r="AR28">
        <v>5984.7</v>
      </c>
      <c r="AS28">
        <v>5310.9440000000004</v>
      </c>
      <c r="AT28">
        <v>10821.14</v>
      </c>
      <c r="AU28">
        <v>6782.924</v>
      </c>
      <c r="AV28">
        <v>27187.794999999998</v>
      </c>
      <c r="AW28">
        <v>2152.0830000000001</v>
      </c>
      <c r="AX28">
        <v>2312.8710000000001</v>
      </c>
      <c r="AY28">
        <v>0</v>
      </c>
      <c r="AZ28">
        <v>198600.049</v>
      </c>
      <c r="BA28">
        <v>41.683999999999997</v>
      </c>
      <c r="BB28">
        <v>1595.3119999999999</v>
      </c>
      <c r="BC28">
        <v>86421.153999999995</v>
      </c>
      <c r="BD28">
        <v>7117.3190000000004</v>
      </c>
      <c r="BE28">
        <v>1447.1189999999999</v>
      </c>
      <c r="BF28">
        <v>470.61200000000002</v>
      </c>
      <c r="BG28">
        <v>52252.892999999996</v>
      </c>
      <c r="BH28">
        <v>-174416.25099999999</v>
      </c>
      <c r="BI28">
        <v>309942.70199999999</v>
      </c>
    </row>
    <row r="29" spans="1:61" x14ac:dyDescent="0.25">
      <c r="A29" t="s">
        <v>105</v>
      </c>
      <c r="B29">
        <v>8360.4940000000006</v>
      </c>
      <c r="C29">
        <v>167.648</v>
      </c>
      <c r="D29">
        <v>53.058</v>
      </c>
      <c r="E29">
        <v>872.86300000000006</v>
      </c>
      <c r="F29">
        <v>20522.71</v>
      </c>
      <c r="G29">
        <v>1221.0260000000001</v>
      </c>
      <c r="H29">
        <v>1205.0160000000001</v>
      </c>
      <c r="I29">
        <v>213.7</v>
      </c>
      <c r="J29">
        <v>17573.347000000002</v>
      </c>
      <c r="K29">
        <v>1556.7729999999999</v>
      </c>
      <c r="L29">
        <v>1633.201</v>
      </c>
      <c r="M29">
        <v>7720.4709999999995</v>
      </c>
      <c r="N29">
        <v>6339.9709999999995</v>
      </c>
      <c r="O29">
        <v>10336.796</v>
      </c>
      <c r="P29">
        <v>2040.1859999999999</v>
      </c>
      <c r="Q29">
        <v>5018.2669999999998</v>
      </c>
      <c r="R29">
        <v>5501.1459999999997</v>
      </c>
      <c r="S29">
        <v>6171.4080000000004</v>
      </c>
      <c r="T29">
        <v>3177.5390000000002</v>
      </c>
      <c r="U29">
        <v>4994.884</v>
      </c>
      <c r="V29">
        <v>1528.373</v>
      </c>
      <c r="W29">
        <v>1019.92</v>
      </c>
      <c r="X29">
        <v>3026.2350000000001</v>
      </c>
      <c r="Y29">
        <v>6586.2870000000003</v>
      </c>
      <c r="Z29">
        <v>219.23699999999999</v>
      </c>
      <c r="AA29">
        <v>1655.116</v>
      </c>
      <c r="AB29">
        <v>1754.92</v>
      </c>
      <c r="AC29">
        <v>44904.245000000003</v>
      </c>
      <c r="AD29">
        <v>2852.6590000000001</v>
      </c>
      <c r="AE29">
        <v>5415.5680000000002</v>
      </c>
      <c r="AF29">
        <v>54294.487999999998</v>
      </c>
      <c r="AG29">
        <v>8268.3430000000008</v>
      </c>
      <c r="AH29">
        <v>77.027000000000001</v>
      </c>
      <c r="AI29">
        <v>168.35300000000001</v>
      </c>
      <c r="AJ29">
        <v>3199.0920000000001</v>
      </c>
      <c r="AK29">
        <v>840.91600000000005</v>
      </c>
      <c r="AL29">
        <v>31262.679</v>
      </c>
      <c r="AM29">
        <v>3720.3339999999998</v>
      </c>
      <c r="AN29">
        <v>7186.6959999999999</v>
      </c>
      <c r="AO29">
        <v>3407.2640000000001</v>
      </c>
      <c r="AP29">
        <v>11196.049000000001</v>
      </c>
      <c r="AQ29">
        <v>35956.288</v>
      </c>
      <c r="AR29">
        <v>11442.055</v>
      </c>
      <c r="AS29">
        <v>7140.8130000000001</v>
      </c>
      <c r="AT29">
        <v>41295.351999999999</v>
      </c>
      <c r="AU29">
        <v>24799.293000000001</v>
      </c>
      <c r="AV29">
        <v>36041.989000000001</v>
      </c>
      <c r="AW29">
        <v>5773.6570000000002</v>
      </c>
      <c r="AX29">
        <v>8793.8230000000003</v>
      </c>
      <c r="AY29">
        <v>0</v>
      </c>
      <c r="AZ29">
        <v>216579.788</v>
      </c>
      <c r="BA29">
        <v>48.722000000000001</v>
      </c>
      <c r="BB29">
        <v>1.6160000000000001</v>
      </c>
      <c r="BC29">
        <v>711.49099999999999</v>
      </c>
      <c r="BD29">
        <v>49.948</v>
      </c>
      <c r="BE29">
        <v>91.444000000000003</v>
      </c>
      <c r="BF29">
        <v>17.327999999999999</v>
      </c>
      <c r="BG29">
        <v>8822.18</v>
      </c>
      <c r="BH29">
        <v>-6590.4030000000002</v>
      </c>
      <c r="BI29">
        <v>688239.69</v>
      </c>
    </row>
    <row r="30" spans="1:61" x14ac:dyDescent="0.25">
      <c r="A30" t="s">
        <v>106</v>
      </c>
      <c r="B30">
        <v>628.625</v>
      </c>
      <c r="C30">
        <v>7.0890000000000004</v>
      </c>
      <c r="D30">
        <v>5.84</v>
      </c>
      <c r="E30">
        <v>40.167999999999999</v>
      </c>
      <c r="F30">
        <v>871.64200000000005</v>
      </c>
      <c r="G30">
        <v>103.139</v>
      </c>
      <c r="H30">
        <v>57.814999999999998</v>
      </c>
      <c r="I30">
        <v>48.418999999999997</v>
      </c>
      <c r="J30">
        <v>1503.5039999999999</v>
      </c>
      <c r="K30">
        <v>72.593000000000004</v>
      </c>
      <c r="L30">
        <v>170.785</v>
      </c>
      <c r="M30">
        <v>2052.2600000000002</v>
      </c>
      <c r="N30">
        <v>443.608</v>
      </c>
      <c r="O30">
        <v>518.26800000000003</v>
      </c>
      <c r="P30">
        <v>190.39699999999999</v>
      </c>
      <c r="Q30">
        <v>282.26799999999997</v>
      </c>
      <c r="R30">
        <v>320.47699999999998</v>
      </c>
      <c r="S30">
        <v>3484.6680000000001</v>
      </c>
      <c r="T30">
        <v>1991.4880000000001</v>
      </c>
      <c r="U30">
        <v>522.44500000000005</v>
      </c>
      <c r="V30">
        <v>83.277000000000001</v>
      </c>
      <c r="W30">
        <v>73.024000000000001</v>
      </c>
      <c r="X30">
        <v>335.077</v>
      </c>
      <c r="Y30">
        <v>379.38600000000002</v>
      </c>
      <c r="Z30">
        <v>21.372</v>
      </c>
      <c r="AA30">
        <v>228.399</v>
      </c>
      <c r="AB30">
        <v>132.06399999999999</v>
      </c>
      <c r="AC30">
        <v>858.88300000000004</v>
      </c>
      <c r="AD30">
        <v>10465.754999999999</v>
      </c>
      <c r="AE30">
        <v>1223.1510000000001</v>
      </c>
      <c r="AF30">
        <v>4989.2749999999996</v>
      </c>
      <c r="AG30">
        <v>288.10700000000003</v>
      </c>
      <c r="AH30">
        <v>18.79</v>
      </c>
      <c r="AI30">
        <v>29.863</v>
      </c>
      <c r="AJ30">
        <v>235.03100000000001</v>
      </c>
      <c r="AK30">
        <v>81.085999999999999</v>
      </c>
      <c r="AL30">
        <v>2385.81</v>
      </c>
      <c r="AM30">
        <v>189.80699999999999</v>
      </c>
      <c r="AN30">
        <v>147.822</v>
      </c>
      <c r="AO30">
        <v>191.25899999999999</v>
      </c>
      <c r="AP30">
        <v>802.54499999999996</v>
      </c>
      <c r="AQ30">
        <v>4283.473</v>
      </c>
      <c r="AR30">
        <v>1513.6130000000001</v>
      </c>
      <c r="AS30">
        <v>1022.1950000000001</v>
      </c>
      <c r="AT30">
        <v>17352.999</v>
      </c>
      <c r="AU30">
        <v>2686.8180000000002</v>
      </c>
      <c r="AV30">
        <v>7093.625</v>
      </c>
      <c r="AW30">
        <v>412.03300000000002</v>
      </c>
      <c r="AX30">
        <v>625.66899999999998</v>
      </c>
      <c r="AY30">
        <v>0</v>
      </c>
      <c r="AZ30">
        <v>60579.697999999997</v>
      </c>
      <c r="BA30">
        <v>272.69900000000001</v>
      </c>
      <c r="BB30">
        <v>22028.503000000001</v>
      </c>
      <c r="BC30">
        <v>635.16499999999996</v>
      </c>
      <c r="BD30">
        <v>4.4790000000000001</v>
      </c>
      <c r="BE30">
        <v>33.706000000000003</v>
      </c>
      <c r="BF30">
        <v>1.4790000000000001</v>
      </c>
      <c r="BG30">
        <v>99.191999999999993</v>
      </c>
      <c r="BH30">
        <v>-868.048</v>
      </c>
      <c r="BI30">
        <v>154252.579</v>
      </c>
    </row>
    <row r="31" spans="1:61" x14ac:dyDescent="0.25">
      <c r="A31" t="s">
        <v>107</v>
      </c>
      <c r="B31">
        <v>3152.7979999999998</v>
      </c>
      <c r="C31">
        <v>333.78199999999998</v>
      </c>
      <c r="D31">
        <v>22.305</v>
      </c>
      <c r="E31">
        <v>198.03700000000001</v>
      </c>
      <c r="F31">
        <v>2447.1489999999999</v>
      </c>
      <c r="G31">
        <v>172.09</v>
      </c>
      <c r="H31">
        <v>163.41800000000001</v>
      </c>
      <c r="I31">
        <v>217.655</v>
      </c>
      <c r="J31">
        <v>1208.203</v>
      </c>
      <c r="K31">
        <v>95.935000000000002</v>
      </c>
      <c r="L31">
        <v>203.02</v>
      </c>
      <c r="M31">
        <v>390.733</v>
      </c>
      <c r="N31">
        <v>552.75199999999995</v>
      </c>
      <c r="O31">
        <v>526.149</v>
      </c>
      <c r="P31">
        <v>198.869</v>
      </c>
      <c r="Q31">
        <v>356.55</v>
      </c>
      <c r="R31">
        <v>519.81299999999999</v>
      </c>
      <c r="S31">
        <v>401.06</v>
      </c>
      <c r="T31">
        <v>266.58600000000001</v>
      </c>
      <c r="U31">
        <v>1129.6949999999999</v>
      </c>
      <c r="V31">
        <v>161.99700000000001</v>
      </c>
      <c r="W31">
        <v>177.477</v>
      </c>
      <c r="X31">
        <v>604.23299999999995</v>
      </c>
      <c r="Y31">
        <v>899.57100000000003</v>
      </c>
      <c r="Z31">
        <v>75.864000000000004</v>
      </c>
      <c r="AA31">
        <v>293.70800000000003</v>
      </c>
      <c r="AB31">
        <v>759.61</v>
      </c>
      <c r="AC31">
        <v>4569.2889999999998</v>
      </c>
      <c r="AD31">
        <v>1669.57</v>
      </c>
      <c r="AE31">
        <v>146538.10699999999</v>
      </c>
      <c r="AF31">
        <v>18858.338</v>
      </c>
      <c r="AG31">
        <v>2542.21</v>
      </c>
      <c r="AH31">
        <v>80.006</v>
      </c>
      <c r="AI31">
        <v>101.732</v>
      </c>
      <c r="AJ31">
        <v>3367.4639999999999</v>
      </c>
      <c r="AK31">
        <v>327.584</v>
      </c>
      <c r="AL31">
        <v>5224.0410000000002</v>
      </c>
      <c r="AM31">
        <v>1066.9839999999999</v>
      </c>
      <c r="AN31">
        <v>4097.9430000000002</v>
      </c>
      <c r="AO31">
        <v>893.02</v>
      </c>
      <c r="AP31">
        <v>6224.326</v>
      </c>
      <c r="AQ31">
        <v>135513.68799999999</v>
      </c>
      <c r="AR31">
        <v>12293.169</v>
      </c>
      <c r="AS31">
        <v>4574.0219999999999</v>
      </c>
      <c r="AT31">
        <v>66646.437000000005</v>
      </c>
      <c r="AU31">
        <v>11902.602999999999</v>
      </c>
      <c r="AV31">
        <v>13986.228999999999</v>
      </c>
      <c r="AW31">
        <v>1517.5640000000001</v>
      </c>
      <c r="AX31">
        <v>2319.201</v>
      </c>
      <c r="AY31">
        <v>0</v>
      </c>
      <c r="AZ31">
        <v>467.11799999999999</v>
      </c>
      <c r="BA31">
        <v>229.946</v>
      </c>
      <c r="BB31">
        <v>1.054</v>
      </c>
      <c r="BC31">
        <v>1706056.388</v>
      </c>
      <c r="BD31">
        <v>19.100999999999999</v>
      </c>
      <c r="BE31">
        <v>593.34400000000005</v>
      </c>
      <c r="BF31">
        <v>1.6E-2</v>
      </c>
      <c r="BG31">
        <v>4.681</v>
      </c>
      <c r="BH31">
        <v>-2845.9870000000001</v>
      </c>
      <c r="BI31">
        <v>2164368.247</v>
      </c>
    </row>
    <row r="32" spans="1:61" x14ac:dyDescent="0.25">
      <c r="A32" t="s">
        <v>108</v>
      </c>
      <c r="B32">
        <v>75344.558999999994</v>
      </c>
      <c r="C32">
        <v>2035.0429999999999</v>
      </c>
      <c r="D32">
        <v>418.25799999999998</v>
      </c>
      <c r="E32">
        <v>1715.9739999999999</v>
      </c>
      <c r="F32">
        <v>30933.679</v>
      </c>
      <c r="G32">
        <v>2686.15</v>
      </c>
      <c r="H32">
        <v>2527.893</v>
      </c>
      <c r="I32">
        <v>1459.4280000000001</v>
      </c>
      <c r="J32">
        <v>179532.25899999999</v>
      </c>
      <c r="K32">
        <v>9301.6569999999992</v>
      </c>
      <c r="L32">
        <v>20170.798999999999</v>
      </c>
      <c r="M32">
        <v>31865.455999999998</v>
      </c>
      <c r="N32">
        <v>44209.561000000002</v>
      </c>
      <c r="O32">
        <v>67113.491999999998</v>
      </c>
      <c r="P32">
        <v>22439.632000000001</v>
      </c>
      <c r="Q32">
        <v>43412.055</v>
      </c>
      <c r="R32">
        <v>18308.292000000001</v>
      </c>
      <c r="S32">
        <v>21464.174999999999</v>
      </c>
      <c r="T32">
        <v>9421.0400000000009</v>
      </c>
      <c r="U32">
        <v>44736.709000000003</v>
      </c>
      <c r="V32">
        <v>30909.687999999998</v>
      </c>
      <c r="W32">
        <v>13539.884</v>
      </c>
      <c r="X32">
        <v>49867.226999999999</v>
      </c>
      <c r="Y32">
        <v>123937.78200000001</v>
      </c>
      <c r="Z32">
        <v>3385.1190000000001</v>
      </c>
      <c r="AA32">
        <v>28098.134999999998</v>
      </c>
      <c r="AB32">
        <v>26092.55</v>
      </c>
      <c r="AC32">
        <v>19383.903999999999</v>
      </c>
      <c r="AD32">
        <v>7193.4290000000001</v>
      </c>
      <c r="AE32">
        <v>162263.489</v>
      </c>
      <c r="AF32">
        <v>239406.946</v>
      </c>
      <c r="AG32">
        <v>76689.354999999996</v>
      </c>
      <c r="AH32">
        <v>4939.5200000000004</v>
      </c>
      <c r="AI32">
        <v>17227.485000000001</v>
      </c>
      <c r="AJ32">
        <v>14712.415999999999</v>
      </c>
      <c r="AK32">
        <v>3982.6770000000001</v>
      </c>
      <c r="AL32">
        <v>97597.313999999998</v>
      </c>
      <c r="AM32">
        <v>34885.071000000004</v>
      </c>
      <c r="AN32">
        <v>20783.990000000002</v>
      </c>
      <c r="AO32">
        <v>21017.282999999999</v>
      </c>
      <c r="AP32">
        <v>28172.328000000001</v>
      </c>
      <c r="AQ32">
        <v>45932.057000000001</v>
      </c>
      <c r="AR32">
        <v>56579.334999999999</v>
      </c>
      <c r="AS32">
        <v>73735.256999999998</v>
      </c>
      <c r="AT32">
        <v>92757.922000000006</v>
      </c>
      <c r="AU32">
        <v>34958.642</v>
      </c>
      <c r="AV32">
        <v>140399.23000000001</v>
      </c>
      <c r="AW32">
        <v>10923.342000000001</v>
      </c>
      <c r="AX32">
        <v>20137.036</v>
      </c>
      <c r="AY32">
        <v>0</v>
      </c>
      <c r="AZ32">
        <v>1994587.088</v>
      </c>
      <c r="BA32">
        <v>2352.4259999999999</v>
      </c>
      <c r="BB32">
        <v>2369.6799999999998</v>
      </c>
      <c r="BC32">
        <v>722161.07499999995</v>
      </c>
      <c r="BD32">
        <v>6013.6040000000003</v>
      </c>
      <c r="BE32">
        <v>7830.1610000000001</v>
      </c>
      <c r="BF32">
        <v>7472.991</v>
      </c>
      <c r="BG32">
        <v>401364.77399999998</v>
      </c>
      <c r="BH32">
        <v>-389392.18800000002</v>
      </c>
      <c r="BI32">
        <v>4883364.1349999998</v>
      </c>
    </row>
    <row r="33" spans="1:61" x14ac:dyDescent="0.25">
      <c r="A33" t="s">
        <v>109</v>
      </c>
      <c r="B33">
        <v>10998.664000000001</v>
      </c>
      <c r="C33">
        <v>944.18100000000004</v>
      </c>
      <c r="D33">
        <v>61.414999999999999</v>
      </c>
      <c r="E33">
        <v>1084.402</v>
      </c>
      <c r="F33">
        <v>17277.491999999998</v>
      </c>
      <c r="G33">
        <v>938.25699999999995</v>
      </c>
      <c r="H33">
        <v>1676.425</v>
      </c>
      <c r="I33">
        <v>628.90200000000004</v>
      </c>
      <c r="J33">
        <v>31665.116999999998</v>
      </c>
      <c r="K33">
        <v>1202.6030000000001</v>
      </c>
      <c r="L33">
        <v>6565.67</v>
      </c>
      <c r="M33">
        <v>6964.0739999999996</v>
      </c>
      <c r="N33">
        <v>23987.277999999998</v>
      </c>
      <c r="O33">
        <v>10126.575000000001</v>
      </c>
      <c r="P33">
        <v>3056.2080000000001</v>
      </c>
      <c r="Q33">
        <v>5944.5889999999999</v>
      </c>
      <c r="R33">
        <v>7512.1880000000001</v>
      </c>
      <c r="S33">
        <v>6759.1220000000003</v>
      </c>
      <c r="T33">
        <v>3031.306</v>
      </c>
      <c r="U33">
        <v>10304.744000000001</v>
      </c>
      <c r="V33">
        <v>4111.67</v>
      </c>
      <c r="W33">
        <v>2588.3760000000002</v>
      </c>
      <c r="X33">
        <v>8829.6290000000008</v>
      </c>
      <c r="Y33">
        <v>15931.721</v>
      </c>
      <c r="Z33">
        <v>518.94200000000001</v>
      </c>
      <c r="AA33">
        <v>5386.5209999999997</v>
      </c>
      <c r="AB33">
        <v>5588.2489999999998</v>
      </c>
      <c r="AC33">
        <v>8656.8259999999991</v>
      </c>
      <c r="AD33">
        <v>2427.873</v>
      </c>
      <c r="AE33">
        <v>39910.951000000001</v>
      </c>
      <c r="AF33">
        <v>97535.710999999996</v>
      </c>
      <c r="AG33">
        <v>32356.094000000001</v>
      </c>
      <c r="AH33">
        <v>709.71799999999996</v>
      </c>
      <c r="AI33">
        <v>1827.414</v>
      </c>
      <c r="AJ33">
        <v>12919.152</v>
      </c>
      <c r="AK33">
        <v>6239.6350000000002</v>
      </c>
      <c r="AL33">
        <v>14273.130999999999</v>
      </c>
      <c r="AM33">
        <v>9038.9529999999995</v>
      </c>
      <c r="AN33">
        <v>3526.1109999999999</v>
      </c>
      <c r="AO33">
        <v>3001.154</v>
      </c>
      <c r="AP33">
        <v>8886.4120000000003</v>
      </c>
      <c r="AQ33">
        <v>10290.606</v>
      </c>
      <c r="AR33">
        <v>15191.19</v>
      </c>
      <c r="AS33">
        <v>13302.258</v>
      </c>
      <c r="AT33">
        <v>28456.699000000001</v>
      </c>
      <c r="AU33">
        <v>12897.499</v>
      </c>
      <c r="AV33">
        <v>25952.707999999999</v>
      </c>
      <c r="AW33">
        <v>2346.4450000000002</v>
      </c>
      <c r="AX33">
        <v>5390.5190000000002</v>
      </c>
      <c r="AY33">
        <v>0</v>
      </c>
      <c r="AZ33">
        <v>188802.886</v>
      </c>
      <c r="BA33">
        <v>248.827</v>
      </c>
      <c r="BB33">
        <v>882.30100000000004</v>
      </c>
      <c r="BC33">
        <v>69242.06</v>
      </c>
      <c r="BD33">
        <v>711.66800000000001</v>
      </c>
      <c r="BE33">
        <v>11083.621999999999</v>
      </c>
      <c r="BF33">
        <v>9101.1170000000002</v>
      </c>
      <c r="BG33">
        <v>46791.413</v>
      </c>
      <c r="BH33">
        <v>-68091.462</v>
      </c>
      <c r="BI33">
        <v>807593.81099999999</v>
      </c>
    </row>
    <row r="34" spans="1:61" x14ac:dyDescent="0.25">
      <c r="A34" t="s">
        <v>110</v>
      </c>
      <c r="B34">
        <v>643.70600000000002</v>
      </c>
      <c r="C34">
        <v>214.15</v>
      </c>
      <c r="D34">
        <v>27.309000000000001</v>
      </c>
      <c r="E34">
        <v>52.037999999999997</v>
      </c>
      <c r="F34">
        <v>2906.9830000000002</v>
      </c>
      <c r="G34">
        <v>61.356000000000002</v>
      </c>
      <c r="H34">
        <v>164.60900000000001</v>
      </c>
      <c r="I34">
        <v>35.590000000000003</v>
      </c>
      <c r="J34">
        <v>2227.7310000000002</v>
      </c>
      <c r="K34">
        <v>157.81</v>
      </c>
      <c r="L34">
        <v>496.42899999999997</v>
      </c>
      <c r="M34">
        <v>582.57100000000003</v>
      </c>
      <c r="N34">
        <v>2915.8110000000001</v>
      </c>
      <c r="O34">
        <v>984.41600000000005</v>
      </c>
      <c r="P34">
        <v>243.596</v>
      </c>
      <c r="Q34">
        <v>584.22199999999998</v>
      </c>
      <c r="R34">
        <v>423.35300000000001</v>
      </c>
      <c r="S34">
        <v>586.92999999999995</v>
      </c>
      <c r="T34">
        <v>386.197</v>
      </c>
      <c r="U34">
        <v>864.05</v>
      </c>
      <c r="V34">
        <v>544.10699999999997</v>
      </c>
      <c r="W34">
        <v>341.10300000000001</v>
      </c>
      <c r="X34">
        <v>819.28599999999994</v>
      </c>
      <c r="Y34">
        <v>1646.11</v>
      </c>
      <c r="Z34">
        <v>51.514000000000003</v>
      </c>
      <c r="AA34">
        <v>514.97900000000004</v>
      </c>
      <c r="AB34">
        <v>462.04</v>
      </c>
      <c r="AC34">
        <v>659.154</v>
      </c>
      <c r="AD34">
        <v>93.906000000000006</v>
      </c>
      <c r="AE34">
        <v>2626.08</v>
      </c>
      <c r="AF34">
        <v>15564.322</v>
      </c>
      <c r="AG34">
        <v>2330.4589999999998</v>
      </c>
      <c r="AH34">
        <v>7774.1509999999998</v>
      </c>
      <c r="AI34">
        <v>209.69200000000001</v>
      </c>
      <c r="AJ34">
        <v>5368.2939999999999</v>
      </c>
      <c r="AK34">
        <v>178.51400000000001</v>
      </c>
      <c r="AL34">
        <v>813.92899999999997</v>
      </c>
      <c r="AM34">
        <v>395.22300000000001</v>
      </c>
      <c r="AN34">
        <v>306.17899999999997</v>
      </c>
      <c r="AO34">
        <v>275.39100000000002</v>
      </c>
      <c r="AP34">
        <v>381.52199999999999</v>
      </c>
      <c r="AQ34">
        <v>470.50299999999999</v>
      </c>
      <c r="AR34">
        <v>1457.845</v>
      </c>
      <c r="AS34">
        <v>1164.578</v>
      </c>
      <c r="AT34">
        <v>2298.8719999999998</v>
      </c>
      <c r="AU34">
        <v>443.98500000000001</v>
      </c>
      <c r="AV34">
        <v>1410.1310000000001</v>
      </c>
      <c r="AW34">
        <v>206.815</v>
      </c>
      <c r="AX34">
        <v>266.42099999999999</v>
      </c>
      <c r="AY34">
        <v>0</v>
      </c>
      <c r="AZ34">
        <v>26841.136999999999</v>
      </c>
      <c r="BA34">
        <v>15.619</v>
      </c>
      <c r="BB34">
        <v>38.307000000000002</v>
      </c>
      <c r="BC34">
        <v>11342.763999999999</v>
      </c>
      <c r="BD34">
        <v>128.922</v>
      </c>
      <c r="BE34">
        <v>2511.4290000000001</v>
      </c>
      <c r="BF34">
        <v>1783.8620000000001</v>
      </c>
      <c r="BG34">
        <v>6847.5339999999997</v>
      </c>
      <c r="BH34">
        <v>-47118.608</v>
      </c>
      <c r="BI34">
        <v>66024.932000000001</v>
      </c>
    </row>
    <row r="35" spans="1:61" x14ac:dyDescent="0.25">
      <c r="A35" t="s">
        <v>111</v>
      </c>
      <c r="B35">
        <v>1118.1089999999999</v>
      </c>
      <c r="C35">
        <v>372.02199999999999</v>
      </c>
      <c r="D35">
        <v>7.9530000000000003</v>
      </c>
      <c r="E35">
        <v>40.993000000000002</v>
      </c>
      <c r="F35">
        <v>4757.2529999999997</v>
      </c>
      <c r="G35">
        <v>55.414999999999999</v>
      </c>
      <c r="H35">
        <v>100.06699999999999</v>
      </c>
      <c r="I35">
        <v>56.319000000000003</v>
      </c>
      <c r="J35">
        <v>2824.261</v>
      </c>
      <c r="K35">
        <v>199.596</v>
      </c>
      <c r="L35">
        <v>1374.71</v>
      </c>
      <c r="M35">
        <v>785.77300000000002</v>
      </c>
      <c r="N35">
        <v>2062.3440000000001</v>
      </c>
      <c r="O35">
        <v>1053.4639999999999</v>
      </c>
      <c r="P35">
        <v>597.85799999999995</v>
      </c>
      <c r="Q35">
        <v>763.46799999999996</v>
      </c>
      <c r="R35">
        <v>465.34</v>
      </c>
      <c r="S35">
        <v>333.92599999999999</v>
      </c>
      <c r="T35">
        <v>306.92399999999998</v>
      </c>
      <c r="U35">
        <v>832.48400000000004</v>
      </c>
      <c r="V35">
        <v>721.06100000000004</v>
      </c>
      <c r="W35">
        <v>501.96600000000001</v>
      </c>
      <c r="X35">
        <v>1264.0319999999999</v>
      </c>
      <c r="Y35">
        <v>2020.7660000000001</v>
      </c>
      <c r="Z35">
        <v>59.917999999999999</v>
      </c>
      <c r="AA35">
        <v>638.57899999999995</v>
      </c>
      <c r="AB35">
        <v>759.17700000000002</v>
      </c>
      <c r="AC35">
        <v>696.45100000000002</v>
      </c>
      <c r="AD35">
        <v>223.35400000000001</v>
      </c>
      <c r="AE35">
        <v>4333.9449999999997</v>
      </c>
      <c r="AF35">
        <v>17689.739000000001</v>
      </c>
      <c r="AG35">
        <v>1255.979</v>
      </c>
      <c r="AH35">
        <v>102.80200000000001</v>
      </c>
      <c r="AI35">
        <v>9253.4889999999996</v>
      </c>
      <c r="AJ35">
        <v>5193.54</v>
      </c>
      <c r="AK35">
        <v>2321.2399999999998</v>
      </c>
      <c r="AL35">
        <v>2235.9189999999999</v>
      </c>
      <c r="AM35">
        <v>1728.38</v>
      </c>
      <c r="AN35">
        <v>1377.2329999999999</v>
      </c>
      <c r="AO35">
        <v>2423.7979999999998</v>
      </c>
      <c r="AP35">
        <v>10130.198</v>
      </c>
      <c r="AQ35">
        <v>4155.1480000000001</v>
      </c>
      <c r="AR35">
        <v>9079.4419999999991</v>
      </c>
      <c r="AS35">
        <v>9140.2669999999998</v>
      </c>
      <c r="AT35">
        <v>16561.376</v>
      </c>
      <c r="AU35">
        <v>3480.442</v>
      </c>
      <c r="AV35">
        <v>6620.2020000000002</v>
      </c>
      <c r="AW35">
        <v>1119.7080000000001</v>
      </c>
      <c r="AX35">
        <v>2124.9580000000001</v>
      </c>
      <c r="AY35">
        <v>0</v>
      </c>
      <c r="AZ35">
        <v>122025.927</v>
      </c>
      <c r="BA35">
        <v>36.518000000000001</v>
      </c>
      <c r="BB35">
        <v>47.633000000000003</v>
      </c>
      <c r="BC35">
        <v>14566.221</v>
      </c>
      <c r="BD35">
        <v>56.537999999999997</v>
      </c>
      <c r="BE35">
        <v>7526.8890000000001</v>
      </c>
      <c r="BF35">
        <v>4601.9250000000002</v>
      </c>
      <c r="BG35">
        <v>25954.127</v>
      </c>
      <c r="BH35">
        <v>-57542.76</v>
      </c>
      <c r="BI35">
        <v>252594.408</v>
      </c>
    </row>
    <row r="36" spans="1:61" x14ac:dyDescent="0.25">
      <c r="A36" t="s">
        <v>112</v>
      </c>
      <c r="B36">
        <v>3443.8789999999999</v>
      </c>
      <c r="C36">
        <v>323.31700000000001</v>
      </c>
      <c r="D36">
        <v>62.542000000000002</v>
      </c>
      <c r="E36">
        <v>524.21699999999998</v>
      </c>
      <c r="F36">
        <v>6972.3459999999995</v>
      </c>
      <c r="G36">
        <v>412.11799999999999</v>
      </c>
      <c r="H36">
        <v>463.33699999999999</v>
      </c>
      <c r="I36">
        <v>364.726</v>
      </c>
      <c r="J36">
        <v>12023.179</v>
      </c>
      <c r="K36">
        <v>535.20299999999997</v>
      </c>
      <c r="L36">
        <v>1957.808</v>
      </c>
      <c r="M36">
        <v>2776.1329999999998</v>
      </c>
      <c r="N36">
        <v>7215.0780000000004</v>
      </c>
      <c r="O36">
        <v>3454.1709999999998</v>
      </c>
      <c r="P36">
        <v>1355.3779999999999</v>
      </c>
      <c r="Q36">
        <v>1759.192</v>
      </c>
      <c r="R36">
        <v>1904.924</v>
      </c>
      <c r="S36">
        <v>1542.8979999999999</v>
      </c>
      <c r="T36">
        <v>805.90599999999995</v>
      </c>
      <c r="U36">
        <v>2796.567</v>
      </c>
      <c r="V36">
        <v>1091.087</v>
      </c>
      <c r="W36">
        <v>821.40099999999995</v>
      </c>
      <c r="X36">
        <v>2525.114</v>
      </c>
      <c r="Y36">
        <v>6910.5060000000003</v>
      </c>
      <c r="Z36">
        <v>151.83199999999999</v>
      </c>
      <c r="AA36">
        <v>1578.2670000000001</v>
      </c>
      <c r="AB36">
        <v>1710.42</v>
      </c>
      <c r="AC36">
        <v>2311.2620000000002</v>
      </c>
      <c r="AD36">
        <v>1134.3409999999999</v>
      </c>
      <c r="AE36">
        <v>9702.6509999999998</v>
      </c>
      <c r="AF36">
        <v>122384.40399999999</v>
      </c>
      <c r="AG36">
        <v>35682.442999999999</v>
      </c>
      <c r="AH36">
        <v>7042.0510000000004</v>
      </c>
      <c r="AI36">
        <v>19094.440999999999</v>
      </c>
      <c r="AJ36">
        <v>46374.858999999997</v>
      </c>
      <c r="AK36">
        <v>3006.9609999999998</v>
      </c>
      <c r="AL36">
        <v>4745.9470000000001</v>
      </c>
      <c r="AM36">
        <v>2553.6709999999998</v>
      </c>
      <c r="AN36">
        <v>2438.5430000000001</v>
      </c>
      <c r="AO36">
        <v>2018.3409999999999</v>
      </c>
      <c r="AP36">
        <v>3639.8919999999998</v>
      </c>
      <c r="AQ36">
        <v>3027.6179999999999</v>
      </c>
      <c r="AR36">
        <v>8491.8970000000008</v>
      </c>
      <c r="AS36">
        <v>7371.9359999999997</v>
      </c>
      <c r="AT36">
        <v>15255.355</v>
      </c>
      <c r="AU36">
        <v>2027.9059999999999</v>
      </c>
      <c r="AV36">
        <v>4218.2219999999998</v>
      </c>
      <c r="AW36">
        <v>1200.6220000000001</v>
      </c>
      <c r="AX36">
        <v>1920.9970000000001</v>
      </c>
      <c r="AY36">
        <v>0</v>
      </c>
      <c r="AZ36">
        <v>51141.273999999998</v>
      </c>
      <c r="BA36">
        <v>209.428</v>
      </c>
      <c r="BB36">
        <v>88.731999999999999</v>
      </c>
      <c r="BC36">
        <v>13800.681</v>
      </c>
      <c r="BD36">
        <v>159.41399999999999</v>
      </c>
      <c r="BE36">
        <v>699.02300000000002</v>
      </c>
      <c r="BF36">
        <v>238.107</v>
      </c>
      <c r="BG36">
        <v>9310.6779999999999</v>
      </c>
      <c r="BH36">
        <v>-18375.624</v>
      </c>
      <c r="BI36">
        <v>428397.61900000001</v>
      </c>
    </row>
    <row r="37" spans="1:61" x14ac:dyDescent="0.25">
      <c r="A37" t="s">
        <v>113</v>
      </c>
      <c r="B37">
        <v>588.25199999999995</v>
      </c>
      <c r="C37">
        <v>23.126999999999999</v>
      </c>
      <c r="D37">
        <v>4.3540000000000001</v>
      </c>
      <c r="E37">
        <v>41.164999999999999</v>
      </c>
      <c r="F37">
        <v>609.47500000000002</v>
      </c>
      <c r="G37">
        <v>25.669</v>
      </c>
      <c r="H37">
        <v>32.270000000000003</v>
      </c>
      <c r="I37">
        <v>39.435000000000002</v>
      </c>
      <c r="J37">
        <v>588.37</v>
      </c>
      <c r="K37">
        <v>84.073999999999998</v>
      </c>
      <c r="L37">
        <v>122.04</v>
      </c>
      <c r="M37">
        <v>387.363</v>
      </c>
      <c r="N37">
        <v>74.84</v>
      </c>
      <c r="O37">
        <v>221.76</v>
      </c>
      <c r="P37">
        <v>241.655</v>
      </c>
      <c r="Q37">
        <v>164.48500000000001</v>
      </c>
      <c r="R37">
        <v>98.686999999999998</v>
      </c>
      <c r="S37">
        <v>55.383000000000003</v>
      </c>
      <c r="T37">
        <v>37.457999999999998</v>
      </c>
      <c r="U37">
        <v>230.89400000000001</v>
      </c>
      <c r="V37">
        <v>99.367000000000004</v>
      </c>
      <c r="W37">
        <v>76.409000000000006</v>
      </c>
      <c r="X37">
        <v>397.87099999999998</v>
      </c>
      <c r="Y37">
        <v>465.04500000000002</v>
      </c>
      <c r="Z37">
        <v>16.824000000000002</v>
      </c>
      <c r="AA37">
        <v>131.67500000000001</v>
      </c>
      <c r="AB37">
        <v>208.63800000000001</v>
      </c>
      <c r="AC37">
        <v>612.70500000000004</v>
      </c>
      <c r="AD37">
        <v>161.131</v>
      </c>
      <c r="AE37">
        <v>1038.8230000000001</v>
      </c>
      <c r="AF37">
        <v>33906.254000000001</v>
      </c>
      <c r="AG37">
        <v>1048.8699999999999</v>
      </c>
      <c r="AH37">
        <v>34.759</v>
      </c>
      <c r="AI37">
        <v>148.52799999999999</v>
      </c>
      <c r="AJ37">
        <v>1536.5619999999999</v>
      </c>
      <c r="AK37">
        <v>22027.843000000001</v>
      </c>
      <c r="AL37">
        <v>2962.3029999999999</v>
      </c>
      <c r="AM37">
        <v>4634.6809999999996</v>
      </c>
      <c r="AN37">
        <v>4489.0839999999998</v>
      </c>
      <c r="AO37">
        <v>2147.1860000000001</v>
      </c>
      <c r="AP37">
        <v>25884.514999999999</v>
      </c>
      <c r="AQ37">
        <v>6265.9160000000002</v>
      </c>
      <c r="AR37">
        <v>9280.0810000000001</v>
      </c>
      <c r="AS37">
        <v>5080.0479999999998</v>
      </c>
      <c r="AT37">
        <v>23849.406999999999</v>
      </c>
      <c r="AU37">
        <v>4244.4690000000001</v>
      </c>
      <c r="AV37">
        <v>7397.2030000000004</v>
      </c>
      <c r="AW37">
        <v>1155.731</v>
      </c>
      <c r="AX37">
        <v>3868.55</v>
      </c>
      <c r="AY37">
        <v>0</v>
      </c>
      <c r="AZ37">
        <v>22759.62</v>
      </c>
      <c r="BA37">
        <v>0.7</v>
      </c>
      <c r="BB37">
        <v>0.36</v>
      </c>
      <c r="BC37">
        <v>76.093000000000004</v>
      </c>
      <c r="BD37">
        <v>155.16</v>
      </c>
      <c r="BE37">
        <v>259.06700000000001</v>
      </c>
      <c r="BF37">
        <v>161.69300000000001</v>
      </c>
      <c r="BG37">
        <v>17471.953000000001</v>
      </c>
      <c r="BH37">
        <v>-1426.625</v>
      </c>
      <c r="BI37">
        <v>206299.25399999999</v>
      </c>
    </row>
    <row r="38" spans="1:61" x14ac:dyDescent="0.25">
      <c r="A38" t="s">
        <v>114</v>
      </c>
      <c r="B38">
        <v>513.11300000000006</v>
      </c>
      <c r="C38">
        <v>73.465000000000003</v>
      </c>
      <c r="D38">
        <v>5.1420000000000003</v>
      </c>
      <c r="E38">
        <v>54.024999999999999</v>
      </c>
      <c r="F38">
        <v>1731.8219999999999</v>
      </c>
      <c r="G38">
        <v>177.91300000000001</v>
      </c>
      <c r="H38">
        <v>93.742000000000004</v>
      </c>
      <c r="I38">
        <v>71.215000000000003</v>
      </c>
      <c r="J38">
        <v>1749.9349999999999</v>
      </c>
      <c r="K38">
        <v>151.38800000000001</v>
      </c>
      <c r="L38">
        <v>223.27600000000001</v>
      </c>
      <c r="M38">
        <v>414.762</v>
      </c>
      <c r="N38">
        <v>341.065</v>
      </c>
      <c r="O38">
        <v>778.13199999999995</v>
      </c>
      <c r="P38">
        <v>501.83</v>
      </c>
      <c r="Q38">
        <v>536.51499999999999</v>
      </c>
      <c r="R38">
        <v>250.59399999999999</v>
      </c>
      <c r="S38">
        <v>226.62899999999999</v>
      </c>
      <c r="T38">
        <v>138.99100000000001</v>
      </c>
      <c r="U38">
        <v>701.15200000000004</v>
      </c>
      <c r="V38">
        <v>284.66899999999998</v>
      </c>
      <c r="W38">
        <v>251.18700000000001</v>
      </c>
      <c r="X38">
        <v>723.04499999999996</v>
      </c>
      <c r="Y38">
        <v>760.904</v>
      </c>
      <c r="Z38">
        <v>40.28</v>
      </c>
      <c r="AA38">
        <v>317.31099999999998</v>
      </c>
      <c r="AB38">
        <v>407.43099999999998</v>
      </c>
      <c r="AC38">
        <v>651.80700000000002</v>
      </c>
      <c r="AD38">
        <v>403.43400000000003</v>
      </c>
      <c r="AE38">
        <v>3672.3009999999999</v>
      </c>
      <c r="AF38">
        <v>20436.293000000001</v>
      </c>
      <c r="AG38">
        <v>2960.5520000000001</v>
      </c>
      <c r="AH38">
        <v>258.178</v>
      </c>
      <c r="AI38">
        <v>1322.116</v>
      </c>
      <c r="AJ38">
        <v>1696.64</v>
      </c>
      <c r="AK38">
        <v>436.18400000000003</v>
      </c>
      <c r="AL38">
        <v>7322.1310000000003</v>
      </c>
      <c r="AM38">
        <v>5116.3239999999996</v>
      </c>
      <c r="AN38">
        <v>1870.105</v>
      </c>
      <c r="AO38">
        <v>4124.6239999999998</v>
      </c>
      <c r="AP38">
        <v>12936.647000000001</v>
      </c>
      <c r="AQ38">
        <v>7054.8590000000004</v>
      </c>
      <c r="AR38">
        <v>14834.041999999999</v>
      </c>
      <c r="AS38">
        <v>10786.49</v>
      </c>
      <c r="AT38">
        <v>26209.044999999998</v>
      </c>
      <c r="AU38">
        <v>10463.174999999999</v>
      </c>
      <c r="AV38">
        <v>21061.46</v>
      </c>
      <c r="AW38">
        <v>7489.1580000000004</v>
      </c>
      <c r="AX38">
        <v>5638.107</v>
      </c>
      <c r="AY38">
        <v>0</v>
      </c>
      <c r="AZ38">
        <v>1159020.5060000001</v>
      </c>
      <c r="BA38">
        <v>10132.047</v>
      </c>
      <c r="BB38">
        <v>6059.0069999999996</v>
      </c>
      <c r="BC38">
        <v>4780.7539999999999</v>
      </c>
      <c r="BD38">
        <v>3.069</v>
      </c>
      <c r="BE38">
        <v>64724.756999999998</v>
      </c>
      <c r="BF38">
        <v>37958.256999999998</v>
      </c>
      <c r="BG38">
        <v>1285.829</v>
      </c>
      <c r="BH38">
        <v>-65171.375</v>
      </c>
      <c r="BI38">
        <v>1397056.0560000001</v>
      </c>
    </row>
    <row r="39" spans="1:61" x14ac:dyDescent="0.25">
      <c r="A39" t="s">
        <v>115</v>
      </c>
      <c r="B39">
        <v>1213.7560000000001</v>
      </c>
      <c r="C39">
        <v>52.918999999999997</v>
      </c>
      <c r="D39">
        <v>8.0860000000000003</v>
      </c>
      <c r="E39">
        <v>49.759</v>
      </c>
      <c r="F39">
        <v>1572.2190000000001</v>
      </c>
      <c r="G39">
        <v>90.680999999999997</v>
      </c>
      <c r="H39">
        <v>79.912999999999997</v>
      </c>
      <c r="I39">
        <v>72.36</v>
      </c>
      <c r="J39">
        <v>5862.3670000000002</v>
      </c>
      <c r="K39">
        <v>272.58300000000003</v>
      </c>
      <c r="L39">
        <v>481.23599999999999</v>
      </c>
      <c r="M39">
        <v>1474.723</v>
      </c>
      <c r="N39">
        <v>741.73900000000003</v>
      </c>
      <c r="O39">
        <v>1840.7919999999999</v>
      </c>
      <c r="P39">
        <v>1405.0730000000001</v>
      </c>
      <c r="Q39">
        <v>978.23199999999997</v>
      </c>
      <c r="R39">
        <v>488.12599999999998</v>
      </c>
      <c r="S39">
        <v>480.72699999999998</v>
      </c>
      <c r="T39">
        <v>262.435</v>
      </c>
      <c r="U39">
        <v>1071.654</v>
      </c>
      <c r="V39">
        <v>824.19600000000003</v>
      </c>
      <c r="W39">
        <v>511.38600000000002</v>
      </c>
      <c r="X39">
        <v>1292.297</v>
      </c>
      <c r="Y39">
        <v>2226.4270000000001</v>
      </c>
      <c r="Z39">
        <v>96.727999999999994</v>
      </c>
      <c r="AA39">
        <v>971.56600000000003</v>
      </c>
      <c r="AB39">
        <v>924.44500000000005</v>
      </c>
      <c r="AC39">
        <v>929.75900000000001</v>
      </c>
      <c r="AD39">
        <v>373.74599999999998</v>
      </c>
      <c r="AE39">
        <v>4924.84</v>
      </c>
      <c r="AF39">
        <v>34667.557000000001</v>
      </c>
      <c r="AG39">
        <v>2086.0630000000001</v>
      </c>
      <c r="AH39">
        <v>157.34</v>
      </c>
      <c r="AI39">
        <v>645.05399999999997</v>
      </c>
      <c r="AJ39">
        <v>1148.2149999999999</v>
      </c>
      <c r="AK39">
        <v>559.91</v>
      </c>
      <c r="AL39">
        <v>10531.558000000001</v>
      </c>
      <c r="AM39">
        <v>145399.65900000001</v>
      </c>
      <c r="AN39">
        <v>22631.153999999999</v>
      </c>
      <c r="AO39">
        <v>17404.273000000001</v>
      </c>
      <c r="AP39">
        <v>17233.762999999999</v>
      </c>
      <c r="AQ39">
        <v>14938.837</v>
      </c>
      <c r="AR39">
        <v>56452.7</v>
      </c>
      <c r="AS39">
        <v>11243.683000000001</v>
      </c>
      <c r="AT39">
        <v>26058.748</v>
      </c>
      <c r="AU39">
        <v>23209.093000000001</v>
      </c>
      <c r="AV39">
        <v>13311.236000000001</v>
      </c>
      <c r="AW39">
        <v>11046.427</v>
      </c>
      <c r="AX39">
        <v>8661.5820000000003</v>
      </c>
      <c r="AY39">
        <v>0</v>
      </c>
      <c r="AZ39">
        <v>204261.69399999999</v>
      </c>
      <c r="BA39">
        <v>8897.1479999999992</v>
      </c>
      <c r="BB39">
        <v>27759.187000000002</v>
      </c>
      <c r="BC39">
        <v>230929.03200000001</v>
      </c>
      <c r="BD39">
        <v>94.453000000000003</v>
      </c>
      <c r="BE39">
        <v>681.99599999999998</v>
      </c>
      <c r="BF39">
        <v>1323.3579999999999</v>
      </c>
      <c r="BG39">
        <v>64766.144</v>
      </c>
      <c r="BH39">
        <v>-30495.331999999999</v>
      </c>
      <c r="BI39">
        <v>957179.30099999998</v>
      </c>
    </row>
    <row r="40" spans="1:61" x14ac:dyDescent="0.25">
      <c r="A40" t="s">
        <v>116</v>
      </c>
      <c r="B40">
        <v>673.79100000000005</v>
      </c>
      <c r="C40">
        <v>67.435000000000002</v>
      </c>
      <c r="D40">
        <v>11.401999999999999</v>
      </c>
      <c r="E40">
        <v>110.074</v>
      </c>
      <c r="F40">
        <v>3120.75</v>
      </c>
      <c r="G40">
        <v>73.847999999999999</v>
      </c>
      <c r="H40">
        <v>104.666</v>
      </c>
      <c r="I40">
        <v>92.36</v>
      </c>
      <c r="J40">
        <v>1554.8630000000001</v>
      </c>
      <c r="K40">
        <v>167.64699999999999</v>
      </c>
      <c r="L40">
        <v>255.38399999999999</v>
      </c>
      <c r="M40">
        <v>581.01599999999996</v>
      </c>
      <c r="N40">
        <v>332.255</v>
      </c>
      <c r="O40">
        <v>519.96900000000005</v>
      </c>
      <c r="P40">
        <v>643.52300000000002</v>
      </c>
      <c r="Q40">
        <v>394.18</v>
      </c>
      <c r="R40">
        <v>271.56400000000002</v>
      </c>
      <c r="S40">
        <v>163.69499999999999</v>
      </c>
      <c r="T40">
        <v>138.63300000000001</v>
      </c>
      <c r="U40">
        <v>667.29300000000001</v>
      </c>
      <c r="V40">
        <v>452.55900000000003</v>
      </c>
      <c r="W40">
        <v>253.42599999999999</v>
      </c>
      <c r="X40">
        <v>996.89800000000002</v>
      </c>
      <c r="Y40">
        <v>1551.9449999999999</v>
      </c>
      <c r="Z40">
        <v>38.978999999999999</v>
      </c>
      <c r="AA40">
        <v>355.89600000000002</v>
      </c>
      <c r="AB40">
        <v>551.61500000000001</v>
      </c>
      <c r="AC40">
        <v>757.34799999999996</v>
      </c>
      <c r="AD40">
        <v>344.55200000000002</v>
      </c>
      <c r="AE40">
        <v>4020.4940000000001</v>
      </c>
      <c r="AF40">
        <v>27724.862000000001</v>
      </c>
      <c r="AG40">
        <v>2647.2689999999998</v>
      </c>
      <c r="AH40">
        <v>214.33600000000001</v>
      </c>
      <c r="AI40">
        <v>573.14599999999996</v>
      </c>
      <c r="AJ40">
        <v>1596.8340000000001</v>
      </c>
      <c r="AK40">
        <v>987.17</v>
      </c>
      <c r="AL40">
        <v>6745.8</v>
      </c>
      <c r="AM40">
        <v>6641.9690000000001</v>
      </c>
      <c r="AN40">
        <v>64333.088000000003</v>
      </c>
      <c r="AO40">
        <v>9596.8240000000005</v>
      </c>
      <c r="AP40">
        <v>23135.345000000001</v>
      </c>
      <c r="AQ40">
        <v>14122.992</v>
      </c>
      <c r="AR40">
        <v>14845.937</v>
      </c>
      <c r="AS40">
        <v>11998.218999999999</v>
      </c>
      <c r="AT40">
        <v>33588.334999999999</v>
      </c>
      <c r="AU40">
        <v>6274.09</v>
      </c>
      <c r="AV40">
        <v>14857.47</v>
      </c>
      <c r="AW40">
        <v>2454.1590000000001</v>
      </c>
      <c r="AX40">
        <v>4752.8969999999999</v>
      </c>
      <c r="AY40">
        <v>0</v>
      </c>
      <c r="AZ40">
        <v>378636.99699999997</v>
      </c>
      <c r="BA40">
        <v>76.557000000000002</v>
      </c>
      <c r="BB40">
        <v>3.1059999999999999</v>
      </c>
      <c r="BC40">
        <v>12570.157999999999</v>
      </c>
      <c r="BD40">
        <v>8.8710000000000004</v>
      </c>
      <c r="BE40">
        <v>3043.6590000000001</v>
      </c>
      <c r="BF40">
        <v>2966.13</v>
      </c>
      <c r="BG40">
        <v>14961.365</v>
      </c>
      <c r="BH40">
        <v>-4383.2309999999998</v>
      </c>
      <c r="BI40">
        <v>674242.41799999995</v>
      </c>
    </row>
    <row r="41" spans="1:61" x14ac:dyDescent="0.25">
      <c r="A41" t="s">
        <v>117</v>
      </c>
      <c r="B41">
        <v>1618.865</v>
      </c>
      <c r="C41">
        <v>114.4</v>
      </c>
      <c r="D41">
        <v>17.414999999999999</v>
      </c>
      <c r="E41">
        <v>257.37700000000001</v>
      </c>
      <c r="F41">
        <v>7482.1589999999997</v>
      </c>
      <c r="G41">
        <v>241.73</v>
      </c>
      <c r="H41">
        <v>317.18400000000003</v>
      </c>
      <c r="I41">
        <v>265.27199999999999</v>
      </c>
      <c r="J41">
        <v>10395.611999999999</v>
      </c>
      <c r="K41">
        <v>575.39499999999998</v>
      </c>
      <c r="L41">
        <v>820.52300000000002</v>
      </c>
      <c r="M41">
        <v>2754.6210000000001</v>
      </c>
      <c r="N41">
        <v>1695.838</v>
      </c>
      <c r="O41">
        <v>3474.1729999999998</v>
      </c>
      <c r="P41">
        <v>3897.9609999999998</v>
      </c>
      <c r="Q41">
        <v>1888.77</v>
      </c>
      <c r="R41">
        <v>1261.25</v>
      </c>
      <c r="S41">
        <v>975.28300000000002</v>
      </c>
      <c r="T41">
        <v>598.80600000000004</v>
      </c>
      <c r="U41">
        <v>2841.18</v>
      </c>
      <c r="V41">
        <v>2418.252</v>
      </c>
      <c r="W41">
        <v>1358.31</v>
      </c>
      <c r="X41">
        <v>3537.0390000000002</v>
      </c>
      <c r="Y41">
        <v>4893.7539999999999</v>
      </c>
      <c r="Z41">
        <v>224.37</v>
      </c>
      <c r="AA41">
        <v>1953.6579999999999</v>
      </c>
      <c r="AB41">
        <v>2141.9459999999999</v>
      </c>
      <c r="AC41">
        <v>5245.2430000000004</v>
      </c>
      <c r="AD41">
        <v>1531.0809999999999</v>
      </c>
      <c r="AE41">
        <v>13624.433000000001</v>
      </c>
      <c r="AF41">
        <v>95925.051000000007</v>
      </c>
      <c r="AG41">
        <v>6016.6729999999998</v>
      </c>
      <c r="AH41">
        <v>643.14300000000003</v>
      </c>
      <c r="AI41">
        <v>2077.4050000000002</v>
      </c>
      <c r="AJ41">
        <v>6079.098</v>
      </c>
      <c r="AK41">
        <v>3186.7379999999998</v>
      </c>
      <c r="AL41">
        <v>14110.519</v>
      </c>
      <c r="AM41">
        <v>27639.244999999999</v>
      </c>
      <c r="AN41">
        <v>38020.527999999998</v>
      </c>
      <c r="AO41">
        <v>208842.057</v>
      </c>
      <c r="AP41">
        <v>115636.833</v>
      </c>
      <c r="AQ41">
        <v>42932.148999999998</v>
      </c>
      <c r="AR41">
        <v>80702.52</v>
      </c>
      <c r="AS41">
        <v>45895.68</v>
      </c>
      <c r="AT41">
        <v>99569.948000000004</v>
      </c>
      <c r="AU41">
        <v>27274.952000000001</v>
      </c>
      <c r="AV41">
        <v>40867.978999999999</v>
      </c>
      <c r="AW41">
        <v>7362.1570000000002</v>
      </c>
      <c r="AX41">
        <v>10976.257</v>
      </c>
      <c r="AY41">
        <v>0</v>
      </c>
      <c r="AZ41">
        <v>42268.531000000003</v>
      </c>
      <c r="BA41">
        <v>1233.114</v>
      </c>
      <c r="BB41">
        <v>8528.6710000000003</v>
      </c>
      <c r="BC41">
        <v>344953.37</v>
      </c>
      <c r="BD41">
        <v>97.198999999999998</v>
      </c>
      <c r="BE41">
        <v>216.488</v>
      </c>
      <c r="BF41">
        <v>333.11200000000002</v>
      </c>
      <c r="BG41">
        <v>74364.528000000006</v>
      </c>
      <c r="BH41">
        <v>-86678.468999999997</v>
      </c>
      <c r="BI41">
        <v>1337497.3740000001</v>
      </c>
    </row>
    <row r="42" spans="1:61" x14ac:dyDescent="0.25">
      <c r="A42" t="s">
        <v>118</v>
      </c>
      <c r="B42">
        <v>19425.22</v>
      </c>
      <c r="C42">
        <v>787.10400000000004</v>
      </c>
      <c r="D42">
        <v>158.62700000000001</v>
      </c>
      <c r="E42">
        <v>840.44899999999996</v>
      </c>
      <c r="F42">
        <v>36205.125999999997</v>
      </c>
      <c r="G42">
        <v>1253.5730000000001</v>
      </c>
      <c r="H42">
        <v>980.08299999999997</v>
      </c>
      <c r="I42">
        <v>1494.7550000000001</v>
      </c>
      <c r="J42">
        <v>27472.102999999999</v>
      </c>
      <c r="K42">
        <v>1923.431</v>
      </c>
      <c r="L42">
        <v>2800.393</v>
      </c>
      <c r="M42">
        <v>7815.19</v>
      </c>
      <c r="N42">
        <v>8857.6090000000004</v>
      </c>
      <c r="O42">
        <v>9048.0059999999994</v>
      </c>
      <c r="P42">
        <v>5711.6869999999999</v>
      </c>
      <c r="Q42">
        <v>5888.4250000000002</v>
      </c>
      <c r="R42">
        <v>4189</v>
      </c>
      <c r="S42">
        <v>3111.6579999999999</v>
      </c>
      <c r="T42">
        <v>2656.4009999999998</v>
      </c>
      <c r="U42">
        <v>7752.5</v>
      </c>
      <c r="V42">
        <v>3757.72</v>
      </c>
      <c r="W42">
        <v>3195.99</v>
      </c>
      <c r="X42">
        <v>9228.4349999999995</v>
      </c>
      <c r="Y42">
        <v>11653.311</v>
      </c>
      <c r="Z42">
        <v>518.18700000000001</v>
      </c>
      <c r="AA42">
        <v>4477.6869999999999</v>
      </c>
      <c r="AB42">
        <v>5263.5550000000003</v>
      </c>
      <c r="AC42">
        <v>13956.844999999999</v>
      </c>
      <c r="AD42">
        <v>3963.2069999999999</v>
      </c>
      <c r="AE42">
        <v>37851.917999999998</v>
      </c>
      <c r="AF42">
        <v>199344.67</v>
      </c>
      <c r="AG42">
        <v>29789.238000000001</v>
      </c>
      <c r="AH42">
        <v>2408.8829999999998</v>
      </c>
      <c r="AI42">
        <v>6772.6909999999998</v>
      </c>
      <c r="AJ42">
        <v>12670.669</v>
      </c>
      <c r="AK42">
        <v>3253.2420000000002</v>
      </c>
      <c r="AL42">
        <v>33108.828000000001</v>
      </c>
      <c r="AM42">
        <v>14301.657999999999</v>
      </c>
      <c r="AN42">
        <v>19391.003000000001</v>
      </c>
      <c r="AO42">
        <v>21556.067999999999</v>
      </c>
      <c r="AP42">
        <v>752650.92299999995</v>
      </c>
      <c r="AQ42">
        <v>346285.717</v>
      </c>
      <c r="AR42">
        <v>80746.599000000002</v>
      </c>
      <c r="AS42">
        <v>66138.201000000001</v>
      </c>
      <c r="AT42">
        <v>110278.988</v>
      </c>
      <c r="AU42">
        <v>25494.822</v>
      </c>
      <c r="AV42">
        <v>43829.495000000003</v>
      </c>
      <c r="AW42">
        <v>11366.291999999999</v>
      </c>
      <c r="AX42">
        <v>20847.145</v>
      </c>
      <c r="AY42">
        <v>0</v>
      </c>
      <c r="AZ42">
        <v>1345886.5490000001</v>
      </c>
      <c r="BA42">
        <v>1739.569</v>
      </c>
      <c r="BB42">
        <v>14.115</v>
      </c>
      <c r="BC42">
        <v>11743.482</v>
      </c>
      <c r="BD42">
        <v>716.06600000000003</v>
      </c>
      <c r="BE42">
        <v>2975.2</v>
      </c>
      <c r="BF42">
        <v>2697.8560000000002</v>
      </c>
      <c r="BG42">
        <v>236611.12100000001</v>
      </c>
      <c r="BH42">
        <v>-116762.851</v>
      </c>
      <c r="BI42">
        <v>3528094.4350000001</v>
      </c>
    </row>
    <row r="43" spans="1:61" x14ac:dyDescent="0.25">
      <c r="A43" t="s">
        <v>119</v>
      </c>
      <c r="B43">
        <v>1707.991</v>
      </c>
      <c r="C43">
        <v>245.35599999999999</v>
      </c>
      <c r="D43">
        <v>20.914000000000001</v>
      </c>
      <c r="E43">
        <v>301.92500000000001</v>
      </c>
      <c r="F43">
        <v>10654.571</v>
      </c>
      <c r="G43">
        <v>280.28699999999998</v>
      </c>
      <c r="H43">
        <v>440.06799999999998</v>
      </c>
      <c r="I43">
        <v>330.31400000000002</v>
      </c>
      <c r="J43">
        <v>11874.18</v>
      </c>
      <c r="K43">
        <v>1132.923</v>
      </c>
      <c r="L43">
        <v>1205.6959999999999</v>
      </c>
      <c r="M43">
        <v>3479.18</v>
      </c>
      <c r="N43">
        <v>1764.624</v>
      </c>
      <c r="O43">
        <v>2595.9940000000001</v>
      </c>
      <c r="P43">
        <v>2500.6889999999999</v>
      </c>
      <c r="Q43">
        <v>2388.6379999999999</v>
      </c>
      <c r="R43">
        <v>1505.32</v>
      </c>
      <c r="S43">
        <v>1049.7850000000001</v>
      </c>
      <c r="T43">
        <v>861.11099999999999</v>
      </c>
      <c r="U43">
        <v>4971.1170000000002</v>
      </c>
      <c r="V43">
        <v>1945.8920000000001</v>
      </c>
      <c r="W43">
        <v>1328.537</v>
      </c>
      <c r="X43">
        <v>3694.4639999999999</v>
      </c>
      <c r="Y43">
        <v>6195.6930000000002</v>
      </c>
      <c r="Z43">
        <v>442.13299999999998</v>
      </c>
      <c r="AA43">
        <v>1717.768</v>
      </c>
      <c r="AB43">
        <v>4049.0529999999999</v>
      </c>
      <c r="AC43">
        <v>3372.92</v>
      </c>
      <c r="AD43">
        <v>1687.9960000000001</v>
      </c>
      <c r="AE43">
        <v>25548.641</v>
      </c>
      <c r="AF43">
        <v>376893.75</v>
      </c>
      <c r="AG43">
        <v>12220.973</v>
      </c>
      <c r="AH43">
        <v>767.25300000000004</v>
      </c>
      <c r="AI43">
        <v>1733.443</v>
      </c>
      <c r="AJ43">
        <v>16903.152999999998</v>
      </c>
      <c r="AK43">
        <v>4150.7960000000003</v>
      </c>
      <c r="AL43">
        <v>119564.34600000001</v>
      </c>
      <c r="AM43">
        <v>21692.138999999999</v>
      </c>
      <c r="AN43">
        <v>28738.795999999998</v>
      </c>
      <c r="AO43">
        <v>37047.339</v>
      </c>
      <c r="AP43">
        <v>99905.269</v>
      </c>
      <c r="AQ43">
        <v>262865.21299999999</v>
      </c>
      <c r="AR43">
        <v>86533.686000000002</v>
      </c>
      <c r="AS43">
        <v>61750.635000000002</v>
      </c>
      <c r="AT43">
        <v>96712.198000000004</v>
      </c>
      <c r="AU43">
        <v>47885.627999999997</v>
      </c>
      <c r="AV43">
        <v>89528.054999999993</v>
      </c>
      <c r="AW43">
        <v>18454.156999999999</v>
      </c>
      <c r="AX43">
        <v>27859.048999999999</v>
      </c>
      <c r="AY43">
        <v>0</v>
      </c>
      <c r="AZ43">
        <v>2657368.9539999999</v>
      </c>
      <c r="BA43">
        <v>6799.2380000000003</v>
      </c>
      <c r="BB43">
        <v>0.66600000000000004</v>
      </c>
      <c r="BC43">
        <v>316520.99099999998</v>
      </c>
      <c r="BD43">
        <v>2.4910000000000001</v>
      </c>
      <c r="BE43">
        <v>13109.861000000001</v>
      </c>
      <c r="BF43">
        <v>8428.5139999999992</v>
      </c>
      <c r="BG43">
        <v>3519.529</v>
      </c>
      <c r="BH43">
        <v>-14230.043</v>
      </c>
      <c r="BI43">
        <v>4502019.8569999998</v>
      </c>
    </row>
    <row r="44" spans="1:61" x14ac:dyDescent="0.25">
      <c r="A44" t="s">
        <v>120</v>
      </c>
      <c r="B44">
        <v>19668.580000000002</v>
      </c>
      <c r="C44">
        <v>382.161</v>
      </c>
      <c r="D44">
        <v>85.492000000000004</v>
      </c>
      <c r="E44">
        <v>1132.2049999999999</v>
      </c>
      <c r="F44">
        <v>40124.417999999998</v>
      </c>
      <c r="G44">
        <v>1596.4970000000001</v>
      </c>
      <c r="H44">
        <v>1500.299</v>
      </c>
      <c r="I44">
        <v>2932.2089999999998</v>
      </c>
      <c r="J44">
        <v>50838.658000000003</v>
      </c>
      <c r="K44">
        <v>2661.6350000000002</v>
      </c>
      <c r="L44">
        <v>2875.5279999999998</v>
      </c>
      <c r="M44">
        <v>8964.1020000000008</v>
      </c>
      <c r="N44">
        <v>7395.7020000000002</v>
      </c>
      <c r="O44">
        <v>14173.735000000001</v>
      </c>
      <c r="P44">
        <v>13758.048000000001</v>
      </c>
      <c r="Q44">
        <v>9640.6450000000004</v>
      </c>
      <c r="R44">
        <v>5909.7629999999999</v>
      </c>
      <c r="S44">
        <v>4454.0190000000002</v>
      </c>
      <c r="T44">
        <v>2374.4879999999998</v>
      </c>
      <c r="U44">
        <v>12565.121999999999</v>
      </c>
      <c r="V44">
        <v>11891.73</v>
      </c>
      <c r="W44">
        <v>4647.5720000000001</v>
      </c>
      <c r="X44">
        <v>13880.231</v>
      </c>
      <c r="Y44">
        <v>32805.955000000002</v>
      </c>
      <c r="Z44">
        <v>1153.0060000000001</v>
      </c>
      <c r="AA44">
        <v>8581.6589999999997</v>
      </c>
      <c r="AB44">
        <v>8175.4880000000003</v>
      </c>
      <c r="AC44">
        <v>19542.671999999999</v>
      </c>
      <c r="AD44">
        <v>5262.29</v>
      </c>
      <c r="AE44">
        <v>93195.14</v>
      </c>
      <c r="AF44">
        <v>348215.511</v>
      </c>
      <c r="AG44">
        <v>17091.815999999999</v>
      </c>
      <c r="AH44">
        <v>1638.7909999999999</v>
      </c>
      <c r="AI44">
        <v>4549.78</v>
      </c>
      <c r="AJ44">
        <v>19497.722000000002</v>
      </c>
      <c r="AK44">
        <v>3020.7530000000002</v>
      </c>
      <c r="AL44">
        <v>67992.808000000005</v>
      </c>
      <c r="AM44">
        <v>58849.161</v>
      </c>
      <c r="AN44">
        <v>51989.186000000002</v>
      </c>
      <c r="AO44">
        <v>69095.769</v>
      </c>
      <c r="AP44">
        <v>237439.467</v>
      </c>
      <c r="AQ44">
        <v>244060.739</v>
      </c>
      <c r="AR44">
        <v>444580.27</v>
      </c>
      <c r="AS44">
        <v>134170.87599999999</v>
      </c>
      <c r="AT44">
        <v>229815.921</v>
      </c>
      <c r="AU44">
        <v>65800.543000000005</v>
      </c>
      <c r="AV44">
        <v>113965.489</v>
      </c>
      <c r="AW44">
        <v>25382.383000000002</v>
      </c>
      <c r="AX44">
        <v>41459.142</v>
      </c>
      <c r="AY44">
        <v>0</v>
      </c>
      <c r="AZ44">
        <v>120167.64</v>
      </c>
      <c r="BA44">
        <v>3532.627</v>
      </c>
      <c r="BB44">
        <v>4352.6570000000002</v>
      </c>
      <c r="BC44">
        <v>470079.84700000001</v>
      </c>
      <c r="BD44">
        <v>253.58500000000001</v>
      </c>
      <c r="BE44">
        <v>1294.5650000000001</v>
      </c>
      <c r="BF44">
        <v>1445.095</v>
      </c>
      <c r="BG44">
        <v>235958.16099999999</v>
      </c>
      <c r="BH44">
        <v>-159180.76300000001</v>
      </c>
      <c r="BI44">
        <v>3258688.59</v>
      </c>
    </row>
    <row r="45" spans="1:61" x14ac:dyDescent="0.25">
      <c r="A45" t="s">
        <v>121</v>
      </c>
      <c r="B45">
        <v>7917.6319999999996</v>
      </c>
      <c r="C45">
        <v>600.25199999999995</v>
      </c>
      <c r="D45">
        <v>69.191000000000003</v>
      </c>
      <c r="E45">
        <v>1057.8320000000001</v>
      </c>
      <c r="F45">
        <v>43533.790999999997</v>
      </c>
      <c r="G45">
        <v>1570.904</v>
      </c>
      <c r="H45">
        <v>1722.461</v>
      </c>
      <c r="I45">
        <v>2223.2469999999998</v>
      </c>
      <c r="J45">
        <v>24854.637999999999</v>
      </c>
      <c r="K45">
        <v>1357.595</v>
      </c>
      <c r="L45">
        <v>2031.877</v>
      </c>
      <c r="M45">
        <v>6530.5709999999999</v>
      </c>
      <c r="N45">
        <v>3555.9630000000002</v>
      </c>
      <c r="O45">
        <v>7313.232</v>
      </c>
      <c r="P45">
        <v>7882.3810000000003</v>
      </c>
      <c r="Q45">
        <v>6082.4309999999996</v>
      </c>
      <c r="R45">
        <v>3879.317</v>
      </c>
      <c r="S45">
        <v>1991.489</v>
      </c>
      <c r="T45">
        <v>1453.691</v>
      </c>
      <c r="U45">
        <v>8273.9210000000003</v>
      </c>
      <c r="V45">
        <v>4482.0969999999998</v>
      </c>
      <c r="W45">
        <v>3012.0120000000002</v>
      </c>
      <c r="X45">
        <v>10261.731</v>
      </c>
      <c r="Y45">
        <v>18635.348000000002</v>
      </c>
      <c r="Z45">
        <v>771.529</v>
      </c>
      <c r="AA45">
        <v>6189.8810000000003</v>
      </c>
      <c r="AB45">
        <v>5489.5460000000003</v>
      </c>
      <c r="AC45">
        <v>10517.942999999999</v>
      </c>
      <c r="AD45">
        <v>5761.42</v>
      </c>
      <c r="AE45">
        <v>48871.771999999997</v>
      </c>
      <c r="AF45">
        <v>197105.40299999999</v>
      </c>
      <c r="AG45">
        <v>25515.673999999999</v>
      </c>
      <c r="AH45">
        <v>3551.933</v>
      </c>
      <c r="AI45">
        <v>9661.7980000000007</v>
      </c>
      <c r="AJ45">
        <v>21180.953000000001</v>
      </c>
      <c r="AK45">
        <v>6642.741</v>
      </c>
      <c r="AL45">
        <v>45269.273999999998</v>
      </c>
      <c r="AM45">
        <v>35360.625</v>
      </c>
      <c r="AN45">
        <v>39642.756999999998</v>
      </c>
      <c r="AO45">
        <v>50595.8</v>
      </c>
      <c r="AP45">
        <v>108312.201</v>
      </c>
      <c r="AQ45">
        <v>126246.107</v>
      </c>
      <c r="AR45">
        <v>121034.66899999999</v>
      </c>
      <c r="AS45">
        <v>169971.446</v>
      </c>
      <c r="AT45">
        <v>150563.49600000001</v>
      </c>
      <c r="AU45">
        <v>59042.788999999997</v>
      </c>
      <c r="AV45">
        <v>92881.414000000004</v>
      </c>
      <c r="AW45">
        <v>18610.177</v>
      </c>
      <c r="AX45">
        <v>20158.957999999999</v>
      </c>
      <c r="AY45">
        <v>0</v>
      </c>
      <c r="AZ45">
        <v>212607.62400000001</v>
      </c>
      <c r="BA45">
        <v>1651.5920000000001</v>
      </c>
      <c r="BB45">
        <v>5773.8879999999999</v>
      </c>
      <c r="BC45">
        <v>12635.786</v>
      </c>
      <c r="BD45">
        <v>15.462999999999999</v>
      </c>
      <c r="BE45">
        <v>2148.3420000000001</v>
      </c>
      <c r="BF45">
        <v>2241.268</v>
      </c>
      <c r="BG45">
        <v>80974.565000000002</v>
      </c>
      <c r="BH45">
        <v>-17944.535</v>
      </c>
      <c r="BI45">
        <v>1849347.9029999999</v>
      </c>
    </row>
    <row r="46" spans="1:61" x14ac:dyDescent="0.25">
      <c r="A46" t="s">
        <v>122</v>
      </c>
      <c r="B46">
        <v>4952.4210000000003</v>
      </c>
      <c r="C46">
        <v>330.86599999999999</v>
      </c>
      <c r="D46">
        <v>28.302</v>
      </c>
      <c r="E46">
        <v>360.46499999999997</v>
      </c>
      <c r="F46">
        <v>6327.2039999999997</v>
      </c>
      <c r="G46">
        <v>435.67899999999997</v>
      </c>
      <c r="H46">
        <v>402.77600000000001</v>
      </c>
      <c r="I46">
        <v>292.68099999999998</v>
      </c>
      <c r="J46">
        <v>10027.239</v>
      </c>
      <c r="K46">
        <v>662.048</v>
      </c>
      <c r="L46">
        <v>1495.431</v>
      </c>
      <c r="M46">
        <v>3466.2550000000001</v>
      </c>
      <c r="N46">
        <v>2119.2759999999998</v>
      </c>
      <c r="O46">
        <v>3463.8670000000002</v>
      </c>
      <c r="P46">
        <v>2207.8690000000001</v>
      </c>
      <c r="Q46">
        <v>2066.9119999999998</v>
      </c>
      <c r="R46">
        <v>1681.0640000000001</v>
      </c>
      <c r="S46">
        <v>2376.5369999999998</v>
      </c>
      <c r="T46">
        <v>1581.8589999999999</v>
      </c>
      <c r="U46">
        <v>3327.9340000000002</v>
      </c>
      <c r="V46">
        <v>798.64599999999996</v>
      </c>
      <c r="W46">
        <v>829.28599999999994</v>
      </c>
      <c r="X46">
        <v>2454.6779999999999</v>
      </c>
      <c r="Y46">
        <v>4935.7860000000001</v>
      </c>
      <c r="Z46">
        <v>184.834</v>
      </c>
      <c r="AA46">
        <v>1396.9870000000001</v>
      </c>
      <c r="AB46">
        <v>1518.3119999999999</v>
      </c>
      <c r="AC46">
        <v>11308.466</v>
      </c>
      <c r="AD46">
        <v>4377.518</v>
      </c>
      <c r="AE46">
        <v>15205.121999999999</v>
      </c>
      <c r="AF46">
        <v>60124.250999999997</v>
      </c>
      <c r="AG46">
        <v>11586.259</v>
      </c>
      <c r="AH46">
        <v>460.87799999999999</v>
      </c>
      <c r="AI46">
        <v>1014.691</v>
      </c>
      <c r="AJ46">
        <v>4294.5540000000001</v>
      </c>
      <c r="AK46">
        <v>1153.2739999999999</v>
      </c>
      <c r="AL46">
        <v>17021.848000000002</v>
      </c>
      <c r="AM46">
        <v>5293.848</v>
      </c>
      <c r="AN46">
        <v>8104.36</v>
      </c>
      <c r="AO46">
        <v>5667.9989999999998</v>
      </c>
      <c r="AP46">
        <v>35371.925999999999</v>
      </c>
      <c r="AQ46">
        <v>59049.739000000001</v>
      </c>
      <c r="AR46">
        <v>23779.965</v>
      </c>
      <c r="AS46">
        <v>14878.723</v>
      </c>
      <c r="AT46">
        <v>110663.542</v>
      </c>
      <c r="AU46">
        <v>17143.632000000001</v>
      </c>
      <c r="AV46">
        <v>51441.366999999998</v>
      </c>
      <c r="AW46">
        <v>6689.8720000000003</v>
      </c>
      <c r="AX46">
        <v>7541.2160000000003</v>
      </c>
      <c r="AY46">
        <v>0</v>
      </c>
      <c r="AZ46">
        <v>452385.02399999998</v>
      </c>
      <c r="BA46">
        <v>9350.9699999999993</v>
      </c>
      <c r="BB46">
        <v>2423018.773</v>
      </c>
      <c r="BC46">
        <v>10118.177</v>
      </c>
      <c r="BD46">
        <v>12.615</v>
      </c>
      <c r="BE46">
        <v>420.90699999999998</v>
      </c>
      <c r="BF46">
        <v>577.00099999999998</v>
      </c>
      <c r="BG46">
        <v>3245.8119999999999</v>
      </c>
      <c r="BH46">
        <v>-2662.4670000000001</v>
      </c>
      <c r="BI46">
        <v>3428365.0759999999</v>
      </c>
    </row>
    <row r="47" spans="1:61" x14ac:dyDescent="0.25">
      <c r="A47" t="s">
        <v>123</v>
      </c>
      <c r="B47">
        <v>319.34899999999999</v>
      </c>
      <c r="C47">
        <v>27.254000000000001</v>
      </c>
      <c r="D47">
        <v>2.9460000000000002</v>
      </c>
      <c r="E47">
        <v>18.221</v>
      </c>
      <c r="F47">
        <v>740.02</v>
      </c>
      <c r="G47">
        <v>47.747</v>
      </c>
      <c r="H47">
        <v>44.558999999999997</v>
      </c>
      <c r="I47">
        <v>30.994</v>
      </c>
      <c r="J47">
        <v>844.92</v>
      </c>
      <c r="K47">
        <v>50.6</v>
      </c>
      <c r="L47">
        <v>79.462999999999994</v>
      </c>
      <c r="M47">
        <v>318.96499999999997</v>
      </c>
      <c r="N47">
        <v>274.43200000000002</v>
      </c>
      <c r="O47">
        <v>297.61099999999999</v>
      </c>
      <c r="P47">
        <v>316.52499999999998</v>
      </c>
      <c r="Q47">
        <v>166.815</v>
      </c>
      <c r="R47">
        <v>106.68899999999999</v>
      </c>
      <c r="S47">
        <v>110.91800000000001</v>
      </c>
      <c r="T47">
        <v>84.751000000000005</v>
      </c>
      <c r="U47">
        <v>278.49599999999998</v>
      </c>
      <c r="V47">
        <v>160.101</v>
      </c>
      <c r="W47">
        <v>124.556</v>
      </c>
      <c r="X47">
        <v>339.17700000000002</v>
      </c>
      <c r="Y47">
        <v>374.02199999999999</v>
      </c>
      <c r="Z47">
        <v>26.437000000000001</v>
      </c>
      <c r="AA47">
        <v>213.74299999999999</v>
      </c>
      <c r="AB47">
        <v>201.91399999999999</v>
      </c>
      <c r="AC47">
        <v>359.21100000000001</v>
      </c>
      <c r="AD47">
        <v>174.524</v>
      </c>
      <c r="AE47">
        <v>2710.547</v>
      </c>
      <c r="AF47">
        <v>5766.9390000000003</v>
      </c>
      <c r="AG47">
        <v>815.52800000000002</v>
      </c>
      <c r="AH47">
        <v>78.320999999999998</v>
      </c>
      <c r="AI47">
        <v>404.06400000000002</v>
      </c>
      <c r="AJ47">
        <v>695.09199999999998</v>
      </c>
      <c r="AK47">
        <v>141.85499999999999</v>
      </c>
      <c r="AL47">
        <v>1559.441</v>
      </c>
      <c r="AM47">
        <v>1212.8900000000001</v>
      </c>
      <c r="AN47">
        <v>1795.6780000000001</v>
      </c>
      <c r="AO47">
        <v>3041.76</v>
      </c>
      <c r="AP47">
        <v>7300.3220000000001</v>
      </c>
      <c r="AQ47">
        <v>4392.0129999999999</v>
      </c>
      <c r="AR47">
        <v>7865.9780000000001</v>
      </c>
      <c r="AS47">
        <v>5182.0249999999996</v>
      </c>
      <c r="AT47">
        <v>18978.626</v>
      </c>
      <c r="AU47">
        <v>23436.017</v>
      </c>
      <c r="AV47">
        <v>6362.1850000000004</v>
      </c>
      <c r="AW47">
        <v>1607.44</v>
      </c>
      <c r="AX47">
        <v>2097.92</v>
      </c>
      <c r="AY47">
        <v>0</v>
      </c>
      <c r="AZ47">
        <v>622794.96299999999</v>
      </c>
      <c r="BA47">
        <v>98561.792000000001</v>
      </c>
      <c r="BB47">
        <v>836334.05599999998</v>
      </c>
      <c r="BC47">
        <v>32421.710999999999</v>
      </c>
      <c r="BD47">
        <v>13.754</v>
      </c>
      <c r="BE47">
        <v>1982.5050000000001</v>
      </c>
      <c r="BF47">
        <v>27158.550999999999</v>
      </c>
      <c r="BG47">
        <v>2223.2350000000001</v>
      </c>
      <c r="BH47">
        <v>-5497.6260000000002</v>
      </c>
      <c r="BI47">
        <v>1717572.541</v>
      </c>
    </row>
    <row r="48" spans="1:61" x14ac:dyDescent="0.25">
      <c r="A48" t="s">
        <v>124</v>
      </c>
      <c r="B48">
        <v>188.274</v>
      </c>
      <c r="C48">
        <v>21.081</v>
      </c>
      <c r="D48">
        <v>3.0979999999999999</v>
      </c>
      <c r="E48">
        <v>40.088999999999999</v>
      </c>
      <c r="F48">
        <v>323.62099999999998</v>
      </c>
      <c r="G48">
        <v>19.977</v>
      </c>
      <c r="H48">
        <v>7.0679999999999996</v>
      </c>
      <c r="I48">
        <v>12.705</v>
      </c>
      <c r="J48">
        <v>593.63099999999997</v>
      </c>
      <c r="K48">
        <v>30.484000000000002</v>
      </c>
      <c r="L48">
        <v>35.267000000000003</v>
      </c>
      <c r="M48">
        <v>125.23699999999999</v>
      </c>
      <c r="N48">
        <v>80.004999999999995</v>
      </c>
      <c r="O48">
        <v>148.24199999999999</v>
      </c>
      <c r="P48">
        <v>189</v>
      </c>
      <c r="Q48">
        <v>151.01300000000001</v>
      </c>
      <c r="R48">
        <v>126.45099999999999</v>
      </c>
      <c r="S48">
        <v>38.201000000000001</v>
      </c>
      <c r="T48">
        <v>37.381999999999998</v>
      </c>
      <c r="U48">
        <v>263.35399999999998</v>
      </c>
      <c r="V48">
        <v>96.460999999999999</v>
      </c>
      <c r="W48">
        <v>64.593000000000004</v>
      </c>
      <c r="X48">
        <v>157.51400000000001</v>
      </c>
      <c r="Y48">
        <v>267.58999999999997</v>
      </c>
      <c r="Z48">
        <v>16.646000000000001</v>
      </c>
      <c r="AA48">
        <v>68.239000000000004</v>
      </c>
      <c r="AB48">
        <v>117.261</v>
      </c>
      <c r="AC48">
        <v>138.33600000000001</v>
      </c>
      <c r="AD48">
        <v>93.754999999999995</v>
      </c>
      <c r="AE48">
        <v>726.18600000000004</v>
      </c>
      <c r="AF48">
        <v>3527.77</v>
      </c>
      <c r="AG48">
        <v>550.57799999999997</v>
      </c>
      <c r="AH48">
        <v>14.641</v>
      </c>
      <c r="AI48">
        <v>66.363</v>
      </c>
      <c r="AJ48">
        <v>149.547</v>
      </c>
      <c r="AK48">
        <v>91.619</v>
      </c>
      <c r="AL48">
        <v>1232.425</v>
      </c>
      <c r="AM48">
        <v>482.76799999999997</v>
      </c>
      <c r="AN48">
        <v>281.12700000000001</v>
      </c>
      <c r="AO48">
        <v>576.14800000000002</v>
      </c>
      <c r="AP48">
        <v>2469.7350000000001</v>
      </c>
      <c r="AQ48">
        <v>1058.0550000000001</v>
      </c>
      <c r="AR48">
        <v>2513.7860000000001</v>
      </c>
      <c r="AS48">
        <v>1220.604</v>
      </c>
      <c r="AT48">
        <v>17879.329000000002</v>
      </c>
      <c r="AU48">
        <v>3047.3180000000002</v>
      </c>
      <c r="AV48">
        <v>209597.44099999999</v>
      </c>
      <c r="AW48">
        <v>433.33300000000003</v>
      </c>
      <c r="AX48">
        <v>1539.7570000000001</v>
      </c>
      <c r="AY48">
        <v>0</v>
      </c>
      <c r="AZ48">
        <v>2395441.4010000001</v>
      </c>
      <c r="BA48">
        <v>168672.16800000001</v>
      </c>
      <c r="BB48">
        <v>211617.01699999999</v>
      </c>
      <c r="BC48">
        <v>554.10599999999999</v>
      </c>
      <c r="BD48">
        <v>10.567</v>
      </c>
      <c r="BE48">
        <v>2920.8960000000002</v>
      </c>
      <c r="BF48">
        <v>1768.922</v>
      </c>
      <c r="BG48">
        <v>281.79399999999998</v>
      </c>
      <c r="BH48">
        <v>-3649.83</v>
      </c>
      <c r="BI48">
        <v>3028530.1439999999</v>
      </c>
    </row>
    <row r="49" spans="1:61" x14ac:dyDescent="0.25">
      <c r="A49" t="s">
        <v>125</v>
      </c>
      <c r="B49">
        <v>177.756</v>
      </c>
      <c r="C49">
        <v>22.85</v>
      </c>
      <c r="D49">
        <v>2.4470000000000001</v>
      </c>
      <c r="E49">
        <v>12.807</v>
      </c>
      <c r="F49">
        <v>310.21800000000002</v>
      </c>
      <c r="G49">
        <v>15.673999999999999</v>
      </c>
      <c r="H49">
        <v>18.385999999999999</v>
      </c>
      <c r="I49">
        <v>14.538</v>
      </c>
      <c r="J49">
        <v>843.24599999999998</v>
      </c>
      <c r="K49">
        <v>40.953000000000003</v>
      </c>
      <c r="L49">
        <v>53.165999999999997</v>
      </c>
      <c r="M49">
        <v>162.249</v>
      </c>
      <c r="N49">
        <v>80.034999999999997</v>
      </c>
      <c r="O49">
        <v>199.881</v>
      </c>
      <c r="P49">
        <v>101.58799999999999</v>
      </c>
      <c r="Q49">
        <v>147.43199999999999</v>
      </c>
      <c r="R49">
        <v>81.997</v>
      </c>
      <c r="S49">
        <v>48.774000000000001</v>
      </c>
      <c r="T49">
        <v>39.6</v>
      </c>
      <c r="U49">
        <v>220.68100000000001</v>
      </c>
      <c r="V49">
        <v>96.474999999999994</v>
      </c>
      <c r="W49">
        <v>56.624000000000002</v>
      </c>
      <c r="X49">
        <v>201.73400000000001</v>
      </c>
      <c r="Y49">
        <v>412.69299999999998</v>
      </c>
      <c r="Z49">
        <v>23.861000000000001</v>
      </c>
      <c r="AA49">
        <v>101.178</v>
      </c>
      <c r="AB49">
        <v>208.126</v>
      </c>
      <c r="AC49">
        <v>151.441</v>
      </c>
      <c r="AD49">
        <v>138.50299999999999</v>
      </c>
      <c r="AE49">
        <v>935.90599999999995</v>
      </c>
      <c r="AF49">
        <v>7028.3450000000003</v>
      </c>
      <c r="AG49">
        <v>530.69299999999998</v>
      </c>
      <c r="AH49">
        <v>60.753999999999998</v>
      </c>
      <c r="AI49">
        <v>130.25299999999999</v>
      </c>
      <c r="AJ49">
        <v>285.18099999999998</v>
      </c>
      <c r="AK49">
        <v>100.905</v>
      </c>
      <c r="AL49">
        <v>3606.3330000000001</v>
      </c>
      <c r="AM49">
        <v>9889.125</v>
      </c>
      <c r="AN49">
        <v>869.85900000000004</v>
      </c>
      <c r="AO49">
        <v>906.05399999999997</v>
      </c>
      <c r="AP49">
        <v>2624.5680000000002</v>
      </c>
      <c r="AQ49">
        <v>3303.9560000000001</v>
      </c>
      <c r="AR49">
        <v>5338.4589999999998</v>
      </c>
      <c r="AS49">
        <v>2799.721</v>
      </c>
      <c r="AT49">
        <v>10253.17</v>
      </c>
      <c r="AU49">
        <v>4464.3879999999999</v>
      </c>
      <c r="AV49">
        <v>3322.7579999999998</v>
      </c>
      <c r="AW49">
        <v>28369.194</v>
      </c>
      <c r="AX49">
        <v>10171.387000000001</v>
      </c>
      <c r="AY49">
        <v>0</v>
      </c>
      <c r="AZ49">
        <v>239174.728</v>
      </c>
      <c r="BA49">
        <v>61462.305</v>
      </c>
      <c r="BB49">
        <v>19207.669000000002</v>
      </c>
      <c r="BC49">
        <v>6852.2449999999999</v>
      </c>
      <c r="BD49">
        <v>4.42</v>
      </c>
      <c r="BE49">
        <v>6170.9080000000004</v>
      </c>
      <c r="BF49">
        <v>4299.6940000000004</v>
      </c>
      <c r="BG49">
        <v>2241.1660000000002</v>
      </c>
      <c r="BH49">
        <v>-7828.2640000000001</v>
      </c>
      <c r="BI49">
        <v>430560.79399999999</v>
      </c>
    </row>
    <row r="50" spans="1:61" x14ac:dyDescent="0.25">
      <c r="A50" t="s">
        <v>126</v>
      </c>
      <c r="B50">
        <v>396.50799999999998</v>
      </c>
      <c r="C50">
        <v>26.073</v>
      </c>
      <c r="D50">
        <v>11.244999999999999</v>
      </c>
      <c r="E50">
        <v>23.315999999999999</v>
      </c>
      <c r="F50">
        <v>548.91099999999994</v>
      </c>
      <c r="G50">
        <v>37.847999999999999</v>
      </c>
      <c r="H50">
        <v>41.529000000000003</v>
      </c>
      <c r="I50">
        <v>31.628</v>
      </c>
      <c r="J50">
        <v>1162.8440000000001</v>
      </c>
      <c r="K50">
        <v>91.36</v>
      </c>
      <c r="L50">
        <v>127.917</v>
      </c>
      <c r="M50">
        <v>193.42699999999999</v>
      </c>
      <c r="N50">
        <v>242.76400000000001</v>
      </c>
      <c r="O50">
        <v>283.78199999999998</v>
      </c>
      <c r="P50">
        <v>168.119</v>
      </c>
      <c r="Q50">
        <v>171.17699999999999</v>
      </c>
      <c r="R50">
        <v>151.13200000000001</v>
      </c>
      <c r="S50">
        <v>114.70399999999999</v>
      </c>
      <c r="T50">
        <v>56.868000000000002</v>
      </c>
      <c r="U50">
        <v>331.50099999999998</v>
      </c>
      <c r="V50">
        <v>144.084</v>
      </c>
      <c r="W50">
        <v>68.096999999999994</v>
      </c>
      <c r="X50">
        <v>238.31399999999999</v>
      </c>
      <c r="Y50">
        <v>352.94</v>
      </c>
      <c r="Z50">
        <v>19.337</v>
      </c>
      <c r="AA50">
        <v>112.319</v>
      </c>
      <c r="AB50">
        <v>207.81399999999999</v>
      </c>
      <c r="AC50">
        <v>223.64400000000001</v>
      </c>
      <c r="AD50">
        <v>239.34399999999999</v>
      </c>
      <c r="AE50">
        <v>1108.2070000000001</v>
      </c>
      <c r="AF50">
        <v>6762.223</v>
      </c>
      <c r="AG50">
        <v>724.505</v>
      </c>
      <c r="AH50">
        <v>76.917000000000002</v>
      </c>
      <c r="AI50">
        <v>145.02600000000001</v>
      </c>
      <c r="AJ50">
        <v>479.41500000000002</v>
      </c>
      <c r="AK50">
        <v>120.714</v>
      </c>
      <c r="AL50">
        <v>5650.4960000000001</v>
      </c>
      <c r="AM50">
        <v>1367.817</v>
      </c>
      <c r="AN50">
        <v>963.45899999999995</v>
      </c>
      <c r="AO50">
        <v>1476.152</v>
      </c>
      <c r="AP50">
        <v>6611.116</v>
      </c>
      <c r="AQ50">
        <v>4153.7780000000002</v>
      </c>
      <c r="AR50">
        <v>4963.6059999999998</v>
      </c>
      <c r="AS50">
        <v>4158.2259999999997</v>
      </c>
      <c r="AT50">
        <v>6398.3010000000004</v>
      </c>
      <c r="AU50">
        <v>2690.1759999999999</v>
      </c>
      <c r="AV50">
        <v>15395.919</v>
      </c>
      <c r="AW50">
        <v>1379.9590000000001</v>
      </c>
      <c r="AX50">
        <v>12321.034</v>
      </c>
      <c r="AY50">
        <v>0</v>
      </c>
      <c r="AZ50">
        <v>370374.196</v>
      </c>
      <c r="BA50">
        <v>147737.45699999999</v>
      </c>
      <c r="BB50">
        <v>303.01299999999998</v>
      </c>
      <c r="BC50">
        <v>1759.3889999999999</v>
      </c>
      <c r="BD50">
        <v>4.3099999999999996</v>
      </c>
      <c r="BE50">
        <v>3284.748</v>
      </c>
      <c r="BF50">
        <v>2473.4740000000002</v>
      </c>
      <c r="BG50">
        <v>898.46699999999998</v>
      </c>
      <c r="BH50">
        <v>-3989.1869999999999</v>
      </c>
      <c r="BI50">
        <v>605611.45799999998</v>
      </c>
    </row>
    <row r="51" spans="1:61" x14ac:dyDescent="0.25">
      <c r="A51" t="s">
        <v>127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25206.276999999998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25206.276999999998</v>
      </c>
    </row>
    <row r="52" spans="1:61" x14ac:dyDescent="0.25">
      <c r="A52" t="s">
        <v>128</v>
      </c>
      <c r="B52">
        <v>103.58499999999999</v>
      </c>
      <c r="C52">
        <v>5.9710000000000001</v>
      </c>
      <c r="D52">
        <v>2.6970000000000001</v>
      </c>
      <c r="E52">
        <v>13.215999999999999</v>
      </c>
      <c r="F52">
        <v>387.10500000000002</v>
      </c>
      <c r="G52">
        <v>17.602</v>
      </c>
      <c r="H52">
        <v>17.305</v>
      </c>
      <c r="I52">
        <v>11.516</v>
      </c>
      <c r="J52">
        <v>3.125</v>
      </c>
      <c r="K52">
        <v>94.778999999999996</v>
      </c>
      <c r="L52">
        <v>59.960999999999999</v>
      </c>
      <c r="M52">
        <v>144.77099999999999</v>
      </c>
      <c r="N52">
        <v>2681.6089999999999</v>
      </c>
      <c r="O52">
        <v>438.06400000000002</v>
      </c>
      <c r="P52">
        <v>107.67</v>
      </c>
      <c r="Q52">
        <v>287.73700000000002</v>
      </c>
      <c r="R52">
        <v>101.08199999999999</v>
      </c>
      <c r="S52">
        <v>111.80200000000001</v>
      </c>
      <c r="T52">
        <v>67.048000000000002</v>
      </c>
      <c r="U52">
        <v>197.69300000000001</v>
      </c>
      <c r="V52">
        <v>352.24099999999999</v>
      </c>
      <c r="W52">
        <v>152.672</v>
      </c>
      <c r="X52">
        <v>333.48599999999999</v>
      </c>
      <c r="Y52">
        <v>2418.6439999999998</v>
      </c>
      <c r="Z52">
        <v>20.071999999999999</v>
      </c>
      <c r="AA52">
        <v>274.85599999999999</v>
      </c>
      <c r="AB52">
        <v>225.643</v>
      </c>
      <c r="AC52">
        <v>641.75199999999995</v>
      </c>
      <c r="AD52">
        <v>47.097999999999999</v>
      </c>
      <c r="AE52">
        <v>929.53499999999997</v>
      </c>
      <c r="AF52">
        <v>1695.923</v>
      </c>
      <c r="AG52">
        <v>553.18799999999999</v>
      </c>
      <c r="AH52">
        <v>52.798999999999999</v>
      </c>
      <c r="AI52">
        <v>167.04</v>
      </c>
      <c r="AJ52">
        <v>109.99299999999999</v>
      </c>
      <c r="AK52">
        <v>29.364000000000001</v>
      </c>
      <c r="AL52">
        <v>209.24100000000001</v>
      </c>
      <c r="AM52">
        <v>150.87899999999999</v>
      </c>
      <c r="AN52">
        <v>209.71299999999999</v>
      </c>
      <c r="AO52">
        <v>254.07599999999999</v>
      </c>
      <c r="AP52">
        <v>470.54199999999997</v>
      </c>
      <c r="AQ52">
        <v>381.44900000000001</v>
      </c>
      <c r="AR52">
        <v>561.61800000000005</v>
      </c>
      <c r="AS52">
        <v>398.56</v>
      </c>
      <c r="AT52">
        <v>770.255</v>
      </c>
      <c r="AU52">
        <v>280.16000000000003</v>
      </c>
      <c r="AV52">
        <v>1061.376</v>
      </c>
      <c r="AW52">
        <v>87.492999999999995</v>
      </c>
      <c r="AX52">
        <v>154.488</v>
      </c>
      <c r="AY52">
        <v>0</v>
      </c>
      <c r="AZ52">
        <v>16461.628000000001</v>
      </c>
      <c r="BA52">
        <v>4.3529999999999998</v>
      </c>
      <c r="BB52">
        <v>32.154000000000003</v>
      </c>
      <c r="BC52">
        <v>11429.66</v>
      </c>
      <c r="BD52">
        <v>982.322</v>
      </c>
      <c r="BE52">
        <v>11153.968000000001</v>
      </c>
      <c r="BF52">
        <v>0</v>
      </c>
      <c r="BG52">
        <v>0</v>
      </c>
      <c r="BH52">
        <v>0</v>
      </c>
      <c r="BI52">
        <v>57912.58</v>
      </c>
    </row>
    <row r="53" spans="1:61" x14ac:dyDescent="0.25">
      <c r="A53" t="s">
        <v>129</v>
      </c>
      <c r="B53">
        <v>5697.7089999999998</v>
      </c>
      <c r="C53">
        <v>299.35399999999998</v>
      </c>
      <c r="D53">
        <v>99.992000000000004</v>
      </c>
      <c r="E53">
        <v>494.88600000000002</v>
      </c>
      <c r="F53">
        <v>6984.6139999999996</v>
      </c>
      <c r="G53">
        <v>654.755</v>
      </c>
      <c r="H53">
        <v>684.673</v>
      </c>
      <c r="I53">
        <v>410.87599999999998</v>
      </c>
      <c r="J53">
        <v>8234.2610000000004</v>
      </c>
      <c r="K53">
        <v>805.35699999999997</v>
      </c>
      <c r="L53">
        <v>1019.207</v>
      </c>
      <c r="M53">
        <v>2937.1950000000002</v>
      </c>
      <c r="N53">
        <v>1786.1790000000001</v>
      </c>
      <c r="O53">
        <v>5598.5749999999998</v>
      </c>
      <c r="P53">
        <v>1477.972</v>
      </c>
      <c r="Q53">
        <v>3308.1460000000002</v>
      </c>
      <c r="R53">
        <v>3256.91</v>
      </c>
      <c r="S53">
        <v>3992.2829999999999</v>
      </c>
      <c r="T53">
        <v>1992.9390000000001</v>
      </c>
      <c r="U53">
        <v>2712.761</v>
      </c>
      <c r="V53">
        <v>1027.7349999999999</v>
      </c>
      <c r="W53">
        <v>1029.9549999999999</v>
      </c>
      <c r="X53">
        <v>3424.165</v>
      </c>
      <c r="Y53">
        <v>7930.0389999999998</v>
      </c>
      <c r="Z53">
        <v>260.733</v>
      </c>
      <c r="AA53">
        <v>1541.6669999999999</v>
      </c>
      <c r="AB53">
        <v>2561.5140000000001</v>
      </c>
      <c r="AC53">
        <v>838.173</v>
      </c>
      <c r="AD53">
        <v>1371.6780000000001</v>
      </c>
      <c r="AE53">
        <v>21540.720000000001</v>
      </c>
      <c r="AF53">
        <v>28427.473000000002</v>
      </c>
      <c r="AG53">
        <v>20801.212</v>
      </c>
      <c r="AH53">
        <v>216.74700000000001</v>
      </c>
      <c r="AI53">
        <v>629.12400000000002</v>
      </c>
      <c r="AJ53">
        <v>3357.2579999999998</v>
      </c>
      <c r="AK53">
        <v>1147.72</v>
      </c>
      <c r="AL53">
        <v>8866.2639999999992</v>
      </c>
      <c r="AM53">
        <v>3072.431</v>
      </c>
      <c r="AN53">
        <v>2427.9879999999998</v>
      </c>
      <c r="AO53">
        <v>2706.3249999999998</v>
      </c>
      <c r="AP53">
        <v>-2688.42</v>
      </c>
      <c r="AQ53">
        <v>5350.2259999999997</v>
      </c>
      <c r="AR53">
        <v>8998.7939999999999</v>
      </c>
      <c r="AS53">
        <v>8958.7639999999992</v>
      </c>
      <c r="AT53">
        <v>22327.087</v>
      </c>
      <c r="AU53">
        <v>6136.1210000000001</v>
      </c>
      <c r="AV53">
        <v>13458.004999999999</v>
      </c>
      <c r="AW53">
        <v>1827.4069999999999</v>
      </c>
      <c r="AX53">
        <v>3836.3159999999998</v>
      </c>
      <c r="AY53">
        <v>0</v>
      </c>
      <c r="AZ53">
        <v>548370.41700000002</v>
      </c>
      <c r="BA53">
        <v>6439.6170000000002</v>
      </c>
      <c r="BB53">
        <v>318.08600000000001</v>
      </c>
      <c r="BC53">
        <v>84528.566000000006</v>
      </c>
      <c r="BD53">
        <v>6958.39</v>
      </c>
      <c r="BE53">
        <v>0</v>
      </c>
      <c r="BF53">
        <v>8879.9069999999992</v>
      </c>
      <c r="BG53">
        <v>18600.23</v>
      </c>
      <c r="BH53">
        <v>0</v>
      </c>
      <c r="BI53">
        <v>907927.07799999998</v>
      </c>
    </row>
    <row r="54" spans="1:61" x14ac:dyDescent="0.25">
      <c r="A54" t="s">
        <v>130</v>
      </c>
      <c r="B54">
        <v>349409.61200000002</v>
      </c>
      <c r="C54">
        <v>12864.641</v>
      </c>
      <c r="D54">
        <v>2122.556</v>
      </c>
      <c r="E54">
        <v>14122.989</v>
      </c>
      <c r="F54">
        <v>366442.98700000002</v>
      </c>
      <c r="G54">
        <v>18860.695</v>
      </c>
      <c r="H54">
        <v>20144.262999999999</v>
      </c>
      <c r="I54">
        <v>15868.944</v>
      </c>
      <c r="J54">
        <v>834723.56499999994</v>
      </c>
      <c r="K54">
        <v>42756.625999999997</v>
      </c>
      <c r="L54">
        <v>104966.583</v>
      </c>
      <c r="M54">
        <v>182397.13200000001</v>
      </c>
      <c r="N54">
        <v>651015.13699999999</v>
      </c>
      <c r="O54">
        <v>333732.08</v>
      </c>
      <c r="P54">
        <v>113221.13099999999</v>
      </c>
      <c r="Q54">
        <v>210138.05100000001</v>
      </c>
      <c r="R54">
        <v>112645.54</v>
      </c>
      <c r="S54">
        <v>141909.50700000001</v>
      </c>
      <c r="T54">
        <v>105387.97100000001</v>
      </c>
      <c r="U54">
        <v>276140.99200000003</v>
      </c>
      <c r="V54">
        <v>138061.77499999999</v>
      </c>
      <c r="W54">
        <v>80959.868000000002</v>
      </c>
      <c r="X54">
        <v>262793.66100000002</v>
      </c>
      <c r="Y54">
        <v>584578.26599999995</v>
      </c>
      <c r="Z54">
        <v>20878.127</v>
      </c>
      <c r="AA54">
        <v>172155.56899999999</v>
      </c>
      <c r="AB54">
        <v>138167.52299999999</v>
      </c>
      <c r="AC54">
        <v>295851.37599999999</v>
      </c>
      <c r="AD54">
        <v>67838.755000000005</v>
      </c>
      <c r="AE54">
        <v>1106453.1129999999</v>
      </c>
      <c r="AF54">
        <v>2318219.5469999998</v>
      </c>
      <c r="AG54">
        <v>422551.70199999999</v>
      </c>
      <c r="AH54">
        <v>44099.192000000003</v>
      </c>
      <c r="AI54">
        <v>125557.13499999999</v>
      </c>
      <c r="AJ54">
        <v>203870.476</v>
      </c>
      <c r="AK54">
        <v>69589.763000000006</v>
      </c>
      <c r="AL54">
        <v>702904.272</v>
      </c>
      <c r="AM54">
        <v>437978.23200000002</v>
      </c>
      <c r="AN54">
        <v>356784.467</v>
      </c>
      <c r="AO54">
        <v>497679.674</v>
      </c>
      <c r="AP54">
        <v>1552316.9069999999</v>
      </c>
      <c r="AQ54">
        <v>1469828.118</v>
      </c>
      <c r="AR54">
        <v>1175395.2490000001</v>
      </c>
      <c r="AS54">
        <v>754788.77099999995</v>
      </c>
      <c r="AT54">
        <v>1444747.344</v>
      </c>
      <c r="AU54">
        <v>477697.41600000003</v>
      </c>
      <c r="AV54">
        <v>1189029.9820000001</v>
      </c>
      <c r="AW54">
        <v>182297.61900000001</v>
      </c>
      <c r="AX54">
        <v>261511.09899999999</v>
      </c>
      <c r="AY54">
        <v>0</v>
      </c>
      <c r="AZ54">
        <v>16668000.051999999</v>
      </c>
      <c r="BA54">
        <v>532199.21100000001</v>
      </c>
      <c r="BB54">
        <v>3570521.4929999998</v>
      </c>
      <c r="BC54">
        <v>5670529.8969999999</v>
      </c>
      <c r="BD54">
        <v>137463.28700000001</v>
      </c>
      <c r="BE54">
        <v>158081.065</v>
      </c>
      <c r="BF54">
        <v>133911.62299999999</v>
      </c>
      <c r="BG54">
        <v>2542727.3289999999</v>
      </c>
      <c r="BH54">
        <v>-3611167.057</v>
      </c>
      <c r="BI54">
        <v>46265722.902000003</v>
      </c>
    </row>
    <row r="55" spans="1:61" x14ac:dyDescent="0.25">
      <c r="A55" t="s">
        <v>131</v>
      </c>
      <c r="B55">
        <v>281509.73</v>
      </c>
      <c r="C55">
        <v>13585.888999999999</v>
      </c>
      <c r="D55">
        <v>4396.6989999999996</v>
      </c>
      <c r="E55">
        <v>26378.506000000001</v>
      </c>
      <c r="F55">
        <v>347599.13199999998</v>
      </c>
      <c r="G55">
        <v>15607.133</v>
      </c>
      <c r="H55">
        <v>32762.977999999999</v>
      </c>
      <c r="I55">
        <v>47770.256999999998</v>
      </c>
      <c r="J55">
        <v>290417.94300000003</v>
      </c>
      <c r="K55">
        <v>29566.705000000002</v>
      </c>
      <c r="L55">
        <v>67758.248999999996</v>
      </c>
      <c r="M55">
        <v>109251.454</v>
      </c>
      <c r="N55">
        <v>230083.43100000001</v>
      </c>
      <c r="O55">
        <v>304016.71000000002</v>
      </c>
      <c r="P55">
        <v>247268.22200000001</v>
      </c>
      <c r="Q55">
        <v>93519.804999999993</v>
      </c>
      <c r="R55">
        <v>77410.063999999998</v>
      </c>
      <c r="S55">
        <v>56556.002999999997</v>
      </c>
      <c r="T55">
        <v>56357.536999999997</v>
      </c>
      <c r="U55">
        <v>177403.31200000001</v>
      </c>
      <c r="V55">
        <v>351490.26400000002</v>
      </c>
      <c r="W55">
        <v>75883.356</v>
      </c>
      <c r="X55">
        <v>184021.587</v>
      </c>
      <c r="Y55">
        <v>148956.61900000001</v>
      </c>
      <c r="Z55">
        <v>27391.502</v>
      </c>
      <c r="AA55">
        <v>133568.62899999999</v>
      </c>
      <c r="AB55">
        <v>171775.155</v>
      </c>
      <c r="AC55">
        <v>392388.23300000001</v>
      </c>
      <c r="AD55">
        <v>86413.803</v>
      </c>
      <c r="AE55">
        <v>1057914.9280000001</v>
      </c>
      <c r="AF55">
        <v>2565144.08</v>
      </c>
      <c r="AG55">
        <v>385042.02399999998</v>
      </c>
      <c r="AH55">
        <v>21925.733</v>
      </c>
      <c r="AI55">
        <v>127037.245</v>
      </c>
      <c r="AJ55">
        <v>224527.095</v>
      </c>
      <c r="AK55">
        <v>136709.46799999999</v>
      </c>
      <c r="AL55">
        <v>694151.59600000002</v>
      </c>
      <c r="AM55">
        <v>519200.96399999998</v>
      </c>
      <c r="AN55">
        <v>317457.86800000002</v>
      </c>
      <c r="AO55">
        <v>839817.55900000001</v>
      </c>
      <c r="AP55">
        <v>1975777.111</v>
      </c>
      <c r="AQ55">
        <v>3031953.1290000002</v>
      </c>
      <c r="AR55">
        <v>2083293.0049999999</v>
      </c>
      <c r="AS55">
        <v>1094558.92</v>
      </c>
      <c r="AT55">
        <v>1983617.0689999999</v>
      </c>
      <c r="AU55">
        <v>1239874.817</v>
      </c>
      <c r="AV55">
        <v>1839499.737</v>
      </c>
      <c r="AW55">
        <v>248263.114</v>
      </c>
      <c r="AX55">
        <v>344100.27100000001</v>
      </c>
      <c r="AY55">
        <v>25206.276999999998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24836180.921999998</v>
      </c>
    </row>
    <row r="56" spans="1:61" x14ac:dyDescent="0.25">
      <c r="A56" t="s">
        <v>132</v>
      </c>
      <c r="B56">
        <v>82680.194000000003</v>
      </c>
      <c r="C56">
        <v>10324.343000000001</v>
      </c>
      <c r="D56">
        <v>1059.7470000000001</v>
      </c>
      <c r="E56">
        <v>7210.54</v>
      </c>
      <c r="F56">
        <v>70417.945000000007</v>
      </c>
      <c r="G56">
        <v>3922.471</v>
      </c>
      <c r="H56">
        <v>10753.598</v>
      </c>
      <c r="I56">
        <v>36927.175000000003</v>
      </c>
      <c r="J56">
        <v>134889.81599999999</v>
      </c>
      <c r="K56">
        <v>21515.633999999998</v>
      </c>
      <c r="L56">
        <v>35910.131999999998</v>
      </c>
      <c r="M56">
        <v>62292.446000000004</v>
      </c>
      <c r="N56">
        <v>51456.063999999998</v>
      </c>
      <c r="O56">
        <v>94325.267000000007</v>
      </c>
      <c r="P56">
        <v>75120.589000000007</v>
      </c>
      <c r="Q56">
        <v>61123.749000000003</v>
      </c>
      <c r="R56">
        <v>38847.550999999999</v>
      </c>
      <c r="S56">
        <v>35246.981</v>
      </c>
      <c r="T56">
        <v>21287.201000000001</v>
      </c>
      <c r="U56">
        <v>120294.261</v>
      </c>
      <c r="V56">
        <v>183991.61499999999</v>
      </c>
      <c r="W56">
        <v>45019.855000000003</v>
      </c>
      <c r="X56">
        <v>109805.84600000001</v>
      </c>
      <c r="Y56">
        <v>76126.258000000002</v>
      </c>
      <c r="Z56">
        <v>16016.342000000001</v>
      </c>
      <c r="AA56">
        <v>70340.532999999996</v>
      </c>
      <c r="AB56">
        <v>115185.253</v>
      </c>
      <c r="AC56">
        <v>103237.81200000001</v>
      </c>
      <c r="AD56">
        <v>48897.557000000001</v>
      </c>
      <c r="AE56">
        <v>695412.70400000003</v>
      </c>
      <c r="AF56">
        <v>1511280.7819999999</v>
      </c>
      <c r="AG56">
        <v>220515.52600000001</v>
      </c>
      <c r="AH56">
        <v>14940.66</v>
      </c>
      <c r="AI56">
        <v>127037.245</v>
      </c>
      <c r="AJ56">
        <v>217027.77499999999</v>
      </c>
      <c r="AK56">
        <v>109785.815</v>
      </c>
      <c r="AL56">
        <v>500176.28</v>
      </c>
      <c r="AM56">
        <v>246020.28</v>
      </c>
      <c r="AN56">
        <v>96190.676000000007</v>
      </c>
      <c r="AO56">
        <v>537667.57400000002</v>
      </c>
      <c r="AP56">
        <v>982921.647</v>
      </c>
      <c r="AQ56">
        <v>149822.85200000001</v>
      </c>
      <c r="AR56">
        <v>1488775.4620000001</v>
      </c>
      <c r="AS56">
        <v>623844.97</v>
      </c>
      <c r="AT56">
        <v>1388979.081</v>
      </c>
      <c r="AU56">
        <v>1089261.1580000001</v>
      </c>
      <c r="AV56">
        <v>1580872.8670000001</v>
      </c>
      <c r="AW56">
        <v>158722.49600000001</v>
      </c>
      <c r="AX56">
        <v>273791.51199999999</v>
      </c>
      <c r="AY56">
        <v>25206.276999999998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13782480.416999999</v>
      </c>
    </row>
    <row r="57" spans="1:61" x14ac:dyDescent="0.25">
      <c r="A57" t="s">
        <v>133</v>
      </c>
      <c r="B57">
        <v>8049.3050000000003</v>
      </c>
      <c r="C57">
        <v>1254.8610000000001</v>
      </c>
      <c r="D57">
        <v>225.351</v>
      </c>
      <c r="E57">
        <v>6348.0389999999998</v>
      </c>
      <c r="F57">
        <v>45093.411</v>
      </c>
      <c r="G57">
        <v>2133.3290000000002</v>
      </c>
      <c r="H57">
        <v>2873.105</v>
      </c>
      <c r="I57">
        <v>-299.21600000000001</v>
      </c>
      <c r="J57">
        <v>7325.7790000000005</v>
      </c>
      <c r="K57">
        <v>1931.165</v>
      </c>
      <c r="L57">
        <v>5462.7420000000002</v>
      </c>
      <c r="M57">
        <v>5095.3490000000002</v>
      </c>
      <c r="N57">
        <v>-17158.011999999999</v>
      </c>
      <c r="O57">
        <v>10095.431</v>
      </c>
      <c r="P57">
        <v>749.202</v>
      </c>
      <c r="Q57">
        <v>-2825.65</v>
      </c>
      <c r="R57">
        <v>2330.9589999999998</v>
      </c>
      <c r="S57">
        <v>-7770.2730000000001</v>
      </c>
      <c r="T57">
        <v>8583.8539999999994</v>
      </c>
      <c r="U57">
        <v>1276.854</v>
      </c>
      <c r="V57">
        <v>10926.929</v>
      </c>
      <c r="W57">
        <v>2601.5300000000002</v>
      </c>
      <c r="X57">
        <v>6332.6409999999996</v>
      </c>
      <c r="Y57">
        <v>2892.1480000000001</v>
      </c>
      <c r="Z57">
        <v>-674.25199999999995</v>
      </c>
      <c r="AA57">
        <v>28816.172999999999</v>
      </c>
      <c r="AB57">
        <v>1954.6559999999999</v>
      </c>
      <c r="AC57">
        <v>51786.434000000001</v>
      </c>
      <c r="AD57">
        <v>6905.3609999999999</v>
      </c>
      <c r="AE57">
        <v>26667.804</v>
      </c>
      <c r="AF57">
        <v>137864.54</v>
      </c>
      <c r="AG57">
        <v>2004.3230000000001</v>
      </c>
      <c r="AH57">
        <v>-1627.32</v>
      </c>
      <c r="AI57">
        <v>-61993.957000000002</v>
      </c>
      <c r="AJ57">
        <v>-33727.836000000003</v>
      </c>
      <c r="AK57">
        <v>14265.33</v>
      </c>
      <c r="AL57">
        <v>12796.838</v>
      </c>
      <c r="AM57">
        <v>8125.3360000000002</v>
      </c>
      <c r="AN57">
        <v>-9653.7890000000007</v>
      </c>
      <c r="AO57">
        <v>9987.9009999999998</v>
      </c>
      <c r="AP57">
        <v>31405.027999999998</v>
      </c>
      <c r="AQ57">
        <v>390367.98200000002</v>
      </c>
      <c r="AR57">
        <v>23090.121999999999</v>
      </c>
      <c r="AS57">
        <v>39689.783000000003</v>
      </c>
      <c r="AT57">
        <v>744.39599999999996</v>
      </c>
      <c r="AU57">
        <v>10993.023999999999</v>
      </c>
      <c r="AV57">
        <v>-39555.173999999999</v>
      </c>
      <c r="AW57">
        <v>-1425.0160000000001</v>
      </c>
      <c r="AX57">
        <v>-11224.369000000001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741112.152</v>
      </c>
    </row>
    <row r="58" spans="1:61" x14ac:dyDescent="0.25">
      <c r="A58" t="s">
        <v>134</v>
      </c>
      <c r="B58">
        <v>95413.47</v>
      </c>
      <c r="C58">
        <v>2194.3159999999998</v>
      </c>
      <c r="D58">
        <v>910.05600000000004</v>
      </c>
      <c r="E58">
        <v>4799.3010000000004</v>
      </c>
      <c r="F58">
        <v>347599.13199999998</v>
      </c>
      <c r="G58">
        <v>5382.9319999999998</v>
      </c>
      <c r="H58">
        <v>7783.55</v>
      </c>
      <c r="I58">
        <v>18318.967000000001</v>
      </c>
      <c r="J58">
        <v>30289.616000000002</v>
      </c>
      <c r="K58">
        <v>5395.8180000000002</v>
      </c>
      <c r="L58">
        <v>5845.6189999999997</v>
      </c>
      <c r="M58">
        <v>15069.933000000001</v>
      </c>
      <c r="N58">
        <v>86179.202000000005</v>
      </c>
      <c r="O58">
        <v>113977.798</v>
      </c>
      <c r="P58">
        <v>48578.934000000001</v>
      </c>
      <c r="Q58">
        <v>16261.736000000001</v>
      </c>
      <c r="R58">
        <v>15802.004999999999</v>
      </c>
      <c r="S58">
        <v>17391.401000000002</v>
      </c>
      <c r="T58">
        <v>12022.798000000001</v>
      </c>
      <c r="U58">
        <v>24529.96</v>
      </c>
      <c r="V58">
        <v>136748.55100000001</v>
      </c>
      <c r="W58">
        <v>9739.5110000000004</v>
      </c>
      <c r="X58">
        <v>27081.938999999998</v>
      </c>
      <c r="Y58">
        <v>58226.178999999996</v>
      </c>
      <c r="Z58">
        <v>4975.3440000000001</v>
      </c>
      <c r="AA58">
        <v>17302.062000000002</v>
      </c>
      <c r="AB58">
        <v>20996.494999999999</v>
      </c>
      <c r="AC58">
        <v>105265.508</v>
      </c>
      <c r="AD58">
        <v>13113.016</v>
      </c>
      <c r="AE58">
        <v>63988.086000000003</v>
      </c>
      <c r="AF58">
        <v>231664.81299999999</v>
      </c>
      <c r="AG58">
        <v>78706.778000000006</v>
      </c>
      <c r="AH58">
        <v>9782.6810000000005</v>
      </c>
      <c r="AI58">
        <v>46891.502</v>
      </c>
      <c r="AJ58">
        <v>19716.749</v>
      </c>
      <c r="AK58">
        <v>9030.8410000000003</v>
      </c>
      <c r="AL58">
        <v>46664.557000000001</v>
      </c>
      <c r="AM58">
        <v>156390.28700000001</v>
      </c>
      <c r="AN58">
        <v>97312.418000000005</v>
      </c>
      <c r="AO58">
        <v>172165.68599999999</v>
      </c>
      <c r="AP58">
        <v>231377.29399999999</v>
      </c>
      <c r="AQ58">
        <v>793013.59</v>
      </c>
      <c r="AR58">
        <v>188270.454</v>
      </c>
      <c r="AS58">
        <v>143297.68100000001</v>
      </c>
      <c r="AT58">
        <v>579957.52599999995</v>
      </c>
      <c r="AU58">
        <v>149257.24600000001</v>
      </c>
      <c r="AV58">
        <v>134730.03400000001</v>
      </c>
      <c r="AW58">
        <v>44603.084999999999</v>
      </c>
      <c r="AX58">
        <v>32312.865000000002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4496329.324</v>
      </c>
    </row>
    <row r="59" spans="1:61" x14ac:dyDescent="0.25">
      <c r="A59" t="s">
        <v>135</v>
      </c>
      <c r="B59">
        <v>95366.760999999999</v>
      </c>
      <c r="C59">
        <v>-187.631</v>
      </c>
      <c r="D59">
        <v>2201.5439999999999</v>
      </c>
      <c r="E59">
        <v>8020.625</v>
      </c>
      <c r="F59">
        <v>-115511.356</v>
      </c>
      <c r="G59">
        <v>4168.402</v>
      </c>
      <c r="H59">
        <v>11352.725</v>
      </c>
      <c r="I59">
        <v>-7176.6689999999999</v>
      </c>
      <c r="J59">
        <v>117912.73299999999</v>
      </c>
      <c r="K59">
        <v>724.08699999999999</v>
      </c>
      <c r="L59">
        <v>20539.756000000001</v>
      </c>
      <c r="M59">
        <v>26793.725999999999</v>
      </c>
      <c r="N59">
        <v>109606.17600000001</v>
      </c>
      <c r="O59">
        <v>85618.214000000007</v>
      </c>
      <c r="P59">
        <v>122819.49800000001</v>
      </c>
      <c r="Q59">
        <v>18959.97</v>
      </c>
      <c r="R59">
        <v>20429.55</v>
      </c>
      <c r="S59">
        <v>11687.894</v>
      </c>
      <c r="T59">
        <v>14463.683000000001</v>
      </c>
      <c r="U59">
        <v>31302.237000000001</v>
      </c>
      <c r="V59">
        <v>19823.169999999998</v>
      </c>
      <c r="W59">
        <v>18522.458999999999</v>
      </c>
      <c r="X59">
        <v>40801.161</v>
      </c>
      <c r="Y59">
        <v>11712.034</v>
      </c>
      <c r="Z59">
        <v>7074.0690000000004</v>
      </c>
      <c r="AA59">
        <v>17109.861000000001</v>
      </c>
      <c r="AB59">
        <v>33638.750999999997</v>
      </c>
      <c r="AC59">
        <v>132098.47899999999</v>
      </c>
      <c r="AD59">
        <v>17497.868999999999</v>
      </c>
      <c r="AE59">
        <v>271846.33299999998</v>
      </c>
      <c r="AF59">
        <v>684333.94499999995</v>
      </c>
      <c r="AG59">
        <v>83815.396999999997</v>
      </c>
      <c r="AH59">
        <v>-1170.288</v>
      </c>
      <c r="AI59">
        <v>15102.455</v>
      </c>
      <c r="AJ59">
        <v>21510.406999999999</v>
      </c>
      <c r="AK59">
        <v>3627.4830000000002</v>
      </c>
      <c r="AL59">
        <v>134513.921</v>
      </c>
      <c r="AM59">
        <v>108665.061</v>
      </c>
      <c r="AN59">
        <v>133608.56299999999</v>
      </c>
      <c r="AO59">
        <v>119996.398</v>
      </c>
      <c r="AP59">
        <v>730073.14300000004</v>
      </c>
      <c r="AQ59">
        <v>1698748.7050000001</v>
      </c>
      <c r="AR59">
        <v>383156.967</v>
      </c>
      <c r="AS59">
        <v>287726.48499999999</v>
      </c>
      <c r="AT59">
        <v>13936.066000000001</v>
      </c>
      <c r="AU59">
        <v>-9636.6110000000008</v>
      </c>
      <c r="AV59">
        <v>163452.011</v>
      </c>
      <c r="AW59">
        <v>46362.548999999999</v>
      </c>
      <c r="AX59">
        <v>49220.262999999999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5816259.0290000001</v>
      </c>
    </row>
    <row r="60" spans="1:61" x14ac:dyDescent="0.25">
      <c r="A60" t="s">
        <v>136</v>
      </c>
      <c r="B60">
        <v>630919.34199999995</v>
      </c>
      <c r="C60">
        <v>26450.53</v>
      </c>
      <c r="D60">
        <v>6519.2550000000001</v>
      </c>
      <c r="E60">
        <v>40501.495000000003</v>
      </c>
      <c r="F60">
        <v>714042.12</v>
      </c>
      <c r="G60">
        <v>34467.828999999998</v>
      </c>
      <c r="H60">
        <v>52907.241000000002</v>
      </c>
      <c r="I60">
        <v>63639.201000000001</v>
      </c>
      <c r="J60">
        <v>1125141.5079999999</v>
      </c>
      <c r="K60">
        <v>72323.331000000006</v>
      </c>
      <c r="L60">
        <v>172724.83300000001</v>
      </c>
      <c r="M60">
        <v>291648.58600000001</v>
      </c>
      <c r="N60">
        <v>881098.56900000002</v>
      </c>
      <c r="O60">
        <v>637748.79099999997</v>
      </c>
      <c r="P60">
        <v>360489.353</v>
      </c>
      <c r="Q60">
        <v>303657.85600000003</v>
      </c>
      <c r="R60">
        <v>190055.60399999999</v>
      </c>
      <c r="S60">
        <v>198465.51</v>
      </c>
      <c r="T60">
        <v>161745.508</v>
      </c>
      <c r="U60">
        <v>453544.304</v>
      </c>
      <c r="V60">
        <v>489552.03899999999</v>
      </c>
      <c r="W60">
        <v>156843.223</v>
      </c>
      <c r="X60">
        <v>446815.24699999997</v>
      </c>
      <c r="Y60">
        <v>733534.88500000001</v>
      </c>
      <c r="Z60">
        <v>48269.629000000001</v>
      </c>
      <c r="AA60">
        <v>305724.19799999997</v>
      </c>
      <c r="AB60">
        <v>309942.679</v>
      </c>
      <c r="AC60">
        <v>688239.60900000005</v>
      </c>
      <c r="AD60">
        <v>154252.55799999999</v>
      </c>
      <c r="AE60">
        <v>2164368.0410000002</v>
      </c>
      <c r="AF60">
        <v>4883363.6279999996</v>
      </c>
      <c r="AG60">
        <v>807593.72600000002</v>
      </c>
      <c r="AH60">
        <v>66024.925000000003</v>
      </c>
      <c r="AI60">
        <v>252594.38</v>
      </c>
      <c r="AJ60">
        <v>428397.571</v>
      </c>
      <c r="AK60">
        <v>206299.231</v>
      </c>
      <c r="AL60">
        <v>1397055.868</v>
      </c>
      <c r="AM60">
        <v>957179.196</v>
      </c>
      <c r="AN60">
        <v>674242.33400000003</v>
      </c>
      <c r="AO60">
        <v>1337497.233</v>
      </c>
      <c r="AP60">
        <v>3528094.0189999999</v>
      </c>
      <c r="AQ60">
        <v>4501781.2470000004</v>
      </c>
      <c r="AR60">
        <v>3258688.2540000002</v>
      </c>
      <c r="AS60">
        <v>1849347.6910000001</v>
      </c>
      <c r="AT60">
        <v>3428364.4139999999</v>
      </c>
      <c r="AU60">
        <v>1717572.233</v>
      </c>
      <c r="AV60">
        <v>3028529.719</v>
      </c>
      <c r="AW60">
        <v>430560.73300000001</v>
      </c>
      <c r="AX60">
        <v>605611.37</v>
      </c>
      <c r="AY60">
        <v>25206.276999999998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45299636.923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M438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29" x14ac:dyDescent="0.25">
      <c r="A1" t="s">
        <v>137</v>
      </c>
    </row>
    <row r="2" spans="1:429" x14ac:dyDescent="0.25">
      <c r="A2" t="s">
        <v>138</v>
      </c>
    </row>
    <row r="3" spans="1:429" x14ac:dyDescent="0.25">
      <c r="A3" t="s">
        <v>139</v>
      </c>
    </row>
    <row r="5" spans="1:429" x14ac:dyDescent="0.25">
      <c r="A5" t="s">
        <v>140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146</v>
      </c>
      <c r="I5" t="s">
        <v>147</v>
      </c>
      <c r="J5" t="s">
        <v>148</v>
      </c>
      <c r="K5" t="s">
        <v>149</v>
      </c>
      <c r="L5" t="s">
        <v>150</v>
      </c>
      <c r="M5" t="s">
        <v>151</v>
      </c>
      <c r="N5" t="s">
        <v>152</v>
      </c>
      <c r="O5" t="s">
        <v>153</v>
      </c>
      <c r="P5" t="s">
        <v>154</v>
      </c>
      <c r="Q5" t="s">
        <v>155</v>
      </c>
      <c r="R5" t="s">
        <v>156</v>
      </c>
      <c r="S5" t="s">
        <v>157</v>
      </c>
      <c r="T5" t="s">
        <v>158</v>
      </c>
      <c r="U5" t="s">
        <v>159</v>
      </c>
      <c r="V5" t="s">
        <v>160</v>
      </c>
      <c r="W5" t="s">
        <v>161</v>
      </c>
      <c r="X5" t="s">
        <v>162</v>
      </c>
      <c r="Y5" t="s">
        <v>163</v>
      </c>
      <c r="Z5" t="s">
        <v>164</v>
      </c>
      <c r="AA5" t="s">
        <v>165</v>
      </c>
      <c r="AB5" t="s">
        <v>166</v>
      </c>
      <c r="AC5" t="s">
        <v>167</v>
      </c>
      <c r="AD5" t="s">
        <v>168</v>
      </c>
      <c r="AE5" t="s">
        <v>169</v>
      </c>
      <c r="AF5" t="s">
        <v>170</v>
      </c>
      <c r="AG5" t="s">
        <v>171</v>
      </c>
      <c r="AH5" t="s">
        <v>172</v>
      </c>
      <c r="AI5" t="s">
        <v>173</v>
      </c>
      <c r="AJ5" t="s">
        <v>174</v>
      </c>
      <c r="AK5" t="s">
        <v>175</v>
      </c>
      <c r="AL5" t="s">
        <v>176</v>
      </c>
      <c r="AM5" t="s">
        <v>177</v>
      </c>
      <c r="AN5" t="s">
        <v>178</v>
      </c>
      <c r="AO5" t="s">
        <v>179</v>
      </c>
      <c r="AP5" t="s">
        <v>180</v>
      </c>
      <c r="AQ5" t="s">
        <v>181</v>
      </c>
      <c r="AR5" t="s">
        <v>182</v>
      </c>
      <c r="AS5" t="s">
        <v>183</v>
      </c>
      <c r="AT5" t="s">
        <v>184</v>
      </c>
      <c r="AU5" t="s">
        <v>185</v>
      </c>
      <c r="AV5" t="s">
        <v>186</v>
      </c>
      <c r="AW5" t="s">
        <v>187</v>
      </c>
      <c r="AX5" t="s">
        <v>188</v>
      </c>
      <c r="AY5" t="s">
        <v>189</v>
      </c>
      <c r="AZ5" t="s">
        <v>190</v>
      </c>
      <c r="BA5" t="s">
        <v>191</v>
      </c>
      <c r="BB5" t="s">
        <v>192</v>
      </c>
      <c r="BC5" t="s">
        <v>193</v>
      </c>
      <c r="BD5" t="s">
        <v>194</v>
      </c>
      <c r="BE5" t="s">
        <v>195</v>
      </c>
      <c r="BF5" t="s">
        <v>196</v>
      </c>
      <c r="BG5" t="s">
        <v>197</v>
      </c>
      <c r="BH5" t="s">
        <v>198</v>
      </c>
      <c r="BI5" t="s">
        <v>199</v>
      </c>
      <c r="BJ5" t="s">
        <v>200</v>
      </c>
      <c r="BK5" t="s">
        <v>201</v>
      </c>
      <c r="BL5" t="s">
        <v>202</v>
      </c>
      <c r="BM5" t="s">
        <v>203</v>
      </c>
      <c r="BN5" t="s">
        <v>204</v>
      </c>
      <c r="BO5" t="s">
        <v>205</v>
      </c>
      <c r="BP5" t="s">
        <v>206</v>
      </c>
      <c r="BQ5" t="s">
        <v>207</v>
      </c>
      <c r="BR5" t="s">
        <v>208</v>
      </c>
      <c r="BS5" t="s">
        <v>209</v>
      </c>
      <c r="BT5" t="s">
        <v>210</v>
      </c>
      <c r="BU5" t="s">
        <v>211</v>
      </c>
      <c r="BV5" t="s">
        <v>212</v>
      </c>
      <c r="BW5" t="s">
        <v>213</v>
      </c>
      <c r="BX5" t="s">
        <v>214</v>
      </c>
      <c r="BY5" t="s">
        <v>215</v>
      </c>
      <c r="BZ5" t="s">
        <v>216</v>
      </c>
      <c r="CA5" t="s">
        <v>217</v>
      </c>
      <c r="CB5" t="s">
        <v>218</v>
      </c>
      <c r="CC5" t="s">
        <v>219</v>
      </c>
      <c r="CD5" t="s">
        <v>220</v>
      </c>
      <c r="CE5" t="s">
        <v>221</v>
      </c>
      <c r="CF5" t="s">
        <v>222</v>
      </c>
      <c r="CG5" t="s">
        <v>223</v>
      </c>
      <c r="CH5" t="s">
        <v>224</v>
      </c>
      <c r="CI5" t="s">
        <v>225</v>
      </c>
      <c r="CJ5" t="s">
        <v>226</v>
      </c>
      <c r="CK5" t="s">
        <v>227</v>
      </c>
      <c r="CL5" t="s">
        <v>228</v>
      </c>
      <c r="CM5" t="s">
        <v>229</v>
      </c>
      <c r="CN5" t="s">
        <v>230</v>
      </c>
      <c r="CO5" t="s">
        <v>231</v>
      </c>
      <c r="CP5" t="s">
        <v>232</v>
      </c>
      <c r="CQ5" t="s">
        <v>233</v>
      </c>
      <c r="CR5" t="s">
        <v>234</v>
      </c>
      <c r="CS5" t="s">
        <v>235</v>
      </c>
      <c r="CT5" t="s">
        <v>236</v>
      </c>
      <c r="CU5" t="s">
        <v>237</v>
      </c>
      <c r="CV5" t="s">
        <v>238</v>
      </c>
      <c r="CW5" t="s">
        <v>239</v>
      </c>
      <c r="CX5" t="s">
        <v>240</v>
      </c>
      <c r="CY5" t="s">
        <v>241</v>
      </c>
      <c r="CZ5" t="s">
        <v>242</v>
      </c>
      <c r="DA5" t="s">
        <v>243</v>
      </c>
      <c r="DB5" t="s">
        <v>244</v>
      </c>
      <c r="DC5" t="s">
        <v>245</v>
      </c>
      <c r="DD5" t="s">
        <v>246</v>
      </c>
      <c r="DE5" t="s">
        <v>247</v>
      </c>
      <c r="DF5" t="s">
        <v>248</v>
      </c>
      <c r="DG5" t="s">
        <v>249</v>
      </c>
      <c r="DH5" t="s">
        <v>250</v>
      </c>
      <c r="DI5" t="s">
        <v>251</v>
      </c>
      <c r="DJ5" t="s">
        <v>252</v>
      </c>
      <c r="DK5" t="s">
        <v>253</v>
      </c>
      <c r="DL5" t="s">
        <v>254</v>
      </c>
      <c r="DM5" t="s">
        <v>255</v>
      </c>
      <c r="DN5" t="s">
        <v>256</v>
      </c>
      <c r="DO5" t="s">
        <v>257</v>
      </c>
      <c r="DP5" t="s">
        <v>258</v>
      </c>
      <c r="DQ5" t="s">
        <v>259</v>
      </c>
      <c r="DR5" t="s">
        <v>260</v>
      </c>
      <c r="DS5" t="s">
        <v>261</v>
      </c>
      <c r="DT5" t="s">
        <v>262</v>
      </c>
      <c r="DU5" t="s">
        <v>263</v>
      </c>
      <c r="DV5" t="s">
        <v>264</v>
      </c>
      <c r="DW5" t="s">
        <v>265</v>
      </c>
      <c r="DX5" t="s">
        <v>266</v>
      </c>
      <c r="DY5" t="s">
        <v>267</v>
      </c>
      <c r="DZ5" t="s">
        <v>268</v>
      </c>
      <c r="EA5" t="s">
        <v>269</v>
      </c>
      <c r="EB5" t="s">
        <v>270</v>
      </c>
      <c r="EC5" t="s">
        <v>271</v>
      </c>
      <c r="ED5" t="s">
        <v>272</v>
      </c>
      <c r="EE5" t="s">
        <v>273</v>
      </c>
      <c r="EF5" t="s">
        <v>274</v>
      </c>
      <c r="EG5" t="s">
        <v>275</v>
      </c>
      <c r="EH5" t="s">
        <v>276</v>
      </c>
      <c r="EI5" t="s">
        <v>277</v>
      </c>
      <c r="EJ5" t="s">
        <v>278</v>
      </c>
      <c r="EK5" t="s">
        <v>279</v>
      </c>
      <c r="EL5" t="s">
        <v>280</v>
      </c>
      <c r="EM5" t="s">
        <v>281</v>
      </c>
      <c r="EN5" t="s">
        <v>282</v>
      </c>
      <c r="EO5" t="s">
        <v>283</v>
      </c>
      <c r="EP5" t="s">
        <v>284</v>
      </c>
      <c r="EQ5" t="s">
        <v>285</v>
      </c>
      <c r="ER5" t="s">
        <v>286</v>
      </c>
      <c r="ES5" t="s">
        <v>287</v>
      </c>
      <c r="ET5" t="s">
        <v>288</v>
      </c>
      <c r="EU5" t="s">
        <v>289</v>
      </c>
      <c r="EV5" t="s">
        <v>290</v>
      </c>
      <c r="EW5" t="s">
        <v>291</v>
      </c>
      <c r="EX5" t="s">
        <v>292</v>
      </c>
      <c r="EY5" t="s">
        <v>293</v>
      </c>
      <c r="EZ5" t="s">
        <v>294</v>
      </c>
      <c r="FA5" t="s">
        <v>295</v>
      </c>
      <c r="FB5" t="s">
        <v>296</v>
      </c>
      <c r="FC5" t="s">
        <v>297</v>
      </c>
      <c r="FD5" t="s">
        <v>298</v>
      </c>
      <c r="FE5" t="s">
        <v>299</v>
      </c>
      <c r="FF5" t="s">
        <v>300</v>
      </c>
      <c r="FG5" t="s">
        <v>301</v>
      </c>
      <c r="FH5" t="s">
        <v>302</v>
      </c>
      <c r="FI5" t="s">
        <v>303</v>
      </c>
      <c r="FJ5" t="s">
        <v>304</v>
      </c>
      <c r="FK5" t="s">
        <v>305</v>
      </c>
      <c r="FL5" t="s">
        <v>306</v>
      </c>
      <c r="FM5" t="s">
        <v>307</v>
      </c>
      <c r="FN5" t="s">
        <v>308</v>
      </c>
      <c r="FO5" t="s">
        <v>309</v>
      </c>
      <c r="FP5" t="s">
        <v>310</v>
      </c>
      <c r="FQ5" t="s">
        <v>311</v>
      </c>
      <c r="FR5" t="s">
        <v>312</v>
      </c>
      <c r="FS5" t="s">
        <v>313</v>
      </c>
      <c r="FT5" t="s">
        <v>314</v>
      </c>
      <c r="FU5" t="s">
        <v>315</v>
      </c>
      <c r="FV5" t="s">
        <v>316</v>
      </c>
      <c r="FW5" t="s">
        <v>317</v>
      </c>
      <c r="FX5" t="s">
        <v>318</v>
      </c>
      <c r="FY5" t="s">
        <v>319</v>
      </c>
      <c r="FZ5" t="s">
        <v>320</v>
      </c>
      <c r="GA5" t="s">
        <v>321</v>
      </c>
      <c r="GB5" t="s">
        <v>322</v>
      </c>
      <c r="GC5" t="s">
        <v>323</v>
      </c>
      <c r="GD5" t="s">
        <v>324</v>
      </c>
      <c r="GE5" t="s">
        <v>325</v>
      </c>
      <c r="GF5" t="s">
        <v>326</v>
      </c>
      <c r="GG5" t="s">
        <v>327</v>
      </c>
      <c r="GH5" t="s">
        <v>328</v>
      </c>
      <c r="GI5" t="s">
        <v>329</v>
      </c>
      <c r="GJ5" t="s">
        <v>330</v>
      </c>
      <c r="GK5" t="s">
        <v>331</v>
      </c>
      <c r="GL5" t="s">
        <v>332</v>
      </c>
      <c r="GM5" t="s">
        <v>333</v>
      </c>
      <c r="GN5" t="s">
        <v>334</v>
      </c>
      <c r="GO5" t="s">
        <v>335</v>
      </c>
      <c r="GP5" t="s">
        <v>336</v>
      </c>
      <c r="GQ5" t="s">
        <v>337</v>
      </c>
      <c r="GR5" t="s">
        <v>338</v>
      </c>
      <c r="GS5" t="s">
        <v>339</v>
      </c>
      <c r="GT5" t="s">
        <v>340</v>
      </c>
      <c r="GU5" t="s">
        <v>341</v>
      </c>
      <c r="GV5" t="s">
        <v>342</v>
      </c>
      <c r="GW5" t="s">
        <v>343</v>
      </c>
      <c r="GX5" t="s">
        <v>344</v>
      </c>
      <c r="GY5" t="s">
        <v>345</v>
      </c>
      <c r="GZ5" t="s">
        <v>346</v>
      </c>
      <c r="HA5" t="s">
        <v>347</v>
      </c>
      <c r="HB5" t="s">
        <v>348</v>
      </c>
      <c r="HC5" t="s">
        <v>349</v>
      </c>
      <c r="HD5" t="s">
        <v>350</v>
      </c>
      <c r="HE5" t="s">
        <v>351</v>
      </c>
      <c r="HF5" t="s">
        <v>352</v>
      </c>
      <c r="HG5" t="s">
        <v>353</v>
      </c>
      <c r="HH5" t="s">
        <v>354</v>
      </c>
      <c r="HI5" t="s">
        <v>355</v>
      </c>
      <c r="HJ5" t="s">
        <v>356</v>
      </c>
      <c r="HK5" t="s">
        <v>357</v>
      </c>
      <c r="HL5" t="s">
        <v>358</v>
      </c>
      <c r="HM5" t="s">
        <v>359</v>
      </c>
      <c r="HN5" t="s">
        <v>360</v>
      </c>
      <c r="HO5" t="s">
        <v>361</v>
      </c>
      <c r="HP5" t="s">
        <v>362</v>
      </c>
      <c r="HQ5" t="s">
        <v>363</v>
      </c>
      <c r="HR5" t="s">
        <v>364</v>
      </c>
      <c r="HS5" t="s">
        <v>365</v>
      </c>
      <c r="HT5" t="s">
        <v>366</v>
      </c>
      <c r="HU5" t="s">
        <v>367</v>
      </c>
      <c r="HV5" t="s">
        <v>368</v>
      </c>
      <c r="HW5" t="s">
        <v>369</v>
      </c>
      <c r="HX5" t="s">
        <v>370</v>
      </c>
      <c r="HY5" t="s">
        <v>371</v>
      </c>
      <c r="HZ5" t="s">
        <v>372</v>
      </c>
      <c r="IA5" t="s">
        <v>373</v>
      </c>
      <c r="IB5" t="s">
        <v>374</v>
      </c>
      <c r="IC5" t="s">
        <v>375</v>
      </c>
      <c r="ID5" t="s">
        <v>376</v>
      </c>
      <c r="IE5" t="s">
        <v>377</v>
      </c>
      <c r="IF5" t="s">
        <v>378</v>
      </c>
      <c r="IG5" t="s">
        <v>379</v>
      </c>
      <c r="IH5" t="s">
        <v>380</v>
      </c>
      <c r="II5" t="s">
        <v>381</v>
      </c>
      <c r="IJ5" t="s">
        <v>382</v>
      </c>
      <c r="IK5" t="s">
        <v>383</v>
      </c>
      <c r="IL5" t="s">
        <v>384</v>
      </c>
      <c r="IM5" t="s">
        <v>385</v>
      </c>
      <c r="IN5" t="s">
        <v>386</v>
      </c>
      <c r="IO5" t="s">
        <v>387</v>
      </c>
      <c r="IP5" t="s">
        <v>388</v>
      </c>
      <c r="IQ5" t="s">
        <v>389</v>
      </c>
      <c r="IR5" t="s">
        <v>390</v>
      </c>
      <c r="IS5" t="s">
        <v>391</v>
      </c>
      <c r="IT5" t="s">
        <v>392</v>
      </c>
      <c r="IU5" t="s">
        <v>393</v>
      </c>
      <c r="IV5" t="s">
        <v>394</v>
      </c>
      <c r="IW5" t="s">
        <v>395</v>
      </c>
      <c r="IX5" t="s">
        <v>396</v>
      </c>
      <c r="IY5" t="s">
        <v>397</v>
      </c>
      <c r="IZ5" t="s">
        <v>398</v>
      </c>
      <c r="JA5" t="s">
        <v>399</v>
      </c>
      <c r="JB5" t="s">
        <v>400</v>
      </c>
      <c r="JC5" t="s">
        <v>401</v>
      </c>
      <c r="JD5" t="s">
        <v>402</v>
      </c>
      <c r="JE5" t="s">
        <v>403</v>
      </c>
      <c r="JF5" t="s">
        <v>404</v>
      </c>
      <c r="JG5" t="s">
        <v>405</v>
      </c>
      <c r="JH5" t="s">
        <v>406</v>
      </c>
      <c r="JI5" t="s">
        <v>407</v>
      </c>
      <c r="JJ5" t="s">
        <v>408</v>
      </c>
      <c r="JK5" t="s">
        <v>409</v>
      </c>
      <c r="JL5" t="s">
        <v>410</v>
      </c>
      <c r="JM5" t="s">
        <v>411</v>
      </c>
      <c r="JN5" t="s">
        <v>412</v>
      </c>
      <c r="JO5" t="s">
        <v>413</v>
      </c>
      <c r="JP5" t="s">
        <v>414</v>
      </c>
      <c r="JQ5" t="s">
        <v>415</v>
      </c>
      <c r="JR5" t="s">
        <v>416</v>
      </c>
      <c r="JS5" t="s">
        <v>417</v>
      </c>
      <c r="JT5" t="s">
        <v>418</v>
      </c>
      <c r="JU5" t="s">
        <v>419</v>
      </c>
      <c r="JV5" t="s">
        <v>420</v>
      </c>
      <c r="JW5" t="s">
        <v>421</v>
      </c>
      <c r="JX5" t="s">
        <v>422</v>
      </c>
      <c r="JY5" t="s">
        <v>423</v>
      </c>
      <c r="JZ5" t="s">
        <v>424</v>
      </c>
      <c r="KA5" t="s">
        <v>425</v>
      </c>
      <c r="KB5" t="s">
        <v>426</v>
      </c>
      <c r="KC5" t="s">
        <v>427</v>
      </c>
      <c r="KD5" t="s">
        <v>428</v>
      </c>
      <c r="KE5" t="s">
        <v>429</v>
      </c>
      <c r="KF5" t="s">
        <v>430</v>
      </c>
      <c r="KG5" t="s">
        <v>431</v>
      </c>
      <c r="KH5" t="s">
        <v>432</v>
      </c>
      <c r="KI5" t="s">
        <v>433</v>
      </c>
      <c r="KJ5" t="s">
        <v>434</v>
      </c>
      <c r="KK5" t="s">
        <v>435</v>
      </c>
      <c r="KL5" t="s">
        <v>436</v>
      </c>
      <c r="KM5" t="s">
        <v>437</v>
      </c>
      <c r="KN5" t="s">
        <v>438</v>
      </c>
      <c r="KO5" t="s">
        <v>439</v>
      </c>
      <c r="KP5" t="s">
        <v>440</v>
      </c>
      <c r="KQ5" t="s">
        <v>441</v>
      </c>
      <c r="KR5" t="s">
        <v>442</v>
      </c>
      <c r="KS5" t="s">
        <v>443</v>
      </c>
      <c r="KT5" t="s">
        <v>444</v>
      </c>
      <c r="KU5" t="s">
        <v>445</v>
      </c>
      <c r="KV5" t="s">
        <v>446</v>
      </c>
      <c r="KW5" t="s">
        <v>447</v>
      </c>
      <c r="KX5" t="s">
        <v>448</v>
      </c>
      <c r="KY5" t="s">
        <v>449</v>
      </c>
      <c r="KZ5" t="s">
        <v>450</v>
      </c>
      <c r="LA5" t="s">
        <v>451</v>
      </c>
      <c r="LB5" t="s">
        <v>452</v>
      </c>
      <c r="LC5" t="s">
        <v>453</v>
      </c>
      <c r="LD5" t="s">
        <v>454</v>
      </c>
      <c r="LE5" t="s">
        <v>455</v>
      </c>
      <c r="LF5" t="s">
        <v>456</v>
      </c>
      <c r="LG5" t="s">
        <v>457</v>
      </c>
      <c r="LH5" t="s">
        <v>458</v>
      </c>
      <c r="LI5" t="s">
        <v>459</v>
      </c>
      <c r="LJ5" t="s">
        <v>460</v>
      </c>
      <c r="LK5" t="s">
        <v>461</v>
      </c>
      <c r="LL5" t="s">
        <v>462</v>
      </c>
      <c r="LM5" t="s">
        <v>463</v>
      </c>
      <c r="LN5" t="s">
        <v>464</v>
      </c>
      <c r="LO5" t="s">
        <v>465</v>
      </c>
      <c r="LP5" t="s">
        <v>466</v>
      </c>
      <c r="LQ5" t="s">
        <v>467</v>
      </c>
      <c r="LR5" t="s">
        <v>468</v>
      </c>
      <c r="LS5" t="s">
        <v>469</v>
      </c>
      <c r="LT5" t="s">
        <v>470</v>
      </c>
      <c r="LU5" t="s">
        <v>471</v>
      </c>
      <c r="LV5" t="s">
        <v>472</v>
      </c>
      <c r="LW5" t="s">
        <v>473</v>
      </c>
      <c r="LX5" t="s">
        <v>474</v>
      </c>
      <c r="LY5" t="s">
        <v>475</v>
      </c>
      <c r="LZ5" t="s">
        <v>476</v>
      </c>
      <c r="MA5" t="s">
        <v>477</v>
      </c>
      <c r="MB5" t="s">
        <v>478</v>
      </c>
      <c r="MC5" t="s">
        <v>479</v>
      </c>
      <c r="MD5" t="s">
        <v>480</v>
      </c>
      <c r="ME5" t="s">
        <v>481</v>
      </c>
      <c r="MF5" t="s">
        <v>482</v>
      </c>
      <c r="MG5" t="s">
        <v>483</v>
      </c>
      <c r="MH5" t="s">
        <v>484</v>
      </c>
      <c r="MI5" t="s">
        <v>485</v>
      </c>
      <c r="MJ5" t="s">
        <v>486</v>
      </c>
      <c r="MK5" t="s">
        <v>487</v>
      </c>
      <c r="ML5" t="s">
        <v>488</v>
      </c>
      <c r="MM5" t="s">
        <v>489</v>
      </c>
      <c r="MN5" t="s">
        <v>490</v>
      </c>
      <c r="MO5" t="s">
        <v>491</v>
      </c>
      <c r="MP5" t="s">
        <v>492</v>
      </c>
      <c r="MQ5" t="s">
        <v>493</v>
      </c>
      <c r="MR5" t="s">
        <v>494</v>
      </c>
      <c r="MS5" t="s">
        <v>495</v>
      </c>
      <c r="MT5" t="s">
        <v>496</v>
      </c>
      <c r="MU5" t="s">
        <v>497</v>
      </c>
      <c r="MV5" t="s">
        <v>498</v>
      </c>
      <c r="MW5" t="s">
        <v>499</v>
      </c>
      <c r="MX5" t="s">
        <v>500</v>
      </c>
      <c r="MY5" t="s">
        <v>501</v>
      </c>
      <c r="MZ5" t="s">
        <v>502</v>
      </c>
      <c r="NA5" t="s">
        <v>503</v>
      </c>
      <c r="NB5" t="s">
        <v>504</v>
      </c>
      <c r="NC5" t="s">
        <v>505</v>
      </c>
      <c r="ND5" t="s">
        <v>506</v>
      </c>
      <c r="NE5" t="s">
        <v>507</v>
      </c>
      <c r="NF5" t="s">
        <v>508</v>
      </c>
      <c r="NG5" t="s">
        <v>509</v>
      </c>
      <c r="NH5" t="s">
        <v>510</v>
      </c>
      <c r="NI5" t="s">
        <v>511</v>
      </c>
      <c r="NJ5" t="s">
        <v>512</v>
      </c>
      <c r="NK5" t="s">
        <v>513</v>
      </c>
      <c r="NL5" t="s">
        <v>514</v>
      </c>
      <c r="NM5" t="s">
        <v>515</v>
      </c>
      <c r="NN5" t="s">
        <v>516</v>
      </c>
      <c r="NO5" t="s">
        <v>517</v>
      </c>
      <c r="NP5" t="s">
        <v>518</v>
      </c>
      <c r="NQ5" t="s">
        <v>519</v>
      </c>
      <c r="NR5" t="s">
        <v>520</v>
      </c>
      <c r="NS5" t="s">
        <v>521</v>
      </c>
      <c r="NT5" t="s">
        <v>522</v>
      </c>
      <c r="NU5" t="s">
        <v>523</v>
      </c>
      <c r="NV5" t="s">
        <v>524</v>
      </c>
      <c r="NW5" t="s">
        <v>525</v>
      </c>
      <c r="NX5" t="s">
        <v>526</v>
      </c>
      <c r="NY5" t="s">
        <v>527</v>
      </c>
      <c r="NZ5" t="s">
        <v>528</v>
      </c>
      <c r="OA5" t="s">
        <v>529</v>
      </c>
      <c r="OB5" t="s">
        <v>530</v>
      </c>
      <c r="OC5" t="s">
        <v>531</v>
      </c>
      <c r="OD5" t="s">
        <v>532</v>
      </c>
      <c r="OE5" t="s">
        <v>533</v>
      </c>
      <c r="OF5" t="s">
        <v>534</v>
      </c>
      <c r="OG5" t="s">
        <v>535</v>
      </c>
      <c r="OH5" t="s">
        <v>536</v>
      </c>
      <c r="OI5" t="s">
        <v>537</v>
      </c>
      <c r="OJ5" t="s">
        <v>538</v>
      </c>
      <c r="OK5" t="s">
        <v>539</v>
      </c>
      <c r="OL5" t="s">
        <v>540</v>
      </c>
      <c r="OM5" t="s">
        <v>541</v>
      </c>
      <c r="ON5" t="s">
        <v>542</v>
      </c>
      <c r="OO5" t="s">
        <v>543</v>
      </c>
      <c r="OP5" t="s">
        <v>544</v>
      </c>
      <c r="OQ5" t="s">
        <v>545</v>
      </c>
      <c r="OR5" t="s">
        <v>546</v>
      </c>
      <c r="OS5" t="s">
        <v>547</v>
      </c>
      <c r="OT5" t="s">
        <v>548</v>
      </c>
      <c r="OU5" t="s">
        <v>549</v>
      </c>
      <c r="OV5" t="s">
        <v>550</v>
      </c>
      <c r="OW5" t="s">
        <v>551</v>
      </c>
      <c r="OX5" t="s">
        <v>552</v>
      </c>
      <c r="OY5" t="s">
        <v>553</v>
      </c>
      <c r="OZ5" t="s">
        <v>554</v>
      </c>
      <c r="PA5" t="s">
        <v>555</v>
      </c>
      <c r="PB5" t="s">
        <v>556</v>
      </c>
      <c r="PC5" t="s">
        <v>557</v>
      </c>
      <c r="PD5" t="s">
        <v>558</v>
      </c>
      <c r="PE5" t="s">
        <v>559</v>
      </c>
      <c r="PF5" t="s">
        <v>560</v>
      </c>
      <c r="PG5" t="s">
        <v>561</v>
      </c>
      <c r="PH5" t="s">
        <v>562</v>
      </c>
      <c r="PI5" t="s">
        <v>563</v>
      </c>
    </row>
    <row r="6" spans="1:429" x14ac:dyDescent="0.25">
      <c r="A6" t="s">
        <v>564</v>
      </c>
      <c r="B6" t="s">
        <v>565</v>
      </c>
      <c r="C6" t="s">
        <v>566</v>
      </c>
      <c r="D6" t="s">
        <v>567</v>
      </c>
      <c r="E6">
        <v>111200</v>
      </c>
      <c r="F6">
        <v>111300</v>
      </c>
      <c r="G6">
        <v>111400</v>
      </c>
      <c r="H6">
        <v>111900</v>
      </c>
      <c r="I6">
        <v>112120</v>
      </c>
      <c r="J6" t="s">
        <v>568</v>
      </c>
      <c r="K6">
        <v>112300</v>
      </c>
      <c r="L6" t="s">
        <v>569</v>
      </c>
      <c r="M6">
        <v>113000</v>
      </c>
      <c r="N6">
        <v>114000</v>
      </c>
      <c r="O6">
        <v>115000</v>
      </c>
      <c r="P6">
        <v>211000</v>
      </c>
      <c r="Q6">
        <v>212100</v>
      </c>
      <c r="R6">
        <v>212230</v>
      </c>
      <c r="S6" t="s">
        <v>570</v>
      </c>
      <c r="T6">
        <v>212310</v>
      </c>
      <c r="U6" t="s">
        <v>571</v>
      </c>
      <c r="V6">
        <v>213111</v>
      </c>
      <c r="W6" t="s">
        <v>572</v>
      </c>
      <c r="X6">
        <v>221100</v>
      </c>
      <c r="Y6">
        <v>221200</v>
      </c>
      <c r="Z6">
        <v>221300</v>
      </c>
      <c r="AA6">
        <v>233210</v>
      </c>
      <c r="AB6">
        <v>233262</v>
      </c>
      <c r="AC6">
        <v>230301</v>
      </c>
      <c r="AD6">
        <v>230302</v>
      </c>
      <c r="AE6" t="s">
        <v>573</v>
      </c>
      <c r="AF6">
        <v>233412</v>
      </c>
      <c r="AG6" t="s">
        <v>574</v>
      </c>
      <c r="AH6">
        <v>233230</v>
      </c>
      <c r="AI6" t="s">
        <v>575</v>
      </c>
      <c r="AJ6">
        <v>233240</v>
      </c>
      <c r="AK6">
        <v>233411</v>
      </c>
      <c r="AL6" t="s">
        <v>576</v>
      </c>
      <c r="AM6">
        <v>321100</v>
      </c>
      <c r="AN6">
        <v>321200</v>
      </c>
      <c r="AO6">
        <v>321910</v>
      </c>
      <c r="AP6" t="s">
        <v>577</v>
      </c>
      <c r="AQ6">
        <v>327100</v>
      </c>
      <c r="AR6">
        <v>327200</v>
      </c>
      <c r="AS6">
        <v>327310</v>
      </c>
      <c r="AT6">
        <v>327320</v>
      </c>
      <c r="AU6">
        <v>327330</v>
      </c>
      <c r="AV6">
        <v>327390</v>
      </c>
      <c r="AW6">
        <v>327400</v>
      </c>
      <c r="AX6">
        <v>327910</v>
      </c>
      <c r="AY6">
        <v>327991</v>
      </c>
      <c r="AZ6">
        <v>327992</v>
      </c>
      <c r="BA6">
        <v>327993</v>
      </c>
      <c r="BB6">
        <v>327999</v>
      </c>
      <c r="BC6">
        <v>331110</v>
      </c>
      <c r="BD6">
        <v>331200</v>
      </c>
      <c r="BE6">
        <v>331314</v>
      </c>
      <c r="BF6">
        <v>331313</v>
      </c>
      <c r="BG6" t="s">
        <v>578</v>
      </c>
      <c r="BH6">
        <v>331410</v>
      </c>
      <c r="BI6">
        <v>331420</v>
      </c>
      <c r="BJ6">
        <v>331490</v>
      </c>
      <c r="BK6">
        <v>331510</v>
      </c>
      <c r="BL6">
        <v>331520</v>
      </c>
      <c r="BM6">
        <v>332114</v>
      </c>
      <c r="BN6" t="s">
        <v>579</v>
      </c>
      <c r="BO6">
        <v>332119</v>
      </c>
      <c r="BP6">
        <v>332200</v>
      </c>
      <c r="BQ6">
        <v>332310</v>
      </c>
      <c r="BR6">
        <v>332320</v>
      </c>
      <c r="BS6">
        <v>332410</v>
      </c>
      <c r="BT6">
        <v>332420</v>
      </c>
      <c r="BU6">
        <v>332430</v>
      </c>
      <c r="BV6">
        <v>332500</v>
      </c>
      <c r="BW6">
        <v>332600</v>
      </c>
      <c r="BX6">
        <v>332710</v>
      </c>
      <c r="BY6">
        <v>332720</v>
      </c>
      <c r="BZ6">
        <v>332800</v>
      </c>
      <c r="CA6">
        <v>332913</v>
      </c>
      <c r="CB6" t="s">
        <v>580</v>
      </c>
      <c r="CC6">
        <v>332991</v>
      </c>
      <c r="CD6">
        <v>332996</v>
      </c>
      <c r="CE6" t="s">
        <v>581</v>
      </c>
      <c r="CF6">
        <v>332999</v>
      </c>
      <c r="CG6">
        <v>333111</v>
      </c>
      <c r="CH6">
        <v>333112</v>
      </c>
      <c r="CI6">
        <v>333120</v>
      </c>
      <c r="CJ6">
        <v>333130</v>
      </c>
      <c r="CK6">
        <v>333242</v>
      </c>
      <c r="CL6" t="s">
        <v>582</v>
      </c>
      <c r="CM6">
        <v>333314</v>
      </c>
      <c r="CN6">
        <v>333316</v>
      </c>
      <c r="CO6">
        <v>333318</v>
      </c>
      <c r="CP6">
        <v>333414</v>
      </c>
      <c r="CQ6">
        <v>333415</v>
      </c>
      <c r="CR6">
        <v>333413</v>
      </c>
      <c r="CS6">
        <v>333511</v>
      </c>
      <c r="CT6">
        <v>333514</v>
      </c>
      <c r="CU6">
        <v>333517</v>
      </c>
      <c r="CV6" t="s">
        <v>583</v>
      </c>
      <c r="CW6">
        <v>333611</v>
      </c>
      <c r="CX6">
        <v>333612</v>
      </c>
      <c r="CY6">
        <v>333613</v>
      </c>
      <c r="CZ6">
        <v>333618</v>
      </c>
      <c r="DA6">
        <v>333912</v>
      </c>
      <c r="DB6">
        <v>333914</v>
      </c>
      <c r="DC6">
        <v>333920</v>
      </c>
      <c r="DD6">
        <v>333991</v>
      </c>
      <c r="DE6">
        <v>333993</v>
      </c>
      <c r="DF6">
        <v>333994</v>
      </c>
      <c r="DG6" t="s">
        <v>584</v>
      </c>
      <c r="DH6" t="s">
        <v>585</v>
      </c>
      <c r="DI6">
        <v>334111</v>
      </c>
      <c r="DJ6">
        <v>334112</v>
      </c>
      <c r="DK6">
        <v>334118</v>
      </c>
      <c r="DL6">
        <v>334210</v>
      </c>
      <c r="DM6">
        <v>334220</v>
      </c>
      <c r="DN6">
        <v>334290</v>
      </c>
      <c r="DO6">
        <v>334413</v>
      </c>
      <c r="DP6">
        <v>334418</v>
      </c>
      <c r="DQ6" t="s">
        <v>586</v>
      </c>
      <c r="DR6">
        <v>334510</v>
      </c>
      <c r="DS6">
        <v>334511</v>
      </c>
      <c r="DT6">
        <v>334512</v>
      </c>
      <c r="DU6">
        <v>334513</v>
      </c>
      <c r="DV6">
        <v>334514</v>
      </c>
      <c r="DW6">
        <v>334515</v>
      </c>
      <c r="DX6">
        <v>334516</v>
      </c>
      <c r="DY6">
        <v>334517</v>
      </c>
      <c r="DZ6" t="s">
        <v>587</v>
      </c>
      <c r="EA6">
        <v>334300</v>
      </c>
      <c r="EB6">
        <v>334610</v>
      </c>
      <c r="EC6">
        <v>335110</v>
      </c>
      <c r="ED6">
        <v>335120</v>
      </c>
      <c r="EE6">
        <v>335210</v>
      </c>
      <c r="EF6">
        <v>335220</v>
      </c>
      <c r="EG6">
        <v>335311</v>
      </c>
      <c r="EH6">
        <v>335312</v>
      </c>
      <c r="EI6">
        <v>335313</v>
      </c>
      <c r="EJ6">
        <v>335314</v>
      </c>
      <c r="EK6">
        <v>335911</v>
      </c>
      <c r="EL6">
        <v>335912</v>
      </c>
      <c r="EM6">
        <v>335920</v>
      </c>
      <c r="EN6">
        <v>335930</v>
      </c>
      <c r="EO6">
        <v>335991</v>
      </c>
      <c r="EP6">
        <v>335999</v>
      </c>
      <c r="EQ6">
        <v>336111</v>
      </c>
      <c r="ER6">
        <v>336112</v>
      </c>
      <c r="ES6">
        <v>336120</v>
      </c>
      <c r="ET6">
        <v>336211</v>
      </c>
      <c r="EU6">
        <v>336212</v>
      </c>
      <c r="EV6">
        <v>336213</v>
      </c>
      <c r="EW6">
        <v>336214</v>
      </c>
      <c r="EX6">
        <v>336310</v>
      </c>
      <c r="EY6">
        <v>336320</v>
      </c>
      <c r="EZ6">
        <v>336350</v>
      </c>
      <c r="FA6">
        <v>336360</v>
      </c>
      <c r="FB6">
        <v>336370</v>
      </c>
      <c r="FC6">
        <v>336390</v>
      </c>
      <c r="FD6" t="s">
        <v>588</v>
      </c>
      <c r="FE6">
        <v>336411</v>
      </c>
      <c r="FF6">
        <v>336412</v>
      </c>
      <c r="FG6">
        <v>336413</v>
      </c>
      <c r="FH6">
        <v>336414</v>
      </c>
      <c r="FI6" t="s">
        <v>589</v>
      </c>
      <c r="FJ6">
        <v>336500</v>
      </c>
      <c r="FK6">
        <v>336611</v>
      </c>
      <c r="FL6">
        <v>336612</v>
      </c>
      <c r="FM6">
        <v>336991</v>
      </c>
      <c r="FN6">
        <v>336992</v>
      </c>
      <c r="FO6">
        <v>336999</v>
      </c>
      <c r="FP6">
        <v>337110</v>
      </c>
      <c r="FQ6">
        <v>337121</v>
      </c>
      <c r="FR6">
        <v>337122</v>
      </c>
      <c r="FS6">
        <v>337127</v>
      </c>
      <c r="FT6" t="s">
        <v>590</v>
      </c>
      <c r="FU6">
        <v>337215</v>
      </c>
      <c r="FV6" t="s">
        <v>591</v>
      </c>
      <c r="FW6">
        <v>337900</v>
      </c>
      <c r="FX6">
        <v>339112</v>
      </c>
      <c r="FY6">
        <v>339113</v>
      </c>
      <c r="FZ6">
        <v>339114</v>
      </c>
      <c r="GA6">
        <v>339115</v>
      </c>
      <c r="GB6">
        <v>339116</v>
      </c>
      <c r="GC6">
        <v>339910</v>
      </c>
      <c r="GD6">
        <v>339920</v>
      </c>
      <c r="GE6">
        <v>339930</v>
      </c>
      <c r="GF6">
        <v>339940</v>
      </c>
      <c r="GG6">
        <v>339950</v>
      </c>
      <c r="GH6">
        <v>339990</v>
      </c>
      <c r="GI6">
        <v>311111</v>
      </c>
      <c r="GJ6">
        <v>311119</v>
      </c>
      <c r="GK6">
        <v>311210</v>
      </c>
      <c r="GL6">
        <v>311221</v>
      </c>
      <c r="GM6">
        <v>311225</v>
      </c>
      <c r="GN6">
        <v>311224</v>
      </c>
      <c r="GO6">
        <v>311230</v>
      </c>
      <c r="GP6">
        <v>311300</v>
      </c>
      <c r="GQ6">
        <v>311410</v>
      </c>
      <c r="GR6">
        <v>311420</v>
      </c>
      <c r="GS6">
        <v>311513</v>
      </c>
      <c r="GT6">
        <v>311514</v>
      </c>
      <c r="GU6" t="s">
        <v>592</v>
      </c>
      <c r="GV6">
        <v>311520</v>
      </c>
      <c r="GW6">
        <v>311615</v>
      </c>
      <c r="GX6" t="s">
        <v>593</v>
      </c>
      <c r="GY6">
        <v>311700</v>
      </c>
      <c r="GZ6">
        <v>311810</v>
      </c>
      <c r="HA6" t="s">
        <v>594</v>
      </c>
      <c r="HB6">
        <v>311910</v>
      </c>
      <c r="HC6">
        <v>311920</v>
      </c>
      <c r="HD6">
        <v>311930</v>
      </c>
      <c r="HE6">
        <v>311940</v>
      </c>
      <c r="HF6">
        <v>311990</v>
      </c>
      <c r="HG6">
        <v>312110</v>
      </c>
      <c r="HH6">
        <v>312120</v>
      </c>
      <c r="HI6">
        <v>312130</v>
      </c>
      <c r="HJ6">
        <v>312140</v>
      </c>
      <c r="HK6">
        <v>312200</v>
      </c>
      <c r="HL6">
        <v>313100</v>
      </c>
      <c r="HM6">
        <v>313200</v>
      </c>
      <c r="HN6">
        <v>313300</v>
      </c>
      <c r="HO6">
        <v>314110</v>
      </c>
      <c r="HP6">
        <v>314120</v>
      </c>
      <c r="HQ6">
        <v>314900</v>
      </c>
      <c r="HR6">
        <v>315000</v>
      </c>
      <c r="HS6">
        <v>316000</v>
      </c>
      <c r="HT6">
        <v>322110</v>
      </c>
      <c r="HU6">
        <v>322120</v>
      </c>
      <c r="HV6">
        <v>322130</v>
      </c>
      <c r="HW6">
        <v>322210</v>
      </c>
      <c r="HX6">
        <v>322220</v>
      </c>
      <c r="HY6">
        <v>322230</v>
      </c>
      <c r="HZ6">
        <v>322291</v>
      </c>
      <c r="IA6">
        <v>322299</v>
      </c>
      <c r="IB6">
        <v>323110</v>
      </c>
      <c r="IC6">
        <v>323120</v>
      </c>
      <c r="ID6">
        <v>324110</v>
      </c>
      <c r="IE6">
        <v>324121</v>
      </c>
      <c r="IF6">
        <v>324122</v>
      </c>
      <c r="IG6">
        <v>324190</v>
      </c>
      <c r="IH6">
        <v>325110</v>
      </c>
      <c r="II6">
        <v>325120</v>
      </c>
      <c r="IJ6">
        <v>325130</v>
      </c>
      <c r="IK6">
        <v>325180</v>
      </c>
      <c r="IL6">
        <v>325190</v>
      </c>
      <c r="IM6">
        <v>325211</v>
      </c>
      <c r="IN6" t="s">
        <v>595</v>
      </c>
      <c r="IO6">
        <v>325411</v>
      </c>
      <c r="IP6">
        <v>325412</v>
      </c>
      <c r="IQ6">
        <v>325413</v>
      </c>
      <c r="IR6">
        <v>325414</v>
      </c>
      <c r="IS6">
        <v>325310</v>
      </c>
      <c r="IT6">
        <v>325320</v>
      </c>
      <c r="IU6">
        <v>325510</v>
      </c>
      <c r="IV6">
        <v>325520</v>
      </c>
      <c r="IW6">
        <v>325610</v>
      </c>
      <c r="IX6">
        <v>325620</v>
      </c>
      <c r="IY6">
        <v>325910</v>
      </c>
      <c r="IZ6" t="s">
        <v>596</v>
      </c>
      <c r="JA6">
        <v>326110</v>
      </c>
      <c r="JB6">
        <v>326120</v>
      </c>
      <c r="JC6">
        <v>326130</v>
      </c>
      <c r="JD6">
        <v>326140</v>
      </c>
      <c r="JE6">
        <v>326150</v>
      </c>
      <c r="JF6">
        <v>326160</v>
      </c>
      <c r="JG6">
        <v>326190</v>
      </c>
      <c r="JH6">
        <v>326210</v>
      </c>
      <c r="JI6">
        <v>326220</v>
      </c>
      <c r="JJ6">
        <v>326290</v>
      </c>
      <c r="JK6">
        <v>423100</v>
      </c>
      <c r="JL6">
        <v>423400</v>
      </c>
      <c r="JM6">
        <v>423600</v>
      </c>
      <c r="JN6">
        <v>423800</v>
      </c>
      <c r="JO6" t="s">
        <v>597</v>
      </c>
      <c r="JP6">
        <v>424200</v>
      </c>
      <c r="JQ6">
        <v>424400</v>
      </c>
      <c r="JR6">
        <v>424700</v>
      </c>
      <c r="JS6" t="s">
        <v>598</v>
      </c>
      <c r="JT6">
        <v>425000</v>
      </c>
      <c r="JU6" t="s">
        <v>599</v>
      </c>
      <c r="JV6">
        <v>441000</v>
      </c>
      <c r="JW6">
        <v>445000</v>
      </c>
      <c r="JX6">
        <v>452000</v>
      </c>
      <c r="JY6">
        <v>444000</v>
      </c>
      <c r="JZ6">
        <v>446000</v>
      </c>
      <c r="KA6">
        <v>447000</v>
      </c>
      <c r="KB6">
        <v>448000</v>
      </c>
      <c r="KC6">
        <v>454000</v>
      </c>
      <c r="KD6" t="s">
        <v>600</v>
      </c>
      <c r="KE6">
        <v>481000</v>
      </c>
      <c r="KF6">
        <v>482000</v>
      </c>
      <c r="KG6">
        <v>483000</v>
      </c>
      <c r="KH6">
        <v>484000</v>
      </c>
      <c r="KI6">
        <v>485000</v>
      </c>
      <c r="KJ6">
        <v>486000</v>
      </c>
      <c r="KK6" t="s">
        <v>601</v>
      </c>
      <c r="KL6">
        <v>492000</v>
      </c>
      <c r="KM6">
        <v>493000</v>
      </c>
      <c r="KN6">
        <v>511110</v>
      </c>
      <c r="KO6">
        <v>511120</v>
      </c>
      <c r="KP6">
        <v>511130</v>
      </c>
      <c r="KQ6" t="s">
        <v>602</v>
      </c>
      <c r="KR6">
        <v>511200</v>
      </c>
      <c r="KS6">
        <v>512100</v>
      </c>
      <c r="KT6">
        <v>512200</v>
      </c>
      <c r="KU6">
        <v>515100</v>
      </c>
      <c r="KV6">
        <v>515200</v>
      </c>
      <c r="KW6">
        <v>517110</v>
      </c>
      <c r="KX6">
        <v>517210</v>
      </c>
      <c r="KY6" t="s">
        <v>603</v>
      </c>
      <c r="KZ6">
        <v>518200</v>
      </c>
      <c r="LA6">
        <v>519130</v>
      </c>
      <c r="LB6" t="s">
        <v>604</v>
      </c>
      <c r="LC6" t="s">
        <v>605</v>
      </c>
      <c r="LD6" t="s">
        <v>606</v>
      </c>
      <c r="LE6">
        <v>523900</v>
      </c>
      <c r="LF6" t="s">
        <v>607</v>
      </c>
      <c r="LG6">
        <v>524113</v>
      </c>
      <c r="LH6" t="s">
        <v>608</v>
      </c>
      <c r="LI6">
        <v>524200</v>
      </c>
      <c r="LJ6">
        <v>525000</v>
      </c>
      <c r="LK6" t="s">
        <v>609</v>
      </c>
      <c r="LL6" t="s">
        <v>610</v>
      </c>
      <c r="LM6" t="s">
        <v>611</v>
      </c>
      <c r="LN6">
        <v>532100</v>
      </c>
      <c r="LO6">
        <v>532400</v>
      </c>
      <c r="LP6" t="s">
        <v>612</v>
      </c>
      <c r="LQ6">
        <v>533000</v>
      </c>
      <c r="LR6">
        <v>541100</v>
      </c>
      <c r="LS6">
        <v>541511</v>
      </c>
      <c r="LT6">
        <v>541512</v>
      </c>
      <c r="LU6" t="s">
        <v>613</v>
      </c>
      <c r="LV6">
        <v>541200</v>
      </c>
      <c r="LW6">
        <v>541300</v>
      </c>
      <c r="LX6">
        <v>541610</v>
      </c>
      <c r="LY6" t="s">
        <v>614</v>
      </c>
      <c r="LZ6">
        <v>541700</v>
      </c>
      <c r="MA6">
        <v>541800</v>
      </c>
      <c r="MB6">
        <v>541400</v>
      </c>
      <c r="MC6">
        <v>541920</v>
      </c>
      <c r="MD6">
        <v>541940</v>
      </c>
      <c r="ME6" t="s">
        <v>615</v>
      </c>
      <c r="MF6">
        <v>550000</v>
      </c>
      <c r="MG6">
        <v>561300</v>
      </c>
      <c r="MH6">
        <v>561700</v>
      </c>
      <c r="MI6">
        <v>561100</v>
      </c>
      <c r="MJ6">
        <v>561200</v>
      </c>
      <c r="MK6">
        <v>561400</v>
      </c>
      <c r="ML6">
        <v>561500</v>
      </c>
      <c r="MM6">
        <v>561600</v>
      </c>
      <c r="MN6">
        <v>561900</v>
      </c>
      <c r="MO6">
        <v>562000</v>
      </c>
      <c r="MP6">
        <v>611100</v>
      </c>
      <c r="MQ6" t="s">
        <v>616</v>
      </c>
      <c r="MR6" t="s">
        <v>617</v>
      </c>
      <c r="MS6">
        <v>621100</v>
      </c>
      <c r="MT6">
        <v>621200</v>
      </c>
      <c r="MU6">
        <v>621300</v>
      </c>
      <c r="MV6">
        <v>621400</v>
      </c>
      <c r="MW6">
        <v>621500</v>
      </c>
      <c r="MX6">
        <v>621600</v>
      </c>
      <c r="MY6">
        <v>621900</v>
      </c>
      <c r="MZ6">
        <v>622000</v>
      </c>
      <c r="NA6" t="s">
        <v>618</v>
      </c>
      <c r="NB6" t="s">
        <v>619</v>
      </c>
      <c r="NC6">
        <v>624100</v>
      </c>
      <c r="ND6">
        <v>624400</v>
      </c>
      <c r="NE6" t="s">
        <v>620</v>
      </c>
      <c r="NF6">
        <v>711100</v>
      </c>
      <c r="NG6">
        <v>711200</v>
      </c>
      <c r="NH6">
        <v>711500</v>
      </c>
      <c r="NI6" t="s">
        <v>621</v>
      </c>
      <c r="NJ6">
        <v>712000</v>
      </c>
      <c r="NK6">
        <v>713100</v>
      </c>
      <c r="NL6">
        <v>713200</v>
      </c>
      <c r="NM6">
        <v>713900</v>
      </c>
      <c r="NN6">
        <v>721000</v>
      </c>
      <c r="NO6">
        <v>722110</v>
      </c>
      <c r="NP6">
        <v>722211</v>
      </c>
      <c r="NQ6" t="s">
        <v>622</v>
      </c>
      <c r="NR6">
        <v>811100</v>
      </c>
      <c r="NS6">
        <v>811200</v>
      </c>
      <c r="NT6">
        <v>811300</v>
      </c>
      <c r="NU6">
        <v>811400</v>
      </c>
      <c r="NV6">
        <v>812100</v>
      </c>
      <c r="NW6">
        <v>812200</v>
      </c>
      <c r="NX6">
        <v>812300</v>
      </c>
      <c r="NY6">
        <v>812900</v>
      </c>
      <c r="NZ6">
        <v>813100</v>
      </c>
      <c r="OA6" t="s">
        <v>623</v>
      </c>
      <c r="OB6" t="s">
        <v>624</v>
      </c>
      <c r="OC6">
        <v>814000</v>
      </c>
      <c r="OD6" t="s">
        <v>625</v>
      </c>
      <c r="OE6" t="s">
        <v>626</v>
      </c>
      <c r="OF6">
        <v>491000</v>
      </c>
      <c r="OG6" t="s">
        <v>627</v>
      </c>
      <c r="OH6" t="s">
        <v>628</v>
      </c>
      <c r="OI6" t="s">
        <v>629</v>
      </c>
      <c r="OJ6" t="s">
        <v>630</v>
      </c>
      <c r="OK6" t="s">
        <v>631</v>
      </c>
      <c r="OL6" t="s">
        <v>632</v>
      </c>
      <c r="OM6" t="s">
        <v>633</v>
      </c>
      <c r="ON6" t="s">
        <v>634</v>
      </c>
      <c r="OO6" t="s">
        <v>635</v>
      </c>
      <c r="OP6" t="s">
        <v>636</v>
      </c>
      <c r="OQ6" t="s">
        <v>637</v>
      </c>
      <c r="OR6" t="s">
        <v>638</v>
      </c>
      <c r="OS6" t="s">
        <v>639</v>
      </c>
      <c r="OT6" t="s">
        <v>640</v>
      </c>
      <c r="OU6" t="s">
        <v>641</v>
      </c>
      <c r="OV6" t="s">
        <v>642</v>
      </c>
      <c r="OW6" t="s">
        <v>643</v>
      </c>
      <c r="OX6" t="s">
        <v>644</v>
      </c>
      <c r="OY6" t="s">
        <v>645</v>
      </c>
      <c r="OZ6" t="s">
        <v>646</v>
      </c>
      <c r="PA6" t="s">
        <v>647</v>
      </c>
      <c r="PB6" t="s">
        <v>648</v>
      </c>
      <c r="PC6" t="s">
        <v>649</v>
      </c>
      <c r="PD6" t="s">
        <v>650</v>
      </c>
      <c r="PE6" t="s">
        <v>651</v>
      </c>
      <c r="PF6" t="s">
        <v>652</v>
      </c>
      <c r="PG6" t="s">
        <v>653</v>
      </c>
      <c r="PH6" t="s">
        <v>654</v>
      </c>
      <c r="PI6" t="s">
        <v>655</v>
      </c>
      <c r="PM6" s="5" t="s">
        <v>656</v>
      </c>
    </row>
    <row r="7" spans="1:429" x14ac:dyDescent="0.25">
      <c r="A7" t="s">
        <v>566</v>
      </c>
      <c r="B7" t="s">
        <v>141</v>
      </c>
      <c r="C7">
        <v>12160</v>
      </c>
      <c r="D7">
        <v>665</v>
      </c>
      <c r="E7">
        <v>59</v>
      </c>
      <c r="H7">
        <v>4</v>
      </c>
      <c r="GL7">
        <v>1207</v>
      </c>
      <c r="GM7">
        <v>913</v>
      </c>
      <c r="GN7">
        <v>24360</v>
      </c>
      <c r="HB7">
        <v>328</v>
      </c>
      <c r="HD7">
        <v>13</v>
      </c>
      <c r="HE7">
        <v>12</v>
      </c>
      <c r="HF7">
        <v>13</v>
      </c>
      <c r="IH7">
        <v>4</v>
      </c>
      <c r="II7">
        <v>0</v>
      </c>
      <c r="IJ7">
        <v>0</v>
      </c>
      <c r="IL7">
        <v>1421</v>
      </c>
      <c r="IO7">
        <v>28</v>
      </c>
      <c r="IP7">
        <v>0</v>
      </c>
      <c r="IQ7">
        <v>0</v>
      </c>
      <c r="IR7">
        <v>3</v>
      </c>
      <c r="OE7">
        <v>-240</v>
      </c>
      <c r="OO7">
        <v>40949</v>
      </c>
      <c r="OU7">
        <v>-1032</v>
      </c>
      <c r="OV7">
        <v>21287</v>
      </c>
      <c r="PI7">
        <v>61204</v>
      </c>
      <c r="PM7" t="str">
        <f>IFERROR(VLOOKUP($A7&amp;"",Key!$A:$C,3,FALSE),"")</f>
        <v>ISIC 01</v>
      </c>
    </row>
    <row r="8" spans="1:429" x14ac:dyDescent="0.25">
      <c r="A8" t="s">
        <v>567</v>
      </c>
      <c r="B8" t="s">
        <v>142</v>
      </c>
      <c r="D8">
        <v>11802</v>
      </c>
      <c r="H8">
        <v>692</v>
      </c>
      <c r="I8">
        <v>2579</v>
      </c>
      <c r="J8">
        <v>6513</v>
      </c>
      <c r="K8">
        <v>2436</v>
      </c>
      <c r="L8">
        <v>267</v>
      </c>
      <c r="GI8">
        <v>1888</v>
      </c>
      <c r="GJ8">
        <v>10292</v>
      </c>
      <c r="GK8">
        <v>10083</v>
      </c>
      <c r="GL8">
        <v>4774</v>
      </c>
      <c r="GM8">
        <v>142</v>
      </c>
      <c r="GN8">
        <v>10</v>
      </c>
      <c r="GO8">
        <v>383</v>
      </c>
      <c r="GQ8">
        <v>4174</v>
      </c>
      <c r="GR8">
        <v>213</v>
      </c>
      <c r="GT8">
        <v>3</v>
      </c>
      <c r="GV8">
        <v>6</v>
      </c>
      <c r="GZ8">
        <v>1948</v>
      </c>
      <c r="HA8">
        <v>746</v>
      </c>
      <c r="HB8">
        <v>1392</v>
      </c>
      <c r="HF8">
        <v>1306</v>
      </c>
      <c r="HH8">
        <v>921</v>
      </c>
      <c r="HJ8">
        <v>241</v>
      </c>
      <c r="II8">
        <v>38</v>
      </c>
      <c r="IL8">
        <v>11805</v>
      </c>
      <c r="JQ8">
        <v>0</v>
      </c>
      <c r="JR8">
        <v>0</v>
      </c>
      <c r="JS8">
        <v>0</v>
      </c>
      <c r="JW8">
        <v>643</v>
      </c>
      <c r="JX8">
        <v>154</v>
      </c>
      <c r="KC8">
        <v>0</v>
      </c>
      <c r="LZ8">
        <v>204</v>
      </c>
      <c r="MF8">
        <v>5</v>
      </c>
      <c r="MP8">
        <v>2</v>
      </c>
      <c r="MQ8">
        <v>25</v>
      </c>
      <c r="NN8">
        <v>11</v>
      </c>
      <c r="NO8">
        <v>0</v>
      </c>
      <c r="NP8">
        <v>1</v>
      </c>
      <c r="OE8">
        <v>-32</v>
      </c>
      <c r="OI8">
        <v>144</v>
      </c>
      <c r="OJ8">
        <v>0</v>
      </c>
      <c r="OK8">
        <v>138</v>
      </c>
      <c r="OO8">
        <v>75948</v>
      </c>
      <c r="OP8">
        <v>4939</v>
      </c>
      <c r="OU8">
        <v>-1547</v>
      </c>
      <c r="OV8">
        <v>16940</v>
      </c>
      <c r="PI8">
        <v>96281</v>
      </c>
      <c r="PM8" t="str">
        <f>IFERROR(VLOOKUP($A8&amp;"",Key!$A:$C,3,FALSE),"")</f>
        <v>ISIC 01</v>
      </c>
    </row>
    <row r="9" spans="1:429" x14ac:dyDescent="0.25">
      <c r="A9">
        <v>111200</v>
      </c>
      <c r="B9" t="s">
        <v>143</v>
      </c>
      <c r="E9">
        <v>962</v>
      </c>
      <c r="F9">
        <v>3</v>
      </c>
      <c r="GQ9">
        <v>1860</v>
      </c>
      <c r="GR9">
        <v>188</v>
      </c>
      <c r="GT9">
        <v>5</v>
      </c>
      <c r="HA9">
        <v>12</v>
      </c>
      <c r="HB9">
        <v>1028</v>
      </c>
      <c r="HD9">
        <v>37</v>
      </c>
      <c r="HE9">
        <v>144</v>
      </c>
      <c r="HF9">
        <v>2922</v>
      </c>
      <c r="JW9">
        <v>12</v>
      </c>
      <c r="KA9">
        <v>20</v>
      </c>
      <c r="KK9">
        <v>12</v>
      </c>
      <c r="MP9">
        <v>10</v>
      </c>
      <c r="MQ9">
        <v>27</v>
      </c>
      <c r="NM9">
        <v>1</v>
      </c>
      <c r="NN9">
        <v>4</v>
      </c>
      <c r="NO9">
        <v>135</v>
      </c>
      <c r="NP9">
        <v>165</v>
      </c>
      <c r="NQ9">
        <v>25</v>
      </c>
      <c r="NZ9">
        <v>2</v>
      </c>
      <c r="OB9">
        <v>2</v>
      </c>
      <c r="OI9">
        <v>96</v>
      </c>
      <c r="OJ9">
        <v>49</v>
      </c>
      <c r="OK9">
        <v>36</v>
      </c>
      <c r="OO9">
        <v>7756</v>
      </c>
      <c r="OP9">
        <v>39518</v>
      </c>
      <c r="OU9">
        <v>-585</v>
      </c>
      <c r="OV9">
        <v>3649</v>
      </c>
      <c r="PI9">
        <v>50338</v>
      </c>
      <c r="PM9" t="str">
        <f>IFERROR(VLOOKUP($A9&amp;"",Key!$A:$C,3,FALSE),"")</f>
        <v>ISIC 01</v>
      </c>
    </row>
    <row r="10" spans="1:429" x14ac:dyDescent="0.25">
      <c r="A10">
        <v>111300</v>
      </c>
      <c r="B10" t="s">
        <v>144</v>
      </c>
      <c r="F10">
        <v>1037</v>
      </c>
      <c r="GO10">
        <v>102</v>
      </c>
      <c r="GP10">
        <v>1438</v>
      </c>
      <c r="GQ10">
        <v>1733</v>
      </c>
      <c r="GR10">
        <v>3163</v>
      </c>
      <c r="GT10">
        <v>22</v>
      </c>
      <c r="GV10">
        <v>35</v>
      </c>
      <c r="GZ10">
        <v>192</v>
      </c>
      <c r="HA10">
        <v>177</v>
      </c>
      <c r="HB10">
        <v>2715</v>
      </c>
      <c r="HC10">
        <v>4156</v>
      </c>
      <c r="HD10">
        <v>43</v>
      </c>
      <c r="HE10">
        <v>1130</v>
      </c>
      <c r="HF10">
        <v>4696</v>
      </c>
      <c r="HI10">
        <v>5595</v>
      </c>
      <c r="HJ10">
        <v>4</v>
      </c>
      <c r="KK10">
        <v>32</v>
      </c>
      <c r="LZ10">
        <v>2</v>
      </c>
      <c r="MP10">
        <v>14</v>
      </c>
      <c r="MQ10">
        <v>116</v>
      </c>
      <c r="NM10">
        <v>5</v>
      </c>
      <c r="NN10">
        <v>16</v>
      </c>
      <c r="NO10">
        <v>122</v>
      </c>
      <c r="NP10">
        <v>132</v>
      </c>
      <c r="NQ10">
        <v>154</v>
      </c>
      <c r="NZ10">
        <v>8</v>
      </c>
      <c r="OI10">
        <v>185</v>
      </c>
      <c r="OJ10">
        <v>165</v>
      </c>
      <c r="OK10">
        <v>142</v>
      </c>
      <c r="OO10">
        <v>27330</v>
      </c>
      <c r="OP10">
        <v>48125</v>
      </c>
      <c r="OU10">
        <v>-676</v>
      </c>
      <c r="OV10">
        <v>7907</v>
      </c>
      <c r="PI10">
        <v>82686</v>
      </c>
      <c r="PM10" t="str">
        <f>IFERROR(VLOOKUP($A10&amp;"",Key!$A:$C,3,FALSE),"")</f>
        <v>ISIC 01</v>
      </c>
    </row>
    <row r="11" spans="1:429" x14ac:dyDescent="0.25">
      <c r="A11">
        <v>111400</v>
      </c>
      <c r="B11" t="s">
        <v>145</v>
      </c>
      <c r="G11">
        <v>3604</v>
      </c>
      <c r="O11">
        <v>134</v>
      </c>
      <c r="AD11">
        <v>36</v>
      </c>
      <c r="AG11">
        <v>163</v>
      </c>
      <c r="AK11">
        <v>72</v>
      </c>
      <c r="GH11">
        <v>222</v>
      </c>
      <c r="GR11">
        <v>1</v>
      </c>
      <c r="HB11">
        <v>159</v>
      </c>
      <c r="HF11">
        <v>311</v>
      </c>
      <c r="IL11">
        <v>2688</v>
      </c>
      <c r="JL11">
        <v>1</v>
      </c>
      <c r="JQ11">
        <v>2</v>
      </c>
      <c r="JR11">
        <v>2</v>
      </c>
      <c r="JS11">
        <v>49</v>
      </c>
      <c r="JT11">
        <v>1</v>
      </c>
      <c r="JV11">
        <v>744</v>
      </c>
      <c r="JW11">
        <v>312</v>
      </c>
      <c r="KA11">
        <v>346</v>
      </c>
      <c r="KD11">
        <v>23</v>
      </c>
      <c r="LD11">
        <v>1</v>
      </c>
      <c r="LK11">
        <v>0</v>
      </c>
      <c r="LL11">
        <v>0</v>
      </c>
      <c r="LM11">
        <v>7</v>
      </c>
      <c r="LR11">
        <v>2</v>
      </c>
      <c r="LU11">
        <v>1</v>
      </c>
      <c r="LV11">
        <v>13</v>
      </c>
      <c r="LW11">
        <v>18</v>
      </c>
      <c r="LX11">
        <v>10</v>
      </c>
      <c r="MA11">
        <v>29</v>
      </c>
      <c r="MH11">
        <v>1473</v>
      </c>
      <c r="MI11">
        <v>1</v>
      </c>
      <c r="MK11">
        <v>1</v>
      </c>
      <c r="MN11">
        <v>1</v>
      </c>
      <c r="MP11">
        <v>0</v>
      </c>
      <c r="MQ11">
        <v>1</v>
      </c>
      <c r="NK11">
        <v>9</v>
      </c>
      <c r="NL11">
        <v>14</v>
      </c>
      <c r="NM11">
        <v>6</v>
      </c>
      <c r="NN11">
        <v>0</v>
      </c>
      <c r="NZ11">
        <v>9</v>
      </c>
      <c r="OB11">
        <v>4</v>
      </c>
      <c r="OI11">
        <v>5</v>
      </c>
      <c r="OK11">
        <v>1406</v>
      </c>
      <c r="OO11">
        <v>11879</v>
      </c>
      <c r="OP11">
        <v>31499</v>
      </c>
      <c r="OU11">
        <v>119</v>
      </c>
      <c r="OV11">
        <v>995</v>
      </c>
      <c r="PI11">
        <v>44491</v>
      </c>
      <c r="PM11" t="str">
        <f>IFERROR(VLOOKUP($A11&amp;"",Key!$A:$C,3,FALSE),"")</f>
        <v>ISIC 01</v>
      </c>
    </row>
    <row r="12" spans="1:429" x14ac:dyDescent="0.25">
      <c r="A12">
        <v>111900</v>
      </c>
      <c r="B12" t="s">
        <v>146</v>
      </c>
      <c r="C12">
        <v>197</v>
      </c>
      <c r="D12">
        <v>797</v>
      </c>
      <c r="G12">
        <v>0</v>
      </c>
      <c r="H12">
        <v>1190</v>
      </c>
      <c r="I12">
        <v>535</v>
      </c>
      <c r="J12">
        <v>612</v>
      </c>
      <c r="L12">
        <v>29</v>
      </c>
      <c r="Q12">
        <v>5</v>
      </c>
      <c r="R12">
        <v>1</v>
      </c>
      <c r="S12">
        <v>8</v>
      </c>
      <c r="T12">
        <v>3</v>
      </c>
      <c r="U12">
        <v>8</v>
      </c>
      <c r="V12">
        <v>6</v>
      </c>
      <c r="W12">
        <v>14</v>
      </c>
      <c r="AA12">
        <v>17</v>
      </c>
      <c r="AB12">
        <v>16</v>
      </c>
      <c r="AC12">
        <v>118</v>
      </c>
      <c r="AD12">
        <v>515</v>
      </c>
      <c r="AE12">
        <v>58</v>
      </c>
      <c r="AF12">
        <v>16</v>
      </c>
      <c r="AG12">
        <v>416</v>
      </c>
      <c r="AH12">
        <v>14</v>
      </c>
      <c r="AI12">
        <v>46</v>
      </c>
      <c r="AJ12">
        <v>30</v>
      </c>
      <c r="AK12">
        <v>167</v>
      </c>
      <c r="AL12">
        <v>32</v>
      </c>
      <c r="GM12">
        <v>73</v>
      </c>
      <c r="GN12">
        <v>273</v>
      </c>
      <c r="GO12">
        <v>1</v>
      </c>
      <c r="GP12">
        <v>2750</v>
      </c>
      <c r="GV12">
        <v>3</v>
      </c>
      <c r="HA12">
        <v>8</v>
      </c>
      <c r="HB12">
        <v>3125</v>
      </c>
      <c r="HC12">
        <v>1149</v>
      </c>
      <c r="HD12">
        <v>65</v>
      </c>
      <c r="HE12">
        <v>1578</v>
      </c>
      <c r="HF12">
        <v>14</v>
      </c>
      <c r="HH12">
        <v>633</v>
      </c>
      <c r="HK12">
        <v>2156</v>
      </c>
      <c r="HL12">
        <v>1928</v>
      </c>
      <c r="HM12">
        <v>300</v>
      </c>
      <c r="II12">
        <v>52</v>
      </c>
      <c r="IJ12">
        <v>0</v>
      </c>
      <c r="IL12">
        <v>4699</v>
      </c>
      <c r="IO12">
        <v>30</v>
      </c>
      <c r="JX12">
        <v>17</v>
      </c>
      <c r="KD12">
        <v>0</v>
      </c>
      <c r="LZ12">
        <v>47</v>
      </c>
      <c r="MF12">
        <v>1</v>
      </c>
      <c r="MH12">
        <v>77</v>
      </c>
      <c r="MP12">
        <v>1</v>
      </c>
      <c r="MQ12">
        <v>1</v>
      </c>
      <c r="NK12">
        <v>3</v>
      </c>
      <c r="NM12">
        <v>19</v>
      </c>
      <c r="OE12">
        <v>252</v>
      </c>
      <c r="OI12">
        <v>21</v>
      </c>
      <c r="OK12">
        <v>320</v>
      </c>
      <c r="OO12">
        <v>24449</v>
      </c>
      <c r="OP12">
        <v>7475</v>
      </c>
      <c r="OU12">
        <v>-754</v>
      </c>
      <c r="OV12">
        <v>7368</v>
      </c>
      <c r="PI12">
        <v>38538</v>
      </c>
      <c r="PM12" t="str">
        <f>IFERROR(VLOOKUP($A12&amp;"",Key!$A:$C,3,FALSE),"")</f>
        <v>ISIC 01</v>
      </c>
    </row>
    <row r="13" spans="1:429" x14ac:dyDescent="0.25">
      <c r="A13">
        <v>112120</v>
      </c>
      <c r="B13" t="s">
        <v>147</v>
      </c>
      <c r="L13">
        <v>10</v>
      </c>
      <c r="GS13">
        <v>19471</v>
      </c>
      <c r="GT13">
        <v>5497</v>
      </c>
      <c r="GU13">
        <v>19215</v>
      </c>
      <c r="GV13">
        <v>591</v>
      </c>
      <c r="HF13">
        <v>813</v>
      </c>
      <c r="LZ13">
        <v>10</v>
      </c>
      <c r="MP13">
        <v>3</v>
      </c>
      <c r="MQ13">
        <v>3</v>
      </c>
      <c r="OI13">
        <v>18</v>
      </c>
      <c r="OO13">
        <v>45632</v>
      </c>
      <c r="OP13">
        <v>165</v>
      </c>
      <c r="OU13">
        <v>122</v>
      </c>
      <c r="OV13">
        <v>70</v>
      </c>
      <c r="PI13">
        <v>45989</v>
      </c>
      <c r="PM13" t="str">
        <f>IFERROR(VLOOKUP($A13&amp;"",Key!$A:$C,3,FALSE),"")</f>
        <v>ISIC 01</v>
      </c>
    </row>
    <row r="14" spans="1:429" x14ac:dyDescent="0.25">
      <c r="A14" t="s">
        <v>568</v>
      </c>
      <c r="B14" t="s">
        <v>148</v>
      </c>
      <c r="C14">
        <v>37</v>
      </c>
      <c r="D14">
        <v>245</v>
      </c>
      <c r="E14">
        <v>20</v>
      </c>
      <c r="F14">
        <v>84</v>
      </c>
      <c r="G14">
        <v>22</v>
      </c>
      <c r="H14">
        <v>29</v>
      </c>
      <c r="I14">
        <v>3088</v>
      </c>
      <c r="J14">
        <v>36030</v>
      </c>
      <c r="L14">
        <v>724</v>
      </c>
      <c r="O14">
        <v>42</v>
      </c>
      <c r="GX14">
        <v>58747</v>
      </c>
      <c r="JQ14">
        <v>576</v>
      </c>
      <c r="LZ14">
        <v>303</v>
      </c>
      <c r="MF14">
        <v>10</v>
      </c>
      <c r="OO14">
        <v>99956</v>
      </c>
      <c r="OP14">
        <v>97</v>
      </c>
      <c r="OU14">
        <v>1214</v>
      </c>
      <c r="OV14">
        <v>192</v>
      </c>
      <c r="PI14">
        <v>101458</v>
      </c>
      <c r="PM14" t="str">
        <f>IFERROR(VLOOKUP($A14&amp;"",Key!$A:$C,3,FALSE),"")</f>
        <v>ISIC 01</v>
      </c>
    </row>
    <row r="15" spans="1:429" x14ac:dyDescent="0.25">
      <c r="A15">
        <v>112300</v>
      </c>
      <c r="B15" t="s">
        <v>149</v>
      </c>
      <c r="C15">
        <v>12</v>
      </c>
      <c r="H15">
        <v>5</v>
      </c>
      <c r="K15">
        <v>10227</v>
      </c>
      <c r="GI15">
        <v>1</v>
      </c>
      <c r="GP15">
        <v>52</v>
      </c>
      <c r="GQ15">
        <v>146</v>
      </c>
      <c r="GR15">
        <v>31</v>
      </c>
      <c r="GV15">
        <v>188</v>
      </c>
      <c r="GW15">
        <v>30467</v>
      </c>
      <c r="GZ15">
        <v>347</v>
      </c>
      <c r="HA15">
        <v>393</v>
      </c>
      <c r="HE15">
        <v>455</v>
      </c>
      <c r="HF15">
        <v>370</v>
      </c>
      <c r="JQ15">
        <v>1</v>
      </c>
      <c r="JW15">
        <v>114</v>
      </c>
      <c r="JX15">
        <v>27</v>
      </c>
      <c r="LZ15">
        <v>7</v>
      </c>
      <c r="MP15">
        <v>1</v>
      </c>
      <c r="MQ15">
        <v>48</v>
      </c>
      <c r="NN15">
        <v>19</v>
      </c>
      <c r="NO15">
        <v>34</v>
      </c>
      <c r="NP15">
        <v>71</v>
      </c>
      <c r="OB15">
        <v>1</v>
      </c>
      <c r="OI15">
        <v>22</v>
      </c>
      <c r="OJ15">
        <v>131</v>
      </c>
      <c r="OK15">
        <v>244</v>
      </c>
      <c r="OO15">
        <v>43415</v>
      </c>
      <c r="OP15">
        <v>8774</v>
      </c>
      <c r="OU15">
        <v>357</v>
      </c>
      <c r="OV15">
        <v>778</v>
      </c>
      <c r="PI15">
        <v>53324</v>
      </c>
      <c r="PM15" t="str">
        <f>IFERROR(VLOOKUP($A15&amp;"",Key!$A:$C,3,FALSE),"")</f>
        <v>ISIC 01</v>
      </c>
    </row>
    <row r="16" spans="1:429" x14ac:dyDescent="0.25">
      <c r="A16" t="s">
        <v>569</v>
      </c>
      <c r="B16" t="s">
        <v>150</v>
      </c>
      <c r="C16">
        <v>20</v>
      </c>
      <c r="D16">
        <v>163</v>
      </c>
      <c r="E16">
        <v>10</v>
      </c>
      <c r="F16">
        <v>44</v>
      </c>
      <c r="G16">
        <v>10</v>
      </c>
      <c r="H16">
        <v>59</v>
      </c>
      <c r="I16">
        <v>334</v>
      </c>
      <c r="J16">
        <v>542</v>
      </c>
      <c r="L16">
        <v>2961</v>
      </c>
      <c r="M16">
        <v>0</v>
      </c>
      <c r="O16">
        <v>438</v>
      </c>
      <c r="GH16">
        <v>14</v>
      </c>
      <c r="GW16">
        <v>184</v>
      </c>
      <c r="GX16">
        <v>24168</v>
      </c>
      <c r="GY16">
        <v>407</v>
      </c>
      <c r="GZ16">
        <v>2</v>
      </c>
      <c r="HA16">
        <v>2</v>
      </c>
      <c r="HB16">
        <v>60</v>
      </c>
      <c r="HD16">
        <v>21</v>
      </c>
      <c r="HE16">
        <v>153</v>
      </c>
      <c r="HF16">
        <v>1114</v>
      </c>
      <c r="HG16">
        <v>3</v>
      </c>
      <c r="HL16">
        <v>102</v>
      </c>
      <c r="HM16">
        <v>173</v>
      </c>
      <c r="HQ16">
        <v>80</v>
      </c>
      <c r="JQ16">
        <v>230</v>
      </c>
      <c r="JX16">
        <v>3</v>
      </c>
      <c r="KK16">
        <v>17</v>
      </c>
      <c r="LZ16">
        <v>659</v>
      </c>
      <c r="MF16">
        <v>19</v>
      </c>
      <c r="MM16">
        <v>12</v>
      </c>
      <c r="MQ16">
        <v>3</v>
      </c>
      <c r="NK16">
        <v>72</v>
      </c>
      <c r="NL16">
        <v>57</v>
      </c>
      <c r="NM16">
        <v>301</v>
      </c>
      <c r="NN16">
        <v>4</v>
      </c>
      <c r="NO16">
        <v>1020</v>
      </c>
      <c r="NP16">
        <v>1907</v>
      </c>
      <c r="NQ16">
        <v>356</v>
      </c>
      <c r="OD16">
        <v>14</v>
      </c>
      <c r="OK16">
        <v>106</v>
      </c>
      <c r="OO16">
        <v>35842</v>
      </c>
      <c r="OP16">
        <v>12574</v>
      </c>
      <c r="OU16">
        <v>474</v>
      </c>
      <c r="OV16">
        <v>1522</v>
      </c>
      <c r="PI16">
        <v>50413</v>
      </c>
      <c r="PM16" t="str">
        <f>IFERROR(VLOOKUP($A16&amp;"",Key!$A:$C,3,FALSE),"")</f>
        <v>ISIC 01</v>
      </c>
    </row>
    <row r="17" spans="1:429" x14ac:dyDescent="0.25">
      <c r="A17">
        <v>113000</v>
      </c>
      <c r="B17" t="s">
        <v>151</v>
      </c>
      <c r="M17">
        <v>4822</v>
      </c>
      <c r="O17">
        <v>4</v>
      </c>
      <c r="Q17">
        <v>101</v>
      </c>
      <c r="AM17">
        <v>10990</v>
      </c>
      <c r="AN17">
        <v>2288</v>
      </c>
      <c r="AO17">
        <v>1342</v>
      </c>
      <c r="AP17">
        <v>606</v>
      </c>
      <c r="BB17">
        <v>1</v>
      </c>
      <c r="FT17">
        <v>122</v>
      </c>
      <c r="GD17">
        <v>109</v>
      </c>
      <c r="GH17">
        <v>187</v>
      </c>
      <c r="GP17">
        <v>57</v>
      </c>
      <c r="HB17">
        <v>17</v>
      </c>
      <c r="HD17">
        <v>682</v>
      </c>
      <c r="HE17">
        <v>54</v>
      </c>
      <c r="HF17">
        <v>37</v>
      </c>
      <c r="HG17">
        <v>140</v>
      </c>
      <c r="HR17">
        <v>58</v>
      </c>
      <c r="HS17">
        <v>6</v>
      </c>
      <c r="HT17">
        <v>677</v>
      </c>
      <c r="HU17">
        <v>772</v>
      </c>
      <c r="HV17">
        <v>2393</v>
      </c>
      <c r="IC17">
        <v>30</v>
      </c>
      <c r="IH17">
        <v>1</v>
      </c>
      <c r="IL17">
        <v>276</v>
      </c>
      <c r="IN17">
        <v>9</v>
      </c>
      <c r="IT17">
        <v>35</v>
      </c>
      <c r="IU17">
        <v>82</v>
      </c>
      <c r="IV17">
        <v>25</v>
      </c>
      <c r="IZ17">
        <v>7</v>
      </c>
      <c r="JH17">
        <v>1719</v>
      </c>
      <c r="JI17">
        <v>61</v>
      </c>
      <c r="JJ17">
        <v>615</v>
      </c>
      <c r="KB17">
        <v>0</v>
      </c>
      <c r="LZ17">
        <v>27</v>
      </c>
      <c r="MH17">
        <v>2</v>
      </c>
      <c r="MQ17">
        <v>4</v>
      </c>
      <c r="OI17">
        <v>42</v>
      </c>
      <c r="OK17">
        <v>125</v>
      </c>
      <c r="OO17">
        <v>28528</v>
      </c>
      <c r="OU17">
        <v>596</v>
      </c>
      <c r="OV17">
        <v>2551</v>
      </c>
      <c r="PI17">
        <v>31674</v>
      </c>
      <c r="PM17" t="str">
        <f>IFERROR(VLOOKUP($A17&amp;"",Key!$A:$C,3,FALSE),"")</f>
        <v>ISIC 02</v>
      </c>
    </row>
    <row r="18" spans="1:429" x14ac:dyDescent="0.25">
      <c r="A18">
        <v>114000</v>
      </c>
      <c r="B18" t="s">
        <v>152</v>
      </c>
      <c r="GI18">
        <v>16</v>
      </c>
      <c r="GJ18">
        <v>419</v>
      </c>
      <c r="GQ18">
        <v>97</v>
      </c>
      <c r="GR18">
        <v>420</v>
      </c>
      <c r="GW18">
        <v>192</v>
      </c>
      <c r="GX18">
        <v>1143</v>
      </c>
      <c r="GY18">
        <v>6285</v>
      </c>
      <c r="IS18">
        <v>17</v>
      </c>
      <c r="JW18">
        <v>818</v>
      </c>
      <c r="KK18">
        <v>1</v>
      </c>
      <c r="LZ18">
        <v>24</v>
      </c>
      <c r="MF18">
        <v>0</v>
      </c>
      <c r="MP18">
        <v>53</v>
      </c>
      <c r="MQ18">
        <v>16</v>
      </c>
      <c r="NK18">
        <v>29</v>
      </c>
      <c r="NL18">
        <v>26</v>
      </c>
      <c r="NM18">
        <v>186</v>
      </c>
      <c r="NN18">
        <v>443</v>
      </c>
      <c r="NO18">
        <v>2635</v>
      </c>
      <c r="NP18">
        <v>2559</v>
      </c>
      <c r="NQ18">
        <v>239</v>
      </c>
      <c r="NZ18">
        <v>34</v>
      </c>
      <c r="OB18">
        <v>96</v>
      </c>
      <c r="OH18">
        <v>18</v>
      </c>
      <c r="OI18">
        <v>59</v>
      </c>
      <c r="OJ18">
        <v>303</v>
      </c>
      <c r="OK18">
        <v>174</v>
      </c>
      <c r="OO18">
        <v>16304</v>
      </c>
      <c r="OP18">
        <v>8695</v>
      </c>
      <c r="OU18">
        <v>59</v>
      </c>
      <c r="OV18">
        <v>5391</v>
      </c>
      <c r="PI18">
        <v>30450</v>
      </c>
      <c r="PM18" t="str">
        <f>IFERROR(VLOOKUP($A18&amp;"",Key!$A:$C,3,FALSE),"")</f>
        <v>ISIC 03</v>
      </c>
    </row>
    <row r="19" spans="1:429" x14ac:dyDescent="0.25">
      <c r="A19">
        <v>115000</v>
      </c>
      <c r="B19" t="s">
        <v>153</v>
      </c>
      <c r="C19">
        <v>1326</v>
      </c>
      <c r="D19">
        <v>8007</v>
      </c>
      <c r="E19">
        <v>2320</v>
      </c>
      <c r="F19">
        <v>3658</v>
      </c>
      <c r="G19">
        <v>1218</v>
      </c>
      <c r="H19">
        <v>3169</v>
      </c>
      <c r="I19">
        <v>1087</v>
      </c>
      <c r="J19">
        <v>913</v>
      </c>
      <c r="K19">
        <v>720</v>
      </c>
      <c r="L19">
        <v>497</v>
      </c>
      <c r="M19">
        <v>2963</v>
      </c>
      <c r="N19">
        <v>9</v>
      </c>
      <c r="LZ19">
        <v>245</v>
      </c>
      <c r="MF19">
        <v>21</v>
      </c>
      <c r="OE19">
        <v>51</v>
      </c>
      <c r="OK19">
        <v>3444</v>
      </c>
      <c r="OO19">
        <v>29649</v>
      </c>
      <c r="OP19">
        <v>124</v>
      </c>
      <c r="OV19">
        <v>86</v>
      </c>
      <c r="PI19">
        <v>29859</v>
      </c>
      <c r="PM19" t="str">
        <f>IFERROR(VLOOKUP($A19&amp;"",Key!$A:$C,3,FALSE),"")</f>
        <v>ISIC 01</v>
      </c>
    </row>
    <row r="20" spans="1:429" x14ac:dyDescent="0.25">
      <c r="A20">
        <v>211000</v>
      </c>
      <c r="B20" t="s">
        <v>154</v>
      </c>
      <c r="P20">
        <v>21742</v>
      </c>
      <c r="S20">
        <v>0</v>
      </c>
      <c r="T20">
        <v>0</v>
      </c>
      <c r="U20">
        <v>0</v>
      </c>
      <c r="V20">
        <v>0</v>
      </c>
      <c r="W20">
        <v>4</v>
      </c>
      <c r="X20">
        <v>7017</v>
      </c>
      <c r="Y20">
        <v>5089</v>
      </c>
      <c r="Z20">
        <v>308</v>
      </c>
      <c r="AM20">
        <v>1</v>
      </c>
      <c r="AN20">
        <v>0</v>
      </c>
      <c r="AO20">
        <v>2</v>
      </c>
      <c r="AS20">
        <v>0</v>
      </c>
      <c r="BC20">
        <v>0</v>
      </c>
      <c r="BF20">
        <v>2</v>
      </c>
      <c r="BN20">
        <v>0</v>
      </c>
      <c r="BZ20">
        <v>0</v>
      </c>
      <c r="EQ20">
        <v>0</v>
      </c>
      <c r="GL20">
        <v>0</v>
      </c>
      <c r="GX20">
        <v>0</v>
      </c>
      <c r="GY20">
        <v>0</v>
      </c>
      <c r="HH20">
        <v>0</v>
      </c>
      <c r="HT20">
        <v>0</v>
      </c>
      <c r="HU20">
        <v>0</v>
      </c>
      <c r="HV20">
        <v>0</v>
      </c>
      <c r="IB20">
        <v>0</v>
      </c>
      <c r="ID20">
        <v>322173</v>
      </c>
      <c r="IG20">
        <v>1460</v>
      </c>
      <c r="IH20">
        <v>4463</v>
      </c>
      <c r="II20">
        <v>91</v>
      </c>
      <c r="IJ20">
        <v>5</v>
      </c>
      <c r="IK20">
        <v>231</v>
      </c>
      <c r="IL20">
        <v>699</v>
      </c>
      <c r="IM20">
        <v>10</v>
      </c>
      <c r="IN20">
        <v>5</v>
      </c>
      <c r="IO20">
        <v>0</v>
      </c>
      <c r="IP20">
        <v>3</v>
      </c>
      <c r="IQ20">
        <v>0</v>
      </c>
      <c r="IR20">
        <v>2</v>
      </c>
      <c r="IS20">
        <v>1</v>
      </c>
      <c r="IT20">
        <v>0</v>
      </c>
      <c r="IU20">
        <v>0</v>
      </c>
      <c r="IV20">
        <v>1</v>
      </c>
      <c r="IW20">
        <v>2</v>
      </c>
      <c r="IX20">
        <v>0</v>
      </c>
      <c r="IZ20">
        <v>52</v>
      </c>
      <c r="JA20">
        <v>0</v>
      </c>
      <c r="JD20">
        <v>0</v>
      </c>
      <c r="JG20">
        <v>0</v>
      </c>
      <c r="JH20">
        <v>0</v>
      </c>
      <c r="JJ20">
        <v>0</v>
      </c>
      <c r="JK20">
        <v>0</v>
      </c>
      <c r="JL20">
        <v>0</v>
      </c>
      <c r="JM20">
        <v>1</v>
      </c>
      <c r="JN20">
        <v>0</v>
      </c>
      <c r="JO20">
        <v>0</v>
      </c>
      <c r="JQ20">
        <v>0</v>
      </c>
      <c r="JR20">
        <v>0</v>
      </c>
      <c r="JS20">
        <v>1</v>
      </c>
      <c r="JT20">
        <v>0</v>
      </c>
      <c r="JV20">
        <v>4</v>
      </c>
      <c r="JW20">
        <v>0</v>
      </c>
      <c r="JX20">
        <v>1</v>
      </c>
      <c r="JY20">
        <v>4</v>
      </c>
      <c r="JZ20">
        <v>0</v>
      </c>
      <c r="KB20">
        <v>0</v>
      </c>
      <c r="KC20">
        <v>0</v>
      </c>
      <c r="KD20">
        <v>0</v>
      </c>
      <c r="KJ20">
        <v>7</v>
      </c>
      <c r="KM20">
        <v>80</v>
      </c>
      <c r="KN20">
        <v>0</v>
      </c>
      <c r="KO20">
        <v>0</v>
      </c>
      <c r="KP20">
        <v>2</v>
      </c>
      <c r="KQ20">
        <v>0</v>
      </c>
      <c r="KR20">
        <v>2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2</v>
      </c>
      <c r="KZ20">
        <v>1</v>
      </c>
      <c r="LA20">
        <v>6</v>
      </c>
      <c r="LB20">
        <v>0</v>
      </c>
      <c r="LM20">
        <v>35</v>
      </c>
      <c r="LS20">
        <v>0</v>
      </c>
      <c r="LV20">
        <v>2</v>
      </c>
      <c r="LW20">
        <v>1</v>
      </c>
      <c r="LX20">
        <v>0</v>
      </c>
      <c r="LZ20">
        <v>1</v>
      </c>
      <c r="MA20">
        <v>0</v>
      </c>
      <c r="MD20">
        <v>0</v>
      </c>
      <c r="MF20">
        <v>3</v>
      </c>
      <c r="MG20">
        <v>0</v>
      </c>
      <c r="MI20">
        <v>0</v>
      </c>
      <c r="MN20">
        <v>0</v>
      </c>
      <c r="MO20">
        <v>2</v>
      </c>
      <c r="MQ20">
        <v>7</v>
      </c>
      <c r="MR20">
        <v>189</v>
      </c>
      <c r="MS20">
        <v>1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I20">
        <v>0</v>
      </c>
      <c r="NJ20">
        <v>0</v>
      </c>
      <c r="NK20">
        <v>0</v>
      </c>
      <c r="NL20">
        <v>1</v>
      </c>
      <c r="NM20">
        <v>22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1</v>
      </c>
      <c r="NY20">
        <v>0</v>
      </c>
      <c r="OA20">
        <v>0</v>
      </c>
      <c r="OB20">
        <v>1</v>
      </c>
      <c r="OE20">
        <v>0</v>
      </c>
      <c r="OF20">
        <v>0</v>
      </c>
      <c r="OG20">
        <v>1910</v>
      </c>
      <c r="OH20">
        <v>0</v>
      </c>
      <c r="OM20">
        <v>20045</v>
      </c>
      <c r="ON20">
        <v>3340</v>
      </c>
      <c r="OO20">
        <v>389039</v>
      </c>
      <c r="OU20">
        <v>-7577</v>
      </c>
      <c r="OV20">
        <v>41909</v>
      </c>
      <c r="PI20">
        <v>423371</v>
      </c>
      <c r="PM20" t="str">
        <f>IFERROR(VLOOKUP($A20&amp;"",Key!$A:$C,3,FALSE),"")</f>
        <v>ISIC 06</v>
      </c>
    </row>
    <row r="21" spans="1:429" x14ac:dyDescent="0.25">
      <c r="A21">
        <v>212100</v>
      </c>
      <c r="B21" t="s">
        <v>155</v>
      </c>
      <c r="K21">
        <v>596</v>
      </c>
      <c r="M21">
        <v>0</v>
      </c>
      <c r="P21">
        <v>110</v>
      </c>
      <c r="Q21">
        <v>3167</v>
      </c>
      <c r="R21">
        <v>80</v>
      </c>
      <c r="S21">
        <v>42</v>
      </c>
      <c r="T21">
        <v>17</v>
      </c>
      <c r="U21">
        <v>66</v>
      </c>
      <c r="V21">
        <v>6</v>
      </c>
      <c r="W21">
        <v>17</v>
      </c>
      <c r="X21">
        <v>3973</v>
      </c>
      <c r="Z21">
        <v>0</v>
      </c>
      <c r="AM21">
        <v>6</v>
      </c>
      <c r="AN21">
        <v>5</v>
      </c>
      <c r="AO21">
        <v>3</v>
      </c>
      <c r="AP21">
        <v>4</v>
      </c>
      <c r="AQ21">
        <v>141</v>
      </c>
      <c r="AR21">
        <v>412</v>
      </c>
      <c r="AS21">
        <v>447</v>
      </c>
      <c r="AT21">
        <v>179</v>
      </c>
      <c r="AU21">
        <v>30</v>
      </c>
      <c r="AV21">
        <v>36</v>
      </c>
      <c r="AW21">
        <v>373</v>
      </c>
      <c r="AX21">
        <v>11</v>
      </c>
      <c r="AY21">
        <v>11</v>
      </c>
      <c r="AZ21">
        <v>65</v>
      </c>
      <c r="BA21">
        <v>72</v>
      </c>
      <c r="BB21">
        <v>34</v>
      </c>
      <c r="BC21">
        <v>2119</v>
      </c>
      <c r="BD21">
        <v>61</v>
      </c>
      <c r="BE21">
        <v>42</v>
      </c>
      <c r="BF21">
        <v>58</v>
      </c>
      <c r="BG21">
        <v>120</v>
      </c>
      <c r="BH21">
        <v>39</v>
      </c>
      <c r="BI21">
        <v>27</v>
      </c>
      <c r="BJ21">
        <v>43</v>
      </c>
      <c r="BK21">
        <v>60</v>
      </c>
      <c r="BL21">
        <v>68</v>
      </c>
      <c r="BN21">
        <v>2</v>
      </c>
      <c r="BQ21">
        <v>2</v>
      </c>
      <c r="BR21">
        <v>3</v>
      </c>
      <c r="BX21">
        <v>2</v>
      </c>
      <c r="BY21">
        <v>2</v>
      </c>
      <c r="BZ21">
        <v>4</v>
      </c>
      <c r="CB21">
        <v>1</v>
      </c>
      <c r="CD21">
        <v>1</v>
      </c>
      <c r="EC21">
        <v>0</v>
      </c>
      <c r="ED21">
        <v>2</v>
      </c>
      <c r="EF21">
        <v>0</v>
      </c>
      <c r="EG21">
        <v>0</v>
      </c>
      <c r="EI21">
        <v>1</v>
      </c>
      <c r="EK21">
        <v>3</v>
      </c>
      <c r="EN21">
        <v>2</v>
      </c>
      <c r="EO21">
        <v>1</v>
      </c>
      <c r="EP21">
        <v>1</v>
      </c>
      <c r="EQ21">
        <v>0</v>
      </c>
      <c r="ER21">
        <v>10</v>
      </c>
      <c r="ET21">
        <v>2</v>
      </c>
      <c r="EW21">
        <v>1</v>
      </c>
      <c r="EX21">
        <v>7</v>
      </c>
      <c r="EY21">
        <v>3</v>
      </c>
      <c r="EZ21">
        <v>5</v>
      </c>
      <c r="FB21">
        <v>6</v>
      </c>
      <c r="FC21">
        <v>7</v>
      </c>
      <c r="FD21">
        <v>4</v>
      </c>
      <c r="FE21">
        <v>6</v>
      </c>
      <c r="FF21">
        <v>14</v>
      </c>
      <c r="FI21">
        <v>6</v>
      </c>
      <c r="FJ21">
        <v>2</v>
      </c>
      <c r="FK21">
        <v>4</v>
      </c>
      <c r="FP21">
        <v>4</v>
      </c>
      <c r="FR21">
        <v>1</v>
      </c>
      <c r="FT21">
        <v>2</v>
      </c>
      <c r="FU21">
        <v>2</v>
      </c>
      <c r="FV21">
        <v>2</v>
      </c>
      <c r="GI21">
        <v>42</v>
      </c>
      <c r="GJ21">
        <v>45</v>
      </c>
      <c r="GK21">
        <v>25</v>
      </c>
      <c r="GL21">
        <v>81</v>
      </c>
      <c r="GM21">
        <v>8</v>
      </c>
      <c r="GN21">
        <v>50</v>
      </c>
      <c r="GO21">
        <v>79</v>
      </c>
      <c r="GP21">
        <v>211</v>
      </c>
      <c r="GQ21">
        <v>77</v>
      </c>
      <c r="GR21">
        <v>120</v>
      </c>
      <c r="GS21">
        <v>69</v>
      </c>
      <c r="GT21">
        <v>74</v>
      </c>
      <c r="GU21">
        <v>77</v>
      </c>
      <c r="GV21">
        <v>13</v>
      </c>
      <c r="GW21">
        <v>56</v>
      </c>
      <c r="GX21">
        <v>167</v>
      </c>
      <c r="GY21">
        <v>65</v>
      </c>
      <c r="GZ21">
        <v>128</v>
      </c>
      <c r="HA21">
        <v>58</v>
      </c>
      <c r="HB21">
        <v>86</v>
      </c>
      <c r="HC21">
        <v>12</v>
      </c>
      <c r="HD21">
        <v>12</v>
      </c>
      <c r="HE21">
        <v>21</v>
      </c>
      <c r="HF21">
        <v>45</v>
      </c>
      <c r="HG21">
        <v>66</v>
      </c>
      <c r="HH21">
        <v>65</v>
      </c>
      <c r="HI21">
        <v>16</v>
      </c>
      <c r="HJ21">
        <v>24</v>
      </c>
      <c r="HK21">
        <v>60</v>
      </c>
      <c r="HL21">
        <v>8</v>
      </c>
      <c r="HM21">
        <v>32</v>
      </c>
      <c r="HN21">
        <v>30</v>
      </c>
      <c r="HO21">
        <v>4</v>
      </c>
      <c r="HQ21">
        <v>2</v>
      </c>
      <c r="HT21">
        <v>142</v>
      </c>
      <c r="HU21">
        <v>871</v>
      </c>
      <c r="HV21">
        <v>746</v>
      </c>
      <c r="HW21">
        <v>188</v>
      </c>
      <c r="HX21">
        <v>86</v>
      </c>
      <c r="HY21">
        <v>3</v>
      </c>
      <c r="HZ21">
        <v>27</v>
      </c>
      <c r="IA21">
        <v>22</v>
      </c>
      <c r="ID21">
        <v>1663</v>
      </c>
      <c r="IE21">
        <v>108</v>
      </c>
      <c r="IF21">
        <v>20</v>
      </c>
      <c r="IG21">
        <v>318</v>
      </c>
      <c r="IH21">
        <v>109</v>
      </c>
      <c r="II21">
        <v>30</v>
      </c>
      <c r="IJ21">
        <v>4</v>
      </c>
      <c r="IK21">
        <v>32</v>
      </c>
      <c r="IL21">
        <v>327</v>
      </c>
      <c r="IM21">
        <v>103</v>
      </c>
      <c r="IN21">
        <v>10</v>
      </c>
      <c r="IO21">
        <v>3</v>
      </c>
      <c r="IP21">
        <v>10</v>
      </c>
      <c r="IR21">
        <v>5</v>
      </c>
      <c r="IS21">
        <v>17</v>
      </c>
      <c r="IT21">
        <v>2</v>
      </c>
      <c r="IU21">
        <v>2</v>
      </c>
      <c r="IV21">
        <v>3</v>
      </c>
      <c r="IW21">
        <v>9</v>
      </c>
      <c r="IX21">
        <v>2</v>
      </c>
      <c r="IZ21">
        <v>10</v>
      </c>
      <c r="JA21">
        <v>39</v>
      </c>
      <c r="JB21">
        <v>15</v>
      </c>
      <c r="JC21">
        <v>7</v>
      </c>
      <c r="JD21">
        <v>19</v>
      </c>
      <c r="JE21">
        <v>10</v>
      </c>
      <c r="JF21">
        <v>9</v>
      </c>
      <c r="JG21">
        <v>89</v>
      </c>
      <c r="JH21">
        <v>40</v>
      </c>
      <c r="JI21">
        <v>7</v>
      </c>
      <c r="JJ21">
        <v>21</v>
      </c>
      <c r="JL21">
        <v>4</v>
      </c>
      <c r="JO21">
        <v>4</v>
      </c>
      <c r="JQ21">
        <v>4</v>
      </c>
      <c r="JS21">
        <v>7</v>
      </c>
      <c r="KM21">
        <v>4</v>
      </c>
      <c r="KV21">
        <v>2</v>
      </c>
      <c r="LW21">
        <v>23</v>
      </c>
      <c r="LZ21">
        <v>114</v>
      </c>
      <c r="MF21">
        <v>50</v>
      </c>
      <c r="MG21">
        <v>0</v>
      </c>
      <c r="MJ21">
        <v>10</v>
      </c>
      <c r="MO21">
        <v>20</v>
      </c>
      <c r="MP21">
        <v>17</v>
      </c>
      <c r="MQ21">
        <v>4</v>
      </c>
      <c r="MZ21">
        <v>34</v>
      </c>
      <c r="NA21">
        <v>15</v>
      </c>
      <c r="NB21">
        <v>2</v>
      </c>
      <c r="NC21">
        <v>2</v>
      </c>
      <c r="ND21">
        <v>4</v>
      </c>
      <c r="NE21">
        <v>1</v>
      </c>
      <c r="NJ21">
        <v>2</v>
      </c>
      <c r="NL21">
        <v>4</v>
      </c>
      <c r="NM21">
        <v>8</v>
      </c>
      <c r="NN21">
        <v>23</v>
      </c>
      <c r="NO21">
        <v>563</v>
      </c>
      <c r="NP21">
        <v>542</v>
      </c>
      <c r="NQ21">
        <v>145</v>
      </c>
      <c r="NR21">
        <v>9</v>
      </c>
      <c r="NT21">
        <v>4</v>
      </c>
      <c r="NW21">
        <v>0</v>
      </c>
      <c r="NX21">
        <v>8</v>
      </c>
      <c r="OB21">
        <v>13</v>
      </c>
      <c r="OE21">
        <v>4456</v>
      </c>
      <c r="OI21">
        <v>416</v>
      </c>
      <c r="OJ21">
        <v>537</v>
      </c>
      <c r="OK21">
        <v>210</v>
      </c>
      <c r="OM21">
        <v>6995</v>
      </c>
      <c r="OO21">
        <v>33971</v>
      </c>
      <c r="OP21">
        <v>221</v>
      </c>
      <c r="OU21">
        <v>-1172</v>
      </c>
      <c r="OV21">
        <v>9597</v>
      </c>
      <c r="PI21">
        <v>42616</v>
      </c>
      <c r="PM21" t="str">
        <f>IFERROR(VLOOKUP($A21&amp;"",Key!$A:$C,3,FALSE),"")</f>
        <v>ISIC 05</v>
      </c>
    </row>
    <row r="22" spans="1:429" x14ac:dyDescent="0.25">
      <c r="A22">
        <v>212230</v>
      </c>
      <c r="B22" t="s">
        <v>156</v>
      </c>
      <c r="R22">
        <v>408</v>
      </c>
      <c r="S22">
        <v>4</v>
      </c>
      <c r="AQ22">
        <v>3</v>
      </c>
      <c r="AZ22">
        <v>41</v>
      </c>
      <c r="BC22">
        <v>389</v>
      </c>
      <c r="BD22">
        <v>22</v>
      </c>
      <c r="BE22">
        <v>117</v>
      </c>
      <c r="BH22">
        <v>261</v>
      </c>
      <c r="BI22">
        <v>66</v>
      </c>
      <c r="BJ22">
        <v>485</v>
      </c>
      <c r="BW22">
        <v>72</v>
      </c>
      <c r="BZ22">
        <v>418</v>
      </c>
      <c r="CF22">
        <v>46</v>
      </c>
      <c r="CG22">
        <v>52</v>
      </c>
      <c r="CJ22">
        <v>35</v>
      </c>
      <c r="CU22">
        <v>15</v>
      </c>
      <c r="DL22">
        <v>2</v>
      </c>
      <c r="EA22">
        <v>2</v>
      </c>
      <c r="EH22">
        <v>7</v>
      </c>
      <c r="EJ22">
        <v>22</v>
      </c>
      <c r="FF22">
        <v>3</v>
      </c>
      <c r="FY22">
        <v>26</v>
      </c>
      <c r="II22">
        <v>285</v>
      </c>
      <c r="IJ22">
        <v>744</v>
      </c>
      <c r="IK22">
        <v>171</v>
      </c>
      <c r="IL22">
        <v>11</v>
      </c>
      <c r="IU22">
        <v>65</v>
      </c>
      <c r="KN22">
        <v>9</v>
      </c>
      <c r="KP22">
        <v>19</v>
      </c>
      <c r="KQ22">
        <v>12</v>
      </c>
      <c r="KR22">
        <v>0</v>
      </c>
      <c r="KS22">
        <v>12</v>
      </c>
      <c r="KT22">
        <v>10</v>
      </c>
      <c r="KU22">
        <v>88</v>
      </c>
      <c r="KV22">
        <v>42</v>
      </c>
      <c r="KW22">
        <v>181</v>
      </c>
      <c r="KY22">
        <v>43</v>
      </c>
      <c r="KZ22">
        <v>36</v>
      </c>
      <c r="LA22">
        <v>417</v>
      </c>
      <c r="LB22">
        <v>0</v>
      </c>
      <c r="LW22">
        <v>292</v>
      </c>
      <c r="LZ22">
        <v>174</v>
      </c>
      <c r="MF22">
        <v>2</v>
      </c>
      <c r="MH22">
        <v>611</v>
      </c>
      <c r="MM22">
        <v>404</v>
      </c>
      <c r="MO22">
        <v>70</v>
      </c>
      <c r="MR22">
        <v>471</v>
      </c>
      <c r="MZ22">
        <v>6</v>
      </c>
      <c r="NA22">
        <v>7</v>
      </c>
      <c r="NB22">
        <v>24</v>
      </c>
      <c r="NF22">
        <v>299</v>
      </c>
      <c r="NG22">
        <v>5</v>
      </c>
      <c r="NH22">
        <v>2</v>
      </c>
      <c r="NI22">
        <v>19</v>
      </c>
      <c r="NK22">
        <v>2</v>
      </c>
      <c r="NM22">
        <v>1022</v>
      </c>
      <c r="NN22">
        <v>175</v>
      </c>
      <c r="NO22">
        <v>15</v>
      </c>
      <c r="NP22">
        <v>12</v>
      </c>
      <c r="NQ22">
        <v>2</v>
      </c>
      <c r="NR22">
        <v>10</v>
      </c>
      <c r="NS22">
        <v>123</v>
      </c>
      <c r="NT22">
        <v>58</v>
      </c>
      <c r="NV22">
        <v>1027</v>
      </c>
      <c r="NW22">
        <v>0</v>
      </c>
      <c r="NY22">
        <v>22</v>
      </c>
      <c r="OA22">
        <v>17</v>
      </c>
      <c r="OB22">
        <v>209</v>
      </c>
      <c r="OO22">
        <v>9722</v>
      </c>
      <c r="OU22">
        <v>108</v>
      </c>
      <c r="OV22">
        <v>4060</v>
      </c>
      <c r="PI22">
        <v>13889</v>
      </c>
      <c r="PM22" t="str">
        <f>IFERROR(VLOOKUP($A22&amp;"",Key!$A:$C,3,FALSE),"")</f>
        <v>ISIC 07</v>
      </c>
    </row>
    <row r="23" spans="1:429" x14ac:dyDescent="0.25">
      <c r="A23" t="s">
        <v>570</v>
      </c>
      <c r="B23" t="s">
        <v>157</v>
      </c>
      <c r="R23">
        <v>2401</v>
      </c>
      <c r="S23">
        <v>2004</v>
      </c>
      <c r="AQ23">
        <v>3</v>
      </c>
      <c r="AR23">
        <v>2</v>
      </c>
      <c r="AS23">
        <v>2</v>
      </c>
      <c r="AX23">
        <v>57</v>
      </c>
      <c r="AZ23">
        <v>26</v>
      </c>
      <c r="BC23">
        <v>3816</v>
      </c>
      <c r="BD23">
        <v>137</v>
      </c>
      <c r="BE23">
        <v>22</v>
      </c>
      <c r="BF23">
        <v>152</v>
      </c>
      <c r="BH23">
        <v>550</v>
      </c>
      <c r="BI23">
        <v>5</v>
      </c>
      <c r="BJ23">
        <v>1859</v>
      </c>
      <c r="BW23">
        <v>13</v>
      </c>
      <c r="CF23">
        <v>4</v>
      </c>
      <c r="CU23">
        <v>19</v>
      </c>
      <c r="DK23">
        <v>0</v>
      </c>
      <c r="DL23">
        <v>1</v>
      </c>
      <c r="EJ23">
        <v>34</v>
      </c>
      <c r="EP23">
        <v>2</v>
      </c>
      <c r="EX23">
        <v>12</v>
      </c>
      <c r="EZ23">
        <v>7</v>
      </c>
      <c r="FC23">
        <v>10</v>
      </c>
      <c r="FD23">
        <v>17</v>
      </c>
      <c r="FZ23">
        <v>2</v>
      </c>
      <c r="GB23">
        <v>1</v>
      </c>
      <c r="GC23">
        <v>24</v>
      </c>
      <c r="ID23">
        <v>29</v>
      </c>
      <c r="IH23">
        <v>13</v>
      </c>
      <c r="II23">
        <v>87</v>
      </c>
      <c r="IJ23">
        <v>868</v>
      </c>
      <c r="IK23">
        <v>928</v>
      </c>
      <c r="IL23">
        <v>44</v>
      </c>
      <c r="IS23">
        <v>54</v>
      </c>
      <c r="IU23">
        <v>79</v>
      </c>
      <c r="IZ23">
        <v>28</v>
      </c>
      <c r="JO23">
        <v>10</v>
      </c>
      <c r="KB23">
        <v>2</v>
      </c>
      <c r="LW23">
        <v>95</v>
      </c>
      <c r="LZ23">
        <v>181</v>
      </c>
      <c r="MF23">
        <v>1</v>
      </c>
      <c r="OE23">
        <v>2</v>
      </c>
      <c r="OO23">
        <v>13604</v>
      </c>
      <c r="OQ23">
        <v>121</v>
      </c>
      <c r="OU23">
        <v>-205</v>
      </c>
      <c r="OV23">
        <v>6797</v>
      </c>
      <c r="PI23">
        <v>20317</v>
      </c>
      <c r="PM23" t="str">
        <f>IFERROR(VLOOKUP($A23&amp;"",Key!$A:$C,3,FALSE),"")</f>
        <v>ISIC 07</v>
      </c>
    </row>
    <row r="24" spans="1:429" x14ac:dyDescent="0.25">
      <c r="A24">
        <v>212310</v>
      </c>
      <c r="B24" t="s">
        <v>158</v>
      </c>
      <c r="C24">
        <v>30</v>
      </c>
      <c r="D24">
        <v>261</v>
      </c>
      <c r="E24">
        <v>47</v>
      </c>
      <c r="F24">
        <v>22</v>
      </c>
      <c r="G24">
        <v>15</v>
      </c>
      <c r="H24">
        <v>68</v>
      </c>
      <c r="I24">
        <v>39</v>
      </c>
      <c r="J24">
        <v>36</v>
      </c>
      <c r="K24">
        <v>6</v>
      </c>
      <c r="L24">
        <v>34</v>
      </c>
      <c r="Q24">
        <v>270</v>
      </c>
      <c r="R24">
        <v>0</v>
      </c>
      <c r="S24">
        <v>0</v>
      </c>
      <c r="T24">
        <v>585</v>
      </c>
      <c r="U24">
        <v>162</v>
      </c>
      <c r="W24">
        <v>46</v>
      </c>
      <c r="X24">
        <v>55</v>
      </c>
      <c r="Z24">
        <v>10</v>
      </c>
      <c r="AA24">
        <v>21</v>
      </c>
      <c r="AB24">
        <v>34</v>
      </c>
      <c r="AC24">
        <v>3324</v>
      </c>
      <c r="AD24">
        <v>587</v>
      </c>
      <c r="AE24">
        <v>1513</v>
      </c>
      <c r="AF24">
        <v>523</v>
      </c>
      <c r="AG24">
        <v>2233</v>
      </c>
      <c r="AH24">
        <v>547</v>
      </c>
      <c r="AI24">
        <v>392</v>
      </c>
      <c r="AJ24">
        <v>372</v>
      </c>
      <c r="AK24">
        <v>2069</v>
      </c>
      <c r="AL24">
        <v>2588</v>
      </c>
      <c r="AS24">
        <v>464</v>
      </c>
      <c r="AT24">
        <v>939</v>
      </c>
      <c r="AU24">
        <v>143</v>
      </c>
      <c r="AV24">
        <v>77</v>
      </c>
      <c r="AW24">
        <v>428</v>
      </c>
      <c r="AY24">
        <v>628</v>
      </c>
      <c r="AZ24">
        <v>278</v>
      </c>
      <c r="FS24">
        <v>12</v>
      </c>
      <c r="FZ24">
        <v>4</v>
      </c>
      <c r="GB24">
        <v>4</v>
      </c>
      <c r="IE24">
        <v>11</v>
      </c>
      <c r="IF24">
        <v>26</v>
      </c>
      <c r="IZ24">
        <v>797</v>
      </c>
      <c r="JK24">
        <v>0</v>
      </c>
      <c r="JL24">
        <v>0</v>
      </c>
      <c r="JM24">
        <v>0</v>
      </c>
      <c r="JN24">
        <v>0</v>
      </c>
      <c r="JR24">
        <v>0</v>
      </c>
      <c r="JT24">
        <v>0</v>
      </c>
      <c r="KC24">
        <v>0</v>
      </c>
      <c r="KD24">
        <v>0</v>
      </c>
      <c r="KF24">
        <v>128</v>
      </c>
      <c r="KG24">
        <v>0</v>
      </c>
      <c r="KH24">
        <v>7</v>
      </c>
      <c r="KI24">
        <v>1</v>
      </c>
      <c r="KK24">
        <v>3</v>
      </c>
      <c r="KO24">
        <v>0</v>
      </c>
      <c r="KP24">
        <v>0</v>
      </c>
      <c r="KQ24">
        <v>0</v>
      </c>
      <c r="KR24">
        <v>0</v>
      </c>
      <c r="KV24">
        <v>2</v>
      </c>
      <c r="KW24">
        <v>4</v>
      </c>
      <c r="KX24">
        <v>0</v>
      </c>
      <c r="KY24">
        <v>1</v>
      </c>
      <c r="KZ24">
        <v>3</v>
      </c>
      <c r="LK24">
        <v>4</v>
      </c>
      <c r="LL24">
        <v>0</v>
      </c>
      <c r="LW24">
        <v>134</v>
      </c>
      <c r="LZ24">
        <v>53</v>
      </c>
      <c r="MF24">
        <v>1</v>
      </c>
      <c r="OK24">
        <v>174</v>
      </c>
      <c r="ON24">
        <v>125</v>
      </c>
      <c r="OO24">
        <v>20342</v>
      </c>
      <c r="OU24">
        <v>-11</v>
      </c>
      <c r="OV24">
        <v>140</v>
      </c>
      <c r="PI24">
        <v>20470</v>
      </c>
      <c r="PM24" t="str">
        <f>IFERROR(VLOOKUP($A24&amp;"",Key!$A:$C,3,FALSE),"")</f>
        <v>ISIC 08</v>
      </c>
    </row>
    <row r="25" spans="1:429" x14ac:dyDescent="0.25">
      <c r="A25" t="s">
        <v>571</v>
      </c>
      <c r="B25" t="s">
        <v>159</v>
      </c>
      <c r="C25">
        <v>1</v>
      </c>
      <c r="D25">
        <v>482</v>
      </c>
      <c r="E25">
        <v>2</v>
      </c>
      <c r="F25">
        <v>5</v>
      </c>
      <c r="H25">
        <v>192</v>
      </c>
      <c r="I25">
        <v>3</v>
      </c>
      <c r="L25">
        <v>2</v>
      </c>
      <c r="Q25">
        <v>10</v>
      </c>
      <c r="R25">
        <v>1</v>
      </c>
      <c r="S25">
        <v>1</v>
      </c>
      <c r="T25">
        <v>34</v>
      </c>
      <c r="U25">
        <v>515</v>
      </c>
      <c r="V25">
        <v>23</v>
      </c>
      <c r="W25">
        <v>38</v>
      </c>
      <c r="X25">
        <v>982</v>
      </c>
      <c r="Y25">
        <v>29</v>
      </c>
      <c r="Z25">
        <v>260</v>
      </c>
      <c r="AA25">
        <v>66</v>
      </c>
      <c r="AB25">
        <v>173</v>
      </c>
      <c r="AC25">
        <v>127</v>
      </c>
      <c r="AD25">
        <v>171</v>
      </c>
      <c r="AE25">
        <v>595</v>
      </c>
      <c r="AF25">
        <v>209</v>
      </c>
      <c r="AG25">
        <v>670</v>
      </c>
      <c r="AH25">
        <v>215</v>
      </c>
      <c r="AI25">
        <v>152</v>
      </c>
      <c r="AJ25">
        <v>122</v>
      </c>
      <c r="AK25">
        <v>2250</v>
      </c>
      <c r="AL25">
        <v>406</v>
      </c>
      <c r="AQ25">
        <v>860</v>
      </c>
      <c r="AR25">
        <v>214</v>
      </c>
      <c r="AS25">
        <v>106</v>
      </c>
      <c r="AT25">
        <v>5023</v>
      </c>
      <c r="AU25">
        <v>542</v>
      </c>
      <c r="AV25">
        <v>252</v>
      </c>
      <c r="AW25">
        <v>463</v>
      </c>
      <c r="AX25">
        <v>83</v>
      </c>
      <c r="AY25">
        <v>176</v>
      </c>
      <c r="AZ25">
        <v>289</v>
      </c>
      <c r="BA25">
        <v>243</v>
      </c>
      <c r="BB25">
        <v>428</v>
      </c>
      <c r="BC25">
        <v>343</v>
      </c>
      <c r="BK25">
        <v>550</v>
      </c>
      <c r="BL25">
        <v>19</v>
      </c>
      <c r="BP25">
        <v>2</v>
      </c>
      <c r="CF25">
        <v>8</v>
      </c>
      <c r="CP25">
        <v>1</v>
      </c>
      <c r="CS25">
        <v>0</v>
      </c>
      <c r="CT25">
        <v>0</v>
      </c>
      <c r="CU25">
        <v>1</v>
      </c>
      <c r="CV25">
        <v>8</v>
      </c>
      <c r="DL25">
        <v>3</v>
      </c>
      <c r="DQ25">
        <v>0</v>
      </c>
      <c r="EE25">
        <v>21</v>
      </c>
      <c r="EF25">
        <v>4</v>
      </c>
      <c r="FE25">
        <v>152</v>
      </c>
      <c r="FF25">
        <v>1</v>
      </c>
      <c r="FG25">
        <v>61</v>
      </c>
      <c r="FH25">
        <v>1</v>
      </c>
      <c r="FI25">
        <v>4</v>
      </c>
      <c r="FZ25">
        <v>17</v>
      </c>
      <c r="GB25">
        <v>17</v>
      </c>
      <c r="GF25">
        <v>1</v>
      </c>
      <c r="GI25">
        <v>10</v>
      </c>
      <c r="GJ25">
        <v>278</v>
      </c>
      <c r="HU25">
        <v>337</v>
      </c>
      <c r="HV25">
        <v>132</v>
      </c>
      <c r="ID25">
        <v>106</v>
      </c>
      <c r="IE25">
        <v>2065</v>
      </c>
      <c r="IF25">
        <v>818</v>
      </c>
      <c r="II25">
        <v>14</v>
      </c>
      <c r="IJ25">
        <v>28</v>
      </c>
      <c r="IK25">
        <v>614</v>
      </c>
      <c r="IL25">
        <v>8</v>
      </c>
      <c r="IS25">
        <v>1043</v>
      </c>
      <c r="IU25">
        <v>569</v>
      </c>
      <c r="IV25">
        <v>379</v>
      </c>
      <c r="IX25">
        <v>42</v>
      </c>
      <c r="KD25">
        <v>0</v>
      </c>
      <c r="KW25">
        <v>3</v>
      </c>
      <c r="KX25">
        <v>18</v>
      </c>
      <c r="LK25">
        <v>1</v>
      </c>
      <c r="LL25">
        <v>6</v>
      </c>
      <c r="LW25">
        <v>126</v>
      </c>
      <c r="LZ25">
        <v>316</v>
      </c>
      <c r="MF25">
        <v>15</v>
      </c>
      <c r="ND25">
        <v>175</v>
      </c>
      <c r="OE25">
        <v>199</v>
      </c>
      <c r="OK25">
        <v>1318</v>
      </c>
      <c r="ON25">
        <v>85</v>
      </c>
      <c r="OO25">
        <v>26331</v>
      </c>
      <c r="OP25">
        <v>113</v>
      </c>
      <c r="OU25">
        <v>-454</v>
      </c>
      <c r="OV25">
        <v>2030</v>
      </c>
      <c r="PI25">
        <v>28021</v>
      </c>
      <c r="PM25" t="str">
        <f>IFERROR(VLOOKUP($A25&amp;"",Key!$A:$C,3,FALSE),"")</f>
        <v>ISIC 08</v>
      </c>
    </row>
    <row r="26" spans="1:429" x14ac:dyDescent="0.25">
      <c r="A26">
        <v>213111</v>
      </c>
      <c r="B26" t="s">
        <v>160</v>
      </c>
      <c r="P26">
        <v>39</v>
      </c>
      <c r="OO26">
        <v>39</v>
      </c>
      <c r="OT26">
        <v>28550</v>
      </c>
      <c r="OU26">
        <v>-10</v>
      </c>
      <c r="PI26">
        <v>28579</v>
      </c>
      <c r="PM26" t="str">
        <f>IFERROR(VLOOKUP($A26&amp;"",Key!$A:$C,3,FALSE),"")</f>
        <v>ISIC 09</v>
      </c>
    </row>
    <row r="27" spans="1:429" x14ac:dyDescent="0.25">
      <c r="A27" t="s">
        <v>572</v>
      </c>
      <c r="B27" t="s">
        <v>161</v>
      </c>
      <c r="P27">
        <v>12471</v>
      </c>
      <c r="Q27">
        <v>186</v>
      </c>
      <c r="R27">
        <v>151</v>
      </c>
      <c r="S27">
        <v>139</v>
      </c>
      <c r="T27">
        <v>361</v>
      </c>
      <c r="U27">
        <v>203</v>
      </c>
      <c r="V27">
        <v>1112</v>
      </c>
      <c r="W27">
        <v>1808</v>
      </c>
      <c r="LZ27">
        <v>22</v>
      </c>
      <c r="MF27">
        <v>2</v>
      </c>
      <c r="OO27">
        <v>16455</v>
      </c>
      <c r="OQ27">
        <v>2288</v>
      </c>
      <c r="OT27">
        <v>69029</v>
      </c>
      <c r="OU27">
        <v>-77</v>
      </c>
      <c r="OV27">
        <v>3045</v>
      </c>
      <c r="PI27">
        <v>90739</v>
      </c>
      <c r="PM27" t="str">
        <f>IFERROR(VLOOKUP($A27&amp;"",Key!$A:$C,3,FALSE),"")</f>
        <v>ISIC 09</v>
      </c>
    </row>
    <row r="28" spans="1:429" x14ac:dyDescent="0.25">
      <c r="A28">
        <v>221100</v>
      </c>
      <c r="B28" t="s">
        <v>162</v>
      </c>
      <c r="C28">
        <v>153</v>
      </c>
      <c r="D28">
        <v>204</v>
      </c>
      <c r="E28">
        <v>318</v>
      </c>
      <c r="F28">
        <v>331</v>
      </c>
      <c r="G28">
        <v>75</v>
      </c>
      <c r="H28">
        <v>392</v>
      </c>
      <c r="I28">
        <v>1021</v>
      </c>
      <c r="J28">
        <v>187</v>
      </c>
      <c r="K28">
        <v>236</v>
      </c>
      <c r="L28">
        <v>153</v>
      </c>
      <c r="M28">
        <v>8</v>
      </c>
      <c r="N28">
        <v>9</v>
      </c>
      <c r="O28">
        <v>67</v>
      </c>
      <c r="P28">
        <v>2613</v>
      </c>
      <c r="Q28">
        <v>880</v>
      </c>
      <c r="R28">
        <v>325</v>
      </c>
      <c r="S28">
        <v>1183</v>
      </c>
      <c r="T28">
        <v>510</v>
      </c>
      <c r="U28">
        <v>665</v>
      </c>
      <c r="V28">
        <v>156</v>
      </c>
      <c r="W28">
        <v>504</v>
      </c>
      <c r="X28">
        <v>9500</v>
      </c>
      <c r="Y28">
        <v>102</v>
      </c>
      <c r="Z28">
        <v>268</v>
      </c>
      <c r="AA28">
        <v>169</v>
      </c>
      <c r="AB28">
        <v>494</v>
      </c>
      <c r="AC28">
        <v>1058</v>
      </c>
      <c r="AD28">
        <v>405</v>
      </c>
      <c r="AE28">
        <v>826</v>
      </c>
      <c r="AF28">
        <v>464</v>
      </c>
      <c r="AG28">
        <v>1465</v>
      </c>
      <c r="AH28">
        <v>252</v>
      </c>
      <c r="AI28">
        <v>480</v>
      </c>
      <c r="AJ28">
        <v>364</v>
      </c>
      <c r="AK28">
        <v>1579</v>
      </c>
      <c r="AL28">
        <v>678</v>
      </c>
      <c r="AM28">
        <v>621</v>
      </c>
      <c r="AN28">
        <v>529</v>
      </c>
      <c r="AO28">
        <v>266</v>
      </c>
      <c r="AP28">
        <v>249</v>
      </c>
      <c r="AQ28">
        <v>227</v>
      </c>
      <c r="AR28">
        <v>1128</v>
      </c>
      <c r="AS28">
        <v>703</v>
      </c>
      <c r="AT28">
        <v>193</v>
      </c>
      <c r="AU28">
        <v>72</v>
      </c>
      <c r="AV28">
        <v>89</v>
      </c>
      <c r="AW28">
        <v>238</v>
      </c>
      <c r="AX28">
        <v>62</v>
      </c>
      <c r="AY28">
        <v>45</v>
      </c>
      <c r="AZ28">
        <v>200</v>
      </c>
      <c r="BA28">
        <v>252</v>
      </c>
      <c r="BB28">
        <v>93</v>
      </c>
      <c r="BC28">
        <v>2149</v>
      </c>
      <c r="BD28">
        <v>321</v>
      </c>
      <c r="BE28">
        <v>50</v>
      </c>
      <c r="BF28">
        <v>430</v>
      </c>
      <c r="BG28">
        <v>407</v>
      </c>
      <c r="BH28">
        <v>282</v>
      </c>
      <c r="BI28">
        <v>169</v>
      </c>
      <c r="BJ28">
        <v>172</v>
      </c>
      <c r="BK28">
        <v>465</v>
      </c>
      <c r="BL28">
        <v>310</v>
      </c>
      <c r="BM28">
        <v>109</v>
      </c>
      <c r="BN28">
        <v>331</v>
      </c>
      <c r="BO28">
        <v>144</v>
      </c>
      <c r="BP28">
        <v>109</v>
      </c>
      <c r="BQ28">
        <v>341</v>
      </c>
      <c r="BR28">
        <v>307</v>
      </c>
      <c r="BS28">
        <v>54</v>
      </c>
      <c r="BT28">
        <v>65</v>
      </c>
      <c r="BU28">
        <v>201</v>
      </c>
      <c r="BV28">
        <v>71</v>
      </c>
      <c r="BW28">
        <v>98</v>
      </c>
      <c r="BX28">
        <v>481</v>
      </c>
      <c r="BY28">
        <v>476</v>
      </c>
      <c r="BZ28">
        <v>607</v>
      </c>
      <c r="CA28">
        <v>38</v>
      </c>
      <c r="CB28">
        <v>227</v>
      </c>
      <c r="CC28">
        <v>97</v>
      </c>
      <c r="CD28">
        <v>53</v>
      </c>
      <c r="CE28">
        <v>114</v>
      </c>
      <c r="CF28">
        <v>148</v>
      </c>
      <c r="CG28">
        <v>126</v>
      </c>
      <c r="CH28">
        <v>18</v>
      </c>
      <c r="CI28">
        <v>149</v>
      </c>
      <c r="CJ28">
        <v>147</v>
      </c>
      <c r="CK28">
        <v>20</v>
      </c>
      <c r="CL28">
        <v>243</v>
      </c>
      <c r="CM28">
        <v>36</v>
      </c>
      <c r="CN28">
        <v>4</v>
      </c>
      <c r="CO28">
        <v>121</v>
      </c>
      <c r="CP28">
        <v>39</v>
      </c>
      <c r="CQ28">
        <v>150</v>
      </c>
      <c r="CR28">
        <v>40</v>
      </c>
      <c r="CS28">
        <v>107</v>
      </c>
      <c r="CT28">
        <v>104</v>
      </c>
      <c r="CU28">
        <v>48</v>
      </c>
      <c r="CV28">
        <v>118</v>
      </c>
      <c r="CW28">
        <v>73</v>
      </c>
      <c r="CX28">
        <v>30</v>
      </c>
      <c r="CY28">
        <v>60</v>
      </c>
      <c r="CZ28">
        <v>171</v>
      </c>
      <c r="DA28">
        <v>42</v>
      </c>
      <c r="DB28">
        <v>120</v>
      </c>
      <c r="DC28">
        <v>132</v>
      </c>
      <c r="DD28">
        <v>22</v>
      </c>
      <c r="DE28">
        <v>30</v>
      </c>
      <c r="DF28">
        <v>18</v>
      </c>
      <c r="DG28">
        <v>157</v>
      </c>
      <c r="DH28">
        <v>98</v>
      </c>
      <c r="DI28">
        <v>4</v>
      </c>
      <c r="DJ28">
        <v>4</v>
      </c>
      <c r="DK28">
        <v>11</v>
      </c>
      <c r="DL28">
        <v>7</v>
      </c>
      <c r="DM28">
        <v>68</v>
      </c>
      <c r="DN28">
        <v>3</v>
      </c>
      <c r="DO28">
        <v>1180</v>
      </c>
      <c r="DP28">
        <v>38</v>
      </c>
      <c r="DQ28">
        <v>114</v>
      </c>
      <c r="DR28">
        <v>89</v>
      </c>
      <c r="DS28">
        <v>153</v>
      </c>
      <c r="DT28">
        <v>0</v>
      </c>
      <c r="DU28">
        <v>9</v>
      </c>
      <c r="DV28">
        <v>10</v>
      </c>
      <c r="DW28">
        <v>21</v>
      </c>
      <c r="DX28">
        <v>39</v>
      </c>
      <c r="DY28">
        <v>25</v>
      </c>
      <c r="DZ28">
        <v>20</v>
      </c>
      <c r="EA28">
        <v>0</v>
      </c>
      <c r="EB28">
        <v>3</v>
      </c>
      <c r="EC28">
        <v>1</v>
      </c>
      <c r="ED28">
        <v>53</v>
      </c>
      <c r="EE28">
        <v>7</v>
      </c>
      <c r="EF28">
        <v>72</v>
      </c>
      <c r="EG28">
        <v>21</v>
      </c>
      <c r="EH28">
        <v>44</v>
      </c>
      <c r="EI28">
        <v>53</v>
      </c>
      <c r="EJ28">
        <v>31</v>
      </c>
      <c r="EK28">
        <v>88</v>
      </c>
      <c r="EL28">
        <v>1</v>
      </c>
      <c r="EM28">
        <v>59</v>
      </c>
      <c r="EN28">
        <v>92</v>
      </c>
      <c r="EO28">
        <v>55</v>
      </c>
      <c r="EP28">
        <v>74</v>
      </c>
      <c r="EQ28">
        <v>51</v>
      </c>
      <c r="ER28">
        <v>241</v>
      </c>
      <c r="ES28">
        <v>32</v>
      </c>
      <c r="ET28">
        <v>63</v>
      </c>
      <c r="EU28">
        <v>46</v>
      </c>
      <c r="EV28">
        <v>1</v>
      </c>
      <c r="EW28">
        <v>63</v>
      </c>
      <c r="EX28">
        <v>407</v>
      </c>
      <c r="EY28">
        <v>172</v>
      </c>
      <c r="EZ28">
        <v>305</v>
      </c>
      <c r="FA28">
        <v>367</v>
      </c>
      <c r="FB28">
        <v>326</v>
      </c>
      <c r="FC28">
        <v>402</v>
      </c>
      <c r="FD28">
        <v>239</v>
      </c>
      <c r="FE28">
        <v>490</v>
      </c>
      <c r="FF28">
        <v>561</v>
      </c>
      <c r="FG28">
        <v>188</v>
      </c>
      <c r="FH28">
        <v>171</v>
      </c>
      <c r="FI28">
        <v>247</v>
      </c>
      <c r="FJ28">
        <v>90</v>
      </c>
      <c r="FK28">
        <v>185</v>
      </c>
      <c r="FL28">
        <v>60</v>
      </c>
      <c r="FM28">
        <v>39</v>
      </c>
      <c r="FN28">
        <v>23</v>
      </c>
      <c r="FO28">
        <v>28</v>
      </c>
      <c r="FP28">
        <v>142</v>
      </c>
      <c r="FQ28">
        <v>65</v>
      </c>
      <c r="FR28">
        <v>35</v>
      </c>
      <c r="FS28">
        <v>44</v>
      </c>
      <c r="FT28">
        <v>27</v>
      </c>
      <c r="FU28">
        <v>77</v>
      </c>
      <c r="FV28">
        <v>142</v>
      </c>
      <c r="FW28">
        <v>40</v>
      </c>
      <c r="FX28">
        <v>191</v>
      </c>
      <c r="FY28">
        <v>124</v>
      </c>
      <c r="FZ28">
        <v>30</v>
      </c>
      <c r="GA28">
        <v>33</v>
      </c>
      <c r="GB28">
        <v>34</v>
      </c>
      <c r="GC28">
        <v>30</v>
      </c>
      <c r="GD28">
        <v>106</v>
      </c>
      <c r="GE28">
        <v>5</v>
      </c>
      <c r="GF28">
        <v>25</v>
      </c>
      <c r="GG28">
        <v>82</v>
      </c>
      <c r="GH28">
        <v>193</v>
      </c>
      <c r="GI28">
        <v>139</v>
      </c>
      <c r="GJ28">
        <v>223</v>
      </c>
      <c r="GK28">
        <v>229</v>
      </c>
      <c r="GL28">
        <v>285</v>
      </c>
      <c r="GM28">
        <v>22</v>
      </c>
      <c r="GN28">
        <v>91</v>
      </c>
      <c r="GO28">
        <v>93</v>
      </c>
      <c r="GP28">
        <v>432</v>
      </c>
      <c r="GQ28">
        <v>353</v>
      </c>
      <c r="GR28">
        <v>272</v>
      </c>
      <c r="GS28">
        <v>271</v>
      </c>
      <c r="GT28">
        <v>186</v>
      </c>
      <c r="GU28">
        <v>328</v>
      </c>
      <c r="GV28">
        <v>106</v>
      </c>
      <c r="GW28">
        <v>403</v>
      </c>
      <c r="GX28">
        <v>755</v>
      </c>
      <c r="GY28">
        <v>102</v>
      </c>
      <c r="GZ28">
        <v>485</v>
      </c>
      <c r="HA28">
        <v>285</v>
      </c>
      <c r="HB28">
        <v>244</v>
      </c>
      <c r="HC28">
        <v>56</v>
      </c>
      <c r="HD28">
        <v>52</v>
      </c>
      <c r="HE28">
        <v>112</v>
      </c>
      <c r="HF28">
        <v>207</v>
      </c>
      <c r="HG28">
        <v>420</v>
      </c>
      <c r="HH28">
        <v>230</v>
      </c>
      <c r="HI28">
        <v>95</v>
      </c>
      <c r="HJ28">
        <v>49</v>
      </c>
      <c r="HK28">
        <v>211</v>
      </c>
      <c r="HL28">
        <v>175</v>
      </c>
      <c r="HM28">
        <v>293</v>
      </c>
      <c r="HN28">
        <v>109</v>
      </c>
      <c r="HO28">
        <v>89</v>
      </c>
      <c r="HP28">
        <v>20</v>
      </c>
      <c r="HQ28">
        <v>90</v>
      </c>
      <c r="HR28">
        <v>4</v>
      </c>
      <c r="HS28">
        <v>13</v>
      </c>
      <c r="HT28">
        <v>230</v>
      </c>
      <c r="HU28">
        <v>1245</v>
      </c>
      <c r="HV28">
        <v>2280</v>
      </c>
      <c r="HW28">
        <v>870</v>
      </c>
      <c r="HX28">
        <v>250</v>
      </c>
      <c r="HY28">
        <v>79</v>
      </c>
      <c r="HZ28">
        <v>134</v>
      </c>
      <c r="IA28">
        <v>106</v>
      </c>
      <c r="IB28">
        <v>1279</v>
      </c>
      <c r="IC28">
        <v>42</v>
      </c>
      <c r="ID28">
        <v>3932</v>
      </c>
      <c r="IE28">
        <v>305</v>
      </c>
      <c r="IF28">
        <v>98</v>
      </c>
      <c r="IG28">
        <v>124</v>
      </c>
      <c r="IH28">
        <v>503</v>
      </c>
      <c r="II28">
        <v>1469</v>
      </c>
      <c r="IJ28">
        <v>132</v>
      </c>
      <c r="IK28">
        <v>1598</v>
      </c>
      <c r="IL28">
        <v>2282</v>
      </c>
      <c r="IM28">
        <v>1919</v>
      </c>
      <c r="IN28">
        <v>262</v>
      </c>
      <c r="IO28">
        <v>153</v>
      </c>
      <c r="IP28">
        <v>532</v>
      </c>
      <c r="IQ28">
        <v>37</v>
      </c>
      <c r="IR28">
        <v>264</v>
      </c>
      <c r="IS28">
        <v>432</v>
      </c>
      <c r="IT28">
        <v>69</v>
      </c>
      <c r="IU28">
        <v>126</v>
      </c>
      <c r="IV28">
        <v>110</v>
      </c>
      <c r="IW28">
        <v>296</v>
      </c>
      <c r="IX28">
        <v>137</v>
      </c>
      <c r="IY28">
        <v>28</v>
      </c>
      <c r="IZ28">
        <v>478</v>
      </c>
      <c r="JA28">
        <v>787</v>
      </c>
      <c r="JB28">
        <v>370</v>
      </c>
      <c r="JC28">
        <v>61</v>
      </c>
      <c r="JD28">
        <v>168</v>
      </c>
      <c r="JE28">
        <v>93</v>
      </c>
      <c r="JF28">
        <v>440</v>
      </c>
      <c r="JG28">
        <v>1959</v>
      </c>
      <c r="JH28">
        <v>278</v>
      </c>
      <c r="JI28">
        <v>68</v>
      </c>
      <c r="JJ28">
        <v>274</v>
      </c>
      <c r="JK28">
        <v>943</v>
      </c>
      <c r="JL28">
        <v>959</v>
      </c>
      <c r="JM28">
        <v>1055</v>
      </c>
      <c r="JN28">
        <v>1292</v>
      </c>
      <c r="JO28">
        <v>2566</v>
      </c>
      <c r="JP28">
        <v>1142</v>
      </c>
      <c r="JQ28">
        <v>2089</v>
      </c>
      <c r="JR28">
        <v>322</v>
      </c>
      <c r="JS28">
        <v>3089</v>
      </c>
      <c r="JT28">
        <v>445</v>
      </c>
      <c r="JV28">
        <v>4475</v>
      </c>
      <c r="JW28">
        <v>9322</v>
      </c>
      <c r="JX28">
        <v>8193</v>
      </c>
      <c r="JY28">
        <v>2037</v>
      </c>
      <c r="JZ28">
        <v>2024</v>
      </c>
      <c r="KA28">
        <v>4693</v>
      </c>
      <c r="KB28">
        <v>1872</v>
      </c>
      <c r="KC28">
        <v>2485</v>
      </c>
      <c r="KD28">
        <v>2977</v>
      </c>
      <c r="KE28">
        <v>240</v>
      </c>
      <c r="KF28">
        <v>26</v>
      </c>
      <c r="KG28">
        <v>103</v>
      </c>
      <c r="KH28">
        <v>3635</v>
      </c>
      <c r="KI28">
        <v>251</v>
      </c>
      <c r="KJ28">
        <v>528</v>
      </c>
      <c r="KK28">
        <v>830</v>
      </c>
      <c r="KL28">
        <v>233</v>
      </c>
      <c r="KM28">
        <v>2174</v>
      </c>
      <c r="KN28">
        <v>109</v>
      </c>
      <c r="KO28">
        <v>59</v>
      </c>
      <c r="KP28">
        <v>148</v>
      </c>
      <c r="KQ28">
        <v>50</v>
      </c>
      <c r="KR28">
        <v>626</v>
      </c>
      <c r="KS28">
        <v>489</v>
      </c>
      <c r="KT28">
        <v>4</v>
      </c>
      <c r="KU28">
        <v>294</v>
      </c>
      <c r="KV28">
        <v>99</v>
      </c>
      <c r="KW28">
        <v>2603</v>
      </c>
      <c r="KX28">
        <v>1017</v>
      </c>
      <c r="KY28">
        <v>165</v>
      </c>
      <c r="KZ28">
        <v>1440</v>
      </c>
      <c r="LA28">
        <v>744</v>
      </c>
      <c r="LB28">
        <v>22</v>
      </c>
      <c r="LC28">
        <v>708</v>
      </c>
      <c r="LD28">
        <v>3411</v>
      </c>
      <c r="LE28">
        <v>692</v>
      </c>
      <c r="LF28">
        <v>242</v>
      </c>
      <c r="LG28">
        <v>67</v>
      </c>
      <c r="LH28">
        <v>329</v>
      </c>
      <c r="LI28">
        <v>308</v>
      </c>
      <c r="LJ28">
        <v>7</v>
      </c>
      <c r="LL28">
        <v>602</v>
      </c>
      <c r="LM28">
        <v>36155</v>
      </c>
      <c r="LN28">
        <v>216</v>
      </c>
      <c r="LO28">
        <v>347</v>
      </c>
      <c r="LP28">
        <v>264</v>
      </c>
      <c r="LQ28">
        <v>113</v>
      </c>
      <c r="LR28">
        <v>687</v>
      </c>
      <c r="LS28">
        <v>249</v>
      </c>
      <c r="LT28">
        <v>210</v>
      </c>
      <c r="LU28">
        <v>45</v>
      </c>
      <c r="LV28">
        <v>381</v>
      </c>
      <c r="LW28">
        <v>799</v>
      </c>
      <c r="LX28">
        <v>1124</v>
      </c>
      <c r="LY28">
        <v>110</v>
      </c>
      <c r="LZ28">
        <v>1923</v>
      </c>
      <c r="MA28">
        <v>440</v>
      </c>
      <c r="MB28">
        <v>119</v>
      </c>
      <c r="MC28">
        <v>100</v>
      </c>
      <c r="MD28">
        <v>111</v>
      </c>
      <c r="ME28">
        <v>398</v>
      </c>
      <c r="MF28">
        <v>5064</v>
      </c>
      <c r="MG28">
        <v>291</v>
      </c>
      <c r="MH28">
        <v>735</v>
      </c>
      <c r="MI28">
        <v>366</v>
      </c>
      <c r="MJ28">
        <v>214</v>
      </c>
      <c r="MK28">
        <v>441</v>
      </c>
      <c r="ML28">
        <v>168</v>
      </c>
      <c r="MM28">
        <v>151</v>
      </c>
      <c r="MN28">
        <v>348</v>
      </c>
      <c r="MO28">
        <v>679</v>
      </c>
      <c r="MP28">
        <v>240</v>
      </c>
      <c r="MQ28">
        <v>2483</v>
      </c>
      <c r="MR28">
        <v>96</v>
      </c>
      <c r="MS28">
        <v>1585</v>
      </c>
      <c r="MT28">
        <v>383</v>
      </c>
      <c r="MU28">
        <v>390</v>
      </c>
      <c r="MV28">
        <v>1498</v>
      </c>
      <c r="MW28">
        <v>121</v>
      </c>
      <c r="MX28">
        <v>162</v>
      </c>
      <c r="MY28">
        <v>159</v>
      </c>
      <c r="MZ28">
        <v>8314</v>
      </c>
      <c r="NA28">
        <v>3165</v>
      </c>
      <c r="NB28">
        <v>480</v>
      </c>
      <c r="NC28">
        <v>424</v>
      </c>
      <c r="ND28">
        <v>607</v>
      </c>
      <c r="NE28">
        <v>266</v>
      </c>
      <c r="NF28">
        <v>79</v>
      </c>
      <c r="NG28">
        <v>211</v>
      </c>
      <c r="NH28">
        <v>58</v>
      </c>
      <c r="NI28">
        <v>324</v>
      </c>
      <c r="NJ28">
        <v>289</v>
      </c>
      <c r="NK28">
        <v>373</v>
      </c>
      <c r="NL28">
        <v>427</v>
      </c>
      <c r="NM28">
        <v>2379</v>
      </c>
      <c r="NN28">
        <v>5840</v>
      </c>
      <c r="NO28">
        <v>6833</v>
      </c>
      <c r="NP28">
        <v>10455</v>
      </c>
      <c r="NQ28">
        <v>879</v>
      </c>
      <c r="NR28">
        <v>1421</v>
      </c>
      <c r="NS28">
        <v>99</v>
      </c>
      <c r="NT28">
        <v>225</v>
      </c>
      <c r="NU28">
        <v>187</v>
      </c>
      <c r="NV28">
        <v>1028</v>
      </c>
      <c r="NW28">
        <v>42</v>
      </c>
      <c r="NX28">
        <v>606</v>
      </c>
      <c r="NY28">
        <v>541</v>
      </c>
      <c r="NZ28">
        <v>54</v>
      </c>
      <c r="OA28">
        <v>86</v>
      </c>
      <c r="OB28">
        <v>1111</v>
      </c>
      <c r="OD28">
        <v>1580</v>
      </c>
      <c r="OE28">
        <v>302</v>
      </c>
      <c r="OF28">
        <v>65</v>
      </c>
      <c r="OG28">
        <v>1723</v>
      </c>
      <c r="OH28">
        <v>138</v>
      </c>
      <c r="OI28">
        <v>2981</v>
      </c>
      <c r="OJ28">
        <v>622</v>
      </c>
      <c r="OK28">
        <v>1897</v>
      </c>
      <c r="OL28">
        <v>103</v>
      </c>
      <c r="OM28">
        <v>258</v>
      </c>
      <c r="ON28">
        <v>903</v>
      </c>
      <c r="OO28">
        <v>277787</v>
      </c>
      <c r="OP28">
        <v>177661</v>
      </c>
      <c r="OV28">
        <v>2744</v>
      </c>
      <c r="PI28">
        <v>458193</v>
      </c>
      <c r="PM28" t="str">
        <f>IFERROR(VLOOKUP($A28&amp;"",Key!$A:$C,3,FALSE),"")</f>
        <v>ISIC 351</v>
      </c>
    </row>
    <row r="29" spans="1:429" x14ac:dyDescent="0.25">
      <c r="A29">
        <v>221200</v>
      </c>
      <c r="B29" t="s">
        <v>163</v>
      </c>
      <c r="C29">
        <v>23</v>
      </c>
      <c r="D29">
        <v>326</v>
      </c>
      <c r="E29">
        <v>23</v>
      </c>
      <c r="F29">
        <v>59</v>
      </c>
      <c r="G29">
        <v>175</v>
      </c>
      <c r="H29">
        <v>123</v>
      </c>
      <c r="I29">
        <v>71</v>
      </c>
      <c r="J29">
        <v>141</v>
      </c>
      <c r="K29">
        <v>182</v>
      </c>
      <c r="L29">
        <v>37</v>
      </c>
      <c r="M29">
        <v>2</v>
      </c>
      <c r="N29">
        <v>3</v>
      </c>
      <c r="O29">
        <v>5</v>
      </c>
      <c r="P29">
        <v>226</v>
      </c>
      <c r="Q29">
        <v>11</v>
      </c>
      <c r="R29">
        <v>15</v>
      </c>
      <c r="S29">
        <v>19</v>
      </c>
      <c r="T29">
        <v>11</v>
      </c>
      <c r="U29">
        <v>68</v>
      </c>
      <c r="V29">
        <v>4</v>
      </c>
      <c r="W29">
        <v>31</v>
      </c>
      <c r="X29">
        <v>47</v>
      </c>
      <c r="Y29">
        <v>1</v>
      </c>
      <c r="Z29">
        <v>41</v>
      </c>
      <c r="AA29">
        <v>4</v>
      </c>
      <c r="AB29">
        <v>0</v>
      </c>
      <c r="AC29">
        <v>42</v>
      </c>
      <c r="AD29">
        <v>6</v>
      </c>
      <c r="AE29">
        <v>21</v>
      </c>
      <c r="AF29">
        <v>7</v>
      </c>
      <c r="AG29">
        <v>35</v>
      </c>
      <c r="AH29">
        <v>7</v>
      </c>
      <c r="AI29">
        <v>14</v>
      </c>
      <c r="AJ29">
        <v>9</v>
      </c>
      <c r="AK29">
        <v>23</v>
      </c>
      <c r="AL29">
        <v>37</v>
      </c>
      <c r="AM29">
        <v>51</v>
      </c>
      <c r="AN29">
        <v>47</v>
      </c>
      <c r="AO29">
        <v>19</v>
      </c>
      <c r="AP29">
        <v>28</v>
      </c>
      <c r="AQ29">
        <v>37</v>
      </c>
      <c r="AR29">
        <v>109</v>
      </c>
      <c r="AS29">
        <v>118</v>
      </c>
      <c r="AT29">
        <v>47</v>
      </c>
      <c r="AU29">
        <v>8</v>
      </c>
      <c r="AV29">
        <v>9</v>
      </c>
      <c r="AW29">
        <v>99</v>
      </c>
      <c r="AX29">
        <v>3</v>
      </c>
      <c r="AY29">
        <v>4</v>
      </c>
      <c r="AZ29">
        <v>17</v>
      </c>
      <c r="BA29">
        <v>19</v>
      </c>
      <c r="BB29">
        <v>9</v>
      </c>
      <c r="BC29">
        <v>146</v>
      </c>
      <c r="BD29">
        <v>16</v>
      </c>
      <c r="BE29">
        <v>11</v>
      </c>
      <c r="BF29">
        <v>16</v>
      </c>
      <c r="BG29">
        <v>32</v>
      </c>
      <c r="BH29">
        <v>11</v>
      </c>
      <c r="BI29">
        <v>7</v>
      </c>
      <c r="BJ29">
        <v>11</v>
      </c>
      <c r="BK29">
        <v>16</v>
      </c>
      <c r="BL29">
        <v>18</v>
      </c>
      <c r="BM29">
        <v>31</v>
      </c>
      <c r="BN29">
        <v>57</v>
      </c>
      <c r="BO29">
        <v>18</v>
      </c>
      <c r="BP29">
        <v>20</v>
      </c>
      <c r="BQ29">
        <v>46</v>
      </c>
      <c r="BR29">
        <v>44</v>
      </c>
      <c r="BS29">
        <v>6</v>
      </c>
      <c r="BT29">
        <v>12</v>
      </c>
      <c r="BU29">
        <v>16</v>
      </c>
      <c r="BV29">
        <v>9</v>
      </c>
      <c r="BW29">
        <v>15</v>
      </c>
      <c r="BX29">
        <v>57</v>
      </c>
      <c r="BY29">
        <v>38</v>
      </c>
      <c r="BZ29">
        <v>133</v>
      </c>
      <c r="CA29">
        <v>6</v>
      </c>
      <c r="CB29">
        <v>18</v>
      </c>
      <c r="CC29">
        <v>10</v>
      </c>
      <c r="CD29">
        <v>7</v>
      </c>
      <c r="CE29">
        <v>16</v>
      </c>
      <c r="CF29">
        <v>23</v>
      </c>
      <c r="CG29">
        <v>17</v>
      </c>
      <c r="CH29">
        <v>1</v>
      </c>
      <c r="CI29">
        <v>19</v>
      </c>
      <c r="CJ29">
        <v>17</v>
      </c>
      <c r="CK29">
        <v>1</v>
      </c>
      <c r="CL29">
        <v>23</v>
      </c>
      <c r="CM29">
        <v>3</v>
      </c>
      <c r="CN29">
        <v>0</v>
      </c>
      <c r="CO29">
        <v>12</v>
      </c>
      <c r="CP29">
        <v>6</v>
      </c>
      <c r="CQ29">
        <v>17</v>
      </c>
      <c r="CR29">
        <v>5</v>
      </c>
      <c r="CS29">
        <v>9</v>
      </c>
      <c r="CT29">
        <v>5</v>
      </c>
      <c r="CU29">
        <v>4</v>
      </c>
      <c r="CV29">
        <v>9</v>
      </c>
      <c r="CW29">
        <v>7</v>
      </c>
      <c r="CX29">
        <v>3</v>
      </c>
      <c r="CY29">
        <v>5</v>
      </c>
      <c r="CZ29">
        <v>16</v>
      </c>
      <c r="DA29">
        <v>4</v>
      </c>
      <c r="DB29">
        <v>11</v>
      </c>
      <c r="DC29">
        <v>18</v>
      </c>
      <c r="DD29">
        <v>2</v>
      </c>
      <c r="DE29">
        <v>5</v>
      </c>
      <c r="DF29">
        <v>2</v>
      </c>
      <c r="DG29">
        <v>16</v>
      </c>
      <c r="DH29">
        <v>7</v>
      </c>
      <c r="DI29">
        <v>0</v>
      </c>
      <c r="DJ29">
        <v>1</v>
      </c>
      <c r="DK29">
        <v>0</v>
      </c>
      <c r="DL29">
        <v>0</v>
      </c>
      <c r="DM29">
        <v>1</v>
      </c>
      <c r="DN29">
        <v>0</v>
      </c>
      <c r="DO29">
        <v>45</v>
      </c>
      <c r="DP29">
        <v>3</v>
      </c>
      <c r="DQ29">
        <v>2</v>
      </c>
      <c r="DR29">
        <v>6</v>
      </c>
      <c r="DS29">
        <v>34</v>
      </c>
      <c r="DT29">
        <v>0</v>
      </c>
      <c r="DU29">
        <v>1</v>
      </c>
      <c r="DV29">
        <v>0</v>
      </c>
      <c r="DW29">
        <v>0</v>
      </c>
      <c r="DX29">
        <v>6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9</v>
      </c>
      <c r="EE29">
        <v>0</v>
      </c>
      <c r="EF29">
        <v>6</v>
      </c>
      <c r="EG29">
        <v>2</v>
      </c>
      <c r="EH29">
        <v>6</v>
      </c>
      <c r="EI29">
        <v>7</v>
      </c>
      <c r="EJ29">
        <v>1</v>
      </c>
      <c r="EK29">
        <v>28</v>
      </c>
      <c r="EL29">
        <v>1</v>
      </c>
      <c r="EM29">
        <v>3</v>
      </c>
      <c r="EN29">
        <v>7</v>
      </c>
      <c r="EO29">
        <v>9</v>
      </c>
      <c r="EP29">
        <v>4</v>
      </c>
      <c r="EQ29">
        <v>2</v>
      </c>
      <c r="ER29">
        <v>48</v>
      </c>
      <c r="ES29">
        <v>5</v>
      </c>
      <c r="ET29">
        <v>14</v>
      </c>
      <c r="EU29">
        <v>6</v>
      </c>
      <c r="EV29">
        <v>0</v>
      </c>
      <c r="EW29">
        <v>7</v>
      </c>
      <c r="EX29">
        <v>32</v>
      </c>
      <c r="EY29">
        <v>11</v>
      </c>
      <c r="EZ29">
        <v>25</v>
      </c>
      <c r="FA29">
        <v>32</v>
      </c>
      <c r="FB29">
        <v>31</v>
      </c>
      <c r="FC29">
        <v>35</v>
      </c>
      <c r="FD29">
        <v>18</v>
      </c>
      <c r="FE29">
        <v>25</v>
      </c>
      <c r="FF29">
        <v>59</v>
      </c>
      <c r="FG29">
        <v>30</v>
      </c>
      <c r="FH29">
        <v>18</v>
      </c>
      <c r="FI29">
        <v>28</v>
      </c>
      <c r="FJ29">
        <v>16</v>
      </c>
      <c r="FK29">
        <v>16</v>
      </c>
      <c r="FL29">
        <v>10</v>
      </c>
      <c r="FM29">
        <v>9</v>
      </c>
      <c r="FN29">
        <v>5</v>
      </c>
      <c r="FO29">
        <v>3</v>
      </c>
      <c r="FP29">
        <v>19</v>
      </c>
      <c r="FQ29">
        <v>6</v>
      </c>
      <c r="FR29">
        <v>3</v>
      </c>
      <c r="FS29">
        <v>6</v>
      </c>
      <c r="FT29">
        <v>4</v>
      </c>
      <c r="FU29">
        <v>11</v>
      </c>
      <c r="FV29">
        <v>22</v>
      </c>
      <c r="FW29">
        <v>4</v>
      </c>
      <c r="FX29">
        <v>11</v>
      </c>
      <c r="FY29">
        <v>5</v>
      </c>
      <c r="FZ29">
        <v>2</v>
      </c>
      <c r="GA29">
        <v>0</v>
      </c>
      <c r="GB29">
        <v>4</v>
      </c>
      <c r="GC29">
        <v>2</v>
      </c>
      <c r="GD29">
        <v>12</v>
      </c>
      <c r="GE29">
        <v>1</v>
      </c>
      <c r="GF29">
        <v>2</v>
      </c>
      <c r="GG29">
        <v>13</v>
      </c>
      <c r="GH29">
        <v>21</v>
      </c>
      <c r="GI29">
        <v>25</v>
      </c>
      <c r="GJ29">
        <v>28</v>
      </c>
      <c r="GK29">
        <v>14</v>
      </c>
      <c r="GL29">
        <v>49</v>
      </c>
      <c r="GM29">
        <v>5</v>
      </c>
      <c r="GN29">
        <v>30</v>
      </c>
      <c r="GO29">
        <v>47</v>
      </c>
      <c r="GP29">
        <v>127</v>
      </c>
      <c r="GQ29">
        <v>46</v>
      </c>
      <c r="GR29">
        <v>71</v>
      </c>
      <c r="GS29">
        <v>41</v>
      </c>
      <c r="GT29">
        <v>43</v>
      </c>
      <c r="GU29">
        <v>45</v>
      </c>
      <c r="GV29">
        <v>8</v>
      </c>
      <c r="GW29">
        <v>34</v>
      </c>
      <c r="GX29">
        <v>99</v>
      </c>
      <c r="GY29">
        <v>38</v>
      </c>
      <c r="GZ29">
        <v>76</v>
      </c>
      <c r="HA29">
        <v>34</v>
      </c>
      <c r="HB29">
        <v>51</v>
      </c>
      <c r="HC29">
        <v>8</v>
      </c>
      <c r="HD29">
        <v>7</v>
      </c>
      <c r="HE29">
        <v>13</v>
      </c>
      <c r="HF29">
        <v>26</v>
      </c>
      <c r="HG29">
        <v>34</v>
      </c>
      <c r="HH29">
        <v>33</v>
      </c>
      <c r="HI29">
        <v>8</v>
      </c>
      <c r="HJ29">
        <v>12</v>
      </c>
      <c r="HK29">
        <v>30</v>
      </c>
      <c r="HL29">
        <v>5</v>
      </c>
      <c r="HM29">
        <v>21</v>
      </c>
      <c r="HN29">
        <v>20</v>
      </c>
      <c r="HO29">
        <v>7</v>
      </c>
      <c r="HP29">
        <v>3</v>
      </c>
      <c r="HQ29">
        <v>6</v>
      </c>
      <c r="HR29">
        <v>1</v>
      </c>
      <c r="HS29">
        <v>1</v>
      </c>
      <c r="HT29">
        <v>58</v>
      </c>
      <c r="HU29">
        <v>358</v>
      </c>
      <c r="HV29">
        <v>307</v>
      </c>
      <c r="HW29">
        <v>76</v>
      </c>
      <c r="HX29">
        <v>35</v>
      </c>
      <c r="HY29">
        <v>2</v>
      </c>
      <c r="HZ29">
        <v>11</v>
      </c>
      <c r="IA29">
        <v>9</v>
      </c>
      <c r="IB29">
        <v>67</v>
      </c>
      <c r="IC29">
        <v>2</v>
      </c>
      <c r="ID29">
        <v>1136</v>
      </c>
      <c r="IE29">
        <v>74</v>
      </c>
      <c r="IF29">
        <v>13</v>
      </c>
      <c r="IG29">
        <v>31</v>
      </c>
      <c r="IH29">
        <v>627</v>
      </c>
      <c r="II29">
        <v>70</v>
      </c>
      <c r="IJ29">
        <v>14</v>
      </c>
      <c r="IK29">
        <v>290</v>
      </c>
      <c r="IL29">
        <v>570</v>
      </c>
      <c r="IM29">
        <v>241</v>
      </c>
      <c r="IN29">
        <v>24</v>
      </c>
      <c r="IO29">
        <v>6</v>
      </c>
      <c r="IP29">
        <v>24</v>
      </c>
      <c r="IQ29">
        <v>1</v>
      </c>
      <c r="IR29">
        <v>11</v>
      </c>
      <c r="IS29">
        <v>696</v>
      </c>
      <c r="IT29">
        <v>5</v>
      </c>
      <c r="IU29">
        <v>6</v>
      </c>
      <c r="IV29">
        <v>5</v>
      </c>
      <c r="IW29">
        <v>20</v>
      </c>
      <c r="IX29">
        <v>3</v>
      </c>
      <c r="IY29">
        <v>0</v>
      </c>
      <c r="IZ29">
        <v>23</v>
      </c>
      <c r="JA29">
        <v>44</v>
      </c>
      <c r="JB29">
        <v>17</v>
      </c>
      <c r="JC29">
        <v>8</v>
      </c>
      <c r="JD29">
        <v>21</v>
      </c>
      <c r="JE29">
        <v>11</v>
      </c>
      <c r="JF29">
        <v>9</v>
      </c>
      <c r="JG29">
        <v>98</v>
      </c>
      <c r="JH29">
        <v>44</v>
      </c>
      <c r="JI29">
        <v>8</v>
      </c>
      <c r="JJ29">
        <v>23</v>
      </c>
      <c r="JK29">
        <v>10</v>
      </c>
      <c r="JL29">
        <v>8</v>
      </c>
      <c r="JM29">
        <v>40</v>
      </c>
      <c r="JN29">
        <v>3</v>
      </c>
      <c r="JO29">
        <v>35</v>
      </c>
      <c r="JP29">
        <v>1</v>
      </c>
      <c r="JQ29">
        <v>23</v>
      </c>
      <c r="JR29">
        <v>14</v>
      </c>
      <c r="JS29">
        <v>51</v>
      </c>
      <c r="JT29">
        <v>3</v>
      </c>
      <c r="JV29">
        <v>206</v>
      </c>
      <c r="JW29">
        <v>25</v>
      </c>
      <c r="JX29">
        <v>29</v>
      </c>
      <c r="JY29">
        <v>56</v>
      </c>
      <c r="JZ29">
        <v>7</v>
      </c>
      <c r="KA29">
        <v>4</v>
      </c>
      <c r="KB29">
        <v>7</v>
      </c>
      <c r="KC29">
        <v>10</v>
      </c>
      <c r="KD29">
        <v>31</v>
      </c>
      <c r="KE29">
        <v>42</v>
      </c>
      <c r="KF29">
        <v>30</v>
      </c>
      <c r="KG29">
        <v>166</v>
      </c>
      <c r="KH29">
        <v>631</v>
      </c>
      <c r="KI29">
        <v>16</v>
      </c>
      <c r="KJ29">
        <v>163</v>
      </c>
      <c r="KK29">
        <v>442</v>
      </c>
      <c r="KL29">
        <v>62</v>
      </c>
      <c r="KM29">
        <v>527</v>
      </c>
      <c r="KN29">
        <v>6</v>
      </c>
      <c r="KO29">
        <v>0</v>
      </c>
      <c r="KP29">
        <v>3</v>
      </c>
      <c r="KQ29">
        <v>1</v>
      </c>
      <c r="KR29">
        <v>1</v>
      </c>
      <c r="KS29">
        <v>6</v>
      </c>
      <c r="KT29">
        <v>0</v>
      </c>
      <c r="KU29">
        <v>3</v>
      </c>
      <c r="KV29">
        <v>3</v>
      </c>
      <c r="KW29">
        <v>9</v>
      </c>
      <c r="KX29">
        <v>3</v>
      </c>
      <c r="KY29">
        <v>13</v>
      </c>
      <c r="KZ29">
        <v>5</v>
      </c>
      <c r="LA29">
        <v>6</v>
      </c>
      <c r="LB29">
        <v>0</v>
      </c>
      <c r="LC29">
        <v>31</v>
      </c>
      <c r="LD29">
        <v>329</v>
      </c>
      <c r="LE29">
        <v>30</v>
      </c>
      <c r="LF29">
        <v>4</v>
      </c>
      <c r="LG29">
        <v>5</v>
      </c>
      <c r="LH29">
        <v>25</v>
      </c>
      <c r="LI29">
        <v>42</v>
      </c>
      <c r="LJ29">
        <v>1272</v>
      </c>
      <c r="LK29">
        <v>0</v>
      </c>
      <c r="LL29">
        <v>0</v>
      </c>
      <c r="LM29">
        <v>4820</v>
      </c>
      <c r="LN29">
        <v>326</v>
      </c>
      <c r="LO29">
        <v>51</v>
      </c>
      <c r="LP29">
        <v>25</v>
      </c>
      <c r="LQ29">
        <v>15</v>
      </c>
      <c r="LR29">
        <v>6</v>
      </c>
      <c r="LS29">
        <v>2</v>
      </c>
      <c r="LU29">
        <v>0</v>
      </c>
      <c r="LV29">
        <v>20</v>
      </c>
      <c r="LW29">
        <v>14</v>
      </c>
      <c r="LX29">
        <v>1</v>
      </c>
      <c r="LY29">
        <v>1</v>
      </c>
      <c r="LZ29">
        <v>10</v>
      </c>
      <c r="MA29">
        <v>3</v>
      </c>
      <c r="MB29">
        <v>2</v>
      </c>
      <c r="MC29">
        <v>1</v>
      </c>
      <c r="MD29">
        <v>1</v>
      </c>
      <c r="ME29">
        <v>8</v>
      </c>
      <c r="MF29">
        <v>79</v>
      </c>
      <c r="MG29">
        <v>9</v>
      </c>
      <c r="MH29">
        <v>119</v>
      </c>
      <c r="MI29">
        <v>35</v>
      </c>
      <c r="MJ29">
        <v>44</v>
      </c>
      <c r="MK29">
        <v>9</v>
      </c>
      <c r="ML29">
        <v>8</v>
      </c>
      <c r="MM29">
        <v>20</v>
      </c>
      <c r="MN29">
        <v>17</v>
      </c>
      <c r="MO29">
        <v>202</v>
      </c>
      <c r="MP29">
        <v>481</v>
      </c>
      <c r="MQ29">
        <v>656</v>
      </c>
      <c r="MR29">
        <v>76</v>
      </c>
      <c r="MS29">
        <v>14</v>
      </c>
      <c r="MT29">
        <v>1</v>
      </c>
      <c r="MU29">
        <v>3</v>
      </c>
      <c r="MV29">
        <v>14</v>
      </c>
      <c r="MW29">
        <v>0</v>
      </c>
      <c r="MX29">
        <v>1</v>
      </c>
      <c r="MY29">
        <v>13</v>
      </c>
      <c r="MZ29">
        <v>118</v>
      </c>
      <c r="NA29">
        <v>64</v>
      </c>
      <c r="NB29">
        <v>11</v>
      </c>
      <c r="NC29">
        <v>9</v>
      </c>
      <c r="ND29">
        <v>24</v>
      </c>
      <c r="NE29">
        <v>4</v>
      </c>
      <c r="NF29">
        <v>3</v>
      </c>
      <c r="NG29">
        <v>2</v>
      </c>
      <c r="NH29">
        <v>1</v>
      </c>
      <c r="NI29">
        <v>6</v>
      </c>
      <c r="NJ29">
        <v>8</v>
      </c>
      <c r="NK29">
        <v>7</v>
      </c>
      <c r="NL29">
        <v>8</v>
      </c>
      <c r="NM29">
        <v>32</v>
      </c>
      <c r="NN29">
        <v>137</v>
      </c>
      <c r="NO29">
        <v>203</v>
      </c>
      <c r="NP29">
        <v>178</v>
      </c>
      <c r="NQ29">
        <v>12</v>
      </c>
      <c r="NR29">
        <v>50</v>
      </c>
      <c r="NS29">
        <v>2</v>
      </c>
      <c r="NT29">
        <v>16</v>
      </c>
      <c r="NU29">
        <v>5</v>
      </c>
      <c r="NV29">
        <v>17</v>
      </c>
      <c r="NW29">
        <v>2</v>
      </c>
      <c r="NX29">
        <v>39</v>
      </c>
      <c r="NY29">
        <v>13</v>
      </c>
      <c r="NZ29">
        <v>64</v>
      </c>
      <c r="OA29">
        <v>1</v>
      </c>
      <c r="OB29">
        <v>49</v>
      </c>
      <c r="OD29">
        <v>653</v>
      </c>
      <c r="OE29">
        <v>308</v>
      </c>
      <c r="OF29">
        <v>326</v>
      </c>
      <c r="OG29">
        <v>76</v>
      </c>
      <c r="OH29">
        <v>136</v>
      </c>
      <c r="OI29">
        <v>3143</v>
      </c>
      <c r="OJ29">
        <v>1057</v>
      </c>
      <c r="OK29">
        <v>2211</v>
      </c>
      <c r="OL29">
        <v>42</v>
      </c>
      <c r="OM29">
        <v>3</v>
      </c>
      <c r="ON29">
        <v>264</v>
      </c>
      <c r="OO29">
        <v>31503</v>
      </c>
      <c r="OP29">
        <v>48152</v>
      </c>
      <c r="OV29">
        <v>559</v>
      </c>
      <c r="PI29">
        <v>80214</v>
      </c>
      <c r="PM29" t="str">
        <f>IFERROR(VLOOKUP($A29&amp;"",Key!$A:$C,3,FALSE),"")</f>
        <v>ISIC 352T353</v>
      </c>
    </row>
    <row r="30" spans="1:429" x14ac:dyDescent="0.25">
      <c r="A30">
        <v>221300</v>
      </c>
      <c r="B30" t="s">
        <v>164</v>
      </c>
      <c r="C30">
        <v>570</v>
      </c>
      <c r="D30">
        <v>1847</v>
      </c>
      <c r="E30">
        <v>633</v>
      </c>
      <c r="F30">
        <v>709</v>
      </c>
      <c r="G30">
        <v>90</v>
      </c>
      <c r="H30">
        <v>919</v>
      </c>
      <c r="I30">
        <v>66</v>
      </c>
      <c r="J30">
        <v>85</v>
      </c>
      <c r="K30">
        <v>77</v>
      </c>
      <c r="L30">
        <v>28</v>
      </c>
      <c r="M30">
        <v>0</v>
      </c>
      <c r="N30">
        <v>2</v>
      </c>
      <c r="O30">
        <v>7</v>
      </c>
      <c r="P30">
        <v>1221</v>
      </c>
      <c r="Q30">
        <v>7</v>
      </c>
      <c r="R30">
        <v>0</v>
      </c>
      <c r="S30">
        <v>6</v>
      </c>
      <c r="T30">
        <v>20</v>
      </c>
      <c r="U30">
        <v>20</v>
      </c>
      <c r="V30">
        <v>16</v>
      </c>
      <c r="W30">
        <v>16</v>
      </c>
      <c r="X30">
        <v>1186</v>
      </c>
      <c r="Y30">
        <v>63</v>
      </c>
      <c r="Z30">
        <v>130</v>
      </c>
      <c r="AA30">
        <v>8</v>
      </c>
      <c r="AB30">
        <v>8</v>
      </c>
      <c r="AC30">
        <v>111</v>
      </c>
      <c r="AD30">
        <v>51</v>
      </c>
      <c r="AE30">
        <v>59</v>
      </c>
      <c r="AF30">
        <v>29</v>
      </c>
      <c r="AG30">
        <v>245</v>
      </c>
      <c r="AH30">
        <v>40</v>
      </c>
      <c r="AI30">
        <v>34</v>
      </c>
      <c r="AJ30">
        <v>46</v>
      </c>
      <c r="AK30">
        <v>171</v>
      </c>
      <c r="AL30">
        <v>87</v>
      </c>
      <c r="AM30">
        <v>12</v>
      </c>
      <c r="AN30">
        <v>15</v>
      </c>
      <c r="AO30">
        <v>11</v>
      </c>
      <c r="AP30">
        <v>12</v>
      </c>
      <c r="AQ30">
        <v>13</v>
      </c>
      <c r="AR30">
        <v>49</v>
      </c>
      <c r="AS30">
        <v>2</v>
      </c>
      <c r="AT30">
        <v>23</v>
      </c>
      <c r="AU30">
        <v>3</v>
      </c>
      <c r="AV30">
        <v>9</v>
      </c>
      <c r="AW30">
        <v>5</v>
      </c>
      <c r="AX30">
        <v>2</v>
      </c>
      <c r="AY30">
        <v>5</v>
      </c>
      <c r="AZ30">
        <v>3</v>
      </c>
      <c r="BA30">
        <v>13</v>
      </c>
      <c r="BB30">
        <v>6</v>
      </c>
      <c r="BC30">
        <v>69</v>
      </c>
      <c r="BD30">
        <v>13</v>
      </c>
      <c r="BE30">
        <v>4</v>
      </c>
      <c r="BF30">
        <v>1</v>
      </c>
      <c r="BG30">
        <v>12</v>
      </c>
      <c r="BH30">
        <v>4</v>
      </c>
      <c r="BI30">
        <v>6</v>
      </c>
      <c r="BJ30">
        <v>9</v>
      </c>
      <c r="BK30">
        <v>16</v>
      </c>
      <c r="BL30">
        <v>13</v>
      </c>
      <c r="BM30">
        <v>8</v>
      </c>
      <c r="BN30">
        <v>9</v>
      </c>
      <c r="BO30">
        <v>7</v>
      </c>
      <c r="BP30">
        <v>7</v>
      </c>
      <c r="BQ30">
        <v>16</v>
      </c>
      <c r="BR30">
        <v>17</v>
      </c>
      <c r="BS30">
        <v>6</v>
      </c>
      <c r="BT30">
        <v>4</v>
      </c>
      <c r="BU30">
        <v>4</v>
      </c>
      <c r="BV30">
        <v>6</v>
      </c>
      <c r="BW30">
        <v>6</v>
      </c>
      <c r="BX30">
        <v>20</v>
      </c>
      <c r="BY30">
        <v>20</v>
      </c>
      <c r="BZ30">
        <v>46</v>
      </c>
      <c r="CA30">
        <v>5</v>
      </c>
      <c r="CB30">
        <v>11</v>
      </c>
      <c r="CC30">
        <v>5</v>
      </c>
      <c r="CD30">
        <v>2</v>
      </c>
      <c r="CE30">
        <v>9</v>
      </c>
      <c r="CF30">
        <v>8</v>
      </c>
      <c r="CG30">
        <v>5</v>
      </c>
      <c r="CH30">
        <v>2</v>
      </c>
      <c r="CI30">
        <v>6</v>
      </c>
      <c r="CJ30">
        <v>5</v>
      </c>
      <c r="CK30">
        <v>4</v>
      </c>
      <c r="CL30">
        <v>13</v>
      </c>
      <c r="CM30">
        <v>2</v>
      </c>
      <c r="CN30">
        <v>0</v>
      </c>
      <c r="CO30">
        <v>5</v>
      </c>
      <c r="CP30">
        <v>3</v>
      </c>
      <c r="CQ30">
        <v>6</v>
      </c>
      <c r="CR30">
        <v>2</v>
      </c>
      <c r="CS30">
        <v>3</v>
      </c>
      <c r="CT30">
        <v>4</v>
      </c>
      <c r="CU30">
        <v>2</v>
      </c>
      <c r="CV30">
        <v>4</v>
      </c>
      <c r="CW30">
        <v>3</v>
      </c>
      <c r="CX30">
        <v>1</v>
      </c>
      <c r="CY30">
        <v>2</v>
      </c>
      <c r="CZ30">
        <v>6</v>
      </c>
      <c r="DA30">
        <v>1</v>
      </c>
      <c r="DB30">
        <v>5</v>
      </c>
      <c r="DC30">
        <v>4</v>
      </c>
      <c r="DD30">
        <v>1</v>
      </c>
      <c r="DE30">
        <v>2</v>
      </c>
      <c r="DF30">
        <v>1</v>
      </c>
      <c r="DG30">
        <v>9</v>
      </c>
      <c r="DH30">
        <v>3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29</v>
      </c>
      <c r="DP30">
        <v>1</v>
      </c>
      <c r="DQ30">
        <v>2</v>
      </c>
      <c r="DR30">
        <v>5</v>
      </c>
      <c r="DS30">
        <v>33</v>
      </c>
      <c r="DT30">
        <v>0</v>
      </c>
      <c r="DU30">
        <v>0</v>
      </c>
      <c r="DV30">
        <v>0</v>
      </c>
      <c r="DW30">
        <v>4</v>
      </c>
      <c r="DX30">
        <v>3</v>
      </c>
      <c r="DY30">
        <v>0</v>
      </c>
      <c r="DZ30">
        <v>2</v>
      </c>
      <c r="EA30">
        <v>0</v>
      </c>
      <c r="EB30">
        <v>0</v>
      </c>
      <c r="EC30">
        <v>0</v>
      </c>
      <c r="ED30">
        <v>6</v>
      </c>
      <c r="EE30">
        <v>0</v>
      </c>
      <c r="EF30">
        <v>3</v>
      </c>
      <c r="EG30">
        <v>0</v>
      </c>
      <c r="EH30">
        <v>2</v>
      </c>
      <c r="EI30">
        <v>3</v>
      </c>
      <c r="EJ30">
        <v>1</v>
      </c>
      <c r="EK30">
        <v>4</v>
      </c>
      <c r="EL30">
        <v>0</v>
      </c>
      <c r="EM30">
        <v>1</v>
      </c>
      <c r="EN30">
        <v>3</v>
      </c>
      <c r="EO30">
        <v>4</v>
      </c>
      <c r="EP30">
        <v>4</v>
      </c>
      <c r="EQ30">
        <v>3</v>
      </c>
      <c r="ER30">
        <v>29</v>
      </c>
      <c r="ES30">
        <v>2</v>
      </c>
      <c r="ET30">
        <v>6</v>
      </c>
      <c r="EU30">
        <v>3</v>
      </c>
      <c r="EV30">
        <v>4</v>
      </c>
      <c r="EW30">
        <v>201</v>
      </c>
      <c r="EX30">
        <v>15</v>
      </c>
      <c r="EY30">
        <v>6</v>
      </c>
      <c r="EZ30">
        <v>10</v>
      </c>
      <c r="FA30">
        <v>20</v>
      </c>
      <c r="FB30">
        <v>10</v>
      </c>
      <c r="FC30">
        <v>17</v>
      </c>
      <c r="FD30">
        <v>10</v>
      </c>
      <c r="FE30">
        <v>13</v>
      </c>
      <c r="FF30">
        <v>47</v>
      </c>
      <c r="FG30">
        <v>13</v>
      </c>
      <c r="FH30">
        <v>20</v>
      </c>
      <c r="FI30">
        <v>49</v>
      </c>
      <c r="FJ30">
        <v>5</v>
      </c>
      <c r="FK30">
        <v>15</v>
      </c>
      <c r="FL30">
        <v>5</v>
      </c>
      <c r="FM30">
        <v>3</v>
      </c>
      <c r="FN30">
        <v>3</v>
      </c>
      <c r="FO30">
        <v>0</v>
      </c>
      <c r="FP30">
        <v>10</v>
      </c>
      <c r="FQ30">
        <v>5</v>
      </c>
      <c r="FR30">
        <v>1</v>
      </c>
      <c r="FS30">
        <v>3</v>
      </c>
      <c r="FT30">
        <v>2</v>
      </c>
      <c r="FU30">
        <v>3</v>
      </c>
      <c r="FV30">
        <v>11</v>
      </c>
      <c r="FW30">
        <v>5</v>
      </c>
      <c r="FX30">
        <v>11</v>
      </c>
      <c r="FY30">
        <v>12</v>
      </c>
      <c r="FZ30">
        <v>2</v>
      </c>
      <c r="GA30">
        <v>3</v>
      </c>
      <c r="GB30">
        <v>3</v>
      </c>
      <c r="GC30">
        <v>1</v>
      </c>
      <c r="GD30">
        <v>4</v>
      </c>
      <c r="GE30">
        <v>1</v>
      </c>
      <c r="GF30">
        <v>2</v>
      </c>
      <c r="GG30">
        <v>8</v>
      </c>
      <c r="GH30">
        <v>11</v>
      </c>
      <c r="GI30">
        <v>12</v>
      </c>
      <c r="GJ30">
        <v>9</v>
      </c>
      <c r="GK30">
        <v>8</v>
      </c>
      <c r="GL30">
        <v>17</v>
      </c>
      <c r="GM30">
        <v>2</v>
      </c>
      <c r="GN30">
        <v>5</v>
      </c>
      <c r="GO30">
        <v>6</v>
      </c>
      <c r="GP30">
        <v>33</v>
      </c>
      <c r="GQ30">
        <v>29</v>
      </c>
      <c r="GR30">
        <v>41</v>
      </c>
      <c r="GS30">
        <v>28</v>
      </c>
      <c r="GT30">
        <v>24</v>
      </c>
      <c r="GU30">
        <v>53</v>
      </c>
      <c r="GV30">
        <v>13</v>
      </c>
      <c r="GW30">
        <v>69</v>
      </c>
      <c r="GX30">
        <v>79</v>
      </c>
      <c r="GY30">
        <v>10</v>
      </c>
      <c r="GZ30">
        <v>36</v>
      </c>
      <c r="HA30">
        <v>20</v>
      </c>
      <c r="HB30">
        <v>28</v>
      </c>
      <c r="HC30">
        <v>4</v>
      </c>
      <c r="HD30">
        <v>10</v>
      </c>
      <c r="HE30">
        <v>18</v>
      </c>
      <c r="HF30">
        <v>27</v>
      </c>
      <c r="HG30">
        <v>54</v>
      </c>
      <c r="HH30">
        <v>32</v>
      </c>
      <c r="HI30">
        <v>8</v>
      </c>
      <c r="HJ30">
        <v>10</v>
      </c>
      <c r="HK30">
        <v>16</v>
      </c>
      <c r="HL30">
        <v>4</v>
      </c>
      <c r="HM30">
        <v>13</v>
      </c>
      <c r="HN30">
        <v>10</v>
      </c>
      <c r="HO30">
        <v>9</v>
      </c>
      <c r="HP30">
        <v>2</v>
      </c>
      <c r="HQ30">
        <v>6</v>
      </c>
      <c r="HR30">
        <v>0</v>
      </c>
      <c r="HS30">
        <v>1</v>
      </c>
      <c r="HT30">
        <v>9</v>
      </c>
      <c r="HU30">
        <v>36</v>
      </c>
      <c r="HV30">
        <v>54</v>
      </c>
      <c r="HW30">
        <v>37</v>
      </c>
      <c r="HX30">
        <v>16</v>
      </c>
      <c r="HY30">
        <v>2</v>
      </c>
      <c r="HZ30">
        <v>6</v>
      </c>
      <c r="IA30">
        <v>7</v>
      </c>
      <c r="IB30">
        <v>46</v>
      </c>
      <c r="IC30">
        <v>3</v>
      </c>
      <c r="ID30">
        <v>236</v>
      </c>
      <c r="IE30">
        <v>8</v>
      </c>
      <c r="IF30">
        <v>13</v>
      </c>
      <c r="IG30">
        <v>26</v>
      </c>
      <c r="IH30">
        <v>30</v>
      </c>
      <c r="II30">
        <v>21</v>
      </c>
      <c r="IJ30">
        <v>9</v>
      </c>
      <c r="IK30">
        <v>90</v>
      </c>
      <c r="IL30">
        <v>634</v>
      </c>
      <c r="IM30">
        <v>103</v>
      </c>
      <c r="IN30">
        <v>18</v>
      </c>
      <c r="IO30">
        <v>11</v>
      </c>
      <c r="IP30">
        <v>45</v>
      </c>
      <c r="IQ30">
        <v>5</v>
      </c>
      <c r="IR30">
        <v>25</v>
      </c>
      <c r="IS30">
        <v>11</v>
      </c>
      <c r="IT30">
        <v>13</v>
      </c>
      <c r="IU30">
        <v>19</v>
      </c>
      <c r="IV30">
        <v>13</v>
      </c>
      <c r="IW30">
        <v>24</v>
      </c>
      <c r="IX30">
        <v>13</v>
      </c>
      <c r="IY30">
        <v>2</v>
      </c>
      <c r="IZ30">
        <v>63</v>
      </c>
      <c r="JA30">
        <v>24</v>
      </c>
      <c r="JB30">
        <v>16</v>
      </c>
      <c r="JC30">
        <v>7</v>
      </c>
      <c r="JD30">
        <v>7</v>
      </c>
      <c r="JE30">
        <v>7</v>
      </c>
      <c r="JF30">
        <v>6</v>
      </c>
      <c r="JG30">
        <v>65</v>
      </c>
      <c r="JH30">
        <v>14</v>
      </c>
      <c r="JI30">
        <v>6</v>
      </c>
      <c r="JJ30">
        <v>12</v>
      </c>
      <c r="JK30">
        <v>10</v>
      </c>
      <c r="JL30">
        <v>56</v>
      </c>
      <c r="JM30">
        <v>393</v>
      </c>
      <c r="JN30">
        <v>71</v>
      </c>
      <c r="JO30">
        <v>221</v>
      </c>
      <c r="JP30">
        <v>33</v>
      </c>
      <c r="JQ30">
        <v>180</v>
      </c>
      <c r="JR30">
        <v>19</v>
      </c>
      <c r="JS30">
        <v>170</v>
      </c>
      <c r="JT30">
        <v>28</v>
      </c>
      <c r="JV30">
        <v>433</v>
      </c>
      <c r="JW30">
        <v>255</v>
      </c>
      <c r="JX30">
        <v>140</v>
      </c>
      <c r="JY30">
        <v>87</v>
      </c>
      <c r="JZ30">
        <v>95</v>
      </c>
      <c r="KA30">
        <v>211</v>
      </c>
      <c r="KB30">
        <v>84</v>
      </c>
      <c r="KC30">
        <v>74</v>
      </c>
      <c r="KD30">
        <v>157</v>
      </c>
      <c r="KE30">
        <v>2</v>
      </c>
      <c r="KF30">
        <v>14</v>
      </c>
      <c r="KG30">
        <v>5</v>
      </c>
      <c r="KH30">
        <v>95</v>
      </c>
      <c r="KI30">
        <v>36</v>
      </c>
      <c r="KJ30">
        <v>7</v>
      </c>
      <c r="KK30">
        <v>25</v>
      </c>
      <c r="KL30">
        <v>42</v>
      </c>
      <c r="KM30">
        <v>49</v>
      </c>
      <c r="KN30">
        <v>5</v>
      </c>
      <c r="KO30">
        <v>4</v>
      </c>
      <c r="KP30">
        <v>15</v>
      </c>
      <c r="KQ30">
        <v>1</v>
      </c>
      <c r="KR30">
        <v>21</v>
      </c>
      <c r="KS30">
        <v>40</v>
      </c>
      <c r="KT30">
        <v>1</v>
      </c>
      <c r="KU30">
        <v>23</v>
      </c>
      <c r="KV30">
        <v>25</v>
      </c>
      <c r="KW30">
        <v>62</v>
      </c>
      <c r="KX30">
        <v>17</v>
      </c>
      <c r="KY30">
        <v>35</v>
      </c>
      <c r="KZ30">
        <v>31</v>
      </c>
      <c r="LA30">
        <v>29</v>
      </c>
      <c r="LB30">
        <v>0</v>
      </c>
      <c r="LC30">
        <v>50</v>
      </c>
      <c r="LD30">
        <v>131</v>
      </c>
      <c r="LE30">
        <v>62</v>
      </c>
      <c r="LF30">
        <v>16</v>
      </c>
      <c r="LG30">
        <v>13</v>
      </c>
      <c r="LH30">
        <v>44</v>
      </c>
      <c r="LI30">
        <v>21</v>
      </c>
      <c r="LJ30">
        <v>1562</v>
      </c>
      <c r="LK30">
        <v>1</v>
      </c>
      <c r="LL30">
        <v>0</v>
      </c>
      <c r="LM30">
        <v>1271</v>
      </c>
      <c r="LN30">
        <v>33</v>
      </c>
      <c r="LO30">
        <v>43</v>
      </c>
      <c r="LP30">
        <v>35</v>
      </c>
      <c r="LQ30">
        <v>64</v>
      </c>
      <c r="LR30">
        <v>80</v>
      </c>
      <c r="LS30">
        <v>12</v>
      </c>
      <c r="LT30">
        <v>22</v>
      </c>
      <c r="LU30">
        <v>6</v>
      </c>
      <c r="LV30">
        <v>40</v>
      </c>
      <c r="LW30">
        <v>84</v>
      </c>
      <c r="LX30">
        <v>66</v>
      </c>
      <c r="LY30">
        <v>22</v>
      </c>
      <c r="LZ30">
        <v>61</v>
      </c>
      <c r="MA30">
        <v>9</v>
      </c>
      <c r="MB30">
        <v>20</v>
      </c>
      <c r="MC30">
        <v>10</v>
      </c>
      <c r="MD30">
        <v>4</v>
      </c>
      <c r="ME30">
        <v>24</v>
      </c>
      <c r="MF30">
        <v>109</v>
      </c>
      <c r="MG30">
        <v>16</v>
      </c>
      <c r="MH30">
        <v>167</v>
      </c>
      <c r="MI30">
        <v>28</v>
      </c>
      <c r="MJ30">
        <v>148</v>
      </c>
      <c r="MK30">
        <v>48</v>
      </c>
      <c r="ML30">
        <v>22</v>
      </c>
      <c r="MM30">
        <v>17</v>
      </c>
      <c r="MN30">
        <v>30</v>
      </c>
      <c r="MO30">
        <v>614</v>
      </c>
      <c r="MP30">
        <v>139</v>
      </c>
      <c r="MQ30">
        <v>2629</v>
      </c>
      <c r="MR30">
        <v>12</v>
      </c>
      <c r="MS30">
        <v>154</v>
      </c>
      <c r="MT30">
        <v>32</v>
      </c>
      <c r="MU30">
        <v>2</v>
      </c>
      <c r="MV30">
        <v>67</v>
      </c>
      <c r="MW30">
        <v>12</v>
      </c>
      <c r="MX30">
        <v>14</v>
      </c>
      <c r="MY30">
        <v>11</v>
      </c>
      <c r="MZ30">
        <v>638</v>
      </c>
      <c r="NA30">
        <v>303</v>
      </c>
      <c r="NB30">
        <v>53</v>
      </c>
      <c r="NC30">
        <v>2</v>
      </c>
      <c r="ND30">
        <v>18</v>
      </c>
      <c r="NE30">
        <v>23</v>
      </c>
      <c r="NF30">
        <v>7</v>
      </c>
      <c r="NG30">
        <v>13</v>
      </c>
      <c r="NH30">
        <v>4</v>
      </c>
      <c r="NI30">
        <v>41</v>
      </c>
      <c r="NJ30">
        <v>20</v>
      </c>
      <c r="NK30">
        <v>24</v>
      </c>
      <c r="NL30">
        <v>45</v>
      </c>
      <c r="NM30">
        <v>139</v>
      </c>
      <c r="NN30">
        <v>608</v>
      </c>
      <c r="NO30">
        <v>598</v>
      </c>
      <c r="NP30">
        <v>492</v>
      </c>
      <c r="NQ30">
        <v>52</v>
      </c>
      <c r="NR30">
        <v>162</v>
      </c>
      <c r="NS30">
        <v>7</v>
      </c>
      <c r="NT30">
        <v>19</v>
      </c>
      <c r="NU30">
        <v>20</v>
      </c>
      <c r="NV30">
        <v>121</v>
      </c>
      <c r="NW30">
        <v>5</v>
      </c>
      <c r="NX30">
        <v>129</v>
      </c>
      <c r="NY30">
        <v>22</v>
      </c>
      <c r="NZ30">
        <v>93</v>
      </c>
      <c r="OA30">
        <v>6</v>
      </c>
      <c r="OB30">
        <v>271</v>
      </c>
      <c r="OD30">
        <v>1278</v>
      </c>
      <c r="OE30">
        <v>591</v>
      </c>
      <c r="OF30">
        <v>141</v>
      </c>
      <c r="OG30">
        <v>75</v>
      </c>
      <c r="OH30">
        <v>112</v>
      </c>
      <c r="OI30">
        <v>1960</v>
      </c>
      <c r="OJ30">
        <v>1824</v>
      </c>
      <c r="OK30">
        <v>5566</v>
      </c>
      <c r="OL30">
        <v>23</v>
      </c>
      <c r="OM30">
        <v>835</v>
      </c>
      <c r="ON30">
        <v>415</v>
      </c>
      <c r="OO30">
        <v>40658</v>
      </c>
      <c r="OP30">
        <v>39603</v>
      </c>
      <c r="OV30">
        <v>705</v>
      </c>
      <c r="PI30">
        <v>80967</v>
      </c>
      <c r="PM30" t="str">
        <f>IFERROR(VLOOKUP($A30&amp;"",Key!$A:$C,3,FALSE),"")</f>
        <v>ISIC 36T39</v>
      </c>
    </row>
    <row r="31" spans="1:429" x14ac:dyDescent="0.25">
      <c r="A31">
        <v>233210</v>
      </c>
      <c r="B31" t="s">
        <v>165</v>
      </c>
      <c r="OT31">
        <v>37725</v>
      </c>
      <c r="OZ31">
        <v>1146</v>
      </c>
      <c r="PD31">
        <v>2098</v>
      </c>
      <c r="PH31">
        <v>6153</v>
      </c>
      <c r="PI31">
        <v>47123</v>
      </c>
      <c r="PM31" t="str">
        <f>IFERROR(VLOOKUP($A31&amp;"",Key!$A:$C,3,FALSE),"")</f>
        <v>ISIC 41T43</v>
      </c>
    </row>
    <row r="32" spans="1:429" x14ac:dyDescent="0.25">
      <c r="A32">
        <v>233262</v>
      </c>
      <c r="B32" t="s">
        <v>166</v>
      </c>
      <c r="OT32">
        <v>20501</v>
      </c>
      <c r="OZ32">
        <v>1256</v>
      </c>
      <c r="PD32">
        <v>211</v>
      </c>
      <c r="PH32">
        <v>79213</v>
      </c>
      <c r="PI32">
        <v>101181</v>
      </c>
      <c r="PM32" t="str">
        <f>IFERROR(VLOOKUP($A32&amp;"",Key!$A:$C,3,FALSE),"")</f>
        <v>ISIC 41T43</v>
      </c>
    </row>
    <row r="33" spans="1:429" x14ac:dyDescent="0.25">
      <c r="A33">
        <v>230301</v>
      </c>
      <c r="B33" t="s">
        <v>167</v>
      </c>
      <c r="C33">
        <v>198</v>
      </c>
      <c r="D33">
        <v>354</v>
      </c>
      <c r="E33">
        <v>184</v>
      </c>
      <c r="F33">
        <v>159</v>
      </c>
      <c r="G33">
        <v>155</v>
      </c>
      <c r="H33">
        <v>250</v>
      </c>
      <c r="I33">
        <v>93</v>
      </c>
      <c r="K33">
        <v>39</v>
      </c>
      <c r="L33">
        <v>112</v>
      </c>
      <c r="M33">
        <v>0</v>
      </c>
      <c r="N33">
        <v>14</v>
      </c>
      <c r="O33">
        <v>19</v>
      </c>
      <c r="P33">
        <v>180</v>
      </c>
      <c r="Q33">
        <v>967</v>
      </c>
      <c r="R33">
        <v>480</v>
      </c>
      <c r="S33">
        <v>180</v>
      </c>
      <c r="T33">
        <v>481</v>
      </c>
      <c r="U33">
        <v>580</v>
      </c>
      <c r="V33">
        <v>236</v>
      </c>
      <c r="W33">
        <v>1868</v>
      </c>
      <c r="X33">
        <v>6988</v>
      </c>
      <c r="Y33">
        <v>388</v>
      </c>
      <c r="Z33">
        <v>23</v>
      </c>
      <c r="AA33">
        <v>2</v>
      </c>
      <c r="AB33">
        <v>2</v>
      </c>
      <c r="AC33">
        <v>50</v>
      </c>
      <c r="AD33">
        <v>7</v>
      </c>
      <c r="AE33">
        <v>26</v>
      </c>
      <c r="AF33">
        <v>10</v>
      </c>
      <c r="AG33">
        <v>39</v>
      </c>
      <c r="AH33">
        <v>13</v>
      </c>
      <c r="AI33">
        <v>19</v>
      </c>
      <c r="AJ33">
        <v>19</v>
      </c>
      <c r="AK33">
        <v>32</v>
      </c>
      <c r="AL33">
        <v>29</v>
      </c>
      <c r="AM33">
        <v>132</v>
      </c>
      <c r="AN33">
        <v>72</v>
      </c>
      <c r="AO33">
        <v>54</v>
      </c>
      <c r="AP33">
        <v>50</v>
      </c>
      <c r="AQ33">
        <v>60</v>
      </c>
      <c r="AR33">
        <v>186</v>
      </c>
      <c r="AS33">
        <v>87</v>
      </c>
      <c r="AT33">
        <v>197</v>
      </c>
      <c r="AU33">
        <v>46</v>
      </c>
      <c r="AV33">
        <v>62</v>
      </c>
      <c r="AW33">
        <v>43</v>
      </c>
      <c r="AX33">
        <v>13</v>
      </c>
      <c r="AY33">
        <v>22</v>
      </c>
      <c r="AZ33">
        <v>28</v>
      </c>
      <c r="BA33">
        <v>39</v>
      </c>
      <c r="BB33">
        <v>33</v>
      </c>
      <c r="BC33">
        <v>369</v>
      </c>
      <c r="BD33">
        <v>93</v>
      </c>
      <c r="BE33">
        <v>30</v>
      </c>
      <c r="BF33">
        <v>11</v>
      </c>
      <c r="BG33">
        <v>85</v>
      </c>
      <c r="BH33">
        <v>30</v>
      </c>
      <c r="BI33">
        <v>34</v>
      </c>
      <c r="BJ33">
        <v>44</v>
      </c>
      <c r="BK33">
        <v>104</v>
      </c>
      <c r="BL33">
        <v>82</v>
      </c>
      <c r="BM33">
        <v>43</v>
      </c>
      <c r="BN33">
        <v>84</v>
      </c>
      <c r="BO33">
        <v>45</v>
      </c>
      <c r="BP33">
        <v>42</v>
      </c>
      <c r="BQ33">
        <v>134</v>
      </c>
      <c r="BR33">
        <v>102</v>
      </c>
      <c r="BS33">
        <v>16</v>
      </c>
      <c r="BT33">
        <v>18</v>
      </c>
      <c r="BU33">
        <v>29</v>
      </c>
      <c r="BV33">
        <v>23</v>
      </c>
      <c r="BW33">
        <v>41</v>
      </c>
      <c r="BX33">
        <v>164</v>
      </c>
      <c r="BY33">
        <v>166</v>
      </c>
      <c r="BZ33">
        <v>138</v>
      </c>
      <c r="CA33">
        <v>14</v>
      </c>
      <c r="CB33">
        <v>72</v>
      </c>
      <c r="CC33">
        <v>32</v>
      </c>
      <c r="CD33">
        <v>18</v>
      </c>
      <c r="CE33">
        <v>31</v>
      </c>
      <c r="CF33">
        <v>44</v>
      </c>
      <c r="CG33">
        <v>51</v>
      </c>
      <c r="CH33">
        <v>7</v>
      </c>
      <c r="CI33">
        <v>79</v>
      </c>
      <c r="CJ33">
        <v>59</v>
      </c>
      <c r="CK33">
        <v>7</v>
      </c>
      <c r="CL33">
        <v>72</v>
      </c>
      <c r="CM33">
        <v>15</v>
      </c>
      <c r="CN33">
        <v>4</v>
      </c>
      <c r="CO33">
        <v>51</v>
      </c>
      <c r="CP33">
        <v>8</v>
      </c>
      <c r="CQ33">
        <v>54</v>
      </c>
      <c r="CR33">
        <v>14</v>
      </c>
      <c r="CS33">
        <v>33</v>
      </c>
      <c r="CT33">
        <v>28</v>
      </c>
      <c r="CU33">
        <v>19</v>
      </c>
      <c r="CV33">
        <v>38</v>
      </c>
      <c r="CW33">
        <v>33</v>
      </c>
      <c r="CX33">
        <v>12</v>
      </c>
      <c r="CY33">
        <v>27</v>
      </c>
      <c r="CZ33">
        <v>59</v>
      </c>
      <c r="DA33">
        <v>11</v>
      </c>
      <c r="DB33">
        <v>54</v>
      </c>
      <c r="DC33">
        <v>52</v>
      </c>
      <c r="DD33">
        <v>11</v>
      </c>
      <c r="DE33">
        <v>11</v>
      </c>
      <c r="DF33">
        <v>5</v>
      </c>
      <c r="DG33">
        <v>51</v>
      </c>
      <c r="DH33">
        <v>35</v>
      </c>
      <c r="DI33">
        <v>0</v>
      </c>
      <c r="DJ33">
        <v>0</v>
      </c>
      <c r="DK33">
        <v>3</v>
      </c>
      <c r="DL33">
        <v>0</v>
      </c>
      <c r="DM33">
        <v>16</v>
      </c>
      <c r="DN33">
        <v>1</v>
      </c>
      <c r="DO33">
        <v>232</v>
      </c>
      <c r="DP33">
        <v>18</v>
      </c>
      <c r="DQ33">
        <v>52</v>
      </c>
      <c r="DR33">
        <v>42</v>
      </c>
      <c r="DS33">
        <v>53</v>
      </c>
      <c r="DT33">
        <v>0</v>
      </c>
      <c r="DU33">
        <v>6</v>
      </c>
      <c r="DV33">
        <v>69</v>
      </c>
      <c r="DW33">
        <v>6</v>
      </c>
      <c r="DX33">
        <v>15</v>
      </c>
      <c r="DY33">
        <v>4</v>
      </c>
      <c r="DZ33">
        <v>10</v>
      </c>
      <c r="EA33">
        <v>0</v>
      </c>
      <c r="EB33">
        <v>0</v>
      </c>
      <c r="EC33">
        <v>1</v>
      </c>
      <c r="ED33">
        <v>14</v>
      </c>
      <c r="EE33">
        <v>0</v>
      </c>
      <c r="EF33">
        <v>22</v>
      </c>
      <c r="EG33">
        <v>8</v>
      </c>
      <c r="EH33">
        <v>9</v>
      </c>
      <c r="EI33">
        <v>15</v>
      </c>
      <c r="EJ33">
        <v>9</v>
      </c>
      <c r="EK33">
        <v>17</v>
      </c>
      <c r="EL33">
        <v>0</v>
      </c>
      <c r="EM33">
        <v>10</v>
      </c>
      <c r="EN33">
        <v>21</v>
      </c>
      <c r="EO33">
        <v>6</v>
      </c>
      <c r="EP33">
        <v>10</v>
      </c>
      <c r="EQ33">
        <v>13</v>
      </c>
      <c r="ER33">
        <v>125</v>
      </c>
      <c r="ES33">
        <v>9</v>
      </c>
      <c r="ET33">
        <v>18</v>
      </c>
      <c r="EU33">
        <v>13</v>
      </c>
      <c r="EV33">
        <v>0</v>
      </c>
      <c r="EW33">
        <v>15</v>
      </c>
      <c r="EX33">
        <v>97</v>
      </c>
      <c r="EY33">
        <v>31</v>
      </c>
      <c r="EZ33">
        <v>78</v>
      </c>
      <c r="FA33">
        <v>82</v>
      </c>
      <c r="FB33">
        <v>108</v>
      </c>
      <c r="FC33">
        <v>98</v>
      </c>
      <c r="FD33">
        <v>72</v>
      </c>
      <c r="FE33">
        <v>59</v>
      </c>
      <c r="FF33">
        <v>198</v>
      </c>
      <c r="FG33">
        <v>43</v>
      </c>
      <c r="FH33">
        <v>24</v>
      </c>
      <c r="FI33">
        <v>37</v>
      </c>
      <c r="FJ33">
        <v>26</v>
      </c>
      <c r="FK33">
        <v>88</v>
      </c>
      <c r="FL33">
        <v>11</v>
      </c>
      <c r="FM33">
        <v>14</v>
      </c>
      <c r="FN33">
        <v>7</v>
      </c>
      <c r="FO33">
        <v>6</v>
      </c>
      <c r="FP33">
        <v>27</v>
      </c>
      <c r="FQ33">
        <v>17</v>
      </c>
      <c r="FR33">
        <v>5</v>
      </c>
      <c r="FS33">
        <v>9</v>
      </c>
      <c r="FT33">
        <v>9</v>
      </c>
      <c r="FU33">
        <v>14</v>
      </c>
      <c r="FV33">
        <v>33</v>
      </c>
      <c r="FW33">
        <v>12</v>
      </c>
      <c r="FX33">
        <v>74</v>
      </c>
      <c r="FY33">
        <v>54</v>
      </c>
      <c r="FZ33">
        <v>14</v>
      </c>
      <c r="GA33">
        <v>12</v>
      </c>
      <c r="GB33">
        <v>14</v>
      </c>
      <c r="GC33">
        <v>14</v>
      </c>
      <c r="GD33">
        <v>18</v>
      </c>
      <c r="GE33">
        <v>1</v>
      </c>
      <c r="GF33">
        <v>7</v>
      </c>
      <c r="GG33">
        <v>30</v>
      </c>
      <c r="GH33">
        <v>56</v>
      </c>
      <c r="GI33">
        <v>45</v>
      </c>
      <c r="GJ33">
        <v>46</v>
      </c>
      <c r="GK33">
        <v>29</v>
      </c>
      <c r="GL33">
        <v>21</v>
      </c>
      <c r="GM33">
        <v>4</v>
      </c>
      <c r="GN33">
        <v>12</v>
      </c>
      <c r="GO33">
        <v>12</v>
      </c>
      <c r="GP33">
        <v>93</v>
      </c>
      <c r="GQ33">
        <v>61</v>
      </c>
      <c r="GR33">
        <v>68</v>
      </c>
      <c r="GS33">
        <v>52</v>
      </c>
      <c r="GT33">
        <v>47</v>
      </c>
      <c r="GU33">
        <v>101</v>
      </c>
      <c r="GV33">
        <v>30</v>
      </c>
      <c r="GW33">
        <v>102</v>
      </c>
      <c r="GX33">
        <v>241</v>
      </c>
      <c r="GY33">
        <v>33</v>
      </c>
      <c r="GZ33">
        <v>120</v>
      </c>
      <c r="HA33">
        <v>53</v>
      </c>
      <c r="HB33">
        <v>81</v>
      </c>
      <c r="HC33">
        <v>15</v>
      </c>
      <c r="HD33">
        <v>15</v>
      </c>
      <c r="HE33">
        <v>39</v>
      </c>
      <c r="HF33">
        <v>62</v>
      </c>
      <c r="HG33">
        <v>87</v>
      </c>
      <c r="HH33">
        <v>32</v>
      </c>
      <c r="HI33">
        <v>25</v>
      </c>
      <c r="HJ33">
        <v>15</v>
      </c>
      <c r="HK33">
        <v>68</v>
      </c>
      <c r="HL33">
        <v>10</v>
      </c>
      <c r="HM33">
        <v>32</v>
      </c>
      <c r="HN33">
        <v>18</v>
      </c>
      <c r="HO33">
        <v>10</v>
      </c>
      <c r="HP33">
        <v>5</v>
      </c>
      <c r="HQ33">
        <v>12</v>
      </c>
      <c r="HR33">
        <v>1</v>
      </c>
      <c r="HS33">
        <v>3</v>
      </c>
      <c r="HT33">
        <v>74</v>
      </c>
      <c r="HU33">
        <v>145</v>
      </c>
      <c r="HV33">
        <v>275</v>
      </c>
      <c r="HW33">
        <v>299</v>
      </c>
      <c r="HX33">
        <v>56</v>
      </c>
      <c r="HY33">
        <v>13</v>
      </c>
      <c r="HZ33">
        <v>26</v>
      </c>
      <c r="IA33">
        <v>15</v>
      </c>
      <c r="IB33">
        <v>284</v>
      </c>
      <c r="IC33">
        <v>11</v>
      </c>
      <c r="ID33">
        <v>9096</v>
      </c>
      <c r="IE33">
        <v>68</v>
      </c>
      <c r="IF33">
        <v>34</v>
      </c>
      <c r="IG33">
        <v>81</v>
      </c>
      <c r="IH33">
        <v>241</v>
      </c>
      <c r="II33">
        <v>70</v>
      </c>
      <c r="IJ33">
        <v>28</v>
      </c>
      <c r="IK33">
        <v>189</v>
      </c>
      <c r="IL33">
        <v>456</v>
      </c>
      <c r="IM33">
        <v>331</v>
      </c>
      <c r="IN33">
        <v>38</v>
      </c>
      <c r="IO33">
        <v>27</v>
      </c>
      <c r="IP33">
        <v>141</v>
      </c>
      <c r="IQ33">
        <v>12</v>
      </c>
      <c r="IR33">
        <v>77</v>
      </c>
      <c r="IS33">
        <v>79</v>
      </c>
      <c r="IT33">
        <v>24</v>
      </c>
      <c r="IU33">
        <v>28</v>
      </c>
      <c r="IV33">
        <v>21</v>
      </c>
      <c r="IW33">
        <v>69</v>
      </c>
      <c r="IX33">
        <v>37</v>
      </c>
      <c r="IY33">
        <v>6</v>
      </c>
      <c r="IZ33">
        <v>114</v>
      </c>
      <c r="JA33">
        <v>112</v>
      </c>
      <c r="JB33">
        <v>63</v>
      </c>
      <c r="JC33">
        <v>11</v>
      </c>
      <c r="JD33">
        <v>26</v>
      </c>
      <c r="JE33">
        <v>21</v>
      </c>
      <c r="JF33">
        <v>45</v>
      </c>
      <c r="JG33">
        <v>290</v>
      </c>
      <c r="JH33">
        <v>65</v>
      </c>
      <c r="JI33">
        <v>12</v>
      </c>
      <c r="JJ33">
        <v>40</v>
      </c>
      <c r="JK33">
        <v>518</v>
      </c>
      <c r="JL33">
        <v>171</v>
      </c>
      <c r="JM33">
        <v>306</v>
      </c>
      <c r="JN33">
        <v>446</v>
      </c>
      <c r="JO33">
        <v>525</v>
      </c>
      <c r="JP33">
        <v>137</v>
      </c>
      <c r="JQ33">
        <v>284</v>
      </c>
      <c r="JR33">
        <v>200</v>
      </c>
      <c r="JS33">
        <v>693</v>
      </c>
      <c r="JT33">
        <v>83</v>
      </c>
      <c r="JV33">
        <v>1383</v>
      </c>
      <c r="JW33">
        <v>911</v>
      </c>
      <c r="JX33">
        <v>1876</v>
      </c>
      <c r="JY33">
        <v>506</v>
      </c>
      <c r="JZ33">
        <v>293</v>
      </c>
      <c r="KA33">
        <v>1348</v>
      </c>
      <c r="KB33">
        <v>410</v>
      </c>
      <c r="KC33">
        <v>288</v>
      </c>
      <c r="KD33">
        <v>526</v>
      </c>
      <c r="KE33">
        <v>227</v>
      </c>
      <c r="KF33">
        <v>2394</v>
      </c>
      <c r="KG33">
        <v>68</v>
      </c>
      <c r="KH33">
        <v>561</v>
      </c>
      <c r="KI33">
        <v>313</v>
      </c>
      <c r="KJ33">
        <v>470</v>
      </c>
      <c r="KK33">
        <v>965</v>
      </c>
      <c r="KL33">
        <v>344</v>
      </c>
      <c r="KM33">
        <v>813</v>
      </c>
      <c r="KN33">
        <v>19</v>
      </c>
      <c r="KO33">
        <v>16</v>
      </c>
      <c r="KP33">
        <v>29</v>
      </c>
      <c r="KQ33">
        <v>3</v>
      </c>
      <c r="KR33">
        <v>67</v>
      </c>
      <c r="KS33">
        <v>106</v>
      </c>
      <c r="KT33">
        <v>2</v>
      </c>
      <c r="KU33">
        <v>30</v>
      </c>
      <c r="KV33">
        <v>21</v>
      </c>
      <c r="KW33">
        <v>513</v>
      </c>
      <c r="KX33">
        <v>1611</v>
      </c>
      <c r="KY33">
        <v>162</v>
      </c>
      <c r="KZ33">
        <v>184</v>
      </c>
      <c r="LA33">
        <v>368</v>
      </c>
      <c r="LB33">
        <v>1</v>
      </c>
      <c r="LC33">
        <v>850</v>
      </c>
      <c r="LD33">
        <v>5080</v>
      </c>
      <c r="LE33">
        <v>929</v>
      </c>
      <c r="LF33">
        <v>360</v>
      </c>
      <c r="LG33">
        <v>205</v>
      </c>
      <c r="LH33">
        <v>74</v>
      </c>
      <c r="LI33">
        <v>385</v>
      </c>
      <c r="LJ33">
        <v>103</v>
      </c>
      <c r="LK33">
        <v>0</v>
      </c>
      <c r="LL33">
        <v>0</v>
      </c>
      <c r="LM33">
        <v>43151</v>
      </c>
      <c r="LN33">
        <v>95</v>
      </c>
      <c r="LO33">
        <v>426</v>
      </c>
      <c r="LP33">
        <v>116</v>
      </c>
      <c r="LR33">
        <v>177</v>
      </c>
      <c r="LS33">
        <v>19</v>
      </c>
      <c r="LT33">
        <v>35</v>
      </c>
      <c r="LU33">
        <v>5</v>
      </c>
      <c r="LV33">
        <v>123</v>
      </c>
      <c r="LW33">
        <v>687</v>
      </c>
      <c r="LX33">
        <v>37</v>
      </c>
      <c r="LY33">
        <v>9</v>
      </c>
      <c r="LZ33">
        <v>357</v>
      </c>
      <c r="MA33">
        <v>39</v>
      </c>
      <c r="MB33">
        <v>59</v>
      </c>
      <c r="MC33">
        <v>24</v>
      </c>
      <c r="MD33">
        <v>76</v>
      </c>
      <c r="ME33">
        <v>139</v>
      </c>
      <c r="MF33">
        <v>737</v>
      </c>
      <c r="MG33">
        <v>69</v>
      </c>
      <c r="MH33">
        <v>183</v>
      </c>
      <c r="MI33">
        <v>29</v>
      </c>
      <c r="MJ33">
        <v>305</v>
      </c>
      <c r="MK33">
        <v>36</v>
      </c>
      <c r="ML33">
        <v>80</v>
      </c>
      <c r="MM33">
        <v>46</v>
      </c>
      <c r="MN33">
        <v>51</v>
      </c>
      <c r="MO33">
        <v>130</v>
      </c>
      <c r="MP33">
        <v>24</v>
      </c>
      <c r="MQ33">
        <v>1696</v>
      </c>
      <c r="MR33">
        <v>270</v>
      </c>
      <c r="MS33">
        <v>257</v>
      </c>
      <c r="MT33">
        <v>52</v>
      </c>
      <c r="MU33">
        <v>49</v>
      </c>
      <c r="MV33">
        <v>295</v>
      </c>
      <c r="MW33">
        <v>25</v>
      </c>
      <c r="MX33">
        <v>17</v>
      </c>
      <c r="MY33">
        <v>22</v>
      </c>
      <c r="MZ33">
        <v>1110</v>
      </c>
      <c r="NA33">
        <v>423</v>
      </c>
      <c r="NB33">
        <v>158</v>
      </c>
      <c r="NC33">
        <v>130</v>
      </c>
      <c r="ND33">
        <v>281</v>
      </c>
      <c r="NE33">
        <v>68</v>
      </c>
      <c r="NF33">
        <v>9</v>
      </c>
      <c r="NG33">
        <v>31</v>
      </c>
      <c r="NH33">
        <v>5</v>
      </c>
      <c r="NI33">
        <v>75</v>
      </c>
      <c r="NJ33">
        <v>92</v>
      </c>
      <c r="NK33">
        <v>70</v>
      </c>
      <c r="NL33">
        <v>100</v>
      </c>
      <c r="NM33">
        <v>313</v>
      </c>
      <c r="NN33">
        <v>2809</v>
      </c>
      <c r="NO33">
        <v>668</v>
      </c>
      <c r="NP33">
        <v>887</v>
      </c>
      <c r="NQ33">
        <v>119</v>
      </c>
      <c r="NR33">
        <v>343</v>
      </c>
      <c r="NS33">
        <v>37</v>
      </c>
      <c r="NT33">
        <v>101</v>
      </c>
      <c r="NU33">
        <v>35</v>
      </c>
      <c r="NV33">
        <v>324</v>
      </c>
      <c r="NW33">
        <v>35</v>
      </c>
      <c r="NX33">
        <v>98</v>
      </c>
      <c r="NY33">
        <v>100</v>
      </c>
      <c r="NZ33">
        <v>1124</v>
      </c>
      <c r="OA33">
        <v>80</v>
      </c>
      <c r="OB33">
        <v>1043</v>
      </c>
      <c r="OD33">
        <v>6137</v>
      </c>
      <c r="OE33">
        <v>362</v>
      </c>
      <c r="OF33">
        <v>10</v>
      </c>
      <c r="OG33">
        <v>530</v>
      </c>
      <c r="OI33">
        <v>9603</v>
      </c>
      <c r="OJ33">
        <v>4506</v>
      </c>
      <c r="OK33">
        <v>17479</v>
      </c>
      <c r="OL33">
        <v>2</v>
      </c>
      <c r="OM33">
        <v>92</v>
      </c>
      <c r="ON33">
        <v>41262</v>
      </c>
      <c r="OO33">
        <v>204348</v>
      </c>
      <c r="OV33">
        <v>81</v>
      </c>
      <c r="PI33">
        <v>204428</v>
      </c>
      <c r="PM33" t="str">
        <f>IFERROR(VLOOKUP($A33&amp;"",Key!$A:$C,3,FALSE),"")</f>
        <v>ISIC 41T43</v>
      </c>
    </row>
    <row r="34" spans="1:429" x14ac:dyDescent="0.25">
      <c r="A34">
        <v>230302</v>
      </c>
      <c r="B34" t="s">
        <v>168</v>
      </c>
      <c r="LK34">
        <v>71972</v>
      </c>
      <c r="LL34">
        <v>3791</v>
      </c>
      <c r="OD34">
        <v>1597</v>
      </c>
      <c r="OE34">
        <v>124</v>
      </c>
      <c r="ON34">
        <v>6966</v>
      </c>
      <c r="OO34">
        <v>84450</v>
      </c>
      <c r="OV34">
        <v>18</v>
      </c>
      <c r="PI34">
        <v>84468</v>
      </c>
      <c r="PM34" t="str">
        <f>IFERROR(VLOOKUP($A34&amp;"",Key!$A:$C,3,FALSE),"")</f>
        <v>ISIC 41T43</v>
      </c>
    </row>
    <row r="35" spans="1:429" x14ac:dyDescent="0.25">
      <c r="A35" t="s">
        <v>573</v>
      </c>
      <c r="B35" t="s">
        <v>169</v>
      </c>
      <c r="OT35">
        <v>143467</v>
      </c>
      <c r="OZ35">
        <v>1421</v>
      </c>
      <c r="PD35">
        <v>2352</v>
      </c>
      <c r="PH35">
        <v>22145</v>
      </c>
      <c r="PI35">
        <v>169386</v>
      </c>
      <c r="PM35" t="str">
        <f>IFERROR(VLOOKUP($A35&amp;"",Key!$A:$C,3,FALSE),"")</f>
        <v>ISIC 41T43</v>
      </c>
    </row>
    <row r="36" spans="1:429" x14ac:dyDescent="0.25">
      <c r="A36">
        <v>233412</v>
      </c>
      <c r="B36" t="s">
        <v>170</v>
      </c>
      <c r="OS36">
        <v>74011</v>
      </c>
      <c r="OZ36">
        <v>610</v>
      </c>
      <c r="PH36">
        <v>5151</v>
      </c>
      <c r="PI36">
        <v>79772</v>
      </c>
      <c r="PM36" t="str">
        <f>IFERROR(VLOOKUP($A36&amp;"",Key!$A:$C,3,FALSE),"")</f>
        <v>ISIC 41T43</v>
      </c>
    </row>
    <row r="37" spans="1:429" x14ac:dyDescent="0.25">
      <c r="A37" t="s">
        <v>574</v>
      </c>
      <c r="B37" t="s">
        <v>171</v>
      </c>
      <c r="OD37">
        <v>2104</v>
      </c>
      <c r="OE37">
        <v>165</v>
      </c>
      <c r="ON37">
        <v>3526</v>
      </c>
      <c r="OO37">
        <v>5795</v>
      </c>
      <c r="OS37">
        <v>242834</v>
      </c>
      <c r="OZ37">
        <v>65</v>
      </c>
      <c r="PH37">
        <v>3601</v>
      </c>
      <c r="PI37">
        <v>252295</v>
      </c>
      <c r="PM37" t="str">
        <f>IFERROR(VLOOKUP($A37&amp;"",Key!$A:$C,3,FALSE),"")</f>
        <v>ISIC 41T43</v>
      </c>
    </row>
    <row r="38" spans="1:429" x14ac:dyDescent="0.25">
      <c r="A38">
        <v>233230</v>
      </c>
      <c r="B38" t="s">
        <v>172</v>
      </c>
      <c r="OT38">
        <v>69970</v>
      </c>
      <c r="OZ38">
        <v>401</v>
      </c>
      <c r="PD38">
        <v>296</v>
      </c>
      <c r="PH38">
        <v>1</v>
      </c>
      <c r="PI38">
        <v>70668</v>
      </c>
      <c r="PM38" t="str">
        <f>IFERROR(VLOOKUP($A38&amp;"",Key!$A:$C,3,FALSE),"")</f>
        <v>ISIC 41T43</v>
      </c>
    </row>
    <row r="39" spans="1:429" x14ac:dyDescent="0.25">
      <c r="A39" t="s">
        <v>575</v>
      </c>
      <c r="B39" t="s">
        <v>173</v>
      </c>
      <c r="OT39">
        <v>66380</v>
      </c>
      <c r="OZ39">
        <v>2103</v>
      </c>
      <c r="PD39">
        <v>4990</v>
      </c>
      <c r="PH39">
        <v>49737</v>
      </c>
      <c r="PI39">
        <v>123210</v>
      </c>
      <c r="PM39" t="str">
        <f>IFERROR(VLOOKUP($A39&amp;"",Key!$A:$C,3,FALSE),"")</f>
        <v>ISIC 41T43</v>
      </c>
    </row>
    <row r="40" spans="1:429" x14ac:dyDescent="0.25">
      <c r="A40">
        <v>233240</v>
      </c>
      <c r="B40" t="s">
        <v>174</v>
      </c>
      <c r="OT40">
        <v>113346</v>
      </c>
      <c r="OZ40">
        <v>62</v>
      </c>
      <c r="PD40">
        <v>714</v>
      </c>
      <c r="PH40">
        <v>9507</v>
      </c>
      <c r="PI40">
        <v>123629</v>
      </c>
      <c r="PM40" t="str">
        <f>IFERROR(VLOOKUP($A40&amp;"",Key!$A:$C,3,FALSE),"")</f>
        <v>ISIC 41T43</v>
      </c>
    </row>
    <row r="41" spans="1:429" x14ac:dyDescent="0.25">
      <c r="A41">
        <v>233411</v>
      </c>
      <c r="B41" t="s">
        <v>175</v>
      </c>
      <c r="OS41">
        <v>270163</v>
      </c>
      <c r="OZ41">
        <v>26</v>
      </c>
      <c r="PH41">
        <v>281</v>
      </c>
      <c r="PI41">
        <v>270471</v>
      </c>
      <c r="PM41" t="str">
        <f>IFERROR(VLOOKUP($A41&amp;"",Key!$A:$C,3,FALSE),"")</f>
        <v>ISIC 41T43</v>
      </c>
    </row>
    <row r="42" spans="1:429" x14ac:dyDescent="0.25">
      <c r="A42" t="s">
        <v>576</v>
      </c>
      <c r="B42" t="s">
        <v>176</v>
      </c>
      <c r="OT42">
        <v>14795</v>
      </c>
      <c r="OZ42">
        <v>871</v>
      </c>
      <c r="PD42">
        <v>2183</v>
      </c>
      <c r="PH42">
        <v>125205</v>
      </c>
      <c r="PI42">
        <v>143054</v>
      </c>
      <c r="PM42" t="str">
        <f>IFERROR(VLOOKUP($A42&amp;"",Key!$A:$C,3,FALSE),"")</f>
        <v>ISIC 41T43</v>
      </c>
    </row>
    <row r="43" spans="1:429" x14ac:dyDescent="0.25">
      <c r="A43">
        <v>321100</v>
      </c>
      <c r="B43" t="s">
        <v>177</v>
      </c>
      <c r="I43">
        <v>4</v>
      </c>
      <c r="L43">
        <v>1</v>
      </c>
      <c r="N43">
        <v>1</v>
      </c>
      <c r="Q43">
        <v>9</v>
      </c>
      <c r="R43">
        <v>0</v>
      </c>
      <c r="S43">
        <v>3</v>
      </c>
      <c r="V43">
        <v>3</v>
      </c>
      <c r="W43">
        <v>5</v>
      </c>
      <c r="Z43">
        <v>0</v>
      </c>
      <c r="AA43">
        <v>608</v>
      </c>
      <c r="AB43">
        <v>2719</v>
      </c>
      <c r="AC43">
        <v>2740</v>
      </c>
      <c r="AD43">
        <v>479</v>
      </c>
      <c r="AE43">
        <v>1576</v>
      </c>
      <c r="AF43">
        <v>471</v>
      </c>
      <c r="AG43">
        <v>1772</v>
      </c>
      <c r="AH43">
        <v>200</v>
      </c>
      <c r="AI43">
        <v>1176</v>
      </c>
      <c r="AJ43">
        <v>418</v>
      </c>
      <c r="AK43">
        <v>2352</v>
      </c>
      <c r="AL43">
        <v>1037</v>
      </c>
      <c r="AM43">
        <v>6418</v>
      </c>
      <c r="AN43">
        <v>3072</v>
      </c>
      <c r="AO43">
        <v>5415</v>
      </c>
      <c r="AP43">
        <v>5263</v>
      </c>
      <c r="AQ43">
        <v>3</v>
      </c>
      <c r="AU43">
        <v>2</v>
      </c>
      <c r="AV43">
        <v>14</v>
      </c>
      <c r="AW43">
        <v>0</v>
      </c>
      <c r="BA43">
        <v>1</v>
      </c>
      <c r="BB43">
        <v>1</v>
      </c>
      <c r="BK43">
        <v>5</v>
      </c>
      <c r="CE43">
        <v>16</v>
      </c>
      <c r="CF43">
        <v>4</v>
      </c>
      <c r="CZ43">
        <v>90</v>
      </c>
      <c r="ET43">
        <v>208</v>
      </c>
      <c r="EU43">
        <v>48</v>
      </c>
      <c r="EV43">
        <v>0</v>
      </c>
      <c r="EW43">
        <v>94</v>
      </c>
      <c r="FA43">
        <v>2</v>
      </c>
      <c r="FC43">
        <v>93</v>
      </c>
      <c r="FD43">
        <v>116</v>
      </c>
      <c r="FK43">
        <v>57</v>
      </c>
      <c r="FL43">
        <v>38</v>
      </c>
      <c r="FN43">
        <v>4</v>
      </c>
      <c r="FP43">
        <v>1146</v>
      </c>
      <c r="FQ43">
        <v>421</v>
      </c>
      <c r="FR43">
        <v>323</v>
      </c>
      <c r="FS43">
        <v>180</v>
      </c>
      <c r="FT43">
        <v>26</v>
      </c>
      <c r="FU43">
        <v>182</v>
      </c>
      <c r="FV43">
        <v>1033</v>
      </c>
      <c r="GD43">
        <v>163</v>
      </c>
      <c r="GE43">
        <v>19</v>
      </c>
      <c r="GF43">
        <v>65</v>
      </c>
      <c r="GG43">
        <v>87</v>
      </c>
      <c r="GH43">
        <v>206</v>
      </c>
      <c r="HK43">
        <v>7</v>
      </c>
      <c r="HT43">
        <v>873</v>
      </c>
      <c r="HU43">
        <v>1714</v>
      </c>
      <c r="HV43">
        <v>2391</v>
      </c>
      <c r="II43">
        <v>28</v>
      </c>
      <c r="IL43">
        <v>171</v>
      </c>
      <c r="JG43">
        <v>169</v>
      </c>
      <c r="JK43">
        <v>8</v>
      </c>
      <c r="JL43">
        <v>3</v>
      </c>
      <c r="JM43">
        <v>1</v>
      </c>
      <c r="JN43">
        <v>1</v>
      </c>
      <c r="JO43">
        <v>35</v>
      </c>
      <c r="JR43">
        <v>0</v>
      </c>
      <c r="JT43">
        <v>0</v>
      </c>
      <c r="JY43">
        <v>1</v>
      </c>
      <c r="KB43">
        <v>1</v>
      </c>
      <c r="KC43">
        <v>0</v>
      </c>
      <c r="KD43">
        <v>2</v>
      </c>
      <c r="KF43">
        <v>2377</v>
      </c>
      <c r="KS43">
        <v>18</v>
      </c>
      <c r="KW43">
        <v>18</v>
      </c>
      <c r="KX43">
        <v>114</v>
      </c>
      <c r="KZ43">
        <v>27</v>
      </c>
      <c r="LK43">
        <v>5</v>
      </c>
      <c r="LL43">
        <v>4</v>
      </c>
      <c r="LO43">
        <v>127</v>
      </c>
      <c r="LW43">
        <v>194</v>
      </c>
      <c r="LZ43">
        <v>66</v>
      </c>
      <c r="MF43">
        <v>3</v>
      </c>
      <c r="MH43">
        <v>3</v>
      </c>
      <c r="MK43">
        <v>8</v>
      </c>
      <c r="MN43">
        <v>10</v>
      </c>
      <c r="MO43">
        <v>5</v>
      </c>
      <c r="MQ43">
        <v>2</v>
      </c>
      <c r="MR43">
        <v>0</v>
      </c>
      <c r="MS43">
        <v>245</v>
      </c>
      <c r="MT43">
        <v>1</v>
      </c>
      <c r="MV43">
        <v>9</v>
      </c>
      <c r="MY43">
        <v>3</v>
      </c>
      <c r="MZ43">
        <v>54</v>
      </c>
      <c r="NC43">
        <v>5</v>
      </c>
      <c r="ND43">
        <v>32</v>
      </c>
      <c r="NE43">
        <v>123</v>
      </c>
      <c r="NF43">
        <v>5</v>
      </c>
      <c r="NK43">
        <v>2</v>
      </c>
      <c r="NL43">
        <v>12</v>
      </c>
      <c r="NM43">
        <v>59</v>
      </c>
      <c r="NN43">
        <v>12</v>
      </c>
      <c r="NO43">
        <v>28</v>
      </c>
      <c r="NP43">
        <v>5</v>
      </c>
      <c r="NQ43">
        <v>2</v>
      </c>
      <c r="NU43">
        <v>30</v>
      </c>
      <c r="NZ43">
        <v>25</v>
      </c>
      <c r="OB43">
        <v>42</v>
      </c>
      <c r="OD43">
        <v>2</v>
      </c>
      <c r="OE43">
        <v>20</v>
      </c>
      <c r="OI43">
        <v>49</v>
      </c>
      <c r="OK43">
        <v>77</v>
      </c>
      <c r="OM43">
        <v>1</v>
      </c>
      <c r="ON43">
        <v>146</v>
      </c>
      <c r="OO43">
        <v>49764</v>
      </c>
      <c r="OU43">
        <v>-51</v>
      </c>
      <c r="OV43">
        <v>4467</v>
      </c>
      <c r="PI43">
        <v>54181</v>
      </c>
      <c r="PM43" t="str">
        <f>IFERROR(VLOOKUP($A43&amp;"",Key!$A:$C,3,FALSE),"")</f>
        <v>ISIC 16</v>
      </c>
    </row>
    <row r="44" spans="1:429" x14ac:dyDescent="0.25">
      <c r="A44">
        <v>321200</v>
      </c>
      <c r="B44" t="s">
        <v>178</v>
      </c>
      <c r="Z44">
        <v>0</v>
      </c>
      <c r="AA44">
        <v>815</v>
      </c>
      <c r="AB44">
        <v>2532</v>
      </c>
      <c r="AC44">
        <v>2227</v>
      </c>
      <c r="AD44">
        <v>1154</v>
      </c>
      <c r="AE44">
        <v>2593</v>
      </c>
      <c r="AF44">
        <v>1278</v>
      </c>
      <c r="AG44">
        <v>4693</v>
      </c>
      <c r="AH44">
        <v>720</v>
      </c>
      <c r="AI44">
        <v>1174</v>
      </c>
      <c r="AJ44">
        <v>668</v>
      </c>
      <c r="AK44">
        <v>4990</v>
      </c>
      <c r="AL44">
        <v>1876</v>
      </c>
      <c r="AN44">
        <v>3509</v>
      </c>
      <c r="AO44">
        <v>1197</v>
      </c>
      <c r="AP44">
        <v>792</v>
      </c>
      <c r="AQ44">
        <v>8</v>
      </c>
      <c r="CQ44">
        <v>3</v>
      </c>
      <c r="CR44">
        <v>0</v>
      </c>
      <c r="CZ44">
        <v>236</v>
      </c>
      <c r="DC44">
        <v>32</v>
      </c>
      <c r="EV44">
        <v>0</v>
      </c>
      <c r="EW44">
        <v>120</v>
      </c>
      <c r="FA44">
        <v>807</v>
      </c>
      <c r="FC44">
        <v>540</v>
      </c>
      <c r="FG44">
        <v>1</v>
      </c>
      <c r="FL44">
        <v>73</v>
      </c>
      <c r="FP44">
        <v>1419</v>
      </c>
      <c r="FQ44">
        <v>368</v>
      </c>
      <c r="FR44">
        <v>143</v>
      </c>
      <c r="FS44">
        <v>210</v>
      </c>
      <c r="FT44">
        <v>110</v>
      </c>
      <c r="FU44">
        <v>177</v>
      </c>
      <c r="FV44">
        <v>1247</v>
      </c>
      <c r="FY44">
        <v>361</v>
      </c>
      <c r="GF44">
        <v>7</v>
      </c>
      <c r="GG44">
        <v>160</v>
      </c>
      <c r="GH44">
        <v>92</v>
      </c>
      <c r="JB44">
        <v>14</v>
      </c>
      <c r="JF44">
        <v>3</v>
      </c>
      <c r="JG44">
        <v>655</v>
      </c>
      <c r="JK44">
        <v>0</v>
      </c>
      <c r="JL44">
        <v>4</v>
      </c>
      <c r="JM44">
        <v>1</v>
      </c>
      <c r="JN44">
        <v>1</v>
      </c>
      <c r="JO44">
        <v>5</v>
      </c>
      <c r="JR44">
        <v>0</v>
      </c>
      <c r="JT44">
        <v>0</v>
      </c>
      <c r="KB44">
        <v>11</v>
      </c>
      <c r="KC44">
        <v>0</v>
      </c>
      <c r="KD44">
        <v>4</v>
      </c>
      <c r="KO44">
        <v>0</v>
      </c>
      <c r="KP44">
        <v>0</v>
      </c>
      <c r="KQ44">
        <v>0</v>
      </c>
      <c r="KR44">
        <v>0</v>
      </c>
      <c r="KS44">
        <v>1</v>
      </c>
      <c r="KW44">
        <v>34</v>
      </c>
      <c r="KX44">
        <v>221</v>
      </c>
      <c r="KZ44">
        <v>396</v>
      </c>
      <c r="LK44">
        <v>6</v>
      </c>
      <c r="LL44">
        <v>4</v>
      </c>
      <c r="LO44">
        <v>177</v>
      </c>
      <c r="LZ44">
        <v>20</v>
      </c>
      <c r="MB44">
        <v>56</v>
      </c>
      <c r="MJ44">
        <v>205</v>
      </c>
      <c r="MQ44">
        <v>7</v>
      </c>
      <c r="MS44">
        <v>3</v>
      </c>
      <c r="MT44">
        <v>0</v>
      </c>
      <c r="MV44">
        <v>2</v>
      </c>
      <c r="MY44">
        <v>4</v>
      </c>
      <c r="MZ44">
        <v>160</v>
      </c>
      <c r="NC44">
        <v>50</v>
      </c>
      <c r="ND44">
        <v>78</v>
      </c>
      <c r="NE44">
        <v>227</v>
      </c>
      <c r="NF44">
        <v>1</v>
      </c>
      <c r="NM44">
        <v>76</v>
      </c>
      <c r="NN44">
        <v>1</v>
      </c>
      <c r="NO44">
        <v>276</v>
      </c>
      <c r="NP44">
        <v>16</v>
      </c>
      <c r="NQ44">
        <v>3</v>
      </c>
      <c r="NU44">
        <v>19</v>
      </c>
      <c r="NZ44">
        <v>21</v>
      </c>
      <c r="OB44">
        <v>91</v>
      </c>
      <c r="OE44">
        <v>3</v>
      </c>
      <c r="OI44">
        <v>980</v>
      </c>
      <c r="OJ44">
        <v>3</v>
      </c>
      <c r="OK44">
        <v>9</v>
      </c>
      <c r="ON44">
        <v>79</v>
      </c>
      <c r="OO44">
        <v>40258</v>
      </c>
      <c r="OU44">
        <v>66</v>
      </c>
      <c r="OV44">
        <v>1274</v>
      </c>
      <c r="PI44">
        <v>41599</v>
      </c>
      <c r="PM44" t="str">
        <f>IFERROR(VLOOKUP($A44&amp;"",Key!$A:$C,3,FALSE),"")</f>
        <v>ISIC 16</v>
      </c>
    </row>
    <row r="45" spans="1:429" x14ac:dyDescent="0.25">
      <c r="A45">
        <v>321910</v>
      </c>
      <c r="B45" t="s">
        <v>179</v>
      </c>
      <c r="C45">
        <v>2</v>
      </c>
      <c r="H45">
        <v>28</v>
      </c>
      <c r="N45">
        <v>133</v>
      </c>
      <c r="R45">
        <v>0</v>
      </c>
      <c r="V45">
        <v>3</v>
      </c>
      <c r="W45">
        <v>5</v>
      </c>
      <c r="AA45">
        <v>447</v>
      </c>
      <c r="AB45">
        <v>568</v>
      </c>
      <c r="AC45">
        <v>2326</v>
      </c>
      <c r="AD45">
        <v>1272</v>
      </c>
      <c r="AE45">
        <v>2555</v>
      </c>
      <c r="AF45">
        <v>1905</v>
      </c>
      <c r="AG45">
        <v>4760</v>
      </c>
      <c r="AH45">
        <v>32</v>
      </c>
      <c r="AI45">
        <v>965</v>
      </c>
      <c r="AJ45">
        <v>187</v>
      </c>
      <c r="AK45">
        <v>2818</v>
      </c>
      <c r="AL45">
        <v>488</v>
      </c>
      <c r="AM45">
        <v>1</v>
      </c>
      <c r="AN45">
        <v>38</v>
      </c>
      <c r="AO45">
        <v>1840</v>
      </c>
      <c r="AP45">
        <v>179</v>
      </c>
      <c r="AQ45">
        <v>2</v>
      </c>
      <c r="AU45">
        <v>1</v>
      </c>
      <c r="AV45">
        <v>1</v>
      </c>
      <c r="AW45">
        <v>0</v>
      </c>
      <c r="AY45">
        <v>1</v>
      </c>
      <c r="BA45">
        <v>1</v>
      </c>
      <c r="BB45">
        <v>1</v>
      </c>
      <c r="BC45">
        <v>2</v>
      </c>
      <c r="BE45">
        <v>2</v>
      </c>
      <c r="BI45">
        <v>0</v>
      </c>
      <c r="BJ45">
        <v>1</v>
      </c>
      <c r="BK45">
        <v>1</v>
      </c>
      <c r="BP45">
        <v>0</v>
      </c>
      <c r="BW45">
        <v>2</v>
      </c>
      <c r="CB45">
        <v>1</v>
      </c>
      <c r="CL45">
        <v>56</v>
      </c>
      <c r="CZ45">
        <v>181</v>
      </c>
      <c r="DG45">
        <v>1</v>
      </c>
      <c r="DS45">
        <v>0</v>
      </c>
      <c r="EU45">
        <v>94</v>
      </c>
      <c r="EV45">
        <v>3</v>
      </c>
      <c r="EW45">
        <v>114</v>
      </c>
      <c r="FA45">
        <v>505</v>
      </c>
      <c r="FC45">
        <v>461</v>
      </c>
      <c r="FD45">
        <v>58</v>
      </c>
      <c r="FJ45">
        <v>23</v>
      </c>
      <c r="FK45">
        <v>91</v>
      </c>
      <c r="FP45">
        <v>381</v>
      </c>
      <c r="FQ45">
        <v>2</v>
      </c>
      <c r="FR45">
        <v>1</v>
      </c>
      <c r="FS45">
        <v>2</v>
      </c>
      <c r="FV45">
        <v>7</v>
      </c>
      <c r="FW45">
        <v>260</v>
      </c>
      <c r="GF45">
        <v>6</v>
      </c>
      <c r="GH45">
        <v>2</v>
      </c>
      <c r="GZ45">
        <v>0</v>
      </c>
      <c r="IB45">
        <v>0</v>
      </c>
      <c r="JG45">
        <v>325</v>
      </c>
      <c r="JK45">
        <v>3</v>
      </c>
      <c r="JL45">
        <v>3</v>
      </c>
      <c r="JM45">
        <v>1</v>
      </c>
      <c r="JN45">
        <v>1</v>
      </c>
      <c r="JO45">
        <v>517</v>
      </c>
      <c r="JR45">
        <v>0</v>
      </c>
      <c r="JT45">
        <v>0</v>
      </c>
      <c r="JV45">
        <v>0</v>
      </c>
      <c r="JX45">
        <v>23</v>
      </c>
      <c r="JY45">
        <v>12</v>
      </c>
      <c r="KB45">
        <v>7</v>
      </c>
      <c r="KC45">
        <v>43</v>
      </c>
      <c r="KD45">
        <v>15</v>
      </c>
      <c r="KF45">
        <v>306</v>
      </c>
      <c r="KN45">
        <v>15</v>
      </c>
      <c r="KO45">
        <v>0</v>
      </c>
      <c r="KP45">
        <v>13</v>
      </c>
      <c r="KQ45">
        <v>20</v>
      </c>
      <c r="KR45">
        <v>0</v>
      </c>
      <c r="KS45">
        <v>30</v>
      </c>
      <c r="KT45">
        <v>11</v>
      </c>
      <c r="KU45">
        <v>130</v>
      </c>
      <c r="KV45">
        <v>21</v>
      </c>
      <c r="KW45">
        <v>84</v>
      </c>
      <c r="KX45">
        <v>161</v>
      </c>
      <c r="KY45">
        <v>16</v>
      </c>
      <c r="KZ45">
        <v>349</v>
      </c>
      <c r="LA45">
        <v>95</v>
      </c>
      <c r="LB45">
        <v>0</v>
      </c>
      <c r="LK45">
        <v>12</v>
      </c>
      <c r="LL45">
        <v>6</v>
      </c>
      <c r="LM45">
        <v>7362</v>
      </c>
      <c r="LN45">
        <v>2</v>
      </c>
      <c r="LO45">
        <v>57</v>
      </c>
      <c r="LR45">
        <v>0</v>
      </c>
      <c r="LW45">
        <v>144</v>
      </c>
      <c r="LZ45">
        <v>138</v>
      </c>
      <c r="MB45">
        <v>246</v>
      </c>
      <c r="MD45">
        <v>0</v>
      </c>
      <c r="MF45">
        <v>3</v>
      </c>
      <c r="MG45">
        <v>0</v>
      </c>
      <c r="MK45">
        <v>312</v>
      </c>
      <c r="MN45">
        <v>439</v>
      </c>
      <c r="MP45">
        <v>3</v>
      </c>
      <c r="MQ45">
        <v>13</v>
      </c>
      <c r="MR45">
        <v>1</v>
      </c>
      <c r="MS45">
        <v>2</v>
      </c>
      <c r="MT45">
        <v>0</v>
      </c>
      <c r="MU45">
        <v>0</v>
      </c>
      <c r="MV45">
        <v>2</v>
      </c>
      <c r="MW45">
        <v>0</v>
      </c>
      <c r="MY45">
        <v>6</v>
      </c>
      <c r="MZ45">
        <v>91</v>
      </c>
      <c r="NC45">
        <v>31</v>
      </c>
      <c r="ND45">
        <v>51</v>
      </c>
      <c r="NE45">
        <v>49</v>
      </c>
      <c r="NF45">
        <v>1</v>
      </c>
      <c r="NK45">
        <v>0</v>
      </c>
      <c r="NL45">
        <v>1</v>
      </c>
      <c r="NM45">
        <v>48</v>
      </c>
      <c r="NN45">
        <v>46</v>
      </c>
      <c r="NO45">
        <v>238</v>
      </c>
      <c r="NP45">
        <v>35</v>
      </c>
      <c r="NQ45">
        <v>12</v>
      </c>
      <c r="NR45">
        <v>0</v>
      </c>
      <c r="NS45">
        <v>0</v>
      </c>
      <c r="NY45">
        <v>0</v>
      </c>
      <c r="NZ45">
        <v>10</v>
      </c>
      <c r="OA45">
        <v>1</v>
      </c>
      <c r="OB45">
        <v>113</v>
      </c>
      <c r="OD45">
        <v>3</v>
      </c>
      <c r="OE45">
        <v>2</v>
      </c>
      <c r="OI45">
        <v>37</v>
      </c>
      <c r="OJ45">
        <v>1</v>
      </c>
      <c r="OK45">
        <v>38</v>
      </c>
      <c r="ON45">
        <v>67</v>
      </c>
      <c r="OO45">
        <v>34643</v>
      </c>
      <c r="OU45">
        <v>164</v>
      </c>
      <c r="OV45">
        <v>347</v>
      </c>
      <c r="PI45">
        <v>35155</v>
      </c>
      <c r="PM45" t="str">
        <f>IFERROR(VLOOKUP($A45&amp;"",Key!$A:$C,3,FALSE),"")</f>
        <v>ISIC 16</v>
      </c>
    </row>
    <row r="46" spans="1:429" x14ac:dyDescent="0.25">
      <c r="A46" t="s">
        <v>577</v>
      </c>
      <c r="B46" t="s">
        <v>180</v>
      </c>
      <c r="C46">
        <v>6</v>
      </c>
      <c r="D46">
        <v>7</v>
      </c>
      <c r="E46">
        <v>248</v>
      </c>
      <c r="F46">
        <v>205</v>
      </c>
      <c r="G46">
        <v>1</v>
      </c>
      <c r="H46">
        <v>21</v>
      </c>
      <c r="I46">
        <v>10</v>
      </c>
      <c r="J46">
        <v>5</v>
      </c>
      <c r="K46">
        <v>2</v>
      </c>
      <c r="M46">
        <v>0</v>
      </c>
      <c r="O46">
        <v>0</v>
      </c>
      <c r="R46">
        <v>4</v>
      </c>
      <c r="S46">
        <v>204</v>
      </c>
      <c r="T46">
        <v>85</v>
      </c>
      <c r="U46">
        <v>45</v>
      </c>
      <c r="V46">
        <v>119</v>
      </c>
      <c r="W46">
        <v>268</v>
      </c>
      <c r="X46">
        <v>5</v>
      </c>
      <c r="AA46">
        <v>26</v>
      </c>
      <c r="AB46">
        <v>75</v>
      </c>
      <c r="AC46">
        <v>702</v>
      </c>
      <c r="AD46">
        <v>217</v>
      </c>
      <c r="AE46">
        <v>195</v>
      </c>
      <c r="AF46">
        <v>72</v>
      </c>
      <c r="AG46">
        <v>672</v>
      </c>
      <c r="AH46">
        <v>50</v>
      </c>
      <c r="AI46">
        <v>374</v>
      </c>
      <c r="AJ46">
        <v>35</v>
      </c>
      <c r="AK46">
        <v>265</v>
      </c>
      <c r="AL46">
        <v>128</v>
      </c>
      <c r="AM46">
        <v>11</v>
      </c>
      <c r="AN46">
        <v>148</v>
      </c>
      <c r="AO46">
        <v>1457</v>
      </c>
      <c r="AP46">
        <v>771</v>
      </c>
      <c r="AQ46">
        <v>12</v>
      </c>
      <c r="AR46">
        <v>87</v>
      </c>
      <c r="AS46">
        <v>16</v>
      </c>
      <c r="AU46">
        <v>3</v>
      </c>
      <c r="AV46">
        <v>21</v>
      </c>
      <c r="AW46">
        <v>6</v>
      </c>
      <c r="BA46">
        <v>30</v>
      </c>
      <c r="BB46">
        <v>9</v>
      </c>
      <c r="BC46">
        <v>7</v>
      </c>
      <c r="BE46">
        <v>6</v>
      </c>
      <c r="BI46">
        <v>87</v>
      </c>
      <c r="BJ46">
        <v>176</v>
      </c>
      <c r="BK46">
        <v>4</v>
      </c>
      <c r="BL46">
        <v>101</v>
      </c>
      <c r="BP46">
        <v>125</v>
      </c>
      <c r="BW46">
        <v>4</v>
      </c>
      <c r="BZ46">
        <v>37</v>
      </c>
      <c r="CL46">
        <v>13</v>
      </c>
      <c r="CO46">
        <v>6</v>
      </c>
      <c r="CQ46">
        <v>108</v>
      </c>
      <c r="CR46">
        <v>27</v>
      </c>
      <c r="CU46">
        <v>25</v>
      </c>
      <c r="CV46">
        <v>6</v>
      </c>
      <c r="CZ46">
        <v>215</v>
      </c>
      <c r="DL46">
        <v>0</v>
      </c>
      <c r="DM46">
        <v>14</v>
      </c>
      <c r="DN46">
        <v>25</v>
      </c>
      <c r="DO46">
        <v>11</v>
      </c>
      <c r="DP46">
        <v>36</v>
      </c>
      <c r="DQ46">
        <v>52</v>
      </c>
      <c r="DS46">
        <v>31</v>
      </c>
      <c r="EA46">
        <v>196</v>
      </c>
      <c r="EM46">
        <v>528</v>
      </c>
      <c r="FA46">
        <v>1</v>
      </c>
      <c r="FB46">
        <v>364</v>
      </c>
      <c r="FC46">
        <v>6</v>
      </c>
      <c r="FD46">
        <v>174</v>
      </c>
      <c r="FE46">
        <v>1</v>
      </c>
      <c r="FG46">
        <v>0</v>
      </c>
      <c r="FP46">
        <v>214</v>
      </c>
      <c r="FT46">
        <v>9</v>
      </c>
      <c r="FU46">
        <v>20</v>
      </c>
      <c r="FW46">
        <v>56</v>
      </c>
      <c r="FX46">
        <v>20</v>
      </c>
      <c r="GD46">
        <v>37</v>
      </c>
      <c r="GF46">
        <v>6</v>
      </c>
      <c r="GH46">
        <v>110</v>
      </c>
      <c r="GI46">
        <v>10</v>
      </c>
      <c r="GV46">
        <v>55</v>
      </c>
      <c r="HI46">
        <v>53</v>
      </c>
      <c r="HJ46">
        <v>196</v>
      </c>
      <c r="HP46">
        <v>57</v>
      </c>
      <c r="HS46">
        <v>0</v>
      </c>
      <c r="HT46">
        <v>35</v>
      </c>
      <c r="HU46">
        <v>403</v>
      </c>
      <c r="HV46">
        <v>294</v>
      </c>
      <c r="HW46">
        <v>10</v>
      </c>
      <c r="HY46">
        <v>29</v>
      </c>
      <c r="IB46">
        <v>2</v>
      </c>
      <c r="IL46">
        <v>3</v>
      </c>
      <c r="IN46">
        <v>2</v>
      </c>
      <c r="IO46">
        <v>0</v>
      </c>
      <c r="IP46">
        <v>0</v>
      </c>
      <c r="IQ46">
        <v>0</v>
      </c>
      <c r="IR46">
        <v>2</v>
      </c>
      <c r="IS46">
        <v>2</v>
      </c>
      <c r="IT46">
        <v>1</v>
      </c>
      <c r="IU46">
        <v>8</v>
      </c>
      <c r="IV46">
        <v>10</v>
      </c>
      <c r="IW46">
        <v>6</v>
      </c>
      <c r="IY46">
        <v>3</v>
      </c>
      <c r="IZ46">
        <v>20</v>
      </c>
      <c r="JB46">
        <v>2</v>
      </c>
      <c r="JC46">
        <v>1</v>
      </c>
      <c r="JG46">
        <v>194</v>
      </c>
      <c r="JI46">
        <v>1</v>
      </c>
      <c r="JJ46">
        <v>7</v>
      </c>
      <c r="JK46">
        <v>773</v>
      </c>
      <c r="JL46">
        <v>235</v>
      </c>
      <c r="JM46">
        <v>450</v>
      </c>
      <c r="JN46">
        <v>435</v>
      </c>
      <c r="JO46">
        <v>1164</v>
      </c>
      <c r="JP46">
        <v>297</v>
      </c>
      <c r="JQ46">
        <v>977</v>
      </c>
      <c r="JR46">
        <v>292</v>
      </c>
      <c r="JS46">
        <v>1281</v>
      </c>
      <c r="JT46">
        <v>146</v>
      </c>
      <c r="JV46">
        <v>169</v>
      </c>
      <c r="JW46">
        <v>617</v>
      </c>
      <c r="JX46">
        <v>140</v>
      </c>
      <c r="JY46">
        <v>56</v>
      </c>
      <c r="JZ46">
        <v>190</v>
      </c>
      <c r="KA46">
        <v>51</v>
      </c>
      <c r="KB46">
        <v>127</v>
      </c>
      <c r="KC46">
        <v>331</v>
      </c>
      <c r="KD46">
        <v>133</v>
      </c>
      <c r="KH46">
        <v>175</v>
      </c>
      <c r="KJ46">
        <v>3</v>
      </c>
      <c r="KK46">
        <v>22</v>
      </c>
      <c r="KL46">
        <v>66</v>
      </c>
      <c r="KM46">
        <v>109</v>
      </c>
      <c r="KN46">
        <v>0</v>
      </c>
      <c r="KO46">
        <v>3</v>
      </c>
      <c r="KP46">
        <v>0</v>
      </c>
      <c r="KQ46">
        <v>2</v>
      </c>
      <c r="KR46">
        <v>8</v>
      </c>
      <c r="KS46">
        <v>2</v>
      </c>
      <c r="KU46">
        <v>0</v>
      </c>
      <c r="KW46">
        <v>9</v>
      </c>
      <c r="KX46">
        <v>58</v>
      </c>
      <c r="KZ46">
        <v>21</v>
      </c>
      <c r="LB46">
        <v>1</v>
      </c>
      <c r="LC46">
        <v>66</v>
      </c>
      <c r="LD46">
        <v>79</v>
      </c>
      <c r="LE46">
        <v>3</v>
      </c>
      <c r="LF46">
        <v>1</v>
      </c>
      <c r="LK46">
        <v>1</v>
      </c>
      <c r="LL46">
        <v>0</v>
      </c>
      <c r="LM46">
        <v>123</v>
      </c>
      <c r="LN46">
        <v>3</v>
      </c>
      <c r="LO46">
        <v>53</v>
      </c>
      <c r="LR46">
        <v>10</v>
      </c>
      <c r="LS46">
        <v>1</v>
      </c>
      <c r="LT46">
        <v>22</v>
      </c>
      <c r="LU46">
        <v>2</v>
      </c>
      <c r="LV46">
        <v>2</v>
      </c>
      <c r="LW46">
        <v>25</v>
      </c>
      <c r="LX46">
        <v>11</v>
      </c>
      <c r="LY46">
        <v>2</v>
      </c>
      <c r="LZ46">
        <v>33</v>
      </c>
      <c r="MA46">
        <v>13</v>
      </c>
      <c r="MB46">
        <v>2</v>
      </c>
      <c r="MC46">
        <v>7</v>
      </c>
      <c r="MD46">
        <v>3</v>
      </c>
      <c r="ME46">
        <v>6</v>
      </c>
      <c r="MF46">
        <v>0</v>
      </c>
      <c r="MG46">
        <v>6</v>
      </c>
      <c r="MH46">
        <v>50</v>
      </c>
      <c r="MI46">
        <v>2</v>
      </c>
      <c r="MJ46">
        <v>116</v>
      </c>
      <c r="MK46">
        <v>40</v>
      </c>
      <c r="ML46">
        <v>1</v>
      </c>
      <c r="MM46">
        <v>5</v>
      </c>
      <c r="MN46">
        <v>15</v>
      </c>
      <c r="MO46">
        <v>20</v>
      </c>
      <c r="MQ46">
        <v>10</v>
      </c>
      <c r="MR46">
        <v>1</v>
      </c>
      <c r="MS46">
        <v>17</v>
      </c>
      <c r="MT46">
        <v>30</v>
      </c>
      <c r="MU46">
        <v>5</v>
      </c>
      <c r="MV46">
        <v>55</v>
      </c>
      <c r="MW46">
        <v>0</v>
      </c>
      <c r="MX46">
        <v>1</v>
      </c>
      <c r="MY46">
        <v>22</v>
      </c>
      <c r="MZ46">
        <v>52</v>
      </c>
      <c r="NA46">
        <v>3</v>
      </c>
      <c r="NB46">
        <v>1</v>
      </c>
      <c r="NC46">
        <v>1</v>
      </c>
      <c r="ND46">
        <v>13</v>
      </c>
      <c r="NE46">
        <v>69</v>
      </c>
      <c r="NJ46">
        <v>0</v>
      </c>
      <c r="NL46">
        <v>0</v>
      </c>
      <c r="NM46">
        <v>7</v>
      </c>
      <c r="NN46">
        <v>664</v>
      </c>
      <c r="NO46">
        <v>61</v>
      </c>
      <c r="NP46">
        <v>69</v>
      </c>
      <c r="NR46">
        <v>8</v>
      </c>
      <c r="NS46">
        <v>5</v>
      </c>
      <c r="NT46">
        <v>5</v>
      </c>
      <c r="NV46">
        <v>17</v>
      </c>
      <c r="NW46">
        <v>0</v>
      </c>
      <c r="NX46">
        <v>0</v>
      </c>
      <c r="NY46">
        <v>3</v>
      </c>
      <c r="NZ46">
        <v>42</v>
      </c>
      <c r="OA46">
        <v>12</v>
      </c>
      <c r="OB46">
        <v>35</v>
      </c>
      <c r="OD46">
        <v>15</v>
      </c>
      <c r="OE46">
        <v>44</v>
      </c>
      <c r="OG46">
        <v>1</v>
      </c>
      <c r="OH46">
        <v>4</v>
      </c>
      <c r="OI46">
        <v>1005</v>
      </c>
      <c r="OJ46">
        <v>22</v>
      </c>
      <c r="OK46">
        <v>387</v>
      </c>
      <c r="OO46">
        <v>22631</v>
      </c>
      <c r="OP46">
        <v>6760</v>
      </c>
      <c r="OS46">
        <v>9663</v>
      </c>
      <c r="OT46">
        <v>619</v>
      </c>
      <c r="OU46">
        <v>115</v>
      </c>
      <c r="OV46">
        <v>918</v>
      </c>
      <c r="PB46">
        <v>20</v>
      </c>
      <c r="PI46">
        <v>40727</v>
      </c>
      <c r="PM46" t="str">
        <f>IFERROR(VLOOKUP($A46&amp;"",Key!$A:$C,3,FALSE),"")</f>
        <v>ISIC 16</v>
      </c>
    </row>
    <row r="47" spans="1:429" x14ac:dyDescent="0.25">
      <c r="A47">
        <v>327100</v>
      </c>
      <c r="B47" t="s">
        <v>181</v>
      </c>
      <c r="Z47">
        <v>0</v>
      </c>
      <c r="AA47">
        <v>1185</v>
      </c>
      <c r="AB47">
        <v>1213</v>
      </c>
      <c r="AC47">
        <v>524</v>
      </c>
      <c r="AD47">
        <v>263</v>
      </c>
      <c r="AE47">
        <v>1411</v>
      </c>
      <c r="AF47">
        <v>370</v>
      </c>
      <c r="AG47">
        <v>1906</v>
      </c>
      <c r="AH47">
        <v>523</v>
      </c>
      <c r="AI47">
        <v>558</v>
      </c>
      <c r="AJ47">
        <v>469</v>
      </c>
      <c r="AK47">
        <v>1210</v>
      </c>
      <c r="AL47">
        <v>789</v>
      </c>
      <c r="AP47">
        <v>7</v>
      </c>
      <c r="AQ47">
        <v>733</v>
      </c>
      <c r="AR47">
        <v>115</v>
      </c>
      <c r="AS47">
        <v>66</v>
      </c>
      <c r="AT47">
        <v>53</v>
      </c>
      <c r="AU47">
        <v>10</v>
      </c>
      <c r="AV47">
        <v>19</v>
      </c>
      <c r="AW47">
        <v>15</v>
      </c>
      <c r="AY47">
        <v>82</v>
      </c>
      <c r="BB47">
        <v>1</v>
      </c>
      <c r="BC47">
        <v>463</v>
      </c>
      <c r="BD47">
        <v>82</v>
      </c>
      <c r="BH47">
        <v>164</v>
      </c>
      <c r="BI47">
        <v>8</v>
      </c>
      <c r="BK47">
        <v>29</v>
      </c>
      <c r="BQ47">
        <v>13</v>
      </c>
      <c r="BS47">
        <v>31</v>
      </c>
      <c r="BT47">
        <v>17</v>
      </c>
      <c r="BX47">
        <v>8</v>
      </c>
      <c r="BZ47">
        <v>24</v>
      </c>
      <c r="CF47">
        <v>4</v>
      </c>
      <c r="CQ47">
        <v>1</v>
      </c>
      <c r="CZ47">
        <v>58</v>
      </c>
      <c r="DK47">
        <v>10</v>
      </c>
      <c r="DO47">
        <v>15</v>
      </c>
      <c r="EG47">
        <v>20</v>
      </c>
      <c r="EH47">
        <v>3</v>
      </c>
      <c r="EI47">
        <v>52</v>
      </c>
      <c r="EJ47">
        <v>1</v>
      </c>
      <c r="EQ47">
        <v>0</v>
      </c>
      <c r="ER47">
        <v>9</v>
      </c>
      <c r="EX47">
        <v>10</v>
      </c>
      <c r="EY47">
        <v>10</v>
      </c>
      <c r="EZ47">
        <v>10</v>
      </c>
      <c r="FC47">
        <v>177</v>
      </c>
      <c r="FD47">
        <v>39</v>
      </c>
      <c r="FZ47">
        <v>8</v>
      </c>
      <c r="GB47">
        <v>7</v>
      </c>
      <c r="GG47">
        <v>5</v>
      </c>
      <c r="IE47">
        <v>3</v>
      </c>
      <c r="II47">
        <v>3</v>
      </c>
      <c r="IM47">
        <v>11</v>
      </c>
      <c r="JG47">
        <v>129</v>
      </c>
      <c r="JV47">
        <v>67</v>
      </c>
      <c r="JW47">
        <v>21</v>
      </c>
      <c r="JX47">
        <v>17</v>
      </c>
      <c r="JY47">
        <v>11</v>
      </c>
      <c r="KB47">
        <v>7</v>
      </c>
      <c r="KC47">
        <v>67</v>
      </c>
      <c r="KD47">
        <v>39</v>
      </c>
      <c r="KK47">
        <v>1</v>
      </c>
      <c r="KV47">
        <v>484</v>
      </c>
      <c r="KW47">
        <v>1222</v>
      </c>
      <c r="KX47">
        <v>75</v>
      </c>
      <c r="KZ47">
        <v>36</v>
      </c>
      <c r="LK47">
        <v>2</v>
      </c>
      <c r="LW47">
        <v>132</v>
      </c>
      <c r="LZ47">
        <v>58</v>
      </c>
      <c r="MF47">
        <v>1</v>
      </c>
      <c r="MG47">
        <v>0</v>
      </c>
      <c r="MP47">
        <v>8</v>
      </c>
      <c r="MQ47">
        <v>2</v>
      </c>
      <c r="MR47">
        <v>0</v>
      </c>
      <c r="MU47">
        <v>18</v>
      </c>
      <c r="MW47">
        <v>0</v>
      </c>
      <c r="MZ47">
        <v>1114</v>
      </c>
      <c r="NA47">
        <v>55</v>
      </c>
      <c r="NB47">
        <v>7</v>
      </c>
      <c r="NC47">
        <v>5</v>
      </c>
      <c r="ND47">
        <v>16</v>
      </c>
      <c r="NE47">
        <v>5</v>
      </c>
      <c r="NM47">
        <v>28</v>
      </c>
      <c r="NN47">
        <v>2</v>
      </c>
      <c r="NO47">
        <v>193</v>
      </c>
      <c r="NP47">
        <v>73</v>
      </c>
      <c r="NQ47">
        <v>22</v>
      </c>
      <c r="NR47">
        <v>0</v>
      </c>
      <c r="NT47">
        <v>2</v>
      </c>
      <c r="NZ47">
        <v>1</v>
      </c>
      <c r="OB47">
        <v>16</v>
      </c>
      <c r="OD47">
        <v>60</v>
      </c>
      <c r="OE47">
        <v>73</v>
      </c>
      <c r="OI47">
        <v>81</v>
      </c>
      <c r="OJ47">
        <v>25</v>
      </c>
      <c r="OK47">
        <v>1</v>
      </c>
      <c r="OM47">
        <v>2</v>
      </c>
      <c r="ON47">
        <v>74</v>
      </c>
      <c r="OO47">
        <v>17071</v>
      </c>
      <c r="OP47">
        <v>4685</v>
      </c>
      <c r="OU47">
        <v>135</v>
      </c>
      <c r="OV47">
        <v>1990</v>
      </c>
      <c r="PI47">
        <v>23880</v>
      </c>
      <c r="PM47" t="str">
        <f>IFERROR(VLOOKUP($A47&amp;"",Key!$A:$C,3,FALSE),"")</f>
        <v>ISIC 239</v>
      </c>
    </row>
    <row r="48" spans="1:429" x14ac:dyDescent="0.25">
      <c r="A48">
        <v>327200</v>
      </c>
      <c r="B48" t="s">
        <v>182</v>
      </c>
      <c r="O48">
        <v>0</v>
      </c>
      <c r="AA48">
        <v>128</v>
      </c>
      <c r="AB48">
        <v>1313</v>
      </c>
      <c r="AC48">
        <v>102</v>
      </c>
      <c r="AD48">
        <v>39</v>
      </c>
      <c r="AE48">
        <v>2443</v>
      </c>
      <c r="AF48">
        <v>159</v>
      </c>
      <c r="AG48">
        <v>270</v>
      </c>
      <c r="AH48">
        <v>35</v>
      </c>
      <c r="AI48">
        <v>235</v>
      </c>
      <c r="AK48">
        <v>157</v>
      </c>
      <c r="AL48">
        <v>70</v>
      </c>
      <c r="AO48">
        <v>251</v>
      </c>
      <c r="AP48">
        <v>14</v>
      </c>
      <c r="AQ48">
        <v>12</v>
      </c>
      <c r="AR48">
        <v>3058</v>
      </c>
      <c r="AS48">
        <v>28</v>
      </c>
      <c r="AT48">
        <v>206</v>
      </c>
      <c r="AU48">
        <v>30</v>
      </c>
      <c r="AV48">
        <v>43</v>
      </c>
      <c r="AW48">
        <v>11</v>
      </c>
      <c r="BA48">
        <v>597</v>
      </c>
      <c r="BB48">
        <v>4</v>
      </c>
      <c r="BD48">
        <v>17</v>
      </c>
      <c r="BK48">
        <v>5</v>
      </c>
      <c r="BR48">
        <v>430</v>
      </c>
      <c r="BV48">
        <v>5</v>
      </c>
      <c r="BX48">
        <v>32</v>
      </c>
      <c r="CF48">
        <v>15</v>
      </c>
      <c r="CM48">
        <v>151</v>
      </c>
      <c r="CO48">
        <v>5</v>
      </c>
      <c r="DO48">
        <v>102</v>
      </c>
      <c r="DP48">
        <v>4</v>
      </c>
      <c r="DQ48">
        <v>32</v>
      </c>
      <c r="DS48">
        <v>6</v>
      </c>
      <c r="DU48">
        <v>26</v>
      </c>
      <c r="DV48">
        <v>4</v>
      </c>
      <c r="DW48">
        <v>19</v>
      </c>
      <c r="DX48">
        <v>57</v>
      </c>
      <c r="DZ48">
        <v>52</v>
      </c>
      <c r="EC48">
        <v>58</v>
      </c>
      <c r="ED48">
        <v>11</v>
      </c>
      <c r="EM48">
        <v>1155</v>
      </c>
      <c r="EQ48">
        <v>2058</v>
      </c>
      <c r="ER48">
        <v>1546</v>
      </c>
      <c r="ES48">
        <v>255</v>
      </c>
      <c r="ET48">
        <v>230</v>
      </c>
      <c r="EU48">
        <v>2</v>
      </c>
      <c r="EV48">
        <v>15</v>
      </c>
      <c r="EW48">
        <v>73</v>
      </c>
      <c r="EX48">
        <v>46</v>
      </c>
      <c r="EY48">
        <v>44</v>
      </c>
      <c r="EZ48">
        <v>34</v>
      </c>
      <c r="FC48">
        <v>519</v>
      </c>
      <c r="FD48">
        <v>168</v>
      </c>
      <c r="FK48">
        <v>274</v>
      </c>
      <c r="FL48">
        <v>111</v>
      </c>
      <c r="FQ48">
        <v>13</v>
      </c>
      <c r="FR48">
        <v>63</v>
      </c>
      <c r="FS48">
        <v>2</v>
      </c>
      <c r="FT48">
        <v>25</v>
      </c>
      <c r="FU48">
        <v>44</v>
      </c>
      <c r="FV48">
        <v>88</v>
      </c>
      <c r="FX48">
        <v>4</v>
      </c>
      <c r="FY48">
        <v>73</v>
      </c>
      <c r="FZ48">
        <v>10</v>
      </c>
      <c r="GA48">
        <v>6</v>
      </c>
      <c r="GB48">
        <v>9</v>
      </c>
      <c r="GM48">
        <v>2</v>
      </c>
      <c r="GP48">
        <v>6</v>
      </c>
      <c r="GR48">
        <v>163</v>
      </c>
      <c r="GS48">
        <v>74</v>
      </c>
      <c r="GT48">
        <v>142</v>
      </c>
      <c r="GU48">
        <v>31</v>
      </c>
      <c r="HA48">
        <v>9</v>
      </c>
      <c r="HB48">
        <v>146</v>
      </c>
      <c r="HC48">
        <v>49</v>
      </c>
      <c r="HD48">
        <v>0</v>
      </c>
      <c r="HE48">
        <v>87</v>
      </c>
      <c r="HF48">
        <v>23</v>
      </c>
      <c r="HG48">
        <v>115</v>
      </c>
      <c r="HH48">
        <v>2195</v>
      </c>
      <c r="HI48">
        <v>895</v>
      </c>
      <c r="HJ48">
        <v>639</v>
      </c>
      <c r="HM48">
        <v>44</v>
      </c>
      <c r="IE48">
        <v>4</v>
      </c>
      <c r="IF48">
        <v>821</v>
      </c>
      <c r="II48">
        <v>2</v>
      </c>
      <c r="IK48">
        <v>6</v>
      </c>
      <c r="IL48">
        <v>21</v>
      </c>
      <c r="IM48">
        <v>87</v>
      </c>
      <c r="IO48">
        <v>23</v>
      </c>
      <c r="IP48">
        <v>22</v>
      </c>
      <c r="IQ48">
        <v>41</v>
      </c>
      <c r="IR48">
        <v>228</v>
      </c>
      <c r="IT48">
        <v>1</v>
      </c>
      <c r="IV48">
        <v>2</v>
      </c>
      <c r="IX48">
        <v>150</v>
      </c>
      <c r="IZ48">
        <v>343</v>
      </c>
      <c r="JA48">
        <v>1</v>
      </c>
      <c r="JB48">
        <v>67</v>
      </c>
      <c r="JC48">
        <v>40</v>
      </c>
      <c r="JD48">
        <v>19</v>
      </c>
      <c r="JE48">
        <v>52</v>
      </c>
      <c r="JG48">
        <v>729</v>
      </c>
      <c r="JL48">
        <v>0</v>
      </c>
      <c r="JN48">
        <v>2</v>
      </c>
      <c r="JO48">
        <v>1</v>
      </c>
      <c r="JP48">
        <v>1</v>
      </c>
      <c r="JQ48">
        <v>21</v>
      </c>
      <c r="JS48">
        <v>38</v>
      </c>
      <c r="JV48">
        <v>53</v>
      </c>
      <c r="JW48">
        <v>47</v>
      </c>
      <c r="JZ48">
        <v>0</v>
      </c>
      <c r="KC48">
        <v>45</v>
      </c>
      <c r="KH48">
        <v>31</v>
      </c>
      <c r="KI48">
        <v>0</v>
      </c>
      <c r="KK48">
        <v>10</v>
      </c>
      <c r="KL48">
        <v>22</v>
      </c>
      <c r="KM48">
        <v>12</v>
      </c>
      <c r="KO48">
        <v>0</v>
      </c>
      <c r="KP48">
        <v>0</v>
      </c>
      <c r="KQ48">
        <v>2</v>
      </c>
      <c r="KR48">
        <v>3</v>
      </c>
      <c r="KS48">
        <v>2</v>
      </c>
      <c r="KW48">
        <v>56</v>
      </c>
      <c r="KX48">
        <v>324</v>
      </c>
      <c r="KZ48">
        <v>3</v>
      </c>
      <c r="LC48">
        <v>40</v>
      </c>
      <c r="LD48">
        <v>43</v>
      </c>
      <c r="LE48">
        <v>27</v>
      </c>
      <c r="LF48">
        <v>18</v>
      </c>
      <c r="LI48">
        <v>23</v>
      </c>
      <c r="LN48">
        <v>39</v>
      </c>
      <c r="LO48">
        <v>5</v>
      </c>
      <c r="LP48">
        <v>5</v>
      </c>
      <c r="LQ48">
        <v>56</v>
      </c>
      <c r="LR48">
        <v>1</v>
      </c>
      <c r="LU48">
        <v>2</v>
      </c>
      <c r="LW48">
        <v>51</v>
      </c>
      <c r="LX48">
        <v>17</v>
      </c>
      <c r="LY48">
        <v>574</v>
      </c>
      <c r="LZ48">
        <v>884</v>
      </c>
      <c r="MA48">
        <v>27</v>
      </c>
      <c r="MB48">
        <v>270</v>
      </c>
      <c r="ME48">
        <v>4</v>
      </c>
      <c r="MF48">
        <v>59</v>
      </c>
      <c r="MG48">
        <v>0</v>
      </c>
      <c r="MH48">
        <v>73</v>
      </c>
      <c r="MI48">
        <v>97</v>
      </c>
      <c r="MJ48">
        <v>33</v>
      </c>
      <c r="MK48">
        <v>34</v>
      </c>
      <c r="MN48">
        <v>19</v>
      </c>
      <c r="MO48">
        <v>10</v>
      </c>
      <c r="MP48">
        <v>22</v>
      </c>
      <c r="MQ48">
        <v>17</v>
      </c>
      <c r="MR48">
        <v>70</v>
      </c>
      <c r="MS48">
        <v>971</v>
      </c>
      <c r="MT48">
        <v>519</v>
      </c>
      <c r="MU48">
        <v>167</v>
      </c>
      <c r="MV48">
        <v>32</v>
      </c>
      <c r="MW48">
        <v>46</v>
      </c>
      <c r="MX48">
        <v>1247</v>
      </c>
      <c r="MY48">
        <v>20</v>
      </c>
      <c r="MZ48">
        <v>1468</v>
      </c>
      <c r="NA48">
        <v>148</v>
      </c>
      <c r="NB48">
        <v>20</v>
      </c>
      <c r="NC48">
        <v>3</v>
      </c>
      <c r="ND48">
        <v>4</v>
      </c>
      <c r="NE48">
        <v>1</v>
      </c>
      <c r="NH48">
        <v>5</v>
      </c>
      <c r="NM48">
        <v>9</v>
      </c>
      <c r="NN48">
        <v>161</v>
      </c>
      <c r="NO48">
        <v>88</v>
      </c>
      <c r="NP48">
        <v>718</v>
      </c>
      <c r="NQ48">
        <v>232</v>
      </c>
      <c r="NR48">
        <v>422</v>
      </c>
      <c r="NS48">
        <v>2</v>
      </c>
      <c r="NT48">
        <v>3</v>
      </c>
      <c r="NU48">
        <v>2</v>
      </c>
      <c r="NV48">
        <v>6</v>
      </c>
      <c r="NW48">
        <v>0</v>
      </c>
      <c r="NX48">
        <v>0</v>
      </c>
      <c r="NZ48">
        <v>10</v>
      </c>
      <c r="OB48">
        <v>21</v>
      </c>
      <c r="OD48">
        <v>6</v>
      </c>
      <c r="OE48">
        <v>623</v>
      </c>
      <c r="OI48">
        <v>61</v>
      </c>
      <c r="OJ48">
        <v>89</v>
      </c>
      <c r="OK48">
        <v>174</v>
      </c>
      <c r="ON48">
        <v>1</v>
      </c>
      <c r="OO48">
        <v>34848</v>
      </c>
      <c r="OP48">
        <v>10837</v>
      </c>
      <c r="OU48">
        <v>333</v>
      </c>
      <c r="OV48">
        <v>5131</v>
      </c>
      <c r="PI48">
        <v>51149</v>
      </c>
      <c r="PM48" t="str">
        <f>IFERROR(VLOOKUP($A48&amp;"",Key!$A:$C,3,FALSE),"")</f>
        <v>ISIC 231</v>
      </c>
    </row>
    <row r="49" spans="1:429" x14ac:dyDescent="0.25">
      <c r="A49">
        <v>327310</v>
      </c>
      <c r="B49" t="s">
        <v>183</v>
      </c>
      <c r="N49">
        <v>1</v>
      </c>
      <c r="P49">
        <v>658</v>
      </c>
      <c r="Q49">
        <v>1</v>
      </c>
      <c r="R49">
        <v>1</v>
      </c>
      <c r="V49">
        <v>101</v>
      </c>
      <c r="W49">
        <v>399</v>
      </c>
      <c r="Z49">
        <v>0</v>
      </c>
      <c r="AA49">
        <v>35</v>
      </c>
      <c r="AB49">
        <v>106</v>
      </c>
      <c r="AC49">
        <v>314</v>
      </c>
      <c r="AD49">
        <v>96</v>
      </c>
      <c r="AE49">
        <v>173</v>
      </c>
      <c r="AF49">
        <v>47</v>
      </c>
      <c r="AG49">
        <v>239</v>
      </c>
      <c r="AH49">
        <v>24</v>
      </c>
      <c r="AI49">
        <v>108</v>
      </c>
      <c r="AJ49">
        <v>126</v>
      </c>
      <c r="AK49">
        <v>298</v>
      </c>
      <c r="AL49">
        <v>135</v>
      </c>
      <c r="AS49">
        <v>111</v>
      </c>
      <c r="AT49">
        <v>6908</v>
      </c>
      <c r="AU49">
        <v>581</v>
      </c>
      <c r="AV49">
        <v>657</v>
      </c>
      <c r="AW49">
        <v>27</v>
      </c>
      <c r="AZ49">
        <v>13</v>
      </c>
      <c r="BA49">
        <v>3</v>
      </c>
      <c r="BB49">
        <v>783</v>
      </c>
      <c r="CZ49">
        <v>39</v>
      </c>
      <c r="DK49">
        <v>1</v>
      </c>
      <c r="DO49">
        <v>4</v>
      </c>
      <c r="FC49">
        <v>40</v>
      </c>
      <c r="JG49">
        <v>53</v>
      </c>
      <c r="JK49">
        <v>0</v>
      </c>
      <c r="JL49">
        <v>0</v>
      </c>
      <c r="JM49">
        <v>0</v>
      </c>
      <c r="JN49">
        <v>0</v>
      </c>
      <c r="JR49">
        <v>0</v>
      </c>
      <c r="JT49">
        <v>0</v>
      </c>
      <c r="JY49">
        <v>1</v>
      </c>
      <c r="KB49">
        <v>1</v>
      </c>
      <c r="KC49">
        <v>1</v>
      </c>
      <c r="KD49">
        <v>2</v>
      </c>
      <c r="KF49">
        <v>16</v>
      </c>
      <c r="KW49">
        <v>3</v>
      </c>
      <c r="KX49">
        <v>19</v>
      </c>
      <c r="KZ49">
        <v>23</v>
      </c>
      <c r="LK49">
        <v>0</v>
      </c>
      <c r="LO49">
        <v>22</v>
      </c>
      <c r="LW49">
        <v>92</v>
      </c>
      <c r="LZ49">
        <v>10</v>
      </c>
      <c r="MQ49">
        <v>1</v>
      </c>
      <c r="MS49">
        <v>7</v>
      </c>
      <c r="MY49">
        <v>1</v>
      </c>
      <c r="MZ49">
        <v>6</v>
      </c>
      <c r="NC49">
        <v>3</v>
      </c>
      <c r="ND49">
        <v>4</v>
      </c>
      <c r="NE49">
        <v>4</v>
      </c>
      <c r="NM49">
        <v>5</v>
      </c>
      <c r="NO49">
        <v>23</v>
      </c>
      <c r="NP49">
        <v>10</v>
      </c>
      <c r="NQ49">
        <v>4</v>
      </c>
      <c r="OB49">
        <v>3</v>
      </c>
      <c r="OL49">
        <v>7</v>
      </c>
      <c r="ON49">
        <v>15</v>
      </c>
      <c r="OO49">
        <v>12368</v>
      </c>
      <c r="OU49">
        <v>45</v>
      </c>
      <c r="OV49">
        <v>163</v>
      </c>
      <c r="PI49">
        <v>12575</v>
      </c>
      <c r="PM49" t="str">
        <f>IFERROR(VLOOKUP($A49&amp;"",Key!$A:$C,3,FALSE),"")</f>
        <v>ISIC 239</v>
      </c>
    </row>
    <row r="50" spans="1:429" x14ac:dyDescent="0.25">
      <c r="A50">
        <v>327320</v>
      </c>
      <c r="B50" t="s">
        <v>184</v>
      </c>
      <c r="M50">
        <v>44</v>
      </c>
      <c r="O50">
        <v>28</v>
      </c>
      <c r="Q50">
        <v>29</v>
      </c>
      <c r="X50">
        <v>2</v>
      </c>
      <c r="Z50">
        <v>0</v>
      </c>
      <c r="AA50">
        <v>66</v>
      </c>
      <c r="AB50">
        <v>19</v>
      </c>
      <c r="AC50">
        <v>3530</v>
      </c>
      <c r="AD50">
        <v>2339</v>
      </c>
      <c r="AE50">
        <v>2206</v>
      </c>
      <c r="AF50">
        <v>5590</v>
      </c>
      <c r="AG50">
        <v>13567</v>
      </c>
      <c r="AH50">
        <v>2128</v>
      </c>
      <c r="AI50">
        <v>2086</v>
      </c>
      <c r="AJ50">
        <v>983</v>
      </c>
      <c r="AK50">
        <v>7337</v>
      </c>
      <c r="AL50">
        <v>4707</v>
      </c>
      <c r="AT50">
        <v>339</v>
      </c>
      <c r="AU50">
        <v>84</v>
      </c>
      <c r="AV50">
        <v>480</v>
      </c>
      <c r="CZ50">
        <v>9</v>
      </c>
      <c r="FA50">
        <v>10</v>
      </c>
      <c r="FC50">
        <v>23</v>
      </c>
      <c r="GG50">
        <v>12</v>
      </c>
      <c r="JG50">
        <v>10</v>
      </c>
      <c r="JK50">
        <v>0</v>
      </c>
      <c r="JL50">
        <v>5</v>
      </c>
      <c r="JM50">
        <v>1</v>
      </c>
      <c r="JN50">
        <v>1</v>
      </c>
      <c r="JO50">
        <v>32</v>
      </c>
      <c r="JR50">
        <v>0</v>
      </c>
      <c r="JT50">
        <v>0</v>
      </c>
      <c r="JY50">
        <v>60</v>
      </c>
      <c r="KB50">
        <v>10</v>
      </c>
      <c r="KC50">
        <v>158</v>
      </c>
      <c r="KD50">
        <v>66</v>
      </c>
      <c r="KF50">
        <v>0</v>
      </c>
      <c r="KO50">
        <v>0</v>
      </c>
      <c r="KP50">
        <v>0</v>
      </c>
      <c r="KQ50">
        <v>0</v>
      </c>
      <c r="KR50">
        <v>0</v>
      </c>
      <c r="KW50">
        <v>40</v>
      </c>
      <c r="KX50">
        <v>254</v>
      </c>
      <c r="KY50">
        <v>9</v>
      </c>
      <c r="KZ50">
        <v>416</v>
      </c>
      <c r="LK50">
        <v>151</v>
      </c>
      <c r="LL50">
        <v>24</v>
      </c>
      <c r="LM50">
        <v>110</v>
      </c>
      <c r="LO50">
        <v>250</v>
      </c>
      <c r="LR50">
        <v>0</v>
      </c>
      <c r="LW50">
        <v>736</v>
      </c>
      <c r="LZ50">
        <v>240</v>
      </c>
      <c r="MF50">
        <v>5</v>
      </c>
      <c r="MP50">
        <v>0</v>
      </c>
      <c r="MQ50">
        <v>10</v>
      </c>
      <c r="MR50">
        <v>0</v>
      </c>
      <c r="MS50">
        <v>111</v>
      </c>
      <c r="MY50">
        <v>2</v>
      </c>
      <c r="MZ50">
        <v>34</v>
      </c>
      <c r="NA50">
        <v>0</v>
      </c>
      <c r="NB50">
        <v>0</v>
      </c>
      <c r="NC50">
        <v>45</v>
      </c>
      <c r="ND50">
        <v>115</v>
      </c>
      <c r="NE50">
        <v>51</v>
      </c>
      <c r="NF50">
        <v>3</v>
      </c>
      <c r="NM50">
        <v>63</v>
      </c>
      <c r="NO50">
        <v>132</v>
      </c>
      <c r="NP50">
        <v>32</v>
      </c>
      <c r="NQ50">
        <v>10</v>
      </c>
      <c r="NR50">
        <v>1</v>
      </c>
      <c r="NS50">
        <v>0</v>
      </c>
      <c r="NT50">
        <v>5</v>
      </c>
      <c r="NU50">
        <v>1</v>
      </c>
      <c r="NZ50">
        <v>22</v>
      </c>
      <c r="OB50">
        <v>35</v>
      </c>
      <c r="OD50">
        <v>0</v>
      </c>
      <c r="OE50">
        <v>17</v>
      </c>
      <c r="OI50">
        <v>36</v>
      </c>
      <c r="OK50">
        <v>446</v>
      </c>
      <c r="OL50">
        <v>107</v>
      </c>
      <c r="ON50">
        <v>1481</v>
      </c>
      <c r="OO50">
        <v>50962</v>
      </c>
      <c r="OU50">
        <v>143</v>
      </c>
      <c r="OV50">
        <v>92</v>
      </c>
      <c r="PI50">
        <v>51196</v>
      </c>
      <c r="PM50" t="str">
        <f>IFERROR(VLOOKUP($A50&amp;"",Key!$A:$C,3,FALSE),"")</f>
        <v>ISIC 239</v>
      </c>
    </row>
    <row r="51" spans="1:429" x14ac:dyDescent="0.25">
      <c r="A51">
        <v>327330</v>
      </c>
      <c r="B51" t="s">
        <v>185</v>
      </c>
      <c r="C51">
        <v>1</v>
      </c>
      <c r="H51">
        <v>33</v>
      </c>
      <c r="Q51">
        <v>11</v>
      </c>
      <c r="Z51">
        <v>0</v>
      </c>
      <c r="AA51">
        <v>25</v>
      </c>
      <c r="AB51">
        <v>59</v>
      </c>
      <c r="AC51">
        <v>713</v>
      </c>
      <c r="AD51">
        <v>363</v>
      </c>
      <c r="AE51">
        <v>954</v>
      </c>
      <c r="AF51">
        <v>403</v>
      </c>
      <c r="AG51">
        <v>1704</v>
      </c>
      <c r="AH51">
        <v>78</v>
      </c>
      <c r="AI51">
        <v>650</v>
      </c>
      <c r="AJ51">
        <v>56</v>
      </c>
      <c r="AK51">
        <v>2002</v>
      </c>
      <c r="AL51">
        <v>453</v>
      </c>
      <c r="AU51">
        <v>13</v>
      </c>
      <c r="DK51">
        <v>4</v>
      </c>
      <c r="DO51">
        <v>23</v>
      </c>
      <c r="FC51">
        <v>147</v>
      </c>
      <c r="JG51">
        <v>281</v>
      </c>
      <c r="JK51">
        <v>0</v>
      </c>
      <c r="JL51">
        <v>1</v>
      </c>
      <c r="JM51">
        <v>0</v>
      </c>
      <c r="JN51">
        <v>0</v>
      </c>
      <c r="JR51">
        <v>0</v>
      </c>
      <c r="JT51">
        <v>0</v>
      </c>
      <c r="JV51">
        <v>29</v>
      </c>
      <c r="JY51">
        <v>2</v>
      </c>
      <c r="KB51">
        <v>13</v>
      </c>
      <c r="KC51">
        <v>76</v>
      </c>
      <c r="KD51">
        <v>41</v>
      </c>
      <c r="KF51">
        <v>1</v>
      </c>
      <c r="KW51">
        <v>21</v>
      </c>
      <c r="KX51">
        <v>137</v>
      </c>
      <c r="KY51">
        <v>3</v>
      </c>
      <c r="KZ51">
        <v>57</v>
      </c>
      <c r="LK51">
        <v>1</v>
      </c>
      <c r="LL51">
        <v>4</v>
      </c>
      <c r="LW51">
        <v>585</v>
      </c>
      <c r="LZ51">
        <v>62</v>
      </c>
      <c r="MF51">
        <v>1</v>
      </c>
      <c r="MO51">
        <v>0</v>
      </c>
      <c r="MP51">
        <v>1</v>
      </c>
      <c r="MQ51">
        <v>6</v>
      </c>
      <c r="MR51">
        <v>0</v>
      </c>
      <c r="MS51">
        <v>20</v>
      </c>
      <c r="MU51">
        <v>40</v>
      </c>
      <c r="MZ51">
        <v>17</v>
      </c>
      <c r="NA51">
        <v>0</v>
      </c>
      <c r="NC51">
        <v>7</v>
      </c>
      <c r="ND51">
        <v>16</v>
      </c>
      <c r="NE51">
        <v>9</v>
      </c>
      <c r="NF51">
        <v>2</v>
      </c>
      <c r="NM51">
        <v>21</v>
      </c>
      <c r="NN51">
        <v>2</v>
      </c>
      <c r="NO51">
        <v>74</v>
      </c>
      <c r="NP51">
        <v>136</v>
      </c>
      <c r="NQ51">
        <v>39</v>
      </c>
      <c r="OB51">
        <v>31</v>
      </c>
      <c r="OI51">
        <v>6</v>
      </c>
      <c r="OK51">
        <v>52</v>
      </c>
      <c r="OL51">
        <v>9</v>
      </c>
      <c r="ON51">
        <v>379</v>
      </c>
      <c r="OO51">
        <v>9872</v>
      </c>
      <c r="OU51">
        <v>22</v>
      </c>
      <c r="OV51">
        <v>46</v>
      </c>
      <c r="PI51">
        <v>9940</v>
      </c>
      <c r="PM51" t="str">
        <f>IFERROR(VLOOKUP($A51&amp;"",Key!$A:$C,3,FALSE),"")</f>
        <v>ISIC 239</v>
      </c>
    </row>
    <row r="52" spans="1:429" x14ac:dyDescent="0.25">
      <c r="A52">
        <v>327390</v>
      </c>
      <c r="B52" t="s">
        <v>186</v>
      </c>
      <c r="Q52">
        <v>0</v>
      </c>
      <c r="X52">
        <v>77</v>
      </c>
      <c r="Z52">
        <v>1</v>
      </c>
      <c r="AA52">
        <v>52</v>
      </c>
      <c r="AB52">
        <v>61</v>
      </c>
      <c r="AC52">
        <v>894</v>
      </c>
      <c r="AD52">
        <v>268</v>
      </c>
      <c r="AE52">
        <v>3140</v>
      </c>
      <c r="AF52">
        <v>1803</v>
      </c>
      <c r="AG52">
        <v>644</v>
      </c>
      <c r="AH52">
        <v>664</v>
      </c>
      <c r="AI52">
        <v>1463</v>
      </c>
      <c r="AJ52">
        <v>233</v>
      </c>
      <c r="AK52">
        <v>970</v>
      </c>
      <c r="AL52">
        <v>1968</v>
      </c>
      <c r="AQ52">
        <v>2</v>
      </c>
      <c r="AS52">
        <v>5</v>
      </c>
      <c r="AT52">
        <v>42</v>
      </c>
      <c r="AU52">
        <v>15</v>
      </c>
      <c r="AV52">
        <v>154</v>
      </c>
      <c r="BB52">
        <v>80</v>
      </c>
      <c r="BD52">
        <v>3</v>
      </c>
      <c r="BK52">
        <v>1</v>
      </c>
      <c r="CZ52">
        <v>198</v>
      </c>
      <c r="DK52">
        <v>12</v>
      </c>
      <c r="DO52">
        <v>29</v>
      </c>
      <c r="ER52">
        <v>7</v>
      </c>
      <c r="EX52">
        <v>10</v>
      </c>
      <c r="EY52">
        <v>11</v>
      </c>
      <c r="EZ52">
        <v>7</v>
      </c>
      <c r="FA52">
        <v>45</v>
      </c>
      <c r="FC52">
        <v>157</v>
      </c>
      <c r="FD52">
        <v>35</v>
      </c>
      <c r="FZ52">
        <v>2</v>
      </c>
      <c r="GB52">
        <v>1</v>
      </c>
      <c r="GD52">
        <v>0</v>
      </c>
      <c r="JG52">
        <v>659</v>
      </c>
      <c r="JK52">
        <v>0</v>
      </c>
      <c r="JL52">
        <v>1</v>
      </c>
      <c r="JM52">
        <v>0</v>
      </c>
      <c r="JN52">
        <v>39</v>
      </c>
      <c r="JO52">
        <v>6</v>
      </c>
      <c r="JQ52">
        <v>2</v>
      </c>
      <c r="JR52">
        <v>2</v>
      </c>
      <c r="JS52">
        <v>1</v>
      </c>
      <c r="JT52">
        <v>0</v>
      </c>
      <c r="JV52">
        <v>120</v>
      </c>
      <c r="JW52">
        <v>1</v>
      </c>
      <c r="JX52">
        <v>439</v>
      </c>
      <c r="JY52">
        <v>11</v>
      </c>
      <c r="JZ52">
        <v>0</v>
      </c>
      <c r="KA52">
        <v>1</v>
      </c>
      <c r="KB52">
        <v>25</v>
      </c>
      <c r="KC52">
        <v>72</v>
      </c>
      <c r="KD52">
        <v>67</v>
      </c>
      <c r="KJ52">
        <v>0</v>
      </c>
      <c r="KN52">
        <v>0</v>
      </c>
      <c r="KU52">
        <v>1</v>
      </c>
      <c r="KW52">
        <v>73</v>
      </c>
      <c r="KX52">
        <v>467</v>
      </c>
      <c r="KZ52">
        <v>239</v>
      </c>
      <c r="LB52">
        <v>0</v>
      </c>
      <c r="LM52">
        <v>9</v>
      </c>
      <c r="LO52">
        <v>114</v>
      </c>
      <c r="LR52">
        <v>0</v>
      </c>
      <c r="LT52">
        <v>0</v>
      </c>
      <c r="LV52">
        <v>0</v>
      </c>
      <c r="LW52">
        <v>396</v>
      </c>
      <c r="LX52">
        <v>0</v>
      </c>
      <c r="LZ52">
        <v>128</v>
      </c>
      <c r="MF52">
        <v>6</v>
      </c>
      <c r="MH52">
        <v>129</v>
      </c>
      <c r="MK52">
        <v>1</v>
      </c>
      <c r="MO52">
        <v>208</v>
      </c>
      <c r="MR52">
        <v>0</v>
      </c>
      <c r="MS52">
        <v>5</v>
      </c>
      <c r="MT52">
        <v>2</v>
      </c>
      <c r="MU52">
        <v>54</v>
      </c>
      <c r="MV52">
        <v>1</v>
      </c>
      <c r="MX52">
        <v>0</v>
      </c>
      <c r="MY52">
        <v>4</v>
      </c>
      <c r="MZ52">
        <v>92</v>
      </c>
      <c r="NA52">
        <v>0</v>
      </c>
      <c r="NB52">
        <v>0</v>
      </c>
      <c r="NC52">
        <v>28</v>
      </c>
      <c r="ND52">
        <v>38</v>
      </c>
      <c r="NE52">
        <v>35</v>
      </c>
      <c r="NF52">
        <v>1</v>
      </c>
      <c r="NG52">
        <v>0</v>
      </c>
      <c r="NJ52">
        <v>0</v>
      </c>
      <c r="NK52">
        <v>0</v>
      </c>
      <c r="NL52">
        <v>1</v>
      </c>
      <c r="NM52">
        <v>37</v>
      </c>
      <c r="NN52">
        <v>5</v>
      </c>
      <c r="NO52">
        <v>142</v>
      </c>
      <c r="NP52">
        <v>218</v>
      </c>
      <c r="NQ52">
        <v>63</v>
      </c>
      <c r="NR52">
        <v>0</v>
      </c>
      <c r="NS52">
        <v>0</v>
      </c>
      <c r="NV52">
        <v>2</v>
      </c>
      <c r="NW52">
        <v>684</v>
      </c>
      <c r="OA52">
        <v>0</v>
      </c>
      <c r="OB52">
        <v>68</v>
      </c>
      <c r="OE52">
        <v>0</v>
      </c>
      <c r="OI52">
        <v>0</v>
      </c>
      <c r="OK52">
        <v>204</v>
      </c>
      <c r="OM52">
        <v>35</v>
      </c>
      <c r="ON52">
        <v>681</v>
      </c>
      <c r="OO52">
        <v>18674</v>
      </c>
      <c r="OP52">
        <v>143</v>
      </c>
      <c r="OU52">
        <v>42</v>
      </c>
      <c r="OV52">
        <v>277</v>
      </c>
      <c r="PI52">
        <v>19136</v>
      </c>
      <c r="PM52" t="str">
        <f>IFERROR(VLOOKUP($A52&amp;"",Key!$A:$C,3,FALSE),"")</f>
        <v>ISIC 239</v>
      </c>
    </row>
    <row r="53" spans="1:429" x14ac:dyDescent="0.25">
      <c r="A53">
        <v>327400</v>
      </c>
      <c r="B53" t="s">
        <v>187</v>
      </c>
      <c r="C53">
        <v>1</v>
      </c>
      <c r="N53">
        <v>5</v>
      </c>
      <c r="R53">
        <v>32</v>
      </c>
      <c r="S53">
        <v>176</v>
      </c>
      <c r="AA53">
        <v>13</v>
      </c>
      <c r="AB53">
        <v>10</v>
      </c>
      <c r="AC53">
        <v>769</v>
      </c>
      <c r="AD53">
        <v>436</v>
      </c>
      <c r="AE53">
        <v>416</v>
      </c>
      <c r="AF53">
        <v>177</v>
      </c>
      <c r="AG53">
        <v>1393</v>
      </c>
      <c r="AH53">
        <v>39</v>
      </c>
      <c r="AI53">
        <v>375</v>
      </c>
      <c r="AJ53">
        <v>99</v>
      </c>
      <c r="AK53">
        <v>1200</v>
      </c>
      <c r="AL53">
        <v>148</v>
      </c>
      <c r="AN53">
        <v>19</v>
      </c>
      <c r="AP53">
        <v>93</v>
      </c>
      <c r="AQ53">
        <v>13</v>
      </c>
      <c r="AR53">
        <v>72</v>
      </c>
      <c r="AS53">
        <v>81</v>
      </c>
      <c r="AW53">
        <v>11</v>
      </c>
      <c r="AX53">
        <v>2</v>
      </c>
      <c r="AZ53">
        <v>30</v>
      </c>
      <c r="BB53">
        <v>32</v>
      </c>
      <c r="BC53">
        <v>643</v>
      </c>
      <c r="BD53">
        <v>9</v>
      </c>
      <c r="CZ53">
        <v>124</v>
      </c>
      <c r="DK53">
        <v>2</v>
      </c>
      <c r="DO53">
        <v>2</v>
      </c>
      <c r="FA53">
        <v>29</v>
      </c>
      <c r="FC53">
        <v>129</v>
      </c>
      <c r="FY53">
        <v>208</v>
      </c>
      <c r="FZ53">
        <v>21</v>
      </c>
      <c r="GB53">
        <v>10</v>
      </c>
      <c r="HT53">
        <v>113</v>
      </c>
      <c r="HU53">
        <v>136</v>
      </c>
      <c r="HV53">
        <v>437</v>
      </c>
      <c r="JG53">
        <v>136</v>
      </c>
      <c r="JK53">
        <v>2</v>
      </c>
      <c r="JL53">
        <v>1</v>
      </c>
      <c r="JM53">
        <v>0</v>
      </c>
      <c r="JN53">
        <v>0</v>
      </c>
      <c r="JR53">
        <v>0</v>
      </c>
      <c r="JT53">
        <v>0</v>
      </c>
      <c r="JY53">
        <v>7</v>
      </c>
      <c r="KB53">
        <v>6</v>
      </c>
      <c r="KC53">
        <v>4</v>
      </c>
      <c r="KD53">
        <v>15</v>
      </c>
      <c r="KW53">
        <v>51</v>
      </c>
      <c r="KX53">
        <v>329</v>
      </c>
      <c r="KY53">
        <v>9</v>
      </c>
      <c r="KZ53">
        <v>3</v>
      </c>
      <c r="LA53">
        <v>3</v>
      </c>
      <c r="LK53">
        <v>2</v>
      </c>
      <c r="LO53">
        <v>117</v>
      </c>
      <c r="LT53">
        <v>274</v>
      </c>
      <c r="LW53">
        <v>316</v>
      </c>
      <c r="LY53">
        <v>52</v>
      </c>
      <c r="LZ53">
        <v>65</v>
      </c>
      <c r="MF53">
        <v>3</v>
      </c>
      <c r="MH53">
        <v>11</v>
      </c>
      <c r="MJ53">
        <v>791</v>
      </c>
      <c r="MO53">
        <v>20</v>
      </c>
      <c r="MQ53">
        <v>2</v>
      </c>
      <c r="MY53">
        <v>2</v>
      </c>
      <c r="MZ53">
        <v>88</v>
      </c>
      <c r="NC53">
        <v>20</v>
      </c>
      <c r="ND53">
        <v>43</v>
      </c>
      <c r="NE53">
        <v>27</v>
      </c>
      <c r="NM53">
        <v>28</v>
      </c>
      <c r="NO53">
        <v>85</v>
      </c>
      <c r="NP53">
        <v>240</v>
      </c>
      <c r="NQ53">
        <v>60</v>
      </c>
      <c r="OB53">
        <v>101</v>
      </c>
      <c r="OD53">
        <v>0</v>
      </c>
      <c r="OE53">
        <v>42</v>
      </c>
      <c r="OI53">
        <v>1</v>
      </c>
      <c r="OJ53">
        <v>30</v>
      </c>
      <c r="ON53">
        <v>371</v>
      </c>
      <c r="OO53">
        <v>10865</v>
      </c>
      <c r="OP53">
        <v>71</v>
      </c>
      <c r="OU53">
        <v>55</v>
      </c>
      <c r="OV53">
        <v>283</v>
      </c>
      <c r="PI53">
        <v>11274</v>
      </c>
      <c r="PM53" t="str">
        <f>IFERROR(VLOOKUP($A53&amp;"",Key!$A:$C,3,FALSE),"")</f>
        <v>ISIC 239</v>
      </c>
    </row>
    <row r="54" spans="1:429" x14ac:dyDescent="0.25">
      <c r="A54">
        <v>327910</v>
      </c>
      <c r="B54" t="s">
        <v>188</v>
      </c>
      <c r="P54">
        <v>32</v>
      </c>
      <c r="AA54">
        <v>11</v>
      </c>
      <c r="AB54">
        <v>258</v>
      </c>
      <c r="AC54">
        <v>110</v>
      </c>
      <c r="AD54">
        <v>25</v>
      </c>
      <c r="AE54">
        <v>74</v>
      </c>
      <c r="AF54">
        <v>29</v>
      </c>
      <c r="AG54">
        <v>77</v>
      </c>
      <c r="AH54">
        <v>17</v>
      </c>
      <c r="AI54">
        <v>244</v>
      </c>
      <c r="AJ54">
        <v>35</v>
      </c>
      <c r="AK54">
        <v>152</v>
      </c>
      <c r="AL54">
        <v>200</v>
      </c>
      <c r="AM54">
        <v>96</v>
      </c>
      <c r="AN54">
        <v>22</v>
      </c>
      <c r="AO54">
        <v>22</v>
      </c>
      <c r="AP54">
        <v>38</v>
      </c>
      <c r="AQ54">
        <v>12</v>
      </c>
      <c r="AR54">
        <v>4</v>
      </c>
      <c r="AS54">
        <v>15</v>
      </c>
      <c r="AT54">
        <v>74</v>
      </c>
      <c r="AU54">
        <v>16</v>
      </c>
      <c r="AV54">
        <v>34</v>
      </c>
      <c r="AW54">
        <v>23</v>
      </c>
      <c r="AX54">
        <v>318</v>
      </c>
      <c r="AY54">
        <v>71</v>
      </c>
      <c r="BA54">
        <v>42</v>
      </c>
      <c r="BC54">
        <v>27</v>
      </c>
      <c r="BD54">
        <v>5</v>
      </c>
      <c r="BE54">
        <v>6</v>
      </c>
      <c r="BF54">
        <v>0</v>
      </c>
      <c r="BG54">
        <v>8</v>
      </c>
      <c r="BI54">
        <v>4</v>
      </c>
      <c r="BJ54">
        <v>5</v>
      </c>
      <c r="BK54">
        <v>161</v>
      </c>
      <c r="BL54">
        <v>17</v>
      </c>
      <c r="BN54">
        <v>4</v>
      </c>
      <c r="BO54">
        <v>20</v>
      </c>
      <c r="BP54">
        <v>35</v>
      </c>
      <c r="BQ54">
        <v>319</v>
      </c>
      <c r="BR54">
        <v>47</v>
      </c>
      <c r="BS54">
        <v>17</v>
      </c>
      <c r="BT54">
        <v>10</v>
      </c>
      <c r="BU54">
        <v>6</v>
      </c>
      <c r="BV54">
        <v>104</v>
      </c>
      <c r="BW54">
        <v>3</v>
      </c>
      <c r="BX54">
        <v>147</v>
      </c>
      <c r="BY54">
        <v>138</v>
      </c>
      <c r="BZ54">
        <v>146</v>
      </c>
      <c r="CA54">
        <v>15</v>
      </c>
      <c r="CB54">
        <v>50</v>
      </c>
      <c r="CC54">
        <v>21</v>
      </c>
      <c r="CD54">
        <v>4</v>
      </c>
      <c r="CE54">
        <v>56</v>
      </c>
      <c r="CF54">
        <v>55</v>
      </c>
      <c r="CG54">
        <v>14</v>
      </c>
      <c r="CH54">
        <v>7</v>
      </c>
      <c r="CI54">
        <v>29</v>
      </c>
      <c r="CJ54">
        <v>84</v>
      </c>
      <c r="CK54">
        <v>20</v>
      </c>
      <c r="CL54">
        <v>191</v>
      </c>
      <c r="CO54">
        <v>26</v>
      </c>
      <c r="CP54">
        <v>6</v>
      </c>
      <c r="CQ54">
        <v>38</v>
      </c>
      <c r="CR54">
        <v>7</v>
      </c>
      <c r="CS54">
        <v>49</v>
      </c>
      <c r="CT54">
        <v>39</v>
      </c>
      <c r="CU54">
        <v>78</v>
      </c>
      <c r="CV54">
        <v>84</v>
      </c>
      <c r="CW54">
        <v>162</v>
      </c>
      <c r="CX54">
        <v>3</v>
      </c>
      <c r="CY54">
        <v>3</v>
      </c>
      <c r="CZ54">
        <v>28</v>
      </c>
      <c r="DA54">
        <v>26</v>
      </c>
      <c r="DB54">
        <v>85</v>
      </c>
      <c r="DC54">
        <v>59</v>
      </c>
      <c r="DD54">
        <v>11</v>
      </c>
      <c r="DE54">
        <v>7</v>
      </c>
      <c r="DF54">
        <v>1</v>
      </c>
      <c r="DG54">
        <v>51</v>
      </c>
      <c r="DH54">
        <v>211</v>
      </c>
      <c r="DK54">
        <v>0</v>
      </c>
      <c r="DM54">
        <v>14</v>
      </c>
      <c r="DO54">
        <v>10</v>
      </c>
      <c r="DP54">
        <v>6</v>
      </c>
      <c r="DQ54">
        <v>7</v>
      </c>
      <c r="DS54">
        <v>23</v>
      </c>
      <c r="DT54">
        <v>0</v>
      </c>
      <c r="DU54">
        <v>5</v>
      </c>
      <c r="DV54">
        <v>1</v>
      </c>
      <c r="DW54">
        <v>9</v>
      </c>
      <c r="DX54">
        <v>7</v>
      </c>
      <c r="DZ54">
        <v>10</v>
      </c>
      <c r="EC54">
        <v>0</v>
      </c>
      <c r="EE54">
        <v>6</v>
      </c>
      <c r="EF54">
        <v>3</v>
      </c>
      <c r="EG54">
        <v>2</v>
      </c>
      <c r="EH54">
        <v>4</v>
      </c>
      <c r="EI54">
        <v>5</v>
      </c>
      <c r="EJ54">
        <v>12</v>
      </c>
      <c r="EM54">
        <v>0</v>
      </c>
      <c r="EN54">
        <v>72</v>
      </c>
      <c r="EP54">
        <v>4</v>
      </c>
      <c r="ER54">
        <v>8</v>
      </c>
      <c r="ES54">
        <v>15</v>
      </c>
      <c r="ET54">
        <v>62</v>
      </c>
      <c r="EU54">
        <v>3</v>
      </c>
      <c r="EV54">
        <v>1</v>
      </c>
      <c r="EW54">
        <v>3</v>
      </c>
      <c r="EX54">
        <v>17</v>
      </c>
      <c r="EY54">
        <v>13</v>
      </c>
      <c r="EZ54">
        <v>8</v>
      </c>
      <c r="FA54">
        <v>24</v>
      </c>
      <c r="FB54">
        <v>45</v>
      </c>
      <c r="FC54">
        <v>187</v>
      </c>
      <c r="FD54">
        <v>48</v>
      </c>
      <c r="FE54">
        <v>124</v>
      </c>
      <c r="FF54">
        <v>0</v>
      </c>
      <c r="FG54">
        <v>17</v>
      </c>
      <c r="FI54">
        <v>1</v>
      </c>
      <c r="FJ54">
        <v>7</v>
      </c>
      <c r="FK54">
        <v>15</v>
      </c>
      <c r="FL54">
        <v>7</v>
      </c>
      <c r="FN54">
        <v>0</v>
      </c>
      <c r="FO54">
        <v>2</v>
      </c>
      <c r="FP54">
        <v>11</v>
      </c>
      <c r="FQ54">
        <v>37</v>
      </c>
      <c r="FR54">
        <v>10</v>
      </c>
      <c r="FS54">
        <v>17</v>
      </c>
      <c r="FT54">
        <v>37</v>
      </c>
      <c r="FU54">
        <v>23</v>
      </c>
      <c r="FV54">
        <v>64</v>
      </c>
      <c r="FW54">
        <v>14</v>
      </c>
      <c r="FX54">
        <v>114</v>
      </c>
      <c r="FY54">
        <v>48</v>
      </c>
      <c r="FZ54">
        <v>6</v>
      </c>
      <c r="GA54">
        <v>4</v>
      </c>
      <c r="GB54">
        <v>6</v>
      </c>
      <c r="GC54">
        <v>4</v>
      </c>
      <c r="GD54">
        <v>31</v>
      </c>
      <c r="GE54">
        <v>2</v>
      </c>
      <c r="GF54">
        <v>6</v>
      </c>
      <c r="GG54">
        <v>197</v>
      </c>
      <c r="GH54">
        <v>75</v>
      </c>
      <c r="GO54">
        <v>3</v>
      </c>
      <c r="GP54">
        <v>0</v>
      </c>
      <c r="GQ54">
        <v>0</v>
      </c>
      <c r="GW54">
        <v>1</v>
      </c>
      <c r="HA54">
        <v>0</v>
      </c>
      <c r="HH54">
        <v>0</v>
      </c>
      <c r="HU54">
        <v>11</v>
      </c>
      <c r="HV54">
        <v>10</v>
      </c>
      <c r="IB54">
        <v>1</v>
      </c>
      <c r="IL54">
        <v>2</v>
      </c>
      <c r="IM54">
        <v>1</v>
      </c>
      <c r="IN54">
        <v>1</v>
      </c>
      <c r="IW54">
        <v>0</v>
      </c>
      <c r="IX54">
        <v>0</v>
      </c>
      <c r="IZ54">
        <v>8</v>
      </c>
      <c r="JA54">
        <v>9</v>
      </c>
      <c r="JB54">
        <v>6</v>
      </c>
      <c r="JD54">
        <v>4</v>
      </c>
      <c r="JE54">
        <v>1</v>
      </c>
      <c r="JF54">
        <v>2</v>
      </c>
      <c r="JG54">
        <v>46</v>
      </c>
      <c r="JJ54">
        <v>7</v>
      </c>
      <c r="JL54">
        <v>3</v>
      </c>
      <c r="JN54">
        <v>4</v>
      </c>
      <c r="JO54">
        <v>6</v>
      </c>
      <c r="JV54">
        <v>6</v>
      </c>
      <c r="JZ54">
        <v>2</v>
      </c>
      <c r="KD54">
        <v>2</v>
      </c>
      <c r="KM54">
        <v>81</v>
      </c>
      <c r="KW54">
        <v>3</v>
      </c>
      <c r="KX54">
        <v>19</v>
      </c>
      <c r="KZ54">
        <v>9</v>
      </c>
      <c r="LN54">
        <v>34</v>
      </c>
      <c r="LO54">
        <v>62</v>
      </c>
      <c r="LZ54">
        <v>20</v>
      </c>
      <c r="MA54">
        <v>10</v>
      </c>
      <c r="ME54">
        <v>1</v>
      </c>
      <c r="MH54">
        <v>0</v>
      </c>
      <c r="MK54">
        <v>9</v>
      </c>
      <c r="MM54">
        <v>18</v>
      </c>
      <c r="MN54">
        <v>6</v>
      </c>
      <c r="MQ54">
        <v>0</v>
      </c>
      <c r="MZ54">
        <v>0</v>
      </c>
      <c r="NC54">
        <v>1</v>
      </c>
      <c r="NE54">
        <v>1</v>
      </c>
      <c r="NM54">
        <v>4</v>
      </c>
      <c r="NR54">
        <v>3</v>
      </c>
      <c r="NT54">
        <v>186</v>
      </c>
      <c r="NU54">
        <v>100</v>
      </c>
      <c r="OD54">
        <v>3</v>
      </c>
      <c r="OE54">
        <v>83</v>
      </c>
      <c r="OI54">
        <v>15</v>
      </c>
      <c r="OJ54">
        <v>552</v>
      </c>
      <c r="OK54">
        <v>6</v>
      </c>
      <c r="ON54">
        <v>4</v>
      </c>
      <c r="OO54">
        <v>7686</v>
      </c>
      <c r="OP54">
        <v>382</v>
      </c>
      <c r="OU54">
        <v>45</v>
      </c>
      <c r="OV54">
        <v>1214</v>
      </c>
      <c r="PI54">
        <v>9326</v>
      </c>
      <c r="PM54" t="str">
        <f>IFERROR(VLOOKUP($A54&amp;"",Key!$A:$C,3,FALSE),"")</f>
        <v>ISIC 239</v>
      </c>
    </row>
    <row r="55" spans="1:429" x14ac:dyDescent="0.25">
      <c r="A55">
        <v>327991</v>
      </c>
      <c r="B55" t="s">
        <v>189</v>
      </c>
      <c r="AA55">
        <v>349</v>
      </c>
      <c r="AB55">
        <v>2985</v>
      </c>
      <c r="AC55">
        <v>44</v>
      </c>
      <c r="AD55">
        <v>20</v>
      </c>
      <c r="AE55">
        <v>584</v>
      </c>
      <c r="AF55">
        <v>187</v>
      </c>
      <c r="AG55">
        <v>386</v>
      </c>
      <c r="AI55">
        <v>33</v>
      </c>
      <c r="AJ55">
        <v>44</v>
      </c>
      <c r="AK55">
        <v>725</v>
      </c>
      <c r="AL55">
        <v>1</v>
      </c>
      <c r="AQ55">
        <v>17</v>
      </c>
      <c r="AY55">
        <v>295</v>
      </c>
      <c r="FZ55">
        <v>15</v>
      </c>
      <c r="GB55">
        <v>14</v>
      </c>
      <c r="KW55">
        <v>38</v>
      </c>
      <c r="KX55">
        <v>244</v>
      </c>
      <c r="KY55">
        <v>7</v>
      </c>
      <c r="LZ55">
        <v>60</v>
      </c>
      <c r="MF55">
        <v>2</v>
      </c>
      <c r="MQ55">
        <v>2</v>
      </c>
      <c r="NF55">
        <v>2</v>
      </c>
      <c r="NP55">
        <v>117</v>
      </c>
      <c r="NQ55">
        <v>40</v>
      </c>
      <c r="OD55">
        <v>72</v>
      </c>
      <c r="OI55">
        <v>123</v>
      </c>
      <c r="OK55">
        <v>3</v>
      </c>
      <c r="ON55">
        <v>29</v>
      </c>
      <c r="OO55">
        <v>6440</v>
      </c>
      <c r="OP55">
        <v>5100</v>
      </c>
      <c r="OU55">
        <v>22</v>
      </c>
      <c r="OV55">
        <v>96</v>
      </c>
      <c r="PI55">
        <v>11659</v>
      </c>
      <c r="PM55" t="str">
        <f>IFERROR(VLOOKUP($A55&amp;"",Key!$A:$C,3,FALSE),"")</f>
        <v>ISIC 239</v>
      </c>
    </row>
    <row r="56" spans="1:429" x14ac:dyDescent="0.25">
      <c r="A56">
        <v>327992</v>
      </c>
      <c r="B56" t="s">
        <v>190</v>
      </c>
      <c r="Q56">
        <v>321</v>
      </c>
      <c r="R56">
        <v>23</v>
      </c>
      <c r="V56">
        <v>310</v>
      </c>
      <c r="W56">
        <v>517</v>
      </c>
      <c r="AC56">
        <v>2</v>
      </c>
      <c r="AD56">
        <v>78</v>
      </c>
      <c r="AG56">
        <v>163</v>
      </c>
      <c r="AJ56">
        <v>1</v>
      </c>
      <c r="AK56">
        <v>31</v>
      </c>
      <c r="AQ56">
        <v>128</v>
      </c>
      <c r="AR56">
        <v>149</v>
      </c>
      <c r="AS56">
        <v>123</v>
      </c>
      <c r="AT56">
        <v>49</v>
      </c>
      <c r="AU56">
        <v>12</v>
      </c>
      <c r="AV56">
        <v>22</v>
      </c>
      <c r="AW56">
        <v>248</v>
      </c>
      <c r="AX56">
        <v>23</v>
      </c>
      <c r="AY56">
        <v>109</v>
      </c>
      <c r="AZ56">
        <v>437</v>
      </c>
      <c r="BC56">
        <v>769</v>
      </c>
      <c r="BD56">
        <v>159</v>
      </c>
      <c r="BK56">
        <v>2</v>
      </c>
      <c r="EO56">
        <v>278</v>
      </c>
      <c r="ER56">
        <v>2</v>
      </c>
      <c r="EX56">
        <v>8</v>
      </c>
      <c r="EY56">
        <v>8</v>
      </c>
      <c r="EZ56">
        <v>2</v>
      </c>
      <c r="FC56">
        <v>94</v>
      </c>
      <c r="FD56">
        <v>49</v>
      </c>
      <c r="FS56">
        <v>5</v>
      </c>
      <c r="FZ56">
        <v>9</v>
      </c>
      <c r="GB56">
        <v>9</v>
      </c>
      <c r="GF56">
        <v>4</v>
      </c>
      <c r="GH56">
        <v>245</v>
      </c>
      <c r="IF56">
        <v>133</v>
      </c>
      <c r="IG56">
        <v>11</v>
      </c>
      <c r="IM56">
        <v>2</v>
      </c>
      <c r="IS56">
        <v>202</v>
      </c>
      <c r="IU56">
        <v>1004</v>
      </c>
      <c r="IZ56">
        <v>112</v>
      </c>
      <c r="LK56">
        <v>0</v>
      </c>
      <c r="OE56">
        <v>2</v>
      </c>
      <c r="OO56">
        <v>5851</v>
      </c>
      <c r="OP56">
        <v>80</v>
      </c>
      <c r="OU56">
        <v>-116</v>
      </c>
      <c r="OV56">
        <v>352</v>
      </c>
      <c r="PI56">
        <v>6167</v>
      </c>
      <c r="PM56" t="str">
        <f>IFERROR(VLOOKUP($A56&amp;"",Key!$A:$C,3,FALSE),"")</f>
        <v>ISIC 239</v>
      </c>
    </row>
    <row r="57" spans="1:429" x14ac:dyDescent="0.25">
      <c r="A57">
        <v>327993</v>
      </c>
      <c r="B57" t="s">
        <v>191</v>
      </c>
      <c r="AA57">
        <v>63</v>
      </c>
      <c r="AB57">
        <v>241</v>
      </c>
      <c r="AC57">
        <v>8</v>
      </c>
      <c r="AD57">
        <v>272</v>
      </c>
      <c r="AE57">
        <v>251</v>
      </c>
      <c r="AF57">
        <v>212</v>
      </c>
      <c r="AG57">
        <v>2846</v>
      </c>
      <c r="AH57">
        <v>220</v>
      </c>
      <c r="AI57">
        <v>187</v>
      </c>
      <c r="AJ57">
        <v>29</v>
      </c>
      <c r="AK57">
        <v>1565</v>
      </c>
      <c r="AL57">
        <v>92</v>
      </c>
      <c r="AN57">
        <v>3</v>
      </c>
      <c r="AO57">
        <v>217</v>
      </c>
      <c r="AP57">
        <v>75</v>
      </c>
      <c r="AQ57">
        <v>10</v>
      </c>
      <c r="AR57">
        <v>181</v>
      </c>
      <c r="AS57">
        <v>39</v>
      </c>
      <c r="AT57">
        <v>182</v>
      </c>
      <c r="AU57">
        <v>41</v>
      </c>
      <c r="AV57">
        <v>84</v>
      </c>
      <c r="AW57">
        <v>6</v>
      </c>
      <c r="BA57">
        <v>7</v>
      </c>
      <c r="BC57">
        <v>1</v>
      </c>
      <c r="BD57">
        <v>12</v>
      </c>
      <c r="BK57">
        <v>5</v>
      </c>
      <c r="CQ57">
        <v>105</v>
      </c>
      <c r="EE57">
        <v>37</v>
      </c>
      <c r="EF57">
        <v>139</v>
      </c>
      <c r="EM57">
        <v>17</v>
      </c>
      <c r="EQ57">
        <v>2</v>
      </c>
      <c r="ER57">
        <v>32</v>
      </c>
      <c r="EX57">
        <v>36</v>
      </c>
      <c r="EY57">
        <v>35</v>
      </c>
      <c r="EZ57">
        <v>31</v>
      </c>
      <c r="FC57">
        <v>523</v>
      </c>
      <c r="FD57">
        <v>134</v>
      </c>
      <c r="FZ57">
        <v>1</v>
      </c>
      <c r="GB57">
        <v>1</v>
      </c>
      <c r="IE57">
        <v>6</v>
      </c>
      <c r="KD57">
        <v>0</v>
      </c>
      <c r="LK57">
        <v>2</v>
      </c>
      <c r="LL57">
        <v>1</v>
      </c>
      <c r="LW57">
        <v>29</v>
      </c>
      <c r="LZ57">
        <v>27</v>
      </c>
      <c r="MF57">
        <v>1</v>
      </c>
      <c r="MH57">
        <v>38</v>
      </c>
      <c r="MO57">
        <v>63</v>
      </c>
      <c r="OM57">
        <v>21</v>
      </c>
      <c r="ON57">
        <v>67</v>
      </c>
      <c r="OO57">
        <v>8189</v>
      </c>
      <c r="OU57">
        <v>20</v>
      </c>
      <c r="OV57">
        <v>970</v>
      </c>
      <c r="PI57">
        <v>9178</v>
      </c>
      <c r="PM57" t="str">
        <f>IFERROR(VLOOKUP($A57&amp;"",Key!$A:$C,3,FALSE),"")</f>
        <v>ISIC 239</v>
      </c>
    </row>
    <row r="58" spans="1:429" x14ac:dyDescent="0.25">
      <c r="A58">
        <v>327999</v>
      </c>
      <c r="B58" t="s">
        <v>192</v>
      </c>
      <c r="AA58">
        <v>0</v>
      </c>
      <c r="AB58">
        <v>15</v>
      </c>
      <c r="AC58">
        <v>21</v>
      </c>
      <c r="AD58">
        <v>8</v>
      </c>
      <c r="AE58">
        <v>124</v>
      </c>
      <c r="AF58">
        <v>554</v>
      </c>
      <c r="AG58">
        <v>194</v>
      </c>
      <c r="AH58">
        <v>54</v>
      </c>
      <c r="AI58">
        <v>226</v>
      </c>
      <c r="AJ58">
        <v>35</v>
      </c>
      <c r="AK58">
        <v>1219</v>
      </c>
      <c r="AL58">
        <v>713</v>
      </c>
      <c r="AQ58">
        <v>12</v>
      </c>
      <c r="AS58">
        <v>25</v>
      </c>
      <c r="AT58">
        <v>121</v>
      </c>
      <c r="AU58">
        <v>10</v>
      </c>
      <c r="AV58">
        <v>28</v>
      </c>
      <c r="AW58">
        <v>15</v>
      </c>
      <c r="AX58">
        <v>8</v>
      </c>
      <c r="AY58">
        <v>35</v>
      </c>
      <c r="BB58">
        <v>156</v>
      </c>
      <c r="BD58">
        <v>7</v>
      </c>
      <c r="BK58">
        <v>2</v>
      </c>
      <c r="CG58">
        <v>312</v>
      </c>
      <c r="CJ58">
        <v>531</v>
      </c>
      <c r="CT58">
        <v>21</v>
      </c>
      <c r="CV58">
        <v>69</v>
      </c>
      <c r="EO58">
        <v>208</v>
      </c>
      <c r="EQ58">
        <v>0</v>
      </c>
      <c r="ER58">
        <v>18</v>
      </c>
      <c r="ES58">
        <v>1</v>
      </c>
      <c r="EX58">
        <v>21</v>
      </c>
      <c r="EY58">
        <v>21</v>
      </c>
      <c r="EZ58">
        <v>17</v>
      </c>
      <c r="FC58">
        <v>279</v>
      </c>
      <c r="FD58">
        <v>80</v>
      </c>
      <c r="FZ58">
        <v>4</v>
      </c>
      <c r="GB58">
        <v>4</v>
      </c>
      <c r="IE58">
        <v>56</v>
      </c>
      <c r="IF58">
        <v>1184</v>
      </c>
      <c r="JN58">
        <v>0</v>
      </c>
      <c r="KH58">
        <v>192</v>
      </c>
      <c r="LA58">
        <v>0</v>
      </c>
      <c r="LB58">
        <v>0</v>
      </c>
      <c r="LM58">
        <v>11</v>
      </c>
      <c r="LY58">
        <v>4</v>
      </c>
      <c r="LZ58">
        <v>22</v>
      </c>
      <c r="MQ58">
        <v>0</v>
      </c>
      <c r="MZ58">
        <v>66</v>
      </c>
      <c r="OD58">
        <v>11</v>
      </c>
      <c r="ON58">
        <v>84</v>
      </c>
      <c r="OO58">
        <v>6801</v>
      </c>
      <c r="OU58">
        <v>13</v>
      </c>
      <c r="OV58">
        <v>618</v>
      </c>
      <c r="PI58">
        <v>7431</v>
      </c>
      <c r="PM58" t="str">
        <f>IFERROR(VLOOKUP($A58&amp;"",Key!$A:$C,3,FALSE),"")</f>
        <v>ISIC 239</v>
      </c>
    </row>
    <row r="59" spans="1:429" x14ac:dyDescent="0.25">
      <c r="A59">
        <v>331110</v>
      </c>
      <c r="B59" t="s">
        <v>193</v>
      </c>
      <c r="P59">
        <v>1735</v>
      </c>
      <c r="Q59">
        <v>28</v>
      </c>
      <c r="R59">
        <v>23</v>
      </c>
      <c r="S59">
        <v>140</v>
      </c>
      <c r="T59">
        <v>84</v>
      </c>
      <c r="U59">
        <v>239</v>
      </c>
      <c r="V59">
        <v>238</v>
      </c>
      <c r="W59">
        <v>284</v>
      </c>
      <c r="AA59">
        <v>5</v>
      </c>
      <c r="AB59">
        <v>2</v>
      </c>
      <c r="AC59">
        <v>550</v>
      </c>
      <c r="AE59">
        <v>12</v>
      </c>
      <c r="AF59">
        <v>235</v>
      </c>
      <c r="AG59">
        <v>147</v>
      </c>
      <c r="AI59">
        <v>192</v>
      </c>
      <c r="AJ59">
        <v>46</v>
      </c>
      <c r="AK59">
        <v>227</v>
      </c>
      <c r="AL59">
        <v>40</v>
      </c>
      <c r="AO59">
        <v>5</v>
      </c>
      <c r="AP59">
        <v>113</v>
      </c>
      <c r="AU59">
        <v>30</v>
      </c>
      <c r="AV59">
        <v>102</v>
      </c>
      <c r="AX59">
        <v>47</v>
      </c>
      <c r="AZ59">
        <v>214</v>
      </c>
      <c r="BA59">
        <v>26</v>
      </c>
      <c r="BB59">
        <v>3</v>
      </c>
      <c r="BC59">
        <v>8615</v>
      </c>
      <c r="BD59">
        <v>8992</v>
      </c>
      <c r="BG59">
        <v>58</v>
      </c>
      <c r="BJ59">
        <v>71</v>
      </c>
      <c r="BK59">
        <v>984</v>
      </c>
      <c r="BM59">
        <v>2287</v>
      </c>
      <c r="BN59">
        <v>2084</v>
      </c>
      <c r="BO59">
        <v>2778</v>
      </c>
      <c r="BP59">
        <v>1268</v>
      </c>
      <c r="BQ59">
        <v>13942</v>
      </c>
      <c r="BR59">
        <v>8728</v>
      </c>
      <c r="BS59">
        <v>794</v>
      </c>
      <c r="BT59">
        <v>1708</v>
      </c>
      <c r="BU59">
        <v>972</v>
      </c>
      <c r="BV59">
        <v>949</v>
      </c>
      <c r="BW59">
        <v>689</v>
      </c>
      <c r="BX59">
        <v>2326</v>
      </c>
      <c r="BY59">
        <v>2839</v>
      </c>
      <c r="BZ59">
        <v>1078</v>
      </c>
      <c r="CA59">
        <v>11</v>
      </c>
      <c r="CB59">
        <v>949</v>
      </c>
      <c r="CC59">
        <v>302</v>
      </c>
      <c r="CD59">
        <v>1218</v>
      </c>
      <c r="CE59">
        <v>153</v>
      </c>
      <c r="CF59">
        <v>2077</v>
      </c>
      <c r="CG59">
        <v>3076</v>
      </c>
      <c r="CH59">
        <v>339</v>
      </c>
      <c r="CI59">
        <v>3609</v>
      </c>
      <c r="CJ59">
        <v>1784</v>
      </c>
      <c r="CK59">
        <v>37</v>
      </c>
      <c r="CL59">
        <v>1104</v>
      </c>
      <c r="CM59">
        <v>39</v>
      </c>
      <c r="CN59">
        <v>2</v>
      </c>
      <c r="CO59">
        <v>681</v>
      </c>
      <c r="CP59">
        <v>576</v>
      </c>
      <c r="CQ59">
        <v>1717</v>
      </c>
      <c r="CR59">
        <v>476</v>
      </c>
      <c r="CS59">
        <v>292</v>
      </c>
      <c r="CT59">
        <v>262</v>
      </c>
      <c r="CU59">
        <v>497</v>
      </c>
      <c r="CV59">
        <v>383</v>
      </c>
      <c r="CW59">
        <v>369</v>
      </c>
      <c r="CX59">
        <v>55</v>
      </c>
      <c r="CY59">
        <v>344</v>
      </c>
      <c r="CZ59">
        <v>619</v>
      </c>
      <c r="DA59">
        <v>138</v>
      </c>
      <c r="DB59">
        <v>519</v>
      </c>
      <c r="DC59">
        <v>4902</v>
      </c>
      <c r="DD59">
        <v>188</v>
      </c>
      <c r="DE59">
        <v>28</v>
      </c>
      <c r="DF59">
        <v>133</v>
      </c>
      <c r="DG59">
        <v>2070</v>
      </c>
      <c r="DH59">
        <v>533</v>
      </c>
      <c r="DJ59">
        <v>1</v>
      </c>
      <c r="DK59">
        <v>2</v>
      </c>
      <c r="DL59">
        <v>71</v>
      </c>
      <c r="DM59">
        <v>42</v>
      </c>
      <c r="DN59">
        <v>9</v>
      </c>
      <c r="DO59">
        <v>64</v>
      </c>
      <c r="DP59">
        <v>60</v>
      </c>
      <c r="DQ59">
        <v>183</v>
      </c>
      <c r="DR59">
        <v>60</v>
      </c>
      <c r="DS59">
        <v>13</v>
      </c>
      <c r="DT59">
        <v>8</v>
      </c>
      <c r="DU59">
        <v>30</v>
      </c>
      <c r="DV59">
        <v>17</v>
      </c>
      <c r="DW59">
        <v>6</v>
      </c>
      <c r="DX59">
        <v>103</v>
      </c>
      <c r="DY59">
        <v>41</v>
      </c>
      <c r="DZ59">
        <v>9</v>
      </c>
      <c r="EA59">
        <v>15</v>
      </c>
      <c r="EB59">
        <v>0</v>
      </c>
      <c r="ED59">
        <v>102</v>
      </c>
      <c r="EE59">
        <v>37</v>
      </c>
      <c r="EF59">
        <v>1233</v>
      </c>
      <c r="EG59">
        <v>370</v>
      </c>
      <c r="EH59">
        <v>129</v>
      </c>
      <c r="EI59">
        <v>742</v>
      </c>
      <c r="EJ59">
        <v>222</v>
      </c>
      <c r="EK59">
        <v>340</v>
      </c>
      <c r="EL59">
        <v>23</v>
      </c>
      <c r="EM59">
        <v>17</v>
      </c>
      <c r="EN59">
        <v>554</v>
      </c>
      <c r="EP59">
        <v>32</v>
      </c>
      <c r="EQ59">
        <v>12</v>
      </c>
      <c r="ER59">
        <v>2177</v>
      </c>
      <c r="ES59">
        <v>97</v>
      </c>
      <c r="ET59">
        <v>901</v>
      </c>
      <c r="EU59">
        <v>674</v>
      </c>
      <c r="EV59">
        <v>5</v>
      </c>
      <c r="EW59">
        <v>344</v>
      </c>
      <c r="EX59">
        <v>476</v>
      </c>
      <c r="EY59">
        <v>246</v>
      </c>
      <c r="EZ59">
        <v>525</v>
      </c>
      <c r="FA59">
        <v>59</v>
      </c>
      <c r="FB59">
        <v>13254</v>
      </c>
      <c r="FC59">
        <v>1828</v>
      </c>
      <c r="FD59">
        <v>1476</v>
      </c>
      <c r="FE59">
        <v>4190</v>
      </c>
      <c r="FF59">
        <v>20</v>
      </c>
      <c r="FG59">
        <v>204</v>
      </c>
      <c r="FH59">
        <v>19</v>
      </c>
      <c r="FI59">
        <v>14</v>
      </c>
      <c r="FJ59">
        <v>1002</v>
      </c>
      <c r="FK59">
        <v>377</v>
      </c>
      <c r="FL59">
        <v>56</v>
      </c>
      <c r="FM59">
        <v>261</v>
      </c>
      <c r="FN59">
        <v>749</v>
      </c>
      <c r="FO59">
        <v>452</v>
      </c>
      <c r="FQ59">
        <v>204</v>
      </c>
      <c r="FR59">
        <v>0</v>
      </c>
      <c r="FS59">
        <v>191</v>
      </c>
      <c r="FT59">
        <v>203</v>
      </c>
      <c r="FU59">
        <v>632</v>
      </c>
      <c r="FV59">
        <v>648</v>
      </c>
      <c r="FW59">
        <v>23</v>
      </c>
      <c r="FX59">
        <v>263</v>
      </c>
      <c r="FY59">
        <v>150</v>
      </c>
      <c r="FZ59">
        <v>11</v>
      </c>
      <c r="GB59">
        <v>17</v>
      </c>
      <c r="GC59">
        <v>6</v>
      </c>
      <c r="GD59">
        <v>166</v>
      </c>
      <c r="GE59">
        <v>5</v>
      </c>
      <c r="GF59">
        <v>9</v>
      </c>
      <c r="GG59">
        <v>553</v>
      </c>
      <c r="GH59">
        <v>1062</v>
      </c>
      <c r="HQ59">
        <v>17</v>
      </c>
      <c r="HW59">
        <v>61</v>
      </c>
      <c r="IB59">
        <v>1</v>
      </c>
      <c r="IC59">
        <v>15</v>
      </c>
      <c r="IJ59">
        <v>11</v>
      </c>
      <c r="IK59">
        <v>41</v>
      </c>
      <c r="IL59">
        <v>1</v>
      </c>
      <c r="IZ59">
        <v>1</v>
      </c>
      <c r="JG59">
        <v>73</v>
      </c>
      <c r="JJ59">
        <v>862</v>
      </c>
      <c r="JL59">
        <v>0</v>
      </c>
      <c r="JN59">
        <v>0</v>
      </c>
      <c r="JO59">
        <v>251</v>
      </c>
      <c r="JP59">
        <v>23</v>
      </c>
      <c r="JQ59">
        <v>1</v>
      </c>
      <c r="JS59">
        <v>4</v>
      </c>
      <c r="JV59">
        <v>6</v>
      </c>
      <c r="JX59">
        <v>0</v>
      </c>
      <c r="KB59">
        <v>1</v>
      </c>
      <c r="KC59">
        <v>0</v>
      </c>
      <c r="KD59">
        <v>0</v>
      </c>
      <c r="KF59">
        <v>229</v>
      </c>
      <c r="KK59">
        <v>152</v>
      </c>
      <c r="KN59">
        <v>2</v>
      </c>
      <c r="KP59">
        <v>5</v>
      </c>
      <c r="KQ59">
        <v>3</v>
      </c>
      <c r="KS59">
        <v>1</v>
      </c>
      <c r="KT59">
        <v>2</v>
      </c>
      <c r="KU59">
        <v>23</v>
      </c>
      <c r="KV59">
        <v>10</v>
      </c>
      <c r="KW59">
        <v>49</v>
      </c>
      <c r="KX59">
        <v>12</v>
      </c>
      <c r="KY59">
        <v>11</v>
      </c>
      <c r="KZ59">
        <v>13</v>
      </c>
      <c r="LA59">
        <v>113</v>
      </c>
      <c r="LB59">
        <v>0</v>
      </c>
      <c r="LM59">
        <v>2775</v>
      </c>
      <c r="LO59">
        <v>62</v>
      </c>
      <c r="LV59">
        <v>4</v>
      </c>
      <c r="LW59">
        <v>468</v>
      </c>
      <c r="LZ59">
        <v>175</v>
      </c>
      <c r="MF59">
        <v>31</v>
      </c>
      <c r="MH59">
        <v>260</v>
      </c>
      <c r="MM59">
        <v>215</v>
      </c>
      <c r="MO59">
        <v>303</v>
      </c>
      <c r="MR59">
        <v>159</v>
      </c>
      <c r="MS59">
        <v>4</v>
      </c>
      <c r="MT59">
        <v>7</v>
      </c>
      <c r="MU59">
        <v>26</v>
      </c>
      <c r="MV59">
        <v>62</v>
      </c>
      <c r="MW59">
        <v>2</v>
      </c>
      <c r="MX59">
        <v>9</v>
      </c>
      <c r="MY59">
        <v>33</v>
      </c>
      <c r="MZ59">
        <v>3</v>
      </c>
      <c r="NA59">
        <v>8</v>
      </c>
      <c r="NB59">
        <v>7</v>
      </c>
      <c r="NC59">
        <v>8</v>
      </c>
      <c r="ND59">
        <v>20</v>
      </c>
      <c r="NE59">
        <v>214</v>
      </c>
      <c r="NG59">
        <v>1</v>
      </c>
      <c r="NI59">
        <v>21</v>
      </c>
      <c r="NK59">
        <v>0</v>
      </c>
      <c r="NL59">
        <v>23</v>
      </c>
      <c r="NM59">
        <v>255</v>
      </c>
      <c r="NN59">
        <v>31</v>
      </c>
      <c r="NO59">
        <v>2</v>
      </c>
      <c r="NP59">
        <v>10</v>
      </c>
      <c r="NQ59">
        <v>3</v>
      </c>
      <c r="NR59">
        <v>12</v>
      </c>
      <c r="NS59">
        <v>31</v>
      </c>
      <c r="NT59">
        <v>111</v>
      </c>
      <c r="NU59">
        <v>63</v>
      </c>
      <c r="NV59">
        <v>105</v>
      </c>
      <c r="NW59">
        <v>0</v>
      </c>
      <c r="NX59">
        <v>0</v>
      </c>
      <c r="NY59">
        <v>7</v>
      </c>
      <c r="OA59">
        <v>4</v>
      </c>
      <c r="OB59">
        <v>26</v>
      </c>
      <c r="OI59">
        <v>9</v>
      </c>
      <c r="ON59">
        <v>175</v>
      </c>
      <c r="OO59">
        <v>141254</v>
      </c>
      <c r="OU59">
        <v>1200</v>
      </c>
      <c r="OV59">
        <v>13196</v>
      </c>
      <c r="PI59">
        <v>155649</v>
      </c>
      <c r="PM59" t="str">
        <f>IFERROR(VLOOKUP($A59&amp;"",Key!$A:$C,3,FALSE),"")</f>
        <v>ISIC 241</v>
      </c>
    </row>
    <row r="60" spans="1:429" x14ac:dyDescent="0.25">
      <c r="A60">
        <v>331200</v>
      </c>
      <c r="B60" t="s">
        <v>194</v>
      </c>
      <c r="C60">
        <v>3</v>
      </c>
      <c r="D60">
        <v>30</v>
      </c>
      <c r="E60">
        <v>3</v>
      </c>
      <c r="F60">
        <v>2</v>
      </c>
      <c r="G60">
        <v>3</v>
      </c>
      <c r="H60">
        <v>17</v>
      </c>
      <c r="I60">
        <v>16</v>
      </c>
      <c r="J60">
        <v>7</v>
      </c>
      <c r="K60">
        <v>1</v>
      </c>
      <c r="L60">
        <v>1</v>
      </c>
      <c r="P60">
        <v>1273</v>
      </c>
      <c r="Q60">
        <v>5</v>
      </c>
      <c r="R60">
        <v>1</v>
      </c>
      <c r="S60">
        <v>14</v>
      </c>
      <c r="T60">
        <v>9</v>
      </c>
      <c r="U60">
        <v>24</v>
      </c>
      <c r="V60">
        <v>18</v>
      </c>
      <c r="W60">
        <v>17</v>
      </c>
      <c r="AA60">
        <v>162</v>
      </c>
      <c r="AB60">
        <v>725</v>
      </c>
      <c r="AC60">
        <v>435</v>
      </c>
      <c r="AD60">
        <v>140</v>
      </c>
      <c r="AE60">
        <v>274</v>
      </c>
      <c r="AF60">
        <v>48</v>
      </c>
      <c r="AG60">
        <v>322</v>
      </c>
      <c r="AH60">
        <v>13</v>
      </c>
      <c r="AI60">
        <v>110</v>
      </c>
      <c r="AJ60">
        <v>85</v>
      </c>
      <c r="AK60">
        <v>272</v>
      </c>
      <c r="AL60">
        <v>68</v>
      </c>
      <c r="AN60">
        <v>4</v>
      </c>
      <c r="AU60">
        <v>192</v>
      </c>
      <c r="AV60">
        <v>854</v>
      </c>
      <c r="BC60">
        <v>744</v>
      </c>
      <c r="BD60">
        <v>270</v>
      </c>
      <c r="BJ60">
        <v>3</v>
      </c>
      <c r="BO60">
        <v>38</v>
      </c>
      <c r="BP60">
        <v>70</v>
      </c>
      <c r="BQ60">
        <v>1019</v>
      </c>
      <c r="BR60">
        <v>49</v>
      </c>
      <c r="BS60">
        <v>12</v>
      </c>
      <c r="BT60">
        <v>8</v>
      </c>
      <c r="BV60">
        <v>51</v>
      </c>
      <c r="BW60">
        <v>1723</v>
      </c>
      <c r="BX60">
        <v>301</v>
      </c>
      <c r="BY60">
        <v>1836</v>
      </c>
      <c r="CB60">
        <v>8</v>
      </c>
      <c r="CE60">
        <v>18</v>
      </c>
      <c r="CF60">
        <v>168</v>
      </c>
      <c r="CK60">
        <v>11</v>
      </c>
      <c r="CL60">
        <v>391</v>
      </c>
      <c r="CQ60">
        <v>100</v>
      </c>
      <c r="CR60">
        <v>1</v>
      </c>
      <c r="DG60">
        <v>162</v>
      </c>
      <c r="DP60">
        <v>6</v>
      </c>
      <c r="DQ60">
        <v>5</v>
      </c>
      <c r="ED60">
        <v>305</v>
      </c>
      <c r="EE60">
        <v>3</v>
      </c>
      <c r="EG60">
        <v>1</v>
      </c>
      <c r="EH60">
        <v>93</v>
      </c>
      <c r="EM60">
        <v>89</v>
      </c>
      <c r="EX60">
        <v>16</v>
      </c>
      <c r="EY60">
        <v>4</v>
      </c>
      <c r="EZ60">
        <v>1</v>
      </c>
      <c r="FB60">
        <v>114</v>
      </c>
      <c r="FC60">
        <v>16</v>
      </c>
      <c r="FD60">
        <v>1</v>
      </c>
      <c r="FR60">
        <v>4</v>
      </c>
      <c r="FS60">
        <v>7</v>
      </c>
      <c r="FY60">
        <v>2</v>
      </c>
      <c r="GG60">
        <v>4</v>
      </c>
      <c r="GH60">
        <v>30</v>
      </c>
      <c r="HQ60">
        <v>70</v>
      </c>
      <c r="JG60">
        <v>3</v>
      </c>
      <c r="JH60">
        <v>385</v>
      </c>
      <c r="JI60">
        <v>117</v>
      </c>
      <c r="JJ60">
        <v>119</v>
      </c>
      <c r="JK60">
        <v>4</v>
      </c>
      <c r="JL60">
        <v>3</v>
      </c>
      <c r="JM60">
        <v>1</v>
      </c>
      <c r="JO60">
        <v>33</v>
      </c>
      <c r="JS60">
        <v>12</v>
      </c>
      <c r="JT60">
        <v>2</v>
      </c>
      <c r="JV60">
        <v>1</v>
      </c>
      <c r="JZ60">
        <v>1</v>
      </c>
      <c r="KB60">
        <v>1</v>
      </c>
      <c r="KQ60">
        <v>1</v>
      </c>
      <c r="KW60">
        <v>1</v>
      </c>
      <c r="KX60">
        <v>10</v>
      </c>
      <c r="KZ60">
        <v>17</v>
      </c>
      <c r="LK60">
        <v>0</v>
      </c>
      <c r="LO60">
        <v>10</v>
      </c>
      <c r="LX60">
        <v>3</v>
      </c>
      <c r="LZ60">
        <v>0</v>
      </c>
      <c r="MA60">
        <v>7</v>
      </c>
      <c r="MN60">
        <v>3</v>
      </c>
      <c r="MQ60">
        <v>1</v>
      </c>
      <c r="MS60">
        <v>1</v>
      </c>
      <c r="MT60">
        <v>1</v>
      </c>
      <c r="MV60">
        <v>49</v>
      </c>
      <c r="MZ60">
        <v>8</v>
      </c>
      <c r="NC60">
        <v>2</v>
      </c>
      <c r="ND60">
        <v>1</v>
      </c>
      <c r="NE60">
        <v>3</v>
      </c>
      <c r="NF60">
        <v>0</v>
      </c>
      <c r="NM60">
        <v>2</v>
      </c>
      <c r="NN60">
        <v>1</v>
      </c>
      <c r="NO60">
        <v>3</v>
      </c>
      <c r="NT60">
        <v>0</v>
      </c>
      <c r="OA60">
        <v>1</v>
      </c>
      <c r="OB60">
        <v>5</v>
      </c>
      <c r="OE60">
        <v>32</v>
      </c>
      <c r="OI60">
        <v>10</v>
      </c>
      <c r="OJ60">
        <v>14</v>
      </c>
      <c r="OK60">
        <v>35</v>
      </c>
      <c r="ON60">
        <v>1</v>
      </c>
      <c r="OO60">
        <v>13806</v>
      </c>
      <c r="OP60">
        <v>1300</v>
      </c>
      <c r="OU60">
        <v>-53</v>
      </c>
      <c r="OV60">
        <v>819</v>
      </c>
      <c r="PI60">
        <v>15872</v>
      </c>
      <c r="PM60" t="str">
        <f>IFERROR(VLOOKUP($A60&amp;"",Key!$A:$C,3,FALSE),"")</f>
        <v>ISIC 241</v>
      </c>
    </row>
    <row r="61" spans="1:429" x14ac:dyDescent="0.25">
      <c r="A61">
        <v>331313</v>
      </c>
      <c r="B61" t="s">
        <v>196</v>
      </c>
      <c r="AC61">
        <v>14</v>
      </c>
      <c r="AP61">
        <v>34</v>
      </c>
      <c r="BC61">
        <v>400</v>
      </c>
      <c r="BD61">
        <v>66</v>
      </c>
      <c r="BE61">
        <v>805</v>
      </c>
      <c r="BF61">
        <v>803</v>
      </c>
      <c r="BG61">
        <v>9560</v>
      </c>
      <c r="BI61">
        <v>10</v>
      </c>
      <c r="BJ61">
        <v>1</v>
      </c>
      <c r="BK61">
        <v>14</v>
      </c>
      <c r="BL61">
        <v>1339</v>
      </c>
      <c r="BM61">
        <v>73</v>
      </c>
      <c r="BN61">
        <v>419</v>
      </c>
      <c r="BO61">
        <v>32</v>
      </c>
      <c r="BP61">
        <v>57</v>
      </c>
      <c r="BR61">
        <v>74</v>
      </c>
      <c r="BS61">
        <v>140</v>
      </c>
      <c r="BT61">
        <v>8</v>
      </c>
      <c r="BU61">
        <v>1082</v>
      </c>
      <c r="BV61">
        <v>86</v>
      </c>
      <c r="BW61">
        <v>27</v>
      </c>
      <c r="BX61">
        <v>277</v>
      </c>
      <c r="BZ61">
        <v>25</v>
      </c>
      <c r="CB61">
        <v>20</v>
      </c>
      <c r="CD61">
        <v>8</v>
      </c>
      <c r="CE61">
        <v>79</v>
      </c>
      <c r="CF61">
        <v>6</v>
      </c>
      <c r="CK61">
        <v>6</v>
      </c>
      <c r="CL61">
        <v>56</v>
      </c>
      <c r="CM61">
        <v>53</v>
      </c>
      <c r="CO61">
        <v>1</v>
      </c>
      <c r="CP61">
        <v>11</v>
      </c>
      <c r="CQ61">
        <v>32</v>
      </c>
      <c r="CR61">
        <v>52</v>
      </c>
      <c r="CS61">
        <v>35</v>
      </c>
      <c r="CT61">
        <v>20</v>
      </c>
      <c r="CV61">
        <v>7</v>
      </c>
      <c r="DA61">
        <v>39</v>
      </c>
      <c r="DB61">
        <v>121</v>
      </c>
      <c r="DC61">
        <v>70</v>
      </c>
      <c r="DE61">
        <v>18</v>
      </c>
      <c r="DF61">
        <v>12</v>
      </c>
      <c r="DG61">
        <v>234</v>
      </c>
      <c r="DH61">
        <v>3</v>
      </c>
      <c r="DJ61">
        <v>0</v>
      </c>
      <c r="DK61">
        <v>0</v>
      </c>
      <c r="DL61">
        <v>9</v>
      </c>
      <c r="DM61">
        <v>28</v>
      </c>
      <c r="DN61">
        <v>6</v>
      </c>
      <c r="DO61">
        <v>1</v>
      </c>
      <c r="DP61">
        <v>2</v>
      </c>
      <c r="DQ61">
        <v>41</v>
      </c>
      <c r="DS61">
        <v>21</v>
      </c>
      <c r="DT61">
        <v>1</v>
      </c>
      <c r="DU61">
        <v>15</v>
      </c>
      <c r="DV61">
        <v>6</v>
      </c>
      <c r="DW61">
        <v>3</v>
      </c>
      <c r="DX61">
        <v>43</v>
      </c>
      <c r="DZ61">
        <v>2</v>
      </c>
      <c r="EB61">
        <v>0</v>
      </c>
      <c r="ED61">
        <v>28</v>
      </c>
      <c r="EE61">
        <v>1</v>
      </c>
      <c r="EF61">
        <v>88</v>
      </c>
      <c r="EG61">
        <v>1</v>
      </c>
      <c r="EH61">
        <v>24</v>
      </c>
      <c r="EN61">
        <v>24</v>
      </c>
      <c r="EP61">
        <v>94</v>
      </c>
      <c r="EQ61">
        <v>3</v>
      </c>
      <c r="ER61">
        <v>544</v>
      </c>
      <c r="ES61">
        <v>20</v>
      </c>
      <c r="ET61">
        <v>5</v>
      </c>
      <c r="EU61">
        <v>10</v>
      </c>
      <c r="EV61">
        <v>19</v>
      </c>
      <c r="EW61">
        <v>333</v>
      </c>
      <c r="EX61">
        <v>54</v>
      </c>
      <c r="EY61">
        <v>63</v>
      </c>
      <c r="EZ61">
        <v>363</v>
      </c>
      <c r="FA61">
        <v>5</v>
      </c>
      <c r="FB61">
        <v>22</v>
      </c>
      <c r="FC61">
        <v>84</v>
      </c>
      <c r="FD61">
        <v>90</v>
      </c>
      <c r="FE61">
        <v>9</v>
      </c>
      <c r="FF61">
        <v>0</v>
      </c>
      <c r="FG61">
        <v>39</v>
      </c>
      <c r="FH61">
        <v>34</v>
      </c>
      <c r="FI61">
        <v>3</v>
      </c>
      <c r="FK61">
        <v>13</v>
      </c>
      <c r="FL61">
        <v>12</v>
      </c>
      <c r="FM61">
        <v>55</v>
      </c>
      <c r="FN61">
        <v>1250</v>
      </c>
      <c r="FO61">
        <v>45</v>
      </c>
      <c r="FQ61">
        <v>46</v>
      </c>
      <c r="FR61">
        <v>0</v>
      </c>
      <c r="FS61">
        <v>90</v>
      </c>
      <c r="FT61">
        <v>137</v>
      </c>
      <c r="FU61">
        <v>117</v>
      </c>
      <c r="FV61">
        <v>118</v>
      </c>
      <c r="FW61">
        <v>70</v>
      </c>
      <c r="FY61">
        <v>4</v>
      </c>
      <c r="FZ61">
        <v>1</v>
      </c>
      <c r="GB61">
        <v>1</v>
      </c>
      <c r="GC61">
        <v>1</v>
      </c>
      <c r="GD61">
        <v>18</v>
      </c>
      <c r="GH61">
        <v>55</v>
      </c>
      <c r="GI61">
        <v>1</v>
      </c>
      <c r="GJ61">
        <v>1</v>
      </c>
      <c r="GO61">
        <v>1</v>
      </c>
      <c r="GP61">
        <v>2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0</v>
      </c>
      <c r="GX61">
        <v>1</v>
      </c>
      <c r="GY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IE61">
        <v>3</v>
      </c>
      <c r="KN61">
        <v>3</v>
      </c>
      <c r="KP61">
        <v>6</v>
      </c>
      <c r="KQ61">
        <v>3</v>
      </c>
      <c r="KS61">
        <v>1</v>
      </c>
      <c r="KT61">
        <v>3</v>
      </c>
      <c r="KU61">
        <v>25</v>
      </c>
      <c r="KV61">
        <v>12</v>
      </c>
      <c r="KW61">
        <v>51</v>
      </c>
      <c r="KY61">
        <v>12</v>
      </c>
      <c r="KZ61">
        <v>11</v>
      </c>
      <c r="LA61">
        <v>118</v>
      </c>
      <c r="LB61">
        <v>0</v>
      </c>
      <c r="LW61">
        <v>87</v>
      </c>
      <c r="LZ61">
        <v>23</v>
      </c>
      <c r="MF61">
        <v>9</v>
      </c>
      <c r="MH61">
        <v>41</v>
      </c>
      <c r="MM61">
        <v>1</v>
      </c>
      <c r="MO61">
        <v>67</v>
      </c>
      <c r="NT61">
        <v>13</v>
      </c>
      <c r="OD61">
        <v>115</v>
      </c>
      <c r="OE61">
        <v>51</v>
      </c>
      <c r="OM61">
        <v>9</v>
      </c>
      <c r="ON61">
        <v>41</v>
      </c>
      <c r="OO61">
        <v>21122</v>
      </c>
      <c r="OU61">
        <v>157</v>
      </c>
      <c r="OV61">
        <v>742</v>
      </c>
      <c r="PI61">
        <v>22021</v>
      </c>
      <c r="PM61" t="str">
        <f>IFERROR(VLOOKUP($A61&amp;"",Key!$A:$C,3,FALSE),"")</f>
        <v>ISIC 242</v>
      </c>
    </row>
    <row r="62" spans="1:429" x14ac:dyDescent="0.25">
      <c r="A62" t="s">
        <v>578</v>
      </c>
      <c r="B62" t="s">
        <v>197</v>
      </c>
      <c r="AA62">
        <v>7</v>
      </c>
      <c r="AB62">
        <v>20</v>
      </c>
      <c r="AC62">
        <v>40</v>
      </c>
      <c r="AD62">
        <v>6</v>
      </c>
      <c r="AE62">
        <v>13</v>
      </c>
      <c r="AF62">
        <v>3</v>
      </c>
      <c r="AG62">
        <v>36</v>
      </c>
      <c r="AI62">
        <v>6</v>
      </c>
      <c r="AJ62">
        <v>26</v>
      </c>
      <c r="AK62">
        <v>23</v>
      </c>
      <c r="AL62">
        <v>6</v>
      </c>
      <c r="AO62">
        <v>20</v>
      </c>
      <c r="AP62">
        <v>31</v>
      </c>
      <c r="AV62">
        <v>42</v>
      </c>
      <c r="BA62">
        <v>20</v>
      </c>
      <c r="BE62">
        <v>235</v>
      </c>
      <c r="BF62">
        <v>41</v>
      </c>
      <c r="BG62">
        <v>3944</v>
      </c>
      <c r="BI62">
        <v>10</v>
      </c>
      <c r="BJ62">
        <v>2</v>
      </c>
      <c r="BM62">
        <v>394</v>
      </c>
      <c r="BN62">
        <v>16</v>
      </c>
      <c r="BO62">
        <v>245</v>
      </c>
      <c r="BP62">
        <v>90</v>
      </c>
      <c r="BQ62">
        <v>476</v>
      </c>
      <c r="BR62">
        <v>2416</v>
      </c>
      <c r="BS62">
        <v>342</v>
      </c>
      <c r="BT62">
        <v>165</v>
      </c>
      <c r="BU62">
        <v>4005</v>
      </c>
      <c r="BV62">
        <v>201</v>
      </c>
      <c r="BW62">
        <v>60</v>
      </c>
      <c r="BX62">
        <v>575</v>
      </c>
      <c r="BY62">
        <v>620</v>
      </c>
      <c r="CA62">
        <v>11</v>
      </c>
      <c r="CB62">
        <v>2</v>
      </c>
      <c r="CD62">
        <v>42</v>
      </c>
      <c r="CE62">
        <v>3</v>
      </c>
      <c r="CF62">
        <v>1248</v>
      </c>
      <c r="CG62">
        <v>2</v>
      </c>
      <c r="CK62">
        <v>89</v>
      </c>
      <c r="CL62">
        <v>225</v>
      </c>
      <c r="CM62">
        <v>26</v>
      </c>
      <c r="CO62">
        <v>104</v>
      </c>
      <c r="CP62">
        <v>7</v>
      </c>
      <c r="CQ62">
        <v>998</v>
      </c>
      <c r="CR62">
        <v>48</v>
      </c>
      <c r="CS62">
        <v>147</v>
      </c>
      <c r="CT62">
        <v>310</v>
      </c>
      <c r="CV62">
        <v>71</v>
      </c>
      <c r="CW62">
        <v>111</v>
      </c>
      <c r="CX62">
        <v>9</v>
      </c>
      <c r="CY62">
        <v>19</v>
      </c>
      <c r="CZ62">
        <v>6</v>
      </c>
      <c r="DA62">
        <v>15</v>
      </c>
      <c r="DB62">
        <v>151</v>
      </c>
      <c r="DC62">
        <v>31</v>
      </c>
      <c r="DE62">
        <v>6</v>
      </c>
      <c r="DF62">
        <v>54</v>
      </c>
      <c r="DG62">
        <v>51</v>
      </c>
      <c r="DH62">
        <v>103</v>
      </c>
      <c r="DJ62">
        <v>0</v>
      </c>
      <c r="DK62">
        <v>1</v>
      </c>
      <c r="DL62">
        <v>0</v>
      </c>
      <c r="DM62">
        <v>31</v>
      </c>
      <c r="DN62">
        <v>3</v>
      </c>
      <c r="DO62">
        <v>17</v>
      </c>
      <c r="DP62">
        <v>130</v>
      </c>
      <c r="DQ62">
        <v>52</v>
      </c>
      <c r="DS62">
        <v>12</v>
      </c>
      <c r="DT62">
        <v>1</v>
      </c>
      <c r="DU62">
        <v>5</v>
      </c>
      <c r="DV62">
        <v>5</v>
      </c>
      <c r="DW62">
        <v>2</v>
      </c>
      <c r="DX62">
        <v>44</v>
      </c>
      <c r="DZ62">
        <v>2</v>
      </c>
      <c r="EB62">
        <v>0</v>
      </c>
      <c r="ED62">
        <v>734</v>
      </c>
      <c r="EE62">
        <v>0</v>
      </c>
      <c r="EF62">
        <v>61</v>
      </c>
      <c r="EG62">
        <v>13</v>
      </c>
      <c r="EH62">
        <v>7</v>
      </c>
      <c r="EI62">
        <v>119</v>
      </c>
      <c r="EJ62">
        <v>38</v>
      </c>
      <c r="EM62">
        <v>575</v>
      </c>
      <c r="EN62">
        <v>5</v>
      </c>
      <c r="EQ62">
        <v>7</v>
      </c>
      <c r="ER62">
        <v>1241</v>
      </c>
      <c r="ES62">
        <v>53</v>
      </c>
      <c r="ET62">
        <v>467</v>
      </c>
      <c r="EU62">
        <v>1027</v>
      </c>
      <c r="EV62">
        <v>6</v>
      </c>
      <c r="EW62">
        <v>50</v>
      </c>
      <c r="EX62">
        <v>22</v>
      </c>
      <c r="EY62">
        <v>41</v>
      </c>
      <c r="EZ62">
        <v>43</v>
      </c>
      <c r="FA62">
        <v>19</v>
      </c>
      <c r="FB62">
        <v>893</v>
      </c>
      <c r="FC62">
        <v>71</v>
      </c>
      <c r="FD62">
        <v>13</v>
      </c>
      <c r="FE62">
        <v>164</v>
      </c>
      <c r="FF62">
        <v>2</v>
      </c>
      <c r="FG62">
        <v>513</v>
      </c>
      <c r="FI62">
        <v>8</v>
      </c>
      <c r="FK62">
        <v>489</v>
      </c>
      <c r="FL62">
        <v>428</v>
      </c>
      <c r="FM62">
        <v>394</v>
      </c>
      <c r="FN62">
        <v>81</v>
      </c>
      <c r="FO62">
        <v>28</v>
      </c>
      <c r="FP62">
        <v>86</v>
      </c>
      <c r="FQ62">
        <v>262</v>
      </c>
      <c r="FR62">
        <v>1</v>
      </c>
      <c r="FS62">
        <v>92</v>
      </c>
      <c r="FT62">
        <v>204</v>
      </c>
      <c r="FU62">
        <v>139</v>
      </c>
      <c r="FV62">
        <v>209</v>
      </c>
      <c r="FW62">
        <v>118</v>
      </c>
      <c r="FY62">
        <v>8</v>
      </c>
      <c r="FZ62">
        <v>1</v>
      </c>
      <c r="GB62">
        <v>1</v>
      </c>
      <c r="GC62">
        <v>1</v>
      </c>
      <c r="GD62">
        <v>158</v>
      </c>
      <c r="GF62">
        <v>2</v>
      </c>
      <c r="GH62">
        <v>70</v>
      </c>
      <c r="GI62">
        <v>2</v>
      </c>
      <c r="GJ62">
        <v>3</v>
      </c>
      <c r="GO62">
        <v>3</v>
      </c>
      <c r="GP62">
        <v>5</v>
      </c>
      <c r="GR62">
        <v>2</v>
      </c>
      <c r="GS62">
        <v>3</v>
      </c>
      <c r="GT62">
        <v>3</v>
      </c>
      <c r="GU62">
        <v>2</v>
      </c>
      <c r="GV62">
        <v>2</v>
      </c>
      <c r="GW62">
        <v>1</v>
      </c>
      <c r="GX62">
        <v>2</v>
      </c>
      <c r="GY62">
        <v>2</v>
      </c>
      <c r="HA62">
        <v>3</v>
      </c>
      <c r="HB62">
        <v>3</v>
      </c>
      <c r="HC62">
        <v>2</v>
      </c>
      <c r="HD62">
        <v>2</v>
      </c>
      <c r="HE62">
        <v>2</v>
      </c>
      <c r="HF62">
        <v>2</v>
      </c>
      <c r="HG62">
        <v>2031</v>
      </c>
      <c r="HW62">
        <v>109</v>
      </c>
      <c r="HX62">
        <v>872</v>
      </c>
      <c r="JA62">
        <v>193</v>
      </c>
      <c r="JG62">
        <v>125</v>
      </c>
      <c r="JO62">
        <v>7</v>
      </c>
      <c r="KZ62">
        <v>6</v>
      </c>
      <c r="NO62">
        <v>1</v>
      </c>
      <c r="NP62">
        <v>25</v>
      </c>
      <c r="NQ62">
        <v>12</v>
      </c>
      <c r="OD62">
        <v>23</v>
      </c>
      <c r="OE62">
        <v>6</v>
      </c>
      <c r="OK62">
        <v>5</v>
      </c>
      <c r="OO62">
        <v>30752</v>
      </c>
      <c r="OU62">
        <v>211</v>
      </c>
      <c r="OV62">
        <v>4820</v>
      </c>
      <c r="PI62">
        <v>35783</v>
      </c>
      <c r="PM62" t="str">
        <f>IFERROR(VLOOKUP($A62&amp;"",Key!$A:$C,3,FALSE),"")</f>
        <v>ISIC 242</v>
      </c>
    </row>
    <row r="63" spans="1:429" x14ac:dyDescent="0.25">
      <c r="A63">
        <v>331410</v>
      </c>
      <c r="B63" t="s">
        <v>198</v>
      </c>
      <c r="AC63">
        <v>5</v>
      </c>
      <c r="AP63">
        <v>27</v>
      </c>
      <c r="AX63">
        <v>3</v>
      </c>
      <c r="BA63">
        <v>12</v>
      </c>
      <c r="BC63">
        <v>3509</v>
      </c>
      <c r="BD63">
        <v>679</v>
      </c>
      <c r="BF63">
        <v>63</v>
      </c>
      <c r="BG63">
        <v>1135</v>
      </c>
      <c r="BH63">
        <v>4273</v>
      </c>
      <c r="BI63">
        <v>8081</v>
      </c>
      <c r="BJ63">
        <v>3800</v>
      </c>
      <c r="BK63">
        <v>730</v>
      </c>
      <c r="BL63">
        <v>326</v>
      </c>
      <c r="BN63">
        <v>5</v>
      </c>
      <c r="BQ63">
        <v>7</v>
      </c>
      <c r="BS63">
        <v>12</v>
      </c>
      <c r="BT63">
        <v>1</v>
      </c>
      <c r="BW63">
        <v>2</v>
      </c>
      <c r="BX63">
        <v>17</v>
      </c>
      <c r="BZ63">
        <v>44</v>
      </c>
      <c r="CA63">
        <v>34</v>
      </c>
      <c r="CB63">
        <v>40</v>
      </c>
      <c r="CD63">
        <v>19</v>
      </c>
      <c r="CF63">
        <v>28</v>
      </c>
      <c r="CK63">
        <v>176</v>
      </c>
      <c r="CL63">
        <v>10</v>
      </c>
      <c r="CM63">
        <v>7</v>
      </c>
      <c r="CO63">
        <v>1</v>
      </c>
      <c r="CQ63">
        <v>156</v>
      </c>
      <c r="CR63">
        <v>55</v>
      </c>
      <c r="DG63">
        <v>2</v>
      </c>
      <c r="DJ63">
        <v>0</v>
      </c>
      <c r="DK63">
        <v>1</v>
      </c>
      <c r="DO63">
        <v>1347</v>
      </c>
      <c r="DP63">
        <v>229</v>
      </c>
      <c r="DQ63">
        <v>714</v>
      </c>
      <c r="DT63">
        <v>4</v>
      </c>
      <c r="DU63">
        <v>2</v>
      </c>
      <c r="DV63">
        <v>3</v>
      </c>
      <c r="DW63">
        <v>1</v>
      </c>
      <c r="DX63">
        <v>19</v>
      </c>
      <c r="DZ63">
        <v>6</v>
      </c>
      <c r="EH63">
        <v>1</v>
      </c>
      <c r="EI63">
        <v>863</v>
      </c>
      <c r="EJ63">
        <v>96</v>
      </c>
      <c r="EK63">
        <v>2214</v>
      </c>
      <c r="EL63">
        <v>14</v>
      </c>
      <c r="EM63">
        <v>149</v>
      </c>
      <c r="EN63">
        <v>82</v>
      </c>
      <c r="EQ63">
        <v>6</v>
      </c>
      <c r="ER63">
        <v>905</v>
      </c>
      <c r="ES63">
        <v>35</v>
      </c>
      <c r="EX63">
        <v>0</v>
      </c>
      <c r="EZ63">
        <v>733</v>
      </c>
      <c r="FA63">
        <v>39</v>
      </c>
      <c r="FC63">
        <v>84</v>
      </c>
      <c r="FD63">
        <v>1</v>
      </c>
      <c r="FE63">
        <v>32</v>
      </c>
      <c r="FF63">
        <v>1</v>
      </c>
      <c r="FG63">
        <v>16</v>
      </c>
      <c r="FI63">
        <v>7</v>
      </c>
      <c r="FJ63">
        <v>82</v>
      </c>
      <c r="FM63">
        <v>90</v>
      </c>
      <c r="FZ63">
        <v>326</v>
      </c>
      <c r="GB63">
        <v>432</v>
      </c>
      <c r="GC63">
        <v>641</v>
      </c>
      <c r="GH63">
        <v>19</v>
      </c>
      <c r="HK63">
        <v>2</v>
      </c>
      <c r="IE63">
        <v>13</v>
      </c>
      <c r="JO63">
        <v>19</v>
      </c>
      <c r="JT63">
        <v>22</v>
      </c>
      <c r="KB63">
        <v>303</v>
      </c>
      <c r="LW63">
        <v>450</v>
      </c>
      <c r="LZ63">
        <v>98</v>
      </c>
      <c r="MF63">
        <v>1</v>
      </c>
      <c r="MM63">
        <v>7</v>
      </c>
      <c r="NT63">
        <v>28</v>
      </c>
      <c r="NU63">
        <v>307</v>
      </c>
      <c r="OD63">
        <v>9</v>
      </c>
      <c r="OE63">
        <v>166</v>
      </c>
      <c r="OI63">
        <v>12</v>
      </c>
      <c r="ON63">
        <v>208</v>
      </c>
      <c r="OO63">
        <v>34095</v>
      </c>
      <c r="OU63">
        <v>282</v>
      </c>
      <c r="OV63">
        <v>4683</v>
      </c>
      <c r="PI63">
        <v>39059</v>
      </c>
      <c r="PM63" t="str">
        <f>IFERROR(VLOOKUP($A63&amp;"",Key!$A:$C,3,FALSE),"")</f>
        <v>ISIC 242</v>
      </c>
    </row>
    <row r="64" spans="1:429" x14ac:dyDescent="0.25">
      <c r="A64">
        <v>331420</v>
      </c>
      <c r="B64" t="s">
        <v>199</v>
      </c>
      <c r="X64">
        <v>1</v>
      </c>
      <c r="Z64">
        <v>0</v>
      </c>
      <c r="AA64">
        <v>22</v>
      </c>
      <c r="AB64">
        <v>3</v>
      </c>
      <c r="AC64">
        <v>161</v>
      </c>
      <c r="AD64">
        <v>58</v>
      </c>
      <c r="AE64">
        <v>2</v>
      </c>
      <c r="AF64">
        <v>37</v>
      </c>
      <c r="AG64">
        <v>173</v>
      </c>
      <c r="AH64">
        <v>2</v>
      </c>
      <c r="AI64">
        <v>67</v>
      </c>
      <c r="AJ64">
        <v>352</v>
      </c>
      <c r="AK64">
        <v>198</v>
      </c>
      <c r="AL64">
        <v>53</v>
      </c>
      <c r="BG64">
        <v>123</v>
      </c>
      <c r="BI64">
        <v>6456</v>
      </c>
      <c r="BJ64">
        <v>10</v>
      </c>
      <c r="BL64">
        <v>292</v>
      </c>
      <c r="BN64">
        <v>6</v>
      </c>
      <c r="BO64">
        <v>101</v>
      </c>
      <c r="BP64">
        <v>18</v>
      </c>
      <c r="BQ64">
        <v>474</v>
      </c>
      <c r="BR64">
        <v>145</v>
      </c>
      <c r="BS64">
        <v>136</v>
      </c>
      <c r="BT64">
        <v>123</v>
      </c>
      <c r="BV64">
        <v>37</v>
      </c>
      <c r="BW64">
        <v>62</v>
      </c>
      <c r="BX64">
        <v>185</v>
      </c>
      <c r="BY64">
        <v>450</v>
      </c>
      <c r="CA64">
        <v>672</v>
      </c>
      <c r="CB64">
        <v>225</v>
      </c>
      <c r="CD64">
        <v>200</v>
      </c>
      <c r="CE64">
        <v>492</v>
      </c>
      <c r="CF64">
        <v>90</v>
      </c>
      <c r="CG64">
        <v>76</v>
      </c>
      <c r="CH64">
        <v>27</v>
      </c>
      <c r="CK64">
        <v>2</v>
      </c>
      <c r="CM64">
        <v>65</v>
      </c>
      <c r="CO64">
        <v>10</v>
      </c>
      <c r="CP64">
        <v>61</v>
      </c>
      <c r="CQ64">
        <v>1079</v>
      </c>
      <c r="CR64">
        <v>261</v>
      </c>
      <c r="CX64">
        <v>54</v>
      </c>
      <c r="CY64">
        <v>82</v>
      </c>
      <c r="CZ64">
        <v>89</v>
      </c>
      <c r="DC64">
        <v>34</v>
      </c>
      <c r="DD64">
        <v>83</v>
      </c>
      <c r="DG64">
        <v>74</v>
      </c>
      <c r="DI64">
        <v>4</v>
      </c>
      <c r="DJ64">
        <v>1</v>
      </c>
      <c r="DK64">
        <v>9</v>
      </c>
      <c r="DL64">
        <v>0</v>
      </c>
      <c r="DM64">
        <v>123</v>
      </c>
      <c r="DN64">
        <v>12</v>
      </c>
      <c r="DO64">
        <v>2</v>
      </c>
      <c r="DP64">
        <v>47</v>
      </c>
      <c r="DQ64">
        <v>155</v>
      </c>
      <c r="DR64">
        <v>601</v>
      </c>
      <c r="DS64">
        <v>75</v>
      </c>
      <c r="DT64">
        <v>13</v>
      </c>
      <c r="DU64">
        <v>24</v>
      </c>
      <c r="DV64">
        <v>41</v>
      </c>
      <c r="DW64">
        <v>20</v>
      </c>
      <c r="DX64">
        <v>115</v>
      </c>
      <c r="DY64">
        <v>116</v>
      </c>
      <c r="DZ64">
        <v>11</v>
      </c>
      <c r="EA64">
        <v>2</v>
      </c>
      <c r="ED64">
        <v>91</v>
      </c>
      <c r="EE64">
        <v>13</v>
      </c>
      <c r="EF64">
        <v>90</v>
      </c>
      <c r="EG64">
        <v>627</v>
      </c>
      <c r="EH64">
        <v>244</v>
      </c>
      <c r="EM64">
        <v>2843</v>
      </c>
      <c r="EN64">
        <v>105</v>
      </c>
      <c r="EP64">
        <v>275</v>
      </c>
      <c r="EX64">
        <v>62</v>
      </c>
      <c r="EY64">
        <v>1442</v>
      </c>
      <c r="EZ64">
        <v>538</v>
      </c>
      <c r="FB64">
        <v>292</v>
      </c>
      <c r="FC64">
        <v>108</v>
      </c>
      <c r="FD64">
        <v>934</v>
      </c>
      <c r="FE64">
        <v>142</v>
      </c>
      <c r="FF64">
        <v>0</v>
      </c>
      <c r="FG64">
        <v>5</v>
      </c>
      <c r="FN64">
        <v>17</v>
      </c>
      <c r="FZ64">
        <v>1</v>
      </c>
      <c r="GB64">
        <v>1</v>
      </c>
      <c r="GC64">
        <v>1</v>
      </c>
      <c r="GG64">
        <v>25</v>
      </c>
      <c r="GH64">
        <v>42</v>
      </c>
      <c r="JG64">
        <v>125</v>
      </c>
      <c r="JK64">
        <v>9</v>
      </c>
      <c r="JO64">
        <v>26</v>
      </c>
      <c r="JT64">
        <v>1</v>
      </c>
      <c r="KB64">
        <v>1</v>
      </c>
      <c r="KC64">
        <v>1</v>
      </c>
      <c r="KD64">
        <v>3</v>
      </c>
      <c r="KF64">
        <v>1</v>
      </c>
      <c r="KZ64">
        <v>49</v>
      </c>
      <c r="LK64">
        <v>0</v>
      </c>
      <c r="LZ64">
        <v>13</v>
      </c>
      <c r="MZ64">
        <v>8</v>
      </c>
      <c r="NC64">
        <v>4</v>
      </c>
      <c r="ND64">
        <v>3</v>
      </c>
      <c r="NE64">
        <v>9</v>
      </c>
      <c r="NL64">
        <v>3</v>
      </c>
      <c r="NM64">
        <v>7</v>
      </c>
      <c r="NN64">
        <v>1</v>
      </c>
      <c r="NO64">
        <v>30</v>
      </c>
      <c r="NP64">
        <v>6</v>
      </c>
      <c r="NQ64">
        <v>2</v>
      </c>
      <c r="NS64">
        <v>2</v>
      </c>
      <c r="OB64">
        <v>14</v>
      </c>
      <c r="OD64">
        <v>3</v>
      </c>
      <c r="OE64">
        <v>215</v>
      </c>
      <c r="ON64">
        <v>19</v>
      </c>
      <c r="OO64">
        <v>23246</v>
      </c>
      <c r="OU64">
        <v>59</v>
      </c>
      <c r="OV64">
        <v>2834</v>
      </c>
      <c r="PI64">
        <v>26138</v>
      </c>
      <c r="PM64" t="str">
        <f>IFERROR(VLOOKUP($A64&amp;"",Key!$A:$C,3,FALSE),"")</f>
        <v>ISIC 242</v>
      </c>
    </row>
    <row r="65" spans="1:429" x14ac:dyDescent="0.25">
      <c r="A65">
        <v>331490</v>
      </c>
      <c r="B65" t="s">
        <v>200</v>
      </c>
      <c r="X65">
        <v>4</v>
      </c>
      <c r="AA65">
        <v>0</v>
      </c>
      <c r="AB65">
        <v>0</v>
      </c>
      <c r="AC65">
        <v>19</v>
      </c>
      <c r="AD65">
        <v>0</v>
      </c>
      <c r="AE65">
        <v>3</v>
      </c>
      <c r="AF65">
        <v>0</v>
      </c>
      <c r="AG65">
        <v>1</v>
      </c>
      <c r="AH65">
        <v>0</v>
      </c>
      <c r="AI65">
        <v>0</v>
      </c>
      <c r="AJ65">
        <v>2</v>
      </c>
      <c r="AK65">
        <v>0</v>
      </c>
      <c r="AL65">
        <v>2</v>
      </c>
      <c r="AU65">
        <v>1</v>
      </c>
      <c r="AV65">
        <v>16</v>
      </c>
      <c r="BC65">
        <v>328</v>
      </c>
      <c r="BD65">
        <v>274</v>
      </c>
      <c r="BG65">
        <v>34</v>
      </c>
      <c r="BH65">
        <v>120</v>
      </c>
      <c r="BI65">
        <v>94</v>
      </c>
      <c r="BJ65">
        <v>703</v>
      </c>
      <c r="BK65">
        <v>53</v>
      </c>
      <c r="BL65">
        <v>222</v>
      </c>
      <c r="BM65">
        <v>25</v>
      </c>
      <c r="BN65">
        <v>1189</v>
      </c>
      <c r="BO65">
        <v>70</v>
      </c>
      <c r="BP65">
        <v>38</v>
      </c>
      <c r="BQ65">
        <v>10</v>
      </c>
      <c r="BR65">
        <v>211</v>
      </c>
      <c r="BS65">
        <v>10</v>
      </c>
      <c r="BT65">
        <v>5</v>
      </c>
      <c r="BU65">
        <v>36</v>
      </c>
      <c r="BV65">
        <v>283</v>
      </c>
      <c r="BW65">
        <v>28</v>
      </c>
      <c r="BX65">
        <v>58</v>
      </c>
      <c r="BY65">
        <v>219</v>
      </c>
      <c r="BZ65">
        <v>261</v>
      </c>
      <c r="CA65">
        <v>6</v>
      </c>
      <c r="CB65">
        <v>10</v>
      </c>
      <c r="CC65">
        <v>2</v>
      </c>
      <c r="CD65">
        <v>17</v>
      </c>
      <c r="CE65">
        <v>96</v>
      </c>
      <c r="CF65">
        <v>57</v>
      </c>
      <c r="CG65">
        <v>44</v>
      </c>
      <c r="CH65">
        <v>24</v>
      </c>
      <c r="CI65">
        <v>4</v>
      </c>
      <c r="CJ65">
        <v>182</v>
      </c>
      <c r="CK65">
        <v>16</v>
      </c>
      <c r="CL65">
        <v>15</v>
      </c>
      <c r="CN65">
        <v>0</v>
      </c>
      <c r="CO65">
        <v>18</v>
      </c>
      <c r="CP65">
        <v>4</v>
      </c>
      <c r="CQ65">
        <v>54</v>
      </c>
      <c r="CR65">
        <v>13</v>
      </c>
      <c r="CS65">
        <v>8</v>
      </c>
      <c r="CT65">
        <v>87</v>
      </c>
      <c r="CU65">
        <v>4</v>
      </c>
      <c r="CV65">
        <v>132</v>
      </c>
      <c r="CW65">
        <v>47</v>
      </c>
      <c r="CY65">
        <v>1</v>
      </c>
      <c r="CZ65">
        <v>194</v>
      </c>
      <c r="DA65">
        <v>0</v>
      </c>
      <c r="DB65">
        <v>7</v>
      </c>
      <c r="DC65">
        <v>78</v>
      </c>
      <c r="DE65">
        <v>0</v>
      </c>
      <c r="DF65">
        <v>5</v>
      </c>
      <c r="DG65">
        <v>15</v>
      </c>
      <c r="DH65">
        <v>24</v>
      </c>
      <c r="DK65">
        <v>7</v>
      </c>
      <c r="DL65">
        <v>47</v>
      </c>
      <c r="DM65">
        <v>63</v>
      </c>
      <c r="DN65">
        <v>3</v>
      </c>
      <c r="DO65">
        <v>78</v>
      </c>
      <c r="DP65">
        <v>62</v>
      </c>
      <c r="DQ65">
        <v>208</v>
      </c>
      <c r="DR65">
        <v>95</v>
      </c>
      <c r="DS65">
        <v>101</v>
      </c>
      <c r="DT65">
        <v>31</v>
      </c>
      <c r="DU65">
        <v>19</v>
      </c>
      <c r="DV65">
        <v>45</v>
      </c>
      <c r="DW65">
        <v>5</v>
      </c>
      <c r="DX65">
        <v>24</v>
      </c>
      <c r="DY65">
        <v>4</v>
      </c>
      <c r="DZ65">
        <v>14</v>
      </c>
      <c r="EA65">
        <v>5</v>
      </c>
      <c r="EC65">
        <v>23</v>
      </c>
      <c r="ED65">
        <v>40</v>
      </c>
      <c r="EE65">
        <v>4</v>
      </c>
      <c r="EF65">
        <v>66</v>
      </c>
      <c r="EG65">
        <v>26</v>
      </c>
      <c r="EH65">
        <v>29</v>
      </c>
      <c r="EI65">
        <v>77</v>
      </c>
      <c r="EJ65">
        <v>63</v>
      </c>
      <c r="EK65">
        <v>76</v>
      </c>
      <c r="EL65">
        <v>103</v>
      </c>
      <c r="EM65">
        <v>1</v>
      </c>
      <c r="EN65">
        <v>49</v>
      </c>
      <c r="EO65">
        <v>1</v>
      </c>
      <c r="EP65">
        <v>446</v>
      </c>
      <c r="EQ65">
        <v>0</v>
      </c>
      <c r="ER65">
        <v>135</v>
      </c>
      <c r="ES65">
        <v>5</v>
      </c>
      <c r="ET65">
        <v>2</v>
      </c>
      <c r="EU65">
        <v>14</v>
      </c>
      <c r="EV65">
        <v>0</v>
      </c>
      <c r="EW65">
        <v>6</v>
      </c>
      <c r="EX65">
        <v>21</v>
      </c>
      <c r="EY65">
        <v>127</v>
      </c>
      <c r="EZ65">
        <v>225</v>
      </c>
      <c r="FA65">
        <v>27</v>
      </c>
      <c r="FB65">
        <v>31</v>
      </c>
      <c r="FC65">
        <v>20</v>
      </c>
      <c r="FD65">
        <v>115</v>
      </c>
      <c r="FE65">
        <v>22</v>
      </c>
      <c r="FF65">
        <v>1</v>
      </c>
      <c r="FG65">
        <v>2</v>
      </c>
      <c r="FH65">
        <v>20</v>
      </c>
      <c r="FJ65">
        <v>2</v>
      </c>
      <c r="FK65">
        <v>215</v>
      </c>
      <c r="FL65">
        <v>6</v>
      </c>
      <c r="FM65">
        <v>12</v>
      </c>
      <c r="FN65">
        <v>4</v>
      </c>
      <c r="FO65">
        <v>0</v>
      </c>
      <c r="FX65">
        <v>28</v>
      </c>
      <c r="FY65">
        <v>74</v>
      </c>
      <c r="FZ65">
        <v>16</v>
      </c>
      <c r="GB65">
        <v>15</v>
      </c>
      <c r="GC65">
        <v>17</v>
      </c>
      <c r="GD65">
        <v>10</v>
      </c>
      <c r="GG65">
        <v>42</v>
      </c>
      <c r="GH65">
        <v>292</v>
      </c>
      <c r="GI65">
        <v>7</v>
      </c>
      <c r="GJ65">
        <v>9</v>
      </c>
      <c r="GO65">
        <v>9</v>
      </c>
      <c r="GP65">
        <v>16</v>
      </c>
      <c r="GR65">
        <v>6</v>
      </c>
      <c r="GS65">
        <v>8</v>
      </c>
      <c r="GT65">
        <v>9</v>
      </c>
      <c r="GU65">
        <v>7</v>
      </c>
      <c r="GV65">
        <v>7</v>
      </c>
      <c r="GW65">
        <v>4</v>
      </c>
      <c r="GX65">
        <v>8</v>
      </c>
      <c r="GY65">
        <v>6</v>
      </c>
      <c r="HA65">
        <v>8</v>
      </c>
      <c r="HB65">
        <v>8</v>
      </c>
      <c r="HC65">
        <v>8</v>
      </c>
      <c r="HD65">
        <v>6</v>
      </c>
      <c r="HE65">
        <v>7</v>
      </c>
      <c r="HF65">
        <v>5</v>
      </c>
      <c r="HG65">
        <v>10</v>
      </c>
      <c r="JG65">
        <v>0</v>
      </c>
      <c r="JJ65">
        <v>4</v>
      </c>
      <c r="JO65">
        <v>80</v>
      </c>
      <c r="KB65">
        <v>0</v>
      </c>
      <c r="KW65">
        <v>206</v>
      </c>
      <c r="KX65">
        <v>39</v>
      </c>
      <c r="KY65">
        <v>24</v>
      </c>
      <c r="KZ65">
        <v>2</v>
      </c>
      <c r="LK65">
        <v>0</v>
      </c>
      <c r="LZ65">
        <v>80</v>
      </c>
      <c r="MF65">
        <v>3</v>
      </c>
      <c r="MM65">
        <v>10</v>
      </c>
      <c r="NC65">
        <v>0</v>
      </c>
      <c r="ND65">
        <v>0</v>
      </c>
      <c r="NE65">
        <v>0</v>
      </c>
      <c r="NK65">
        <v>17</v>
      </c>
      <c r="NL65">
        <v>5</v>
      </c>
      <c r="NM65">
        <v>42</v>
      </c>
      <c r="NO65">
        <v>0</v>
      </c>
      <c r="NP65">
        <v>13</v>
      </c>
      <c r="NQ65">
        <v>6</v>
      </c>
      <c r="NT65">
        <v>34</v>
      </c>
      <c r="NU65">
        <v>19</v>
      </c>
      <c r="OB65">
        <v>0</v>
      </c>
      <c r="OE65">
        <v>66</v>
      </c>
      <c r="ON65">
        <v>137</v>
      </c>
      <c r="OO65">
        <v>9738</v>
      </c>
      <c r="OP65">
        <v>90</v>
      </c>
      <c r="OU65">
        <v>87</v>
      </c>
      <c r="OV65">
        <v>4917</v>
      </c>
      <c r="PI65">
        <v>14832</v>
      </c>
      <c r="PM65" t="str">
        <f>IFERROR(VLOOKUP($A65&amp;"",Key!$A:$C,3,FALSE),"")</f>
        <v>ISIC 242</v>
      </c>
    </row>
    <row r="66" spans="1:429" x14ac:dyDescent="0.25">
      <c r="A66">
        <v>331510</v>
      </c>
      <c r="B66" t="s">
        <v>201</v>
      </c>
      <c r="S66">
        <v>11</v>
      </c>
      <c r="AA66">
        <v>1</v>
      </c>
      <c r="AC66">
        <v>130</v>
      </c>
      <c r="AD66">
        <v>7</v>
      </c>
      <c r="AE66">
        <v>1</v>
      </c>
      <c r="AG66">
        <v>32</v>
      </c>
      <c r="AI66">
        <v>8</v>
      </c>
      <c r="AJ66">
        <v>6</v>
      </c>
      <c r="AK66">
        <v>4</v>
      </c>
      <c r="AL66">
        <v>1</v>
      </c>
      <c r="AO66">
        <v>1</v>
      </c>
      <c r="AP66">
        <v>1</v>
      </c>
      <c r="BC66">
        <v>180</v>
      </c>
      <c r="BD66">
        <v>13</v>
      </c>
      <c r="BK66">
        <v>42</v>
      </c>
      <c r="BL66">
        <v>109</v>
      </c>
      <c r="BM66">
        <v>16</v>
      </c>
      <c r="BN66">
        <v>33</v>
      </c>
      <c r="BO66">
        <v>4</v>
      </c>
      <c r="BP66">
        <v>45</v>
      </c>
      <c r="BQ66">
        <v>38</v>
      </c>
      <c r="BR66">
        <v>245</v>
      </c>
      <c r="BS66">
        <v>45</v>
      </c>
      <c r="BT66">
        <v>85</v>
      </c>
      <c r="BV66">
        <v>64</v>
      </c>
      <c r="BW66">
        <v>11</v>
      </c>
      <c r="BX66">
        <v>86</v>
      </c>
      <c r="BY66">
        <v>622</v>
      </c>
      <c r="BZ66">
        <v>29</v>
      </c>
      <c r="CA66">
        <v>381</v>
      </c>
      <c r="CB66">
        <v>1136</v>
      </c>
      <c r="CC66">
        <v>55</v>
      </c>
      <c r="CD66">
        <v>32</v>
      </c>
      <c r="CE66">
        <v>99</v>
      </c>
      <c r="CF66">
        <v>89</v>
      </c>
      <c r="CG66">
        <v>115</v>
      </c>
      <c r="CH66">
        <v>38</v>
      </c>
      <c r="CI66">
        <v>269</v>
      </c>
      <c r="CJ66">
        <v>391</v>
      </c>
      <c r="CK66">
        <v>19</v>
      </c>
      <c r="CL66">
        <v>470</v>
      </c>
      <c r="CM66">
        <v>14</v>
      </c>
      <c r="CN66">
        <v>2</v>
      </c>
      <c r="CO66">
        <v>103</v>
      </c>
      <c r="CP66">
        <v>100</v>
      </c>
      <c r="CQ66">
        <v>899</v>
      </c>
      <c r="CR66">
        <v>12</v>
      </c>
      <c r="CS66">
        <v>153</v>
      </c>
      <c r="CT66">
        <v>122</v>
      </c>
      <c r="CU66">
        <v>108</v>
      </c>
      <c r="CV66">
        <v>147</v>
      </c>
      <c r="CW66">
        <v>155</v>
      </c>
      <c r="CX66">
        <v>31</v>
      </c>
      <c r="CY66">
        <v>193</v>
      </c>
      <c r="CZ66">
        <v>1230</v>
      </c>
      <c r="DA66">
        <v>681</v>
      </c>
      <c r="DB66">
        <v>476</v>
      </c>
      <c r="DC66">
        <v>298</v>
      </c>
      <c r="DD66">
        <v>98</v>
      </c>
      <c r="DE66">
        <v>21</v>
      </c>
      <c r="DF66">
        <v>19</v>
      </c>
      <c r="DG66">
        <v>244</v>
      </c>
      <c r="DH66">
        <v>452</v>
      </c>
      <c r="DL66">
        <v>25</v>
      </c>
      <c r="DM66">
        <v>2</v>
      </c>
      <c r="DN66">
        <v>10</v>
      </c>
      <c r="DO66">
        <v>33</v>
      </c>
      <c r="DP66">
        <v>0</v>
      </c>
      <c r="DQ66">
        <v>48</v>
      </c>
      <c r="DR66">
        <v>45</v>
      </c>
      <c r="DS66">
        <v>30</v>
      </c>
      <c r="DT66">
        <v>10</v>
      </c>
      <c r="DU66">
        <v>14</v>
      </c>
      <c r="DV66">
        <v>17</v>
      </c>
      <c r="DW66">
        <v>5</v>
      </c>
      <c r="DX66">
        <v>9</v>
      </c>
      <c r="DY66">
        <v>7</v>
      </c>
      <c r="DZ66">
        <v>10</v>
      </c>
      <c r="EA66">
        <v>10</v>
      </c>
      <c r="ED66">
        <v>32</v>
      </c>
      <c r="EE66">
        <v>10</v>
      </c>
      <c r="EF66">
        <v>47</v>
      </c>
      <c r="EG66">
        <v>6</v>
      </c>
      <c r="EH66">
        <v>12</v>
      </c>
      <c r="EI66">
        <v>54</v>
      </c>
      <c r="EJ66">
        <v>14</v>
      </c>
      <c r="EL66">
        <v>0</v>
      </c>
      <c r="EN66">
        <v>29</v>
      </c>
      <c r="EO66">
        <v>1</v>
      </c>
      <c r="EP66">
        <v>4</v>
      </c>
      <c r="EQ66">
        <v>6</v>
      </c>
      <c r="ER66">
        <v>50</v>
      </c>
      <c r="ET66">
        <v>30</v>
      </c>
      <c r="EU66">
        <v>5</v>
      </c>
      <c r="EV66">
        <v>0</v>
      </c>
      <c r="EW66">
        <v>4</v>
      </c>
      <c r="EX66">
        <v>544</v>
      </c>
      <c r="EY66">
        <v>279</v>
      </c>
      <c r="EZ66">
        <v>1752</v>
      </c>
      <c r="FA66">
        <v>8</v>
      </c>
      <c r="FB66">
        <v>281</v>
      </c>
      <c r="FC66">
        <v>604</v>
      </c>
      <c r="FD66">
        <v>1735</v>
      </c>
      <c r="FF66">
        <v>13</v>
      </c>
      <c r="FG66">
        <v>559</v>
      </c>
      <c r="FH66">
        <v>0</v>
      </c>
      <c r="FI66">
        <v>9</v>
      </c>
      <c r="FJ66">
        <v>191</v>
      </c>
      <c r="FK66">
        <v>6</v>
      </c>
      <c r="FL66">
        <v>14</v>
      </c>
      <c r="FM66">
        <v>15</v>
      </c>
      <c r="FN66">
        <v>59</v>
      </c>
      <c r="FO66">
        <v>39</v>
      </c>
      <c r="FQ66">
        <v>1</v>
      </c>
      <c r="FS66">
        <v>8</v>
      </c>
      <c r="FT66">
        <v>2</v>
      </c>
      <c r="FU66">
        <v>7</v>
      </c>
      <c r="FV66">
        <v>24</v>
      </c>
      <c r="FX66">
        <v>132</v>
      </c>
      <c r="FY66">
        <v>208</v>
      </c>
      <c r="FZ66">
        <v>6</v>
      </c>
      <c r="GB66">
        <v>6</v>
      </c>
      <c r="GC66">
        <v>4</v>
      </c>
      <c r="GD66">
        <v>66</v>
      </c>
      <c r="GG66">
        <v>1</v>
      </c>
      <c r="GH66">
        <v>8</v>
      </c>
      <c r="JN66">
        <v>0</v>
      </c>
      <c r="JO66">
        <v>26</v>
      </c>
      <c r="KF66">
        <v>492</v>
      </c>
      <c r="KK66">
        <v>115</v>
      </c>
      <c r="MO66">
        <v>5</v>
      </c>
      <c r="NT66">
        <v>3</v>
      </c>
      <c r="OO66">
        <v>18325</v>
      </c>
      <c r="OU66">
        <v>62</v>
      </c>
      <c r="OV66">
        <v>1202</v>
      </c>
      <c r="PI66">
        <v>19589</v>
      </c>
      <c r="PM66" t="str">
        <f>IFERROR(VLOOKUP($A66&amp;"",Key!$A:$C,3,FALSE),"")</f>
        <v>ISIC 241</v>
      </c>
    </row>
    <row r="67" spans="1:429" x14ac:dyDescent="0.25">
      <c r="A67">
        <v>331520</v>
      </c>
      <c r="B67" t="s">
        <v>202</v>
      </c>
      <c r="AC67">
        <v>1</v>
      </c>
      <c r="AP67">
        <v>1</v>
      </c>
      <c r="BL67">
        <v>55</v>
      </c>
      <c r="BM67">
        <v>21</v>
      </c>
      <c r="BN67">
        <v>3</v>
      </c>
      <c r="BO67">
        <v>52</v>
      </c>
      <c r="BP67">
        <v>78</v>
      </c>
      <c r="BQ67">
        <v>13</v>
      </c>
      <c r="BR67">
        <v>128</v>
      </c>
      <c r="BS67">
        <v>35</v>
      </c>
      <c r="BT67">
        <v>19</v>
      </c>
      <c r="BV67">
        <v>31</v>
      </c>
      <c r="BW67">
        <v>12</v>
      </c>
      <c r="BX67">
        <v>862</v>
      </c>
      <c r="BY67">
        <v>223</v>
      </c>
      <c r="BZ67">
        <v>41</v>
      </c>
      <c r="CA67">
        <v>183</v>
      </c>
      <c r="CB67">
        <v>324</v>
      </c>
      <c r="CC67">
        <v>15</v>
      </c>
      <c r="CD67">
        <v>5</v>
      </c>
      <c r="CE67">
        <v>76</v>
      </c>
      <c r="CF67">
        <v>26</v>
      </c>
      <c r="CG67">
        <v>12</v>
      </c>
      <c r="CH67">
        <v>12</v>
      </c>
      <c r="CI67">
        <v>40</v>
      </c>
      <c r="CJ67">
        <v>34</v>
      </c>
      <c r="CK67">
        <v>13</v>
      </c>
      <c r="CL67">
        <v>394</v>
      </c>
      <c r="CM67">
        <v>19</v>
      </c>
      <c r="CN67">
        <v>0</v>
      </c>
      <c r="CO67">
        <v>187</v>
      </c>
      <c r="CP67">
        <v>13</v>
      </c>
      <c r="CQ67">
        <v>98</v>
      </c>
      <c r="CR67">
        <v>18</v>
      </c>
      <c r="CS67">
        <v>187</v>
      </c>
      <c r="CT67">
        <v>87</v>
      </c>
      <c r="CU67">
        <v>153</v>
      </c>
      <c r="CV67">
        <v>124</v>
      </c>
      <c r="CW67">
        <v>10</v>
      </c>
      <c r="CX67">
        <v>14</v>
      </c>
      <c r="CY67">
        <v>27</v>
      </c>
      <c r="CZ67">
        <v>1024</v>
      </c>
      <c r="DA67">
        <v>40</v>
      </c>
      <c r="DB67">
        <v>77</v>
      </c>
      <c r="DC67">
        <v>77</v>
      </c>
      <c r="DD67">
        <v>79</v>
      </c>
      <c r="DE67">
        <v>4</v>
      </c>
      <c r="DF67">
        <v>15</v>
      </c>
      <c r="DG67">
        <v>413</v>
      </c>
      <c r="DH67">
        <v>41</v>
      </c>
      <c r="DK67">
        <v>0</v>
      </c>
      <c r="DL67">
        <v>9</v>
      </c>
      <c r="DM67">
        <v>4</v>
      </c>
      <c r="DN67">
        <v>3</v>
      </c>
      <c r="DO67">
        <v>12</v>
      </c>
      <c r="DP67">
        <v>1</v>
      </c>
      <c r="DQ67">
        <v>7</v>
      </c>
      <c r="DR67">
        <v>12</v>
      </c>
      <c r="DS67">
        <v>8</v>
      </c>
      <c r="DT67">
        <v>0</v>
      </c>
      <c r="DU67">
        <v>6</v>
      </c>
      <c r="DV67">
        <v>18</v>
      </c>
      <c r="DW67">
        <v>1</v>
      </c>
      <c r="DX67">
        <v>8</v>
      </c>
      <c r="DY67">
        <v>5</v>
      </c>
      <c r="DZ67">
        <v>1</v>
      </c>
      <c r="EA67">
        <v>2</v>
      </c>
      <c r="ED67">
        <v>172</v>
      </c>
      <c r="EE67">
        <v>42</v>
      </c>
      <c r="EF67">
        <v>83</v>
      </c>
      <c r="EG67">
        <v>1</v>
      </c>
      <c r="EH67">
        <v>16</v>
      </c>
      <c r="EI67">
        <v>74</v>
      </c>
      <c r="EJ67">
        <v>16</v>
      </c>
      <c r="EK67">
        <v>2</v>
      </c>
      <c r="EL67">
        <v>0</v>
      </c>
      <c r="EN67">
        <v>663</v>
      </c>
      <c r="EO67">
        <v>2</v>
      </c>
      <c r="EP67">
        <v>3</v>
      </c>
      <c r="EQ67">
        <v>10</v>
      </c>
      <c r="ER67">
        <v>70</v>
      </c>
      <c r="ES67">
        <v>0</v>
      </c>
      <c r="ET67">
        <v>12</v>
      </c>
      <c r="EU67">
        <v>5</v>
      </c>
      <c r="EV67">
        <v>0</v>
      </c>
      <c r="EW67">
        <v>4</v>
      </c>
      <c r="EX67">
        <v>2682</v>
      </c>
      <c r="EY67">
        <v>448</v>
      </c>
      <c r="EZ67">
        <v>923</v>
      </c>
      <c r="FA67">
        <v>1</v>
      </c>
      <c r="FB67">
        <v>26</v>
      </c>
      <c r="FC67">
        <v>1051</v>
      </c>
      <c r="FD67">
        <v>1544</v>
      </c>
      <c r="FE67">
        <v>14</v>
      </c>
      <c r="FF67">
        <v>2</v>
      </c>
      <c r="FG67">
        <v>22</v>
      </c>
      <c r="FH67">
        <v>0</v>
      </c>
      <c r="FI67">
        <v>23</v>
      </c>
      <c r="FJ67">
        <v>10</v>
      </c>
      <c r="FK67">
        <v>35</v>
      </c>
      <c r="FL67">
        <v>6</v>
      </c>
      <c r="FM67">
        <v>22</v>
      </c>
      <c r="FN67">
        <v>0</v>
      </c>
      <c r="FO67">
        <v>50</v>
      </c>
      <c r="FQ67">
        <v>1</v>
      </c>
      <c r="FR67">
        <v>1</v>
      </c>
      <c r="FS67">
        <v>11</v>
      </c>
      <c r="FT67">
        <v>1</v>
      </c>
      <c r="FU67">
        <v>10</v>
      </c>
      <c r="FV67">
        <v>26</v>
      </c>
      <c r="FX67">
        <v>37</v>
      </c>
      <c r="FY67">
        <v>26</v>
      </c>
      <c r="FZ67">
        <v>1</v>
      </c>
      <c r="GB67">
        <v>1</v>
      </c>
      <c r="GC67">
        <v>1</v>
      </c>
      <c r="GD67">
        <v>99</v>
      </c>
      <c r="GG67">
        <v>0</v>
      </c>
      <c r="GH67">
        <v>6</v>
      </c>
      <c r="GI67">
        <v>1</v>
      </c>
      <c r="GJ67">
        <v>1</v>
      </c>
      <c r="GO67">
        <v>1</v>
      </c>
      <c r="GP67">
        <v>2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0</v>
      </c>
      <c r="GX67">
        <v>1</v>
      </c>
      <c r="GY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IZ67">
        <v>9</v>
      </c>
      <c r="JK67">
        <v>1</v>
      </c>
      <c r="KD67">
        <v>0</v>
      </c>
      <c r="KK67">
        <v>1</v>
      </c>
      <c r="LT67">
        <v>0</v>
      </c>
      <c r="LU67">
        <v>0</v>
      </c>
      <c r="LZ67">
        <v>4</v>
      </c>
      <c r="MF67">
        <v>0</v>
      </c>
      <c r="MM67">
        <v>2</v>
      </c>
      <c r="MZ67">
        <v>1</v>
      </c>
      <c r="NM67">
        <v>5</v>
      </c>
      <c r="NT67">
        <v>22</v>
      </c>
      <c r="NU67">
        <v>9</v>
      </c>
      <c r="OE67">
        <v>24</v>
      </c>
      <c r="OK67">
        <v>3</v>
      </c>
      <c r="ON67">
        <v>12</v>
      </c>
      <c r="OO67">
        <v>13878</v>
      </c>
      <c r="OP67">
        <v>25</v>
      </c>
      <c r="OU67">
        <v>21</v>
      </c>
      <c r="OV67">
        <v>85</v>
      </c>
      <c r="PI67">
        <v>14008</v>
      </c>
      <c r="PM67" t="str">
        <f>IFERROR(VLOOKUP($A67&amp;"",Key!$A:$C,3,FALSE),"")</f>
        <v>ISIC 242</v>
      </c>
    </row>
    <row r="68" spans="1:429" x14ac:dyDescent="0.25">
      <c r="A68">
        <v>332114</v>
      </c>
      <c r="B68" t="s">
        <v>203</v>
      </c>
      <c r="AA68">
        <v>2</v>
      </c>
      <c r="AB68">
        <v>0</v>
      </c>
      <c r="AC68">
        <v>79</v>
      </c>
      <c r="AD68">
        <v>2</v>
      </c>
      <c r="AE68">
        <v>70</v>
      </c>
      <c r="AF68">
        <v>9</v>
      </c>
      <c r="AG68">
        <v>8</v>
      </c>
      <c r="AH68">
        <v>4</v>
      </c>
      <c r="AI68">
        <v>17</v>
      </c>
      <c r="AJ68">
        <v>17</v>
      </c>
      <c r="AK68">
        <v>8</v>
      </c>
      <c r="AL68">
        <v>3</v>
      </c>
      <c r="AP68">
        <v>2</v>
      </c>
      <c r="AU68">
        <v>9</v>
      </c>
      <c r="AV68">
        <v>58</v>
      </c>
      <c r="BI68">
        <v>2</v>
      </c>
      <c r="BL68">
        <v>118</v>
      </c>
      <c r="BM68">
        <v>179</v>
      </c>
      <c r="BN68">
        <v>31</v>
      </c>
      <c r="BO68">
        <v>17</v>
      </c>
      <c r="BP68">
        <v>8</v>
      </c>
      <c r="BQ68">
        <v>144</v>
      </c>
      <c r="BR68">
        <v>115</v>
      </c>
      <c r="BS68">
        <v>51</v>
      </c>
      <c r="BT68">
        <v>23</v>
      </c>
      <c r="BU68">
        <v>95</v>
      </c>
      <c r="BV68">
        <v>3</v>
      </c>
      <c r="BW68">
        <v>39</v>
      </c>
      <c r="BX68">
        <v>43</v>
      </c>
      <c r="BY68">
        <v>70</v>
      </c>
      <c r="BZ68">
        <v>284</v>
      </c>
      <c r="CA68">
        <v>3</v>
      </c>
      <c r="CB68">
        <v>57</v>
      </c>
      <c r="CC68">
        <v>18</v>
      </c>
      <c r="CD68">
        <v>8</v>
      </c>
      <c r="CE68">
        <v>43</v>
      </c>
      <c r="CF68">
        <v>11</v>
      </c>
      <c r="CG68">
        <v>6</v>
      </c>
      <c r="CH68">
        <v>2</v>
      </c>
      <c r="CI68">
        <v>7</v>
      </c>
      <c r="CJ68">
        <v>192</v>
      </c>
      <c r="CK68">
        <v>13</v>
      </c>
      <c r="CL68">
        <v>54</v>
      </c>
      <c r="CN68">
        <v>1</v>
      </c>
      <c r="CO68">
        <v>117</v>
      </c>
      <c r="CP68">
        <v>3</v>
      </c>
      <c r="CQ68">
        <v>16</v>
      </c>
      <c r="CR68">
        <v>2</v>
      </c>
      <c r="CS68">
        <v>13</v>
      </c>
      <c r="CT68">
        <v>9</v>
      </c>
      <c r="CU68">
        <v>18</v>
      </c>
      <c r="CV68">
        <v>7</v>
      </c>
      <c r="CW68">
        <v>139</v>
      </c>
      <c r="CX68">
        <v>1</v>
      </c>
      <c r="CY68">
        <v>8</v>
      </c>
      <c r="CZ68">
        <v>41</v>
      </c>
      <c r="DA68">
        <v>3</v>
      </c>
      <c r="DB68">
        <v>3</v>
      </c>
      <c r="DC68">
        <v>41</v>
      </c>
      <c r="DD68">
        <v>9</v>
      </c>
      <c r="DE68">
        <v>24</v>
      </c>
      <c r="DF68">
        <v>18</v>
      </c>
      <c r="DG68">
        <v>38</v>
      </c>
      <c r="DH68">
        <v>7</v>
      </c>
      <c r="DJ68">
        <v>0</v>
      </c>
      <c r="DK68">
        <v>1</v>
      </c>
      <c r="DM68">
        <v>4</v>
      </c>
      <c r="DN68">
        <v>0</v>
      </c>
      <c r="DO68">
        <v>0</v>
      </c>
      <c r="DP68">
        <v>1</v>
      </c>
      <c r="DQ68">
        <v>16</v>
      </c>
      <c r="DR68">
        <v>421</v>
      </c>
      <c r="DS68">
        <v>10</v>
      </c>
      <c r="DY68">
        <v>34</v>
      </c>
      <c r="DZ68">
        <v>4</v>
      </c>
      <c r="EA68">
        <v>1</v>
      </c>
      <c r="ED68">
        <v>7</v>
      </c>
      <c r="EE68">
        <v>1</v>
      </c>
      <c r="EF68">
        <v>58</v>
      </c>
      <c r="EG68">
        <v>4</v>
      </c>
      <c r="EH68">
        <v>4</v>
      </c>
      <c r="EI68">
        <v>105</v>
      </c>
      <c r="EJ68">
        <v>30</v>
      </c>
      <c r="EK68">
        <v>6</v>
      </c>
      <c r="EL68">
        <v>11</v>
      </c>
      <c r="EM68">
        <v>20</v>
      </c>
      <c r="EN68">
        <v>19</v>
      </c>
      <c r="EO68">
        <v>8</v>
      </c>
      <c r="EP68">
        <v>7</v>
      </c>
      <c r="EQ68">
        <v>5</v>
      </c>
      <c r="ER68">
        <v>22</v>
      </c>
      <c r="ES68">
        <v>7</v>
      </c>
      <c r="ET68">
        <v>17</v>
      </c>
      <c r="EU68">
        <v>11</v>
      </c>
      <c r="EV68">
        <v>1</v>
      </c>
      <c r="EW68">
        <v>20</v>
      </c>
      <c r="EX68">
        <v>63</v>
      </c>
      <c r="EY68">
        <v>17</v>
      </c>
      <c r="EZ68">
        <v>2345</v>
      </c>
      <c r="FA68">
        <v>28</v>
      </c>
      <c r="FB68">
        <v>86</v>
      </c>
      <c r="FC68">
        <v>35</v>
      </c>
      <c r="FD68">
        <v>267</v>
      </c>
      <c r="FE68">
        <v>15</v>
      </c>
      <c r="FF68">
        <v>0</v>
      </c>
      <c r="FG68">
        <v>23</v>
      </c>
      <c r="FI68">
        <v>4</v>
      </c>
      <c r="FJ68">
        <v>45</v>
      </c>
      <c r="FK68">
        <v>8</v>
      </c>
      <c r="FL68">
        <v>4</v>
      </c>
      <c r="FM68">
        <v>3</v>
      </c>
      <c r="FN68">
        <v>40</v>
      </c>
      <c r="FO68">
        <v>7</v>
      </c>
      <c r="FQ68">
        <v>10</v>
      </c>
      <c r="FR68">
        <v>0</v>
      </c>
      <c r="FS68">
        <v>7</v>
      </c>
      <c r="FT68">
        <v>2</v>
      </c>
      <c r="FU68">
        <v>16</v>
      </c>
      <c r="FV68">
        <v>27</v>
      </c>
      <c r="FW68">
        <v>1</v>
      </c>
      <c r="FX68">
        <v>216</v>
      </c>
      <c r="FY68">
        <v>307</v>
      </c>
      <c r="FZ68">
        <v>1</v>
      </c>
      <c r="GB68">
        <v>2</v>
      </c>
      <c r="GC68">
        <v>1</v>
      </c>
      <c r="GD68">
        <v>11</v>
      </c>
      <c r="GE68">
        <v>0</v>
      </c>
      <c r="GF68">
        <v>1</v>
      </c>
      <c r="GG68">
        <v>354</v>
      </c>
      <c r="GH68">
        <v>22</v>
      </c>
      <c r="GI68">
        <v>1</v>
      </c>
      <c r="GJ68">
        <v>1</v>
      </c>
      <c r="GO68">
        <v>1</v>
      </c>
      <c r="GP68">
        <v>2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0</v>
      </c>
      <c r="GX68">
        <v>1</v>
      </c>
      <c r="GY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IZ68">
        <v>1</v>
      </c>
      <c r="JH68">
        <v>9</v>
      </c>
      <c r="JJ68">
        <v>70</v>
      </c>
      <c r="JL68">
        <v>0</v>
      </c>
      <c r="KB68">
        <v>2</v>
      </c>
      <c r="KD68">
        <v>1</v>
      </c>
      <c r="KZ68">
        <v>78</v>
      </c>
      <c r="LO68">
        <v>47</v>
      </c>
      <c r="MY68">
        <v>1</v>
      </c>
      <c r="NC68">
        <v>8</v>
      </c>
      <c r="ND68">
        <v>8</v>
      </c>
      <c r="NE68">
        <v>13</v>
      </c>
      <c r="NM68">
        <v>15</v>
      </c>
      <c r="OO68">
        <v>7540</v>
      </c>
      <c r="OU68">
        <v>9</v>
      </c>
      <c r="OV68">
        <v>24</v>
      </c>
      <c r="PI68">
        <v>7573</v>
      </c>
      <c r="PM68" t="str">
        <f>IFERROR(VLOOKUP($A68&amp;"",Key!$A:$C,3,FALSE),"")</f>
        <v>ISIC 25</v>
      </c>
    </row>
    <row r="69" spans="1:429" x14ac:dyDescent="0.25">
      <c r="A69" t="s">
        <v>579</v>
      </c>
      <c r="B69" t="s">
        <v>204</v>
      </c>
      <c r="O69">
        <v>3</v>
      </c>
      <c r="S69">
        <v>27</v>
      </c>
      <c r="AA69">
        <v>0</v>
      </c>
      <c r="AB69">
        <v>0</v>
      </c>
      <c r="AC69">
        <v>43</v>
      </c>
      <c r="AD69">
        <v>15</v>
      </c>
      <c r="AE69">
        <v>25</v>
      </c>
      <c r="AF69">
        <v>9</v>
      </c>
      <c r="AG69">
        <v>135</v>
      </c>
      <c r="AI69">
        <v>51</v>
      </c>
      <c r="AK69">
        <v>46</v>
      </c>
      <c r="AL69">
        <v>4</v>
      </c>
      <c r="AP69">
        <v>3</v>
      </c>
      <c r="AW69">
        <v>4</v>
      </c>
      <c r="BA69">
        <v>6</v>
      </c>
      <c r="BB69">
        <v>3</v>
      </c>
      <c r="BL69">
        <v>43</v>
      </c>
      <c r="BM69">
        <v>240</v>
      </c>
      <c r="BN69">
        <v>1626</v>
      </c>
      <c r="BO69">
        <v>34</v>
      </c>
      <c r="BP69">
        <v>104</v>
      </c>
      <c r="BQ69">
        <v>32</v>
      </c>
      <c r="BR69">
        <v>25</v>
      </c>
      <c r="BS69">
        <v>55</v>
      </c>
      <c r="BT69">
        <v>72</v>
      </c>
      <c r="BU69">
        <v>3</v>
      </c>
      <c r="BV69">
        <v>116</v>
      </c>
      <c r="BW69">
        <v>15</v>
      </c>
      <c r="BX69">
        <v>330</v>
      </c>
      <c r="BY69">
        <v>553</v>
      </c>
      <c r="BZ69">
        <v>72</v>
      </c>
      <c r="CA69">
        <v>356</v>
      </c>
      <c r="CB69">
        <v>318</v>
      </c>
      <c r="CC69">
        <v>104</v>
      </c>
      <c r="CD69">
        <v>148</v>
      </c>
      <c r="CE69">
        <v>301</v>
      </c>
      <c r="CF69">
        <v>39</v>
      </c>
      <c r="CG69">
        <v>147</v>
      </c>
      <c r="CH69">
        <v>16</v>
      </c>
      <c r="CI69">
        <v>1</v>
      </c>
      <c r="CJ69">
        <v>945</v>
      </c>
      <c r="CK69">
        <v>6</v>
      </c>
      <c r="CL69">
        <v>234</v>
      </c>
      <c r="CM69">
        <v>4</v>
      </c>
      <c r="CN69">
        <v>1</v>
      </c>
      <c r="CO69">
        <v>52</v>
      </c>
      <c r="CP69">
        <v>11</v>
      </c>
      <c r="CQ69">
        <v>57</v>
      </c>
      <c r="CR69">
        <v>15</v>
      </c>
      <c r="CS69">
        <v>54</v>
      </c>
      <c r="CT69">
        <v>24</v>
      </c>
      <c r="CU69">
        <v>27</v>
      </c>
      <c r="CV69">
        <v>22</v>
      </c>
      <c r="CW69">
        <v>181</v>
      </c>
      <c r="CX69">
        <v>33</v>
      </c>
      <c r="CY69">
        <v>93</v>
      </c>
      <c r="CZ69">
        <v>1111</v>
      </c>
      <c r="DA69">
        <v>98</v>
      </c>
      <c r="DB69">
        <v>283</v>
      </c>
      <c r="DC69">
        <v>174</v>
      </c>
      <c r="DD69">
        <v>24</v>
      </c>
      <c r="DE69">
        <v>34</v>
      </c>
      <c r="DF69">
        <v>13</v>
      </c>
      <c r="DG69">
        <v>71</v>
      </c>
      <c r="DH69">
        <v>95</v>
      </c>
      <c r="DI69">
        <v>6</v>
      </c>
      <c r="DK69">
        <v>15</v>
      </c>
      <c r="DL69">
        <v>12</v>
      </c>
      <c r="DM69">
        <v>90</v>
      </c>
      <c r="DN69">
        <v>25</v>
      </c>
      <c r="DO69">
        <v>9</v>
      </c>
      <c r="DP69">
        <v>0</v>
      </c>
      <c r="DQ69">
        <v>17</v>
      </c>
      <c r="DR69">
        <v>83</v>
      </c>
      <c r="DS69">
        <v>28</v>
      </c>
      <c r="DT69">
        <v>5</v>
      </c>
      <c r="DU69">
        <v>34</v>
      </c>
      <c r="DV69">
        <v>30</v>
      </c>
      <c r="DW69">
        <v>2</v>
      </c>
      <c r="DX69">
        <v>7</v>
      </c>
      <c r="DY69">
        <v>239</v>
      </c>
      <c r="DZ69">
        <v>20</v>
      </c>
      <c r="EA69">
        <v>2</v>
      </c>
      <c r="ED69">
        <v>152</v>
      </c>
      <c r="EE69">
        <v>3</v>
      </c>
      <c r="EF69">
        <v>52</v>
      </c>
      <c r="EG69">
        <v>12</v>
      </c>
      <c r="EH69">
        <v>18</v>
      </c>
      <c r="EI69">
        <v>168</v>
      </c>
      <c r="EJ69">
        <v>22</v>
      </c>
      <c r="EK69">
        <v>38</v>
      </c>
      <c r="EL69">
        <v>5</v>
      </c>
      <c r="EN69">
        <v>95</v>
      </c>
      <c r="EP69">
        <v>10</v>
      </c>
      <c r="EQ69">
        <v>2</v>
      </c>
      <c r="ER69">
        <v>10</v>
      </c>
      <c r="ES69">
        <v>4</v>
      </c>
      <c r="ET69">
        <v>5</v>
      </c>
      <c r="EU69">
        <v>3</v>
      </c>
      <c r="EV69">
        <v>0</v>
      </c>
      <c r="EW69">
        <v>5</v>
      </c>
      <c r="EX69">
        <v>784</v>
      </c>
      <c r="EY69">
        <v>93</v>
      </c>
      <c r="EZ69">
        <v>59</v>
      </c>
      <c r="FA69">
        <v>162</v>
      </c>
      <c r="FB69">
        <v>37</v>
      </c>
      <c r="FC69">
        <v>171</v>
      </c>
      <c r="FD69">
        <v>122</v>
      </c>
      <c r="FE69">
        <v>136</v>
      </c>
      <c r="FF69">
        <v>795</v>
      </c>
      <c r="FG69">
        <v>153</v>
      </c>
      <c r="FH69">
        <v>156</v>
      </c>
      <c r="FI69">
        <v>47</v>
      </c>
      <c r="FJ69">
        <v>116</v>
      </c>
      <c r="FK69">
        <v>217</v>
      </c>
      <c r="FL69">
        <v>49</v>
      </c>
      <c r="FM69">
        <v>1</v>
      </c>
      <c r="FN69">
        <v>14</v>
      </c>
      <c r="FO69">
        <v>31</v>
      </c>
      <c r="FQ69">
        <v>17</v>
      </c>
      <c r="FS69">
        <v>13</v>
      </c>
      <c r="FT69">
        <v>3</v>
      </c>
      <c r="FU69">
        <v>27</v>
      </c>
      <c r="FV69">
        <v>44</v>
      </c>
      <c r="FW69">
        <v>2</v>
      </c>
      <c r="FX69">
        <v>11</v>
      </c>
      <c r="FY69">
        <v>62</v>
      </c>
      <c r="FZ69">
        <v>0</v>
      </c>
      <c r="GB69">
        <v>1</v>
      </c>
      <c r="GC69">
        <v>1</v>
      </c>
      <c r="GD69">
        <v>1</v>
      </c>
      <c r="GE69">
        <v>1</v>
      </c>
      <c r="GF69">
        <v>3</v>
      </c>
      <c r="GG69">
        <v>3</v>
      </c>
      <c r="GH69">
        <v>27</v>
      </c>
      <c r="JH69">
        <v>4</v>
      </c>
      <c r="JJ69">
        <v>30</v>
      </c>
      <c r="JN69">
        <v>0</v>
      </c>
      <c r="KM69">
        <v>6</v>
      </c>
      <c r="KW69">
        <v>19</v>
      </c>
      <c r="KX69">
        <v>120</v>
      </c>
      <c r="KY69">
        <v>4</v>
      </c>
      <c r="KZ69">
        <v>2</v>
      </c>
      <c r="LW69">
        <v>273</v>
      </c>
      <c r="LY69">
        <v>6</v>
      </c>
      <c r="LZ69">
        <v>45</v>
      </c>
      <c r="MF69">
        <v>4</v>
      </c>
      <c r="MK69">
        <v>3</v>
      </c>
      <c r="MM69">
        <v>1</v>
      </c>
      <c r="MN69">
        <v>3</v>
      </c>
      <c r="MO69">
        <v>129</v>
      </c>
      <c r="MZ69">
        <v>4</v>
      </c>
      <c r="NP69">
        <v>156</v>
      </c>
      <c r="NQ69">
        <v>31</v>
      </c>
      <c r="NT69">
        <v>74</v>
      </c>
      <c r="NU69">
        <v>2</v>
      </c>
      <c r="OB69">
        <v>3</v>
      </c>
      <c r="OE69">
        <v>23</v>
      </c>
      <c r="OM69">
        <v>29</v>
      </c>
      <c r="ON69">
        <v>104</v>
      </c>
      <c r="OO69">
        <v>14449</v>
      </c>
      <c r="OU69">
        <v>136</v>
      </c>
      <c r="OV69">
        <v>24</v>
      </c>
      <c r="PI69">
        <v>14609</v>
      </c>
      <c r="PM69" t="str">
        <f>IFERROR(VLOOKUP($A69&amp;"",Key!$A:$C,3,FALSE),"")</f>
        <v>ISIC 25</v>
      </c>
    </row>
    <row r="70" spans="1:429" x14ac:dyDescent="0.25">
      <c r="A70">
        <v>332119</v>
      </c>
      <c r="B70" t="s">
        <v>205</v>
      </c>
      <c r="I70">
        <v>4</v>
      </c>
      <c r="AE70">
        <v>8</v>
      </c>
      <c r="AK70">
        <v>0</v>
      </c>
      <c r="AP70">
        <v>31</v>
      </c>
      <c r="AQ70">
        <v>26</v>
      </c>
      <c r="BK70">
        <v>0</v>
      </c>
      <c r="BM70">
        <v>11</v>
      </c>
      <c r="BN70">
        <v>9</v>
      </c>
      <c r="BO70">
        <v>357</v>
      </c>
      <c r="BP70">
        <v>25</v>
      </c>
      <c r="BQ70">
        <v>127</v>
      </c>
      <c r="BR70">
        <v>21</v>
      </c>
      <c r="BS70">
        <v>29</v>
      </c>
      <c r="BT70">
        <v>9</v>
      </c>
      <c r="BU70">
        <v>6</v>
      </c>
      <c r="BV70">
        <v>35</v>
      </c>
      <c r="BW70">
        <v>25</v>
      </c>
      <c r="BX70">
        <v>57</v>
      </c>
      <c r="BY70">
        <v>18</v>
      </c>
      <c r="BZ70">
        <v>46</v>
      </c>
      <c r="CA70">
        <v>135</v>
      </c>
      <c r="CB70">
        <v>26</v>
      </c>
      <c r="CC70">
        <v>7</v>
      </c>
      <c r="CD70">
        <v>4</v>
      </c>
      <c r="CE70">
        <v>54</v>
      </c>
      <c r="CF70">
        <v>82</v>
      </c>
      <c r="CG70">
        <v>482</v>
      </c>
      <c r="CH70">
        <v>172</v>
      </c>
      <c r="CI70">
        <v>21</v>
      </c>
      <c r="CJ70">
        <v>127</v>
      </c>
      <c r="CK70">
        <v>25</v>
      </c>
      <c r="CL70">
        <v>166</v>
      </c>
      <c r="CM70">
        <v>15</v>
      </c>
      <c r="CN70">
        <v>4</v>
      </c>
      <c r="CO70">
        <v>34</v>
      </c>
      <c r="CP70">
        <v>10</v>
      </c>
      <c r="CQ70">
        <v>325</v>
      </c>
      <c r="CR70">
        <v>5</v>
      </c>
      <c r="CS70">
        <v>9</v>
      </c>
      <c r="CT70">
        <v>8</v>
      </c>
      <c r="CU70">
        <v>6</v>
      </c>
      <c r="CV70">
        <v>8</v>
      </c>
      <c r="CW70">
        <v>27</v>
      </c>
      <c r="CX70">
        <v>2</v>
      </c>
      <c r="CY70">
        <v>9</v>
      </c>
      <c r="CZ70">
        <v>38</v>
      </c>
      <c r="DA70">
        <v>6</v>
      </c>
      <c r="DB70">
        <v>6</v>
      </c>
      <c r="DC70">
        <v>62</v>
      </c>
      <c r="DD70">
        <v>9</v>
      </c>
      <c r="DE70">
        <v>21</v>
      </c>
      <c r="DF70">
        <v>10</v>
      </c>
      <c r="DG70">
        <v>23</v>
      </c>
      <c r="DH70">
        <v>9</v>
      </c>
      <c r="DI70">
        <v>1</v>
      </c>
      <c r="DJ70">
        <v>1</v>
      </c>
      <c r="DK70">
        <v>15</v>
      </c>
      <c r="DL70">
        <v>3</v>
      </c>
      <c r="DM70">
        <v>32</v>
      </c>
      <c r="DN70">
        <v>8</v>
      </c>
      <c r="DO70">
        <v>24</v>
      </c>
      <c r="DP70">
        <v>13</v>
      </c>
      <c r="DQ70">
        <v>102</v>
      </c>
      <c r="DR70">
        <v>75</v>
      </c>
      <c r="DS70">
        <v>83</v>
      </c>
      <c r="DT70">
        <v>42</v>
      </c>
      <c r="DU70">
        <v>31</v>
      </c>
      <c r="DV70">
        <v>13</v>
      </c>
      <c r="DW70">
        <v>37</v>
      </c>
      <c r="DX70">
        <v>12</v>
      </c>
      <c r="DY70">
        <v>137</v>
      </c>
      <c r="DZ70">
        <v>12</v>
      </c>
      <c r="EA70">
        <v>6</v>
      </c>
      <c r="ED70">
        <v>23</v>
      </c>
      <c r="EE70">
        <v>45</v>
      </c>
      <c r="EF70">
        <v>1173</v>
      </c>
      <c r="EG70">
        <v>17</v>
      </c>
      <c r="EH70">
        <v>120</v>
      </c>
      <c r="EI70">
        <v>164</v>
      </c>
      <c r="EJ70">
        <v>56</v>
      </c>
      <c r="EK70">
        <v>91</v>
      </c>
      <c r="EL70">
        <v>59</v>
      </c>
      <c r="EN70">
        <v>343</v>
      </c>
      <c r="EP70">
        <v>305</v>
      </c>
      <c r="EQ70">
        <v>3</v>
      </c>
      <c r="ER70">
        <v>13</v>
      </c>
      <c r="ES70">
        <v>5</v>
      </c>
      <c r="ET70">
        <v>6</v>
      </c>
      <c r="EU70">
        <v>3</v>
      </c>
      <c r="EV70">
        <v>2</v>
      </c>
      <c r="EW70">
        <v>39</v>
      </c>
      <c r="EX70">
        <v>38</v>
      </c>
      <c r="EY70">
        <v>19</v>
      </c>
      <c r="EZ70">
        <v>22</v>
      </c>
      <c r="FA70">
        <v>909</v>
      </c>
      <c r="FB70">
        <v>105</v>
      </c>
      <c r="FC70">
        <v>213</v>
      </c>
      <c r="FD70">
        <v>73</v>
      </c>
      <c r="FE70">
        <v>15</v>
      </c>
      <c r="FF70">
        <v>20</v>
      </c>
      <c r="FG70">
        <v>27</v>
      </c>
      <c r="FH70">
        <v>4</v>
      </c>
      <c r="FI70">
        <v>3</v>
      </c>
      <c r="FJ70">
        <v>5</v>
      </c>
      <c r="FK70">
        <v>5</v>
      </c>
      <c r="FL70">
        <v>4</v>
      </c>
      <c r="FM70">
        <v>7</v>
      </c>
      <c r="FN70">
        <v>22</v>
      </c>
      <c r="FO70">
        <v>8</v>
      </c>
      <c r="FP70">
        <v>2</v>
      </c>
      <c r="FQ70">
        <v>78</v>
      </c>
      <c r="FR70">
        <v>2</v>
      </c>
      <c r="FS70">
        <v>11</v>
      </c>
      <c r="FT70">
        <v>43</v>
      </c>
      <c r="FU70">
        <v>118</v>
      </c>
      <c r="FV70">
        <v>440</v>
      </c>
      <c r="FW70">
        <v>4</v>
      </c>
      <c r="FX70">
        <v>24</v>
      </c>
      <c r="FY70">
        <v>20</v>
      </c>
      <c r="FZ70">
        <v>5</v>
      </c>
      <c r="GB70">
        <v>5</v>
      </c>
      <c r="GC70">
        <v>4</v>
      </c>
      <c r="GD70">
        <v>7</v>
      </c>
      <c r="GE70">
        <v>4</v>
      </c>
      <c r="GF70">
        <v>8</v>
      </c>
      <c r="GG70">
        <v>7</v>
      </c>
      <c r="GH70">
        <v>33</v>
      </c>
      <c r="GN70">
        <v>3</v>
      </c>
      <c r="GQ70">
        <v>1</v>
      </c>
      <c r="GR70">
        <v>1</v>
      </c>
      <c r="GS70">
        <v>2</v>
      </c>
      <c r="GW70">
        <v>1</v>
      </c>
      <c r="HB70">
        <v>4</v>
      </c>
      <c r="HE70">
        <v>3</v>
      </c>
      <c r="HR70">
        <v>1</v>
      </c>
      <c r="HU70">
        <v>724</v>
      </c>
      <c r="HW70">
        <v>75</v>
      </c>
      <c r="IM70">
        <v>182</v>
      </c>
      <c r="IO70">
        <v>2</v>
      </c>
      <c r="IP70">
        <v>11</v>
      </c>
      <c r="IQ70">
        <v>17</v>
      </c>
      <c r="IU70">
        <v>105</v>
      </c>
      <c r="IX70">
        <v>268</v>
      </c>
      <c r="IZ70">
        <v>8</v>
      </c>
      <c r="JG70">
        <v>10</v>
      </c>
      <c r="JH70">
        <v>11</v>
      </c>
      <c r="JJ70">
        <v>411</v>
      </c>
      <c r="JN70">
        <v>250</v>
      </c>
      <c r="JO70">
        <v>61</v>
      </c>
      <c r="JT70">
        <v>12</v>
      </c>
      <c r="KB70">
        <v>9</v>
      </c>
      <c r="KD70">
        <v>3</v>
      </c>
      <c r="KR70">
        <v>0</v>
      </c>
      <c r="KV70">
        <v>370</v>
      </c>
      <c r="KW70">
        <v>278</v>
      </c>
      <c r="KX70">
        <v>120</v>
      </c>
      <c r="KY70">
        <v>4</v>
      </c>
      <c r="KZ70">
        <v>234</v>
      </c>
      <c r="LO70">
        <v>193</v>
      </c>
      <c r="LZ70">
        <v>63</v>
      </c>
      <c r="MF70">
        <v>2</v>
      </c>
      <c r="MM70">
        <v>2</v>
      </c>
      <c r="MZ70">
        <v>755</v>
      </c>
      <c r="NB70">
        <v>2</v>
      </c>
      <c r="NC70">
        <v>36</v>
      </c>
      <c r="ND70">
        <v>28</v>
      </c>
      <c r="NE70">
        <v>48</v>
      </c>
      <c r="NM70">
        <v>54</v>
      </c>
      <c r="NO70">
        <v>16</v>
      </c>
      <c r="NS70">
        <v>58</v>
      </c>
      <c r="NT70">
        <v>49</v>
      </c>
      <c r="NU70">
        <v>57</v>
      </c>
      <c r="OD70">
        <v>244</v>
      </c>
      <c r="OE70">
        <v>37</v>
      </c>
      <c r="OH70">
        <v>1</v>
      </c>
      <c r="OI70">
        <v>16</v>
      </c>
      <c r="OJ70">
        <v>554</v>
      </c>
      <c r="OK70">
        <v>74</v>
      </c>
      <c r="OM70">
        <v>16</v>
      </c>
      <c r="ON70">
        <v>190</v>
      </c>
      <c r="OO70">
        <v>13899</v>
      </c>
      <c r="OP70">
        <v>279</v>
      </c>
      <c r="OU70">
        <v>138</v>
      </c>
      <c r="OV70">
        <v>529</v>
      </c>
      <c r="PI70">
        <v>14844</v>
      </c>
      <c r="PM70" t="str">
        <f>IFERROR(VLOOKUP($A70&amp;"",Key!$A:$C,3,FALSE),"")</f>
        <v>ISIC 25</v>
      </c>
    </row>
    <row r="71" spans="1:429" x14ac:dyDescent="0.25">
      <c r="A71">
        <v>332200</v>
      </c>
      <c r="B71" t="s">
        <v>206</v>
      </c>
      <c r="C71">
        <v>36</v>
      </c>
      <c r="D71">
        <v>106</v>
      </c>
      <c r="E71">
        <v>36</v>
      </c>
      <c r="F71">
        <v>28</v>
      </c>
      <c r="G71">
        <v>40</v>
      </c>
      <c r="H71">
        <v>41</v>
      </c>
      <c r="I71">
        <v>204</v>
      </c>
      <c r="J71">
        <v>155</v>
      </c>
      <c r="K71">
        <v>20</v>
      </c>
      <c r="L71">
        <v>20</v>
      </c>
      <c r="N71">
        <v>3</v>
      </c>
      <c r="O71">
        <v>0</v>
      </c>
      <c r="P71">
        <v>532</v>
      </c>
      <c r="Q71">
        <v>28</v>
      </c>
      <c r="S71">
        <v>22</v>
      </c>
      <c r="V71">
        <v>71</v>
      </c>
      <c r="W71">
        <v>471</v>
      </c>
      <c r="X71">
        <v>2</v>
      </c>
      <c r="AA71">
        <v>93</v>
      </c>
      <c r="AB71">
        <v>217</v>
      </c>
      <c r="AC71">
        <v>48</v>
      </c>
      <c r="AD71">
        <v>109</v>
      </c>
      <c r="AE71">
        <v>144</v>
      </c>
      <c r="AF71">
        <v>61</v>
      </c>
      <c r="AG71">
        <v>733</v>
      </c>
      <c r="AH71">
        <v>49</v>
      </c>
      <c r="AI71">
        <v>79</v>
      </c>
      <c r="AJ71">
        <v>63</v>
      </c>
      <c r="AK71">
        <v>635</v>
      </c>
      <c r="AL71">
        <v>73</v>
      </c>
      <c r="AM71">
        <v>58</v>
      </c>
      <c r="AN71">
        <v>2</v>
      </c>
      <c r="AO71">
        <v>4</v>
      </c>
      <c r="AP71">
        <v>7</v>
      </c>
      <c r="AR71">
        <v>1</v>
      </c>
      <c r="AT71">
        <v>5</v>
      </c>
      <c r="AU71">
        <v>0</v>
      </c>
      <c r="AV71">
        <v>3</v>
      </c>
      <c r="AY71">
        <v>96</v>
      </c>
      <c r="AZ71">
        <v>1</v>
      </c>
      <c r="BA71">
        <v>1</v>
      </c>
      <c r="BC71">
        <v>25</v>
      </c>
      <c r="BD71">
        <v>1</v>
      </c>
      <c r="BE71">
        <v>2</v>
      </c>
      <c r="BF71">
        <v>0</v>
      </c>
      <c r="BG71">
        <v>2</v>
      </c>
      <c r="BI71">
        <v>2</v>
      </c>
      <c r="BJ71">
        <v>2</v>
      </c>
      <c r="BK71">
        <v>7</v>
      </c>
      <c r="BL71">
        <v>7</v>
      </c>
      <c r="BM71">
        <v>14</v>
      </c>
      <c r="BN71">
        <v>14</v>
      </c>
      <c r="BO71">
        <v>28</v>
      </c>
      <c r="BP71">
        <v>26</v>
      </c>
      <c r="BQ71">
        <v>64</v>
      </c>
      <c r="BR71">
        <v>25</v>
      </c>
      <c r="BS71">
        <v>40</v>
      </c>
      <c r="BT71">
        <v>13</v>
      </c>
      <c r="BU71">
        <v>17</v>
      </c>
      <c r="BV71">
        <v>50</v>
      </c>
      <c r="BW71">
        <v>31</v>
      </c>
      <c r="BX71">
        <v>86</v>
      </c>
      <c r="BY71">
        <v>24</v>
      </c>
      <c r="BZ71">
        <v>65</v>
      </c>
      <c r="CA71">
        <v>13</v>
      </c>
      <c r="CB71">
        <v>94</v>
      </c>
      <c r="CC71">
        <v>5</v>
      </c>
      <c r="CD71">
        <v>17</v>
      </c>
      <c r="CE71">
        <v>81</v>
      </c>
      <c r="CF71">
        <v>18</v>
      </c>
      <c r="CG71">
        <v>7</v>
      </c>
      <c r="CH71">
        <v>5</v>
      </c>
      <c r="CI71">
        <v>6</v>
      </c>
      <c r="CJ71">
        <v>97</v>
      </c>
      <c r="CK71">
        <v>26</v>
      </c>
      <c r="CL71">
        <v>59</v>
      </c>
      <c r="CM71">
        <v>9</v>
      </c>
      <c r="CN71">
        <v>3</v>
      </c>
      <c r="CO71">
        <v>42</v>
      </c>
      <c r="CP71">
        <v>11</v>
      </c>
      <c r="CQ71">
        <v>26</v>
      </c>
      <c r="CR71">
        <v>4</v>
      </c>
      <c r="CS71">
        <v>13</v>
      </c>
      <c r="CT71">
        <v>11</v>
      </c>
      <c r="CU71">
        <v>9</v>
      </c>
      <c r="CV71">
        <v>9</v>
      </c>
      <c r="CW71">
        <v>33</v>
      </c>
      <c r="CX71">
        <v>2</v>
      </c>
      <c r="CY71">
        <v>14</v>
      </c>
      <c r="CZ71">
        <v>21</v>
      </c>
      <c r="DA71">
        <v>8</v>
      </c>
      <c r="DB71">
        <v>8</v>
      </c>
      <c r="DC71">
        <v>25</v>
      </c>
      <c r="DD71">
        <v>13</v>
      </c>
      <c r="DE71">
        <v>58</v>
      </c>
      <c r="DF71">
        <v>12</v>
      </c>
      <c r="DG71">
        <v>25</v>
      </c>
      <c r="DH71">
        <v>11</v>
      </c>
      <c r="DJ71">
        <v>0</v>
      </c>
      <c r="DK71">
        <v>0</v>
      </c>
      <c r="DM71">
        <v>5</v>
      </c>
      <c r="DN71">
        <v>1</v>
      </c>
      <c r="DO71">
        <v>2</v>
      </c>
      <c r="DP71">
        <v>1</v>
      </c>
      <c r="DQ71">
        <v>2</v>
      </c>
      <c r="DR71">
        <v>25</v>
      </c>
      <c r="DS71">
        <v>9</v>
      </c>
      <c r="DT71">
        <v>0</v>
      </c>
      <c r="DU71">
        <v>20</v>
      </c>
      <c r="DV71">
        <v>5</v>
      </c>
      <c r="DW71">
        <v>5</v>
      </c>
      <c r="DX71">
        <v>22</v>
      </c>
      <c r="DY71">
        <v>47</v>
      </c>
      <c r="DZ71">
        <v>59</v>
      </c>
      <c r="EA71">
        <v>0</v>
      </c>
      <c r="EC71">
        <v>0</v>
      </c>
      <c r="ED71">
        <v>1</v>
      </c>
      <c r="EE71">
        <v>3</v>
      </c>
      <c r="EF71">
        <v>15</v>
      </c>
      <c r="EG71">
        <v>6</v>
      </c>
      <c r="EH71">
        <v>7</v>
      </c>
      <c r="EI71">
        <v>46</v>
      </c>
      <c r="EJ71">
        <v>22</v>
      </c>
      <c r="EK71">
        <v>10</v>
      </c>
      <c r="EL71">
        <v>3</v>
      </c>
      <c r="EM71">
        <v>1</v>
      </c>
      <c r="EN71">
        <v>27</v>
      </c>
      <c r="EO71">
        <v>0</v>
      </c>
      <c r="EP71">
        <v>2</v>
      </c>
      <c r="EQ71">
        <v>9</v>
      </c>
      <c r="ER71">
        <v>32</v>
      </c>
      <c r="ES71">
        <v>13</v>
      </c>
      <c r="ET71">
        <v>17</v>
      </c>
      <c r="EU71">
        <v>11</v>
      </c>
      <c r="EV71">
        <v>0</v>
      </c>
      <c r="EW71">
        <v>10</v>
      </c>
      <c r="EX71">
        <v>34</v>
      </c>
      <c r="EY71">
        <v>16</v>
      </c>
      <c r="EZ71">
        <v>18</v>
      </c>
      <c r="FA71">
        <v>47</v>
      </c>
      <c r="FB71">
        <v>131</v>
      </c>
      <c r="FC71">
        <v>32</v>
      </c>
      <c r="FD71">
        <v>43</v>
      </c>
      <c r="FE71">
        <v>20</v>
      </c>
      <c r="FF71">
        <v>20</v>
      </c>
      <c r="FG71">
        <v>34</v>
      </c>
      <c r="FI71">
        <v>3</v>
      </c>
      <c r="FJ71">
        <v>295</v>
      </c>
      <c r="FK71">
        <v>10</v>
      </c>
      <c r="FL71">
        <v>7</v>
      </c>
      <c r="FM71">
        <v>9</v>
      </c>
      <c r="FN71">
        <v>41</v>
      </c>
      <c r="FO71">
        <v>12</v>
      </c>
      <c r="FP71">
        <v>1</v>
      </c>
      <c r="FQ71">
        <v>10</v>
      </c>
      <c r="FS71">
        <v>8</v>
      </c>
      <c r="FT71">
        <v>14</v>
      </c>
      <c r="FU71">
        <v>32</v>
      </c>
      <c r="FV71">
        <v>60</v>
      </c>
      <c r="FW71">
        <v>6</v>
      </c>
      <c r="FX71">
        <v>39</v>
      </c>
      <c r="FY71">
        <v>35</v>
      </c>
      <c r="FZ71">
        <v>7</v>
      </c>
      <c r="GA71">
        <v>1</v>
      </c>
      <c r="GB71">
        <v>5</v>
      </c>
      <c r="GC71">
        <v>5</v>
      </c>
      <c r="GD71">
        <v>9</v>
      </c>
      <c r="GE71">
        <v>4</v>
      </c>
      <c r="GF71">
        <v>4</v>
      </c>
      <c r="GG71">
        <v>15</v>
      </c>
      <c r="GH71">
        <v>32</v>
      </c>
      <c r="GP71">
        <v>2</v>
      </c>
      <c r="GR71">
        <v>1</v>
      </c>
      <c r="GW71">
        <v>22</v>
      </c>
      <c r="GX71">
        <v>40</v>
      </c>
      <c r="GZ71">
        <v>6</v>
      </c>
      <c r="HA71">
        <v>2</v>
      </c>
      <c r="HB71">
        <v>2</v>
      </c>
      <c r="HE71">
        <v>1</v>
      </c>
      <c r="HG71">
        <v>8</v>
      </c>
      <c r="HH71">
        <v>0</v>
      </c>
      <c r="HI71">
        <v>0</v>
      </c>
      <c r="HP71">
        <v>0</v>
      </c>
      <c r="HQ71">
        <v>1</v>
      </c>
      <c r="HT71">
        <v>1</v>
      </c>
      <c r="HU71">
        <v>44</v>
      </c>
      <c r="HV71">
        <v>20</v>
      </c>
      <c r="HW71">
        <v>9</v>
      </c>
      <c r="HX71">
        <v>3</v>
      </c>
      <c r="HY71">
        <v>1</v>
      </c>
      <c r="HZ71">
        <v>1</v>
      </c>
      <c r="IA71">
        <v>1</v>
      </c>
      <c r="IB71">
        <v>2</v>
      </c>
      <c r="IK71">
        <v>1</v>
      </c>
      <c r="IL71">
        <v>1</v>
      </c>
      <c r="IM71">
        <v>4</v>
      </c>
      <c r="IN71">
        <v>1</v>
      </c>
      <c r="IW71">
        <v>2</v>
      </c>
      <c r="IX71">
        <v>1</v>
      </c>
      <c r="IZ71">
        <v>9</v>
      </c>
      <c r="JA71">
        <v>13</v>
      </c>
      <c r="JB71">
        <v>7</v>
      </c>
      <c r="JC71">
        <v>2</v>
      </c>
      <c r="JD71">
        <v>5</v>
      </c>
      <c r="JE71">
        <v>2</v>
      </c>
      <c r="JF71">
        <v>4</v>
      </c>
      <c r="JG71">
        <v>171</v>
      </c>
      <c r="JH71">
        <v>14</v>
      </c>
      <c r="JI71">
        <v>2</v>
      </c>
      <c r="JJ71">
        <v>112</v>
      </c>
      <c r="JL71">
        <v>225</v>
      </c>
      <c r="JN71">
        <v>7</v>
      </c>
      <c r="JO71">
        <v>32</v>
      </c>
      <c r="JQ71">
        <v>108</v>
      </c>
      <c r="JS71">
        <v>19</v>
      </c>
      <c r="JT71">
        <v>17</v>
      </c>
      <c r="JV71">
        <v>13</v>
      </c>
      <c r="JW71">
        <v>65</v>
      </c>
      <c r="JX71">
        <v>90</v>
      </c>
      <c r="JY71">
        <v>2</v>
      </c>
      <c r="JZ71">
        <v>26</v>
      </c>
      <c r="KA71">
        <v>15</v>
      </c>
      <c r="KD71">
        <v>0</v>
      </c>
      <c r="KE71">
        <v>5</v>
      </c>
      <c r="KF71">
        <v>17</v>
      </c>
      <c r="KH71">
        <v>35</v>
      </c>
      <c r="KI71">
        <v>28</v>
      </c>
      <c r="KJ71">
        <v>61</v>
      </c>
      <c r="KK71">
        <v>2</v>
      </c>
      <c r="KM71">
        <v>20</v>
      </c>
      <c r="KO71">
        <v>61</v>
      </c>
      <c r="KQ71">
        <v>18</v>
      </c>
      <c r="KW71">
        <v>2</v>
      </c>
      <c r="KX71">
        <v>11</v>
      </c>
      <c r="LA71">
        <v>104</v>
      </c>
      <c r="LC71">
        <v>13</v>
      </c>
      <c r="LD71">
        <v>25</v>
      </c>
      <c r="LE71">
        <v>9</v>
      </c>
      <c r="LF71">
        <v>1</v>
      </c>
      <c r="LK71">
        <v>1</v>
      </c>
      <c r="LL71">
        <v>0</v>
      </c>
      <c r="LM71">
        <v>1389</v>
      </c>
      <c r="LN71">
        <v>154</v>
      </c>
      <c r="LO71">
        <v>137</v>
      </c>
      <c r="LW71">
        <v>6</v>
      </c>
      <c r="LX71">
        <v>17</v>
      </c>
      <c r="LY71">
        <v>5</v>
      </c>
      <c r="LZ71">
        <v>91</v>
      </c>
      <c r="MA71">
        <v>14</v>
      </c>
      <c r="ME71">
        <v>3</v>
      </c>
      <c r="MF71">
        <v>17</v>
      </c>
      <c r="MH71">
        <v>182</v>
      </c>
      <c r="MI71">
        <v>4</v>
      </c>
      <c r="MK71">
        <v>22</v>
      </c>
      <c r="MM71">
        <v>17</v>
      </c>
      <c r="MN71">
        <v>19</v>
      </c>
      <c r="MO71">
        <v>2</v>
      </c>
      <c r="MP71">
        <v>11</v>
      </c>
      <c r="MQ71">
        <v>39</v>
      </c>
      <c r="MR71">
        <v>26</v>
      </c>
      <c r="MZ71">
        <v>16</v>
      </c>
      <c r="NA71">
        <v>8</v>
      </c>
      <c r="NC71">
        <v>2</v>
      </c>
      <c r="ND71">
        <v>8</v>
      </c>
      <c r="NE71">
        <v>381</v>
      </c>
      <c r="NK71">
        <v>4</v>
      </c>
      <c r="NL71">
        <v>9</v>
      </c>
      <c r="NM71">
        <v>129</v>
      </c>
      <c r="NN71">
        <v>69</v>
      </c>
      <c r="NO71">
        <v>223</v>
      </c>
      <c r="NP71">
        <v>401</v>
      </c>
      <c r="NQ71">
        <v>81</v>
      </c>
      <c r="NR71">
        <v>55</v>
      </c>
      <c r="NS71">
        <v>4</v>
      </c>
      <c r="NT71">
        <v>177</v>
      </c>
      <c r="NU71">
        <v>156</v>
      </c>
      <c r="NV71">
        <v>270</v>
      </c>
      <c r="NY71">
        <v>4</v>
      </c>
      <c r="NZ71">
        <v>30</v>
      </c>
      <c r="OA71">
        <v>2</v>
      </c>
      <c r="OB71">
        <v>87</v>
      </c>
      <c r="OD71">
        <v>1404</v>
      </c>
      <c r="OE71">
        <v>237</v>
      </c>
      <c r="OH71">
        <v>5</v>
      </c>
      <c r="OI71">
        <v>502</v>
      </c>
      <c r="OJ71">
        <v>107</v>
      </c>
      <c r="OK71">
        <v>1368</v>
      </c>
      <c r="ON71">
        <v>1</v>
      </c>
      <c r="OO71">
        <v>16576</v>
      </c>
      <c r="OP71">
        <v>16127</v>
      </c>
      <c r="OQ71">
        <v>197</v>
      </c>
      <c r="OU71">
        <v>242</v>
      </c>
      <c r="OV71">
        <v>2264</v>
      </c>
      <c r="OX71">
        <v>1</v>
      </c>
      <c r="PB71">
        <v>2</v>
      </c>
      <c r="PF71">
        <v>41</v>
      </c>
      <c r="PI71">
        <v>35449</v>
      </c>
      <c r="PM71" t="str">
        <f>IFERROR(VLOOKUP($A71&amp;"",Key!$A:$C,3,FALSE),"")</f>
        <v>ISIC 25</v>
      </c>
    </row>
    <row r="72" spans="1:429" x14ac:dyDescent="0.25">
      <c r="A72">
        <v>332310</v>
      </c>
      <c r="B72" t="s">
        <v>207</v>
      </c>
      <c r="C72">
        <v>19</v>
      </c>
      <c r="D72">
        <v>33</v>
      </c>
      <c r="E72">
        <v>11</v>
      </c>
      <c r="F72">
        <v>10</v>
      </c>
      <c r="G72">
        <v>12</v>
      </c>
      <c r="H72">
        <v>14</v>
      </c>
      <c r="I72">
        <v>67</v>
      </c>
      <c r="J72">
        <v>36</v>
      </c>
      <c r="K72">
        <v>7</v>
      </c>
      <c r="L72">
        <v>6</v>
      </c>
      <c r="M72">
        <v>42</v>
      </c>
      <c r="O72">
        <v>26</v>
      </c>
      <c r="P72">
        <v>1024</v>
      </c>
      <c r="R72">
        <v>12</v>
      </c>
      <c r="S72">
        <v>4</v>
      </c>
      <c r="V72">
        <v>143</v>
      </c>
      <c r="W72">
        <v>52</v>
      </c>
      <c r="X72">
        <v>10</v>
      </c>
      <c r="Z72">
        <v>0</v>
      </c>
      <c r="AA72">
        <v>1328</v>
      </c>
      <c r="AB72">
        <v>406</v>
      </c>
      <c r="AC72">
        <v>1850</v>
      </c>
      <c r="AD72">
        <v>449</v>
      </c>
      <c r="AE72">
        <v>5049</v>
      </c>
      <c r="AF72">
        <v>851</v>
      </c>
      <c r="AG72">
        <v>3566</v>
      </c>
      <c r="AH72">
        <v>206</v>
      </c>
      <c r="AI72">
        <v>3367</v>
      </c>
      <c r="AJ72">
        <v>4583</v>
      </c>
      <c r="AK72">
        <v>1504</v>
      </c>
      <c r="AL72">
        <v>8074</v>
      </c>
      <c r="AN72">
        <v>68</v>
      </c>
      <c r="AP72">
        <v>35</v>
      </c>
      <c r="AU72">
        <v>4</v>
      </c>
      <c r="AV72">
        <v>139</v>
      </c>
      <c r="BD72">
        <v>29</v>
      </c>
      <c r="BM72">
        <v>20</v>
      </c>
      <c r="BN72">
        <v>23</v>
      </c>
      <c r="BO72">
        <v>107</v>
      </c>
      <c r="BP72">
        <v>9</v>
      </c>
      <c r="BQ72">
        <v>1536</v>
      </c>
      <c r="BR72">
        <v>22</v>
      </c>
      <c r="BS72">
        <v>52</v>
      </c>
      <c r="BT72">
        <v>16</v>
      </c>
      <c r="BU72">
        <v>8</v>
      </c>
      <c r="BV72">
        <v>38</v>
      </c>
      <c r="BW72">
        <v>25</v>
      </c>
      <c r="BX72">
        <v>672</v>
      </c>
      <c r="BY72">
        <v>16</v>
      </c>
      <c r="BZ72">
        <v>45</v>
      </c>
      <c r="CA72">
        <v>8</v>
      </c>
      <c r="CB72">
        <v>73</v>
      </c>
      <c r="CC72">
        <v>3</v>
      </c>
      <c r="CD72">
        <v>9</v>
      </c>
      <c r="CE72">
        <v>47</v>
      </c>
      <c r="CF72">
        <v>9</v>
      </c>
      <c r="CG72">
        <v>2</v>
      </c>
      <c r="CH72">
        <v>2</v>
      </c>
      <c r="CI72">
        <v>108</v>
      </c>
      <c r="CJ72">
        <v>41</v>
      </c>
      <c r="CK72">
        <v>11</v>
      </c>
      <c r="CL72">
        <v>352</v>
      </c>
      <c r="CN72">
        <v>2</v>
      </c>
      <c r="CO72">
        <v>29</v>
      </c>
      <c r="CP72">
        <v>3</v>
      </c>
      <c r="CQ72">
        <v>203</v>
      </c>
      <c r="CR72">
        <v>49</v>
      </c>
      <c r="CS72">
        <v>8</v>
      </c>
      <c r="CT72">
        <v>6</v>
      </c>
      <c r="CU72">
        <v>5</v>
      </c>
      <c r="CV72">
        <v>5</v>
      </c>
      <c r="CW72">
        <v>141</v>
      </c>
      <c r="CX72">
        <v>2</v>
      </c>
      <c r="CY72">
        <v>6</v>
      </c>
      <c r="CZ72">
        <v>203</v>
      </c>
      <c r="DA72">
        <v>98</v>
      </c>
      <c r="DB72">
        <v>92</v>
      </c>
      <c r="DC72">
        <v>355</v>
      </c>
      <c r="DD72">
        <v>7</v>
      </c>
      <c r="DE72">
        <v>22</v>
      </c>
      <c r="DF72">
        <v>8</v>
      </c>
      <c r="DG72">
        <v>33</v>
      </c>
      <c r="DH72">
        <v>6</v>
      </c>
      <c r="DI72">
        <v>1</v>
      </c>
      <c r="DJ72">
        <v>1</v>
      </c>
      <c r="DK72">
        <v>3</v>
      </c>
      <c r="DM72">
        <v>9</v>
      </c>
      <c r="DN72">
        <v>1</v>
      </c>
      <c r="DO72">
        <v>102</v>
      </c>
      <c r="DP72">
        <v>7</v>
      </c>
      <c r="DQ72">
        <v>32</v>
      </c>
      <c r="DR72">
        <v>18</v>
      </c>
      <c r="DS72">
        <v>5</v>
      </c>
      <c r="DY72">
        <v>16</v>
      </c>
      <c r="DZ72">
        <v>6</v>
      </c>
      <c r="EA72">
        <v>5</v>
      </c>
      <c r="ED72">
        <v>31</v>
      </c>
      <c r="EE72">
        <v>2</v>
      </c>
      <c r="EF72">
        <v>21</v>
      </c>
      <c r="EG72">
        <v>15</v>
      </c>
      <c r="EH72">
        <v>15</v>
      </c>
      <c r="EI72">
        <v>130</v>
      </c>
      <c r="EJ72">
        <v>43</v>
      </c>
      <c r="EK72">
        <v>53</v>
      </c>
      <c r="EL72">
        <v>15</v>
      </c>
      <c r="EN72">
        <v>59</v>
      </c>
      <c r="EP72">
        <v>23</v>
      </c>
      <c r="EQ72">
        <v>4</v>
      </c>
      <c r="ER72">
        <v>18</v>
      </c>
      <c r="ES72">
        <v>8</v>
      </c>
      <c r="ET72">
        <v>16</v>
      </c>
      <c r="EU72">
        <v>7</v>
      </c>
      <c r="EV72">
        <v>0</v>
      </c>
      <c r="EW72">
        <v>3</v>
      </c>
      <c r="EX72">
        <v>753</v>
      </c>
      <c r="EY72">
        <v>18</v>
      </c>
      <c r="EZ72">
        <v>207</v>
      </c>
      <c r="FA72">
        <v>8</v>
      </c>
      <c r="FB72">
        <v>92</v>
      </c>
      <c r="FC72">
        <v>41</v>
      </c>
      <c r="FD72">
        <v>46</v>
      </c>
      <c r="FE72">
        <v>1967</v>
      </c>
      <c r="FF72">
        <v>1</v>
      </c>
      <c r="FG72">
        <v>611</v>
      </c>
      <c r="FH72">
        <v>210</v>
      </c>
      <c r="FI72">
        <v>3</v>
      </c>
      <c r="FJ72">
        <v>364</v>
      </c>
      <c r="FK72">
        <v>219</v>
      </c>
      <c r="FL72">
        <v>238</v>
      </c>
      <c r="FM72">
        <v>3</v>
      </c>
      <c r="FN72">
        <v>38</v>
      </c>
      <c r="FO72">
        <v>7</v>
      </c>
      <c r="FQ72">
        <v>11</v>
      </c>
      <c r="FS72">
        <v>8</v>
      </c>
      <c r="FT72">
        <v>2</v>
      </c>
      <c r="FU72">
        <v>18</v>
      </c>
      <c r="FV72">
        <v>28</v>
      </c>
      <c r="FW72">
        <v>2</v>
      </c>
      <c r="FZ72">
        <v>8</v>
      </c>
      <c r="GB72">
        <v>9</v>
      </c>
      <c r="GC72">
        <v>6</v>
      </c>
      <c r="GD72">
        <v>16</v>
      </c>
      <c r="GE72">
        <v>2</v>
      </c>
      <c r="GF72">
        <v>3</v>
      </c>
      <c r="GG72">
        <v>6</v>
      </c>
      <c r="GH72">
        <v>16</v>
      </c>
      <c r="IZ72">
        <v>1</v>
      </c>
      <c r="JG72">
        <v>186</v>
      </c>
      <c r="JH72">
        <v>9</v>
      </c>
      <c r="JJ72">
        <v>69</v>
      </c>
      <c r="JK72">
        <v>2</v>
      </c>
      <c r="JL72">
        <v>5</v>
      </c>
      <c r="JM72">
        <v>39</v>
      </c>
      <c r="JN72">
        <v>872</v>
      </c>
      <c r="JO72">
        <v>101</v>
      </c>
      <c r="JP72">
        <v>5</v>
      </c>
      <c r="JQ72">
        <v>1</v>
      </c>
      <c r="JR72">
        <v>18</v>
      </c>
      <c r="JS72">
        <v>9</v>
      </c>
      <c r="JT72">
        <v>31</v>
      </c>
      <c r="JV72">
        <v>1</v>
      </c>
      <c r="JX72">
        <v>41</v>
      </c>
      <c r="JY72">
        <v>6</v>
      </c>
      <c r="KB72">
        <v>10</v>
      </c>
      <c r="KC72">
        <v>0</v>
      </c>
      <c r="KD72">
        <v>10</v>
      </c>
      <c r="KF72">
        <v>6</v>
      </c>
      <c r="KG72">
        <v>2133</v>
      </c>
      <c r="KJ72">
        <v>1751</v>
      </c>
      <c r="KK72">
        <v>1</v>
      </c>
      <c r="KL72">
        <v>1</v>
      </c>
      <c r="KM72">
        <v>7</v>
      </c>
      <c r="KO72">
        <v>0</v>
      </c>
      <c r="KP72">
        <v>0</v>
      </c>
      <c r="KQ72">
        <v>0</v>
      </c>
      <c r="KR72">
        <v>0</v>
      </c>
      <c r="KU72">
        <v>0</v>
      </c>
      <c r="KV72">
        <v>1</v>
      </c>
      <c r="KW72">
        <v>17</v>
      </c>
      <c r="KX72">
        <v>100</v>
      </c>
      <c r="KY72">
        <v>1</v>
      </c>
      <c r="KZ72">
        <v>56</v>
      </c>
      <c r="LK72">
        <v>1</v>
      </c>
      <c r="LL72">
        <v>0</v>
      </c>
      <c r="LN72">
        <v>268</v>
      </c>
      <c r="LO72">
        <v>138</v>
      </c>
      <c r="LR72">
        <v>0</v>
      </c>
      <c r="LT72">
        <v>691</v>
      </c>
      <c r="LV72">
        <v>0</v>
      </c>
      <c r="LW72">
        <v>847</v>
      </c>
      <c r="LX72">
        <v>0</v>
      </c>
      <c r="LY72">
        <v>1</v>
      </c>
      <c r="LZ72">
        <v>395</v>
      </c>
      <c r="ME72">
        <v>1</v>
      </c>
      <c r="MF72">
        <v>13</v>
      </c>
      <c r="MG72">
        <v>0</v>
      </c>
      <c r="MH72">
        <v>6</v>
      </c>
      <c r="MI72">
        <v>3</v>
      </c>
      <c r="MJ72">
        <v>188</v>
      </c>
      <c r="MK72">
        <v>0</v>
      </c>
      <c r="MO72">
        <v>407</v>
      </c>
      <c r="MQ72">
        <v>28</v>
      </c>
      <c r="MS72">
        <v>3</v>
      </c>
      <c r="MT72">
        <v>0</v>
      </c>
      <c r="MV72">
        <v>2</v>
      </c>
      <c r="MY72">
        <v>4</v>
      </c>
      <c r="MZ72">
        <v>142</v>
      </c>
      <c r="NA72">
        <v>4</v>
      </c>
      <c r="NB72">
        <v>0</v>
      </c>
      <c r="NC72">
        <v>46</v>
      </c>
      <c r="ND72">
        <v>29</v>
      </c>
      <c r="NE72">
        <v>51</v>
      </c>
      <c r="NF72">
        <v>9</v>
      </c>
      <c r="NG72">
        <v>2</v>
      </c>
      <c r="NH72">
        <v>2</v>
      </c>
      <c r="NI72">
        <v>6</v>
      </c>
      <c r="NJ72">
        <v>3</v>
      </c>
      <c r="NK72">
        <v>9</v>
      </c>
      <c r="NL72">
        <v>3</v>
      </c>
      <c r="NM72">
        <v>59</v>
      </c>
      <c r="NN72">
        <v>5</v>
      </c>
      <c r="NO72">
        <v>213</v>
      </c>
      <c r="NP72">
        <v>4</v>
      </c>
      <c r="NQ72">
        <v>1</v>
      </c>
      <c r="NR72">
        <v>0</v>
      </c>
      <c r="NS72">
        <v>0</v>
      </c>
      <c r="NT72">
        <v>2</v>
      </c>
      <c r="NU72">
        <v>0</v>
      </c>
      <c r="OB72">
        <v>168</v>
      </c>
      <c r="OD72">
        <v>126</v>
      </c>
      <c r="OE72">
        <v>33</v>
      </c>
      <c r="OI72">
        <v>56</v>
      </c>
      <c r="OK72">
        <v>275</v>
      </c>
      <c r="OM72">
        <v>4</v>
      </c>
      <c r="ON72">
        <v>2184</v>
      </c>
      <c r="OO72">
        <v>55120</v>
      </c>
      <c r="OP72">
        <v>290</v>
      </c>
      <c r="OQ72">
        <v>167</v>
      </c>
      <c r="OU72">
        <v>97</v>
      </c>
      <c r="OV72">
        <v>1200</v>
      </c>
      <c r="PB72">
        <v>12</v>
      </c>
      <c r="PI72">
        <v>56885</v>
      </c>
      <c r="PM72" t="str">
        <f>IFERROR(VLOOKUP($A72&amp;"",Key!$A:$C,3,FALSE),"")</f>
        <v>ISIC 25</v>
      </c>
    </row>
    <row r="73" spans="1:429" x14ac:dyDescent="0.25">
      <c r="A73">
        <v>332320</v>
      </c>
      <c r="B73" t="s">
        <v>208</v>
      </c>
      <c r="N73">
        <v>2</v>
      </c>
      <c r="R73">
        <v>14</v>
      </c>
      <c r="V73">
        <v>67</v>
      </c>
      <c r="W73">
        <v>125</v>
      </c>
      <c r="Z73">
        <v>0</v>
      </c>
      <c r="AA73">
        <v>619</v>
      </c>
      <c r="AB73">
        <v>1128</v>
      </c>
      <c r="AC73">
        <v>5800</v>
      </c>
      <c r="AD73">
        <v>1247</v>
      </c>
      <c r="AE73">
        <v>7422</v>
      </c>
      <c r="AF73">
        <v>1868</v>
      </c>
      <c r="AG73">
        <v>6375</v>
      </c>
      <c r="AH73">
        <v>1462</v>
      </c>
      <c r="AI73">
        <v>2024</v>
      </c>
      <c r="AJ73">
        <v>728</v>
      </c>
      <c r="AK73">
        <v>6669</v>
      </c>
      <c r="AL73">
        <v>1117</v>
      </c>
      <c r="AN73">
        <v>12</v>
      </c>
      <c r="AO73">
        <v>114</v>
      </c>
      <c r="AP73">
        <v>168</v>
      </c>
      <c r="AR73">
        <v>2</v>
      </c>
      <c r="AU73">
        <v>5</v>
      </c>
      <c r="AV73">
        <v>40</v>
      </c>
      <c r="BB73">
        <v>3</v>
      </c>
      <c r="BC73">
        <v>5</v>
      </c>
      <c r="BE73">
        <v>4</v>
      </c>
      <c r="BI73">
        <v>1</v>
      </c>
      <c r="BJ73">
        <v>3</v>
      </c>
      <c r="BM73">
        <v>48</v>
      </c>
      <c r="BN73">
        <v>1</v>
      </c>
      <c r="BO73">
        <v>24</v>
      </c>
      <c r="BQ73">
        <v>126</v>
      </c>
      <c r="BR73">
        <v>437</v>
      </c>
      <c r="BS73">
        <v>12</v>
      </c>
      <c r="BT73">
        <v>4</v>
      </c>
      <c r="BU73">
        <v>7</v>
      </c>
      <c r="BW73">
        <v>44</v>
      </c>
      <c r="BX73">
        <v>118</v>
      </c>
      <c r="BY73">
        <v>6</v>
      </c>
      <c r="CB73">
        <v>43</v>
      </c>
      <c r="CD73">
        <v>1</v>
      </c>
      <c r="CF73">
        <v>25</v>
      </c>
      <c r="CG73">
        <v>29</v>
      </c>
      <c r="CH73">
        <v>1</v>
      </c>
      <c r="CI73">
        <v>11</v>
      </c>
      <c r="CK73">
        <v>12</v>
      </c>
      <c r="CL73">
        <v>172</v>
      </c>
      <c r="CM73">
        <v>24</v>
      </c>
      <c r="CO73">
        <v>1072</v>
      </c>
      <c r="CP73">
        <v>2</v>
      </c>
      <c r="CQ73">
        <v>8</v>
      </c>
      <c r="CR73">
        <v>57</v>
      </c>
      <c r="CT73">
        <v>3</v>
      </c>
      <c r="CU73">
        <v>1</v>
      </c>
      <c r="CV73">
        <v>0</v>
      </c>
      <c r="CX73">
        <v>0</v>
      </c>
      <c r="CY73">
        <v>1</v>
      </c>
      <c r="CZ73">
        <v>489</v>
      </c>
      <c r="DA73">
        <v>2</v>
      </c>
      <c r="DC73">
        <v>44</v>
      </c>
      <c r="DF73">
        <v>1</v>
      </c>
      <c r="DG73">
        <v>120</v>
      </c>
      <c r="DI73">
        <v>35</v>
      </c>
      <c r="DJ73">
        <v>215</v>
      </c>
      <c r="DK73">
        <v>29</v>
      </c>
      <c r="DL73">
        <v>8</v>
      </c>
      <c r="DM73">
        <v>156</v>
      </c>
      <c r="DN73">
        <v>24</v>
      </c>
      <c r="DO73">
        <v>111</v>
      </c>
      <c r="DP73">
        <v>54</v>
      </c>
      <c r="DQ73">
        <v>167</v>
      </c>
      <c r="DR73">
        <v>14</v>
      </c>
      <c r="DS73">
        <v>221</v>
      </c>
      <c r="DT73">
        <v>122</v>
      </c>
      <c r="DU73">
        <v>43</v>
      </c>
      <c r="DV73">
        <v>15</v>
      </c>
      <c r="DW73">
        <v>48</v>
      </c>
      <c r="DX73">
        <v>96</v>
      </c>
      <c r="DZ73">
        <v>24</v>
      </c>
      <c r="ED73">
        <v>7</v>
      </c>
      <c r="EE73">
        <v>2</v>
      </c>
      <c r="EF73">
        <v>18</v>
      </c>
      <c r="EH73">
        <v>13</v>
      </c>
      <c r="EI73">
        <v>598</v>
      </c>
      <c r="EJ73">
        <v>445</v>
      </c>
      <c r="EN73">
        <v>26</v>
      </c>
      <c r="EP73">
        <v>247</v>
      </c>
      <c r="EQ73">
        <v>10</v>
      </c>
      <c r="ER73">
        <v>5</v>
      </c>
      <c r="ES73">
        <v>3</v>
      </c>
      <c r="ET73">
        <v>81</v>
      </c>
      <c r="EU73">
        <v>2</v>
      </c>
      <c r="EV73">
        <v>12</v>
      </c>
      <c r="EW73">
        <v>247</v>
      </c>
      <c r="EX73">
        <v>48</v>
      </c>
      <c r="EY73">
        <v>2</v>
      </c>
      <c r="EZ73">
        <v>17</v>
      </c>
      <c r="FA73">
        <v>132</v>
      </c>
      <c r="FB73">
        <v>168</v>
      </c>
      <c r="FC73">
        <v>386</v>
      </c>
      <c r="FD73">
        <v>19</v>
      </c>
      <c r="FE73">
        <v>1</v>
      </c>
      <c r="FF73">
        <v>3</v>
      </c>
      <c r="FJ73">
        <v>1</v>
      </c>
      <c r="FK73">
        <v>1</v>
      </c>
      <c r="FN73">
        <v>87</v>
      </c>
      <c r="FO73">
        <v>1</v>
      </c>
      <c r="FS73">
        <v>41</v>
      </c>
      <c r="FT73">
        <v>0</v>
      </c>
      <c r="FU73">
        <v>72</v>
      </c>
      <c r="FV73">
        <v>24</v>
      </c>
      <c r="FX73">
        <v>229</v>
      </c>
      <c r="FY73">
        <v>267</v>
      </c>
      <c r="GD73">
        <v>1</v>
      </c>
      <c r="II73">
        <v>7</v>
      </c>
      <c r="IL73">
        <v>73</v>
      </c>
      <c r="JG73">
        <v>1467</v>
      </c>
      <c r="JK73">
        <v>11</v>
      </c>
      <c r="JL73">
        <v>5</v>
      </c>
      <c r="JM73">
        <v>1</v>
      </c>
      <c r="JN73">
        <v>18</v>
      </c>
      <c r="JO73">
        <v>94</v>
      </c>
      <c r="JR73">
        <v>0</v>
      </c>
      <c r="JT73">
        <v>1</v>
      </c>
      <c r="JV73">
        <v>1</v>
      </c>
      <c r="KB73">
        <v>19</v>
      </c>
      <c r="KC73">
        <v>0</v>
      </c>
      <c r="KD73">
        <v>5</v>
      </c>
      <c r="KF73">
        <v>2</v>
      </c>
      <c r="KN73">
        <v>0</v>
      </c>
      <c r="KO73">
        <v>3</v>
      </c>
      <c r="KP73">
        <v>0</v>
      </c>
      <c r="KQ73">
        <v>0</v>
      </c>
      <c r="KR73">
        <v>0</v>
      </c>
      <c r="KV73">
        <v>0</v>
      </c>
      <c r="KW73">
        <v>182</v>
      </c>
      <c r="KX73">
        <v>1260</v>
      </c>
      <c r="KY73">
        <v>18</v>
      </c>
      <c r="KZ73">
        <v>535</v>
      </c>
      <c r="LA73">
        <v>6</v>
      </c>
      <c r="LK73">
        <v>12</v>
      </c>
      <c r="LL73">
        <v>0</v>
      </c>
      <c r="LO73">
        <v>143</v>
      </c>
      <c r="LT73">
        <v>1456</v>
      </c>
      <c r="LW73">
        <v>972</v>
      </c>
      <c r="LX73">
        <v>1</v>
      </c>
      <c r="LZ73">
        <v>315</v>
      </c>
      <c r="MF73">
        <v>17</v>
      </c>
      <c r="MH73">
        <v>17</v>
      </c>
      <c r="MI73">
        <v>0</v>
      </c>
      <c r="MO73">
        <v>1977</v>
      </c>
      <c r="MQ73">
        <v>34</v>
      </c>
      <c r="MU73">
        <v>1</v>
      </c>
      <c r="MY73">
        <v>4</v>
      </c>
      <c r="MZ73">
        <v>273</v>
      </c>
      <c r="NC73">
        <v>86</v>
      </c>
      <c r="ND73">
        <v>178</v>
      </c>
      <c r="NE73">
        <v>89</v>
      </c>
      <c r="NF73">
        <v>7</v>
      </c>
      <c r="NH73">
        <v>1</v>
      </c>
      <c r="NI73">
        <v>2</v>
      </c>
      <c r="NJ73">
        <v>1</v>
      </c>
      <c r="NK73">
        <v>4</v>
      </c>
      <c r="NM73">
        <v>125</v>
      </c>
      <c r="NN73">
        <v>21</v>
      </c>
      <c r="NO73">
        <v>558</v>
      </c>
      <c r="NP73">
        <v>562</v>
      </c>
      <c r="NQ73">
        <v>59</v>
      </c>
      <c r="NS73">
        <v>44</v>
      </c>
      <c r="OB73">
        <v>272</v>
      </c>
      <c r="OD73">
        <v>21</v>
      </c>
      <c r="OE73">
        <v>117</v>
      </c>
      <c r="OI73">
        <v>0</v>
      </c>
      <c r="OJ73">
        <v>0</v>
      </c>
      <c r="OK73">
        <v>51</v>
      </c>
      <c r="OL73">
        <v>4</v>
      </c>
      <c r="OM73">
        <v>37</v>
      </c>
      <c r="ON73">
        <v>1178</v>
      </c>
      <c r="OO73">
        <v>56922</v>
      </c>
      <c r="OQ73">
        <v>637</v>
      </c>
      <c r="OU73">
        <v>304</v>
      </c>
      <c r="OV73">
        <v>1083</v>
      </c>
      <c r="PI73">
        <v>58946</v>
      </c>
      <c r="PM73" t="str">
        <f>IFERROR(VLOOKUP($A73&amp;"",Key!$A:$C,3,FALSE),"")</f>
        <v>ISIC 25</v>
      </c>
    </row>
    <row r="74" spans="1:429" x14ac:dyDescent="0.25">
      <c r="A74">
        <v>332410</v>
      </c>
      <c r="B74" t="s">
        <v>209</v>
      </c>
      <c r="X74">
        <v>0</v>
      </c>
      <c r="AA74">
        <v>84</v>
      </c>
      <c r="AB74">
        <v>935</v>
      </c>
      <c r="AC74">
        <v>97</v>
      </c>
      <c r="AD74">
        <v>25</v>
      </c>
      <c r="AE74">
        <v>562</v>
      </c>
      <c r="AF74">
        <v>69</v>
      </c>
      <c r="AG74">
        <v>259</v>
      </c>
      <c r="AH74">
        <v>473</v>
      </c>
      <c r="AI74">
        <v>69</v>
      </c>
      <c r="AJ74">
        <v>38</v>
      </c>
      <c r="AK74">
        <v>79</v>
      </c>
      <c r="AL74">
        <v>47</v>
      </c>
      <c r="BS74">
        <v>64</v>
      </c>
      <c r="BT74">
        <v>20</v>
      </c>
      <c r="BW74">
        <v>4</v>
      </c>
      <c r="BX74">
        <v>60</v>
      </c>
      <c r="CB74">
        <v>4</v>
      </c>
      <c r="CF74">
        <v>2</v>
      </c>
      <c r="CK74">
        <v>14</v>
      </c>
      <c r="CL74">
        <v>500</v>
      </c>
      <c r="CP74">
        <v>15</v>
      </c>
      <c r="CQ74">
        <v>6</v>
      </c>
      <c r="CW74">
        <v>47</v>
      </c>
      <c r="CZ74">
        <v>59</v>
      </c>
      <c r="DG74">
        <v>13</v>
      </c>
      <c r="FK74">
        <v>2</v>
      </c>
      <c r="GM74">
        <v>5</v>
      </c>
      <c r="GN74">
        <v>3</v>
      </c>
      <c r="HU74">
        <v>3</v>
      </c>
      <c r="IG74">
        <v>19</v>
      </c>
      <c r="IJ74">
        <v>12</v>
      </c>
      <c r="IK74">
        <v>7</v>
      </c>
      <c r="IL74">
        <v>103</v>
      </c>
      <c r="IP74">
        <v>2</v>
      </c>
      <c r="IR74">
        <v>17</v>
      </c>
      <c r="IT74">
        <v>5</v>
      </c>
      <c r="IU74">
        <v>233</v>
      </c>
      <c r="IV74">
        <v>67</v>
      </c>
      <c r="IW74">
        <v>275</v>
      </c>
      <c r="IX74">
        <v>120</v>
      </c>
      <c r="IY74">
        <v>32</v>
      </c>
      <c r="IZ74">
        <v>47</v>
      </c>
      <c r="KW74">
        <v>5</v>
      </c>
      <c r="KX74">
        <v>34</v>
      </c>
      <c r="LL74">
        <v>0</v>
      </c>
      <c r="LT74">
        <v>12</v>
      </c>
      <c r="LW74">
        <v>14</v>
      </c>
      <c r="LZ74">
        <v>36</v>
      </c>
      <c r="MF74">
        <v>2</v>
      </c>
      <c r="MO74">
        <v>374</v>
      </c>
      <c r="MQ74">
        <v>1</v>
      </c>
      <c r="NP74">
        <v>31</v>
      </c>
      <c r="NQ74">
        <v>9</v>
      </c>
      <c r="OE74">
        <v>18</v>
      </c>
      <c r="ON74">
        <v>161</v>
      </c>
      <c r="OO74">
        <v>5194</v>
      </c>
      <c r="OQ74">
        <v>6290</v>
      </c>
      <c r="OU74">
        <v>135</v>
      </c>
      <c r="OV74">
        <v>1482</v>
      </c>
      <c r="PB74">
        <v>130</v>
      </c>
      <c r="PI74">
        <v>13231</v>
      </c>
      <c r="PM74" t="str">
        <f>IFERROR(VLOOKUP($A74&amp;"",Key!$A:$C,3,FALSE),"")</f>
        <v>ISIC 25</v>
      </c>
    </row>
    <row r="75" spans="1:429" x14ac:dyDescent="0.25">
      <c r="A75">
        <v>332420</v>
      </c>
      <c r="B75" t="s">
        <v>210</v>
      </c>
      <c r="Z75">
        <v>0</v>
      </c>
      <c r="AA75">
        <v>36</v>
      </c>
      <c r="AB75">
        <v>83</v>
      </c>
      <c r="AC75">
        <v>248</v>
      </c>
      <c r="AD75">
        <v>97</v>
      </c>
      <c r="AE75">
        <v>153</v>
      </c>
      <c r="AF75">
        <v>51</v>
      </c>
      <c r="AG75">
        <v>488</v>
      </c>
      <c r="AH75">
        <v>25</v>
      </c>
      <c r="AI75">
        <v>674</v>
      </c>
      <c r="AJ75">
        <v>6</v>
      </c>
      <c r="AK75">
        <v>312</v>
      </c>
      <c r="AL75">
        <v>20</v>
      </c>
      <c r="BS75">
        <v>39</v>
      </c>
      <c r="BT75">
        <v>455</v>
      </c>
      <c r="BW75">
        <v>12</v>
      </c>
      <c r="BX75">
        <v>23</v>
      </c>
      <c r="CB75">
        <v>13</v>
      </c>
      <c r="CF75">
        <v>0</v>
      </c>
      <c r="CK75">
        <v>13</v>
      </c>
      <c r="CL75">
        <v>441</v>
      </c>
      <c r="CW75">
        <v>41</v>
      </c>
      <c r="CZ75">
        <v>48</v>
      </c>
      <c r="DG75">
        <v>15</v>
      </c>
      <c r="EX75">
        <v>34</v>
      </c>
      <c r="FK75">
        <v>4</v>
      </c>
      <c r="GM75">
        <v>4</v>
      </c>
      <c r="ID75">
        <v>6</v>
      </c>
      <c r="IG75">
        <v>95</v>
      </c>
      <c r="IJ75">
        <v>1</v>
      </c>
      <c r="IK75">
        <v>18</v>
      </c>
      <c r="IL75">
        <v>87</v>
      </c>
      <c r="IP75">
        <v>2</v>
      </c>
      <c r="IQ75">
        <v>3</v>
      </c>
      <c r="IT75">
        <v>38</v>
      </c>
      <c r="IU75">
        <v>160</v>
      </c>
      <c r="IV75">
        <v>36</v>
      </c>
      <c r="IW75">
        <v>70</v>
      </c>
      <c r="IX75">
        <v>26</v>
      </c>
      <c r="IY75">
        <v>20</v>
      </c>
      <c r="IZ75">
        <v>103</v>
      </c>
      <c r="LK75">
        <v>0</v>
      </c>
      <c r="LL75">
        <v>0</v>
      </c>
      <c r="LZ75">
        <v>0</v>
      </c>
      <c r="MO75">
        <v>1</v>
      </c>
      <c r="MQ75">
        <v>0</v>
      </c>
      <c r="NN75">
        <v>1</v>
      </c>
      <c r="OE75">
        <v>827</v>
      </c>
      <c r="OK75">
        <v>107</v>
      </c>
      <c r="OL75">
        <v>0</v>
      </c>
      <c r="ON75">
        <v>1</v>
      </c>
      <c r="OO75">
        <v>4935</v>
      </c>
      <c r="OQ75">
        <v>3854</v>
      </c>
      <c r="OU75">
        <v>12</v>
      </c>
      <c r="OV75">
        <v>1271</v>
      </c>
      <c r="PF75">
        <v>4</v>
      </c>
      <c r="PI75">
        <v>10076</v>
      </c>
      <c r="PM75" t="str">
        <f>IFERROR(VLOOKUP($A75&amp;"",Key!$A:$C,3,FALSE),"")</f>
        <v>ISIC 25</v>
      </c>
    </row>
    <row r="76" spans="1:429" x14ac:dyDescent="0.25">
      <c r="A76">
        <v>332430</v>
      </c>
      <c r="B76" t="s">
        <v>211</v>
      </c>
      <c r="AA76">
        <v>1</v>
      </c>
      <c r="AC76">
        <v>1</v>
      </c>
      <c r="AF76">
        <v>17</v>
      </c>
      <c r="AG76">
        <v>3</v>
      </c>
      <c r="AK76">
        <v>4</v>
      </c>
      <c r="AP76">
        <v>4</v>
      </c>
      <c r="BM76">
        <v>11</v>
      </c>
      <c r="BN76">
        <v>14</v>
      </c>
      <c r="BO76">
        <v>21</v>
      </c>
      <c r="BP76">
        <v>12</v>
      </c>
      <c r="BQ76">
        <v>75</v>
      </c>
      <c r="BR76">
        <v>7</v>
      </c>
      <c r="BS76">
        <v>54</v>
      </c>
      <c r="BT76">
        <v>16</v>
      </c>
      <c r="BU76">
        <v>3786</v>
      </c>
      <c r="BV76">
        <v>41</v>
      </c>
      <c r="BW76">
        <v>16</v>
      </c>
      <c r="BX76">
        <v>36</v>
      </c>
      <c r="BY76">
        <v>20</v>
      </c>
      <c r="BZ76">
        <v>50</v>
      </c>
      <c r="CA76">
        <v>10</v>
      </c>
      <c r="CB76">
        <v>67</v>
      </c>
      <c r="CC76">
        <v>4</v>
      </c>
      <c r="CD76">
        <v>13</v>
      </c>
      <c r="CE76">
        <v>59</v>
      </c>
      <c r="CF76">
        <v>14</v>
      </c>
      <c r="CG76">
        <v>5</v>
      </c>
      <c r="CH76">
        <v>3</v>
      </c>
      <c r="CI76">
        <v>85</v>
      </c>
      <c r="CJ76">
        <v>43</v>
      </c>
      <c r="CK76">
        <v>16</v>
      </c>
      <c r="CL76">
        <v>79</v>
      </c>
      <c r="CN76">
        <v>1</v>
      </c>
      <c r="CO76">
        <v>34</v>
      </c>
      <c r="CP76">
        <v>4</v>
      </c>
      <c r="CQ76">
        <v>22</v>
      </c>
      <c r="CR76">
        <v>49</v>
      </c>
      <c r="CS76">
        <v>10</v>
      </c>
      <c r="CT76">
        <v>9</v>
      </c>
      <c r="CU76">
        <v>8</v>
      </c>
      <c r="CV76">
        <v>8</v>
      </c>
      <c r="CW76">
        <v>154</v>
      </c>
      <c r="CX76">
        <v>2</v>
      </c>
      <c r="CY76">
        <v>10</v>
      </c>
      <c r="CZ76">
        <v>152</v>
      </c>
      <c r="DA76">
        <v>91</v>
      </c>
      <c r="DB76">
        <v>90</v>
      </c>
      <c r="DC76">
        <v>173</v>
      </c>
      <c r="DD76">
        <v>10</v>
      </c>
      <c r="DE76">
        <v>25</v>
      </c>
      <c r="DF76">
        <v>9</v>
      </c>
      <c r="DG76">
        <v>16</v>
      </c>
      <c r="DH76">
        <v>11</v>
      </c>
      <c r="DJ76">
        <v>0</v>
      </c>
      <c r="DK76">
        <v>1</v>
      </c>
      <c r="DL76">
        <v>0</v>
      </c>
      <c r="DM76">
        <v>11</v>
      </c>
      <c r="DN76">
        <v>8</v>
      </c>
      <c r="DO76">
        <v>1</v>
      </c>
      <c r="DP76">
        <v>2</v>
      </c>
      <c r="DQ76">
        <v>23</v>
      </c>
      <c r="DR76">
        <v>22</v>
      </c>
      <c r="DS76">
        <v>37</v>
      </c>
      <c r="DT76">
        <v>0</v>
      </c>
      <c r="DV76">
        <v>0</v>
      </c>
      <c r="DX76">
        <v>0</v>
      </c>
      <c r="DY76">
        <v>33</v>
      </c>
      <c r="DZ76">
        <v>1</v>
      </c>
      <c r="EA76">
        <v>0</v>
      </c>
      <c r="ED76">
        <v>9</v>
      </c>
      <c r="EE76">
        <v>2</v>
      </c>
      <c r="EF76">
        <v>23</v>
      </c>
      <c r="EG76">
        <v>4</v>
      </c>
      <c r="EH76">
        <v>5</v>
      </c>
      <c r="EI76">
        <v>27</v>
      </c>
      <c r="EJ76">
        <v>15</v>
      </c>
      <c r="EK76">
        <v>6</v>
      </c>
      <c r="EL76">
        <v>1</v>
      </c>
      <c r="EN76">
        <v>27</v>
      </c>
      <c r="EP76">
        <v>8</v>
      </c>
      <c r="EQ76">
        <v>6</v>
      </c>
      <c r="ER76">
        <v>26</v>
      </c>
      <c r="ES76">
        <v>11</v>
      </c>
      <c r="ET76">
        <v>16</v>
      </c>
      <c r="EU76">
        <v>7</v>
      </c>
      <c r="EV76">
        <v>0</v>
      </c>
      <c r="EW76">
        <v>6</v>
      </c>
      <c r="EX76">
        <v>5</v>
      </c>
      <c r="EY76">
        <v>22</v>
      </c>
      <c r="EZ76">
        <v>24</v>
      </c>
      <c r="FA76">
        <v>34</v>
      </c>
      <c r="FB76">
        <v>101</v>
      </c>
      <c r="FC76">
        <v>41</v>
      </c>
      <c r="FD76">
        <v>51</v>
      </c>
      <c r="FE76">
        <v>16</v>
      </c>
      <c r="FF76">
        <v>11</v>
      </c>
      <c r="FG76">
        <v>25</v>
      </c>
      <c r="FH76">
        <v>1</v>
      </c>
      <c r="FI76">
        <v>4</v>
      </c>
      <c r="FJ76">
        <v>5</v>
      </c>
      <c r="FK76">
        <v>5</v>
      </c>
      <c r="FL76">
        <v>5</v>
      </c>
      <c r="FM76">
        <v>8</v>
      </c>
      <c r="FN76">
        <v>51</v>
      </c>
      <c r="FO76">
        <v>10</v>
      </c>
      <c r="FQ76">
        <v>14</v>
      </c>
      <c r="FR76">
        <v>0</v>
      </c>
      <c r="FS76">
        <v>11</v>
      </c>
      <c r="FT76">
        <v>5</v>
      </c>
      <c r="FU76">
        <v>19</v>
      </c>
      <c r="FV76">
        <v>37</v>
      </c>
      <c r="FW76">
        <v>3</v>
      </c>
      <c r="FY76">
        <v>4</v>
      </c>
      <c r="FZ76">
        <v>5</v>
      </c>
      <c r="GB76">
        <v>4</v>
      </c>
      <c r="GC76">
        <v>3</v>
      </c>
      <c r="GD76">
        <v>5</v>
      </c>
      <c r="GE76">
        <v>2</v>
      </c>
      <c r="GF76">
        <v>3</v>
      </c>
      <c r="GG76">
        <v>8</v>
      </c>
      <c r="GH76">
        <v>26</v>
      </c>
      <c r="GI76">
        <v>1361</v>
      </c>
      <c r="GJ76">
        <v>8</v>
      </c>
      <c r="GM76">
        <v>9</v>
      </c>
      <c r="GN76">
        <v>3</v>
      </c>
      <c r="GP76">
        <v>40</v>
      </c>
      <c r="GQ76">
        <v>28</v>
      </c>
      <c r="GR76">
        <v>2630</v>
      </c>
      <c r="GS76">
        <v>89</v>
      </c>
      <c r="GT76">
        <v>137</v>
      </c>
      <c r="GU76">
        <v>254</v>
      </c>
      <c r="GV76">
        <v>1</v>
      </c>
      <c r="GW76">
        <v>28</v>
      </c>
      <c r="GX76">
        <v>6</v>
      </c>
      <c r="GY76">
        <v>112</v>
      </c>
      <c r="HA76">
        <v>12</v>
      </c>
      <c r="HB76">
        <v>251</v>
      </c>
      <c r="HC76">
        <v>59</v>
      </c>
      <c r="HD76">
        <v>51</v>
      </c>
      <c r="HE76">
        <v>63</v>
      </c>
      <c r="HF76">
        <v>85</v>
      </c>
      <c r="HG76">
        <v>117</v>
      </c>
      <c r="HH76">
        <v>3576</v>
      </c>
      <c r="HK76">
        <v>1977</v>
      </c>
      <c r="ID76">
        <v>34</v>
      </c>
      <c r="IE76">
        <v>2</v>
      </c>
      <c r="IF76">
        <v>1</v>
      </c>
      <c r="IG76">
        <v>209</v>
      </c>
      <c r="IH76">
        <v>0</v>
      </c>
      <c r="II76">
        <v>10</v>
      </c>
      <c r="IJ76">
        <v>4</v>
      </c>
      <c r="IK76">
        <v>33</v>
      </c>
      <c r="IL76">
        <v>195</v>
      </c>
      <c r="IO76">
        <v>3</v>
      </c>
      <c r="IP76">
        <v>5</v>
      </c>
      <c r="IQ76">
        <v>19</v>
      </c>
      <c r="IR76">
        <v>10</v>
      </c>
      <c r="IT76">
        <v>86</v>
      </c>
      <c r="IU76">
        <v>352</v>
      </c>
      <c r="IV76">
        <v>77</v>
      </c>
      <c r="IW76">
        <v>156</v>
      </c>
      <c r="IX76">
        <v>10</v>
      </c>
      <c r="IY76">
        <v>41</v>
      </c>
      <c r="IZ76">
        <v>230</v>
      </c>
      <c r="JG76">
        <v>38</v>
      </c>
      <c r="JH76">
        <v>12</v>
      </c>
      <c r="JJ76">
        <v>99</v>
      </c>
      <c r="JK76">
        <v>2</v>
      </c>
      <c r="JN76">
        <v>12</v>
      </c>
      <c r="JS76">
        <v>49</v>
      </c>
      <c r="JV76">
        <v>10</v>
      </c>
      <c r="JW76">
        <v>0</v>
      </c>
      <c r="JY76">
        <v>3</v>
      </c>
      <c r="KB76">
        <v>2</v>
      </c>
      <c r="KK76">
        <v>1</v>
      </c>
      <c r="KL76">
        <v>12</v>
      </c>
      <c r="KM76">
        <v>6</v>
      </c>
      <c r="KZ76">
        <v>7</v>
      </c>
      <c r="LX76">
        <v>2</v>
      </c>
      <c r="MA76">
        <v>1</v>
      </c>
      <c r="MN76">
        <v>1</v>
      </c>
      <c r="MO76">
        <v>4</v>
      </c>
      <c r="MY76">
        <v>1</v>
      </c>
      <c r="OD76">
        <v>43</v>
      </c>
      <c r="OO76">
        <v>19064</v>
      </c>
      <c r="OP76">
        <v>513</v>
      </c>
      <c r="OQ76">
        <v>215</v>
      </c>
      <c r="OU76">
        <v>214</v>
      </c>
      <c r="OV76">
        <v>1073</v>
      </c>
      <c r="OX76">
        <v>0</v>
      </c>
      <c r="PB76">
        <v>4</v>
      </c>
      <c r="PF76">
        <v>34</v>
      </c>
      <c r="PI76">
        <v>21117</v>
      </c>
      <c r="PM76" t="str">
        <f>IFERROR(VLOOKUP($A76&amp;"",Key!$A:$C,3,FALSE),"")</f>
        <v>ISIC 25</v>
      </c>
    </row>
    <row r="77" spans="1:429" x14ac:dyDescent="0.25">
      <c r="A77">
        <v>332500</v>
      </c>
      <c r="B77" t="s">
        <v>212</v>
      </c>
      <c r="J77">
        <v>5</v>
      </c>
      <c r="M77">
        <v>0</v>
      </c>
      <c r="N77">
        <v>93</v>
      </c>
      <c r="O77">
        <v>5</v>
      </c>
      <c r="P77">
        <v>51</v>
      </c>
      <c r="Q77">
        <v>24</v>
      </c>
      <c r="T77">
        <v>16</v>
      </c>
      <c r="Z77">
        <v>0</v>
      </c>
      <c r="AA77">
        <v>194</v>
      </c>
      <c r="AB77">
        <v>165</v>
      </c>
      <c r="AC77">
        <v>1494</v>
      </c>
      <c r="AD77">
        <v>587</v>
      </c>
      <c r="AE77">
        <v>107</v>
      </c>
      <c r="AF77">
        <v>898</v>
      </c>
      <c r="AG77">
        <v>1518</v>
      </c>
      <c r="AH77">
        <v>47</v>
      </c>
      <c r="AI77">
        <v>478</v>
      </c>
      <c r="AJ77">
        <v>250</v>
      </c>
      <c r="AK77">
        <v>1997</v>
      </c>
      <c r="AL77">
        <v>100</v>
      </c>
      <c r="AN77">
        <v>127</v>
      </c>
      <c r="AO77">
        <v>192</v>
      </c>
      <c r="AP77">
        <v>223</v>
      </c>
      <c r="AS77">
        <v>1</v>
      </c>
      <c r="AT77">
        <v>9</v>
      </c>
      <c r="BO77">
        <v>1</v>
      </c>
      <c r="BQ77">
        <v>4</v>
      </c>
      <c r="BR77">
        <v>659</v>
      </c>
      <c r="BS77">
        <v>2</v>
      </c>
      <c r="BU77">
        <v>1</v>
      </c>
      <c r="BV77">
        <v>745</v>
      </c>
      <c r="BW77">
        <v>11</v>
      </c>
      <c r="BX77">
        <v>75</v>
      </c>
      <c r="BY77">
        <v>538</v>
      </c>
      <c r="BZ77">
        <v>1</v>
      </c>
      <c r="CA77">
        <v>1</v>
      </c>
      <c r="CB77">
        <v>13</v>
      </c>
      <c r="CD77">
        <v>1</v>
      </c>
      <c r="CE77">
        <v>2</v>
      </c>
      <c r="CF77">
        <v>6</v>
      </c>
      <c r="CG77">
        <v>1</v>
      </c>
      <c r="CH77">
        <v>1</v>
      </c>
      <c r="CI77">
        <v>29</v>
      </c>
      <c r="CJ77">
        <v>2</v>
      </c>
      <c r="CK77">
        <v>7</v>
      </c>
      <c r="CL77">
        <v>2</v>
      </c>
      <c r="CN77">
        <v>0</v>
      </c>
      <c r="CO77">
        <v>2</v>
      </c>
      <c r="CP77">
        <v>1</v>
      </c>
      <c r="CQ77">
        <v>146</v>
      </c>
      <c r="CT77">
        <v>1</v>
      </c>
      <c r="CW77">
        <v>0</v>
      </c>
      <c r="CZ77">
        <v>53</v>
      </c>
      <c r="DA77">
        <v>1</v>
      </c>
      <c r="DC77">
        <v>0</v>
      </c>
      <c r="DD77">
        <v>1</v>
      </c>
      <c r="DE77">
        <v>1</v>
      </c>
      <c r="DG77">
        <v>12</v>
      </c>
      <c r="DH77">
        <v>0</v>
      </c>
      <c r="DK77">
        <v>14</v>
      </c>
      <c r="DO77">
        <v>16</v>
      </c>
      <c r="DR77">
        <v>17</v>
      </c>
      <c r="DY77">
        <v>2</v>
      </c>
      <c r="EF77">
        <v>2</v>
      </c>
      <c r="EH77">
        <v>1</v>
      </c>
      <c r="EQ77">
        <v>146</v>
      </c>
      <c r="ER77">
        <v>498</v>
      </c>
      <c r="ES77">
        <v>74</v>
      </c>
      <c r="ET77">
        <v>259</v>
      </c>
      <c r="EU77">
        <v>218</v>
      </c>
      <c r="EV77">
        <v>0</v>
      </c>
      <c r="EW77">
        <v>1</v>
      </c>
      <c r="EX77">
        <v>2</v>
      </c>
      <c r="EY77">
        <v>6</v>
      </c>
      <c r="EZ77">
        <v>1</v>
      </c>
      <c r="FA77">
        <v>6</v>
      </c>
      <c r="FB77">
        <v>1</v>
      </c>
      <c r="FC77">
        <v>112</v>
      </c>
      <c r="FD77">
        <v>4</v>
      </c>
      <c r="FE77">
        <v>363</v>
      </c>
      <c r="FF77">
        <v>131</v>
      </c>
      <c r="FG77">
        <v>409</v>
      </c>
      <c r="FJ77">
        <v>0</v>
      </c>
      <c r="FK77">
        <v>4</v>
      </c>
      <c r="FL77">
        <v>370</v>
      </c>
      <c r="FM77">
        <v>1</v>
      </c>
      <c r="FN77">
        <v>2</v>
      </c>
      <c r="FO77">
        <v>1</v>
      </c>
      <c r="FP77">
        <v>275</v>
      </c>
      <c r="FQ77">
        <v>369</v>
      </c>
      <c r="FR77">
        <v>72</v>
      </c>
      <c r="FS77">
        <v>35</v>
      </c>
      <c r="FT77">
        <v>47</v>
      </c>
      <c r="FU77">
        <v>57</v>
      </c>
      <c r="FV77">
        <v>459</v>
      </c>
      <c r="FX77">
        <v>2</v>
      </c>
      <c r="FY77">
        <v>2</v>
      </c>
      <c r="GD77">
        <v>1</v>
      </c>
      <c r="GG77">
        <v>154</v>
      </c>
      <c r="GH77">
        <v>35</v>
      </c>
      <c r="GS77">
        <v>10</v>
      </c>
      <c r="GU77">
        <v>7</v>
      </c>
      <c r="GZ77">
        <v>11</v>
      </c>
      <c r="HG77">
        <v>39</v>
      </c>
      <c r="HH77">
        <v>4</v>
      </c>
      <c r="HS77">
        <v>5</v>
      </c>
      <c r="IX77">
        <v>136</v>
      </c>
      <c r="JG77">
        <v>247</v>
      </c>
      <c r="JI77">
        <v>469</v>
      </c>
      <c r="JK77">
        <v>0</v>
      </c>
      <c r="JL77">
        <v>2</v>
      </c>
      <c r="JM77">
        <v>2</v>
      </c>
      <c r="JN77">
        <v>16</v>
      </c>
      <c r="JO77">
        <v>16</v>
      </c>
      <c r="JQ77">
        <v>101</v>
      </c>
      <c r="JR77">
        <v>8</v>
      </c>
      <c r="JS77">
        <v>40</v>
      </c>
      <c r="JT77">
        <v>3</v>
      </c>
      <c r="JV77">
        <v>31</v>
      </c>
      <c r="JW77">
        <v>96</v>
      </c>
      <c r="JX77">
        <v>20</v>
      </c>
      <c r="JY77">
        <v>84</v>
      </c>
      <c r="JZ77">
        <v>30</v>
      </c>
      <c r="KA77">
        <v>95</v>
      </c>
      <c r="KB77">
        <v>11</v>
      </c>
      <c r="KC77">
        <v>169</v>
      </c>
      <c r="KD77">
        <v>1209</v>
      </c>
      <c r="KF77">
        <v>87</v>
      </c>
      <c r="KH77">
        <v>119</v>
      </c>
      <c r="KK77">
        <v>3</v>
      </c>
      <c r="KL77">
        <v>8</v>
      </c>
      <c r="KM77">
        <v>19</v>
      </c>
      <c r="KN77">
        <v>1</v>
      </c>
      <c r="KQ77">
        <v>17</v>
      </c>
      <c r="KW77">
        <v>263</v>
      </c>
      <c r="KX77">
        <v>323</v>
      </c>
      <c r="KY77">
        <v>11</v>
      </c>
      <c r="KZ77">
        <v>7</v>
      </c>
      <c r="LK77">
        <v>4</v>
      </c>
      <c r="LN77">
        <v>14</v>
      </c>
      <c r="LO77">
        <v>93</v>
      </c>
      <c r="LT77">
        <v>101</v>
      </c>
      <c r="LW77">
        <v>274</v>
      </c>
      <c r="LX77">
        <v>6</v>
      </c>
      <c r="LZ77">
        <v>143</v>
      </c>
      <c r="MA77">
        <v>9</v>
      </c>
      <c r="MB77">
        <v>158</v>
      </c>
      <c r="MD77">
        <v>6</v>
      </c>
      <c r="MF77">
        <v>4</v>
      </c>
      <c r="MG77">
        <v>23</v>
      </c>
      <c r="MH77">
        <v>339</v>
      </c>
      <c r="MI77">
        <v>7</v>
      </c>
      <c r="MJ77">
        <v>2</v>
      </c>
      <c r="MK77">
        <v>44</v>
      </c>
      <c r="MM77">
        <v>26</v>
      </c>
      <c r="MN77">
        <v>28</v>
      </c>
      <c r="MO77">
        <v>144</v>
      </c>
      <c r="MQ77">
        <v>1</v>
      </c>
      <c r="MW77">
        <v>2</v>
      </c>
      <c r="MX77">
        <v>9</v>
      </c>
      <c r="MY77">
        <v>12</v>
      </c>
      <c r="MZ77">
        <v>143</v>
      </c>
      <c r="NC77">
        <v>343</v>
      </c>
      <c r="ND77">
        <v>31</v>
      </c>
      <c r="NE77">
        <v>1086</v>
      </c>
      <c r="NL77">
        <v>2</v>
      </c>
      <c r="NM77">
        <v>38</v>
      </c>
      <c r="NN77">
        <v>9</v>
      </c>
      <c r="NO77">
        <v>245</v>
      </c>
      <c r="NP77">
        <v>180</v>
      </c>
      <c r="NQ77">
        <v>42</v>
      </c>
      <c r="NR77">
        <v>210</v>
      </c>
      <c r="NS77">
        <v>0</v>
      </c>
      <c r="NT77">
        <v>34</v>
      </c>
      <c r="NU77">
        <v>14</v>
      </c>
      <c r="NX77">
        <v>8</v>
      </c>
      <c r="OA77">
        <v>88</v>
      </c>
      <c r="OB77">
        <v>91</v>
      </c>
      <c r="OD77">
        <v>377</v>
      </c>
      <c r="OE77">
        <v>8</v>
      </c>
      <c r="OJ77">
        <v>8</v>
      </c>
      <c r="OK77">
        <v>0</v>
      </c>
      <c r="OL77">
        <v>50</v>
      </c>
      <c r="OM77">
        <v>35</v>
      </c>
      <c r="ON77">
        <v>58</v>
      </c>
      <c r="OO77">
        <v>23334</v>
      </c>
      <c r="OP77">
        <v>3572</v>
      </c>
      <c r="OQ77">
        <v>792</v>
      </c>
      <c r="OU77">
        <v>226</v>
      </c>
      <c r="OV77">
        <v>2602</v>
      </c>
      <c r="PI77">
        <v>30526</v>
      </c>
      <c r="PM77" t="str">
        <f>IFERROR(VLOOKUP($A77&amp;"",Key!$A:$C,3,FALSE),"")</f>
        <v>ISIC 25</v>
      </c>
    </row>
    <row r="78" spans="1:429" x14ac:dyDescent="0.25">
      <c r="A78">
        <v>332600</v>
      </c>
      <c r="B78" t="s">
        <v>213</v>
      </c>
      <c r="J78">
        <v>1041</v>
      </c>
      <c r="N78">
        <v>19</v>
      </c>
      <c r="R78">
        <v>2</v>
      </c>
      <c r="V78">
        <v>8</v>
      </c>
      <c r="W78">
        <v>13</v>
      </c>
      <c r="AA78">
        <v>2</v>
      </c>
      <c r="AB78">
        <v>13</v>
      </c>
      <c r="AC78">
        <v>53</v>
      </c>
      <c r="AD78">
        <v>32</v>
      </c>
      <c r="AE78">
        <v>27</v>
      </c>
      <c r="AF78">
        <v>1</v>
      </c>
      <c r="AG78">
        <v>23</v>
      </c>
      <c r="AH78">
        <v>5</v>
      </c>
      <c r="AI78">
        <v>3</v>
      </c>
      <c r="AJ78">
        <v>12</v>
      </c>
      <c r="AK78">
        <v>19</v>
      </c>
      <c r="AL78">
        <v>25</v>
      </c>
      <c r="AP78">
        <v>1</v>
      </c>
      <c r="BD78">
        <v>153</v>
      </c>
      <c r="BL78">
        <v>2</v>
      </c>
      <c r="BM78">
        <v>1</v>
      </c>
      <c r="BN78">
        <v>1</v>
      </c>
      <c r="BO78">
        <v>4</v>
      </c>
      <c r="BP78">
        <v>7</v>
      </c>
      <c r="BQ78">
        <v>2</v>
      </c>
      <c r="BR78">
        <v>5</v>
      </c>
      <c r="BS78">
        <v>2</v>
      </c>
      <c r="BT78">
        <v>1</v>
      </c>
      <c r="BU78">
        <v>0</v>
      </c>
      <c r="BV78">
        <v>17</v>
      </c>
      <c r="BW78">
        <v>497</v>
      </c>
      <c r="BX78">
        <v>47</v>
      </c>
      <c r="BY78">
        <v>147</v>
      </c>
      <c r="BZ78">
        <v>2</v>
      </c>
      <c r="CA78">
        <v>1</v>
      </c>
      <c r="CB78">
        <v>27</v>
      </c>
      <c r="CC78">
        <v>0</v>
      </c>
      <c r="CD78">
        <v>1</v>
      </c>
      <c r="CE78">
        <v>4</v>
      </c>
      <c r="CF78">
        <v>4</v>
      </c>
      <c r="CG78">
        <v>1</v>
      </c>
      <c r="CH78">
        <v>1</v>
      </c>
      <c r="CI78">
        <v>1</v>
      </c>
      <c r="CJ78">
        <v>3</v>
      </c>
      <c r="CK78">
        <v>26</v>
      </c>
      <c r="CL78">
        <v>11</v>
      </c>
      <c r="CM78">
        <v>1</v>
      </c>
      <c r="CN78">
        <v>1</v>
      </c>
      <c r="CO78">
        <v>2</v>
      </c>
      <c r="CP78">
        <v>1</v>
      </c>
      <c r="CQ78">
        <v>9</v>
      </c>
      <c r="CR78">
        <v>0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0</v>
      </c>
      <c r="CY78">
        <v>1</v>
      </c>
      <c r="CZ78">
        <v>1</v>
      </c>
      <c r="DA78">
        <v>1</v>
      </c>
      <c r="DB78">
        <v>1</v>
      </c>
      <c r="DD78">
        <v>1</v>
      </c>
      <c r="DE78">
        <v>1</v>
      </c>
      <c r="DF78">
        <v>1</v>
      </c>
      <c r="DG78">
        <v>40</v>
      </c>
      <c r="DH78">
        <v>1</v>
      </c>
      <c r="DM78">
        <v>0</v>
      </c>
      <c r="DQ78">
        <v>0</v>
      </c>
      <c r="DR78">
        <v>87</v>
      </c>
      <c r="DS78">
        <v>1</v>
      </c>
      <c r="DU78">
        <v>0</v>
      </c>
      <c r="DX78">
        <v>0</v>
      </c>
      <c r="DY78">
        <v>1</v>
      </c>
      <c r="DZ78">
        <v>1</v>
      </c>
      <c r="ED78">
        <v>3</v>
      </c>
      <c r="EE78">
        <v>1</v>
      </c>
      <c r="EF78">
        <v>2</v>
      </c>
      <c r="EG78">
        <v>0</v>
      </c>
      <c r="EH78">
        <v>3</v>
      </c>
      <c r="EI78">
        <v>5</v>
      </c>
      <c r="EJ78">
        <v>1</v>
      </c>
      <c r="EK78">
        <v>1</v>
      </c>
      <c r="EL78">
        <v>1</v>
      </c>
      <c r="EN78">
        <v>2</v>
      </c>
      <c r="EP78">
        <v>0</v>
      </c>
      <c r="EQ78">
        <v>32</v>
      </c>
      <c r="ER78">
        <v>573</v>
      </c>
      <c r="ES78">
        <v>48</v>
      </c>
      <c r="ET78">
        <v>331</v>
      </c>
      <c r="EV78">
        <v>0</v>
      </c>
      <c r="EW78">
        <v>3</v>
      </c>
      <c r="EX78">
        <v>3</v>
      </c>
      <c r="EY78">
        <v>1</v>
      </c>
      <c r="EZ78">
        <v>1</v>
      </c>
      <c r="FA78">
        <v>3</v>
      </c>
      <c r="FB78">
        <v>12</v>
      </c>
      <c r="FC78">
        <v>3</v>
      </c>
      <c r="FD78">
        <v>3</v>
      </c>
      <c r="FE78">
        <v>372</v>
      </c>
      <c r="FF78">
        <v>566</v>
      </c>
      <c r="FG78">
        <v>374</v>
      </c>
      <c r="FJ78">
        <v>468</v>
      </c>
      <c r="FK78">
        <v>1</v>
      </c>
      <c r="FM78">
        <v>1</v>
      </c>
      <c r="FN78">
        <v>3</v>
      </c>
      <c r="FO78">
        <v>1</v>
      </c>
      <c r="FQ78">
        <v>201</v>
      </c>
      <c r="FR78">
        <v>4</v>
      </c>
      <c r="FS78">
        <v>8</v>
      </c>
      <c r="FT78">
        <v>2</v>
      </c>
      <c r="FU78">
        <v>1</v>
      </c>
      <c r="FV78">
        <v>1</v>
      </c>
      <c r="FW78">
        <v>503</v>
      </c>
      <c r="FX78">
        <v>2</v>
      </c>
      <c r="FY78">
        <v>2</v>
      </c>
      <c r="FZ78">
        <v>0</v>
      </c>
      <c r="GB78">
        <v>0</v>
      </c>
      <c r="GC78">
        <v>1</v>
      </c>
      <c r="GD78">
        <v>1</v>
      </c>
      <c r="GE78">
        <v>1</v>
      </c>
      <c r="GF78">
        <v>0</v>
      </c>
      <c r="GG78">
        <v>1</v>
      </c>
      <c r="GH78">
        <v>8</v>
      </c>
      <c r="HU78">
        <v>21</v>
      </c>
      <c r="HX78">
        <v>105</v>
      </c>
      <c r="IK78">
        <v>44</v>
      </c>
      <c r="JJ78">
        <v>3</v>
      </c>
      <c r="JK78">
        <v>1</v>
      </c>
      <c r="JL78">
        <v>0</v>
      </c>
      <c r="JM78">
        <v>1</v>
      </c>
      <c r="JN78">
        <v>1</v>
      </c>
      <c r="JO78">
        <v>1</v>
      </c>
      <c r="JP78">
        <v>0</v>
      </c>
      <c r="JQ78">
        <v>11</v>
      </c>
      <c r="JS78">
        <v>2</v>
      </c>
      <c r="JT78">
        <v>0</v>
      </c>
      <c r="JV78">
        <v>66</v>
      </c>
      <c r="JW78">
        <v>3</v>
      </c>
      <c r="JX78">
        <v>4</v>
      </c>
      <c r="JY78">
        <v>0</v>
      </c>
      <c r="JZ78">
        <v>0</v>
      </c>
      <c r="KA78">
        <v>5</v>
      </c>
      <c r="KB78">
        <v>0</v>
      </c>
      <c r="KC78">
        <v>0</v>
      </c>
      <c r="KD78">
        <v>0</v>
      </c>
      <c r="KE78">
        <v>0</v>
      </c>
      <c r="KH78">
        <v>55</v>
      </c>
      <c r="KI78">
        <v>34</v>
      </c>
      <c r="KJ78">
        <v>0</v>
      </c>
      <c r="KL78">
        <v>1</v>
      </c>
      <c r="KM78">
        <v>16</v>
      </c>
      <c r="KW78">
        <v>1</v>
      </c>
      <c r="KX78">
        <v>7</v>
      </c>
      <c r="KZ78">
        <v>31</v>
      </c>
      <c r="LK78">
        <v>1</v>
      </c>
      <c r="LL78">
        <v>0</v>
      </c>
      <c r="LN78">
        <v>7</v>
      </c>
      <c r="LT78">
        <v>20</v>
      </c>
      <c r="LW78">
        <v>31</v>
      </c>
      <c r="LZ78">
        <v>67</v>
      </c>
      <c r="MF78">
        <v>18</v>
      </c>
      <c r="MH78">
        <v>55</v>
      </c>
      <c r="MK78">
        <v>6</v>
      </c>
      <c r="MN78">
        <v>7</v>
      </c>
      <c r="MO78">
        <v>91</v>
      </c>
      <c r="MZ78">
        <v>21</v>
      </c>
      <c r="NA78">
        <v>0</v>
      </c>
      <c r="NC78">
        <v>2</v>
      </c>
      <c r="ND78">
        <v>2</v>
      </c>
      <c r="NE78">
        <v>7</v>
      </c>
      <c r="NH78">
        <v>8</v>
      </c>
      <c r="NM78">
        <v>6</v>
      </c>
      <c r="NO78">
        <v>6</v>
      </c>
      <c r="NP78">
        <v>10</v>
      </c>
      <c r="NR78">
        <v>207</v>
      </c>
      <c r="NS78">
        <v>0</v>
      </c>
      <c r="NT78">
        <v>2</v>
      </c>
      <c r="NU78">
        <v>5</v>
      </c>
      <c r="OE78">
        <v>0</v>
      </c>
      <c r="OI78">
        <v>8</v>
      </c>
      <c r="OJ78">
        <v>1</v>
      </c>
      <c r="OK78">
        <v>1</v>
      </c>
      <c r="OL78">
        <v>1</v>
      </c>
      <c r="OM78">
        <v>29</v>
      </c>
      <c r="ON78">
        <v>146</v>
      </c>
      <c r="OO78">
        <v>7153</v>
      </c>
      <c r="OP78">
        <v>239</v>
      </c>
      <c r="OU78">
        <v>80</v>
      </c>
      <c r="OV78">
        <v>930</v>
      </c>
      <c r="PI78">
        <v>8402</v>
      </c>
      <c r="PM78" t="str">
        <f>IFERROR(VLOOKUP($A78&amp;"",Key!$A:$C,3,FALSE),"")</f>
        <v>ISIC 25</v>
      </c>
    </row>
    <row r="79" spans="1:429" x14ac:dyDescent="0.25">
      <c r="A79">
        <v>332710</v>
      </c>
      <c r="B79" t="s">
        <v>214</v>
      </c>
      <c r="C79">
        <v>2</v>
      </c>
      <c r="D79">
        <v>11</v>
      </c>
      <c r="E79">
        <v>2</v>
      </c>
      <c r="F79">
        <v>2</v>
      </c>
      <c r="G79">
        <v>2</v>
      </c>
      <c r="H79">
        <v>4</v>
      </c>
      <c r="I79">
        <v>12</v>
      </c>
      <c r="J79">
        <v>2</v>
      </c>
      <c r="K79">
        <v>0</v>
      </c>
      <c r="L79">
        <v>1</v>
      </c>
      <c r="N79">
        <v>5</v>
      </c>
      <c r="O79">
        <v>1</v>
      </c>
      <c r="P79">
        <v>22</v>
      </c>
      <c r="Q79">
        <v>12</v>
      </c>
      <c r="R79">
        <v>5</v>
      </c>
      <c r="S79">
        <v>37</v>
      </c>
      <c r="T79">
        <v>7</v>
      </c>
      <c r="U79">
        <v>24</v>
      </c>
      <c r="V79">
        <v>11</v>
      </c>
      <c r="W79">
        <v>29</v>
      </c>
      <c r="X79">
        <v>36</v>
      </c>
      <c r="Z79">
        <v>0</v>
      </c>
      <c r="AA79">
        <v>5</v>
      </c>
      <c r="AB79">
        <v>1</v>
      </c>
      <c r="AC79">
        <v>326</v>
      </c>
      <c r="AD79">
        <v>150</v>
      </c>
      <c r="AE79">
        <v>275</v>
      </c>
      <c r="AF79">
        <v>52</v>
      </c>
      <c r="AG79">
        <v>1013</v>
      </c>
      <c r="AH79">
        <v>44</v>
      </c>
      <c r="AI79">
        <v>135</v>
      </c>
      <c r="AJ79">
        <v>96</v>
      </c>
      <c r="AK79">
        <v>297</v>
      </c>
      <c r="AL79">
        <v>109</v>
      </c>
      <c r="AM79">
        <v>297</v>
      </c>
      <c r="AN79">
        <v>253</v>
      </c>
      <c r="AO79">
        <v>25</v>
      </c>
      <c r="AP79">
        <v>71</v>
      </c>
      <c r="AQ79">
        <v>15</v>
      </c>
      <c r="AR79">
        <v>41</v>
      </c>
      <c r="AS79">
        <v>24</v>
      </c>
      <c r="AT79">
        <v>132</v>
      </c>
      <c r="AU79">
        <v>18</v>
      </c>
      <c r="AV79">
        <v>39</v>
      </c>
      <c r="AW79">
        <v>15</v>
      </c>
      <c r="AX79">
        <v>8</v>
      </c>
      <c r="AY79">
        <v>15</v>
      </c>
      <c r="AZ79">
        <v>47</v>
      </c>
      <c r="BA79">
        <v>24</v>
      </c>
      <c r="BB79">
        <v>5</v>
      </c>
      <c r="BC79">
        <v>255</v>
      </c>
      <c r="BD79">
        <v>98</v>
      </c>
      <c r="BE79">
        <v>64</v>
      </c>
      <c r="BF79">
        <v>5</v>
      </c>
      <c r="BG79">
        <v>522</v>
      </c>
      <c r="BH79">
        <v>68</v>
      </c>
      <c r="BI79">
        <v>87</v>
      </c>
      <c r="BJ79">
        <v>90</v>
      </c>
      <c r="BK79">
        <v>281</v>
      </c>
      <c r="BL79">
        <v>208</v>
      </c>
      <c r="BM79">
        <v>40</v>
      </c>
      <c r="BN79">
        <v>80</v>
      </c>
      <c r="BO79">
        <v>114</v>
      </c>
      <c r="BP79">
        <v>74</v>
      </c>
      <c r="BQ79">
        <v>379</v>
      </c>
      <c r="BR79">
        <v>1078</v>
      </c>
      <c r="BS79">
        <v>156</v>
      </c>
      <c r="BT79">
        <v>43</v>
      </c>
      <c r="BU79">
        <v>41</v>
      </c>
      <c r="BV79">
        <v>264</v>
      </c>
      <c r="BW79">
        <v>90</v>
      </c>
      <c r="BX79">
        <v>539</v>
      </c>
      <c r="BY79">
        <v>213</v>
      </c>
      <c r="BZ79">
        <v>356</v>
      </c>
      <c r="CA79">
        <v>59</v>
      </c>
      <c r="CB79">
        <v>393</v>
      </c>
      <c r="CC79">
        <v>48</v>
      </c>
      <c r="CD79">
        <v>50</v>
      </c>
      <c r="CE79">
        <v>285</v>
      </c>
      <c r="CF79">
        <v>91</v>
      </c>
      <c r="CG79">
        <v>18</v>
      </c>
      <c r="CH79">
        <v>11</v>
      </c>
      <c r="CI79">
        <v>90</v>
      </c>
      <c r="CJ79">
        <v>316</v>
      </c>
      <c r="CK79">
        <v>70</v>
      </c>
      <c r="CL79">
        <v>995</v>
      </c>
      <c r="CM79">
        <v>28</v>
      </c>
      <c r="CN79">
        <v>0</v>
      </c>
      <c r="CO79">
        <v>231</v>
      </c>
      <c r="CP79">
        <v>22</v>
      </c>
      <c r="CQ79">
        <v>188</v>
      </c>
      <c r="CR79">
        <v>21</v>
      </c>
      <c r="CS79">
        <v>106</v>
      </c>
      <c r="CT79">
        <v>88</v>
      </c>
      <c r="CU79">
        <v>66</v>
      </c>
      <c r="CV79">
        <v>49</v>
      </c>
      <c r="CW79">
        <v>58</v>
      </c>
      <c r="CX79">
        <v>10</v>
      </c>
      <c r="CY79">
        <v>61</v>
      </c>
      <c r="CZ79">
        <v>61</v>
      </c>
      <c r="DA79">
        <v>26</v>
      </c>
      <c r="DB79">
        <v>43</v>
      </c>
      <c r="DC79">
        <v>488</v>
      </c>
      <c r="DD79">
        <v>63</v>
      </c>
      <c r="DE79">
        <v>193</v>
      </c>
      <c r="DF79">
        <v>52</v>
      </c>
      <c r="DG79">
        <v>76</v>
      </c>
      <c r="DH79">
        <v>123</v>
      </c>
      <c r="DI79">
        <v>11</v>
      </c>
      <c r="DJ79">
        <v>5</v>
      </c>
      <c r="DK79">
        <v>8</v>
      </c>
      <c r="DL79">
        <v>5</v>
      </c>
      <c r="DM79">
        <v>193</v>
      </c>
      <c r="DN79">
        <v>27</v>
      </c>
      <c r="DO79">
        <v>38</v>
      </c>
      <c r="DP79">
        <v>40</v>
      </c>
      <c r="DQ79">
        <v>115</v>
      </c>
      <c r="DR79">
        <v>107</v>
      </c>
      <c r="DS79">
        <v>35</v>
      </c>
      <c r="DT79">
        <v>2</v>
      </c>
      <c r="DU79">
        <v>95</v>
      </c>
      <c r="DV79">
        <v>44</v>
      </c>
      <c r="DW79">
        <v>79</v>
      </c>
      <c r="DX79">
        <v>116</v>
      </c>
      <c r="DY79">
        <v>187</v>
      </c>
      <c r="DZ79">
        <v>19</v>
      </c>
      <c r="EA79">
        <v>3</v>
      </c>
      <c r="EB79">
        <v>1</v>
      </c>
      <c r="EC79">
        <v>5</v>
      </c>
      <c r="ED79">
        <v>56</v>
      </c>
      <c r="EE79">
        <v>31</v>
      </c>
      <c r="EF79">
        <v>113</v>
      </c>
      <c r="EG79">
        <v>33</v>
      </c>
      <c r="EH79">
        <v>36</v>
      </c>
      <c r="EI79">
        <v>151</v>
      </c>
      <c r="EJ79">
        <v>123</v>
      </c>
      <c r="EK79">
        <v>44</v>
      </c>
      <c r="EL79">
        <v>3</v>
      </c>
      <c r="EM79">
        <v>40</v>
      </c>
      <c r="EN79">
        <v>339</v>
      </c>
      <c r="EO79">
        <v>20</v>
      </c>
      <c r="EP79">
        <v>75</v>
      </c>
      <c r="EQ79">
        <v>32</v>
      </c>
      <c r="ER79">
        <v>135</v>
      </c>
      <c r="ES79">
        <v>51</v>
      </c>
      <c r="ET79">
        <v>147</v>
      </c>
      <c r="EU79">
        <v>51</v>
      </c>
      <c r="EV79">
        <v>1</v>
      </c>
      <c r="EW79">
        <v>20</v>
      </c>
      <c r="EX79">
        <v>773</v>
      </c>
      <c r="EY79">
        <v>137</v>
      </c>
      <c r="EZ79">
        <v>250</v>
      </c>
      <c r="FA79">
        <v>288</v>
      </c>
      <c r="FB79">
        <v>580</v>
      </c>
      <c r="FC79">
        <v>799</v>
      </c>
      <c r="FD79">
        <v>349</v>
      </c>
      <c r="FE79">
        <v>159</v>
      </c>
      <c r="FF79">
        <v>4</v>
      </c>
      <c r="FG79">
        <v>169</v>
      </c>
      <c r="FH79">
        <v>66</v>
      </c>
      <c r="FI79">
        <v>57</v>
      </c>
      <c r="FJ79">
        <v>105</v>
      </c>
      <c r="FK79">
        <v>21</v>
      </c>
      <c r="FL79">
        <v>76</v>
      </c>
      <c r="FM79">
        <v>18</v>
      </c>
      <c r="FN79">
        <v>229</v>
      </c>
      <c r="FO79">
        <v>39</v>
      </c>
      <c r="FP79">
        <v>107</v>
      </c>
      <c r="FQ79">
        <v>147</v>
      </c>
      <c r="FR79">
        <v>6</v>
      </c>
      <c r="FS79">
        <v>91</v>
      </c>
      <c r="FT79">
        <v>10</v>
      </c>
      <c r="FU79">
        <v>119</v>
      </c>
      <c r="FV79">
        <v>183</v>
      </c>
      <c r="FW79">
        <v>44</v>
      </c>
      <c r="FX79">
        <v>296</v>
      </c>
      <c r="FY79">
        <v>188</v>
      </c>
      <c r="FZ79">
        <v>8</v>
      </c>
      <c r="GA79">
        <v>19</v>
      </c>
      <c r="GB79">
        <v>10</v>
      </c>
      <c r="GC79">
        <v>4</v>
      </c>
      <c r="GD79">
        <v>20</v>
      </c>
      <c r="GE79">
        <v>1</v>
      </c>
      <c r="GF79">
        <v>20</v>
      </c>
      <c r="GG79">
        <v>42</v>
      </c>
      <c r="GH79">
        <v>330</v>
      </c>
      <c r="GI79">
        <v>2</v>
      </c>
      <c r="GJ79">
        <v>3</v>
      </c>
      <c r="GO79">
        <v>3</v>
      </c>
      <c r="GP79">
        <v>80</v>
      </c>
      <c r="GQ79">
        <v>5</v>
      </c>
      <c r="GR79">
        <v>31</v>
      </c>
      <c r="GS79">
        <v>5</v>
      </c>
      <c r="GU79">
        <v>6</v>
      </c>
      <c r="GW79">
        <v>6</v>
      </c>
      <c r="GX79">
        <v>6</v>
      </c>
      <c r="GY79">
        <v>0</v>
      </c>
      <c r="GZ79">
        <v>102</v>
      </c>
      <c r="HB79">
        <v>113</v>
      </c>
      <c r="HD79">
        <v>14</v>
      </c>
      <c r="HE79">
        <v>33</v>
      </c>
      <c r="HF79">
        <v>9</v>
      </c>
      <c r="HG79">
        <v>328</v>
      </c>
      <c r="HH79">
        <v>15</v>
      </c>
      <c r="HI79">
        <v>16</v>
      </c>
      <c r="HJ79">
        <v>53</v>
      </c>
      <c r="HK79">
        <v>215</v>
      </c>
      <c r="HL79">
        <v>8</v>
      </c>
      <c r="HM79">
        <v>11</v>
      </c>
      <c r="HN79">
        <v>29</v>
      </c>
      <c r="HO79">
        <v>28</v>
      </c>
      <c r="HP79">
        <v>20</v>
      </c>
      <c r="HQ79">
        <v>44</v>
      </c>
      <c r="HR79">
        <v>3</v>
      </c>
      <c r="HS79">
        <v>6</v>
      </c>
      <c r="HT79">
        <v>62</v>
      </c>
      <c r="HU79">
        <v>435</v>
      </c>
      <c r="HV79">
        <v>498</v>
      </c>
      <c r="HW79">
        <v>562</v>
      </c>
      <c r="HX79">
        <v>361</v>
      </c>
      <c r="HY79">
        <v>63</v>
      </c>
      <c r="HZ79">
        <v>144</v>
      </c>
      <c r="IA79">
        <v>56</v>
      </c>
      <c r="IB79">
        <v>349</v>
      </c>
      <c r="IC79">
        <v>41</v>
      </c>
      <c r="ID79">
        <v>137</v>
      </c>
      <c r="IE79">
        <v>1</v>
      </c>
      <c r="IF79">
        <v>30</v>
      </c>
      <c r="IG79">
        <v>22</v>
      </c>
      <c r="IH79">
        <v>13</v>
      </c>
      <c r="II79">
        <v>18</v>
      </c>
      <c r="IJ79">
        <v>47</v>
      </c>
      <c r="IK79">
        <v>59</v>
      </c>
      <c r="IL79">
        <v>164</v>
      </c>
      <c r="IM79">
        <v>220</v>
      </c>
      <c r="IN79">
        <v>106</v>
      </c>
      <c r="IO79">
        <v>2</v>
      </c>
      <c r="IP79">
        <v>1</v>
      </c>
      <c r="IQ79">
        <v>1</v>
      </c>
      <c r="IR79">
        <v>5</v>
      </c>
      <c r="IS79">
        <v>22</v>
      </c>
      <c r="IT79">
        <v>17</v>
      </c>
      <c r="IU79">
        <v>121</v>
      </c>
      <c r="IV79">
        <v>158</v>
      </c>
      <c r="IW79">
        <v>673</v>
      </c>
      <c r="IX79">
        <v>148</v>
      </c>
      <c r="IY79">
        <v>38</v>
      </c>
      <c r="IZ79">
        <v>272</v>
      </c>
      <c r="JA79">
        <v>250</v>
      </c>
      <c r="JB79">
        <v>78</v>
      </c>
      <c r="JC79">
        <v>24</v>
      </c>
      <c r="JD79">
        <v>65</v>
      </c>
      <c r="JE79">
        <v>29</v>
      </c>
      <c r="JF79">
        <v>58</v>
      </c>
      <c r="JG79">
        <v>836</v>
      </c>
      <c r="JH79">
        <v>85</v>
      </c>
      <c r="JI79">
        <v>25</v>
      </c>
      <c r="JJ79">
        <v>485</v>
      </c>
      <c r="JK79">
        <v>0</v>
      </c>
      <c r="JL79">
        <v>84</v>
      </c>
      <c r="JM79">
        <v>32</v>
      </c>
      <c r="JN79">
        <v>23</v>
      </c>
      <c r="JO79">
        <v>79</v>
      </c>
      <c r="JP79">
        <v>2</v>
      </c>
      <c r="JQ79">
        <v>34</v>
      </c>
      <c r="JR79">
        <v>8</v>
      </c>
      <c r="JS79">
        <v>34</v>
      </c>
      <c r="JT79">
        <v>4</v>
      </c>
      <c r="JV79">
        <v>94</v>
      </c>
      <c r="JW79">
        <v>6</v>
      </c>
      <c r="JX79">
        <v>17</v>
      </c>
      <c r="JZ79">
        <v>34</v>
      </c>
      <c r="KA79">
        <v>3</v>
      </c>
      <c r="KB79">
        <v>5</v>
      </c>
      <c r="KC79">
        <v>6</v>
      </c>
      <c r="KD79">
        <v>4</v>
      </c>
      <c r="KE79">
        <v>192</v>
      </c>
      <c r="KF79">
        <v>275</v>
      </c>
      <c r="KG79">
        <v>32</v>
      </c>
      <c r="KH79">
        <v>489</v>
      </c>
      <c r="KI79">
        <v>152</v>
      </c>
      <c r="KJ79">
        <v>7</v>
      </c>
      <c r="KK79">
        <v>126</v>
      </c>
      <c r="KL79">
        <v>27</v>
      </c>
      <c r="KM79">
        <v>60</v>
      </c>
      <c r="KN79">
        <v>50</v>
      </c>
      <c r="KO79">
        <v>41</v>
      </c>
      <c r="KP79">
        <v>37</v>
      </c>
      <c r="KQ79">
        <v>31</v>
      </c>
      <c r="KR79">
        <v>41</v>
      </c>
      <c r="KS79">
        <v>3</v>
      </c>
      <c r="KT79">
        <v>4</v>
      </c>
      <c r="KW79">
        <v>394</v>
      </c>
      <c r="KX79">
        <v>250</v>
      </c>
      <c r="KY79">
        <v>49</v>
      </c>
      <c r="KZ79">
        <v>17</v>
      </c>
      <c r="LA79">
        <v>6</v>
      </c>
      <c r="LC79">
        <v>15</v>
      </c>
      <c r="LD79">
        <v>8</v>
      </c>
      <c r="LE79">
        <v>5</v>
      </c>
      <c r="LF79">
        <v>1</v>
      </c>
      <c r="LK79">
        <v>1</v>
      </c>
      <c r="LL79">
        <v>0</v>
      </c>
      <c r="LM79">
        <v>23</v>
      </c>
      <c r="LN79">
        <v>7</v>
      </c>
      <c r="LO79">
        <v>144</v>
      </c>
      <c r="LS79">
        <v>5</v>
      </c>
      <c r="LT79">
        <v>102</v>
      </c>
      <c r="LU79">
        <v>6</v>
      </c>
      <c r="LW79">
        <v>144</v>
      </c>
      <c r="LX79">
        <v>61</v>
      </c>
      <c r="LY79">
        <v>15</v>
      </c>
      <c r="LZ79">
        <v>377</v>
      </c>
      <c r="MA79">
        <v>22</v>
      </c>
      <c r="MB79">
        <v>18</v>
      </c>
      <c r="MD79">
        <v>5</v>
      </c>
      <c r="ME79">
        <v>12</v>
      </c>
      <c r="MF79">
        <v>392</v>
      </c>
      <c r="MG79">
        <v>20</v>
      </c>
      <c r="MH79">
        <v>234</v>
      </c>
      <c r="MI79">
        <v>25</v>
      </c>
      <c r="MJ79">
        <v>5</v>
      </c>
      <c r="MK79">
        <v>126</v>
      </c>
      <c r="ML79">
        <v>2</v>
      </c>
      <c r="MM79">
        <v>24</v>
      </c>
      <c r="MN79">
        <v>48</v>
      </c>
      <c r="MO79">
        <v>10</v>
      </c>
      <c r="MP79">
        <v>11</v>
      </c>
      <c r="MQ79">
        <v>3</v>
      </c>
      <c r="MR79">
        <v>247</v>
      </c>
      <c r="MS79">
        <v>6</v>
      </c>
      <c r="MV79">
        <v>60</v>
      </c>
      <c r="MW79">
        <v>5</v>
      </c>
      <c r="MX79">
        <v>10</v>
      </c>
      <c r="MY79">
        <v>5</v>
      </c>
      <c r="MZ79">
        <v>6</v>
      </c>
      <c r="NA79">
        <v>6</v>
      </c>
      <c r="NB79">
        <v>2</v>
      </c>
      <c r="NK79">
        <v>1</v>
      </c>
      <c r="NL79">
        <v>3</v>
      </c>
      <c r="NM79">
        <v>19</v>
      </c>
      <c r="NN79">
        <v>2</v>
      </c>
      <c r="NR79">
        <v>154</v>
      </c>
      <c r="NS79">
        <v>14</v>
      </c>
      <c r="NT79">
        <v>177</v>
      </c>
      <c r="NU79">
        <v>235</v>
      </c>
      <c r="NX79">
        <v>7</v>
      </c>
      <c r="NY79">
        <v>22</v>
      </c>
      <c r="OB79">
        <v>8</v>
      </c>
      <c r="OF79">
        <v>21</v>
      </c>
      <c r="OG79">
        <v>3</v>
      </c>
      <c r="OI79">
        <v>5</v>
      </c>
      <c r="OK79">
        <v>697</v>
      </c>
      <c r="OL79">
        <v>29</v>
      </c>
      <c r="OM79">
        <v>3</v>
      </c>
      <c r="ON79">
        <v>531</v>
      </c>
      <c r="OO79">
        <v>36652</v>
      </c>
      <c r="OU79">
        <v>-50</v>
      </c>
      <c r="OV79">
        <v>353</v>
      </c>
      <c r="PB79">
        <v>1135</v>
      </c>
      <c r="PI79">
        <v>38090</v>
      </c>
      <c r="PM79" t="str">
        <f>IFERROR(VLOOKUP($A79&amp;"",Key!$A:$C,3,FALSE),"")</f>
        <v>ISIC 25</v>
      </c>
    </row>
    <row r="80" spans="1:429" x14ac:dyDescent="0.25">
      <c r="A80">
        <v>332720</v>
      </c>
      <c r="B80" t="s">
        <v>215</v>
      </c>
      <c r="P80">
        <v>75</v>
      </c>
      <c r="Q80">
        <v>443</v>
      </c>
      <c r="R80">
        <v>12</v>
      </c>
      <c r="S80">
        <v>103</v>
      </c>
      <c r="T80">
        <v>10</v>
      </c>
      <c r="U80">
        <v>60</v>
      </c>
      <c r="V80">
        <v>40</v>
      </c>
      <c r="W80">
        <v>99</v>
      </c>
      <c r="X80">
        <v>19</v>
      </c>
      <c r="Z80">
        <v>1</v>
      </c>
      <c r="AA80">
        <v>12</v>
      </c>
      <c r="AB80">
        <v>15</v>
      </c>
      <c r="AC80">
        <v>159</v>
      </c>
      <c r="AD80">
        <v>74</v>
      </c>
      <c r="AE80">
        <v>89</v>
      </c>
      <c r="AF80">
        <v>25</v>
      </c>
      <c r="AG80">
        <v>257</v>
      </c>
      <c r="AH80">
        <v>16</v>
      </c>
      <c r="AI80">
        <v>71</v>
      </c>
      <c r="AJ80">
        <v>2595</v>
      </c>
      <c r="AK80">
        <v>146</v>
      </c>
      <c r="AL80">
        <v>41</v>
      </c>
      <c r="AM80">
        <v>132</v>
      </c>
      <c r="AN80">
        <v>88</v>
      </c>
      <c r="AO80">
        <v>105</v>
      </c>
      <c r="AP80">
        <v>125</v>
      </c>
      <c r="AQ80">
        <v>6</v>
      </c>
      <c r="AR80">
        <v>15</v>
      </c>
      <c r="AS80">
        <v>10</v>
      </c>
      <c r="AT80">
        <v>55</v>
      </c>
      <c r="AU80">
        <v>8</v>
      </c>
      <c r="AV80">
        <v>17</v>
      </c>
      <c r="AW80">
        <v>6</v>
      </c>
      <c r="AX80">
        <v>3</v>
      </c>
      <c r="AY80">
        <v>6</v>
      </c>
      <c r="AZ80">
        <v>19</v>
      </c>
      <c r="BA80">
        <v>11</v>
      </c>
      <c r="BB80">
        <v>2</v>
      </c>
      <c r="BC80">
        <v>145</v>
      </c>
      <c r="BD80">
        <v>26</v>
      </c>
      <c r="BE80">
        <v>13</v>
      </c>
      <c r="BF80">
        <v>1</v>
      </c>
      <c r="BG80">
        <v>28</v>
      </c>
      <c r="BH80">
        <v>15</v>
      </c>
      <c r="BI80">
        <v>20</v>
      </c>
      <c r="BJ80">
        <v>8</v>
      </c>
      <c r="BK80">
        <v>40</v>
      </c>
      <c r="BL80">
        <v>38</v>
      </c>
      <c r="BM80">
        <v>355</v>
      </c>
      <c r="BN80">
        <v>40</v>
      </c>
      <c r="BO80">
        <v>159</v>
      </c>
      <c r="BP80">
        <v>132</v>
      </c>
      <c r="BQ80">
        <v>564</v>
      </c>
      <c r="BR80">
        <v>944</v>
      </c>
      <c r="BS80">
        <v>127</v>
      </c>
      <c r="BT80">
        <v>30</v>
      </c>
      <c r="BU80">
        <v>33</v>
      </c>
      <c r="BV80">
        <v>242</v>
      </c>
      <c r="BW80">
        <v>112</v>
      </c>
      <c r="BX80">
        <v>567</v>
      </c>
      <c r="BY80">
        <v>1487</v>
      </c>
      <c r="BZ80">
        <v>216</v>
      </c>
      <c r="CA80">
        <v>35</v>
      </c>
      <c r="CB80">
        <v>630</v>
      </c>
      <c r="CC80">
        <v>100</v>
      </c>
      <c r="CD80">
        <v>11</v>
      </c>
      <c r="CE80">
        <v>107</v>
      </c>
      <c r="CF80">
        <v>453</v>
      </c>
      <c r="CG80">
        <v>130</v>
      </c>
      <c r="CH80">
        <v>94</v>
      </c>
      <c r="CI80">
        <v>108</v>
      </c>
      <c r="CJ80">
        <v>31</v>
      </c>
      <c r="CK80">
        <v>229</v>
      </c>
      <c r="CL80">
        <v>581</v>
      </c>
      <c r="CM80">
        <v>24</v>
      </c>
      <c r="CN80">
        <v>1</v>
      </c>
      <c r="CO80">
        <v>303</v>
      </c>
      <c r="CP80">
        <v>27</v>
      </c>
      <c r="CQ80">
        <v>408</v>
      </c>
      <c r="CR80">
        <v>19</v>
      </c>
      <c r="CS80">
        <v>66</v>
      </c>
      <c r="CT80">
        <v>52</v>
      </c>
      <c r="CU80">
        <v>61</v>
      </c>
      <c r="CV80">
        <v>36</v>
      </c>
      <c r="CW80">
        <v>43</v>
      </c>
      <c r="CX80">
        <v>21</v>
      </c>
      <c r="CY80">
        <v>62</v>
      </c>
      <c r="CZ80">
        <v>204</v>
      </c>
      <c r="DA80">
        <v>130</v>
      </c>
      <c r="DB80">
        <v>162</v>
      </c>
      <c r="DC80">
        <v>157</v>
      </c>
      <c r="DD80">
        <v>64</v>
      </c>
      <c r="DE80">
        <v>97</v>
      </c>
      <c r="DF80">
        <v>36</v>
      </c>
      <c r="DG80">
        <v>543</v>
      </c>
      <c r="DH80">
        <v>254</v>
      </c>
      <c r="DI80">
        <v>1</v>
      </c>
      <c r="DJ80">
        <v>2</v>
      </c>
      <c r="DK80">
        <v>6</v>
      </c>
      <c r="DL80">
        <v>17</v>
      </c>
      <c r="DM80">
        <v>275</v>
      </c>
      <c r="DN80">
        <v>218</v>
      </c>
      <c r="DO80">
        <v>5</v>
      </c>
      <c r="DP80">
        <v>59</v>
      </c>
      <c r="DQ80">
        <v>282</v>
      </c>
      <c r="DR80">
        <v>521</v>
      </c>
      <c r="DS80">
        <v>112</v>
      </c>
      <c r="DT80">
        <v>5</v>
      </c>
      <c r="DU80">
        <v>173</v>
      </c>
      <c r="DV80">
        <v>123</v>
      </c>
      <c r="DW80">
        <v>75</v>
      </c>
      <c r="DX80">
        <v>149</v>
      </c>
      <c r="DY80">
        <v>550</v>
      </c>
      <c r="DZ80">
        <v>49</v>
      </c>
      <c r="EA80">
        <v>8</v>
      </c>
      <c r="EB80">
        <v>1</v>
      </c>
      <c r="EC80">
        <v>1</v>
      </c>
      <c r="ED80">
        <v>250</v>
      </c>
      <c r="EE80">
        <v>56</v>
      </c>
      <c r="EF80">
        <v>634</v>
      </c>
      <c r="EG80">
        <v>237</v>
      </c>
      <c r="EH80">
        <v>228</v>
      </c>
      <c r="EI80">
        <v>180</v>
      </c>
      <c r="EJ80">
        <v>109</v>
      </c>
      <c r="EK80">
        <v>164</v>
      </c>
      <c r="EL80">
        <v>2</v>
      </c>
      <c r="EM80">
        <v>7</v>
      </c>
      <c r="EN80">
        <v>270</v>
      </c>
      <c r="EO80">
        <v>6</v>
      </c>
      <c r="EP80">
        <v>37</v>
      </c>
      <c r="EQ80">
        <v>185</v>
      </c>
      <c r="ER80">
        <v>515</v>
      </c>
      <c r="ES80">
        <v>463</v>
      </c>
      <c r="ET80">
        <v>670</v>
      </c>
      <c r="EU80">
        <v>316</v>
      </c>
      <c r="EV80">
        <v>2</v>
      </c>
      <c r="EW80">
        <v>80</v>
      </c>
      <c r="EX80">
        <v>570</v>
      </c>
      <c r="EY80">
        <v>49</v>
      </c>
      <c r="EZ80">
        <v>375</v>
      </c>
      <c r="FA80">
        <v>138</v>
      </c>
      <c r="FB80">
        <v>1394</v>
      </c>
      <c r="FC80">
        <v>2736</v>
      </c>
      <c r="FD80">
        <v>586</v>
      </c>
      <c r="FE80">
        <v>499</v>
      </c>
      <c r="FF80">
        <v>16</v>
      </c>
      <c r="FG80">
        <v>617</v>
      </c>
      <c r="FH80">
        <v>7</v>
      </c>
      <c r="FI80">
        <v>41</v>
      </c>
      <c r="FJ80">
        <v>596</v>
      </c>
      <c r="FK80">
        <v>47</v>
      </c>
      <c r="FL80">
        <v>312</v>
      </c>
      <c r="FM80">
        <v>15</v>
      </c>
      <c r="FN80">
        <v>39</v>
      </c>
      <c r="FO80">
        <v>32</v>
      </c>
      <c r="FP80">
        <v>46</v>
      </c>
      <c r="FQ80">
        <v>51</v>
      </c>
      <c r="FR80">
        <v>2</v>
      </c>
      <c r="FS80">
        <v>36</v>
      </c>
      <c r="FT80">
        <v>8</v>
      </c>
      <c r="FU80">
        <v>80</v>
      </c>
      <c r="FV80">
        <v>131</v>
      </c>
      <c r="FW80">
        <v>21</v>
      </c>
      <c r="FX80">
        <v>275</v>
      </c>
      <c r="FY80">
        <v>193</v>
      </c>
      <c r="FZ80">
        <v>11</v>
      </c>
      <c r="GA80">
        <v>3</v>
      </c>
      <c r="GB80">
        <v>8</v>
      </c>
      <c r="GC80">
        <v>3</v>
      </c>
      <c r="GD80">
        <v>183</v>
      </c>
      <c r="GE80">
        <v>1</v>
      </c>
      <c r="GF80">
        <v>7</v>
      </c>
      <c r="GG80">
        <v>29</v>
      </c>
      <c r="GH80">
        <v>80</v>
      </c>
      <c r="HG80">
        <v>602</v>
      </c>
      <c r="HH80">
        <v>39</v>
      </c>
      <c r="HI80">
        <v>7</v>
      </c>
      <c r="HJ80">
        <v>24</v>
      </c>
      <c r="HL80">
        <v>4</v>
      </c>
      <c r="HM80">
        <v>7</v>
      </c>
      <c r="HN80">
        <v>15</v>
      </c>
      <c r="HO80">
        <v>12</v>
      </c>
      <c r="HP80">
        <v>9</v>
      </c>
      <c r="HQ80">
        <v>19</v>
      </c>
      <c r="HR80">
        <v>1</v>
      </c>
      <c r="HS80">
        <v>3</v>
      </c>
      <c r="HT80">
        <v>20</v>
      </c>
      <c r="HU80">
        <v>122</v>
      </c>
      <c r="HV80">
        <v>144</v>
      </c>
      <c r="HW80">
        <v>170</v>
      </c>
      <c r="HX80">
        <v>101</v>
      </c>
      <c r="HY80">
        <v>17</v>
      </c>
      <c r="HZ80">
        <v>50</v>
      </c>
      <c r="IA80">
        <v>16</v>
      </c>
      <c r="IB80">
        <v>141</v>
      </c>
      <c r="IC80">
        <v>14</v>
      </c>
      <c r="ID80">
        <v>138</v>
      </c>
      <c r="IE80">
        <v>1</v>
      </c>
      <c r="IF80">
        <v>34</v>
      </c>
      <c r="IG80">
        <v>9</v>
      </c>
      <c r="IH80">
        <v>10</v>
      </c>
      <c r="II80">
        <v>7</v>
      </c>
      <c r="IJ80">
        <v>21</v>
      </c>
      <c r="IK80">
        <v>26</v>
      </c>
      <c r="IL80">
        <v>70</v>
      </c>
      <c r="IM80">
        <v>70</v>
      </c>
      <c r="IN80">
        <v>22</v>
      </c>
      <c r="IP80">
        <v>0</v>
      </c>
      <c r="IS80">
        <v>10</v>
      </c>
      <c r="IT80">
        <v>7</v>
      </c>
      <c r="IU80">
        <v>52</v>
      </c>
      <c r="IV80">
        <v>69</v>
      </c>
      <c r="IW80">
        <v>282</v>
      </c>
      <c r="IX80">
        <v>65</v>
      </c>
      <c r="IY80">
        <v>17</v>
      </c>
      <c r="IZ80">
        <v>106</v>
      </c>
      <c r="JA80">
        <v>107</v>
      </c>
      <c r="JB80">
        <v>35</v>
      </c>
      <c r="JC80">
        <v>10</v>
      </c>
      <c r="JD80">
        <v>28</v>
      </c>
      <c r="JE80">
        <v>12</v>
      </c>
      <c r="JF80">
        <v>17</v>
      </c>
      <c r="JG80">
        <v>293</v>
      </c>
      <c r="JH80">
        <v>55</v>
      </c>
      <c r="JI80">
        <v>11</v>
      </c>
      <c r="JJ80">
        <v>367</v>
      </c>
      <c r="JK80">
        <v>11</v>
      </c>
      <c r="JO80">
        <v>2</v>
      </c>
      <c r="JP80">
        <v>17</v>
      </c>
      <c r="JS80">
        <v>4</v>
      </c>
      <c r="JV80">
        <v>10</v>
      </c>
      <c r="JW80">
        <v>41</v>
      </c>
      <c r="JZ80">
        <v>3</v>
      </c>
      <c r="KB80">
        <v>3</v>
      </c>
      <c r="KC80">
        <v>2</v>
      </c>
      <c r="KD80">
        <v>4</v>
      </c>
      <c r="KE80">
        <v>1</v>
      </c>
      <c r="KF80">
        <v>2</v>
      </c>
      <c r="KG80">
        <v>14</v>
      </c>
      <c r="KH80">
        <v>215</v>
      </c>
      <c r="KI80">
        <v>2</v>
      </c>
      <c r="KJ80">
        <v>3</v>
      </c>
      <c r="KK80">
        <v>167</v>
      </c>
      <c r="KL80">
        <v>334</v>
      </c>
      <c r="KM80">
        <v>304</v>
      </c>
      <c r="KN80">
        <v>21</v>
      </c>
      <c r="KO80">
        <v>19</v>
      </c>
      <c r="KP80">
        <v>15</v>
      </c>
      <c r="KQ80">
        <v>19</v>
      </c>
      <c r="KR80">
        <v>80</v>
      </c>
      <c r="KS80">
        <v>12</v>
      </c>
      <c r="KT80">
        <v>1</v>
      </c>
      <c r="KV80">
        <v>2</v>
      </c>
      <c r="KW80">
        <v>113</v>
      </c>
      <c r="KX80">
        <v>50</v>
      </c>
      <c r="KY80">
        <v>9</v>
      </c>
      <c r="KZ80">
        <v>39</v>
      </c>
      <c r="LA80">
        <v>146</v>
      </c>
      <c r="LK80">
        <v>0</v>
      </c>
      <c r="LN80">
        <v>5</v>
      </c>
      <c r="LO80">
        <v>56</v>
      </c>
      <c r="LP80">
        <v>14</v>
      </c>
      <c r="LT80">
        <v>6</v>
      </c>
      <c r="LW80">
        <v>2</v>
      </c>
      <c r="LX80">
        <v>47</v>
      </c>
      <c r="LY80">
        <v>6</v>
      </c>
      <c r="LZ80">
        <v>8</v>
      </c>
      <c r="MA80">
        <v>33</v>
      </c>
      <c r="MB80">
        <v>3</v>
      </c>
      <c r="MC80">
        <v>6</v>
      </c>
      <c r="ME80">
        <v>18</v>
      </c>
      <c r="MG80">
        <v>20</v>
      </c>
      <c r="MH80">
        <v>49</v>
      </c>
      <c r="MI80">
        <v>2</v>
      </c>
      <c r="MK80">
        <v>23</v>
      </c>
      <c r="MM80">
        <v>16</v>
      </c>
      <c r="MN80">
        <v>51</v>
      </c>
      <c r="MO80">
        <v>34</v>
      </c>
      <c r="MQ80">
        <v>2</v>
      </c>
      <c r="MS80">
        <v>21</v>
      </c>
      <c r="MT80">
        <v>19</v>
      </c>
      <c r="MU80">
        <v>2</v>
      </c>
      <c r="MV80">
        <v>12</v>
      </c>
      <c r="MW80">
        <v>2</v>
      </c>
      <c r="MX80">
        <v>9</v>
      </c>
      <c r="MY80">
        <v>1</v>
      </c>
      <c r="MZ80">
        <v>3</v>
      </c>
      <c r="NA80">
        <v>2</v>
      </c>
      <c r="NE80">
        <v>111</v>
      </c>
      <c r="NJ80">
        <v>1</v>
      </c>
      <c r="NM80">
        <v>4</v>
      </c>
      <c r="NN80">
        <v>11</v>
      </c>
      <c r="NO80">
        <v>7</v>
      </c>
      <c r="NP80">
        <v>35</v>
      </c>
      <c r="NQ80">
        <v>2</v>
      </c>
      <c r="NR80">
        <v>138</v>
      </c>
      <c r="NS80">
        <v>20</v>
      </c>
      <c r="NT80">
        <v>484</v>
      </c>
      <c r="NU80">
        <v>158</v>
      </c>
      <c r="NV80">
        <v>33</v>
      </c>
      <c r="NW80">
        <v>0</v>
      </c>
      <c r="NX80">
        <v>1</v>
      </c>
      <c r="NY80">
        <v>2</v>
      </c>
      <c r="OB80">
        <v>4</v>
      </c>
      <c r="OD80">
        <v>29</v>
      </c>
      <c r="OE80">
        <v>24</v>
      </c>
      <c r="OF80">
        <v>6</v>
      </c>
      <c r="OI80">
        <v>38</v>
      </c>
      <c r="OJ80">
        <v>38</v>
      </c>
      <c r="OK80">
        <v>54</v>
      </c>
      <c r="OO80">
        <v>38698</v>
      </c>
      <c r="OP80">
        <v>2157</v>
      </c>
      <c r="OU80">
        <v>98</v>
      </c>
      <c r="OV80">
        <v>4012</v>
      </c>
      <c r="PI80">
        <v>44965</v>
      </c>
      <c r="PM80" t="str">
        <f>IFERROR(VLOOKUP($A80&amp;"",Key!$A:$C,3,FALSE),"")</f>
        <v>ISIC 25</v>
      </c>
    </row>
    <row r="81" spans="1:429" x14ac:dyDescent="0.25">
      <c r="A81">
        <v>332800</v>
      </c>
      <c r="B81" t="s">
        <v>216</v>
      </c>
      <c r="P81">
        <v>58</v>
      </c>
      <c r="Q81">
        <v>29</v>
      </c>
      <c r="R81">
        <v>7</v>
      </c>
      <c r="S81">
        <v>99</v>
      </c>
      <c r="T81">
        <v>18</v>
      </c>
      <c r="U81">
        <v>65</v>
      </c>
      <c r="V81">
        <v>31</v>
      </c>
      <c r="W81">
        <v>77</v>
      </c>
      <c r="X81">
        <v>35</v>
      </c>
      <c r="AA81">
        <v>5</v>
      </c>
      <c r="AB81">
        <v>2</v>
      </c>
      <c r="AC81">
        <v>385</v>
      </c>
      <c r="AD81">
        <v>172</v>
      </c>
      <c r="AE81">
        <v>223</v>
      </c>
      <c r="AF81">
        <v>57</v>
      </c>
      <c r="AG81">
        <v>1209</v>
      </c>
      <c r="AH81">
        <v>48</v>
      </c>
      <c r="AI81">
        <v>178</v>
      </c>
      <c r="AJ81">
        <v>68</v>
      </c>
      <c r="AK81">
        <v>339</v>
      </c>
      <c r="AL81">
        <v>122</v>
      </c>
      <c r="AM81">
        <v>248</v>
      </c>
      <c r="AN81">
        <v>190</v>
      </c>
      <c r="AO81">
        <v>113</v>
      </c>
      <c r="AP81">
        <v>66</v>
      </c>
      <c r="AQ81">
        <v>13</v>
      </c>
      <c r="AR81">
        <v>38</v>
      </c>
      <c r="AS81">
        <v>25</v>
      </c>
      <c r="AT81">
        <v>149</v>
      </c>
      <c r="AU81">
        <v>20</v>
      </c>
      <c r="AV81">
        <v>44</v>
      </c>
      <c r="AW81">
        <v>17</v>
      </c>
      <c r="AX81">
        <v>9</v>
      </c>
      <c r="AY81">
        <v>17</v>
      </c>
      <c r="AZ81">
        <v>52</v>
      </c>
      <c r="BA81">
        <v>27</v>
      </c>
      <c r="BB81">
        <v>5</v>
      </c>
      <c r="BC81">
        <v>387</v>
      </c>
      <c r="BD81">
        <v>68</v>
      </c>
      <c r="BE81">
        <v>34</v>
      </c>
      <c r="BF81">
        <v>4</v>
      </c>
      <c r="BG81">
        <v>151</v>
      </c>
      <c r="BH81">
        <v>63</v>
      </c>
      <c r="BI81">
        <v>50</v>
      </c>
      <c r="BJ81">
        <v>27</v>
      </c>
      <c r="BK81">
        <v>130</v>
      </c>
      <c r="BL81">
        <v>137</v>
      </c>
      <c r="BM81">
        <v>25</v>
      </c>
      <c r="BN81">
        <v>39</v>
      </c>
      <c r="BO81">
        <v>62</v>
      </c>
      <c r="BP81">
        <v>32</v>
      </c>
      <c r="BQ81">
        <v>232</v>
      </c>
      <c r="BR81">
        <v>15</v>
      </c>
      <c r="BS81">
        <v>91</v>
      </c>
      <c r="BT81">
        <v>24</v>
      </c>
      <c r="BU81">
        <v>25</v>
      </c>
      <c r="BV81">
        <v>133</v>
      </c>
      <c r="BW81">
        <v>45</v>
      </c>
      <c r="BX81">
        <v>193</v>
      </c>
      <c r="BY81">
        <v>64</v>
      </c>
      <c r="BZ81">
        <v>890</v>
      </c>
      <c r="CA81">
        <v>27</v>
      </c>
      <c r="CB81">
        <v>205</v>
      </c>
      <c r="CC81">
        <v>7</v>
      </c>
      <c r="CD81">
        <v>28</v>
      </c>
      <c r="CE81">
        <v>153</v>
      </c>
      <c r="CF81">
        <v>40</v>
      </c>
      <c r="CG81">
        <v>9</v>
      </c>
      <c r="CH81">
        <v>6</v>
      </c>
      <c r="CI81">
        <v>13</v>
      </c>
      <c r="CJ81">
        <v>253</v>
      </c>
      <c r="CK81">
        <v>22</v>
      </c>
      <c r="CL81">
        <v>138</v>
      </c>
      <c r="CM81">
        <v>16</v>
      </c>
      <c r="CN81">
        <v>2</v>
      </c>
      <c r="CO81">
        <v>97</v>
      </c>
      <c r="CP81">
        <v>12</v>
      </c>
      <c r="CQ81">
        <v>65</v>
      </c>
      <c r="CR81">
        <v>4</v>
      </c>
      <c r="CS81">
        <v>30</v>
      </c>
      <c r="CT81">
        <v>23</v>
      </c>
      <c r="CU81">
        <v>18</v>
      </c>
      <c r="CV81">
        <v>13</v>
      </c>
      <c r="CW81">
        <v>100</v>
      </c>
      <c r="CX81">
        <v>2</v>
      </c>
      <c r="CY81">
        <v>22</v>
      </c>
      <c r="CZ81">
        <v>31</v>
      </c>
      <c r="DA81">
        <v>9</v>
      </c>
      <c r="DB81">
        <v>7</v>
      </c>
      <c r="DC81">
        <v>248</v>
      </c>
      <c r="DD81">
        <v>23</v>
      </c>
      <c r="DE81">
        <v>73</v>
      </c>
      <c r="DF81">
        <v>26</v>
      </c>
      <c r="DG81">
        <v>25</v>
      </c>
      <c r="DH81">
        <v>23</v>
      </c>
      <c r="DI81">
        <v>6</v>
      </c>
      <c r="DJ81">
        <v>3</v>
      </c>
      <c r="DK81">
        <v>5</v>
      </c>
      <c r="DL81">
        <v>4</v>
      </c>
      <c r="DM81">
        <v>67</v>
      </c>
      <c r="DN81">
        <v>14</v>
      </c>
      <c r="DO81">
        <v>12</v>
      </c>
      <c r="DP81">
        <v>19</v>
      </c>
      <c r="DQ81">
        <v>64</v>
      </c>
      <c r="DR81">
        <v>79</v>
      </c>
      <c r="DS81">
        <v>83</v>
      </c>
      <c r="DT81">
        <v>1</v>
      </c>
      <c r="DU81">
        <v>52</v>
      </c>
      <c r="DV81">
        <v>20</v>
      </c>
      <c r="DW81">
        <v>33</v>
      </c>
      <c r="DX81">
        <v>69</v>
      </c>
      <c r="DY81">
        <v>116</v>
      </c>
      <c r="DZ81">
        <v>10</v>
      </c>
      <c r="EA81">
        <v>2</v>
      </c>
      <c r="EB81">
        <v>1</v>
      </c>
      <c r="EC81">
        <v>2</v>
      </c>
      <c r="ED81">
        <v>33</v>
      </c>
      <c r="EE81">
        <v>14</v>
      </c>
      <c r="EF81">
        <v>79</v>
      </c>
      <c r="EG81">
        <v>47</v>
      </c>
      <c r="EH81">
        <v>19</v>
      </c>
      <c r="EI81">
        <v>90</v>
      </c>
      <c r="EJ81">
        <v>60</v>
      </c>
      <c r="EK81">
        <v>26</v>
      </c>
      <c r="EL81">
        <v>39</v>
      </c>
      <c r="EM81">
        <v>19</v>
      </c>
      <c r="EN81">
        <v>124</v>
      </c>
      <c r="EO81">
        <v>14</v>
      </c>
      <c r="EP81">
        <v>30</v>
      </c>
      <c r="EQ81">
        <v>25</v>
      </c>
      <c r="ER81">
        <v>99</v>
      </c>
      <c r="ES81">
        <v>35</v>
      </c>
      <c r="ET81">
        <v>201</v>
      </c>
      <c r="EU81">
        <v>31</v>
      </c>
      <c r="EV81">
        <v>0</v>
      </c>
      <c r="EW81">
        <v>13</v>
      </c>
      <c r="EX81">
        <v>119</v>
      </c>
      <c r="EY81">
        <v>75</v>
      </c>
      <c r="EZ81">
        <v>158</v>
      </c>
      <c r="FA81">
        <v>97</v>
      </c>
      <c r="FB81">
        <v>535</v>
      </c>
      <c r="FC81">
        <v>124</v>
      </c>
      <c r="FD81">
        <v>164</v>
      </c>
      <c r="FE81">
        <v>95</v>
      </c>
      <c r="FF81">
        <v>2</v>
      </c>
      <c r="FG81">
        <v>109</v>
      </c>
      <c r="FH81">
        <v>284</v>
      </c>
      <c r="FI81">
        <v>29</v>
      </c>
      <c r="FJ81">
        <v>21</v>
      </c>
      <c r="FK81">
        <v>10</v>
      </c>
      <c r="FL81">
        <v>36</v>
      </c>
      <c r="FM81">
        <v>11</v>
      </c>
      <c r="FN81">
        <v>138</v>
      </c>
      <c r="FO81">
        <v>24</v>
      </c>
      <c r="FP81">
        <v>119</v>
      </c>
      <c r="FQ81">
        <v>86</v>
      </c>
      <c r="FR81">
        <v>6</v>
      </c>
      <c r="FS81">
        <v>52</v>
      </c>
      <c r="FT81">
        <v>7</v>
      </c>
      <c r="FU81">
        <v>70</v>
      </c>
      <c r="FV81">
        <v>114</v>
      </c>
      <c r="FW81">
        <v>46</v>
      </c>
      <c r="FX81">
        <v>139</v>
      </c>
      <c r="FY81">
        <v>100</v>
      </c>
      <c r="FZ81">
        <v>4</v>
      </c>
      <c r="GA81">
        <v>8</v>
      </c>
      <c r="GB81">
        <v>7</v>
      </c>
      <c r="GC81">
        <v>2</v>
      </c>
      <c r="GD81">
        <v>18</v>
      </c>
      <c r="GE81">
        <v>1</v>
      </c>
      <c r="GF81">
        <v>9</v>
      </c>
      <c r="GG81">
        <v>22</v>
      </c>
      <c r="GH81">
        <v>76</v>
      </c>
      <c r="HG81">
        <v>1494</v>
      </c>
      <c r="HH81">
        <v>97</v>
      </c>
      <c r="HI81">
        <v>17</v>
      </c>
      <c r="HK81">
        <v>237</v>
      </c>
      <c r="HL81">
        <v>9</v>
      </c>
      <c r="HM81">
        <v>20</v>
      </c>
      <c r="HN81">
        <v>32</v>
      </c>
      <c r="HO81">
        <v>31</v>
      </c>
      <c r="HP81">
        <v>22</v>
      </c>
      <c r="HQ81">
        <v>49</v>
      </c>
      <c r="HR81">
        <v>3</v>
      </c>
      <c r="HS81">
        <v>4</v>
      </c>
      <c r="HT81">
        <v>54</v>
      </c>
      <c r="HU81">
        <v>328</v>
      </c>
      <c r="HV81">
        <v>376</v>
      </c>
      <c r="HW81">
        <v>444</v>
      </c>
      <c r="HX81">
        <v>252</v>
      </c>
      <c r="HY81">
        <v>45</v>
      </c>
      <c r="HZ81">
        <v>133</v>
      </c>
      <c r="IA81">
        <v>38</v>
      </c>
      <c r="IB81">
        <v>319</v>
      </c>
      <c r="IC81">
        <v>35</v>
      </c>
      <c r="ID81">
        <v>385</v>
      </c>
      <c r="IE81">
        <v>4</v>
      </c>
      <c r="IF81">
        <v>89</v>
      </c>
      <c r="IG81">
        <v>24</v>
      </c>
      <c r="IH81">
        <v>15</v>
      </c>
      <c r="II81">
        <v>20</v>
      </c>
      <c r="IJ81">
        <v>53</v>
      </c>
      <c r="IK81">
        <v>69</v>
      </c>
      <c r="IL81">
        <v>184</v>
      </c>
      <c r="IM81">
        <v>189</v>
      </c>
      <c r="IN81">
        <v>65</v>
      </c>
      <c r="IO81">
        <v>2</v>
      </c>
      <c r="IP81">
        <v>1</v>
      </c>
      <c r="IQ81">
        <v>1</v>
      </c>
      <c r="IS81">
        <v>20</v>
      </c>
      <c r="IT81">
        <v>19</v>
      </c>
      <c r="IU81">
        <v>136</v>
      </c>
      <c r="IV81">
        <v>177</v>
      </c>
      <c r="IW81">
        <v>753</v>
      </c>
      <c r="IX81">
        <v>166</v>
      </c>
      <c r="IY81">
        <v>34</v>
      </c>
      <c r="IZ81">
        <v>279</v>
      </c>
      <c r="JA81">
        <v>279</v>
      </c>
      <c r="JB81">
        <v>87</v>
      </c>
      <c r="JC81">
        <v>26</v>
      </c>
      <c r="JD81">
        <v>72</v>
      </c>
      <c r="JE81">
        <v>32</v>
      </c>
      <c r="JF81">
        <v>47</v>
      </c>
      <c r="JG81">
        <v>473</v>
      </c>
      <c r="JH81">
        <v>61</v>
      </c>
      <c r="JI81">
        <v>29</v>
      </c>
      <c r="JJ81">
        <v>272</v>
      </c>
      <c r="JK81">
        <v>3</v>
      </c>
      <c r="JL81">
        <v>0</v>
      </c>
      <c r="JM81">
        <v>1</v>
      </c>
      <c r="JN81">
        <v>0</v>
      </c>
      <c r="JO81">
        <v>10</v>
      </c>
      <c r="JR81">
        <v>3</v>
      </c>
      <c r="JS81">
        <v>1</v>
      </c>
      <c r="JT81">
        <v>0</v>
      </c>
      <c r="JV81">
        <v>125</v>
      </c>
      <c r="JY81">
        <v>4</v>
      </c>
      <c r="JZ81">
        <v>1</v>
      </c>
      <c r="KA81">
        <v>19</v>
      </c>
      <c r="KB81">
        <v>2</v>
      </c>
      <c r="KC81">
        <v>30</v>
      </c>
      <c r="KD81">
        <v>0</v>
      </c>
      <c r="KE81">
        <v>22</v>
      </c>
      <c r="KF81">
        <v>2</v>
      </c>
      <c r="KG81">
        <v>373</v>
      </c>
      <c r="KH81">
        <v>711</v>
      </c>
      <c r="KI81">
        <v>17</v>
      </c>
      <c r="KJ81">
        <v>8</v>
      </c>
      <c r="KK81">
        <v>39</v>
      </c>
      <c r="KM81">
        <v>70</v>
      </c>
      <c r="KN81">
        <v>52</v>
      </c>
      <c r="KO81">
        <v>46</v>
      </c>
      <c r="KP81">
        <v>36</v>
      </c>
      <c r="KQ81">
        <v>29</v>
      </c>
      <c r="KR81">
        <v>509</v>
      </c>
      <c r="KT81">
        <v>7</v>
      </c>
      <c r="KU81">
        <v>60</v>
      </c>
      <c r="KV81">
        <v>7</v>
      </c>
      <c r="KW81">
        <v>875</v>
      </c>
      <c r="KX81">
        <v>416</v>
      </c>
      <c r="KY81">
        <v>58</v>
      </c>
      <c r="LA81">
        <v>68</v>
      </c>
      <c r="LK81">
        <v>1</v>
      </c>
      <c r="LL81">
        <v>0</v>
      </c>
      <c r="LO81">
        <v>18</v>
      </c>
      <c r="LT81">
        <v>35</v>
      </c>
      <c r="LW81">
        <v>41</v>
      </c>
      <c r="LX81">
        <v>1</v>
      </c>
      <c r="LY81">
        <v>2</v>
      </c>
      <c r="LZ81">
        <v>34</v>
      </c>
      <c r="MJ81">
        <v>3</v>
      </c>
      <c r="MK81">
        <v>12</v>
      </c>
      <c r="MM81">
        <v>225</v>
      </c>
      <c r="MN81">
        <v>8</v>
      </c>
      <c r="MQ81">
        <v>0</v>
      </c>
      <c r="MR81">
        <v>3</v>
      </c>
      <c r="MZ81">
        <v>2</v>
      </c>
      <c r="NA81">
        <v>1</v>
      </c>
      <c r="NR81">
        <v>174</v>
      </c>
      <c r="NS81">
        <v>21</v>
      </c>
      <c r="NT81">
        <v>251</v>
      </c>
      <c r="NU81">
        <v>171</v>
      </c>
      <c r="OE81">
        <v>15</v>
      </c>
      <c r="OF81">
        <v>126</v>
      </c>
      <c r="ON81">
        <v>87</v>
      </c>
      <c r="OO81">
        <v>26467</v>
      </c>
      <c r="OU81">
        <v>199</v>
      </c>
      <c r="OV81">
        <v>179</v>
      </c>
      <c r="PI81">
        <v>26845</v>
      </c>
      <c r="PM81" t="str">
        <f>IFERROR(VLOOKUP($A81&amp;"",Key!$A:$C,3,FALSE),"")</f>
        <v>ISIC 25</v>
      </c>
    </row>
    <row r="82" spans="1:429" x14ac:dyDescent="0.25">
      <c r="A82">
        <v>332913</v>
      </c>
      <c r="B82" t="s">
        <v>217</v>
      </c>
      <c r="AA82">
        <v>159</v>
      </c>
      <c r="AB82">
        <v>363</v>
      </c>
      <c r="AC82">
        <v>1521</v>
      </c>
      <c r="AD82">
        <v>608</v>
      </c>
      <c r="AE82">
        <v>922</v>
      </c>
      <c r="AF82">
        <v>739</v>
      </c>
      <c r="AG82">
        <v>1651</v>
      </c>
      <c r="AH82">
        <v>120</v>
      </c>
      <c r="AI82">
        <v>480</v>
      </c>
      <c r="AJ82">
        <v>80</v>
      </c>
      <c r="AK82">
        <v>1952</v>
      </c>
      <c r="AL82">
        <v>258</v>
      </c>
      <c r="AP82">
        <v>28</v>
      </c>
      <c r="BW82">
        <v>4</v>
      </c>
      <c r="CA82">
        <v>9</v>
      </c>
      <c r="CB82">
        <v>4</v>
      </c>
      <c r="CK82">
        <v>5</v>
      </c>
      <c r="CZ82">
        <v>41</v>
      </c>
      <c r="DG82">
        <v>4</v>
      </c>
      <c r="DK82">
        <v>7</v>
      </c>
      <c r="DO82">
        <v>17</v>
      </c>
      <c r="EV82">
        <v>0</v>
      </c>
      <c r="EW82">
        <v>28</v>
      </c>
      <c r="FC82">
        <v>41</v>
      </c>
      <c r="JG82">
        <v>314</v>
      </c>
      <c r="JK82">
        <v>0</v>
      </c>
      <c r="JL82">
        <v>3</v>
      </c>
      <c r="JM82">
        <v>0</v>
      </c>
      <c r="JN82">
        <v>0</v>
      </c>
      <c r="JR82">
        <v>0</v>
      </c>
      <c r="JT82">
        <v>0</v>
      </c>
      <c r="JY82">
        <v>2</v>
      </c>
      <c r="KB82">
        <v>5</v>
      </c>
      <c r="KC82">
        <v>1</v>
      </c>
      <c r="KD82">
        <v>4</v>
      </c>
      <c r="KF82">
        <v>1</v>
      </c>
      <c r="KW82">
        <v>29</v>
      </c>
      <c r="KX82">
        <v>187</v>
      </c>
      <c r="KY82">
        <v>3</v>
      </c>
      <c r="KZ82">
        <v>154</v>
      </c>
      <c r="LK82">
        <v>5</v>
      </c>
      <c r="LO82">
        <v>44</v>
      </c>
      <c r="LZ82">
        <v>72</v>
      </c>
      <c r="MH82">
        <v>17</v>
      </c>
      <c r="MO82">
        <v>32</v>
      </c>
      <c r="MP82">
        <v>49</v>
      </c>
      <c r="MQ82">
        <v>7</v>
      </c>
      <c r="MS82">
        <v>58</v>
      </c>
      <c r="MZ82">
        <v>64</v>
      </c>
      <c r="NC82">
        <v>23</v>
      </c>
      <c r="ND82">
        <v>24</v>
      </c>
      <c r="NE82">
        <v>26</v>
      </c>
      <c r="NF82">
        <v>2</v>
      </c>
      <c r="NM82">
        <v>32</v>
      </c>
      <c r="NN82">
        <v>10</v>
      </c>
      <c r="NO82">
        <v>194</v>
      </c>
      <c r="NP82">
        <v>48</v>
      </c>
      <c r="NQ82">
        <v>16</v>
      </c>
      <c r="OB82">
        <v>113</v>
      </c>
      <c r="OM82">
        <v>6</v>
      </c>
      <c r="OO82">
        <v>10588</v>
      </c>
      <c r="OU82">
        <v>87</v>
      </c>
      <c r="OV82">
        <v>312</v>
      </c>
      <c r="PI82">
        <v>10987</v>
      </c>
      <c r="PM82" t="str">
        <f>IFERROR(VLOOKUP($A82&amp;"",Key!$A:$C,3,FALSE),"")</f>
        <v>ISIC 25</v>
      </c>
    </row>
    <row r="83" spans="1:429" x14ac:dyDescent="0.25">
      <c r="A83" t="s">
        <v>580</v>
      </c>
      <c r="B83" t="s">
        <v>218</v>
      </c>
      <c r="P83">
        <v>4107</v>
      </c>
      <c r="R83">
        <v>7</v>
      </c>
      <c r="V83">
        <v>32</v>
      </c>
      <c r="W83">
        <v>53</v>
      </c>
      <c r="Y83">
        <v>747</v>
      </c>
      <c r="AA83">
        <v>484</v>
      </c>
      <c r="AB83">
        <v>1435</v>
      </c>
      <c r="AC83">
        <v>376</v>
      </c>
      <c r="AD83">
        <v>44</v>
      </c>
      <c r="AE83">
        <v>650</v>
      </c>
      <c r="AF83">
        <v>166</v>
      </c>
      <c r="AG83">
        <v>490</v>
      </c>
      <c r="AH83">
        <v>381</v>
      </c>
      <c r="AI83">
        <v>1753</v>
      </c>
      <c r="AJ83">
        <v>61</v>
      </c>
      <c r="AK83">
        <v>1072</v>
      </c>
      <c r="AL83">
        <v>900</v>
      </c>
      <c r="AP83">
        <v>35</v>
      </c>
      <c r="AV83">
        <v>0</v>
      </c>
      <c r="BC83">
        <v>89</v>
      </c>
      <c r="BD83">
        <v>2</v>
      </c>
      <c r="BF83">
        <v>1</v>
      </c>
      <c r="BK83">
        <v>13</v>
      </c>
      <c r="BM83">
        <v>18</v>
      </c>
      <c r="BN83">
        <v>25</v>
      </c>
      <c r="BO83">
        <v>34</v>
      </c>
      <c r="BP83">
        <v>30</v>
      </c>
      <c r="BQ83">
        <v>258</v>
      </c>
      <c r="BR83">
        <v>120</v>
      </c>
      <c r="BS83">
        <v>111</v>
      </c>
      <c r="BT83">
        <v>103</v>
      </c>
      <c r="BU83">
        <v>5</v>
      </c>
      <c r="BV83">
        <v>37</v>
      </c>
      <c r="BW83">
        <v>40</v>
      </c>
      <c r="BX83">
        <v>206</v>
      </c>
      <c r="BY83">
        <v>19</v>
      </c>
      <c r="BZ83">
        <v>31</v>
      </c>
      <c r="CA83">
        <v>15</v>
      </c>
      <c r="CB83">
        <v>2260</v>
      </c>
      <c r="CC83">
        <v>11</v>
      </c>
      <c r="CD83">
        <v>104</v>
      </c>
      <c r="CE83">
        <v>89</v>
      </c>
      <c r="CF83">
        <v>15</v>
      </c>
      <c r="CG83">
        <v>131</v>
      </c>
      <c r="CH83">
        <v>24</v>
      </c>
      <c r="CI83">
        <v>1106</v>
      </c>
      <c r="CJ83">
        <v>283</v>
      </c>
      <c r="CK83">
        <v>214</v>
      </c>
      <c r="CL83">
        <v>497</v>
      </c>
      <c r="CM83">
        <v>23</v>
      </c>
      <c r="CN83">
        <v>6</v>
      </c>
      <c r="CO83">
        <v>559</v>
      </c>
      <c r="CP83">
        <v>9</v>
      </c>
      <c r="CQ83">
        <v>267</v>
      </c>
      <c r="CR83">
        <v>130</v>
      </c>
      <c r="CS83">
        <v>21</v>
      </c>
      <c r="CT83">
        <v>20</v>
      </c>
      <c r="CU83">
        <v>54</v>
      </c>
      <c r="CV83">
        <v>46</v>
      </c>
      <c r="CW83">
        <v>416</v>
      </c>
      <c r="CX83">
        <v>0</v>
      </c>
      <c r="CY83">
        <v>14</v>
      </c>
      <c r="CZ83">
        <v>151</v>
      </c>
      <c r="DA83">
        <v>443</v>
      </c>
      <c r="DB83">
        <v>107</v>
      </c>
      <c r="DC83">
        <v>324</v>
      </c>
      <c r="DD83">
        <v>16</v>
      </c>
      <c r="DE83">
        <v>15</v>
      </c>
      <c r="DF83">
        <v>17</v>
      </c>
      <c r="DG83">
        <v>536</v>
      </c>
      <c r="DH83">
        <v>50</v>
      </c>
      <c r="DJ83">
        <v>0</v>
      </c>
      <c r="DK83">
        <v>1</v>
      </c>
      <c r="DL83">
        <v>10</v>
      </c>
      <c r="DM83">
        <v>73</v>
      </c>
      <c r="DN83">
        <v>2</v>
      </c>
      <c r="DO83">
        <v>0</v>
      </c>
      <c r="DP83">
        <v>1</v>
      </c>
      <c r="DQ83">
        <v>9</v>
      </c>
      <c r="DR83">
        <v>13</v>
      </c>
      <c r="DS83">
        <v>2</v>
      </c>
      <c r="DT83">
        <v>0</v>
      </c>
      <c r="DU83">
        <v>29</v>
      </c>
      <c r="DV83">
        <v>8</v>
      </c>
      <c r="DW83">
        <v>6</v>
      </c>
      <c r="DX83">
        <v>31</v>
      </c>
      <c r="DY83">
        <v>13</v>
      </c>
      <c r="DZ83">
        <v>73</v>
      </c>
      <c r="ED83">
        <v>11</v>
      </c>
      <c r="EE83">
        <v>1</v>
      </c>
      <c r="EF83">
        <v>25</v>
      </c>
      <c r="EG83">
        <v>28</v>
      </c>
      <c r="EH83">
        <v>3</v>
      </c>
      <c r="EK83">
        <v>91</v>
      </c>
      <c r="EL83">
        <v>23</v>
      </c>
      <c r="EP83">
        <v>17</v>
      </c>
      <c r="EQ83">
        <v>232</v>
      </c>
      <c r="ER83">
        <v>638</v>
      </c>
      <c r="ES83">
        <v>117</v>
      </c>
      <c r="ET83">
        <v>61</v>
      </c>
      <c r="EU83">
        <v>27</v>
      </c>
      <c r="EV83">
        <v>0</v>
      </c>
      <c r="EW83">
        <v>2</v>
      </c>
      <c r="EX83">
        <v>312</v>
      </c>
      <c r="EY83">
        <v>101</v>
      </c>
      <c r="EZ83">
        <v>36</v>
      </c>
      <c r="FB83">
        <v>167</v>
      </c>
      <c r="FC83">
        <v>189</v>
      </c>
      <c r="FD83">
        <v>373</v>
      </c>
      <c r="FE83">
        <v>2049</v>
      </c>
      <c r="FF83">
        <v>27</v>
      </c>
      <c r="FG83">
        <v>552</v>
      </c>
      <c r="FH83">
        <v>149</v>
      </c>
      <c r="FI83">
        <v>36</v>
      </c>
      <c r="FJ83">
        <v>37</v>
      </c>
      <c r="FK83">
        <v>201</v>
      </c>
      <c r="FL83">
        <v>3</v>
      </c>
      <c r="FM83">
        <v>13</v>
      </c>
      <c r="FN83">
        <v>486</v>
      </c>
      <c r="FO83">
        <v>15</v>
      </c>
      <c r="FQ83">
        <v>7</v>
      </c>
      <c r="FS83">
        <v>5</v>
      </c>
      <c r="FT83">
        <v>1</v>
      </c>
      <c r="FU83">
        <v>11</v>
      </c>
      <c r="FV83">
        <v>19</v>
      </c>
      <c r="FW83">
        <v>2</v>
      </c>
      <c r="FX83">
        <v>59</v>
      </c>
      <c r="FY83">
        <v>58</v>
      </c>
      <c r="FZ83">
        <v>11</v>
      </c>
      <c r="GC83">
        <v>0</v>
      </c>
      <c r="GD83">
        <v>11</v>
      </c>
      <c r="GE83">
        <v>2</v>
      </c>
      <c r="GF83">
        <v>3</v>
      </c>
      <c r="GH83">
        <v>15</v>
      </c>
      <c r="GP83">
        <v>14</v>
      </c>
      <c r="GS83">
        <v>12</v>
      </c>
      <c r="GT83">
        <v>31</v>
      </c>
      <c r="GU83">
        <v>12</v>
      </c>
      <c r="GV83">
        <v>3</v>
      </c>
      <c r="HB83">
        <v>12</v>
      </c>
      <c r="HD83">
        <v>14</v>
      </c>
      <c r="HG83">
        <v>269</v>
      </c>
      <c r="HH83">
        <v>32</v>
      </c>
      <c r="HI83">
        <v>4</v>
      </c>
      <c r="HK83">
        <v>3</v>
      </c>
      <c r="HT83">
        <v>72</v>
      </c>
      <c r="HU83">
        <v>241</v>
      </c>
      <c r="HV83">
        <v>270</v>
      </c>
      <c r="IE83">
        <v>14</v>
      </c>
      <c r="IH83">
        <v>14</v>
      </c>
      <c r="II83">
        <v>19</v>
      </c>
      <c r="IJ83">
        <v>29</v>
      </c>
      <c r="IK83">
        <v>76</v>
      </c>
      <c r="IL83">
        <v>239</v>
      </c>
      <c r="IM83">
        <v>42</v>
      </c>
      <c r="IN83">
        <v>6</v>
      </c>
      <c r="IS83">
        <v>2</v>
      </c>
      <c r="IT83">
        <v>13</v>
      </c>
      <c r="IU83">
        <v>43</v>
      </c>
      <c r="IX83">
        <v>531</v>
      </c>
      <c r="IZ83">
        <v>206</v>
      </c>
      <c r="JE83">
        <v>23</v>
      </c>
      <c r="JG83">
        <v>215</v>
      </c>
      <c r="JH83">
        <v>15</v>
      </c>
      <c r="JJ83">
        <v>117</v>
      </c>
      <c r="JK83">
        <v>0</v>
      </c>
      <c r="JL83">
        <v>0</v>
      </c>
      <c r="JM83">
        <v>1</v>
      </c>
      <c r="JN83">
        <v>0</v>
      </c>
      <c r="JO83">
        <v>2</v>
      </c>
      <c r="JR83">
        <v>0</v>
      </c>
      <c r="JS83">
        <v>27</v>
      </c>
      <c r="JT83">
        <v>0</v>
      </c>
      <c r="JV83">
        <v>42</v>
      </c>
      <c r="JW83">
        <v>11</v>
      </c>
      <c r="KB83">
        <v>3</v>
      </c>
      <c r="KD83">
        <v>1</v>
      </c>
      <c r="KE83">
        <v>1</v>
      </c>
      <c r="KH83">
        <v>326</v>
      </c>
      <c r="KI83">
        <v>8</v>
      </c>
      <c r="KL83">
        <v>7</v>
      </c>
      <c r="KM83">
        <v>75</v>
      </c>
      <c r="KO83">
        <v>13</v>
      </c>
      <c r="KV83">
        <v>3444</v>
      </c>
      <c r="KW83">
        <v>869</v>
      </c>
      <c r="KX83">
        <v>159</v>
      </c>
      <c r="KY83">
        <v>2</v>
      </c>
      <c r="KZ83">
        <v>33</v>
      </c>
      <c r="LA83">
        <v>29</v>
      </c>
      <c r="LK83">
        <v>0</v>
      </c>
      <c r="LO83">
        <v>44</v>
      </c>
      <c r="LT83">
        <v>259</v>
      </c>
      <c r="LW83">
        <v>260</v>
      </c>
      <c r="LZ83">
        <v>157</v>
      </c>
      <c r="MD83">
        <v>0</v>
      </c>
      <c r="MF83">
        <v>9</v>
      </c>
      <c r="MH83">
        <v>109</v>
      </c>
      <c r="MO83">
        <v>198</v>
      </c>
      <c r="MQ83">
        <v>2</v>
      </c>
      <c r="MZ83">
        <v>4</v>
      </c>
      <c r="NC83">
        <v>5</v>
      </c>
      <c r="ND83">
        <v>29</v>
      </c>
      <c r="NE83">
        <v>16</v>
      </c>
      <c r="NM83">
        <v>7</v>
      </c>
      <c r="NN83">
        <v>14</v>
      </c>
      <c r="NO83">
        <v>23</v>
      </c>
      <c r="NP83">
        <v>14</v>
      </c>
      <c r="NR83">
        <v>130</v>
      </c>
      <c r="NS83">
        <v>0</v>
      </c>
      <c r="NT83">
        <v>656</v>
      </c>
      <c r="NU83">
        <v>142</v>
      </c>
      <c r="NZ83">
        <v>0</v>
      </c>
      <c r="OA83">
        <v>0</v>
      </c>
      <c r="OB83">
        <v>18</v>
      </c>
      <c r="OD83">
        <v>782</v>
      </c>
      <c r="OE83">
        <v>1</v>
      </c>
      <c r="OJ83">
        <v>4</v>
      </c>
      <c r="OK83">
        <v>21</v>
      </c>
      <c r="OM83">
        <v>57</v>
      </c>
      <c r="ON83">
        <v>1002</v>
      </c>
      <c r="OO83">
        <v>40015</v>
      </c>
      <c r="OQ83">
        <v>3671</v>
      </c>
      <c r="OU83">
        <v>250</v>
      </c>
      <c r="OV83">
        <v>11108</v>
      </c>
      <c r="OX83">
        <v>347</v>
      </c>
      <c r="PB83">
        <v>1</v>
      </c>
      <c r="PF83">
        <v>17</v>
      </c>
      <c r="PI83">
        <v>55410</v>
      </c>
      <c r="PM83" t="str">
        <f>IFERROR(VLOOKUP($A83&amp;"",Key!$A:$C,3,FALSE),"")</f>
        <v>ISIC 25</v>
      </c>
    </row>
    <row r="84" spans="1:429" x14ac:dyDescent="0.25">
      <c r="A84">
        <v>332991</v>
      </c>
      <c r="B84" t="s">
        <v>219</v>
      </c>
      <c r="P84">
        <v>161</v>
      </c>
      <c r="AP84">
        <v>3</v>
      </c>
      <c r="BD84">
        <v>88</v>
      </c>
      <c r="BM84">
        <v>8</v>
      </c>
      <c r="BN84">
        <v>14</v>
      </c>
      <c r="BO84">
        <v>23</v>
      </c>
      <c r="BP84">
        <v>11</v>
      </c>
      <c r="BQ84">
        <v>89</v>
      </c>
      <c r="BR84">
        <v>6</v>
      </c>
      <c r="BS84">
        <v>35</v>
      </c>
      <c r="BT84">
        <v>8</v>
      </c>
      <c r="BU84">
        <v>10</v>
      </c>
      <c r="BV84">
        <v>45</v>
      </c>
      <c r="BW84">
        <v>13</v>
      </c>
      <c r="BX84">
        <v>42</v>
      </c>
      <c r="BY84">
        <v>16</v>
      </c>
      <c r="BZ84">
        <v>57</v>
      </c>
      <c r="CA84">
        <v>9</v>
      </c>
      <c r="CB84">
        <v>71</v>
      </c>
      <c r="CC84">
        <v>1326</v>
      </c>
      <c r="CD84">
        <v>11</v>
      </c>
      <c r="CE84">
        <v>55</v>
      </c>
      <c r="CF84">
        <v>12</v>
      </c>
      <c r="CG84">
        <v>221</v>
      </c>
      <c r="CH84">
        <v>93</v>
      </c>
      <c r="CI84">
        <v>59</v>
      </c>
      <c r="CJ84">
        <v>39</v>
      </c>
      <c r="CK84">
        <v>26</v>
      </c>
      <c r="CL84">
        <v>168</v>
      </c>
      <c r="CM84">
        <v>8</v>
      </c>
      <c r="CN84">
        <v>3</v>
      </c>
      <c r="CO84">
        <v>35</v>
      </c>
      <c r="CP84">
        <v>5</v>
      </c>
      <c r="CQ84">
        <v>136</v>
      </c>
      <c r="CR84">
        <v>13</v>
      </c>
      <c r="CS84">
        <v>10</v>
      </c>
      <c r="CT84">
        <v>7</v>
      </c>
      <c r="CU84">
        <v>49</v>
      </c>
      <c r="CV84">
        <v>26</v>
      </c>
      <c r="CW84">
        <v>166</v>
      </c>
      <c r="CX84">
        <v>26</v>
      </c>
      <c r="CY84">
        <v>166</v>
      </c>
      <c r="CZ84">
        <v>24</v>
      </c>
      <c r="DA84">
        <v>80</v>
      </c>
      <c r="DB84">
        <v>71</v>
      </c>
      <c r="DC84">
        <v>115</v>
      </c>
      <c r="DD84">
        <v>63</v>
      </c>
      <c r="DE84">
        <v>126</v>
      </c>
      <c r="DF84">
        <v>10</v>
      </c>
      <c r="DG84">
        <v>17</v>
      </c>
      <c r="DH84">
        <v>230</v>
      </c>
      <c r="DJ84">
        <v>1</v>
      </c>
      <c r="DK84">
        <v>1</v>
      </c>
      <c r="DM84">
        <v>8</v>
      </c>
      <c r="DN84">
        <v>2</v>
      </c>
      <c r="DO84">
        <v>0</v>
      </c>
      <c r="DP84">
        <v>1</v>
      </c>
      <c r="DQ84">
        <v>34</v>
      </c>
      <c r="DR84">
        <v>27</v>
      </c>
      <c r="DS84">
        <v>7</v>
      </c>
      <c r="DT84">
        <v>0</v>
      </c>
      <c r="DU84">
        <v>18</v>
      </c>
      <c r="DV84">
        <v>5</v>
      </c>
      <c r="DW84">
        <v>6</v>
      </c>
      <c r="DX84">
        <v>20</v>
      </c>
      <c r="DY84">
        <v>24</v>
      </c>
      <c r="DZ84">
        <v>37</v>
      </c>
      <c r="EA84">
        <v>5</v>
      </c>
      <c r="ED84">
        <v>19</v>
      </c>
      <c r="EF84">
        <v>29</v>
      </c>
      <c r="EG84">
        <v>15</v>
      </c>
      <c r="EH84">
        <v>94</v>
      </c>
      <c r="EI84">
        <v>116</v>
      </c>
      <c r="EJ84">
        <v>43</v>
      </c>
      <c r="EK84">
        <v>14</v>
      </c>
      <c r="EL84">
        <v>12</v>
      </c>
      <c r="EN84">
        <v>63</v>
      </c>
      <c r="EP84">
        <v>22</v>
      </c>
      <c r="EQ84">
        <v>20</v>
      </c>
      <c r="ER84">
        <v>42</v>
      </c>
      <c r="ES84">
        <v>25</v>
      </c>
      <c r="ET84">
        <v>18</v>
      </c>
      <c r="EU84">
        <v>10</v>
      </c>
      <c r="EV84">
        <v>0</v>
      </c>
      <c r="EW84">
        <v>4</v>
      </c>
      <c r="EX84">
        <v>162</v>
      </c>
      <c r="EY84">
        <v>99</v>
      </c>
      <c r="EZ84">
        <v>100</v>
      </c>
      <c r="FA84">
        <v>37</v>
      </c>
      <c r="FB84">
        <v>113</v>
      </c>
      <c r="FC84">
        <v>417</v>
      </c>
      <c r="FD84">
        <v>268</v>
      </c>
      <c r="FE84">
        <v>177</v>
      </c>
      <c r="FF84">
        <v>11</v>
      </c>
      <c r="FG84">
        <v>112</v>
      </c>
      <c r="FI84">
        <v>5</v>
      </c>
      <c r="FJ84">
        <v>23</v>
      </c>
      <c r="FK84">
        <v>4</v>
      </c>
      <c r="FL84">
        <v>5</v>
      </c>
      <c r="FM84">
        <v>5</v>
      </c>
      <c r="FN84">
        <v>16</v>
      </c>
      <c r="FO84">
        <v>8</v>
      </c>
      <c r="FQ84">
        <v>11</v>
      </c>
      <c r="FS84">
        <v>10</v>
      </c>
      <c r="FT84">
        <v>3</v>
      </c>
      <c r="FU84">
        <v>22</v>
      </c>
      <c r="FV84">
        <v>35</v>
      </c>
      <c r="FW84">
        <v>4</v>
      </c>
      <c r="FX84">
        <v>37</v>
      </c>
      <c r="FY84">
        <v>31</v>
      </c>
      <c r="FZ84">
        <v>2</v>
      </c>
      <c r="GB84">
        <v>5</v>
      </c>
      <c r="GC84">
        <v>3</v>
      </c>
      <c r="GD84">
        <v>4</v>
      </c>
      <c r="GE84">
        <v>3</v>
      </c>
      <c r="GF84">
        <v>5</v>
      </c>
      <c r="GG84">
        <v>8</v>
      </c>
      <c r="GH84">
        <v>26</v>
      </c>
      <c r="IZ84">
        <v>1</v>
      </c>
      <c r="JH84">
        <v>15</v>
      </c>
      <c r="JJ84">
        <v>110</v>
      </c>
      <c r="JV84">
        <v>4</v>
      </c>
      <c r="KB84">
        <v>1</v>
      </c>
      <c r="KI84">
        <v>83</v>
      </c>
      <c r="KJ84">
        <v>2</v>
      </c>
      <c r="KV84">
        <v>16</v>
      </c>
      <c r="KW84">
        <v>264</v>
      </c>
      <c r="KX84">
        <v>1225</v>
      </c>
      <c r="KY84">
        <v>46</v>
      </c>
      <c r="LZ84">
        <v>38</v>
      </c>
      <c r="MF84">
        <v>2</v>
      </c>
      <c r="MM84">
        <v>7</v>
      </c>
      <c r="MO84">
        <v>146</v>
      </c>
      <c r="NR84">
        <v>12</v>
      </c>
      <c r="NS84">
        <v>40</v>
      </c>
      <c r="NT84">
        <v>231</v>
      </c>
      <c r="NU84">
        <v>29</v>
      </c>
      <c r="OD84">
        <v>657</v>
      </c>
      <c r="OE84">
        <v>1</v>
      </c>
      <c r="OH84">
        <v>2</v>
      </c>
      <c r="ON84">
        <v>42</v>
      </c>
      <c r="OO84">
        <v>9590</v>
      </c>
      <c r="OU84">
        <v>104</v>
      </c>
      <c r="OV84">
        <v>2030</v>
      </c>
      <c r="PI84">
        <v>11724</v>
      </c>
      <c r="PM84" t="str">
        <f>IFERROR(VLOOKUP($A84&amp;"",Key!$A:$C,3,FALSE),"")</f>
        <v>ISIC 25</v>
      </c>
    </row>
    <row r="85" spans="1:429" x14ac:dyDescent="0.25">
      <c r="A85">
        <v>332996</v>
      </c>
      <c r="B85" t="s">
        <v>220</v>
      </c>
      <c r="Z85">
        <v>0</v>
      </c>
      <c r="AA85">
        <v>6</v>
      </c>
      <c r="AB85">
        <v>6</v>
      </c>
      <c r="AC85">
        <v>540</v>
      </c>
      <c r="AD85">
        <v>262</v>
      </c>
      <c r="AE85">
        <v>364</v>
      </c>
      <c r="AF85">
        <v>117</v>
      </c>
      <c r="AG85">
        <v>638</v>
      </c>
      <c r="AH85">
        <v>553</v>
      </c>
      <c r="AI85">
        <v>172</v>
      </c>
      <c r="AJ85">
        <v>108</v>
      </c>
      <c r="AK85">
        <v>811</v>
      </c>
      <c r="AL85">
        <v>296</v>
      </c>
      <c r="BQ85">
        <v>141</v>
      </c>
      <c r="BS85">
        <v>88</v>
      </c>
      <c r="BT85">
        <v>239</v>
      </c>
      <c r="BW85">
        <v>1</v>
      </c>
      <c r="CB85">
        <v>1071</v>
      </c>
      <c r="CD85">
        <v>447</v>
      </c>
      <c r="CF85">
        <v>9</v>
      </c>
      <c r="CK85">
        <v>1</v>
      </c>
      <c r="CO85">
        <v>69</v>
      </c>
      <c r="CP85">
        <v>19</v>
      </c>
      <c r="CQ85">
        <v>36</v>
      </c>
      <c r="DG85">
        <v>1</v>
      </c>
      <c r="ED85">
        <v>189</v>
      </c>
      <c r="EY85">
        <v>5</v>
      </c>
      <c r="FG85">
        <v>139</v>
      </c>
      <c r="JK85">
        <v>1</v>
      </c>
      <c r="JL85">
        <v>1</v>
      </c>
      <c r="JM85">
        <v>0</v>
      </c>
      <c r="JN85">
        <v>0</v>
      </c>
      <c r="JR85">
        <v>0</v>
      </c>
      <c r="JT85">
        <v>0</v>
      </c>
      <c r="KB85">
        <v>3</v>
      </c>
      <c r="KD85">
        <v>2</v>
      </c>
      <c r="KM85">
        <v>15</v>
      </c>
      <c r="KV85">
        <v>1</v>
      </c>
      <c r="KW85">
        <v>13</v>
      </c>
      <c r="KX85">
        <v>54</v>
      </c>
      <c r="KY85">
        <v>2</v>
      </c>
      <c r="KZ85">
        <v>1</v>
      </c>
      <c r="LK85">
        <v>2</v>
      </c>
      <c r="LO85">
        <v>79</v>
      </c>
      <c r="LT85">
        <v>105</v>
      </c>
      <c r="LW85">
        <v>120</v>
      </c>
      <c r="LZ85">
        <v>8</v>
      </c>
      <c r="MP85">
        <v>0</v>
      </c>
      <c r="MQ85">
        <v>0</v>
      </c>
      <c r="MR85">
        <v>0</v>
      </c>
      <c r="MS85">
        <v>31</v>
      </c>
      <c r="MY85">
        <v>1</v>
      </c>
      <c r="NC85">
        <v>14</v>
      </c>
      <c r="ND85">
        <v>10</v>
      </c>
      <c r="NE85">
        <v>18</v>
      </c>
      <c r="NF85">
        <v>1</v>
      </c>
      <c r="NM85">
        <v>18</v>
      </c>
      <c r="NN85">
        <v>1</v>
      </c>
      <c r="OE85">
        <v>0</v>
      </c>
      <c r="OI85">
        <v>1</v>
      </c>
      <c r="ON85">
        <v>20</v>
      </c>
      <c r="OO85">
        <v>6851</v>
      </c>
      <c r="OQ85">
        <v>766</v>
      </c>
      <c r="OU85">
        <v>-53</v>
      </c>
      <c r="OV85">
        <v>97</v>
      </c>
      <c r="OX85">
        <v>2</v>
      </c>
      <c r="PB85">
        <v>0</v>
      </c>
      <c r="PF85">
        <v>2</v>
      </c>
      <c r="PI85">
        <v>7665</v>
      </c>
      <c r="PM85" t="str">
        <f>IFERROR(VLOOKUP($A85&amp;"",Key!$A:$C,3,FALSE),"")</f>
        <v>ISIC 25</v>
      </c>
    </row>
    <row r="86" spans="1:429" x14ac:dyDescent="0.25">
      <c r="A86" t="s">
        <v>581</v>
      </c>
      <c r="B86" t="s">
        <v>221</v>
      </c>
      <c r="BW86">
        <v>0</v>
      </c>
      <c r="CB86">
        <v>0</v>
      </c>
      <c r="CE86">
        <v>1254</v>
      </c>
      <c r="DG86">
        <v>0</v>
      </c>
      <c r="KK86">
        <v>1</v>
      </c>
      <c r="ML86">
        <v>10</v>
      </c>
      <c r="MM86">
        <v>380</v>
      </c>
      <c r="NM86">
        <v>15</v>
      </c>
      <c r="NU86">
        <v>1035</v>
      </c>
      <c r="OD86">
        <v>3646</v>
      </c>
      <c r="OE86">
        <v>82</v>
      </c>
      <c r="OJ86">
        <v>8</v>
      </c>
      <c r="OK86">
        <v>992</v>
      </c>
      <c r="OO86">
        <v>7423</v>
      </c>
      <c r="OP86">
        <v>16439</v>
      </c>
      <c r="OU86">
        <v>-132</v>
      </c>
      <c r="OV86">
        <v>4164</v>
      </c>
      <c r="OX86">
        <v>393</v>
      </c>
      <c r="PI86">
        <v>28288</v>
      </c>
      <c r="PM86" t="str">
        <f>IFERROR(VLOOKUP($A86&amp;"",Key!$A:$C,3,FALSE),"")</f>
        <v>ISIC 25</v>
      </c>
    </row>
    <row r="87" spans="1:429" x14ac:dyDescent="0.25">
      <c r="A87">
        <v>332999</v>
      </c>
      <c r="B87" t="s">
        <v>222</v>
      </c>
      <c r="C87">
        <v>3</v>
      </c>
      <c r="D87">
        <v>12</v>
      </c>
      <c r="E87">
        <v>3</v>
      </c>
      <c r="F87">
        <v>2</v>
      </c>
      <c r="G87">
        <v>2</v>
      </c>
      <c r="H87">
        <v>3</v>
      </c>
      <c r="I87">
        <v>17</v>
      </c>
      <c r="J87">
        <v>1</v>
      </c>
      <c r="K87">
        <v>1</v>
      </c>
      <c r="L87">
        <v>1</v>
      </c>
      <c r="M87">
        <v>0</v>
      </c>
      <c r="N87">
        <v>5</v>
      </c>
      <c r="O87">
        <v>2</v>
      </c>
      <c r="P87">
        <v>76</v>
      </c>
      <c r="Q87">
        <v>6</v>
      </c>
      <c r="R87">
        <v>1</v>
      </c>
      <c r="S87">
        <v>14</v>
      </c>
      <c r="T87">
        <v>1</v>
      </c>
      <c r="U87">
        <v>1</v>
      </c>
      <c r="V87">
        <v>3</v>
      </c>
      <c r="W87">
        <v>32</v>
      </c>
      <c r="Y87">
        <v>244</v>
      </c>
      <c r="AA87">
        <v>111</v>
      </c>
      <c r="AB87">
        <v>799</v>
      </c>
      <c r="AC87">
        <v>305</v>
      </c>
      <c r="AD87">
        <v>111</v>
      </c>
      <c r="AE87">
        <v>435</v>
      </c>
      <c r="AF87">
        <v>35</v>
      </c>
      <c r="AG87">
        <v>224</v>
      </c>
      <c r="AH87">
        <v>1886</v>
      </c>
      <c r="AI87">
        <v>231</v>
      </c>
      <c r="AJ87">
        <v>55</v>
      </c>
      <c r="AK87">
        <v>248</v>
      </c>
      <c r="AL87">
        <v>210</v>
      </c>
      <c r="AM87">
        <v>51</v>
      </c>
      <c r="AN87">
        <v>59</v>
      </c>
      <c r="AO87">
        <v>18</v>
      </c>
      <c r="AP87">
        <v>26</v>
      </c>
      <c r="AQ87">
        <v>35</v>
      </c>
      <c r="AR87">
        <v>9</v>
      </c>
      <c r="AS87">
        <v>7</v>
      </c>
      <c r="AT87">
        <v>34</v>
      </c>
      <c r="AU87">
        <v>42</v>
      </c>
      <c r="AV87">
        <v>307</v>
      </c>
      <c r="AW87">
        <v>3</v>
      </c>
      <c r="AX87">
        <v>1</v>
      </c>
      <c r="AY87">
        <v>4</v>
      </c>
      <c r="AZ87">
        <v>11</v>
      </c>
      <c r="BA87">
        <v>26</v>
      </c>
      <c r="BB87">
        <v>26</v>
      </c>
      <c r="BC87">
        <v>4</v>
      </c>
      <c r="BD87">
        <v>51</v>
      </c>
      <c r="BE87">
        <v>7</v>
      </c>
      <c r="BF87">
        <v>1</v>
      </c>
      <c r="BG87">
        <v>15</v>
      </c>
      <c r="BH87">
        <v>35</v>
      </c>
      <c r="BI87">
        <v>9</v>
      </c>
      <c r="BJ87">
        <v>7</v>
      </c>
      <c r="BK87">
        <v>117</v>
      </c>
      <c r="BL87">
        <v>525</v>
      </c>
      <c r="BM87">
        <v>8</v>
      </c>
      <c r="BN87">
        <v>10</v>
      </c>
      <c r="BO87">
        <v>17</v>
      </c>
      <c r="BP87">
        <v>32</v>
      </c>
      <c r="BQ87">
        <v>75</v>
      </c>
      <c r="BR87">
        <v>15</v>
      </c>
      <c r="BS87">
        <v>27</v>
      </c>
      <c r="BT87">
        <v>8</v>
      </c>
      <c r="BU87">
        <v>8</v>
      </c>
      <c r="BV87">
        <v>30</v>
      </c>
      <c r="BW87">
        <v>28</v>
      </c>
      <c r="BX87">
        <v>51</v>
      </c>
      <c r="BY87">
        <v>36</v>
      </c>
      <c r="BZ87">
        <v>47</v>
      </c>
      <c r="CA87">
        <v>12</v>
      </c>
      <c r="CB87">
        <v>64</v>
      </c>
      <c r="CC87">
        <v>5</v>
      </c>
      <c r="CD87">
        <v>9</v>
      </c>
      <c r="CE87">
        <v>44</v>
      </c>
      <c r="CF87">
        <v>677</v>
      </c>
      <c r="CG87">
        <v>28</v>
      </c>
      <c r="CH87">
        <v>35</v>
      </c>
      <c r="CI87">
        <v>7</v>
      </c>
      <c r="CJ87">
        <v>58</v>
      </c>
      <c r="CK87">
        <v>23</v>
      </c>
      <c r="CL87">
        <v>208</v>
      </c>
      <c r="CM87">
        <v>5</v>
      </c>
      <c r="CN87">
        <v>3</v>
      </c>
      <c r="CO87">
        <v>32</v>
      </c>
      <c r="CP87">
        <v>11</v>
      </c>
      <c r="CQ87">
        <v>23</v>
      </c>
      <c r="CR87">
        <v>6</v>
      </c>
      <c r="CS87">
        <v>6</v>
      </c>
      <c r="CT87">
        <v>9</v>
      </c>
      <c r="CU87">
        <v>6</v>
      </c>
      <c r="CV87">
        <v>7</v>
      </c>
      <c r="CW87">
        <v>36</v>
      </c>
      <c r="CX87">
        <v>1</v>
      </c>
      <c r="CY87">
        <v>15</v>
      </c>
      <c r="CZ87">
        <v>57</v>
      </c>
      <c r="DA87">
        <v>13</v>
      </c>
      <c r="DB87">
        <v>7</v>
      </c>
      <c r="DC87">
        <v>157</v>
      </c>
      <c r="DD87">
        <v>15</v>
      </c>
      <c r="DE87">
        <v>21</v>
      </c>
      <c r="DF87">
        <v>5</v>
      </c>
      <c r="DG87">
        <v>73</v>
      </c>
      <c r="DH87">
        <v>8</v>
      </c>
      <c r="DJ87">
        <v>0</v>
      </c>
      <c r="DK87">
        <v>4</v>
      </c>
      <c r="DL87">
        <v>7</v>
      </c>
      <c r="DM87">
        <v>22</v>
      </c>
      <c r="DN87">
        <v>4</v>
      </c>
      <c r="DO87">
        <v>6</v>
      </c>
      <c r="DP87">
        <v>0</v>
      </c>
      <c r="DQ87">
        <v>52</v>
      </c>
      <c r="DR87">
        <v>30</v>
      </c>
      <c r="DS87">
        <v>92</v>
      </c>
      <c r="DT87">
        <v>0</v>
      </c>
      <c r="DU87">
        <v>14</v>
      </c>
      <c r="DV87">
        <v>9</v>
      </c>
      <c r="DW87">
        <v>21</v>
      </c>
      <c r="DX87">
        <v>24</v>
      </c>
      <c r="DY87">
        <v>12</v>
      </c>
      <c r="DZ87">
        <v>5</v>
      </c>
      <c r="EA87">
        <v>6</v>
      </c>
      <c r="EB87">
        <v>0</v>
      </c>
      <c r="EC87">
        <v>1</v>
      </c>
      <c r="ED87">
        <v>33</v>
      </c>
      <c r="EE87">
        <v>6</v>
      </c>
      <c r="EF87">
        <v>23</v>
      </c>
      <c r="EG87">
        <v>10</v>
      </c>
      <c r="EH87">
        <v>7</v>
      </c>
      <c r="EI87">
        <v>131</v>
      </c>
      <c r="EJ87">
        <v>54</v>
      </c>
      <c r="EK87">
        <v>27</v>
      </c>
      <c r="EL87">
        <v>7</v>
      </c>
      <c r="EM87">
        <v>4</v>
      </c>
      <c r="EN87">
        <v>42</v>
      </c>
      <c r="EO87">
        <v>4</v>
      </c>
      <c r="EP87">
        <v>16</v>
      </c>
      <c r="EQ87">
        <v>5</v>
      </c>
      <c r="ER87">
        <v>21</v>
      </c>
      <c r="ES87">
        <v>9</v>
      </c>
      <c r="ET87">
        <v>18</v>
      </c>
      <c r="EU87">
        <v>3</v>
      </c>
      <c r="EV87">
        <v>0</v>
      </c>
      <c r="EW87">
        <v>5</v>
      </c>
      <c r="EX87">
        <v>33</v>
      </c>
      <c r="EY87">
        <v>19</v>
      </c>
      <c r="EZ87">
        <v>20</v>
      </c>
      <c r="FA87">
        <v>90</v>
      </c>
      <c r="FB87">
        <v>89</v>
      </c>
      <c r="FC87">
        <v>40</v>
      </c>
      <c r="FD87">
        <v>43</v>
      </c>
      <c r="FE87">
        <v>16</v>
      </c>
      <c r="FF87">
        <v>20</v>
      </c>
      <c r="FG87">
        <v>25</v>
      </c>
      <c r="FH87">
        <v>7</v>
      </c>
      <c r="FI87">
        <v>3</v>
      </c>
      <c r="FJ87">
        <v>3</v>
      </c>
      <c r="FK87">
        <v>5</v>
      </c>
      <c r="FL87">
        <v>45</v>
      </c>
      <c r="FM87">
        <v>17</v>
      </c>
      <c r="FN87">
        <v>36</v>
      </c>
      <c r="FO87">
        <v>80</v>
      </c>
      <c r="FP87">
        <v>26</v>
      </c>
      <c r="FQ87">
        <v>9</v>
      </c>
      <c r="FS87">
        <v>8</v>
      </c>
      <c r="FT87">
        <v>15</v>
      </c>
      <c r="FU87">
        <v>20</v>
      </c>
      <c r="FV87">
        <v>37</v>
      </c>
      <c r="FW87">
        <v>16</v>
      </c>
      <c r="FX87">
        <v>70</v>
      </c>
      <c r="FY87">
        <v>35</v>
      </c>
      <c r="FZ87">
        <v>6</v>
      </c>
      <c r="GB87">
        <v>5</v>
      </c>
      <c r="GC87">
        <v>8</v>
      </c>
      <c r="GD87">
        <v>11</v>
      </c>
      <c r="GE87">
        <v>4</v>
      </c>
      <c r="GF87">
        <v>3</v>
      </c>
      <c r="GG87">
        <v>8</v>
      </c>
      <c r="GH87">
        <v>481</v>
      </c>
      <c r="GI87">
        <v>9</v>
      </c>
      <c r="GJ87">
        <v>39</v>
      </c>
      <c r="GK87">
        <v>6</v>
      </c>
      <c r="GL87">
        <v>17</v>
      </c>
      <c r="GM87">
        <v>2</v>
      </c>
      <c r="GN87">
        <v>32</v>
      </c>
      <c r="GO87">
        <v>1</v>
      </c>
      <c r="GP87">
        <v>158</v>
      </c>
      <c r="GQ87">
        <v>3</v>
      </c>
      <c r="GR87">
        <v>41</v>
      </c>
      <c r="GS87">
        <v>75</v>
      </c>
      <c r="GT87">
        <v>124</v>
      </c>
      <c r="GU87">
        <v>9</v>
      </c>
      <c r="GV87">
        <v>30</v>
      </c>
      <c r="GW87">
        <v>33</v>
      </c>
      <c r="GX87">
        <v>99</v>
      </c>
      <c r="GY87">
        <v>3</v>
      </c>
      <c r="GZ87">
        <v>55</v>
      </c>
      <c r="HA87">
        <v>79</v>
      </c>
      <c r="HB87">
        <v>123</v>
      </c>
      <c r="HC87">
        <v>196</v>
      </c>
      <c r="HD87">
        <v>40</v>
      </c>
      <c r="HE87">
        <v>117</v>
      </c>
      <c r="HF87">
        <v>61</v>
      </c>
      <c r="HG87">
        <v>29</v>
      </c>
      <c r="HI87">
        <v>5</v>
      </c>
      <c r="HJ87">
        <v>13</v>
      </c>
      <c r="HK87">
        <v>72</v>
      </c>
      <c r="HL87">
        <v>2</v>
      </c>
      <c r="HM87">
        <v>5</v>
      </c>
      <c r="HN87">
        <v>10</v>
      </c>
      <c r="HO87">
        <v>7</v>
      </c>
      <c r="HP87">
        <v>5</v>
      </c>
      <c r="HQ87">
        <v>15</v>
      </c>
      <c r="HR87">
        <v>1</v>
      </c>
      <c r="HS87">
        <v>2</v>
      </c>
      <c r="HT87">
        <v>11</v>
      </c>
      <c r="HU87">
        <v>14</v>
      </c>
      <c r="HV87">
        <v>54</v>
      </c>
      <c r="HW87">
        <v>93</v>
      </c>
      <c r="HX87">
        <v>17</v>
      </c>
      <c r="HY87">
        <v>8</v>
      </c>
      <c r="HZ87">
        <v>220</v>
      </c>
      <c r="IA87">
        <v>7</v>
      </c>
      <c r="IB87">
        <v>37</v>
      </c>
      <c r="IC87">
        <v>10</v>
      </c>
      <c r="IE87">
        <v>2</v>
      </c>
      <c r="IF87">
        <v>26</v>
      </c>
      <c r="IG87">
        <v>7</v>
      </c>
      <c r="II87">
        <v>4</v>
      </c>
      <c r="IJ87">
        <v>13</v>
      </c>
      <c r="IK87">
        <v>93</v>
      </c>
      <c r="IL87">
        <v>10</v>
      </c>
      <c r="IM87">
        <v>55</v>
      </c>
      <c r="IN87">
        <v>13</v>
      </c>
      <c r="IO87">
        <v>9</v>
      </c>
      <c r="IQ87">
        <v>4</v>
      </c>
      <c r="IR87">
        <v>24</v>
      </c>
      <c r="IS87">
        <v>7</v>
      </c>
      <c r="IT87">
        <v>4</v>
      </c>
      <c r="IU87">
        <v>40</v>
      </c>
      <c r="IV87">
        <v>39</v>
      </c>
      <c r="IW87">
        <v>68</v>
      </c>
      <c r="IX87">
        <v>1</v>
      </c>
      <c r="IY87">
        <v>13</v>
      </c>
      <c r="IZ87">
        <v>82</v>
      </c>
      <c r="JA87">
        <v>43</v>
      </c>
      <c r="JB87">
        <v>13</v>
      </c>
      <c r="JC87">
        <v>4</v>
      </c>
      <c r="JD87">
        <v>1</v>
      </c>
      <c r="JE87">
        <v>5</v>
      </c>
      <c r="JF87">
        <v>7</v>
      </c>
      <c r="JG87">
        <v>87</v>
      </c>
      <c r="JH87">
        <v>35</v>
      </c>
      <c r="JI87">
        <v>4</v>
      </c>
      <c r="JJ87">
        <v>145</v>
      </c>
      <c r="JK87">
        <v>18</v>
      </c>
      <c r="JL87">
        <v>17</v>
      </c>
      <c r="JM87">
        <v>23</v>
      </c>
      <c r="JN87">
        <v>29</v>
      </c>
      <c r="JO87">
        <v>69</v>
      </c>
      <c r="JP87">
        <v>56</v>
      </c>
      <c r="JQ87">
        <v>27</v>
      </c>
      <c r="JR87">
        <v>53</v>
      </c>
      <c r="JS87">
        <v>60</v>
      </c>
      <c r="JT87">
        <v>3</v>
      </c>
      <c r="JV87">
        <v>52</v>
      </c>
      <c r="JW87">
        <v>35</v>
      </c>
      <c r="JX87">
        <v>14</v>
      </c>
      <c r="JY87">
        <v>11</v>
      </c>
      <c r="JZ87">
        <v>16</v>
      </c>
      <c r="KA87">
        <v>32</v>
      </c>
      <c r="KB87">
        <v>20</v>
      </c>
      <c r="KC87">
        <v>34</v>
      </c>
      <c r="KD87">
        <v>39</v>
      </c>
      <c r="KF87">
        <v>73</v>
      </c>
      <c r="KG87">
        <v>8</v>
      </c>
      <c r="KH87">
        <v>9</v>
      </c>
      <c r="KI87">
        <v>70</v>
      </c>
      <c r="KJ87">
        <v>8</v>
      </c>
      <c r="KK87">
        <v>8</v>
      </c>
      <c r="KL87">
        <v>2</v>
      </c>
      <c r="KM87">
        <v>301</v>
      </c>
      <c r="KN87">
        <v>0</v>
      </c>
      <c r="KO87">
        <v>1</v>
      </c>
      <c r="KQ87">
        <v>2</v>
      </c>
      <c r="KR87">
        <v>23</v>
      </c>
      <c r="KS87">
        <v>0</v>
      </c>
      <c r="KW87">
        <v>827</v>
      </c>
      <c r="KX87">
        <v>137</v>
      </c>
      <c r="KY87">
        <v>2</v>
      </c>
      <c r="KZ87">
        <v>25</v>
      </c>
      <c r="LA87">
        <v>24</v>
      </c>
      <c r="LB87">
        <v>2</v>
      </c>
      <c r="LC87">
        <v>203</v>
      </c>
      <c r="LD87">
        <v>145</v>
      </c>
      <c r="LE87">
        <v>133</v>
      </c>
      <c r="LF87">
        <v>29</v>
      </c>
      <c r="LJ87">
        <v>40</v>
      </c>
      <c r="LK87">
        <v>1</v>
      </c>
      <c r="LL87">
        <v>1</v>
      </c>
      <c r="LM87">
        <v>1469</v>
      </c>
      <c r="LN87">
        <v>2</v>
      </c>
      <c r="LO87">
        <v>26</v>
      </c>
      <c r="LR87">
        <v>32</v>
      </c>
      <c r="LS87">
        <v>6</v>
      </c>
      <c r="LT87">
        <v>176</v>
      </c>
      <c r="LU87">
        <v>6</v>
      </c>
      <c r="LV87">
        <v>18</v>
      </c>
      <c r="LW87">
        <v>260</v>
      </c>
      <c r="LX87">
        <v>7</v>
      </c>
      <c r="LY87">
        <v>2</v>
      </c>
      <c r="LZ87">
        <v>68</v>
      </c>
      <c r="MA87">
        <v>14</v>
      </c>
      <c r="MB87">
        <v>7</v>
      </c>
      <c r="MC87">
        <v>14</v>
      </c>
      <c r="MD87">
        <v>18</v>
      </c>
      <c r="ME87">
        <v>14</v>
      </c>
      <c r="MF87">
        <v>119</v>
      </c>
      <c r="MG87">
        <v>8</v>
      </c>
      <c r="MH87">
        <v>146</v>
      </c>
      <c r="MI87">
        <v>4</v>
      </c>
      <c r="MJ87">
        <v>5</v>
      </c>
      <c r="MK87">
        <v>156</v>
      </c>
      <c r="ML87">
        <v>3</v>
      </c>
      <c r="MM87">
        <v>8</v>
      </c>
      <c r="MN87">
        <v>9</v>
      </c>
      <c r="MO87">
        <v>294</v>
      </c>
      <c r="MP87">
        <v>1</v>
      </c>
      <c r="MR87">
        <v>25</v>
      </c>
      <c r="MS87">
        <v>37</v>
      </c>
      <c r="MT87">
        <v>46</v>
      </c>
      <c r="MU87">
        <v>10</v>
      </c>
      <c r="MV87">
        <v>10</v>
      </c>
      <c r="MX87">
        <v>3</v>
      </c>
      <c r="MY87">
        <v>24</v>
      </c>
      <c r="MZ87">
        <v>69</v>
      </c>
      <c r="NA87">
        <v>5</v>
      </c>
      <c r="NB87">
        <v>2</v>
      </c>
      <c r="NC87">
        <v>7</v>
      </c>
      <c r="ND87">
        <v>20</v>
      </c>
      <c r="NE87">
        <v>44</v>
      </c>
      <c r="NF87">
        <v>4</v>
      </c>
      <c r="NG87">
        <v>0</v>
      </c>
      <c r="NJ87">
        <v>1</v>
      </c>
      <c r="NM87">
        <v>62</v>
      </c>
      <c r="NN87">
        <v>1486</v>
      </c>
      <c r="NO87">
        <v>215</v>
      </c>
      <c r="NP87">
        <v>26</v>
      </c>
      <c r="NQ87">
        <v>6</v>
      </c>
      <c r="NR87">
        <v>5</v>
      </c>
      <c r="NS87">
        <v>4</v>
      </c>
      <c r="NT87">
        <v>6</v>
      </c>
      <c r="NV87">
        <v>33</v>
      </c>
      <c r="NX87">
        <v>0</v>
      </c>
      <c r="NY87">
        <v>4</v>
      </c>
      <c r="NZ87">
        <v>48</v>
      </c>
      <c r="OA87">
        <v>4</v>
      </c>
      <c r="OB87">
        <v>43</v>
      </c>
      <c r="OD87">
        <v>6</v>
      </c>
      <c r="OF87">
        <v>60</v>
      </c>
      <c r="OI87">
        <v>11</v>
      </c>
      <c r="OK87">
        <v>68</v>
      </c>
      <c r="OM87">
        <v>5</v>
      </c>
      <c r="ON87">
        <v>50</v>
      </c>
      <c r="OO87">
        <v>21539</v>
      </c>
      <c r="OP87">
        <v>4643</v>
      </c>
      <c r="OQ87">
        <v>627</v>
      </c>
      <c r="OU87">
        <v>-63</v>
      </c>
      <c r="OV87">
        <v>6048</v>
      </c>
      <c r="OX87">
        <v>2</v>
      </c>
      <c r="PB87">
        <v>187</v>
      </c>
      <c r="PF87">
        <v>246</v>
      </c>
      <c r="PI87">
        <v>33228</v>
      </c>
      <c r="PM87" t="str">
        <f>IFERROR(VLOOKUP($A87&amp;"",Key!$A:$C,3,FALSE),"")</f>
        <v>ISIC 25</v>
      </c>
    </row>
    <row r="88" spans="1:429" x14ac:dyDescent="0.25">
      <c r="A88">
        <v>333111</v>
      </c>
      <c r="B88" t="s">
        <v>223</v>
      </c>
      <c r="C88">
        <v>201</v>
      </c>
      <c r="D88">
        <v>705</v>
      </c>
      <c r="E88">
        <v>92</v>
      </c>
      <c r="F88">
        <v>99</v>
      </c>
      <c r="G88">
        <v>112</v>
      </c>
      <c r="H88">
        <v>283</v>
      </c>
      <c r="I88">
        <v>568</v>
      </c>
      <c r="J88">
        <v>33</v>
      </c>
      <c r="K88">
        <v>22</v>
      </c>
      <c r="L88">
        <v>145</v>
      </c>
      <c r="M88">
        <v>0</v>
      </c>
      <c r="N88">
        <v>9</v>
      </c>
      <c r="AC88">
        <v>0</v>
      </c>
      <c r="CG88">
        <v>1540</v>
      </c>
      <c r="CH88">
        <v>231</v>
      </c>
      <c r="JN88">
        <v>0</v>
      </c>
      <c r="JO88">
        <v>16</v>
      </c>
      <c r="LZ88">
        <v>69</v>
      </c>
      <c r="MF88">
        <v>6</v>
      </c>
      <c r="MM88">
        <v>1</v>
      </c>
      <c r="MO88">
        <v>264</v>
      </c>
      <c r="NG88">
        <v>21</v>
      </c>
      <c r="NT88">
        <v>10</v>
      </c>
      <c r="OI88">
        <v>526</v>
      </c>
      <c r="OK88">
        <v>346</v>
      </c>
      <c r="ON88">
        <v>801</v>
      </c>
      <c r="OO88">
        <v>6102</v>
      </c>
      <c r="OQ88">
        <v>33769</v>
      </c>
      <c r="OU88">
        <v>106</v>
      </c>
      <c r="OV88">
        <v>8405</v>
      </c>
      <c r="OX88">
        <v>0</v>
      </c>
      <c r="PB88">
        <v>77</v>
      </c>
      <c r="PF88">
        <v>123</v>
      </c>
      <c r="PI88">
        <v>48582</v>
      </c>
      <c r="PM88" t="str">
        <f>IFERROR(VLOOKUP($A88&amp;"",Key!$A:$C,3,FALSE),"")</f>
        <v>ISIC 28</v>
      </c>
    </row>
    <row r="89" spans="1:429" x14ac:dyDescent="0.25">
      <c r="A89">
        <v>333112</v>
      </c>
      <c r="B89" t="s">
        <v>224</v>
      </c>
      <c r="H89">
        <v>0</v>
      </c>
      <c r="N89">
        <v>14</v>
      </c>
      <c r="O89">
        <v>16</v>
      </c>
      <c r="CH89">
        <v>0</v>
      </c>
      <c r="JN89">
        <v>0</v>
      </c>
      <c r="JV89">
        <v>10</v>
      </c>
      <c r="JY89">
        <v>9</v>
      </c>
      <c r="KD89">
        <v>12</v>
      </c>
      <c r="KE89">
        <v>12</v>
      </c>
      <c r="KW89">
        <v>0</v>
      </c>
      <c r="KX89">
        <v>0</v>
      </c>
      <c r="LK89">
        <v>111</v>
      </c>
      <c r="LL89">
        <v>10</v>
      </c>
      <c r="LO89">
        <v>534</v>
      </c>
      <c r="LP89">
        <v>24</v>
      </c>
      <c r="LZ89">
        <v>27</v>
      </c>
      <c r="MF89">
        <v>1</v>
      </c>
      <c r="MH89">
        <v>120</v>
      </c>
      <c r="MM89">
        <v>16</v>
      </c>
      <c r="NU89">
        <v>359</v>
      </c>
      <c r="OK89">
        <v>58</v>
      </c>
      <c r="ON89">
        <v>0</v>
      </c>
      <c r="OO89">
        <v>1336</v>
      </c>
      <c r="OP89">
        <v>4158</v>
      </c>
      <c r="OQ89">
        <v>19601</v>
      </c>
      <c r="OU89">
        <v>150</v>
      </c>
      <c r="OV89">
        <v>89</v>
      </c>
      <c r="OX89">
        <v>0</v>
      </c>
      <c r="PB89">
        <v>0</v>
      </c>
      <c r="PF89">
        <v>21</v>
      </c>
      <c r="PI89">
        <v>25355</v>
      </c>
      <c r="PM89" t="str">
        <f>IFERROR(VLOOKUP($A89&amp;"",Key!$A:$C,3,FALSE),"")</f>
        <v>ISIC 28</v>
      </c>
    </row>
    <row r="90" spans="1:429" x14ac:dyDescent="0.25">
      <c r="A90">
        <v>333120</v>
      </c>
      <c r="B90" t="s">
        <v>225</v>
      </c>
      <c r="P90">
        <v>455</v>
      </c>
      <c r="Q90">
        <v>572</v>
      </c>
      <c r="R90">
        <v>87</v>
      </c>
      <c r="S90">
        <v>442</v>
      </c>
      <c r="T90">
        <v>346</v>
      </c>
      <c r="U90">
        <v>475</v>
      </c>
      <c r="V90">
        <v>560</v>
      </c>
      <c r="W90">
        <v>1048</v>
      </c>
      <c r="Z90">
        <v>0</v>
      </c>
      <c r="AA90">
        <v>10</v>
      </c>
      <c r="AC90">
        <v>117</v>
      </c>
      <c r="AD90">
        <v>139</v>
      </c>
      <c r="AE90">
        <v>13</v>
      </c>
      <c r="AG90">
        <v>1695</v>
      </c>
      <c r="AI90">
        <v>80</v>
      </c>
      <c r="AJ90">
        <v>77</v>
      </c>
      <c r="AK90">
        <v>423</v>
      </c>
      <c r="AL90">
        <v>19</v>
      </c>
      <c r="CG90">
        <v>4</v>
      </c>
      <c r="CI90">
        <v>242</v>
      </c>
      <c r="CJ90">
        <v>1</v>
      </c>
      <c r="FK90">
        <v>287</v>
      </c>
      <c r="JN90">
        <v>0</v>
      </c>
      <c r="JT90">
        <v>0</v>
      </c>
      <c r="KD90">
        <v>0</v>
      </c>
      <c r="KX90">
        <v>9</v>
      </c>
      <c r="LW90">
        <v>242</v>
      </c>
      <c r="LZ90">
        <v>50</v>
      </c>
      <c r="MF90">
        <v>1</v>
      </c>
      <c r="MO90">
        <v>868</v>
      </c>
      <c r="OM90">
        <v>4</v>
      </c>
      <c r="OO90">
        <v>8268</v>
      </c>
      <c r="OQ90">
        <v>31748</v>
      </c>
      <c r="OU90">
        <v>885</v>
      </c>
      <c r="OV90">
        <v>10444</v>
      </c>
      <c r="OX90">
        <v>480</v>
      </c>
      <c r="PB90">
        <v>2</v>
      </c>
      <c r="PF90">
        <v>12704</v>
      </c>
      <c r="PI90">
        <v>64532</v>
      </c>
      <c r="PM90" t="str">
        <f>IFERROR(VLOOKUP($A90&amp;"",Key!$A:$C,3,FALSE),"")</f>
        <v>ISIC 28</v>
      </c>
    </row>
    <row r="91" spans="1:429" x14ac:dyDescent="0.25">
      <c r="A91">
        <v>333130</v>
      </c>
      <c r="B91" t="s">
        <v>226</v>
      </c>
      <c r="P91">
        <v>2135</v>
      </c>
      <c r="Q91">
        <v>1017</v>
      </c>
      <c r="R91">
        <v>242</v>
      </c>
      <c r="S91">
        <v>69</v>
      </c>
      <c r="T91">
        <v>82</v>
      </c>
      <c r="U91">
        <v>70</v>
      </c>
      <c r="V91">
        <v>285</v>
      </c>
      <c r="W91">
        <v>1917</v>
      </c>
      <c r="Z91">
        <v>0</v>
      </c>
      <c r="AC91">
        <v>19</v>
      </c>
      <c r="AJ91">
        <v>3</v>
      </c>
      <c r="CG91">
        <v>20</v>
      </c>
      <c r="CJ91">
        <v>92</v>
      </c>
      <c r="LW91">
        <v>55</v>
      </c>
      <c r="LZ91">
        <v>6</v>
      </c>
      <c r="MO91">
        <v>322</v>
      </c>
      <c r="OD91">
        <v>29</v>
      </c>
      <c r="OO91">
        <v>6364</v>
      </c>
      <c r="OQ91">
        <v>22308</v>
      </c>
      <c r="OU91">
        <v>-55</v>
      </c>
      <c r="OV91">
        <v>3829</v>
      </c>
      <c r="PI91">
        <v>32445</v>
      </c>
      <c r="PM91" t="str">
        <f>IFERROR(VLOOKUP($A91&amp;"",Key!$A:$C,3,FALSE),"")</f>
        <v>ISIC 28</v>
      </c>
    </row>
    <row r="92" spans="1:429" x14ac:dyDescent="0.25">
      <c r="A92">
        <v>333242</v>
      </c>
      <c r="B92" t="s">
        <v>227</v>
      </c>
      <c r="CK92">
        <v>317</v>
      </c>
      <c r="DO92">
        <v>21</v>
      </c>
      <c r="DQ92">
        <v>1</v>
      </c>
      <c r="KM92">
        <v>4</v>
      </c>
      <c r="KN92">
        <v>11</v>
      </c>
      <c r="KP92">
        <v>20</v>
      </c>
      <c r="KQ92">
        <v>8</v>
      </c>
      <c r="KR92">
        <v>37</v>
      </c>
      <c r="KS92">
        <v>31</v>
      </c>
      <c r="KT92">
        <v>7</v>
      </c>
      <c r="KU92">
        <v>98</v>
      </c>
      <c r="KV92">
        <v>41</v>
      </c>
      <c r="KW92">
        <v>26</v>
      </c>
      <c r="KY92">
        <v>6</v>
      </c>
      <c r="KZ92">
        <v>34</v>
      </c>
      <c r="LA92">
        <v>372</v>
      </c>
      <c r="LB92">
        <v>34</v>
      </c>
      <c r="LT92">
        <v>257</v>
      </c>
      <c r="LW92">
        <v>43</v>
      </c>
      <c r="LZ92">
        <v>119</v>
      </c>
      <c r="MF92">
        <v>3</v>
      </c>
      <c r="OK92">
        <v>4</v>
      </c>
      <c r="OO92">
        <v>1492</v>
      </c>
      <c r="OQ92">
        <v>6564</v>
      </c>
      <c r="OU92">
        <v>365</v>
      </c>
      <c r="OV92">
        <v>13639</v>
      </c>
      <c r="PI92">
        <v>22060</v>
      </c>
      <c r="PM92" t="str">
        <f>IFERROR(VLOOKUP($A92&amp;"",Key!$A:$C,3,FALSE),"")</f>
        <v>ISIC 28</v>
      </c>
    </row>
    <row r="93" spans="1:429" x14ac:dyDescent="0.25">
      <c r="A93" t="s">
        <v>582</v>
      </c>
      <c r="B93" t="s">
        <v>228</v>
      </c>
      <c r="H93">
        <v>12</v>
      </c>
      <c r="AC93">
        <v>7</v>
      </c>
      <c r="AD93">
        <v>8</v>
      </c>
      <c r="BF93">
        <v>0</v>
      </c>
      <c r="BK93">
        <v>48</v>
      </c>
      <c r="BL93">
        <v>126</v>
      </c>
      <c r="CL93">
        <v>894</v>
      </c>
      <c r="DP93">
        <v>160</v>
      </c>
      <c r="FR93">
        <v>6</v>
      </c>
      <c r="FS93">
        <v>4</v>
      </c>
      <c r="FY93">
        <v>0</v>
      </c>
      <c r="GU93">
        <v>138</v>
      </c>
      <c r="HM93">
        <v>1</v>
      </c>
      <c r="HU93">
        <v>228</v>
      </c>
      <c r="HV93">
        <v>355</v>
      </c>
      <c r="IB93">
        <v>773</v>
      </c>
      <c r="IC93">
        <v>14</v>
      </c>
      <c r="IH93">
        <v>136</v>
      </c>
      <c r="II93">
        <v>52</v>
      </c>
      <c r="IJ93">
        <v>149</v>
      </c>
      <c r="IK93">
        <v>586</v>
      </c>
      <c r="IL93">
        <v>286</v>
      </c>
      <c r="IM93">
        <v>189</v>
      </c>
      <c r="IU93">
        <v>394</v>
      </c>
      <c r="IZ93">
        <v>128</v>
      </c>
      <c r="JA93">
        <v>64</v>
      </c>
      <c r="JB93">
        <v>146</v>
      </c>
      <c r="JC93">
        <v>10</v>
      </c>
      <c r="JE93">
        <v>5</v>
      </c>
      <c r="JF93">
        <v>36</v>
      </c>
      <c r="JG93">
        <v>431</v>
      </c>
      <c r="JN93">
        <v>362</v>
      </c>
      <c r="JT93">
        <v>2</v>
      </c>
      <c r="JV93">
        <v>0</v>
      </c>
      <c r="JW93">
        <v>0</v>
      </c>
      <c r="JX93">
        <v>6</v>
      </c>
      <c r="KA93">
        <v>0</v>
      </c>
      <c r="KB93">
        <v>278</v>
      </c>
      <c r="KM93">
        <v>2</v>
      </c>
      <c r="KO93">
        <v>0</v>
      </c>
      <c r="KR93">
        <v>1</v>
      </c>
      <c r="KW93">
        <v>0</v>
      </c>
      <c r="KZ93">
        <v>0</v>
      </c>
      <c r="LO93">
        <v>14</v>
      </c>
      <c r="LS93">
        <v>0</v>
      </c>
      <c r="LT93">
        <v>0</v>
      </c>
      <c r="LU93">
        <v>0</v>
      </c>
      <c r="LX93">
        <v>0</v>
      </c>
      <c r="LZ93">
        <v>39</v>
      </c>
      <c r="MB93">
        <v>183</v>
      </c>
      <c r="MF93">
        <v>3</v>
      </c>
      <c r="MI93">
        <v>0</v>
      </c>
      <c r="MJ93">
        <v>0</v>
      </c>
      <c r="MK93">
        <v>0</v>
      </c>
      <c r="MN93">
        <v>0</v>
      </c>
      <c r="MS93">
        <v>1</v>
      </c>
      <c r="MU93">
        <v>0</v>
      </c>
      <c r="NN93">
        <v>1</v>
      </c>
      <c r="NO93">
        <v>36</v>
      </c>
      <c r="NP93">
        <v>106</v>
      </c>
      <c r="NQ93">
        <v>22</v>
      </c>
      <c r="NV93">
        <v>8</v>
      </c>
      <c r="NX93">
        <v>2</v>
      </c>
      <c r="NY93">
        <v>4</v>
      </c>
      <c r="OB93">
        <v>47</v>
      </c>
      <c r="OE93">
        <v>0</v>
      </c>
      <c r="OI93">
        <v>130</v>
      </c>
      <c r="ON93">
        <v>62</v>
      </c>
      <c r="OO93">
        <v>6697</v>
      </c>
      <c r="OP93">
        <v>1033</v>
      </c>
      <c r="OQ93">
        <v>30737</v>
      </c>
      <c r="OU93">
        <v>253</v>
      </c>
      <c r="OV93">
        <v>11580</v>
      </c>
      <c r="OX93">
        <v>24</v>
      </c>
      <c r="PB93">
        <v>50</v>
      </c>
      <c r="PF93">
        <v>330</v>
      </c>
      <c r="PI93">
        <v>50703</v>
      </c>
      <c r="PM93" t="str">
        <f>IFERROR(VLOOKUP($A93&amp;"",Key!$A:$C,3,FALSE),"")</f>
        <v>ISIC 28</v>
      </c>
    </row>
    <row r="94" spans="1:429" x14ac:dyDescent="0.25">
      <c r="A94">
        <v>333314</v>
      </c>
      <c r="B94" t="s">
        <v>229</v>
      </c>
      <c r="AC94">
        <v>34</v>
      </c>
      <c r="AD94">
        <v>31</v>
      </c>
      <c r="CM94">
        <v>662</v>
      </c>
      <c r="CN94">
        <v>125</v>
      </c>
      <c r="CU94">
        <v>0</v>
      </c>
      <c r="CV94">
        <v>1</v>
      </c>
      <c r="DO94">
        <v>0</v>
      </c>
      <c r="DP94">
        <v>1</v>
      </c>
      <c r="DQ94">
        <v>11</v>
      </c>
      <c r="DT94">
        <v>0</v>
      </c>
      <c r="DU94">
        <v>5</v>
      </c>
      <c r="DV94">
        <v>2</v>
      </c>
      <c r="DW94">
        <v>3</v>
      </c>
      <c r="DX94">
        <v>21</v>
      </c>
      <c r="DZ94">
        <v>6</v>
      </c>
      <c r="EP94">
        <v>391</v>
      </c>
      <c r="FY94">
        <v>467</v>
      </c>
      <c r="GA94">
        <v>76</v>
      </c>
      <c r="IZ94">
        <v>52</v>
      </c>
      <c r="LL94">
        <v>0</v>
      </c>
      <c r="LZ94">
        <v>0</v>
      </c>
      <c r="MF94">
        <v>0</v>
      </c>
      <c r="MU94">
        <v>34</v>
      </c>
      <c r="MW94">
        <v>265</v>
      </c>
      <c r="OO94">
        <v>2189</v>
      </c>
      <c r="OP94">
        <v>45</v>
      </c>
      <c r="OQ94">
        <v>5797</v>
      </c>
      <c r="OU94">
        <v>71</v>
      </c>
      <c r="OV94">
        <v>4279</v>
      </c>
      <c r="OX94">
        <v>558</v>
      </c>
      <c r="PF94">
        <v>63</v>
      </c>
      <c r="PI94">
        <v>13002</v>
      </c>
      <c r="PM94" t="str">
        <f>IFERROR(VLOOKUP($A94&amp;"",Key!$A:$C,3,FALSE),"")</f>
        <v>ISIC 28</v>
      </c>
    </row>
    <row r="95" spans="1:429" x14ac:dyDescent="0.25">
      <c r="A95">
        <v>333316</v>
      </c>
      <c r="B95" t="s">
        <v>230</v>
      </c>
      <c r="CN95">
        <v>11</v>
      </c>
      <c r="IB95">
        <v>1</v>
      </c>
      <c r="IC95">
        <v>24</v>
      </c>
      <c r="KW95">
        <v>3</v>
      </c>
      <c r="KX95">
        <v>24</v>
      </c>
      <c r="LP95">
        <v>0</v>
      </c>
      <c r="MK95">
        <v>66</v>
      </c>
      <c r="MM95">
        <v>17</v>
      </c>
      <c r="MP95">
        <v>2</v>
      </c>
      <c r="NS95">
        <v>62</v>
      </c>
      <c r="NY95">
        <v>275</v>
      </c>
      <c r="OK95">
        <v>1</v>
      </c>
      <c r="OO95">
        <v>485</v>
      </c>
      <c r="OP95">
        <v>1279</v>
      </c>
      <c r="OQ95">
        <v>1641</v>
      </c>
      <c r="OU95">
        <v>-34</v>
      </c>
      <c r="OV95">
        <v>464</v>
      </c>
      <c r="OX95">
        <v>4</v>
      </c>
      <c r="PB95">
        <v>1</v>
      </c>
      <c r="PF95">
        <v>247</v>
      </c>
      <c r="PI95">
        <v>4088</v>
      </c>
      <c r="PM95" t="str">
        <f>IFERROR(VLOOKUP($A95&amp;"",Key!$A:$C,3,FALSE),"")</f>
        <v>ISIC 28</v>
      </c>
    </row>
    <row r="96" spans="1:429" x14ac:dyDescent="0.25">
      <c r="A96">
        <v>333318</v>
      </c>
      <c r="B96" t="s">
        <v>231</v>
      </c>
      <c r="P96">
        <v>76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2</v>
      </c>
      <c r="Y96">
        <v>0</v>
      </c>
      <c r="Z96">
        <v>0</v>
      </c>
      <c r="AA96">
        <v>2</v>
      </c>
      <c r="AB96">
        <v>1</v>
      </c>
      <c r="AC96">
        <v>5</v>
      </c>
      <c r="AD96">
        <v>2</v>
      </c>
      <c r="AE96">
        <v>140</v>
      </c>
      <c r="AF96">
        <v>2</v>
      </c>
      <c r="AG96">
        <v>5</v>
      </c>
      <c r="AH96">
        <v>31</v>
      </c>
      <c r="AI96">
        <v>3176</v>
      </c>
      <c r="AJ96">
        <v>3</v>
      </c>
      <c r="AK96">
        <v>1033</v>
      </c>
      <c r="AL96">
        <v>2</v>
      </c>
      <c r="AM96">
        <v>0</v>
      </c>
      <c r="AN96">
        <v>1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1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2</v>
      </c>
      <c r="BL96">
        <v>4</v>
      </c>
      <c r="BM96">
        <v>0</v>
      </c>
      <c r="BN96">
        <v>1</v>
      </c>
      <c r="BO96">
        <v>1</v>
      </c>
      <c r="BP96">
        <v>2</v>
      </c>
      <c r="BQ96">
        <v>2</v>
      </c>
      <c r="BR96">
        <v>297</v>
      </c>
      <c r="BS96">
        <v>1</v>
      </c>
      <c r="BT96">
        <v>1</v>
      </c>
      <c r="BU96">
        <v>1</v>
      </c>
      <c r="BV96">
        <v>3</v>
      </c>
      <c r="BW96">
        <v>1</v>
      </c>
      <c r="BX96">
        <v>14</v>
      </c>
      <c r="BY96">
        <v>12</v>
      </c>
      <c r="BZ96">
        <v>10</v>
      </c>
      <c r="CA96">
        <v>1</v>
      </c>
      <c r="CB96">
        <v>7</v>
      </c>
      <c r="CC96">
        <v>3</v>
      </c>
      <c r="CD96">
        <v>1</v>
      </c>
      <c r="CE96">
        <v>2</v>
      </c>
      <c r="CF96">
        <v>2</v>
      </c>
      <c r="CG96">
        <v>1</v>
      </c>
      <c r="CH96">
        <v>1</v>
      </c>
      <c r="CI96">
        <v>3</v>
      </c>
      <c r="CJ96">
        <v>3</v>
      </c>
      <c r="CK96">
        <v>3</v>
      </c>
      <c r="CL96">
        <v>33</v>
      </c>
      <c r="CM96">
        <v>0</v>
      </c>
      <c r="CN96">
        <v>0</v>
      </c>
      <c r="CO96">
        <v>43</v>
      </c>
      <c r="CP96">
        <v>0</v>
      </c>
      <c r="CQ96">
        <v>4</v>
      </c>
      <c r="CR96">
        <v>2</v>
      </c>
      <c r="CS96">
        <v>4</v>
      </c>
      <c r="CT96">
        <v>11</v>
      </c>
      <c r="CU96">
        <v>7</v>
      </c>
      <c r="CV96">
        <v>3</v>
      </c>
      <c r="CW96">
        <v>8</v>
      </c>
      <c r="CX96">
        <v>1</v>
      </c>
      <c r="CY96">
        <v>2</v>
      </c>
      <c r="CZ96">
        <v>1</v>
      </c>
      <c r="DA96">
        <v>4</v>
      </c>
      <c r="DB96">
        <v>14</v>
      </c>
      <c r="DC96">
        <v>11</v>
      </c>
      <c r="DD96">
        <v>1</v>
      </c>
      <c r="DE96">
        <v>2</v>
      </c>
      <c r="DF96">
        <v>0</v>
      </c>
      <c r="DG96">
        <v>8</v>
      </c>
      <c r="DH96">
        <v>31</v>
      </c>
      <c r="DI96">
        <v>0</v>
      </c>
      <c r="DJ96">
        <v>0</v>
      </c>
      <c r="DK96">
        <v>0</v>
      </c>
      <c r="DL96">
        <v>0</v>
      </c>
      <c r="DM96">
        <v>3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2</v>
      </c>
      <c r="DT96">
        <v>0</v>
      </c>
      <c r="DU96">
        <v>1</v>
      </c>
      <c r="DV96">
        <v>2</v>
      </c>
      <c r="DW96">
        <v>2</v>
      </c>
      <c r="DX96">
        <v>1</v>
      </c>
      <c r="DY96">
        <v>0</v>
      </c>
      <c r="DZ96">
        <v>4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0</v>
      </c>
      <c r="EL96">
        <v>0</v>
      </c>
      <c r="EM96">
        <v>0</v>
      </c>
      <c r="EN96">
        <v>7</v>
      </c>
      <c r="EO96">
        <v>0</v>
      </c>
      <c r="EP96">
        <v>1</v>
      </c>
      <c r="EQ96">
        <v>0</v>
      </c>
      <c r="ER96">
        <v>0</v>
      </c>
      <c r="ES96">
        <v>0</v>
      </c>
      <c r="ET96">
        <v>3</v>
      </c>
      <c r="EU96">
        <v>0</v>
      </c>
      <c r="EV96">
        <v>0</v>
      </c>
      <c r="EW96">
        <v>0</v>
      </c>
      <c r="EX96">
        <v>16</v>
      </c>
      <c r="EY96">
        <v>0</v>
      </c>
      <c r="EZ96">
        <v>26</v>
      </c>
      <c r="FA96">
        <v>0</v>
      </c>
      <c r="FB96">
        <v>2</v>
      </c>
      <c r="FC96">
        <v>38</v>
      </c>
      <c r="FD96">
        <v>1</v>
      </c>
      <c r="FE96">
        <v>6</v>
      </c>
      <c r="FF96">
        <v>0</v>
      </c>
      <c r="FG96">
        <v>0</v>
      </c>
      <c r="FH96">
        <v>0</v>
      </c>
      <c r="FI96">
        <v>1</v>
      </c>
      <c r="FJ96">
        <v>1</v>
      </c>
      <c r="FK96">
        <v>2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1</v>
      </c>
      <c r="FW96">
        <v>1</v>
      </c>
      <c r="FX96">
        <v>6</v>
      </c>
      <c r="FY96">
        <v>4</v>
      </c>
      <c r="FZ96">
        <v>0</v>
      </c>
      <c r="GA96">
        <v>1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8</v>
      </c>
      <c r="GH96">
        <v>6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1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2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1</v>
      </c>
      <c r="HR96">
        <v>1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1</v>
      </c>
      <c r="IC96">
        <v>0</v>
      </c>
      <c r="ID96">
        <v>0</v>
      </c>
      <c r="IE96">
        <v>0</v>
      </c>
      <c r="IF96">
        <v>0</v>
      </c>
      <c r="IG96">
        <v>1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1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1</v>
      </c>
      <c r="JA96">
        <v>1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Q96">
        <v>3</v>
      </c>
      <c r="JV96">
        <v>10</v>
      </c>
      <c r="JW96">
        <v>8</v>
      </c>
      <c r="JX96">
        <v>17</v>
      </c>
      <c r="JY96">
        <v>5</v>
      </c>
      <c r="JZ96">
        <v>0</v>
      </c>
      <c r="KA96">
        <v>11</v>
      </c>
      <c r="KD96">
        <v>0</v>
      </c>
      <c r="KG96">
        <v>21</v>
      </c>
      <c r="KH96">
        <v>23</v>
      </c>
      <c r="KK96">
        <v>3726</v>
      </c>
      <c r="KL96">
        <v>0</v>
      </c>
      <c r="KM96">
        <v>75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1</v>
      </c>
      <c r="KT96">
        <v>0</v>
      </c>
      <c r="KU96">
        <v>2</v>
      </c>
      <c r="KV96">
        <v>1</v>
      </c>
      <c r="KW96">
        <v>38</v>
      </c>
      <c r="KX96">
        <v>228</v>
      </c>
      <c r="KY96">
        <v>9</v>
      </c>
      <c r="KZ96">
        <v>1</v>
      </c>
      <c r="LA96">
        <v>1</v>
      </c>
      <c r="LB96">
        <v>0</v>
      </c>
      <c r="LH96">
        <v>627</v>
      </c>
      <c r="LM96">
        <v>70</v>
      </c>
      <c r="LP96">
        <v>0</v>
      </c>
      <c r="LV96">
        <v>81</v>
      </c>
      <c r="LZ96">
        <v>8</v>
      </c>
      <c r="MA96">
        <v>2</v>
      </c>
      <c r="ME96">
        <v>2</v>
      </c>
      <c r="MF96">
        <v>196</v>
      </c>
      <c r="MG96">
        <v>0</v>
      </c>
      <c r="MH96">
        <v>59</v>
      </c>
      <c r="ML96">
        <v>459</v>
      </c>
      <c r="MP96">
        <v>1056</v>
      </c>
      <c r="MR96">
        <v>114</v>
      </c>
      <c r="MS96">
        <v>3</v>
      </c>
      <c r="MZ96">
        <v>7</v>
      </c>
      <c r="NC96">
        <v>1</v>
      </c>
      <c r="NN96">
        <v>0</v>
      </c>
      <c r="NO96">
        <v>0</v>
      </c>
      <c r="NP96">
        <v>0</v>
      </c>
      <c r="NQ96">
        <v>0</v>
      </c>
      <c r="NR96">
        <v>20</v>
      </c>
      <c r="NT96">
        <v>623</v>
      </c>
      <c r="NX96">
        <v>100</v>
      </c>
      <c r="NY96">
        <v>203</v>
      </c>
      <c r="OD96">
        <v>0</v>
      </c>
      <c r="OE96">
        <v>5</v>
      </c>
      <c r="OF96">
        <v>64</v>
      </c>
      <c r="OG96">
        <v>2</v>
      </c>
      <c r="OH96">
        <v>1</v>
      </c>
      <c r="OI96">
        <v>756</v>
      </c>
      <c r="OJ96">
        <v>144</v>
      </c>
      <c r="OK96">
        <v>64</v>
      </c>
      <c r="OL96">
        <v>16</v>
      </c>
      <c r="OM96">
        <v>4</v>
      </c>
      <c r="ON96">
        <v>1</v>
      </c>
      <c r="OO96">
        <v>14115</v>
      </c>
      <c r="OP96">
        <v>346</v>
      </c>
      <c r="OQ96">
        <v>19273</v>
      </c>
      <c r="OU96">
        <v>562</v>
      </c>
      <c r="OV96">
        <v>2197</v>
      </c>
      <c r="OX96">
        <v>377</v>
      </c>
      <c r="PB96">
        <v>21</v>
      </c>
      <c r="PF96">
        <v>871</v>
      </c>
      <c r="PI96">
        <v>37762</v>
      </c>
      <c r="PM96" t="str">
        <f>IFERROR(VLOOKUP($A96&amp;"",Key!$A:$C,3,FALSE),"")</f>
        <v>ISIC 28</v>
      </c>
    </row>
    <row r="97" spans="1:429" x14ac:dyDescent="0.25">
      <c r="A97">
        <v>333414</v>
      </c>
      <c r="B97" t="s">
        <v>232</v>
      </c>
      <c r="D97">
        <v>0</v>
      </c>
      <c r="I97">
        <v>0</v>
      </c>
      <c r="AA97">
        <v>143</v>
      </c>
      <c r="AB97">
        <v>507</v>
      </c>
      <c r="AC97">
        <v>565</v>
      </c>
      <c r="AD97">
        <v>272</v>
      </c>
      <c r="AE97">
        <v>594</v>
      </c>
      <c r="AF97">
        <v>189</v>
      </c>
      <c r="AG97">
        <v>900</v>
      </c>
      <c r="AH97">
        <v>238</v>
      </c>
      <c r="AI97">
        <v>339</v>
      </c>
      <c r="AJ97">
        <v>29</v>
      </c>
      <c r="AK97">
        <v>684</v>
      </c>
      <c r="AL97">
        <v>206</v>
      </c>
      <c r="AO97">
        <v>9</v>
      </c>
      <c r="AP97">
        <v>17</v>
      </c>
      <c r="CP97">
        <v>253</v>
      </c>
      <c r="CQ97">
        <v>438</v>
      </c>
      <c r="EV97">
        <v>1</v>
      </c>
      <c r="EW97">
        <v>26</v>
      </c>
      <c r="FC97">
        <v>1</v>
      </c>
      <c r="IE97">
        <v>6</v>
      </c>
      <c r="IM97">
        <v>32</v>
      </c>
      <c r="JG97">
        <v>0</v>
      </c>
      <c r="KB97">
        <v>0</v>
      </c>
      <c r="KW97">
        <v>16</v>
      </c>
      <c r="KX97">
        <v>112</v>
      </c>
      <c r="KZ97">
        <v>9</v>
      </c>
      <c r="LC97">
        <v>0</v>
      </c>
      <c r="LD97">
        <v>0</v>
      </c>
      <c r="LE97">
        <v>0</v>
      </c>
      <c r="LF97">
        <v>0</v>
      </c>
      <c r="LK97">
        <v>0</v>
      </c>
      <c r="LL97">
        <v>0</v>
      </c>
      <c r="LM97">
        <v>1</v>
      </c>
      <c r="LW97">
        <v>152</v>
      </c>
      <c r="LZ97">
        <v>33</v>
      </c>
      <c r="MF97">
        <v>3</v>
      </c>
      <c r="MH97">
        <v>9</v>
      </c>
      <c r="MO97">
        <v>199</v>
      </c>
      <c r="MP97">
        <v>124</v>
      </c>
      <c r="MQ97">
        <v>212</v>
      </c>
      <c r="MS97">
        <v>25</v>
      </c>
      <c r="MZ97">
        <v>22</v>
      </c>
      <c r="NC97">
        <v>1</v>
      </c>
      <c r="ND97">
        <v>0</v>
      </c>
      <c r="NE97">
        <v>3</v>
      </c>
      <c r="NF97">
        <v>0</v>
      </c>
      <c r="NM97">
        <v>2</v>
      </c>
      <c r="NN97">
        <v>2</v>
      </c>
      <c r="NO97">
        <v>0</v>
      </c>
      <c r="NP97">
        <v>14</v>
      </c>
      <c r="NQ97">
        <v>5</v>
      </c>
      <c r="NZ97">
        <v>0</v>
      </c>
      <c r="OD97">
        <v>1</v>
      </c>
      <c r="OE97">
        <v>1</v>
      </c>
      <c r="OK97">
        <v>129</v>
      </c>
      <c r="ON97">
        <v>11</v>
      </c>
      <c r="OO97">
        <v>6539</v>
      </c>
      <c r="OP97">
        <v>2528</v>
      </c>
      <c r="OQ97">
        <v>103</v>
      </c>
      <c r="OU97">
        <v>64</v>
      </c>
      <c r="OV97">
        <v>444</v>
      </c>
      <c r="PF97">
        <v>0</v>
      </c>
      <c r="PI97">
        <v>9678</v>
      </c>
      <c r="PM97" t="str">
        <f>IFERROR(VLOOKUP($A97&amp;"",Key!$A:$C,3,FALSE),"")</f>
        <v>ISIC 28</v>
      </c>
    </row>
    <row r="98" spans="1:429" x14ac:dyDescent="0.25">
      <c r="A98">
        <v>333415</v>
      </c>
      <c r="B98" t="s">
        <v>233</v>
      </c>
      <c r="P98">
        <v>11</v>
      </c>
      <c r="Z98">
        <v>0</v>
      </c>
      <c r="AA98">
        <v>326</v>
      </c>
      <c r="AB98">
        <v>2151</v>
      </c>
      <c r="AC98">
        <v>2857</v>
      </c>
      <c r="AD98">
        <v>1375</v>
      </c>
      <c r="AE98">
        <v>2852</v>
      </c>
      <c r="AF98">
        <v>774</v>
      </c>
      <c r="AG98">
        <v>3452</v>
      </c>
      <c r="AH98">
        <v>403</v>
      </c>
      <c r="AI98">
        <v>986</v>
      </c>
      <c r="AJ98">
        <v>284</v>
      </c>
      <c r="AK98">
        <v>2480</v>
      </c>
      <c r="AL98">
        <v>509</v>
      </c>
      <c r="AM98">
        <v>1</v>
      </c>
      <c r="AO98">
        <v>60</v>
      </c>
      <c r="AP98">
        <v>159</v>
      </c>
      <c r="AR98">
        <v>5</v>
      </c>
      <c r="AT98">
        <v>3</v>
      </c>
      <c r="BC98">
        <v>10</v>
      </c>
      <c r="BF98">
        <v>0</v>
      </c>
      <c r="BG98">
        <v>0</v>
      </c>
      <c r="BH98">
        <v>9</v>
      </c>
      <c r="BJ98">
        <v>0</v>
      </c>
      <c r="BK98">
        <v>0</v>
      </c>
      <c r="BL98">
        <v>1</v>
      </c>
      <c r="BM98">
        <v>5</v>
      </c>
      <c r="BO98">
        <v>6</v>
      </c>
      <c r="BP98">
        <v>1</v>
      </c>
      <c r="BQ98">
        <v>21</v>
      </c>
      <c r="BR98">
        <v>48</v>
      </c>
      <c r="BS98">
        <v>2</v>
      </c>
      <c r="BT98">
        <v>6</v>
      </c>
      <c r="BV98">
        <v>0</v>
      </c>
      <c r="BW98">
        <v>0</v>
      </c>
      <c r="BX98">
        <v>2</v>
      </c>
      <c r="BY98">
        <v>3</v>
      </c>
      <c r="BZ98">
        <v>2</v>
      </c>
      <c r="CB98">
        <v>2</v>
      </c>
      <c r="CD98">
        <v>1</v>
      </c>
      <c r="CF98">
        <v>6</v>
      </c>
      <c r="CG98">
        <v>5</v>
      </c>
      <c r="CH98">
        <v>4</v>
      </c>
      <c r="CI98">
        <v>3</v>
      </c>
      <c r="CL98">
        <v>4</v>
      </c>
      <c r="CN98">
        <v>0</v>
      </c>
      <c r="CO98">
        <v>121</v>
      </c>
      <c r="CP98">
        <v>1</v>
      </c>
      <c r="CQ98">
        <v>4551</v>
      </c>
      <c r="CR98">
        <v>3</v>
      </c>
      <c r="CT98">
        <v>1</v>
      </c>
      <c r="CU98">
        <v>1</v>
      </c>
      <c r="CW98">
        <v>2</v>
      </c>
      <c r="CX98">
        <v>0</v>
      </c>
      <c r="CY98">
        <v>0</v>
      </c>
      <c r="CZ98">
        <v>46</v>
      </c>
      <c r="DA98">
        <v>0</v>
      </c>
      <c r="DB98">
        <v>0</v>
      </c>
      <c r="DC98">
        <v>7</v>
      </c>
      <c r="DG98">
        <v>2</v>
      </c>
      <c r="DL98">
        <v>0</v>
      </c>
      <c r="DM98">
        <v>1</v>
      </c>
      <c r="DO98">
        <v>0</v>
      </c>
      <c r="DP98">
        <v>2</v>
      </c>
      <c r="DQ98">
        <v>3</v>
      </c>
      <c r="DR98">
        <v>2</v>
      </c>
      <c r="DS98">
        <v>1</v>
      </c>
      <c r="DU98">
        <v>0</v>
      </c>
      <c r="DX98">
        <v>0</v>
      </c>
      <c r="DZ98">
        <v>0</v>
      </c>
      <c r="EA98">
        <v>1</v>
      </c>
      <c r="ED98">
        <v>26</v>
      </c>
      <c r="EF98">
        <v>181</v>
      </c>
      <c r="EH98">
        <v>5</v>
      </c>
      <c r="EI98">
        <v>1</v>
      </c>
      <c r="EL98">
        <v>0</v>
      </c>
      <c r="EN98">
        <v>8</v>
      </c>
      <c r="EQ98">
        <v>288</v>
      </c>
      <c r="ER98">
        <v>2028</v>
      </c>
      <c r="ES98">
        <v>216</v>
      </c>
      <c r="ET98">
        <v>2</v>
      </c>
      <c r="EU98">
        <v>102</v>
      </c>
      <c r="EV98">
        <v>0</v>
      </c>
      <c r="EW98">
        <v>5</v>
      </c>
      <c r="EX98">
        <v>6</v>
      </c>
      <c r="EZ98">
        <v>15</v>
      </c>
      <c r="FA98">
        <v>36</v>
      </c>
      <c r="FB98">
        <v>51</v>
      </c>
      <c r="FC98">
        <v>245</v>
      </c>
      <c r="FD98">
        <v>3</v>
      </c>
      <c r="FE98">
        <v>1</v>
      </c>
      <c r="FF98">
        <v>1</v>
      </c>
      <c r="FG98">
        <v>2</v>
      </c>
      <c r="FJ98">
        <v>2</v>
      </c>
      <c r="FK98">
        <v>0</v>
      </c>
      <c r="FO98">
        <v>0</v>
      </c>
      <c r="FP98">
        <v>0</v>
      </c>
      <c r="FR98">
        <v>0</v>
      </c>
      <c r="FS98">
        <v>1</v>
      </c>
      <c r="FU98">
        <v>5</v>
      </c>
      <c r="FV98">
        <v>14</v>
      </c>
      <c r="FX98">
        <v>41</v>
      </c>
      <c r="FY98">
        <v>21</v>
      </c>
      <c r="GD98">
        <v>4</v>
      </c>
      <c r="GE98">
        <v>4</v>
      </c>
      <c r="GG98">
        <v>56</v>
      </c>
      <c r="GH98">
        <v>21</v>
      </c>
      <c r="GI98">
        <v>18</v>
      </c>
      <c r="GJ98">
        <v>1</v>
      </c>
      <c r="GL98">
        <v>0</v>
      </c>
      <c r="GM98">
        <v>1</v>
      </c>
      <c r="GO98">
        <v>38</v>
      </c>
      <c r="GP98">
        <v>68</v>
      </c>
      <c r="GQ98">
        <v>30</v>
      </c>
      <c r="GR98">
        <v>608</v>
      </c>
      <c r="GS98">
        <v>36</v>
      </c>
      <c r="GT98">
        <v>88</v>
      </c>
      <c r="GU98">
        <v>43</v>
      </c>
      <c r="GV98">
        <v>69</v>
      </c>
      <c r="GW98">
        <v>1</v>
      </c>
      <c r="GX98">
        <v>1</v>
      </c>
      <c r="GY98">
        <v>2</v>
      </c>
      <c r="GZ98">
        <v>68</v>
      </c>
      <c r="HA98">
        <v>117</v>
      </c>
      <c r="HB98">
        <v>171</v>
      </c>
      <c r="HF98">
        <v>3</v>
      </c>
      <c r="HG98">
        <v>574</v>
      </c>
      <c r="HH98">
        <v>28</v>
      </c>
      <c r="HI98">
        <v>0</v>
      </c>
      <c r="HK98">
        <v>1</v>
      </c>
      <c r="HQ98">
        <v>0</v>
      </c>
      <c r="HU98">
        <v>1</v>
      </c>
      <c r="HV98">
        <v>1</v>
      </c>
      <c r="HW98">
        <v>3</v>
      </c>
      <c r="HZ98">
        <v>0</v>
      </c>
      <c r="IB98">
        <v>3</v>
      </c>
      <c r="ID98">
        <v>2</v>
      </c>
      <c r="IE98">
        <v>4</v>
      </c>
      <c r="IH98">
        <v>0</v>
      </c>
      <c r="IK98">
        <v>2</v>
      </c>
      <c r="IL98">
        <v>6</v>
      </c>
      <c r="IM98">
        <v>11</v>
      </c>
      <c r="IO98">
        <v>1</v>
      </c>
      <c r="IS98">
        <v>0</v>
      </c>
      <c r="IT98">
        <v>0</v>
      </c>
      <c r="IV98">
        <v>47</v>
      </c>
      <c r="IW98">
        <v>234</v>
      </c>
      <c r="IX98">
        <v>35</v>
      </c>
      <c r="IZ98">
        <v>397</v>
      </c>
      <c r="JA98">
        <v>32</v>
      </c>
      <c r="JD98">
        <v>13</v>
      </c>
      <c r="JE98">
        <v>227</v>
      </c>
      <c r="JF98">
        <v>16</v>
      </c>
      <c r="JG98">
        <v>126</v>
      </c>
      <c r="JJ98">
        <v>0</v>
      </c>
      <c r="JK98">
        <v>7</v>
      </c>
      <c r="JL98">
        <v>92</v>
      </c>
      <c r="JM98">
        <v>119</v>
      </c>
      <c r="JN98">
        <v>170</v>
      </c>
      <c r="JO98">
        <v>188</v>
      </c>
      <c r="JP98">
        <v>9</v>
      </c>
      <c r="JQ98">
        <v>170</v>
      </c>
      <c r="JR98">
        <v>34</v>
      </c>
      <c r="JS98">
        <v>165</v>
      </c>
      <c r="JT98">
        <v>11</v>
      </c>
      <c r="JV98">
        <v>101</v>
      </c>
      <c r="JW98">
        <v>81</v>
      </c>
      <c r="JX98">
        <v>120</v>
      </c>
      <c r="JY98">
        <v>41</v>
      </c>
      <c r="JZ98">
        <v>24</v>
      </c>
      <c r="KA98">
        <v>93</v>
      </c>
      <c r="KB98">
        <v>26</v>
      </c>
      <c r="KC98">
        <v>79</v>
      </c>
      <c r="KD98">
        <v>48</v>
      </c>
      <c r="KH98">
        <v>2</v>
      </c>
      <c r="KJ98">
        <v>58</v>
      </c>
      <c r="KK98">
        <v>6</v>
      </c>
      <c r="KL98">
        <v>0</v>
      </c>
      <c r="KN98">
        <v>2</v>
      </c>
      <c r="KO98">
        <v>1</v>
      </c>
      <c r="KP98">
        <v>3</v>
      </c>
      <c r="KQ98">
        <v>0</v>
      </c>
      <c r="KR98">
        <v>5</v>
      </c>
      <c r="KS98">
        <v>11</v>
      </c>
      <c r="KT98">
        <v>0</v>
      </c>
      <c r="KU98">
        <v>0</v>
      </c>
      <c r="KV98">
        <v>784</v>
      </c>
      <c r="KW98">
        <v>44</v>
      </c>
      <c r="KX98">
        <v>72</v>
      </c>
      <c r="KZ98">
        <v>198</v>
      </c>
      <c r="LD98">
        <v>6</v>
      </c>
      <c r="LE98">
        <v>45</v>
      </c>
      <c r="LK98">
        <v>6</v>
      </c>
      <c r="LL98">
        <v>0</v>
      </c>
      <c r="LM98">
        <v>63</v>
      </c>
      <c r="LO98">
        <v>148</v>
      </c>
      <c r="LR98">
        <v>29</v>
      </c>
      <c r="LS98">
        <v>3</v>
      </c>
      <c r="LT98">
        <v>551</v>
      </c>
      <c r="LU98">
        <v>8</v>
      </c>
      <c r="LV98">
        <v>37</v>
      </c>
      <c r="LW98">
        <v>34</v>
      </c>
      <c r="LX98">
        <v>139</v>
      </c>
      <c r="LY98">
        <v>10</v>
      </c>
      <c r="LZ98">
        <v>37</v>
      </c>
      <c r="MA98">
        <v>43</v>
      </c>
      <c r="MB98">
        <v>9</v>
      </c>
      <c r="MD98">
        <v>4</v>
      </c>
      <c r="ME98">
        <v>9</v>
      </c>
      <c r="MF98">
        <v>21</v>
      </c>
      <c r="MG98">
        <v>65</v>
      </c>
      <c r="MH98">
        <v>2293</v>
      </c>
      <c r="MI98">
        <v>4</v>
      </c>
      <c r="MJ98">
        <v>4</v>
      </c>
      <c r="MK98">
        <v>7</v>
      </c>
      <c r="ML98">
        <v>9</v>
      </c>
      <c r="MM98">
        <v>3</v>
      </c>
      <c r="MN98">
        <v>7</v>
      </c>
      <c r="MO98">
        <v>587</v>
      </c>
      <c r="MP98">
        <v>4</v>
      </c>
      <c r="MQ98">
        <v>126</v>
      </c>
      <c r="MR98">
        <v>7</v>
      </c>
      <c r="MS98">
        <v>154</v>
      </c>
      <c r="MT98">
        <v>13</v>
      </c>
      <c r="MU98">
        <v>10</v>
      </c>
      <c r="MV98">
        <v>97</v>
      </c>
      <c r="MW98">
        <v>2</v>
      </c>
      <c r="MX98">
        <v>8</v>
      </c>
      <c r="MY98">
        <v>38</v>
      </c>
      <c r="MZ98">
        <v>590</v>
      </c>
      <c r="NA98">
        <v>87</v>
      </c>
      <c r="NB98">
        <v>91</v>
      </c>
      <c r="NC98">
        <v>58</v>
      </c>
      <c r="ND98">
        <v>40</v>
      </c>
      <c r="NE98">
        <v>55</v>
      </c>
      <c r="NF98">
        <v>3</v>
      </c>
      <c r="NG98">
        <v>5</v>
      </c>
      <c r="NI98">
        <v>2</v>
      </c>
      <c r="NJ98">
        <v>3</v>
      </c>
      <c r="NK98">
        <v>5</v>
      </c>
      <c r="NL98">
        <v>25</v>
      </c>
      <c r="NM98">
        <v>52</v>
      </c>
      <c r="NN98">
        <v>97</v>
      </c>
      <c r="NO98">
        <v>222</v>
      </c>
      <c r="NP98">
        <v>236</v>
      </c>
      <c r="NQ98">
        <v>18</v>
      </c>
      <c r="NR98">
        <v>18</v>
      </c>
      <c r="NS98">
        <v>2</v>
      </c>
      <c r="NT98">
        <v>592</v>
      </c>
      <c r="NV98">
        <v>16</v>
      </c>
      <c r="NW98">
        <v>0</v>
      </c>
      <c r="NX98">
        <v>5</v>
      </c>
      <c r="NY98">
        <v>5</v>
      </c>
      <c r="NZ98">
        <v>4</v>
      </c>
      <c r="OA98">
        <v>1</v>
      </c>
      <c r="OB98">
        <v>300</v>
      </c>
      <c r="OD98">
        <v>100</v>
      </c>
      <c r="OE98">
        <v>161</v>
      </c>
      <c r="OI98">
        <v>508</v>
      </c>
      <c r="OJ98">
        <v>803</v>
      </c>
      <c r="OK98">
        <v>567</v>
      </c>
      <c r="OL98">
        <v>4</v>
      </c>
      <c r="ON98">
        <v>115</v>
      </c>
      <c r="OO98">
        <v>42294</v>
      </c>
      <c r="OP98">
        <v>5636</v>
      </c>
      <c r="OQ98">
        <v>14415</v>
      </c>
      <c r="OU98">
        <v>770</v>
      </c>
      <c r="OV98">
        <v>5626</v>
      </c>
      <c r="OX98">
        <v>165</v>
      </c>
      <c r="PF98">
        <v>350</v>
      </c>
      <c r="PI98">
        <v>69255</v>
      </c>
      <c r="PM98" t="str">
        <f>IFERROR(VLOOKUP($A98&amp;"",Key!$A:$C,3,FALSE),"")</f>
        <v>ISIC 28</v>
      </c>
    </row>
    <row r="99" spans="1:429" x14ac:dyDescent="0.25">
      <c r="A99">
        <v>333413</v>
      </c>
      <c r="B99" t="s">
        <v>234</v>
      </c>
      <c r="X99">
        <v>1</v>
      </c>
      <c r="Z99">
        <v>0</v>
      </c>
      <c r="AA99">
        <v>179</v>
      </c>
      <c r="AB99">
        <v>236</v>
      </c>
      <c r="AE99">
        <v>320</v>
      </c>
      <c r="AF99">
        <v>97</v>
      </c>
      <c r="AG99">
        <v>572</v>
      </c>
      <c r="AH99">
        <v>243</v>
      </c>
      <c r="AI99">
        <v>149</v>
      </c>
      <c r="AJ99">
        <v>33</v>
      </c>
      <c r="AK99">
        <v>93</v>
      </c>
      <c r="AL99">
        <v>218</v>
      </c>
      <c r="BK99">
        <v>12</v>
      </c>
      <c r="CO99">
        <v>75</v>
      </c>
      <c r="CQ99">
        <v>238</v>
      </c>
      <c r="CR99">
        <v>82</v>
      </c>
      <c r="FC99">
        <v>64</v>
      </c>
      <c r="HR99">
        <v>1</v>
      </c>
      <c r="II99">
        <v>15</v>
      </c>
      <c r="IL99">
        <v>143</v>
      </c>
      <c r="IM99">
        <v>80</v>
      </c>
      <c r="IZ99">
        <v>165</v>
      </c>
      <c r="JG99">
        <v>355</v>
      </c>
      <c r="JN99">
        <v>0</v>
      </c>
      <c r="JO99">
        <v>16</v>
      </c>
      <c r="JT99">
        <v>2</v>
      </c>
      <c r="KF99">
        <v>1</v>
      </c>
      <c r="KK99">
        <v>7</v>
      </c>
      <c r="KM99">
        <v>43</v>
      </c>
      <c r="KZ99">
        <v>9</v>
      </c>
      <c r="LN99">
        <v>0</v>
      </c>
      <c r="LT99">
        <v>1510</v>
      </c>
      <c r="LW99">
        <v>163</v>
      </c>
      <c r="LZ99">
        <v>34</v>
      </c>
      <c r="MF99">
        <v>3</v>
      </c>
      <c r="MH99">
        <v>109</v>
      </c>
      <c r="MO99">
        <v>472</v>
      </c>
      <c r="MP99">
        <v>4</v>
      </c>
      <c r="MQ99">
        <v>0</v>
      </c>
      <c r="NT99">
        <v>70</v>
      </c>
      <c r="OD99">
        <v>1</v>
      </c>
      <c r="OH99">
        <v>56</v>
      </c>
      <c r="OI99">
        <v>71</v>
      </c>
      <c r="OK99">
        <v>59</v>
      </c>
      <c r="OM99">
        <v>85</v>
      </c>
      <c r="ON99">
        <v>109</v>
      </c>
      <c r="OO99">
        <v>6194</v>
      </c>
      <c r="OQ99">
        <v>3506</v>
      </c>
      <c r="OU99">
        <v>69</v>
      </c>
      <c r="OV99">
        <v>1396</v>
      </c>
      <c r="PF99">
        <v>0</v>
      </c>
      <c r="PI99">
        <v>11165</v>
      </c>
      <c r="PM99" t="str">
        <f>IFERROR(VLOOKUP($A99&amp;"",Key!$A:$C,3,FALSE),"")</f>
        <v>ISIC 28</v>
      </c>
    </row>
    <row r="100" spans="1:429" x14ac:dyDescent="0.25">
      <c r="A100">
        <v>333511</v>
      </c>
      <c r="B100" t="s">
        <v>235</v>
      </c>
      <c r="AR100">
        <v>4</v>
      </c>
      <c r="BC100">
        <v>43</v>
      </c>
      <c r="BD100">
        <v>1</v>
      </c>
      <c r="BK100">
        <v>11</v>
      </c>
      <c r="BL100">
        <v>100</v>
      </c>
      <c r="BQ100">
        <v>92</v>
      </c>
      <c r="BX100">
        <v>217</v>
      </c>
      <c r="BY100">
        <v>1244</v>
      </c>
      <c r="CF100">
        <v>94</v>
      </c>
      <c r="CS100">
        <v>115</v>
      </c>
      <c r="CT100">
        <v>117</v>
      </c>
      <c r="ES100">
        <v>6</v>
      </c>
      <c r="JG100">
        <v>4</v>
      </c>
      <c r="KM100">
        <v>51</v>
      </c>
      <c r="LW100">
        <v>380</v>
      </c>
      <c r="LZ100">
        <v>65</v>
      </c>
      <c r="MF100">
        <v>6</v>
      </c>
      <c r="ON100">
        <v>175</v>
      </c>
      <c r="OO100">
        <v>2724</v>
      </c>
      <c r="OQ100">
        <v>7157</v>
      </c>
      <c r="OU100">
        <v>0</v>
      </c>
      <c r="OV100">
        <v>890</v>
      </c>
      <c r="PI100">
        <v>10771</v>
      </c>
      <c r="PM100" t="str">
        <f>IFERROR(VLOOKUP($A100&amp;"",Key!$A:$C,3,FALSE),"")</f>
        <v>ISIC 28</v>
      </c>
    </row>
    <row r="101" spans="1:429" x14ac:dyDescent="0.25">
      <c r="A101">
        <v>333514</v>
      </c>
      <c r="B101" t="s">
        <v>236</v>
      </c>
      <c r="AR101">
        <v>25</v>
      </c>
      <c r="BC101">
        <v>276</v>
      </c>
      <c r="BD101">
        <v>16</v>
      </c>
      <c r="BK101">
        <v>87</v>
      </c>
      <c r="BL101">
        <v>533</v>
      </c>
      <c r="BN101">
        <v>104</v>
      </c>
      <c r="BO101">
        <v>39</v>
      </c>
      <c r="BX101">
        <v>10</v>
      </c>
      <c r="BY101">
        <v>230</v>
      </c>
      <c r="CC101">
        <v>93</v>
      </c>
      <c r="CK101">
        <v>32</v>
      </c>
      <c r="CL101">
        <v>161</v>
      </c>
      <c r="CO101">
        <v>2</v>
      </c>
      <c r="CQ101">
        <v>33</v>
      </c>
      <c r="CS101">
        <v>162</v>
      </c>
      <c r="CT101">
        <v>529</v>
      </c>
      <c r="CX101">
        <v>2</v>
      </c>
      <c r="CY101">
        <v>15</v>
      </c>
      <c r="DO101">
        <v>12</v>
      </c>
      <c r="EQ101">
        <v>10</v>
      </c>
      <c r="ER101">
        <v>35</v>
      </c>
      <c r="ES101">
        <v>19</v>
      </c>
      <c r="EX101">
        <v>35</v>
      </c>
      <c r="EZ101">
        <v>67</v>
      </c>
      <c r="FB101">
        <v>71</v>
      </c>
      <c r="FC101">
        <v>131</v>
      </c>
      <c r="JG101">
        <v>2</v>
      </c>
      <c r="OD101">
        <v>2</v>
      </c>
      <c r="OE101">
        <v>0</v>
      </c>
      <c r="OI101">
        <v>9</v>
      </c>
      <c r="OO101">
        <v>2742</v>
      </c>
      <c r="OQ101">
        <v>10775</v>
      </c>
      <c r="OU101">
        <v>110</v>
      </c>
      <c r="OV101">
        <v>593</v>
      </c>
      <c r="PI101">
        <v>14219</v>
      </c>
      <c r="PM101" t="str">
        <f>IFERROR(VLOOKUP($A101&amp;"",Key!$A:$C,3,FALSE),"")</f>
        <v>ISIC 28</v>
      </c>
    </row>
    <row r="102" spans="1:429" x14ac:dyDescent="0.25">
      <c r="A102">
        <v>333517</v>
      </c>
      <c r="B102" t="s">
        <v>237</v>
      </c>
      <c r="BL102">
        <v>125</v>
      </c>
      <c r="BQ102">
        <v>922</v>
      </c>
      <c r="BS102">
        <v>23</v>
      </c>
      <c r="BT102">
        <v>14</v>
      </c>
      <c r="BX102">
        <v>106</v>
      </c>
      <c r="CF102">
        <v>51</v>
      </c>
      <c r="CG102">
        <v>32</v>
      </c>
      <c r="CQ102">
        <v>1</v>
      </c>
      <c r="CU102">
        <v>177</v>
      </c>
      <c r="CV102">
        <v>97</v>
      </c>
      <c r="DG102">
        <v>258</v>
      </c>
      <c r="FB102">
        <v>256</v>
      </c>
      <c r="GD102">
        <v>211</v>
      </c>
      <c r="KM102">
        <v>12</v>
      </c>
      <c r="MR102">
        <v>18</v>
      </c>
      <c r="OI102">
        <v>65</v>
      </c>
      <c r="OK102">
        <v>7</v>
      </c>
      <c r="OO102">
        <v>2376</v>
      </c>
      <c r="OP102">
        <v>486</v>
      </c>
      <c r="OQ102">
        <v>11600</v>
      </c>
      <c r="OU102">
        <v>73</v>
      </c>
      <c r="OV102">
        <v>2290</v>
      </c>
      <c r="OX102">
        <v>3</v>
      </c>
      <c r="PB102">
        <v>81</v>
      </c>
      <c r="PF102">
        <v>645</v>
      </c>
      <c r="PI102">
        <v>17553</v>
      </c>
      <c r="PM102" t="str">
        <f>IFERROR(VLOOKUP($A102&amp;"",Key!$A:$C,3,FALSE),"")</f>
        <v>ISIC 28</v>
      </c>
    </row>
    <row r="103" spans="1:429" x14ac:dyDescent="0.25">
      <c r="A103" t="s">
        <v>583</v>
      </c>
      <c r="B103" t="s">
        <v>238</v>
      </c>
      <c r="P103">
        <v>1074</v>
      </c>
      <c r="Q103">
        <v>40</v>
      </c>
      <c r="R103">
        <v>6</v>
      </c>
      <c r="S103">
        <v>24</v>
      </c>
      <c r="T103">
        <v>15</v>
      </c>
      <c r="U103">
        <v>14</v>
      </c>
      <c r="V103">
        <v>411</v>
      </c>
      <c r="W103">
        <v>1051</v>
      </c>
      <c r="AM103">
        <v>5</v>
      </c>
      <c r="AN103">
        <v>2</v>
      </c>
      <c r="AO103">
        <v>3</v>
      </c>
      <c r="AP103">
        <v>3</v>
      </c>
      <c r="AQ103">
        <v>1</v>
      </c>
      <c r="AR103">
        <v>3</v>
      </c>
      <c r="AS103">
        <v>0</v>
      </c>
      <c r="AT103">
        <v>2</v>
      </c>
      <c r="AU103">
        <v>1</v>
      </c>
      <c r="AV103">
        <v>1</v>
      </c>
      <c r="AX103">
        <v>0</v>
      </c>
      <c r="AY103">
        <v>5</v>
      </c>
      <c r="AZ103">
        <v>1</v>
      </c>
      <c r="BA103">
        <v>2</v>
      </c>
      <c r="BC103">
        <v>1</v>
      </c>
      <c r="BD103">
        <v>35</v>
      </c>
      <c r="BE103">
        <v>3</v>
      </c>
      <c r="BF103">
        <v>0</v>
      </c>
      <c r="BG103">
        <v>25</v>
      </c>
      <c r="BI103">
        <v>7</v>
      </c>
      <c r="BJ103">
        <v>7</v>
      </c>
      <c r="BK103">
        <v>12</v>
      </c>
      <c r="BL103">
        <v>14</v>
      </c>
      <c r="BN103">
        <v>9</v>
      </c>
      <c r="BO103">
        <v>5</v>
      </c>
      <c r="BP103">
        <v>3</v>
      </c>
      <c r="BQ103">
        <v>64</v>
      </c>
      <c r="BR103">
        <v>16</v>
      </c>
      <c r="BS103">
        <v>126</v>
      </c>
      <c r="BT103">
        <v>66</v>
      </c>
      <c r="BU103">
        <v>3</v>
      </c>
      <c r="BV103">
        <v>22</v>
      </c>
      <c r="BW103">
        <v>2</v>
      </c>
      <c r="BX103">
        <v>590</v>
      </c>
      <c r="BY103">
        <v>429</v>
      </c>
      <c r="BZ103">
        <v>55</v>
      </c>
      <c r="CA103">
        <v>4</v>
      </c>
      <c r="CB103">
        <v>38</v>
      </c>
      <c r="CC103">
        <v>8</v>
      </c>
      <c r="CD103">
        <v>3</v>
      </c>
      <c r="CE103">
        <v>58</v>
      </c>
      <c r="CF103">
        <v>8</v>
      </c>
      <c r="CG103">
        <v>16</v>
      </c>
      <c r="CI103">
        <v>15</v>
      </c>
      <c r="CJ103">
        <v>16</v>
      </c>
      <c r="CK103">
        <v>11</v>
      </c>
      <c r="CL103">
        <v>103</v>
      </c>
      <c r="CM103">
        <v>1</v>
      </c>
      <c r="CO103">
        <v>16</v>
      </c>
      <c r="CP103">
        <v>2</v>
      </c>
      <c r="CQ103">
        <v>17</v>
      </c>
      <c r="CR103">
        <v>7</v>
      </c>
      <c r="CS103">
        <v>322</v>
      </c>
      <c r="CT103">
        <v>444</v>
      </c>
      <c r="CU103">
        <v>408</v>
      </c>
      <c r="CV103">
        <v>773</v>
      </c>
      <c r="CW103">
        <v>15</v>
      </c>
      <c r="CZ103">
        <v>14</v>
      </c>
      <c r="DA103">
        <v>2</v>
      </c>
      <c r="DB103">
        <v>10</v>
      </c>
      <c r="DC103">
        <v>43</v>
      </c>
      <c r="DD103">
        <v>7</v>
      </c>
      <c r="DE103">
        <v>5</v>
      </c>
      <c r="DF103">
        <v>2</v>
      </c>
      <c r="DG103">
        <v>36</v>
      </c>
      <c r="DH103">
        <v>73</v>
      </c>
      <c r="DI103">
        <v>1</v>
      </c>
      <c r="DJ103">
        <v>0</v>
      </c>
      <c r="DK103">
        <v>0</v>
      </c>
      <c r="DL103">
        <v>0</v>
      </c>
      <c r="DM103">
        <v>9</v>
      </c>
      <c r="DN103">
        <v>2</v>
      </c>
      <c r="DO103">
        <v>3</v>
      </c>
      <c r="DP103">
        <v>4</v>
      </c>
      <c r="DQ103">
        <v>5</v>
      </c>
      <c r="DR103">
        <v>3</v>
      </c>
      <c r="DS103">
        <v>11</v>
      </c>
      <c r="DT103">
        <v>0</v>
      </c>
      <c r="DU103">
        <v>3</v>
      </c>
      <c r="DV103">
        <v>3</v>
      </c>
      <c r="DW103">
        <v>7</v>
      </c>
      <c r="DX103">
        <v>3</v>
      </c>
      <c r="DY103">
        <v>2</v>
      </c>
      <c r="DZ103">
        <v>17</v>
      </c>
      <c r="EA103">
        <v>0</v>
      </c>
      <c r="EC103">
        <v>0</v>
      </c>
      <c r="ED103">
        <v>2</v>
      </c>
      <c r="EE103">
        <v>3</v>
      </c>
      <c r="EF103">
        <v>1</v>
      </c>
      <c r="EG103">
        <v>2</v>
      </c>
      <c r="EH103">
        <v>2</v>
      </c>
      <c r="EI103">
        <v>3</v>
      </c>
      <c r="EJ103">
        <v>8</v>
      </c>
      <c r="EK103">
        <v>1</v>
      </c>
      <c r="EL103">
        <v>0</v>
      </c>
      <c r="EM103">
        <v>4</v>
      </c>
      <c r="EN103">
        <v>48</v>
      </c>
      <c r="EO103">
        <v>1</v>
      </c>
      <c r="EP103">
        <v>4</v>
      </c>
      <c r="EQ103">
        <v>2</v>
      </c>
      <c r="ER103">
        <v>60</v>
      </c>
      <c r="ES103">
        <v>3</v>
      </c>
      <c r="ET103">
        <v>24</v>
      </c>
      <c r="EU103">
        <v>3</v>
      </c>
      <c r="EV103">
        <v>0</v>
      </c>
      <c r="EW103">
        <v>3</v>
      </c>
      <c r="EX103">
        <v>15</v>
      </c>
      <c r="EY103">
        <v>25</v>
      </c>
      <c r="EZ103">
        <v>25</v>
      </c>
      <c r="FA103">
        <v>1</v>
      </c>
      <c r="FB103">
        <v>26</v>
      </c>
      <c r="FC103">
        <v>47</v>
      </c>
      <c r="FD103">
        <v>9</v>
      </c>
      <c r="FE103">
        <v>37</v>
      </c>
      <c r="FF103">
        <v>1</v>
      </c>
      <c r="FG103">
        <v>5</v>
      </c>
      <c r="FJ103">
        <v>2</v>
      </c>
      <c r="FK103">
        <v>9</v>
      </c>
      <c r="FL103">
        <v>5</v>
      </c>
      <c r="FO103">
        <v>1</v>
      </c>
      <c r="FP103">
        <v>1</v>
      </c>
      <c r="FQ103">
        <v>3</v>
      </c>
      <c r="FR103">
        <v>1</v>
      </c>
      <c r="FS103">
        <v>1</v>
      </c>
      <c r="FU103">
        <v>2</v>
      </c>
      <c r="FV103">
        <v>3</v>
      </c>
      <c r="FW103">
        <v>1</v>
      </c>
      <c r="FX103">
        <v>26</v>
      </c>
      <c r="FY103">
        <v>16</v>
      </c>
      <c r="FZ103">
        <v>9</v>
      </c>
      <c r="GA103">
        <v>1</v>
      </c>
      <c r="GC103">
        <v>1</v>
      </c>
      <c r="GD103">
        <v>29</v>
      </c>
      <c r="GE103">
        <v>1</v>
      </c>
      <c r="GF103">
        <v>2</v>
      </c>
      <c r="GG103">
        <v>44</v>
      </c>
      <c r="GH103">
        <v>30</v>
      </c>
      <c r="GP103">
        <v>1</v>
      </c>
      <c r="GQ103">
        <v>0</v>
      </c>
      <c r="GR103">
        <v>2</v>
      </c>
      <c r="GW103">
        <v>1</v>
      </c>
      <c r="GZ103">
        <v>6</v>
      </c>
      <c r="HB103">
        <v>6</v>
      </c>
      <c r="HE103">
        <v>2</v>
      </c>
      <c r="HG103">
        <v>20</v>
      </c>
      <c r="HH103">
        <v>1</v>
      </c>
      <c r="HI103">
        <v>0</v>
      </c>
      <c r="HL103">
        <v>0</v>
      </c>
      <c r="HN103">
        <v>0</v>
      </c>
      <c r="HO103">
        <v>0</v>
      </c>
      <c r="HP103">
        <v>0</v>
      </c>
      <c r="HQ103">
        <v>2</v>
      </c>
      <c r="HT103">
        <v>1</v>
      </c>
      <c r="HU103">
        <v>9</v>
      </c>
      <c r="HV103">
        <v>10</v>
      </c>
      <c r="HW103">
        <v>17</v>
      </c>
      <c r="HX103">
        <v>9</v>
      </c>
      <c r="HY103">
        <v>1</v>
      </c>
      <c r="HZ103">
        <v>2</v>
      </c>
      <c r="IA103">
        <v>2</v>
      </c>
      <c r="IB103">
        <v>5</v>
      </c>
      <c r="ID103">
        <v>2</v>
      </c>
      <c r="IE103">
        <v>0</v>
      </c>
      <c r="IH103">
        <v>1</v>
      </c>
      <c r="IJ103">
        <v>0</v>
      </c>
      <c r="IK103">
        <v>2</v>
      </c>
      <c r="IL103">
        <v>3</v>
      </c>
      <c r="IM103">
        <v>4</v>
      </c>
      <c r="IN103">
        <v>2</v>
      </c>
      <c r="IT103">
        <v>0</v>
      </c>
      <c r="IV103">
        <v>2</v>
      </c>
      <c r="IW103">
        <v>5</v>
      </c>
      <c r="IX103">
        <v>2</v>
      </c>
      <c r="IZ103">
        <v>23</v>
      </c>
      <c r="JA103">
        <v>16</v>
      </c>
      <c r="JB103">
        <v>9</v>
      </c>
      <c r="JC103">
        <v>2</v>
      </c>
      <c r="JD103">
        <v>7</v>
      </c>
      <c r="JE103">
        <v>3</v>
      </c>
      <c r="JF103">
        <v>5</v>
      </c>
      <c r="JG103">
        <v>26</v>
      </c>
      <c r="JH103">
        <v>1</v>
      </c>
      <c r="JI103">
        <v>2</v>
      </c>
      <c r="JJ103">
        <v>6</v>
      </c>
      <c r="JK103">
        <v>2</v>
      </c>
      <c r="JL103">
        <v>2</v>
      </c>
      <c r="JM103">
        <v>1</v>
      </c>
      <c r="JO103">
        <v>1</v>
      </c>
      <c r="JS103">
        <v>0</v>
      </c>
      <c r="JT103">
        <v>1</v>
      </c>
      <c r="JV103">
        <v>6</v>
      </c>
      <c r="JW103">
        <v>2</v>
      </c>
      <c r="JY103">
        <v>1</v>
      </c>
      <c r="JZ103">
        <v>3</v>
      </c>
      <c r="KA103">
        <v>3</v>
      </c>
      <c r="KC103">
        <v>1</v>
      </c>
      <c r="KE103">
        <v>1</v>
      </c>
      <c r="KF103">
        <v>7</v>
      </c>
      <c r="KH103">
        <v>3</v>
      </c>
      <c r="KK103">
        <v>3</v>
      </c>
      <c r="KN103">
        <v>0</v>
      </c>
      <c r="KQ103">
        <v>1</v>
      </c>
      <c r="KR103">
        <v>6</v>
      </c>
      <c r="LA103">
        <v>2</v>
      </c>
      <c r="LW103">
        <v>9</v>
      </c>
      <c r="LY103">
        <v>1</v>
      </c>
      <c r="LZ103">
        <v>11</v>
      </c>
      <c r="MA103">
        <v>1</v>
      </c>
      <c r="MH103">
        <v>15</v>
      </c>
      <c r="MI103">
        <v>2</v>
      </c>
      <c r="MK103">
        <v>5</v>
      </c>
      <c r="MM103">
        <v>2</v>
      </c>
      <c r="MR103">
        <v>908</v>
      </c>
      <c r="MZ103">
        <v>3</v>
      </c>
      <c r="NM103">
        <v>6</v>
      </c>
      <c r="NR103">
        <v>19</v>
      </c>
      <c r="NT103">
        <v>28</v>
      </c>
      <c r="NY103">
        <v>2</v>
      </c>
      <c r="OE103">
        <v>0</v>
      </c>
      <c r="OI103">
        <v>2</v>
      </c>
      <c r="OJ103">
        <v>1</v>
      </c>
      <c r="OK103">
        <v>5</v>
      </c>
      <c r="OL103">
        <v>1</v>
      </c>
      <c r="ON103">
        <v>4</v>
      </c>
      <c r="OO103">
        <v>8552</v>
      </c>
      <c r="OQ103">
        <v>2964</v>
      </c>
      <c r="OU103">
        <v>142</v>
      </c>
      <c r="OV103">
        <v>2221</v>
      </c>
      <c r="PI103">
        <v>13880</v>
      </c>
      <c r="PM103" t="str">
        <f>IFERROR(VLOOKUP($A103&amp;"",Key!$A:$C,3,FALSE),"")</f>
        <v>ISIC 28</v>
      </c>
    </row>
    <row r="104" spans="1:429" x14ac:dyDescent="0.25">
      <c r="A104">
        <v>333611</v>
      </c>
      <c r="B104" t="s">
        <v>239</v>
      </c>
      <c r="N104">
        <v>42</v>
      </c>
      <c r="X104">
        <v>1508</v>
      </c>
      <c r="Y104">
        <v>42</v>
      </c>
      <c r="CJ104">
        <v>10</v>
      </c>
      <c r="CW104">
        <v>1415</v>
      </c>
      <c r="CZ104">
        <v>107</v>
      </c>
      <c r="FK104">
        <v>25</v>
      </c>
      <c r="LZ104">
        <v>66</v>
      </c>
      <c r="MF104">
        <v>6</v>
      </c>
      <c r="MH104">
        <v>103</v>
      </c>
      <c r="MO104">
        <v>224</v>
      </c>
      <c r="OD104">
        <v>24</v>
      </c>
      <c r="OG104">
        <v>8</v>
      </c>
      <c r="OM104">
        <v>69</v>
      </c>
      <c r="ON104">
        <v>192</v>
      </c>
      <c r="OO104">
        <v>3840</v>
      </c>
      <c r="OQ104">
        <v>7253</v>
      </c>
      <c r="OU104">
        <v>-164</v>
      </c>
      <c r="OV104">
        <v>7272</v>
      </c>
      <c r="OX104">
        <v>288</v>
      </c>
      <c r="PB104">
        <v>287</v>
      </c>
      <c r="PF104">
        <v>33</v>
      </c>
      <c r="PI104">
        <v>18810</v>
      </c>
      <c r="PM104" t="str">
        <f>IFERROR(VLOOKUP($A104&amp;"",Key!$A:$C,3,FALSE),"")</f>
        <v>ISIC 28</v>
      </c>
    </row>
    <row r="105" spans="1:429" x14ac:dyDescent="0.25">
      <c r="A105">
        <v>333612</v>
      </c>
      <c r="B105" t="s">
        <v>240</v>
      </c>
      <c r="Z105">
        <v>0</v>
      </c>
      <c r="AP105">
        <v>18</v>
      </c>
      <c r="CG105">
        <v>126</v>
      </c>
      <c r="CH105">
        <v>37</v>
      </c>
      <c r="CI105">
        <v>288</v>
      </c>
      <c r="CJ105">
        <v>179</v>
      </c>
      <c r="CK105">
        <v>3</v>
      </c>
      <c r="CL105">
        <v>118</v>
      </c>
      <c r="CO105">
        <v>31</v>
      </c>
      <c r="CU105">
        <v>72</v>
      </c>
      <c r="CV105">
        <v>40</v>
      </c>
      <c r="CW105">
        <v>224</v>
      </c>
      <c r="CX105">
        <v>4</v>
      </c>
      <c r="CY105">
        <v>3</v>
      </c>
      <c r="CZ105">
        <v>105</v>
      </c>
      <c r="DC105">
        <v>114</v>
      </c>
      <c r="DD105">
        <v>96</v>
      </c>
      <c r="DE105">
        <v>41</v>
      </c>
      <c r="DG105">
        <v>104</v>
      </c>
      <c r="DH105">
        <v>103</v>
      </c>
      <c r="DR105">
        <v>107</v>
      </c>
      <c r="DS105">
        <v>60</v>
      </c>
      <c r="EH105">
        <v>27</v>
      </c>
      <c r="EX105">
        <v>87</v>
      </c>
      <c r="EY105">
        <v>9</v>
      </c>
      <c r="EZ105">
        <v>2158</v>
      </c>
      <c r="FC105">
        <v>76</v>
      </c>
      <c r="FD105">
        <v>112</v>
      </c>
      <c r="FJ105">
        <v>30</v>
      </c>
      <c r="FK105">
        <v>10</v>
      </c>
      <c r="HK105">
        <v>3</v>
      </c>
      <c r="IE105">
        <v>8</v>
      </c>
      <c r="JL105">
        <v>42</v>
      </c>
      <c r="JM105">
        <v>11</v>
      </c>
      <c r="JN105">
        <v>235</v>
      </c>
      <c r="JO105">
        <v>29</v>
      </c>
      <c r="JQ105">
        <v>0</v>
      </c>
      <c r="JR105">
        <v>15</v>
      </c>
      <c r="JS105">
        <v>34</v>
      </c>
      <c r="JT105">
        <v>50</v>
      </c>
      <c r="JV105">
        <v>2</v>
      </c>
      <c r="KF105">
        <v>1</v>
      </c>
      <c r="KK105">
        <v>57</v>
      </c>
      <c r="KO105">
        <v>29</v>
      </c>
      <c r="KX105">
        <v>3</v>
      </c>
      <c r="LA105">
        <v>2</v>
      </c>
      <c r="LO105">
        <v>40</v>
      </c>
      <c r="LW105">
        <v>109</v>
      </c>
      <c r="LZ105">
        <v>38</v>
      </c>
      <c r="MF105">
        <v>2</v>
      </c>
      <c r="MH105">
        <v>61</v>
      </c>
      <c r="MM105">
        <v>21</v>
      </c>
      <c r="MO105">
        <v>389</v>
      </c>
      <c r="NS105">
        <v>14</v>
      </c>
      <c r="NT105">
        <v>496</v>
      </c>
      <c r="NU105">
        <v>10</v>
      </c>
      <c r="OD105">
        <v>6</v>
      </c>
      <c r="OL105">
        <v>8</v>
      </c>
      <c r="ON105">
        <v>160</v>
      </c>
      <c r="OO105">
        <v>6257</v>
      </c>
      <c r="OU105">
        <v>42</v>
      </c>
      <c r="OV105">
        <v>3492</v>
      </c>
      <c r="PI105">
        <v>9792</v>
      </c>
      <c r="PM105" t="str">
        <f>IFERROR(VLOOKUP($A105&amp;"",Key!$A:$C,3,FALSE),"")</f>
        <v>ISIC 28</v>
      </c>
    </row>
    <row r="106" spans="1:429" x14ac:dyDescent="0.25">
      <c r="A106">
        <v>333613</v>
      </c>
      <c r="B106" t="s">
        <v>241</v>
      </c>
      <c r="Z106">
        <v>0</v>
      </c>
      <c r="AP106">
        <v>89</v>
      </c>
      <c r="BX106">
        <v>1</v>
      </c>
      <c r="CC106">
        <v>14</v>
      </c>
      <c r="CF106">
        <v>0</v>
      </c>
      <c r="CK106">
        <v>9</v>
      </c>
      <c r="CL106">
        <v>82</v>
      </c>
      <c r="CW106">
        <v>15</v>
      </c>
      <c r="CX106">
        <v>1022</v>
      </c>
      <c r="CY106">
        <v>685</v>
      </c>
      <c r="CZ106">
        <v>653</v>
      </c>
      <c r="DC106">
        <v>647</v>
      </c>
      <c r="DE106">
        <v>10</v>
      </c>
      <c r="DG106">
        <v>7</v>
      </c>
      <c r="DH106">
        <v>190</v>
      </c>
      <c r="EH106">
        <v>35</v>
      </c>
      <c r="EQ106">
        <v>82</v>
      </c>
      <c r="ER106">
        <v>509</v>
      </c>
      <c r="ES106">
        <v>988</v>
      </c>
      <c r="FC106">
        <v>1197</v>
      </c>
      <c r="FJ106">
        <v>22</v>
      </c>
      <c r="FK106">
        <v>215</v>
      </c>
      <c r="HK106">
        <v>5</v>
      </c>
      <c r="IE106">
        <v>34</v>
      </c>
      <c r="JE106">
        <v>346</v>
      </c>
      <c r="KN106">
        <v>0</v>
      </c>
      <c r="KO106">
        <v>0</v>
      </c>
      <c r="LW106">
        <v>116</v>
      </c>
      <c r="LZ106">
        <v>63</v>
      </c>
      <c r="MF106">
        <v>7</v>
      </c>
      <c r="MO106">
        <v>866</v>
      </c>
      <c r="MR106">
        <v>14</v>
      </c>
      <c r="OD106">
        <v>4</v>
      </c>
      <c r="OL106">
        <v>13</v>
      </c>
      <c r="ON106">
        <v>124</v>
      </c>
      <c r="OO106">
        <v>8063</v>
      </c>
      <c r="OU106">
        <v>10</v>
      </c>
      <c r="OV106">
        <v>2031</v>
      </c>
      <c r="PI106">
        <v>10104</v>
      </c>
      <c r="PM106" t="str">
        <f>IFERROR(VLOOKUP($A106&amp;"",Key!$A:$C,3,FALSE),"")</f>
        <v>ISIC 28</v>
      </c>
    </row>
    <row r="107" spans="1:429" x14ac:dyDescent="0.25">
      <c r="A107">
        <v>333618</v>
      </c>
      <c r="B107" t="s">
        <v>242</v>
      </c>
      <c r="P107">
        <v>31</v>
      </c>
      <c r="X107">
        <v>19</v>
      </c>
      <c r="Y107">
        <v>5</v>
      </c>
      <c r="AC107">
        <v>0</v>
      </c>
      <c r="AP107">
        <v>4</v>
      </c>
      <c r="BP107">
        <v>1</v>
      </c>
      <c r="CG107">
        <v>200</v>
      </c>
      <c r="CH107">
        <v>217</v>
      </c>
      <c r="CI107">
        <v>1934</v>
      </c>
      <c r="CJ107">
        <v>651</v>
      </c>
      <c r="CQ107">
        <v>1</v>
      </c>
      <c r="CU107">
        <v>0</v>
      </c>
      <c r="CV107">
        <v>0</v>
      </c>
      <c r="CW107">
        <v>2</v>
      </c>
      <c r="CX107">
        <v>24</v>
      </c>
      <c r="CY107">
        <v>51</v>
      </c>
      <c r="CZ107">
        <v>2070</v>
      </c>
      <c r="DA107">
        <v>1080</v>
      </c>
      <c r="DB107">
        <v>417</v>
      </c>
      <c r="DC107">
        <v>15</v>
      </c>
      <c r="EH107">
        <v>1097</v>
      </c>
      <c r="EQ107">
        <v>1598</v>
      </c>
      <c r="ER107">
        <v>3513</v>
      </c>
      <c r="ES107">
        <v>3450</v>
      </c>
      <c r="EX107">
        <v>6920</v>
      </c>
      <c r="EY107">
        <v>7</v>
      </c>
      <c r="EZ107">
        <v>194</v>
      </c>
      <c r="FD107">
        <v>1</v>
      </c>
      <c r="FF107">
        <v>2</v>
      </c>
      <c r="FK107">
        <v>575</v>
      </c>
      <c r="FL107">
        <v>405</v>
      </c>
      <c r="FO107">
        <v>1004</v>
      </c>
      <c r="IE107">
        <v>3</v>
      </c>
      <c r="JL107">
        <v>11</v>
      </c>
      <c r="JN107">
        <v>131</v>
      </c>
      <c r="JO107">
        <v>23</v>
      </c>
      <c r="JP107">
        <v>69</v>
      </c>
      <c r="JQ107">
        <v>37</v>
      </c>
      <c r="JR107">
        <v>8</v>
      </c>
      <c r="JS107">
        <v>81</v>
      </c>
      <c r="JT107">
        <v>29</v>
      </c>
      <c r="JV107">
        <v>126</v>
      </c>
      <c r="JX107">
        <v>0</v>
      </c>
      <c r="JY107">
        <v>0</v>
      </c>
      <c r="KB107">
        <v>3</v>
      </c>
      <c r="KC107">
        <v>36</v>
      </c>
      <c r="KD107">
        <v>2</v>
      </c>
      <c r="KH107">
        <v>562</v>
      </c>
      <c r="KI107">
        <v>68</v>
      </c>
      <c r="KL107">
        <v>1</v>
      </c>
      <c r="KN107">
        <v>1</v>
      </c>
      <c r="KR107">
        <v>0</v>
      </c>
      <c r="KV107">
        <v>2</v>
      </c>
      <c r="KW107">
        <v>4</v>
      </c>
      <c r="KX107">
        <v>2</v>
      </c>
      <c r="KZ107">
        <v>0</v>
      </c>
      <c r="LO107">
        <v>119</v>
      </c>
      <c r="LP107">
        <v>15</v>
      </c>
      <c r="LW107">
        <v>86</v>
      </c>
      <c r="LZ107">
        <v>72</v>
      </c>
      <c r="MA107">
        <v>7</v>
      </c>
      <c r="ME107">
        <v>2</v>
      </c>
      <c r="MF107">
        <v>1</v>
      </c>
      <c r="MH107">
        <v>7</v>
      </c>
      <c r="MK107">
        <v>3</v>
      </c>
      <c r="MM107">
        <v>92</v>
      </c>
      <c r="MN107">
        <v>4</v>
      </c>
      <c r="MO107">
        <v>60</v>
      </c>
      <c r="MZ107">
        <v>2</v>
      </c>
      <c r="NA107">
        <v>2</v>
      </c>
      <c r="NC107">
        <v>9</v>
      </c>
      <c r="NE107">
        <v>8</v>
      </c>
      <c r="NM107">
        <v>2</v>
      </c>
      <c r="NO107">
        <v>11</v>
      </c>
      <c r="NP107">
        <v>8</v>
      </c>
      <c r="NR107">
        <v>1442</v>
      </c>
      <c r="NS107">
        <v>70</v>
      </c>
      <c r="NT107">
        <v>797</v>
      </c>
      <c r="NU107">
        <v>86</v>
      </c>
      <c r="NX107">
        <v>2</v>
      </c>
      <c r="OA107">
        <v>26</v>
      </c>
      <c r="OD107">
        <v>126</v>
      </c>
      <c r="OK107">
        <v>285</v>
      </c>
      <c r="OL107">
        <v>33</v>
      </c>
      <c r="OM107">
        <v>5</v>
      </c>
      <c r="ON107">
        <v>64</v>
      </c>
      <c r="OO107">
        <v>30134</v>
      </c>
      <c r="OP107">
        <v>382</v>
      </c>
      <c r="OQ107">
        <v>3533</v>
      </c>
      <c r="OU107">
        <v>186</v>
      </c>
      <c r="OV107">
        <v>11640</v>
      </c>
      <c r="PB107">
        <v>28</v>
      </c>
      <c r="PF107">
        <v>613</v>
      </c>
      <c r="PI107">
        <v>46517</v>
      </c>
      <c r="PM107" t="str">
        <f>IFERROR(VLOOKUP($A107&amp;"",Key!$A:$C,3,FALSE),"")</f>
        <v>ISIC 28</v>
      </c>
    </row>
    <row r="108" spans="1:429" x14ac:dyDescent="0.25">
      <c r="A108">
        <v>333912</v>
      </c>
      <c r="B108" t="s">
        <v>243</v>
      </c>
      <c r="N108">
        <v>3</v>
      </c>
      <c r="AA108">
        <v>82</v>
      </c>
      <c r="AB108">
        <v>377</v>
      </c>
      <c r="AC108">
        <v>29</v>
      </c>
      <c r="AD108">
        <v>67</v>
      </c>
      <c r="AE108">
        <v>55</v>
      </c>
      <c r="AF108">
        <v>73</v>
      </c>
      <c r="AG108">
        <v>206</v>
      </c>
      <c r="AH108">
        <v>1</v>
      </c>
      <c r="AI108">
        <v>151</v>
      </c>
      <c r="AJ108">
        <v>40</v>
      </c>
      <c r="AK108">
        <v>212</v>
      </c>
      <c r="AL108">
        <v>181</v>
      </c>
      <c r="CK108">
        <v>44</v>
      </c>
      <c r="CL108">
        <v>199</v>
      </c>
      <c r="DA108">
        <v>560</v>
      </c>
      <c r="FB108">
        <v>133</v>
      </c>
      <c r="HT108">
        <v>2</v>
      </c>
      <c r="HU108">
        <v>1</v>
      </c>
      <c r="II108">
        <v>1</v>
      </c>
      <c r="IJ108">
        <v>1</v>
      </c>
      <c r="IK108">
        <v>1</v>
      </c>
      <c r="IL108">
        <v>1</v>
      </c>
      <c r="IZ108">
        <v>48</v>
      </c>
      <c r="JE108">
        <v>21</v>
      </c>
      <c r="JG108">
        <v>86</v>
      </c>
      <c r="JV108">
        <v>35</v>
      </c>
      <c r="KJ108">
        <v>1</v>
      </c>
      <c r="KK108">
        <v>5</v>
      </c>
      <c r="KW108">
        <v>14</v>
      </c>
      <c r="KX108">
        <v>91</v>
      </c>
      <c r="KY108">
        <v>3</v>
      </c>
      <c r="LZ108">
        <v>10</v>
      </c>
      <c r="MO108">
        <v>0</v>
      </c>
      <c r="MZ108">
        <v>25</v>
      </c>
      <c r="NO108">
        <v>2</v>
      </c>
      <c r="NP108">
        <v>53</v>
      </c>
      <c r="NQ108">
        <v>16</v>
      </c>
      <c r="NR108">
        <v>16</v>
      </c>
      <c r="OB108">
        <v>2</v>
      </c>
      <c r="ON108">
        <v>17</v>
      </c>
      <c r="OO108">
        <v>2867</v>
      </c>
      <c r="OQ108">
        <v>9225</v>
      </c>
      <c r="OU108">
        <v>-49</v>
      </c>
      <c r="OV108">
        <v>2972</v>
      </c>
      <c r="OX108">
        <v>48</v>
      </c>
      <c r="PB108">
        <v>3</v>
      </c>
      <c r="PI108">
        <v>15066</v>
      </c>
      <c r="PM108" t="str">
        <f>IFERROR(VLOOKUP($A108&amp;"",Key!$A:$C,3,FALSE),"")</f>
        <v>ISIC 28</v>
      </c>
    </row>
    <row r="109" spans="1:429" x14ac:dyDescent="0.25">
      <c r="A109">
        <v>333914</v>
      </c>
      <c r="B109" t="s">
        <v>244</v>
      </c>
      <c r="C109">
        <v>8</v>
      </c>
      <c r="P109">
        <v>828</v>
      </c>
      <c r="R109">
        <v>39</v>
      </c>
      <c r="V109">
        <v>169</v>
      </c>
      <c r="W109">
        <v>281</v>
      </c>
      <c r="AA109">
        <v>108</v>
      </c>
      <c r="AB109">
        <v>571</v>
      </c>
      <c r="AC109">
        <v>302</v>
      </c>
      <c r="AD109">
        <v>408</v>
      </c>
      <c r="AE109">
        <v>205</v>
      </c>
      <c r="AG109">
        <v>1224</v>
      </c>
      <c r="AH109">
        <v>107</v>
      </c>
      <c r="AI109">
        <v>741</v>
      </c>
      <c r="AJ109">
        <v>14</v>
      </c>
      <c r="AK109">
        <v>1842</v>
      </c>
      <c r="AL109">
        <v>389</v>
      </c>
      <c r="BD109">
        <v>54</v>
      </c>
      <c r="CJ109">
        <v>82</v>
      </c>
      <c r="CK109">
        <v>47</v>
      </c>
      <c r="CL109">
        <v>153</v>
      </c>
      <c r="CO109">
        <v>149</v>
      </c>
      <c r="DA109">
        <v>11</v>
      </c>
      <c r="DB109">
        <v>125</v>
      </c>
      <c r="DG109">
        <v>258</v>
      </c>
      <c r="FL109">
        <v>176</v>
      </c>
      <c r="JO109">
        <v>33</v>
      </c>
      <c r="KD109">
        <v>0</v>
      </c>
      <c r="KF109">
        <v>29</v>
      </c>
      <c r="KI109">
        <v>5</v>
      </c>
      <c r="KJ109">
        <v>17</v>
      </c>
      <c r="KK109">
        <v>4</v>
      </c>
      <c r="LK109">
        <v>2</v>
      </c>
      <c r="LL109">
        <v>1</v>
      </c>
      <c r="LZ109">
        <v>39</v>
      </c>
      <c r="MF109">
        <v>3</v>
      </c>
      <c r="MH109">
        <v>33</v>
      </c>
      <c r="MO109">
        <v>53</v>
      </c>
      <c r="MZ109">
        <v>65</v>
      </c>
      <c r="NT109">
        <v>333</v>
      </c>
      <c r="OI109">
        <v>109</v>
      </c>
      <c r="OK109">
        <v>532</v>
      </c>
      <c r="OL109">
        <v>36</v>
      </c>
      <c r="OM109">
        <v>13</v>
      </c>
      <c r="ON109">
        <v>85</v>
      </c>
      <c r="OO109">
        <v>9684</v>
      </c>
      <c r="OQ109">
        <v>12560</v>
      </c>
      <c r="OU109">
        <v>85</v>
      </c>
      <c r="OV109">
        <v>4144</v>
      </c>
      <c r="OX109">
        <v>433</v>
      </c>
      <c r="PB109">
        <v>19</v>
      </c>
      <c r="PF109">
        <v>25</v>
      </c>
      <c r="PI109">
        <v>26950</v>
      </c>
      <c r="PM109" t="str">
        <f>IFERROR(VLOOKUP($A109&amp;"",Key!$A:$C,3,FALSE),"")</f>
        <v>ISIC 28</v>
      </c>
    </row>
    <row r="110" spans="1:429" x14ac:dyDescent="0.25">
      <c r="A110">
        <v>333920</v>
      </c>
      <c r="B110" t="s">
        <v>245</v>
      </c>
      <c r="C110">
        <v>6</v>
      </c>
      <c r="D110">
        <v>1</v>
      </c>
      <c r="I110">
        <v>2</v>
      </c>
      <c r="J110">
        <v>1</v>
      </c>
      <c r="M110">
        <v>0</v>
      </c>
      <c r="O110">
        <v>2</v>
      </c>
      <c r="P110">
        <v>543</v>
      </c>
      <c r="Q110">
        <v>340</v>
      </c>
      <c r="R110">
        <v>27</v>
      </c>
      <c r="S110">
        <v>334</v>
      </c>
      <c r="T110">
        <v>193</v>
      </c>
      <c r="U110">
        <v>306</v>
      </c>
      <c r="V110">
        <v>371</v>
      </c>
      <c r="W110">
        <v>694</v>
      </c>
      <c r="Z110">
        <v>0</v>
      </c>
      <c r="AA110">
        <v>333</v>
      </c>
      <c r="AB110">
        <v>310</v>
      </c>
      <c r="AC110">
        <v>12</v>
      </c>
      <c r="AD110">
        <v>1</v>
      </c>
      <c r="AE110">
        <v>1886</v>
      </c>
      <c r="AF110">
        <v>45</v>
      </c>
      <c r="AG110">
        <v>1263</v>
      </c>
      <c r="AH110">
        <v>1027</v>
      </c>
      <c r="AI110">
        <v>343</v>
      </c>
      <c r="AJ110">
        <v>82</v>
      </c>
      <c r="AK110">
        <v>13</v>
      </c>
      <c r="AL110">
        <v>123</v>
      </c>
      <c r="AN110">
        <v>37</v>
      </c>
      <c r="AO110">
        <v>12</v>
      </c>
      <c r="AP110">
        <v>26</v>
      </c>
      <c r="AQ110">
        <v>2</v>
      </c>
      <c r="AR110">
        <v>4</v>
      </c>
      <c r="AS110">
        <v>3</v>
      </c>
      <c r="AT110">
        <v>4</v>
      </c>
      <c r="AU110">
        <v>4</v>
      </c>
      <c r="AV110">
        <v>4</v>
      </c>
      <c r="AW110">
        <v>0</v>
      </c>
      <c r="AX110">
        <v>1</v>
      </c>
      <c r="AY110">
        <v>2</v>
      </c>
      <c r="AZ110">
        <v>7</v>
      </c>
      <c r="BA110">
        <v>2</v>
      </c>
      <c r="BC110">
        <v>14</v>
      </c>
      <c r="BD110">
        <v>3</v>
      </c>
      <c r="BE110">
        <v>3</v>
      </c>
      <c r="BF110">
        <v>0</v>
      </c>
      <c r="BG110">
        <v>3</v>
      </c>
      <c r="BH110">
        <v>6</v>
      </c>
      <c r="BI110">
        <v>2</v>
      </c>
      <c r="BJ110">
        <v>1</v>
      </c>
      <c r="BK110">
        <v>5</v>
      </c>
      <c r="BL110">
        <v>10</v>
      </c>
      <c r="BM110">
        <v>2</v>
      </c>
      <c r="BN110">
        <v>2</v>
      </c>
      <c r="BO110">
        <v>1</v>
      </c>
      <c r="BP110">
        <v>1</v>
      </c>
      <c r="BQ110">
        <v>17</v>
      </c>
      <c r="BR110">
        <v>16</v>
      </c>
      <c r="BS110">
        <v>7</v>
      </c>
      <c r="BT110">
        <v>5</v>
      </c>
      <c r="BU110">
        <v>5</v>
      </c>
      <c r="BW110">
        <v>2</v>
      </c>
      <c r="BX110">
        <v>8</v>
      </c>
      <c r="BY110">
        <v>7</v>
      </c>
      <c r="BZ110">
        <v>99</v>
      </c>
      <c r="CA110">
        <v>1</v>
      </c>
      <c r="CB110">
        <v>7</v>
      </c>
      <c r="CC110">
        <v>1</v>
      </c>
      <c r="CD110">
        <v>1</v>
      </c>
      <c r="CE110">
        <v>5</v>
      </c>
      <c r="CF110">
        <v>5</v>
      </c>
      <c r="CG110">
        <v>5</v>
      </c>
      <c r="CH110">
        <v>3</v>
      </c>
      <c r="CI110">
        <v>12</v>
      </c>
      <c r="CJ110">
        <v>18</v>
      </c>
      <c r="CL110">
        <v>3</v>
      </c>
      <c r="CO110">
        <v>1</v>
      </c>
      <c r="CP110">
        <v>2</v>
      </c>
      <c r="CQ110">
        <v>4</v>
      </c>
      <c r="CR110">
        <v>3</v>
      </c>
      <c r="CU110">
        <v>1</v>
      </c>
      <c r="CV110">
        <v>1</v>
      </c>
      <c r="CW110">
        <v>7</v>
      </c>
      <c r="CY110">
        <v>1</v>
      </c>
      <c r="CZ110">
        <v>1</v>
      </c>
      <c r="DA110">
        <v>1</v>
      </c>
      <c r="DB110">
        <v>3</v>
      </c>
      <c r="DC110">
        <v>183</v>
      </c>
      <c r="DE110">
        <v>0</v>
      </c>
      <c r="DG110">
        <v>4</v>
      </c>
      <c r="DH110">
        <v>6</v>
      </c>
      <c r="DJ110">
        <v>0</v>
      </c>
      <c r="DN110">
        <v>0</v>
      </c>
      <c r="DR110">
        <v>0</v>
      </c>
      <c r="DS110">
        <v>0</v>
      </c>
      <c r="DX110">
        <v>0</v>
      </c>
      <c r="DZ110">
        <v>1</v>
      </c>
      <c r="EB110">
        <v>0</v>
      </c>
      <c r="EC110">
        <v>0</v>
      </c>
      <c r="ED110">
        <v>3</v>
      </c>
      <c r="EE110">
        <v>4</v>
      </c>
      <c r="EF110">
        <v>3</v>
      </c>
      <c r="EG110">
        <v>1</v>
      </c>
      <c r="EH110">
        <v>1</v>
      </c>
      <c r="EI110">
        <v>1</v>
      </c>
      <c r="EJ110">
        <v>2</v>
      </c>
      <c r="EK110">
        <v>3</v>
      </c>
      <c r="EL110">
        <v>0</v>
      </c>
      <c r="EM110">
        <v>1</v>
      </c>
      <c r="EN110">
        <v>18</v>
      </c>
      <c r="EO110">
        <v>1</v>
      </c>
      <c r="EP110">
        <v>2</v>
      </c>
      <c r="EQ110">
        <v>0</v>
      </c>
      <c r="ER110">
        <v>6</v>
      </c>
      <c r="ES110">
        <v>81</v>
      </c>
      <c r="ET110">
        <v>3</v>
      </c>
      <c r="EU110">
        <v>1</v>
      </c>
      <c r="EW110">
        <v>4</v>
      </c>
      <c r="EX110">
        <v>7</v>
      </c>
      <c r="EY110">
        <v>15</v>
      </c>
      <c r="EZ110">
        <v>7</v>
      </c>
      <c r="FA110">
        <v>5</v>
      </c>
      <c r="FB110">
        <v>7</v>
      </c>
      <c r="FC110">
        <v>21</v>
      </c>
      <c r="FD110">
        <v>22</v>
      </c>
      <c r="FF110">
        <v>3</v>
      </c>
      <c r="FJ110">
        <v>0</v>
      </c>
      <c r="FK110">
        <v>3</v>
      </c>
      <c r="FL110">
        <v>2</v>
      </c>
      <c r="FO110">
        <v>1</v>
      </c>
      <c r="FP110">
        <v>5</v>
      </c>
      <c r="FQ110">
        <v>3</v>
      </c>
      <c r="FR110">
        <v>1</v>
      </c>
      <c r="FS110">
        <v>4</v>
      </c>
      <c r="FT110">
        <v>18</v>
      </c>
      <c r="FU110">
        <v>5</v>
      </c>
      <c r="FV110">
        <v>9</v>
      </c>
      <c r="FW110">
        <v>5</v>
      </c>
      <c r="FX110">
        <v>3</v>
      </c>
      <c r="FY110">
        <v>3</v>
      </c>
      <c r="FZ110">
        <v>17</v>
      </c>
      <c r="GA110">
        <v>0</v>
      </c>
      <c r="GC110">
        <v>0</v>
      </c>
      <c r="GE110">
        <v>0</v>
      </c>
      <c r="GF110">
        <v>2</v>
      </c>
      <c r="GG110">
        <v>3</v>
      </c>
      <c r="GH110">
        <v>1</v>
      </c>
      <c r="GI110">
        <v>3</v>
      </c>
      <c r="GJ110">
        <v>5</v>
      </c>
      <c r="GK110">
        <v>4</v>
      </c>
      <c r="GL110">
        <v>1</v>
      </c>
      <c r="GN110">
        <v>5</v>
      </c>
      <c r="GO110">
        <v>1</v>
      </c>
      <c r="GP110">
        <v>17</v>
      </c>
      <c r="GQ110">
        <v>24</v>
      </c>
      <c r="GR110">
        <v>20</v>
      </c>
      <c r="GS110">
        <v>11</v>
      </c>
      <c r="GT110">
        <v>27</v>
      </c>
      <c r="GU110">
        <v>14</v>
      </c>
      <c r="GV110">
        <v>7</v>
      </c>
      <c r="GW110">
        <v>4</v>
      </c>
      <c r="GX110">
        <v>25</v>
      </c>
      <c r="GY110">
        <v>0</v>
      </c>
      <c r="GZ110">
        <v>11</v>
      </c>
      <c r="HA110">
        <v>40</v>
      </c>
      <c r="HB110">
        <v>49</v>
      </c>
      <c r="HC110">
        <v>38</v>
      </c>
      <c r="HD110">
        <v>10</v>
      </c>
      <c r="HE110">
        <v>25</v>
      </c>
      <c r="HF110">
        <v>25</v>
      </c>
      <c r="HG110">
        <v>83</v>
      </c>
      <c r="HH110">
        <v>4</v>
      </c>
      <c r="HI110">
        <v>1</v>
      </c>
      <c r="HJ110">
        <v>11</v>
      </c>
      <c r="HK110">
        <v>21</v>
      </c>
      <c r="HL110">
        <v>1</v>
      </c>
      <c r="HM110">
        <v>1</v>
      </c>
      <c r="HN110">
        <v>3</v>
      </c>
      <c r="HO110">
        <v>3</v>
      </c>
      <c r="HP110">
        <v>2</v>
      </c>
      <c r="HQ110">
        <v>3</v>
      </c>
      <c r="HT110">
        <v>8</v>
      </c>
      <c r="HU110">
        <v>10</v>
      </c>
      <c r="HV110">
        <v>15</v>
      </c>
      <c r="HW110">
        <v>32</v>
      </c>
      <c r="HX110">
        <v>42</v>
      </c>
      <c r="HY110">
        <v>11</v>
      </c>
      <c r="HZ110">
        <v>8</v>
      </c>
      <c r="IA110">
        <v>5</v>
      </c>
      <c r="IB110">
        <v>16</v>
      </c>
      <c r="IC110">
        <v>4</v>
      </c>
      <c r="IF110">
        <v>2</v>
      </c>
      <c r="IG110">
        <v>1</v>
      </c>
      <c r="IJ110">
        <v>1</v>
      </c>
      <c r="IK110">
        <v>1</v>
      </c>
      <c r="IL110">
        <v>1</v>
      </c>
      <c r="IM110">
        <v>71</v>
      </c>
      <c r="IN110">
        <v>3</v>
      </c>
      <c r="IP110">
        <v>1</v>
      </c>
      <c r="IS110">
        <v>1</v>
      </c>
      <c r="IT110">
        <v>0</v>
      </c>
      <c r="IU110">
        <v>4</v>
      </c>
      <c r="IV110">
        <v>15</v>
      </c>
      <c r="IW110">
        <v>28</v>
      </c>
      <c r="IX110">
        <v>3</v>
      </c>
      <c r="IY110">
        <v>1</v>
      </c>
      <c r="IZ110">
        <v>9</v>
      </c>
      <c r="JA110">
        <v>23</v>
      </c>
      <c r="JB110">
        <v>15</v>
      </c>
      <c r="JC110">
        <v>11</v>
      </c>
      <c r="JD110">
        <v>7</v>
      </c>
      <c r="JE110">
        <v>3</v>
      </c>
      <c r="JF110">
        <v>4</v>
      </c>
      <c r="JG110">
        <v>29</v>
      </c>
      <c r="JH110">
        <v>7</v>
      </c>
      <c r="JI110">
        <v>2</v>
      </c>
      <c r="JJ110">
        <v>12</v>
      </c>
      <c r="JK110">
        <v>7</v>
      </c>
      <c r="JL110">
        <v>11</v>
      </c>
      <c r="JM110">
        <v>9</v>
      </c>
      <c r="JN110">
        <v>8</v>
      </c>
      <c r="JO110">
        <v>88</v>
      </c>
      <c r="JP110">
        <v>24</v>
      </c>
      <c r="JQ110">
        <v>114</v>
      </c>
      <c r="JR110">
        <v>14</v>
      </c>
      <c r="JS110">
        <v>123</v>
      </c>
      <c r="JT110">
        <v>13</v>
      </c>
      <c r="JV110">
        <v>10</v>
      </c>
      <c r="JW110">
        <v>62</v>
      </c>
      <c r="JX110">
        <v>15</v>
      </c>
      <c r="JY110">
        <v>79</v>
      </c>
      <c r="JZ110">
        <v>3</v>
      </c>
      <c r="KC110">
        <v>16</v>
      </c>
      <c r="KD110">
        <v>45</v>
      </c>
      <c r="KH110">
        <v>25</v>
      </c>
      <c r="KK110">
        <v>58</v>
      </c>
      <c r="KL110">
        <v>28</v>
      </c>
      <c r="KM110">
        <v>1583</v>
      </c>
      <c r="KN110">
        <v>0</v>
      </c>
      <c r="KO110">
        <v>1</v>
      </c>
      <c r="KP110">
        <v>0</v>
      </c>
      <c r="KQ110">
        <v>4</v>
      </c>
      <c r="KR110">
        <v>0</v>
      </c>
      <c r="KS110">
        <v>1</v>
      </c>
      <c r="KV110">
        <v>1</v>
      </c>
      <c r="KW110">
        <v>2</v>
      </c>
      <c r="KX110">
        <v>0</v>
      </c>
      <c r="KY110">
        <v>1</v>
      </c>
      <c r="KZ110">
        <v>2</v>
      </c>
      <c r="LK110">
        <v>0</v>
      </c>
      <c r="LO110">
        <v>2</v>
      </c>
      <c r="LR110">
        <v>0</v>
      </c>
      <c r="LT110">
        <v>30</v>
      </c>
      <c r="LV110">
        <v>5</v>
      </c>
      <c r="LW110">
        <v>53</v>
      </c>
      <c r="LX110">
        <v>1</v>
      </c>
      <c r="LY110">
        <v>0</v>
      </c>
      <c r="LZ110">
        <v>8</v>
      </c>
      <c r="MA110">
        <v>7</v>
      </c>
      <c r="ME110">
        <v>1</v>
      </c>
      <c r="MF110">
        <v>4</v>
      </c>
      <c r="MG110">
        <v>47</v>
      </c>
      <c r="MH110">
        <v>29</v>
      </c>
      <c r="MI110">
        <v>3</v>
      </c>
      <c r="MJ110">
        <v>3</v>
      </c>
      <c r="MK110">
        <v>22</v>
      </c>
      <c r="MN110">
        <v>13</v>
      </c>
      <c r="MO110">
        <v>762</v>
      </c>
      <c r="MQ110">
        <v>19</v>
      </c>
      <c r="MZ110">
        <v>4</v>
      </c>
      <c r="NM110">
        <v>6</v>
      </c>
      <c r="NR110">
        <v>97</v>
      </c>
      <c r="NT110">
        <v>2</v>
      </c>
      <c r="OA110">
        <v>0</v>
      </c>
      <c r="OB110">
        <v>0</v>
      </c>
      <c r="OE110">
        <v>1</v>
      </c>
      <c r="OI110">
        <v>8</v>
      </c>
      <c r="ON110">
        <v>0</v>
      </c>
      <c r="OO110">
        <v>13559</v>
      </c>
      <c r="OQ110">
        <v>24731</v>
      </c>
      <c r="OU110">
        <v>446</v>
      </c>
      <c r="OV110">
        <v>4996</v>
      </c>
      <c r="OX110">
        <v>128</v>
      </c>
      <c r="PB110">
        <v>68</v>
      </c>
      <c r="PF110">
        <v>114</v>
      </c>
      <c r="PI110">
        <v>44041</v>
      </c>
      <c r="PM110" t="str">
        <f>IFERROR(VLOOKUP($A110&amp;"",Key!$A:$C,3,FALSE),"")</f>
        <v>ISIC 28</v>
      </c>
    </row>
    <row r="111" spans="1:429" x14ac:dyDescent="0.25">
      <c r="A111">
        <v>333991</v>
      </c>
      <c r="B111" t="s">
        <v>246</v>
      </c>
      <c r="P111">
        <v>911</v>
      </c>
      <c r="AA111">
        <v>26</v>
      </c>
      <c r="AB111">
        <v>9</v>
      </c>
      <c r="AC111">
        <v>13</v>
      </c>
      <c r="AD111">
        <v>2</v>
      </c>
      <c r="AE111">
        <v>3</v>
      </c>
      <c r="AF111">
        <v>2</v>
      </c>
      <c r="AG111">
        <v>37</v>
      </c>
      <c r="AI111">
        <v>31</v>
      </c>
      <c r="AJ111">
        <v>2</v>
      </c>
      <c r="AK111">
        <v>6</v>
      </c>
      <c r="AL111">
        <v>13</v>
      </c>
      <c r="DD111">
        <v>4</v>
      </c>
      <c r="KW111">
        <v>2</v>
      </c>
      <c r="KX111">
        <v>14</v>
      </c>
      <c r="LZ111">
        <v>2</v>
      </c>
      <c r="NP111">
        <v>2</v>
      </c>
      <c r="NQ111">
        <v>1</v>
      </c>
      <c r="OI111">
        <v>107</v>
      </c>
      <c r="OK111">
        <v>26</v>
      </c>
      <c r="OO111">
        <v>1211</v>
      </c>
      <c r="OP111">
        <v>11887</v>
      </c>
      <c r="OQ111">
        <v>6988</v>
      </c>
      <c r="OU111">
        <v>97</v>
      </c>
      <c r="OV111">
        <v>701</v>
      </c>
      <c r="OX111">
        <v>1</v>
      </c>
      <c r="PF111">
        <v>356</v>
      </c>
      <c r="PI111">
        <v>21241</v>
      </c>
      <c r="PM111" t="str">
        <f>IFERROR(VLOOKUP($A111&amp;"",Key!$A:$C,3,FALSE),"")</f>
        <v>ISIC 28</v>
      </c>
    </row>
    <row r="112" spans="1:429" x14ac:dyDescent="0.25">
      <c r="A112">
        <v>333993</v>
      </c>
      <c r="B112" t="s">
        <v>247</v>
      </c>
      <c r="DC112">
        <v>5</v>
      </c>
      <c r="DE112">
        <v>1796</v>
      </c>
      <c r="HI112">
        <v>1640</v>
      </c>
      <c r="IX112">
        <v>1214</v>
      </c>
      <c r="OO112">
        <v>4655</v>
      </c>
      <c r="OQ112">
        <v>6276</v>
      </c>
      <c r="OU112">
        <v>12</v>
      </c>
      <c r="OV112">
        <v>892</v>
      </c>
      <c r="PB112">
        <v>2</v>
      </c>
      <c r="PI112">
        <v>11838</v>
      </c>
      <c r="PM112" t="str">
        <f>IFERROR(VLOOKUP($A112&amp;"",Key!$A:$C,3,FALSE),"")</f>
        <v>ISIC 28</v>
      </c>
    </row>
    <row r="113" spans="1:429" x14ac:dyDescent="0.25">
      <c r="A113">
        <v>333994</v>
      </c>
      <c r="B113" t="s">
        <v>248</v>
      </c>
      <c r="AB113">
        <v>56</v>
      </c>
      <c r="BX113">
        <v>22</v>
      </c>
      <c r="BZ113">
        <v>221</v>
      </c>
      <c r="CF113">
        <v>10</v>
      </c>
      <c r="DF113">
        <v>533</v>
      </c>
      <c r="OD113">
        <v>31</v>
      </c>
      <c r="OE113">
        <v>44</v>
      </c>
      <c r="OO113">
        <v>918</v>
      </c>
      <c r="OQ113">
        <v>1683</v>
      </c>
      <c r="OU113">
        <v>15</v>
      </c>
      <c r="OV113">
        <v>1230</v>
      </c>
      <c r="PF113">
        <v>25</v>
      </c>
      <c r="PI113">
        <v>3871</v>
      </c>
      <c r="PM113" t="str">
        <f>IFERROR(VLOOKUP($A113&amp;"",Key!$A:$C,3,FALSE),"")</f>
        <v>ISIC 28</v>
      </c>
    </row>
    <row r="114" spans="1:429" x14ac:dyDescent="0.25">
      <c r="A114" t="s">
        <v>584</v>
      </c>
      <c r="B114" t="s">
        <v>249</v>
      </c>
      <c r="C114">
        <v>1</v>
      </c>
      <c r="D114">
        <v>4</v>
      </c>
      <c r="E114">
        <v>1</v>
      </c>
      <c r="G114">
        <v>0</v>
      </c>
      <c r="H114">
        <v>1</v>
      </c>
      <c r="I114">
        <v>4</v>
      </c>
      <c r="K114">
        <v>0</v>
      </c>
      <c r="L114">
        <v>0</v>
      </c>
      <c r="P114">
        <v>461</v>
      </c>
      <c r="R114">
        <v>16</v>
      </c>
      <c r="S114">
        <v>60</v>
      </c>
      <c r="V114">
        <v>68</v>
      </c>
      <c r="W114">
        <v>112</v>
      </c>
      <c r="X114">
        <v>32</v>
      </c>
      <c r="Y114">
        <v>1</v>
      </c>
      <c r="AA114">
        <v>132</v>
      </c>
      <c r="AB114">
        <v>482</v>
      </c>
      <c r="AC114">
        <v>59</v>
      </c>
      <c r="AD114">
        <v>3</v>
      </c>
      <c r="AE114">
        <v>476</v>
      </c>
      <c r="AF114">
        <v>20</v>
      </c>
      <c r="AG114">
        <v>104</v>
      </c>
      <c r="AH114">
        <v>3077</v>
      </c>
      <c r="AI114">
        <v>43</v>
      </c>
      <c r="AJ114">
        <v>16</v>
      </c>
      <c r="AK114">
        <v>79</v>
      </c>
      <c r="AL114">
        <v>29</v>
      </c>
      <c r="AM114">
        <v>3</v>
      </c>
      <c r="AN114">
        <v>6</v>
      </c>
      <c r="AO114">
        <v>13</v>
      </c>
      <c r="AP114">
        <v>19</v>
      </c>
      <c r="AQ114">
        <v>6</v>
      </c>
      <c r="AR114">
        <v>9</v>
      </c>
      <c r="AS114">
        <v>2</v>
      </c>
      <c r="AT114">
        <v>8</v>
      </c>
      <c r="AU114">
        <v>2</v>
      </c>
      <c r="AV114">
        <v>3</v>
      </c>
      <c r="AW114">
        <v>2</v>
      </c>
      <c r="AX114">
        <v>8</v>
      </c>
      <c r="AY114">
        <v>1</v>
      </c>
      <c r="AZ114">
        <v>1</v>
      </c>
      <c r="BA114">
        <v>2</v>
      </c>
      <c r="BB114">
        <v>2</v>
      </c>
      <c r="BC114">
        <v>4</v>
      </c>
      <c r="BD114">
        <v>6</v>
      </c>
      <c r="BE114">
        <v>0</v>
      </c>
      <c r="BF114">
        <v>1</v>
      </c>
      <c r="BG114">
        <v>17</v>
      </c>
      <c r="BH114">
        <v>1</v>
      </c>
      <c r="BI114">
        <v>1</v>
      </c>
      <c r="BJ114">
        <v>3</v>
      </c>
      <c r="BK114">
        <v>9</v>
      </c>
      <c r="BL114">
        <v>6</v>
      </c>
      <c r="BM114">
        <v>1</v>
      </c>
      <c r="BN114">
        <v>1</v>
      </c>
      <c r="BO114">
        <v>1</v>
      </c>
      <c r="BP114">
        <v>4</v>
      </c>
      <c r="BQ114">
        <v>168</v>
      </c>
      <c r="BR114">
        <v>54</v>
      </c>
      <c r="BS114">
        <v>52</v>
      </c>
      <c r="BT114">
        <v>47</v>
      </c>
      <c r="BU114">
        <v>9</v>
      </c>
      <c r="BV114">
        <v>0</v>
      </c>
      <c r="BW114">
        <v>1</v>
      </c>
      <c r="BX114">
        <v>43</v>
      </c>
      <c r="BY114">
        <v>23</v>
      </c>
      <c r="BZ114">
        <v>166</v>
      </c>
      <c r="CA114">
        <v>0</v>
      </c>
      <c r="CB114">
        <v>5</v>
      </c>
      <c r="CC114">
        <v>3</v>
      </c>
      <c r="CD114">
        <v>1</v>
      </c>
      <c r="CE114">
        <v>1</v>
      </c>
      <c r="CF114">
        <v>7</v>
      </c>
      <c r="CG114">
        <v>75</v>
      </c>
      <c r="CH114">
        <v>12</v>
      </c>
      <c r="CI114">
        <v>91</v>
      </c>
      <c r="CJ114">
        <v>77</v>
      </c>
      <c r="CK114">
        <v>77</v>
      </c>
      <c r="CL114">
        <v>107</v>
      </c>
      <c r="CM114">
        <v>0</v>
      </c>
      <c r="CN114">
        <v>0</v>
      </c>
      <c r="CO114">
        <v>35</v>
      </c>
      <c r="CP114">
        <v>1</v>
      </c>
      <c r="CQ114">
        <v>18</v>
      </c>
      <c r="CR114">
        <v>1</v>
      </c>
      <c r="CS114">
        <v>8</v>
      </c>
      <c r="CT114">
        <v>27</v>
      </c>
      <c r="CU114">
        <v>25</v>
      </c>
      <c r="CV114">
        <v>10</v>
      </c>
      <c r="CW114">
        <v>212</v>
      </c>
      <c r="CX114">
        <v>0</v>
      </c>
      <c r="CY114">
        <v>1</v>
      </c>
      <c r="CZ114">
        <v>158</v>
      </c>
      <c r="DA114">
        <v>7</v>
      </c>
      <c r="DB114">
        <v>21</v>
      </c>
      <c r="DC114">
        <v>22</v>
      </c>
      <c r="DE114">
        <v>1</v>
      </c>
      <c r="DF114">
        <v>6</v>
      </c>
      <c r="DG114">
        <v>1543</v>
      </c>
      <c r="DH114">
        <v>35</v>
      </c>
      <c r="DJ114">
        <v>0</v>
      </c>
      <c r="DK114">
        <v>0</v>
      </c>
      <c r="DM114">
        <v>0</v>
      </c>
      <c r="DO114">
        <v>0</v>
      </c>
      <c r="DR114">
        <v>0</v>
      </c>
      <c r="DS114">
        <v>1</v>
      </c>
      <c r="DZ114">
        <v>1</v>
      </c>
      <c r="EA114">
        <v>0</v>
      </c>
      <c r="EB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1</v>
      </c>
      <c r="EJ114">
        <v>1</v>
      </c>
      <c r="EK114">
        <v>0</v>
      </c>
      <c r="EM114">
        <v>0</v>
      </c>
      <c r="EN114">
        <v>2</v>
      </c>
      <c r="EP114">
        <v>1</v>
      </c>
      <c r="EQ114">
        <v>20</v>
      </c>
      <c r="ER114">
        <v>72</v>
      </c>
      <c r="ES114">
        <v>44</v>
      </c>
      <c r="ET114">
        <v>201</v>
      </c>
      <c r="EU114">
        <v>16</v>
      </c>
      <c r="EV114">
        <v>0</v>
      </c>
      <c r="EW114">
        <v>2</v>
      </c>
      <c r="EX114">
        <v>120</v>
      </c>
      <c r="EY114">
        <v>39</v>
      </c>
      <c r="EZ114">
        <v>154</v>
      </c>
      <c r="FA114">
        <v>1</v>
      </c>
      <c r="FB114">
        <v>1</v>
      </c>
      <c r="FC114">
        <v>117</v>
      </c>
      <c r="FD114">
        <v>44</v>
      </c>
      <c r="FE114">
        <v>312</v>
      </c>
      <c r="FF114">
        <v>5</v>
      </c>
      <c r="FG114">
        <v>4</v>
      </c>
      <c r="FH114">
        <v>1</v>
      </c>
      <c r="FI114">
        <v>4</v>
      </c>
      <c r="FJ114">
        <v>30</v>
      </c>
      <c r="FK114">
        <v>31</v>
      </c>
      <c r="FL114">
        <v>8</v>
      </c>
      <c r="FN114">
        <v>0</v>
      </c>
      <c r="FP114">
        <v>8</v>
      </c>
      <c r="FQ114">
        <v>4</v>
      </c>
      <c r="FR114">
        <v>2</v>
      </c>
      <c r="FS114">
        <v>2</v>
      </c>
      <c r="FU114">
        <v>3</v>
      </c>
      <c r="FV114">
        <v>6</v>
      </c>
      <c r="FX114">
        <v>2</v>
      </c>
      <c r="FY114">
        <v>1</v>
      </c>
      <c r="GC114">
        <v>2</v>
      </c>
      <c r="GD114">
        <v>1</v>
      </c>
      <c r="GE114">
        <v>1</v>
      </c>
      <c r="GF114">
        <v>1</v>
      </c>
      <c r="GG114">
        <v>3</v>
      </c>
      <c r="GH114">
        <v>70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</v>
      </c>
      <c r="GQ114">
        <v>1</v>
      </c>
      <c r="GR114">
        <v>1</v>
      </c>
      <c r="GS114">
        <v>0</v>
      </c>
      <c r="GU114">
        <v>0</v>
      </c>
      <c r="GW114">
        <v>1</v>
      </c>
      <c r="GX114">
        <v>1</v>
      </c>
      <c r="GY114">
        <v>0</v>
      </c>
      <c r="GZ114">
        <v>0</v>
      </c>
      <c r="HA114">
        <v>0</v>
      </c>
      <c r="HB114">
        <v>0</v>
      </c>
      <c r="HF114">
        <v>0</v>
      </c>
      <c r="HG114">
        <v>1</v>
      </c>
      <c r="HH114">
        <v>0</v>
      </c>
      <c r="HI114">
        <v>0</v>
      </c>
      <c r="HK114">
        <v>2</v>
      </c>
      <c r="HL114">
        <v>1</v>
      </c>
      <c r="HM114">
        <v>0</v>
      </c>
      <c r="HN114">
        <v>0</v>
      </c>
      <c r="HO114">
        <v>0</v>
      </c>
      <c r="HP114">
        <v>0</v>
      </c>
      <c r="HQ114">
        <v>2</v>
      </c>
      <c r="HR114">
        <v>0</v>
      </c>
      <c r="HS114">
        <v>0</v>
      </c>
      <c r="HT114">
        <v>0</v>
      </c>
      <c r="HU114">
        <v>2</v>
      </c>
      <c r="HV114">
        <v>1</v>
      </c>
      <c r="HW114">
        <v>2</v>
      </c>
      <c r="HX114">
        <v>1</v>
      </c>
      <c r="HY114">
        <v>0</v>
      </c>
      <c r="HZ114">
        <v>0</v>
      </c>
      <c r="IB114">
        <v>2</v>
      </c>
      <c r="IC114">
        <v>0</v>
      </c>
      <c r="ID114">
        <v>14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0</v>
      </c>
      <c r="IK114">
        <v>1</v>
      </c>
      <c r="IL114">
        <v>4</v>
      </c>
      <c r="IM114">
        <v>19</v>
      </c>
      <c r="IN114">
        <v>0</v>
      </c>
      <c r="IP114">
        <v>1</v>
      </c>
      <c r="IR114">
        <v>0</v>
      </c>
      <c r="IS114">
        <v>0</v>
      </c>
      <c r="IT114">
        <v>0</v>
      </c>
      <c r="IU114">
        <v>223</v>
      </c>
      <c r="IW114">
        <v>0</v>
      </c>
      <c r="IX114">
        <v>0</v>
      </c>
      <c r="IY114">
        <v>0</v>
      </c>
      <c r="IZ114">
        <v>32</v>
      </c>
      <c r="JA114">
        <v>1</v>
      </c>
      <c r="JB114">
        <v>0</v>
      </c>
      <c r="JD114">
        <v>0</v>
      </c>
      <c r="JE114">
        <v>0</v>
      </c>
      <c r="JF114">
        <v>0</v>
      </c>
      <c r="JG114">
        <v>5</v>
      </c>
      <c r="JH114">
        <v>1</v>
      </c>
      <c r="JI114">
        <v>0</v>
      </c>
      <c r="JJ114">
        <v>1</v>
      </c>
      <c r="JL114">
        <v>0</v>
      </c>
      <c r="JR114">
        <v>0</v>
      </c>
      <c r="KB114">
        <v>0</v>
      </c>
      <c r="KD114">
        <v>0</v>
      </c>
      <c r="KF114">
        <v>3</v>
      </c>
      <c r="KH114">
        <v>6</v>
      </c>
      <c r="KK114">
        <v>0</v>
      </c>
      <c r="KW114">
        <v>2</v>
      </c>
      <c r="KX114">
        <v>11</v>
      </c>
      <c r="LC114">
        <v>1</v>
      </c>
      <c r="LD114">
        <v>1</v>
      </c>
      <c r="LE114">
        <v>1</v>
      </c>
      <c r="LF114">
        <v>0</v>
      </c>
      <c r="LM114">
        <v>0</v>
      </c>
      <c r="LO114">
        <v>85</v>
      </c>
      <c r="LR114">
        <v>1</v>
      </c>
      <c r="LV114">
        <v>0</v>
      </c>
      <c r="LW114">
        <v>0</v>
      </c>
      <c r="LX114">
        <v>1</v>
      </c>
      <c r="LZ114">
        <v>1</v>
      </c>
      <c r="MD114">
        <v>3</v>
      </c>
      <c r="MF114">
        <v>42</v>
      </c>
      <c r="MH114">
        <v>7</v>
      </c>
      <c r="MK114">
        <v>0</v>
      </c>
      <c r="MM114">
        <v>34</v>
      </c>
      <c r="MN114">
        <v>0</v>
      </c>
      <c r="MO114">
        <v>13</v>
      </c>
      <c r="MQ114">
        <v>0</v>
      </c>
      <c r="MS114">
        <v>147</v>
      </c>
      <c r="MT114">
        <v>0</v>
      </c>
      <c r="MU114">
        <v>4</v>
      </c>
      <c r="MV114">
        <v>6</v>
      </c>
      <c r="MY114">
        <v>20</v>
      </c>
      <c r="MZ114">
        <v>20</v>
      </c>
      <c r="NO114">
        <v>1</v>
      </c>
      <c r="NP114">
        <v>14</v>
      </c>
      <c r="NT114">
        <v>1584</v>
      </c>
      <c r="NU114">
        <v>19</v>
      </c>
      <c r="NZ114">
        <v>0</v>
      </c>
      <c r="OB114">
        <v>1</v>
      </c>
      <c r="OD114">
        <v>6</v>
      </c>
      <c r="OE114">
        <v>10</v>
      </c>
      <c r="OI114">
        <v>1</v>
      </c>
      <c r="OL114">
        <v>26</v>
      </c>
      <c r="OM114">
        <v>3</v>
      </c>
      <c r="ON114">
        <v>143</v>
      </c>
      <c r="OO114">
        <v>12462</v>
      </c>
      <c r="OP114">
        <v>1077</v>
      </c>
      <c r="OQ114">
        <v>18919</v>
      </c>
      <c r="OU114">
        <v>45</v>
      </c>
      <c r="OV114">
        <v>13582</v>
      </c>
      <c r="OX114">
        <v>23</v>
      </c>
      <c r="PB114">
        <v>6</v>
      </c>
      <c r="PF114">
        <v>84</v>
      </c>
      <c r="PI114">
        <v>46198</v>
      </c>
      <c r="PM114" t="str">
        <f>IFERROR(VLOOKUP($A114&amp;"",Key!$A:$C,3,FALSE),"")</f>
        <v>ISIC 28</v>
      </c>
    </row>
    <row r="115" spans="1:429" x14ac:dyDescent="0.25">
      <c r="A115" t="s">
        <v>585</v>
      </c>
      <c r="B115" t="s">
        <v>250</v>
      </c>
      <c r="AD115">
        <v>5</v>
      </c>
      <c r="AG115">
        <v>32</v>
      </c>
      <c r="AK115">
        <v>16</v>
      </c>
      <c r="BP115">
        <v>24</v>
      </c>
      <c r="BX115">
        <v>168</v>
      </c>
      <c r="CC115">
        <v>78</v>
      </c>
      <c r="CF115">
        <v>46</v>
      </c>
      <c r="CG115">
        <v>298</v>
      </c>
      <c r="CH115">
        <v>127</v>
      </c>
      <c r="CI115">
        <v>530</v>
      </c>
      <c r="CJ115">
        <v>257</v>
      </c>
      <c r="CK115">
        <v>97</v>
      </c>
      <c r="CL115">
        <v>567</v>
      </c>
      <c r="CO115">
        <v>139</v>
      </c>
      <c r="CQ115">
        <v>9</v>
      </c>
      <c r="CR115">
        <v>6</v>
      </c>
      <c r="CS115">
        <v>29</v>
      </c>
      <c r="CT115">
        <v>113</v>
      </c>
      <c r="CU115">
        <v>121</v>
      </c>
      <c r="CV115">
        <v>73</v>
      </c>
      <c r="CW115">
        <v>6</v>
      </c>
      <c r="CX115">
        <v>6</v>
      </c>
      <c r="CY115">
        <v>5</v>
      </c>
      <c r="CZ115">
        <v>111</v>
      </c>
      <c r="DA115">
        <v>60</v>
      </c>
      <c r="DB115">
        <v>235</v>
      </c>
      <c r="DC115">
        <v>784</v>
      </c>
      <c r="DE115">
        <v>46</v>
      </c>
      <c r="DF115">
        <v>34</v>
      </c>
      <c r="DG115">
        <v>245</v>
      </c>
      <c r="DH115">
        <v>1868</v>
      </c>
      <c r="EQ115">
        <v>263</v>
      </c>
      <c r="ER115">
        <v>1949</v>
      </c>
      <c r="ES115">
        <v>151</v>
      </c>
      <c r="ET115">
        <v>154</v>
      </c>
      <c r="EU115">
        <v>87</v>
      </c>
      <c r="EW115">
        <v>49</v>
      </c>
      <c r="EX115">
        <v>385</v>
      </c>
      <c r="EY115">
        <v>673</v>
      </c>
      <c r="EZ115">
        <v>522</v>
      </c>
      <c r="FB115">
        <v>147</v>
      </c>
      <c r="FC115">
        <v>843</v>
      </c>
      <c r="FD115">
        <v>593</v>
      </c>
      <c r="FE115">
        <v>1680</v>
      </c>
      <c r="FF115">
        <v>545</v>
      </c>
      <c r="FG115">
        <v>34</v>
      </c>
      <c r="FH115">
        <v>37</v>
      </c>
      <c r="FI115">
        <v>17</v>
      </c>
      <c r="FJ115">
        <v>129</v>
      </c>
      <c r="FK115">
        <v>63</v>
      </c>
      <c r="GH115">
        <v>3</v>
      </c>
      <c r="IB115">
        <v>790</v>
      </c>
      <c r="JN115">
        <v>0</v>
      </c>
      <c r="JO115">
        <v>0</v>
      </c>
      <c r="JV115">
        <v>9</v>
      </c>
      <c r="KG115">
        <v>72</v>
      </c>
      <c r="KJ115">
        <v>0</v>
      </c>
      <c r="KK115">
        <v>2</v>
      </c>
      <c r="KM115">
        <v>23</v>
      </c>
      <c r="LZ115">
        <v>12</v>
      </c>
      <c r="NM115">
        <v>100</v>
      </c>
      <c r="NT115">
        <v>86</v>
      </c>
      <c r="OD115">
        <v>516</v>
      </c>
      <c r="OE115">
        <v>24</v>
      </c>
      <c r="ON115">
        <v>5</v>
      </c>
      <c r="OO115">
        <v>16097</v>
      </c>
      <c r="OQ115">
        <v>452</v>
      </c>
      <c r="OU115">
        <v>132</v>
      </c>
      <c r="OV115">
        <v>3118</v>
      </c>
      <c r="OX115">
        <v>38</v>
      </c>
      <c r="PI115">
        <v>19837</v>
      </c>
      <c r="PM115" t="str">
        <f>IFERROR(VLOOKUP($A115&amp;"",Key!$A:$C,3,FALSE),"")</f>
        <v>ISIC 28</v>
      </c>
    </row>
    <row r="116" spans="1:429" x14ac:dyDescent="0.25">
      <c r="A116">
        <v>334111</v>
      </c>
      <c r="B116" t="s">
        <v>251</v>
      </c>
      <c r="H116">
        <v>72</v>
      </c>
      <c r="CO116">
        <v>23</v>
      </c>
      <c r="DI116">
        <v>42</v>
      </c>
      <c r="DK116">
        <v>542</v>
      </c>
      <c r="DM116">
        <v>16</v>
      </c>
      <c r="EQ116">
        <v>103</v>
      </c>
      <c r="ER116">
        <v>692</v>
      </c>
      <c r="ES116">
        <v>23</v>
      </c>
      <c r="LS116">
        <v>2</v>
      </c>
      <c r="LT116">
        <v>2</v>
      </c>
      <c r="LU116">
        <v>2</v>
      </c>
      <c r="MF116">
        <v>131</v>
      </c>
      <c r="MR116">
        <v>44</v>
      </c>
      <c r="OO116">
        <v>1694</v>
      </c>
      <c r="OP116">
        <v>34107</v>
      </c>
      <c r="OQ116">
        <v>47063</v>
      </c>
      <c r="OU116">
        <v>334</v>
      </c>
      <c r="OV116">
        <v>7137</v>
      </c>
      <c r="OX116">
        <v>1918</v>
      </c>
      <c r="PB116">
        <v>1724</v>
      </c>
      <c r="PF116">
        <v>5194</v>
      </c>
      <c r="PI116">
        <v>99171</v>
      </c>
      <c r="PM116" t="str">
        <f>IFERROR(VLOOKUP($A116&amp;"",Key!$A:$C,3,FALSE),"")</f>
        <v>ISIC 26</v>
      </c>
    </row>
    <row r="117" spans="1:429" x14ac:dyDescent="0.25">
      <c r="A117">
        <v>334112</v>
      </c>
      <c r="B117" t="s">
        <v>252</v>
      </c>
      <c r="BP117">
        <v>0</v>
      </c>
      <c r="CI117">
        <v>1</v>
      </c>
      <c r="CJ117">
        <v>1</v>
      </c>
      <c r="CL117">
        <v>1</v>
      </c>
      <c r="CO117">
        <v>0</v>
      </c>
      <c r="CQ117">
        <v>1</v>
      </c>
      <c r="CU117">
        <v>0</v>
      </c>
      <c r="CV117">
        <v>0</v>
      </c>
      <c r="DB117">
        <v>1</v>
      </c>
      <c r="DG117">
        <v>1</v>
      </c>
      <c r="DI117">
        <v>11</v>
      </c>
      <c r="DJ117">
        <v>315</v>
      </c>
      <c r="DK117">
        <v>10</v>
      </c>
      <c r="DL117">
        <v>0</v>
      </c>
      <c r="DM117">
        <v>5</v>
      </c>
      <c r="DN117">
        <v>0</v>
      </c>
      <c r="DR117">
        <v>1234</v>
      </c>
      <c r="DS117">
        <v>49</v>
      </c>
      <c r="DY117">
        <v>3</v>
      </c>
      <c r="DZ117">
        <v>12</v>
      </c>
      <c r="EQ117">
        <v>0</v>
      </c>
      <c r="ER117">
        <v>0</v>
      </c>
      <c r="ES117">
        <v>0</v>
      </c>
      <c r="EX117">
        <v>0</v>
      </c>
      <c r="EY117">
        <v>0</v>
      </c>
      <c r="EZ117">
        <v>0</v>
      </c>
      <c r="FC117">
        <v>1</v>
      </c>
      <c r="FD117">
        <v>0</v>
      </c>
      <c r="FE117">
        <v>0</v>
      </c>
      <c r="FF117">
        <v>2</v>
      </c>
      <c r="FQ117">
        <v>0</v>
      </c>
      <c r="FR117">
        <v>0</v>
      </c>
      <c r="GH117">
        <v>0</v>
      </c>
      <c r="IB117">
        <v>0</v>
      </c>
      <c r="JL117">
        <v>0</v>
      </c>
      <c r="JO117">
        <v>0</v>
      </c>
      <c r="KD117">
        <v>0</v>
      </c>
      <c r="KE117">
        <v>0</v>
      </c>
      <c r="KH117">
        <v>0</v>
      </c>
      <c r="KK117">
        <v>1</v>
      </c>
      <c r="KN117">
        <v>0</v>
      </c>
      <c r="KO117">
        <v>1</v>
      </c>
      <c r="KP117">
        <v>0</v>
      </c>
      <c r="KQ117">
        <v>0</v>
      </c>
      <c r="KX117">
        <v>0</v>
      </c>
      <c r="KZ117">
        <v>18</v>
      </c>
      <c r="LC117">
        <v>8</v>
      </c>
      <c r="LD117">
        <v>7</v>
      </c>
      <c r="LE117">
        <v>7</v>
      </c>
      <c r="LF117">
        <v>1</v>
      </c>
      <c r="LR117">
        <v>0</v>
      </c>
      <c r="LS117">
        <v>1</v>
      </c>
      <c r="LT117">
        <v>0</v>
      </c>
      <c r="LU117">
        <v>111</v>
      </c>
      <c r="LW117">
        <v>19</v>
      </c>
      <c r="LX117">
        <v>26</v>
      </c>
      <c r="MB117">
        <v>1</v>
      </c>
      <c r="ME117">
        <v>7</v>
      </c>
      <c r="MF117">
        <v>1</v>
      </c>
      <c r="MG117">
        <v>2</v>
      </c>
      <c r="MH117">
        <v>7</v>
      </c>
      <c r="MK117">
        <v>9</v>
      </c>
      <c r="MN117">
        <v>1</v>
      </c>
      <c r="MR117">
        <v>2</v>
      </c>
      <c r="MZ117">
        <v>8</v>
      </c>
      <c r="NL117">
        <v>0</v>
      </c>
      <c r="NS117">
        <v>1</v>
      </c>
      <c r="NV117">
        <v>0</v>
      </c>
      <c r="OD117">
        <v>42</v>
      </c>
      <c r="OE117">
        <v>10</v>
      </c>
      <c r="OI117">
        <v>71</v>
      </c>
      <c r="OJ117">
        <v>7</v>
      </c>
      <c r="OK117">
        <v>9</v>
      </c>
      <c r="OO117">
        <v>2031</v>
      </c>
      <c r="OP117">
        <v>4746</v>
      </c>
      <c r="OQ117">
        <v>4775</v>
      </c>
      <c r="OU117">
        <v>-583</v>
      </c>
      <c r="OV117">
        <v>2223</v>
      </c>
      <c r="OX117">
        <v>265</v>
      </c>
      <c r="PB117">
        <v>21</v>
      </c>
      <c r="PF117">
        <v>393</v>
      </c>
      <c r="PI117">
        <v>13872</v>
      </c>
      <c r="PM117" t="str">
        <f>IFERROR(VLOOKUP($A117&amp;"",Key!$A:$C,3,FALSE),"")</f>
        <v>ISIC 26</v>
      </c>
    </row>
    <row r="118" spans="1:429" x14ac:dyDescent="0.25">
      <c r="A118">
        <v>334118</v>
      </c>
      <c r="B118" t="s">
        <v>253</v>
      </c>
      <c r="D118">
        <v>2</v>
      </c>
      <c r="E118">
        <v>1</v>
      </c>
      <c r="F118">
        <v>1</v>
      </c>
      <c r="Q118">
        <v>12</v>
      </c>
      <c r="T118">
        <v>2</v>
      </c>
      <c r="U118">
        <v>1</v>
      </c>
      <c r="V118">
        <v>12</v>
      </c>
      <c r="W118">
        <v>47</v>
      </c>
      <c r="X118">
        <v>13</v>
      </c>
      <c r="AA118">
        <v>124</v>
      </c>
      <c r="AB118">
        <v>151</v>
      </c>
      <c r="AC118">
        <v>42</v>
      </c>
      <c r="AD118">
        <v>7</v>
      </c>
      <c r="AE118">
        <v>4</v>
      </c>
      <c r="AF118">
        <v>7</v>
      </c>
      <c r="AG118">
        <v>65</v>
      </c>
      <c r="AH118">
        <v>16</v>
      </c>
      <c r="AI118">
        <v>9</v>
      </c>
      <c r="AJ118">
        <v>10</v>
      </c>
      <c r="AK118">
        <v>59</v>
      </c>
      <c r="AL118">
        <v>34</v>
      </c>
      <c r="AM118">
        <v>16</v>
      </c>
      <c r="AN118">
        <v>5</v>
      </c>
      <c r="AO118">
        <v>5</v>
      </c>
      <c r="AP118">
        <v>5</v>
      </c>
      <c r="AQ118">
        <v>1</v>
      </c>
      <c r="AR118">
        <v>13</v>
      </c>
      <c r="AT118">
        <v>16</v>
      </c>
      <c r="AU118">
        <v>1</v>
      </c>
      <c r="AV118">
        <v>6</v>
      </c>
      <c r="AY118">
        <v>2</v>
      </c>
      <c r="AZ118">
        <v>1</v>
      </c>
      <c r="BA118">
        <v>3</v>
      </c>
      <c r="BB118">
        <v>2</v>
      </c>
      <c r="BD118">
        <v>3</v>
      </c>
      <c r="BH118">
        <v>11</v>
      </c>
      <c r="BI118">
        <v>3</v>
      </c>
      <c r="BJ118">
        <v>1</v>
      </c>
      <c r="BK118">
        <v>3</v>
      </c>
      <c r="BL118">
        <v>11</v>
      </c>
      <c r="BM118">
        <v>4</v>
      </c>
      <c r="BN118">
        <v>1</v>
      </c>
      <c r="BO118">
        <v>1</v>
      </c>
      <c r="BP118">
        <v>5</v>
      </c>
      <c r="BQ118">
        <v>17</v>
      </c>
      <c r="BR118">
        <v>12</v>
      </c>
      <c r="BS118">
        <v>1</v>
      </c>
      <c r="BT118">
        <v>2</v>
      </c>
      <c r="BU118">
        <v>2</v>
      </c>
      <c r="BV118">
        <v>5</v>
      </c>
      <c r="BW118">
        <v>0</v>
      </c>
      <c r="BX118">
        <v>7</v>
      </c>
      <c r="BY118">
        <v>7</v>
      </c>
      <c r="BZ118">
        <v>9</v>
      </c>
      <c r="CB118">
        <v>2</v>
      </c>
      <c r="CD118">
        <v>1</v>
      </c>
      <c r="CI118">
        <v>1</v>
      </c>
      <c r="CJ118">
        <v>2</v>
      </c>
      <c r="CK118">
        <v>2</v>
      </c>
      <c r="CL118">
        <v>5</v>
      </c>
      <c r="CM118">
        <v>5</v>
      </c>
      <c r="CO118">
        <v>42</v>
      </c>
      <c r="CP118">
        <v>2</v>
      </c>
      <c r="CQ118">
        <v>2</v>
      </c>
      <c r="CU118">
        <v>1</v>
      </c>
      <c r="CV118">
        <v>1</v>
      </c>
      <c r="CY118">
        <v>1</v>
      </c>
      <c r="DA118">
        <v>2</v>
      </c>
      <c r="DB118">
        <v>1</v>
      </c>
      <c r="DE118">
        <v>1</v>
      </c>
      <c r="DG118">
        <v>8</v>
      </c>
      <c r="DI118">
        <v>351</v>
      </c>
      <c r="DJ118">
        <v>54</v>
      </c>
      <c r="DK118">
        <v>823</v>
      </c>
      <c r="DL118">
        <v>51</v>
      </c>
      <c r="DM118">
        <v>117</v>
      </c>
      <c r="DN118">
        <v>16</v>
      </c>
      <c r="DO118">
        <v>271</v>
      </c>
      <c r="DP118">
        <v>93</v>
      </c>
      <c r="DQ118">
        <v>18</v>
      </c>
      <c r="DS118">
        <v>788</v>
      </c>
      <c r="DT118">
        <v>69</v>
      </c>
      <c r="DU118">
        <v>55</v>
      </c>
      <c r="DV118">
        <v>61</v>
      </c>
      <c r="DW118">
        <v>147</v>
      </c>
      <c r="DX118">
        <v>67</v>
      </c>
      <c r="DY118">
        <v>138</v>
      </c>
      <c r="DZ118">
        <v>145</v>
      </c>
      <c r="EQ118">
        <v>19</v>
      </c>
      <c r="ER118">
        <v>147</v>
      </c>
      <c r="ES118">
        <v>29</v>
      </c>
      <c r="EY118">
        <v>1</v>
      </c>
      <c r="FC118">
        <v>6</v>
      </c>
      <c r="FD118">
        <v>3</v>
      </c>
      <c r="FF118">
        <v>3</v>
      </c>
      <c r="FK118">
        <v>5</v>
      </c>
      <c r="FL118">
        <v>2</v>
      </c>
      <c r="FM118">
        <v>1</v>
      </c>
      <c r="FP118">
        <v>6</v>
      </c>
      <c r="FR118">
        <v>1</v>
      </c>
      <c r="FT118">
        <v>1</v>
      </c>
      <c r="FU118">
        <v>2</v>
      </c>
      <c r="FV118">
        <v>10</v>
      </c>
      <c r="FW118">
        <v>1</v>
      </c>
      <c r="FX118">
        <v>5</v>
      </c>
      <c r="FY118">
        <v>4</v>
      </c>
      <c r="FZ118">
        <v>1</v>
      </c>
      <c r="GB118">
        <v>1</v>
      </c>
      <c r="GC118">
        <v>3</v>
      </c>
      <c r="GD118">
        <v>2</v>
      </c>
      <c r="GG118">
        <v>3</v>
      </c>
      <c r="GH118">
        <v>2</v>
      </c>
      <c r="GL118">
        <v>1</v>
      </c>
      <c r="GP118">
        <v>2</v>
      </c>
      <c r="GR118">
        <v>5</v>
      </c>
      <c r="GU118">
        <v>12</v>
      </c>
      <c r="GW118">
        <v>13</v>
      </c>
      <c r="GX118">
        <v>10</v>
      </c>
      <c r="GY118">
        <v>3</v>
      </c>
      <c r="GZ118">
        <v>5</v>
      </c>
      <c r="HA118">
        <v>4</v>
      </c>
      <c r="HC118">
        <v>2</v>
      </c>
      <c r="HE118">
        <v>6</v>
      </c>
      <c r="HF118">
        <v>7</v>
      </c>
      <c r="HG118">
        <v>2</v>
      </c>
      <c r="HM118">
        <v>1</v>
      </c>
      <c r="HQ118">
        <v>2</v>
      </c>
      <c r="HT118">
        <v>2</v>
      </c>
      <c r="HV118">
        <v>4</v>
      </c>
      <c r="HW118">
        <v>22</v>
      </c>
      <c r="HX118">
        <v>1</v>
      </c>
      <c r="HY118">
        <v>1</v>
      </c>
      <c r="IA118">
        <v>0</v>
      </c>
      <c r="IB118">
        <v>336</v>
      </c>
      <c r="ID118">
        <v>53</v>
      </c>
      <c r="IQ118">
        <v>2</v>
      </c>
      <c r="JA118">
        <v>8</v>
      </c>
      <c r="JD118">
        <v>1</v>
      </c>
      <c r="JE118">
        <v>91</v>
      </c>
      <c r="JF118">
        <v>1</v>
      </c>
      <c r="JG118">
        <v>40</v>
      </c>
      <c r="JH118">
        <v>5</v>
      </c>
      <c r="JJ118">
        <v>5</v>
      </c>
      <c r="JL118">
        <v>0</v>
      </c>
      <c r="JP118">
        <v>15</v>
      </c>
      <c r="JQ118">
        <v>0</v>
      </c>
      <c r="JV118">
        <v>321</v>
      </c>
      <c r="JW118">
        <v>267</v>
      </c>
      <c r="JX118">
        <v>473</v>
      </c>
      <c r="JY118">
        <v>98</v>
      </c>
      <c r="JZ118">
        <v>96</v>
      </c>
      <c r="KA118">
        <v>194</v>
      </c>
      <c r="KB118">
        <v>94</v>
      </c>
      <c r="KC118">
        <v>208</v>
      </c>
      <c r="KD118">
        <v>136</v>
      </c>
      <c r="KH118">
        <v>157</v>
      </c>
      <c r="KI118">
        <v>2</v>
      </c>
      <c r="KJ118">
        <v>5</v>
      </c>
      <c r="KK118">
        <v>116</v>
      </c>
      <c r="KM118">
        <v>95</v>
      </c>
      <c r="KN118">
        <v>44</v>
      </c>
      <c r="KO118">
        <v>52</v>
      </c>
      <c r="KP118">
        <v>111</v>
      </c>
      <c r="KQ118">
        <v>16</v>
      </c>
      <c r="KT118">
        <v>14</v>
      </c>
      <c r="KU118">
        <v>1</v>
      </c>
      <c r="KV118">
        <v>14</v>
      </c>
      <c r="KW118">
        <v>350</v>
      </c>
      <c r="KX118">
        <v>567</v>
      </c>
      <c r="KY118">
        <v>75</v>
      </c>
      <c r="KZ118">
        <v>340</v>
      </c>
      <c r="LA118">
        <v>288</v>
      </c>
      <c r="LB118">
        <v>0</v>
      </c>
      <c r="LC118">
        <v>234</v>
      </c>
      <c r="LD118">
        <v>212</v>
      </c>
      <c r="LE118">
        <v>811</v>
      </c>
      <c r="LF118">
        <v>26</v>
      </c>
      <c r="LI118">
        <v>3</v>
      </c>
      <c r="LJ118">
        <v>856</v>
      </c>
      <c r="LL118">
        <v>0</v>
      </c>
      <c r="LM118">
        <v>922</v>
      </c>
      <c r="LO118">
        <v>11</v>
      </c>
      <c r="LP118">
        <v>18</v>
      </c>
      <c r="LR118">
        <v>872</v>
      </c>
      <c r="LS118">
        <v>106</v>
      </c>
      <c r="LT118">
        <v>138</v>
      </c>
      <c r="LU118">
        <v>294</v>
      </c>
      <c r="LV118">
        <v>390</v>
      </c>
      <c r="LW118">
        <v>556</v>
      </c>
      <c r="LX118">
        <v>961</v>
      </c>
      <c r="LY118">
        <v>146</v>
      </c>
      <c r="LZ118">
        <v>222</v>
      </c>
      <c r="MA118">
        <v>452</v>
      </c>
      <c r="MB118">
        <v>121</v>
      </c>
      <c r="MC118">
        <v>113</v>
      </c>
      <c r="MD118">
        <v>31</v>
      </c>
      <c r="ME118">
        <v>689</v>
      </c>
      <c r="MF118">
        <v>1643</v>
      </c>
      <c r="MG118">
        <v>470</v>
      </c>
      <c r="MH118">
        <v>994</v>
      </c>
      <c r="MI118">
        <v>156</v>
      </c>
      <c r="MJ118">
        <v>101</v>
      </c>
      <c r="MK118">
        <v>278</v>
      </c>
      <c r="ML118">
        <v>21</v>
      </c>
      <c r="MM118">
        <v>108</v>
      </c>
      <c r="MN118">
        <v>153</v>
      </c>
      <c r="MO118">
        <v>229</v>
      </c>
      <c r="MP118">
        <v>57</v>
      </c>
      <c r="MQ118">
        <v>42</v>
      </c>
      <c r="MR118">
        <v>105</v>
      </c>
      <c r="MS118">
        <v>195</v>
      </c>
      <c r="MU118">
        <v>102</v>
      </c>
      <c r="MW118">
        <v>55</v>
      </c>
      <c r="MX118">
        <v>133</v>
      </c>
      <c r="MY118">
        <v>76</v>
      </c>
      <c r="NA118">
        <v>53</v>
      </c>
      <c r="NC118">
        <v>262</v>
      </c>
      <c r="ND118">
        <v>3</v>
      </c>
      <c r="NE118">
        <v>190</v>
      </c>
      <c r="NG118">
        <v>7</v>
      </c>
      <c r="NI118">
        <v>17</v>
      </c>
      <c r="NK118">
        <v>7</v>
      </c>
      <c r="NL118">
        <v>78</v>
      </c>
      <c r="NM118">
        <v>40</v>
      </c>
      <c r="NN118">
        <v>153</v>
      </c>
      <c r="NQ118">
        <v>101</v>
      </c>
      <c r="NR118">
        <v>8</v>
      </c>
      <c r="NS118">
        <v>13</v>
      </c>
      <c r="NT118">
        <v>2</v>
      </c>
      <c r="NV118">
        <v>51</v>
      </c>
      <c r="NW118">
        <v>0</v>
      </c>
      <c r="NY118">
        <v>3</v>
      </c>
      <c r="NZ118">
        <v>82</v>
      </c>
      <c r="OA118">
        <v>196</v>
      </c>
      <c r="OB118">
        <v>21</v>
      </c>
      <c r="OD118">
        <v>373</v>
      </c>
      <c r="OE118">
        <v>328</v>
      </c>
      <c r="OI118">
        <v>937</v>
      </c>
      <c r="OJ118">
        <v>296</v>
      </c>
      <c r="OK118">
        <v>275</v>
      </c>
      <c r="ON118">
        <v>86</v>
      </c>
      <c r="OO118">
        <v>25879</v>
      </c>
      <c r="OP118">
        <v>15170</v>
      </c>
      <c r="OQ118">
        <v>15411</v>
      </c>
      <c r="OU118">
        <v>195</v>
      </c>
      <c r="OV118">
        <v>6060</v>
      </c>
      <c r="OX118">
        <v>175</v>
      </c>
      <c r="PB118">
        <v>152</v>
      </c>
      <c r="PF118">
        <v>1858</v>
      </c>
      <c r="PI118">
        <v>64901</v>
      </c>
      <c r="PM118" t="str">
        <f>IFERROR(VLOOKUP($A118&amp;"",Key!$A:$C,3,FALSE),"")</f>
        <v>ISIC 26</v>
      </c>
    </row>
    <row r="119" spans="1:429" x14ac:dyDescent="0.25">
      <c r="A119">
        <v>334210</v>
      </c>
      <c r="B119" t="s">
        <v>254</v>
      </c>
      <c r="AC119">
        <v>9</v>
      </c>
      <c r="AD119">
        <v>0</v>
      </c>
      <c r="AE119">
        <v>8</v>
      </c>
      <c r="AG119">
        <v>3</v>
      </c>
      <c r="AI119">
        <v>14</v>
      </c>
      <c r="AL119">
        <v>2</v>
      </c>
      <c r="DL119">
        <v>135</v>
      </c>
      <c r="DM119">
        <v>11</v>
      </c>
      <c r="DN119">
        <v>1</v>
      </c>
      <c r="DS119">
        <v>3</v>
      </c>
      <c r="KO119">
        <v>0</v>
      </c>
      <c r="KR119">
        <v>0</v>
      </c>
      <c r="KV119">
        <v>323</v>
      </c>
      <c r="KW119">
        <v>4275</v>
      </c>
      <c r="KX119">
        <v>2328</v>
      </c>
      <c r="KY119">
        <v>698</v>
      </c>
      <c r="KZ119">
        <v>2</v>
      </c>
      <c r="LA119">
        <v>13</v>
      </c>
      <c r="LC119">
        <v>118</v>
      </c>
      <c r="LD119">
        <v>121</v>
      </c>
      <c r="LE119">
        <v>108</v>
      </c>
      <c r="LF119">
        <v>23</v>
      </c>
      <c r="LR119">
        <v>268</v>
      </c>
      <c r="LS119">
        <v>0</v>
      </c>
      <c r="LT119">
        <v>0</v>
      </c>
      <c r="LU119">
        <v>0</v>
      </c>
      <c r="LV119">
        <v>139</v>
      </c>
      <c r="MD119">
        <v>49</v>
      </c>
      <c r="MF119">
        <v>3822</v>
      </c>
      <c r="MP119">
        <v>8</v>
      </c>
      <c r="MS119">
        <v>73</v>
      </c>
      <c r="MZ119">
        <v>66</v>
      </c>
      <c r="NZ119">
        <v>1</v>
      </c>
      <c r="OE119">
        <v>118</v>
      </c>
      <c r="OK119">
        <v>0</v>
      </c>
      <c r="ON119">
        <v>1</v>
      </c>
      <c r="OO119">
        <v>12744</v>
      </c>
      <c r="OP119">
        <v>823</v>
      </c>
      <c r="OQ119">
        <v>9279</v>
      </c>
      <c r="OU119">
        <v>513</v>
      </c>
      <c r="OV119">
        <v>2612</v>
      </c>
      <c r="OX119">
        <v>992</v>
      </c>
      <c r="PB119">
        <v>477</v>
      </c>
      <c r="PF119">
        <v>486</v>
      </c>
      <c r="PI119">
        <v>27925</v>
      </c>
      <c r="PM119" t="str">
        <f>IFERROR(VLOOKUP($A119&amp;"",Key!$A:$C,3,FALSE),"")</f>
        <v>ISIC 26</v>
      </c>
    </row>
    <row r="120" spans="1:429" x14ac:dyDescent="0.25">
      <c r="A120">
        <v>334220</v>
      </c>
      <c r="B120" t="s">
        <v>255</v>
      </c>
      <c r="E120">
        <v>0</v>
      </c>
      <c r="F120">
        <v>0</v>
      </c>
      <c r="H120">
        <v>0</v>
      </c>
      <c r="W120">
        <v>18</v>
      </c>
      <c r="X120">
        <v>4</v>
      </c>
      <c r="AA120">
        <v>130</v>
      </c>
      <c r="AB120">
        <v>1277</v>
      </c>
      <c r="AC120">
        <v>14</v>
      </c>
      <c r="AD120">
        <v>30</v>
      </c>
      <c r="AE120">
        <v>9</v>
      </c>
      <c r="AF120">
        <v>73</v>
      </c>
      <c r="AG120">
        <v>10</v>
      </c>
      <c r="AH120">
        <v>41</v>
      </c>
      <c r="AI120">
        <v>14</v>
      </c>
      <c r="AJ120">
        <v>3</v>
      </c>
      <c r="AK120">
        <v>8</v>
      </c>
      <c r="AL120">
        <v>3</v>
      </c>
      <c r="CM120">
        <v>10</v>
      </c>
      <c r="CO120">
        <v>21</v>
      </c>
      <c r="CV120">
        <v>216</v>
      </c>
      <c r="CZ120">
        <v>10</v>
      </c>
      <c r="DK120">
        <v>18</v>
      </c>
      <c r="DL120">
        <v>1238</v>
      </c>
      <c r="DM120">
        <v>2049</v>
      </c>
      <c r="DN120">
        <v>69</v>
      </c>
      <c r="DO120">
        <v>84</v>
      </c>
      <c r="DP120">
        <v>102</v>
      </c>
      <c r="DQ120">
        <v>114</v>
      </c>
      <c r="DS120">
        <v>2352</v>
      </c>
      <c r="DT120">
        <v>25</v>
      </c>
      <c r="DU120">
        <v>232</v>
      </c>
      <c r="DV120">
        <v>144</v>
      </c>
      <c r="DW120">
        <v>366</v>
      </c>
      <c r="DX120">
        <v>577</v>
      </c>
      <c r="DZ120">
        <v>661</v>
      </c>
      <c r="EP120">
        <v>14</v>
      </c>
      <c r="EY120">
        <v>41</v>
      </c>
      <c r="FE120">
        <v>9780</v>
      </c>
      <c r="FF120">
        <v>0</v>
      </c>
      <c r="FG120">
        <v>271</v>
      </c>
      <c r="FH120">
        <v>1112</v>
      </c>
      <c r="FI120">
        <v>85</v>
      </c>
      <c r="IB120">
        <v>8</v>
      </c>
      <c r="ID120">
        <v>13</v>
      </c>
      <c r="JG120">
        <v>10</v>
      </c>
      <c r="JK120">
        <v>5</v>
      </c>
      <c r="JL120">
        <v>216</v>
      </c>
      <c r="JM120">
        <v>288</v>
      </c>
      <c r="JO120">
        <v>234</v>
      </c>
      <c r="JP120">
        <v>376</v>
      </c>
      <c r="JR120">
        <v>145</v>
      </c>
      <c r="JS120">
        <v>154</v>
      </c>
      <c r="JV120">
        <v>41</v>
      </c>
      <c r="JW120">
        <v>49</v>
      </c>
      <c r="JX120">
        <v>89</v>
      </c>
      <c r="JY120">
        <v>6</v>
      </c>
      <c r="JZ120">
        <v>7</v>
      </c>
      <c r="KA120">
        <v>11</v>
      </c>
      <c r="KB120">
        <v>6</v>
      </c>
      <c r="KC120">
        <v>33</v>
      </c>
      <c r="KD120">
        <v>8</v>
      </c>
      <c r="KH120">
        <v>72</v>
      </c>
      <c r="KI120">
        <v>2</v>
      </c>
      <c r="KJ120">
        <v>1</v>
      </c>
      <c r="KK120">
        <v>0</v>
      </c>
      <c r="KM120">
        <v>50</v>
      </c>
      <c r="KO120">
        <v>177</v>
      </c>
      <c r="KP120">
        <v>346</v>
      </c>
      <c r="KQ120">
        <v>63</v>
      </c>
      <c r="KR120">
        <v>1</v>
      </c>
      <c r="KT120">
        <v>24</v>
      </c>
      <c r="KU120">
        <v>3</v>
      </c>
      <c r="KV120">
        <v>37</v>
      </c>
      <c r="KW120">
        <v>314</v>
      </c>
      <c r="KX120">
        <v>1901</v>
      </c>
      <c r="KY120">
        <v>196</v>
      </c>
      <c r="KZ120">
        <v>2113</v>
      </c>
      <c r="LA120">
        <v>583</v>
      </c>
      <c r="LB120">
        <v>0</v>
      </c>
      <c r="LH120">
        <v>58</v>
      </c>
      <c r="LJ120">
        <v>702</v>
      </c>
      <c r="LL120">
        <v>1</v>
      </c>
      <c r="LM120">
        <v>41</v>
      </c>
      <c r="LO120">
        <v>1</v>
      </c>
      <c r="LQ120">
        <v>71</v>
      </c>
      <c r="LR120">
        <v>181</v>
      </c>
      <c r="LS120">
        <v>6</v>
      </c>
      <c r="LT120">
        <v>120</v>
      </c>
      <c r="LU120">
        <v>19</v>
      </c>
      <c r="LV120">
        <v>69</v>
      </c>
      <c r="LW120">
        <v>66</v>
      </c>
      <c r="LX120">
        <v>562</v>
      </c>
      <c r="LY120">
        <v>12</v>
      </c>
      <c r="LZ120">
        <v>55</v>
      </c>
      <c r="MA120">
        <v>74</v>
      </c>
      <c r="MB120">
        <v>5</v>
      </c>
      <c r="MC120">
        <v>10</v>
      </c>
      <c r="MD120">
        <v>3</v>
      </c>
      <c r="ME120">
        <v>50</v>
      </c>
      <c r="MF120">
        <v>1351</v>
      </c>
      <c r="MG120">
        <v>1553</v>
      </c>
      <c r="MH120">
        <v>399</v>
      </c>
      <c r="MI120">
        <v>57</v>
      </c>
      <c r="MJ120">
        <v>32</v>
      </c>
      <c r="MK120">
        <v>49</v>
      </c>
      <c r="ML120">
        <v>4</v>
      </c>
      <c r="MM120">
        <v>20</v>
      </c>
      <c r="MN120">
        <v>40</v>
      </c>
      <c r="MO120">
        <v>98</v>
      </c>
      <c r="MQ120">
        <v>10</v>
      </c>
      <c r="MR120">
        <v>6</v>
      </c>
      <c r="MS120">
        <v>441</v>
      </c>
      <c r="MU120">
        <v>31</v>
      </c>
      <c r="MY120">
        <v>12</v>
      </c>
      <c r="NC120">
        <v>57</v>
      </c>
      <c r="ND120">
        <v>0</v>
      </c>
      <c r="NE120">
        <v>58</v>
      </c>
      <c r="NG120">
        <v>1</v>
      </c>
      <c r="NI120">
        <v>3</v>
      </c>
      <c r="NL120">
        <v>10</v>
      </c>
      <c r="NM120">
        <v>6</v>
      </c>
      <c r="NN120">
        <v>2</v>
      </c>
      <c r="NQ120">
        <v>2</v>
      </c>
      <c r="NR120">
        <v>94</v>
      </c>
      <c r="NS120">
        <v>732</v>
      </c>
      <c r="NW120">
        <v>0</v>
      </c>
      <c r="NY120">
        <v>0</v>
      </c>
      <c r="NZ120">
        <v>36</v>
      </c>
      <c r="OA120">
        <v>94</v>
      </c>
      <c r="OB120">
        <v>50</v>
      </c>
      <c r="OD120">
        <v>7118</v>
      </c>
      <c r="OE120">
        <v>397</v>
      </c>
      <c r="OI120">
        <v>316</v>
      </c>
      <c r="OO120">
        <v>43993</v>
      </c>
      <c r="OP120">
        <v>28272</v>
      </c>
      <c r="OQ120">
        <v>87439</v>
      </c>
      <c r="OU120">
        <v>1408</v>
      </c>
      <c r="OV120">
        <v>17307</v>
      </c>
      <c r="OX120">
        <v>9121</v>
      </c>
      <c r="PB120">
        <v>7467</v>
      </c>
      <c r="PF120">
        <v>3631</v>
      </c>
      <c r="PI120">
        <v>198637</v>
      </c>
      <c r="PM120" t="str">
        <f>IFERROR(VLOOKUP($A120&amp;"",Key!$A:$C,3,FALSE),"")</f>
        <v>ISIC 26</v>
      </c>
    </row>
    <row r="121" spans="1:429" x14ac:dyDescent="0.25">
      <c r="A121">
        <v>334290</v>
      </c>
      <c r="B121" t="s">
        <v>256</v>
      </c>
      <c r="Q121">
        <v>1</v>
      </c>
      <c r="V121">
        <v>1</v>
      </c>
      <c r="W121">
        <v>5</v>
      </c>
      <c r="X121">
        <v>2</v>
      </c>
      <c r="AA121">
        <v>229</v>
      </c>
      <c r="AB121">
        <v>71</v>
      </c>
      <c r="AC121">
        <v>337</v>
      </c>
      <c r="AD121">
        <v>20</v>
      </c>
      <c r="AE121">
        <v>84</v>
      </c>
      <c r="AF121">
        <v>199</v>
      </c>
      <c r="AG121">
        <v>602</v>
      </c>
      <c r="AH121">
        <v>15</v>
      </c>
      <c r="AI121">
        <v>105</v>
      </c>
      <c r="AJ121">
        <v>20</v>
      </c>
      <c r="AK121">
        <v>63</v>
      </c>
      <c r="AL121">
        <v>1749</v>
      </c>
      <c r="BX121">
        <v>0</v>
      </c>
      <c r="DN121">
        <v>307</v>
      </c>
      <c r="FK121">
        <v>0</v>
      </c>
      <c r="GW121">
        <v>1</v>
      </c>
      <c r="HW121">
        <v>1</v>
      </c>
      <c r="IB121">
        <v>2</v>
      </c>
      <c r="ID121">
        <v>4</v>
      </c>
      <c r="JG121">
        <v>3</v>
      </c>
      <c r="JK121">
        <v>0</v>
      </c>
      <c r="JL121">
        <v>0</v>
      </c>
      <c r="JM121">
        <v>0</v>
      </c>
      <c r="JN121">
        <v>0</v>
      </c>
      <c r="JR121">
        <v>0</v>
      </c>
      <c r="JT121">
        <v>0</v>
      </c>
      <c r="JV121">
        <v>9</v>
      </c>
      <c r="JW121">
        <v>10</v>
      </c>
      <c r="JX121">
        <v>18</v>
      </c>
      <c r="JZ121">
        <v>3</v>
      </c>
      <c r="KA121">
        <v>7</v>
      </c>
      <c r="KB121">
        <v>1</v>
      </c>
      <c r="KC121">
        <v>7</v>
      </c>
      <c r="KF121">
        <v>104</v>
      </c>
      <c r="KH121">
        <v>33</v>
      </c>
      <c r="KI121">
        <v>1</v>
      </c>
      <c r="KK121">
        <v>1</v>
      </c>
      <c r="KM121">
        <v>9</v>
      </c>
      <c r="KO121">
        <v>41</v>
      </c>
      <c r="KP121">
        <v>88</v>
      </c>
      <c r="KQ121">
        <v>13</v>
      </c>
      <c r="KT121">
        <v>11</v>
      </c>
      <c r="KV121">
        <v>11</v>
      </c>
      <c r="KW121">
        <v>76</v>
      </c>
      <c r="KX121">
        <v>453</v>
      </c>
      <c r="KY121">
        <v>55</v>
      </c>
      <c r="KZ121">
        <v>508</v>
      </c>
      <c r="LA121">
        <v>191</v>
      </c>
      <c r="LB121">
        <v>0</v>
      </c>
      <c r="LJ121">
        <v>211</v>
      </c>
      <c r="LL121">
        <v>0</v>
      </c>
      <c r="LM121">
        <v>52</v>
      </c>
      <c r="LN121">
        <v>48</v>
      </c>
      <c r="LR121">
        <v>39</v>
      </c>
      <c r="LT121">
        <v>28</v>
      </c>
      <c r="LU121">
        <v>10</v>
      </c>
      <c r="LV121">
        <v>14</v>
      </c>
      <c r="LW121">
        <v>16</v>
      </c>
      <c r="LX121">
        <v>26</v>
      </c>
      <c r="LY121">
        <v>6</v>
      </c>
      <c r="LZ121">
        <v>21</v>
      </c>
      <c r="MA121">
        <v>1</v>
      </c>
      <c r="MB121">
        <v>3</v>
      </c>
      <c r="MC121">
        <v>4</v>
      </c>
      <c r="MD121">
        <v>1</v>
      </c>
      <c r="ME121">
        <v>27</v>
      </c>
      <c r="MF121">
        <v>549</v>
      </c>
      <c r="MG121">
        <v>315</v>
      </c>
      <c r="MH121">
        <v>88</v>
      </c>
      <c r="MI121">
        <v>12</v>
      </c>
      <c r="MJ121">
        <v>7</v>
      </c>
      <c r="MK121">
        <v>18</v>
      </c>
      <c r="ML121">
        <v>2</v>
      </c>
      <c r="MM121">
        <v>851</v>
      </c>
      <c r="MN121">
        <v>11</v>
      </c>
      <c r="MO121">
        <v>21</v>
      </c>
      <c r="MP121">
        <v>61</v>
      </c>
      <c r="MR121">
        <v>1</v>
      </c>
      <c r="MS121">
        <v>108</v>
      </c>
      <c r="MU121">
        <v>7</v>
      </c>
      <c r="MY121">
        <v>5</v>
      </c>
      <c r="NA121">
        <v>1</v>
      </c>
      <c r="NC121">
        <v>21</v>
      </c>
      <c r="ND121">
        <v>4</v>
      </c>
      <c r="NE121">
        <v>15</v>
      </c>
      <c r="NI121">
        <v>2</v>
      </c>
      <c r="NL121">
        <v>6</v>
      </c>
      <c r="NM121">
        <v>9</v>
      </c>
      <c r="NZ121">
        <v>7</v>
      </c>
      <c r="OA121">
        <v>20</v>
      </c>
      <c r="OB121">
        <v>10</v>
      </c>
      <c r="OK121">
        <v>37</v>
      </c>
      <c r="OO121">
        <v>8165</v>
      </c>
      <c r="OP121">
        <v>18</v>
      </c>
      <c r="OQ121">
        <v>1026</v>
      </c>
      <c r="OU121">
        <v>128</v>
      </c>
      <c r="OV121">
        <v>523</v>
      </c>
      <c r="OX121">
        <v>55</v>
      </c>
      <c r="PB121">
        <v>4</v>
      </c>
      <c r="PF121">
        <v>248</v>
      </c>
      <c r="PI121">
        <v>10167</v>
      </c>
      <c r="PM121" t="str">
        <f>IFERROR(VLOOKUP($A121&amp;"",Key!$A:$C,3,FALSE),"")</f>
        <v>ISIC 26</v>
      </c>
    </row>
    <row r="122" spans="1:429" x14ac:dyDescent="0.25">
      <c r="A122">
        <v>334413</v>
      </c>
      <c r="B122" t="s">
        <v>257</v>
      </c>
      <c r="Q122">
        <v>0</v>
      </c>
      <c r="R122">
        <v>0</v>
      </c>
      <c r="S122">
        <v>0</v>
      </c>
      <c r="T122">
        <v>0</v>
      </c>
      <c r="U122">
        <v>0</v>
      </c>
      <c r="X122">
        <v>4</v>
      </c>
      <c r="Z122">
        <v>0</v>
      </c>
      <c r="AM122">
        <v>190</v>
      </c>
      <c r="AN122">
        <v>215</v>
      </c>
      <c r="AO122">
        <v>125</v>
      </c>
      <c r="AP122">
        <v>172</v>
      </c>
      <c r="AQ122">
        <v>10</v>
      </c>
      <c r="AR122">
        <v>43</v>
      </c>
      <c r="AS122">
        <v>6</v>
      </c>
      <c r="AT122">
        <v>155</v>
      </c>
      <c r="AU122">
        <v>4</v>
      </c>
      <c r="AV122">
        <v>10</v>
      </c>
      <c r="AW122">
        <v>9</v>
      </c>
      <c r="AX122">
        <v>8</v>
      </c>
      <c r="AZ122">
        <v>58</v>
      </c>
      <c r="BA122">
        <v>31</v>
      </c>
      <c r="BB122">
        <v>5</v>
      </c>
      <c r="BC122">
        <v>114</v>
      </c>
      <c r="BD122">
        <v>77</v>
      </c>
      <c r="BE122">
        <v>36</v>
      </c>
      <c r="BF122">
        <v>4</v>
      </c>
      <c r="BG122">
        <v>202</v>
      </c>
      <c r="BH122">
        <v>137</v>
      </c>
      <c r="BI122">
        <v>56</v>
      </c>
      <c r="BJ122">
        <v>17</v>
      </c>
      <c r="BK122">
        <v>20</v>
      </c>
      <c r="BL122">
        <v>27</v>
      </c>
      <c r="BM122">
        <v>65</v>
      </c>
      <c r="BN122">
        <v>64</v>
      </c>
      <c r="BO122">
        <v>58</v>
      </c>
      <c r="BP122">
        <v>66</v>
      </c>
      <c r="BQ122">
        <v>47</v>
      </c>
      <c r="BR122">
        <v>659</v>
      </c>
      <c r="BS122">
        <v>96</v>
      </c>
      <c r="BT122">
        <v>55</v>
      </c>
      <c r="BU122">
        <v>102</v>
      </c>
      <c r="BV122">
        <v>141</v>
      </c>
      <c r="BW122">
        <v>22</v>
      </c>
      <c r="BX122">
        <v>204</v>
      </c>
      <c r="BY122">
        <v>219</v>
      </c>
      <c r="BZ122">
        <v>380</v>
      </c>
      <c r="CA122">
        <v>23</v>
      </c>
      <c r="CB122">
        <v>321</v>
      </c>
      <c r="CC122">
        <v>50</v>
      </c>
      <c r="CD122">
        <v>33</v>
      </c>
      <c r="CE122">
        <v>88</v>
      </c>
      <c r="CF122">
        <v>67</v>
      </c>
      <c r="CG122">
        <v>84</v>
      </c>
      <c r="CH122">
        <v>66</v>
      </c>
      <c r="CI122">
        <v>115</v>
      </c>
      <c r="CJ122">
        <v>286</v>
      </c>
      <c r="CK122">
        <v>49</v>
      </c>
      <c r="CL122">
        <v>43</v>
      </c>
      <c r="CM122">
        <v>110</v>
      </c>
      <c r="CN122">
        <v>90</v>
      </c>
      <c r="CO122">
        <v>228</v>
      </c>
      <c r="CP122">
        <v>23</v>
      </c>
      <c r="CQ122">
        <v>102</v>
      </c>
      <c r="CR122">
        <v>23</v>
      </c>
      <c r="CS122">
        <v>51</v>
      </c>
      <c r="CT122">
        <v>146</v>
      </c>
      <c r="CU122">
        <v>6</v>
      </c>
      <c r="CV122">
        <v>49</v>
      </c>
      <c r="CW122">
        <v>29</v>
      </c>
      <c r="CX122">
        <v>16</v>
      </c>
      <c r="CY122">
        <v>34</v>
      </c>
      <c r="CZ122">
        <v>195</v>
      </c>
      <c r="DA122">
        <v>61</v>
      </c>
      <c r="DB122">
        <v>189</v>
      </c>
      <c r="DC122">
        <v>295</v>
      </c>
      <c r="DD122">
        <v>11</v>
      </c>
      <c r="DE122">
        <v>16</v>
      </c>
      <c r="DF122">
        <v>6</v>
      </c>
      <c r="DG122">
        <v>15</v>
      </c>
      <c r="DH122">
        <v>201</v>
      </c>
      <c r="DI122">
        <v>28</v>
      </c>
      <c r="DJ122">
        <v>99</v>
      </c>
      <c r="DK122">
        <v>139</v>
      </c>
      <c r="DL122">
        <v>3</v>
      </c>
      <c r="DM122">
        <v>361</v>
      </c>
      <c r="DN122">
        <v>19</v>
      </c>
      <c r="DO122">
        <v>5025</v>
      </c>
      <c r="DP122">
        <v>901</v>
      </c>
      <c r="DQ122">
        <v>153</v>
      </c>
      <c r="DR122">
        <v>562</v>
      </c>
      <c r="DS122">
        <v>419</v>
      </c>
      <c r="DT122">
        <v>12</v>
      </c>
      <c r="DU122">
        <v>43</v>
      </c>
      <c r="DV122">
        <v>7</v>
      </c>
      <c r="DW122">
        <v>39</v>
      </c>
      <c r="DX122">
        <v>51</v>
      </c>
      <c r="DY122">
        <v>5</v>
      </c>
      <c r="DZ122">
        <v>142</v>
      </c>
      <c r="EA122">
        <v>10</v>
      </c>
      <c r="EB122">
        <v>2</v>
      </c>
      <c r="EC122">
        <v>3</v>
      </c>
      <c r="ED122">
        <v>53</v>
      </c>
      <c r="EE122">
        <v>21</v>
      </c>
      <c r="EF122">
        <v>71</v>
      </c>
      <c r="EG122">
        <v>24</v>
      </c>
      <c r="EH122">
        <v>107</v>
      </c>
      <c r="EI122">
        <v>25</v>
      </c>
      <c r="EJ122">
        <v>32</v>
      </c>
      <c r="EK122">
        <v>38</v>
      </c>
      <c r="EL122">
        <v>3</v>
      </c>
      <c r="EM122">
        <v>21</v>
      </c>
      <c r="EN122">
        <v>196</v>
      </c>
      <c r="EO122">
        <v>16</v>
      </c>
      <c r="EP122">
        <v>343</v>
      </c>
      <c r="EQ122">
        <v>103</v>
      </c>
      <c r="ER122">
        <v>1205</v>
      </c>
      <c r="ES122">
        <v>70</v>
      </c>
      <c r="ET122">
        <v>91</v>
      </c>
      <c r="EU122">
        <v>19</v>
      </c>
      <c r="EV122">
        <v>4</v>
      </c>
      <c r="EW122">
        <v>116</v>
      </c>
      <c r="EX122">
        <v>323</v>
      </c>
      <c r="EY122">
        <v>1676</v>
      </c>
      <c r="EZ122">
        <v>215</v>
      </c>
      <c r="FA122">
        <v>131</v>
      </c>
      <c r="FB122">
        <v>153</v>
      </c>
      <c r="FC122">
        <v>117</v>
      </c>
      <c r="FD122">
        <v>370</v>
      </c>
      <c r="FE122">
        <v>569</v>
      </c>
      <c r="FF122">
        <v>223</v>
      </c>
      <c r="FG122">
        <v>55</v>
      </c>
      <c r="FH122">
        <v>138</v>
      </c>
      <c r="FI122">
        <v>11</v>
      </c>
      <c r="FJ122">
        <v>18</v>
      </c>
      <c r="FK122">
        <v>124</v>
      </c>
      <c r="FL122">
        <v>100</v>
      </c>
      <c r="FM122">
        <v>20</v>
      </c>
      <c r="FN122">
        <v>1</v>
      </c>
      <c r="FO122">
        <v>34</v>
      </c>
      <c r="FP122">
        <v>133</v>
      </c>
      <c r="FQ122">
        <v>63</v>
      </c>
      <c r="FR122">
        <v>14</v>
      </c>
      <c r="FS122">
        <v>69</v>
      </c>
      <c r="FT122">
        <v>78</v>
      </c>
      <c r="FU122">
        <v>81</v>
      </c>
      <c r="FV122">
        <v>147</v>
      </c>
      <c r="FW122">
        <v>48</v>
      </c>
      <c r="FX122">
        <v>116</v>
      </c>
      <c r="FY122">
        <v>36</v>
      </c>
      <c r="FZ122">
        <v>114</v>
      </c>
      <c r="GA122">
        <v>8</v>
      </c>
      <c r="GB122">
        <v>9</v>
      </c>
      <c r="GC122">
        <v>5</v>
      </c>
      <c r="GD122">
        <v>54</v>
      </c>
      <c r="GE122">
        <v>15</v>
      </c>
      <c r="GF122">
        <v>26</v>
      </c>
      <c r="GG122">
        <v>327</v>
      </c>
      <c r="GH122">
        <v>184</v>
      </c>
      <c r="HG122">
        <v>1741</v>
      </c>
      <c r="HH122">
        <v>114</v>
      </c>
      <c r="HI122">
        <v>21</v>
      </c>
      <c r="HL122">
        <v>10</v>
      </c>
      <c r="HM122">
        <v>24</v>
      </c>
      <c r="HN122">
        <v>36</v>
      </c>
      <c r="HO122">
        <v>35</v>
      </c>
      <c r="HP122">
        <v>25</v>
      </c>
      <c r="HQ122">
        <v>57</v>
      </c>
      <c r="HR122">
        <v>3</v>
      </c>
      <c r="HS122">
        <v>4</v>
      </c>
      <c r="HW122">
        <v>1</v>
      </c>
      <c r="HX122">
        <v>1</v>
      </c>
      <c r="IB122">
        <v>366</v>
      </c>
      <c r="IC122">
        <v>31</v>
      </c>
      <c r="ID122">
        <v>38</v>
      </c>
      <c r="IE122">
        <v>4</v>
      </c>
      <c r="IF122">
        <v>101</v>
      </c>
      <c r="IG122">
        <v>26</v>
      </c>
      <c r="IH122">
        <v>28</v>
      </c>
      <c r="II122">
        <v>21</v>
      </c>
      <c r="IJ122">
        <v>61</v>
      </c>
      <c r="IK122">
        <v>24</v>
      </c>
      <c r="IL122">
        <v>200</v>
      </c>
      <c r="IM122">
        <v>201</v>
      </c>
      <c r="IN122">
        <v>40</v>
      </c>
      <c r="IO122">
        <v>3</v>
      </c>
      <c r="IP122">
        <v>635</v>
      </c>
      <c r="IQ122">
        <v>17</v>
      </c>
      <c r="IR122">
        <v>224</v>
      </c>
      <c r="IS122">
        <v>28</v>
      </c>
      <c r="IT122">
        <v>20</v>
      </c>
      <c r="IU122">
        <v>149</v>
      </c>
      <c r="IV122">
        <v>201</v>
      </c>
      <c r="IW122">
        <v>296</v>
      </c>
      <c r="IX122">
        <v>185</v>
      </c>
      <c r="IY122">
        <v>47</v>
      </c>
      <c r="IZ122">
        <v>287</v>
      </c>
      <c r="JA122">
        <v>311</v>
      </c>
      <c r="JB122">
        <v>95</v>
      </c>
      <c r="JC122">
        <v>28</v>
      </c>
      <c r="JD122">
        <v>79</v>
      </c>
      <c r="JE122">
        <v>33</v>
      </c>
      <c r="JG122">
        <v>28</v>
      </c>
      <c r="JH122">
        <v>91</v>
      </c>
      <c r="JI122">
        <v>30</v>
      </c>
      <c r="JJ122">
        <v>139</v>
      </c>
      <c r="JK122">
        <v>551</v>
      </c>
      <c r="JL122">
        <v>600</v>
      </c>
      <c r="JM122">
        <v>1413</v>
      </c>
      <c r="JN122">
        <v>318</v>
      </c>
      <c r="JO122">
        <v>711</v>
      </c>
      <c r="JP122">
        <v>26156</v>
      </c>
      <c r="JR122">
        <v>7</v>
      </c>
      <c r="JS122">
        <v>626</v>
      </c>
      <c r="JT122">
        <v>110</v>
      </c>
      <c r="JV122">
        <v>147</v>
      </c>
      <c r="JX122">
        <v>37</v>
      </c>
      <c r="JY122">
        <v>12</v>
      </c>
      <c r="JZ122">
        <v>154</v>
      </c>
      <c r="KB122">
        <v>1</v>
      </c>
      <c r="KC122">
        <v>304</v>
      </c>
      <c r="KD122">
        <v>2</v>
      </c>
      <c r="KI122">
        <v>0</v>
      </c>
      <c r="KK122">
        <v>4</v>
      </c>
      <c r="KN122">
        <v>4</v>
      </c>
      <c r="KO122">
        <v>4</v>
      </c>
      <c r="KP122">
        <v>11</v>
      </c>
      <c r="KR122">
        <v>248</v>
      </c>
      <c r="KS122">
        <v>0</v>
      </c>
      <c r="KU122">
        <v>0</v>
      </c>
      <c r="KV122">
        <v>0</v>
      </c>
      <c r="KW122">
        <v>4076</v>
      </c>
      <c r="KX122">
        <v>931</v>
      </c>
      <c r="KY122">
        <v>425</v>
      </c>
      <c r="KZ122">
        <v>181</v>
      </c>
      <c r="LO122">
        <v>11</v>
      </c>
      <c r="LS122">
        <v>418</v>
      </c>
      <c r="LT122">
        <v>1005</v>
      </c>
      <c r="LU122">
        <v>129</v>
      </c>
      <c r="LW122">
        <v>79</v>
      </c>
      <c r="LZ122">
        <v>11</v>
      </c>
      <c r="MB122">
        <v>0</v>
      </c>
      <c r="MC122">
        <v>1</v>
      </c>
      <c r="ME122">
        <v>106</v>
      </c>
      <c r="MM122">
        <v>95</v>
      </c>
      <c r="MO122">
        <v>0</v>
      </c>
      <c r="MQ122">
        <v>0</v>
      </c>
      <c r="MR122">
        <v>57</v>
      </c>
      <c r="MT122">
        <v>0</v>
      </c>
      <c r="MZ122">
        <v>37</v>
      </c>
      <c r="NA122">
        <v>17</v>
      </c>
      <c r="NB122">
        <v>2</v>
      </c>
      <c r="ND122">
        <v>0</v>
      </c>
      <c r="NI122">
        <v>0</v>
      </c>
      <c r="NK122">
        <v>0</v>
      </c>
      <c r="NO122">
        <v>0</v>
      </c>
      <c r="NP122">
        <v>0</v>
      </c>
      <c r="NQ122">
        <v>0</v>
      </c>
      <c r="NR122">
        <v>201</v>
      </c>
      <c r="NS122">
        <v>1040</v>
      </c>
      <c r="NT122">
        <v>8</v>
      </c>
      <c r="NY122">
        <v>0</v>
      </c>
      <c r="OO122">
        <v>69810</v>
      </c>
      <c r="OU122">
        <v>732</v>
      </c>
      <c r="OV122">
        <v>27419</v>
      </c>
      <c r="PI122">
        <v>97961</v>
      </c>
      <c r="PM122" t="str">
        <f>IFERROR(VLOOKUP($A122&amp;"",Key!$A:$C,3,FALSE),"")</f>
        <v>ISIC 26</v>
      </c>
    </row>
    <row r="123" spans="1:429" x14ac:dyDescent="0.25">
      <c r="A123">
        <v>334418</v>
      </c>
      <c r="B123" t="s">
        <v>258</v>
      </c>
      <c r="AM123">
        <v>88</v>
      </c>
      <c r="AN123">
        <v>30</v>
      </c>
      <c r="AO123">
        <v>62</v>
      </c>
      <c r="AP123">
        <v>77</v>
      </c>
      <c r="AQ123">
        <v>5</v>
      </c>
      <c r="AR123">
        <v>22</v>
      </c>
      <c r="AS123">
        <v>14</v>
      </c>
      <c r="AT123">
        <v>77</v>
      </c>
      <c r="AU123">
        <v>13</v>
      </c>
      <c r="AV123">
        <v>23</v>
      </c>
      <c r="AW123">
        <v>8</v>
      </c>
      <c r="AX123">
        <v>4</v>
      </c>
      <c r="AZ123">
        <v>20</v>
      </c>
      <c r="BA123">
        <v>16</v>
      </c>
      <c r="BB123">
        <v>3</v>
      </c>
      <c r="BC123">
        <v>209</v>
      </c>
      <c r="BD123">
        <v>33</v>
      </c>
      <c r="BE123">
        <v>19</v>
      </c>
      <c r="BF123">
        <v>3</v>
      </c>
      <c r="BG123">
        <v>39</v>
      </c>
      <c r="BH123">
        <v>83</v>
      </c>
      <c r="BI123">
        <v>23</v>
      </c>
      <c r="BJ123">
        <v>20</v>
      </c>
      <c r="BK123">
        <v>18</v>
      </c>
      <c r="BL123">
        <v>33</v>
      </c>
      <c r="BM123">
        <v>33</v>
      </c>
      <c r="BN123">
        <v>34</v>
      </c>
      <c r="BO123">
        <v>31</v>
      </c>
      <c r="BP123">
        <v>32</v>
      </c>
      <c r="BQ123">
        <v>173</v>
      </c>
      <c r="BR123">
        <v>49</v>
      </c>
      <c r="BS123">
        <v>45</v>
      </c>
      <c r="BT123">
        <v>26</v>
      </c>
      <c r="BU123">
        <v>54</v>
      </c>
      <c r="BV123">
        <v>73</v>
      </c>
      <c r="BW123">
        <v>11</v>
      </c>
      <c r="BX123">
        <v>99</v>
      </c>
      <c r="BY123">
        <v>104</v>
      </c>
      <c r="BZ123">
        <v>197</v>
      </c>
      <c r="CA123">
        <v>11</v>
      </c>
      <c r="CB123">
        <v>153</v>
      </c>
      <c r="CC123">
        <v>27</v>
      </c>
      <c r="CD123">
        <v>15</v>
      </c>
      <c r="CE123">
        <v>51</v>
      </c>
      <c r="CF123">
        <v>38</v>
      </c>
      <c r="CG123">
        <v>41</v>
      </c>
      <c r="CH123">
        <v>30</v>
      </c>
      <c r="CI123">
        <v>55</v>
      </c>
      <c r="CJ123">
        <v>141</v>
      </c>
      <c r="CK123">
        <v>45</v>
      </c>
      <c r="CL123">
        <v>295</v>
      </c>
      <c r="CM123">
        <v>11</v>
      </c>
      <c r="CN123">
        <v>11</v>
      </c>
      <c r="CO123">
        <v>494</v>
      </c>
      <c r="CP123">
        <v>11</v>
      </c>
      <c r="CQ123">
        <v>44</v>
      </c>
      <c r="CR123">
        <v>11</v>
      </c>
      <c r="CS123">
        <v>22</v>
      </c>
      <c r="CT123">
        <v>69</v>
      </c>
      <c r="CU123">
        <v>29</v>
      </c>
      <c r="CV123">
        <v>33</v>
      </c>
      <c r="CW123">
        <v>154</v>
      </c>
      <c r="CX123">
        <v>9</v>
      </c>
      <c r="CY123">
        <v>18</v>
      </c>
      <c r="CZ123">
        <v>55</v>
      </c>
      <c r="DA123">
        <v>33</v>
      </c>
      <c r="DB123">
        <v>88</v>
      </c>
      <c r="DC123">
        <v>155</v>
      </c>
      <c r="DD123">
        <v>6</v>
      </c>
      <c r="DE123">
        <v>8</v>
      </c>
      <c r="DF123">
        <v>3</v>
      </c>
      <c r="DG123">
        <v>18</v>
      </c>
      <c r="DH123">
        <v>101</v>
      </c>
      <c r="DI123">
        <v>150</v>
      </c>
      <c r="DJ123">
        <v>213</v>
      </c>
      <c r="DK123">
        <v>108</v>
      </c>
      <c r="DL123">
        <v>20</v>
      </c>
      <c r="DM123">
        <v>1003</v>
      </c>
      <c r="DN123">
        <v>103</v>
      </c>
      <c r="DO123">
        <v>68</v>
      </c>
      <c r="DP123">
        <v>1799</v>
      </c>
      <c r="DQ123">
        <v>672</v>
      </c>
      <c r="DR123">
        <v>349</v>
      </c>
      <c r="DS123">
        <v>361</v>
      </c>
      <c r="DT123">
        <v>109</v>
      </c>
      <c r="DU123">
        <v>115</v>
      </c>
      <c r="DV123">
        <v>253</v>
      </c>
      <c r="DW123">
        <v>249</v>
      </c>
      <c r="DX123">
        <v>453</v>
      </c>
      <c r="DY123">
        <v>20</v>
      </c>
      <c r="DZ123">
        <v>194</v>
      </c>
      <c r="EA123">
        <v>27</v>
      </c>
      <c r="EB123">
        <v>1</v>
      </c>
      <c r="EC123">
        <v>1</v>
      </c>
      <c r="ED123">
        <v>29</v>
      </c>
      <c r="EE123">
        <v>7</v>
      </c>
      <c r="EF123">
        <v>5</v>
      </c>
      <c r="EG123">
        <v>11</v>
      </c>
      <c r="EH123">
        <v>15</v>
      </c>
      <c r="EI123">
        <v>46</v>
      </c>
      <c r="EJ123">
        <v>143</v>
      </c>
      <c r="EK123">
        <v>20</v>
      </c>
      <c r="EL123">
        <v>2</v>
      </c>
      <c r="EM123">
        <v>12</v>
      </c>
      <c r="EN123">
        <v>194</v>
      </c>
      <c r="EO123">
        <v>9</v>
      </c>
      <c r="EP123">
        <v>644</v>
      </c>
      <c r="EQ123">
        <v>3</v>
      </c>
      <c r="ER123">
        <v>14</v>
      </c>
      <c r="ES123">
        <v>27</v>
      </c>
      <c r="ET123">
        <v>47</v>
      </c>
      <c r="EU123">
        <v>9</v>
      </c>
      <c r="EV123">
        <v>2</v>
      </c>
      <c r="EW123">
        <v>52</v>
      </c>
      <c r="EX123">
        <v>83</v>
      </c>
      <c r="EY123">
        <v>76</v>
      </c>
      <c r="EZ123">
        <v>138</v>
      </c>
      <c r="FA123">
        <v>61</v>
      </c>
      <c r="FB123">
        <v>111</v>
      </c>
      <c r="FC123">
        <v>280</v>
      </c>
      <c r="FD123">
        <v>150</v>
      </c>
      <c r="FE123">
        <v>37</v>
      </c>
      <c r="FF123">
        <v>50</v>
      </c>
      <c r="FG123">
        <v>13</v>
      </c>
      <c r="FI123">
        <v>4</v>
      </c>
      <c r="FJ123">
        <v>10</v>
      </c>
      <c r="FK123">
        <v>87</v>
      </c>
      <c r="FL123">
        <v>47</v>
      </c>
      <c r="FM123">
        <v>8</v>
      </c>
      <c r="FN123">
        <v>0</v>
      </c>
      <c r="FO123">
        <v>16</v>
      </c>
      <c r="FP123">
        <v>68</v>
      </c>
      <c r="FQ123">
        <v>28</v>
      </c>
      <c r="FR123">
        <v>7</v>
      </c>
      <c r="FS123">
        <v>39</v>
      </c>
      <c r="FT123">
        <v>42</v>
      </c>
      <c r="FU123">
        <v>39</v>
      </c>
      <c r="FV123">
        <v>65</v>
      </c>
      <c r="FW123">
        <v>21</v>
      </c>
      <c r="FX123">
        <v>139</v>
      </c>
      <c r="FY123">
        <v>68</v>
      </c>
      <c r="FZ123">
        <v>94</v>
      </c>
      <c r="GA123">
        <v>4</v>
      </c>
      <c r="GC123">
        <v>3</v>
      </c>
      <c r="GD123">
        <v>67</v>
      </c>
      <c r="GE123">
        <v>9</v>
      </c>
      <c r="GF123">
        <v>12</v>
      </c>
      <c r="GG123">
        <v>179</v>
      </c>
      <c r="GH123">
        <v>93</v>
      </c>
      <c r="HG123">
        <v>450</v>
      </c>
      <c r="HH123">
        <v>60</v>
      </c>
      <c r="HI123">
        <v>10</v>
      </c>
      <c r="HK123">
        <v>46</v>
      </c>
      <c r="HL123">
        <v>5</v>
      </c>
      <c r="HM123">
        <v>10</v>
      </c>
      <c r="HN123">
        <v>19</v>
      </c>
      <c r="HO123">
        <v>18</v>
      </c>
      <c r="HP123">
        <v>15</v>
      </c>
      <c r="HQ123">
        <v>33</v>
      </c>
      <c r="HR123">
        <v>1</v>
      </c>
      <c r="HS123">
        <v>13</v>
      </c>
      <c r="HT123">
        <v>9</v>
      </c>
      <c r="HU123">
        <v>159</v>
      </c>
      <c r="HV123">
        <v>182</v>
      </c>
      <c r="HW123">
        <v>259</v>
      </c>
      <c r="HX123">
        <v>160</v>
      </c>
      <c r="HY123">
        <v>24</v>
      </c>
      <c r="HZ123">
        <v>74</v>
      </c>
      <c r="IA123">
        <v>25</v>
      </c>
      <c r="IB123">
        <v>175</v>
      </c>
      <c r="IC123">
        <v>15</v>
      </c>
      <c r="ID123">
        <v>18</v>
      </c>
      <c r="IE123">
        <v>1</v>
      </c>
      <c r="IF123">
        <v>26</v>
      </c>
      <c r="IG123">
        <v>11</v>
      </c>
      <c r="IH123">
        <v>16</v>
      </c>
      <c r="II123">
        <v>6</v>
      </c>
      <c r="IJ123">
        <v>28</v>
      </c>
      <c r="IK123">
        <v>10</v>
      </c>
      <c r="IL123">
        <v>105</v>
      </c>
      <c r="IM123">
        <v>95</v>
      </c>
      <c r="IN123">
        <v>31</v>
      </c>
      <c r="IO123">
        <v>1</v>
      </c>
      <c r="IP123">
        <v>0</v>
      </c>
      <c r="IQ123">
        <v>0</v>
      </c>
      <c r="IS123">
        <v>14</v>
      </c>
      <c r="IT123">
        <v>10</v>
      </c>
      <c r="IU123">
        <v>74</v>
      </c>
      <c r="IV123">
        <v>93</v>
      </c>
      <c r="IW123">
        <v>137</v>
      </c>
      <c r="IX123">
        <v>108</v>
      </c>
      <c r="IY123">
        <v>24</v>
      </c>
      <c r="IZ123">
        <v>207</v>
      </c>
      <c r="JA123">
        <v>180</v>
      </c>
      <c r="JB123">
        <v>52</v>
      </c>
      <c r="JC123">
        <v>15</v>
      </c>
      <c r="JD123">
        <v>46</v>
      </c>
      <c r="JE123">
        <v>18</v>
      </c>
      <c r="JG123">
        <v>270</v>
      </c>
      <c r="JH123">
        <v>52</v>
      </c>
      <c r="JI123">
        <v>17</v>
      </c>
      <c r="JJ123">
        <v>81</v>
      </c>
      <c r="JK123">
        <v>112</v>
      </c>
      <c r="JL123">
        <v>99</v>
      </c>
      <c r="JM123">
        <v>111</v>
      </c>
      <c r="JN123">
        <v>118</v>
      </c>
      <c r="JO123">
        <v>222</v>
      </c>
      <c r="JS123">
        <v>0</v>
      </c>
      <c r="JT123">
        <v>96</v>
      </c>
      <c r="JV123">
        <v>58</v>
      </c>
      <c r="JX123">
        <v>0</v>
      </c>
      <c r="KC123">
        <v>0</v>
      </c>
      <c r="KD123">
        <v>9</v>
      </c>
      <c r="KS123">
        <v>2</v>
      </c>
      <c r="KV123">
        <v>0</v>
      </c>
      <c r="KW123">
        <v>8</v>
      </c>
      <c r="KX123">
        <v>9</v>
      </c>
      <c r="KY123">
        <v>0</v>
      </c>
      <c r="KZ123">
        <v>17</v>
      </c>
      <c r="LD123">
        <v>2</v>
      </c>
      <c r="LO123">
        <v>0</v>
      </c>
      <c r="LR123">
        <v>1</v>
      </c>
      <c r="LS123">
        <v>44</v>
      </c>
      <c r="LT123">
        <v>692</v>
      </c>
      <c r="LU123">
        <v>12</v>
      </c>
      <c r="LV123">
        <v>9</v>
      </c>
      <c r="LW123">
        <v>39</v>
      </c>
      <c r="LX123">
        <v>0</v>
      </c>
      <c r="LZ123">
        <v>16</v>
      </c>
      <c r="MD123">
        <v>0</v>
      </c>
      <c r="ME123">
        <v>3</v>
      </c>
      <c r="MG123">
        <v>0</v>
      </c>
      <c r="MI123">
        <v>0</v>
      </c>
      <c r="MK123">
        <v>0</v>
      </c>
      <c r="MM123">
        <v>0</v>
      </c>
      <c r="MP123">
        <v>0</v>
      </c>
      <c r="MQ123">
        <v>1</v>
      </c>
      <c r="MR123">
        <v>5</v>
      </c>
      <c r="MS123">
        <v>0</v>
      </c>
      <c r="MZ123">
        <v>0</v>
      </c>
      <c r="NA123">
        <v>2</v>
      </c>
      <c r="NR123">
        <v>84</v>
      </c>
      <c r="NS123">
        <v>4</v>
      </c>
      <c r="NT123">
        <v>0</v>
      </c>
      <c r="NY123">
        <v>0</v>
      </c>
      <c r="OD123">
        <v>0</v>
      </c>
      <c r="OI123">
        <v>7</v>
      </c>
      <c r="OJ123">
        <v>1</v>
      </c>
      <c r="OK123">
        <v>10</v>
      </c>
      <c r="OO123">
        <v>19202</v>
      </c>
      <c r="OP123">
        <v>93</v>
      </c>
      <c r="OU123">
        <v>995</v>
      </c>
      <c r="OV123">
        <v>2839</v>
      </c>
      <c r="PB123">
        <v>1</v>
      </c>
      <c r="PI123">
        <v>23130</v>
      </c>
      <c r="PM123" t="str">
        <f>IFERROR(VLOOKUP($A123&amp;"",Key!$A:$C,3,FALSE),"")</f>
        <v>ISIC 26</v>
      </c>
    </row>
    <row r="124" spans="1:429" x14ac:dyDescent="0.25">
      <c r="A124" t="s">
        <v>586</v>
      </c>
      <c r="B124" t="s">
        <v>259</v>
      </c>
      <c r="V124">
        <v>0</v>
      </c>
      <c r="W124">
        <v>4</v>
      </c>
      <c r="X124">
        <v>0</v>
      </c>
      <c r="AB124">
        <v>8</v>
      </c>
      <c r="AC124">
        <v>7</v>
      </c>
      <c r="AD124">
        <v>2</v>
      </c>
      <c r="AE124">
        <v>2</v>
      </c>
      <c r="AF124">
        <v>21</v>
      </c>
      <c r="AG124">
        <v>8</v>
      </c>
      <c r="AH124">
        <v>1</v>
      </c>
      <c r="AI124">
        <v>2</v>
      </c>
      <c r="AJ124">
        <v>0</v>
      </c>
      <c r="AK124">
        <v>50</v>
      </c>
      <c r="AL124">
        <v>55</v>
      </c>
      <c r="AM124">
        <v>29</v>
      </c>
      <c r="AN124">
        <v>3</v>
      </c>
      <c r="AO124">
        <v>11</v>
      </c>
      <c r="AP124">
        <v>8</v>
      </c>
      <c r="AQ124">
        <v>0</v>
      </c>
      <c r="AR124">
        <v>3</v>
      </c>
      <c r="AS124">
        <v>2</v>
      </c>
      <c r="AT124">
        <v>14</v>
      </c>
      <c r="AU124">
        <v>1</v>
      </c>
      <c r="AV124">
        <v>4</v>
      </c>
      <c r="AW124">
        <v>0</v>
      </c>
      <c r="AY124">
        <v>1</v>
      </c>
      <c r="AZ124">
        <v>4</v>
      </c>
      <c r="BA124">
        <v>2</v>
      </c>
      <c r="BB124">
        <v>0</v>
      </c>
      <c r="BC124">
        <v>37</v>
      </c>
      <c r="BD124">
        <v>8</v>
      </c>
      <c r="BE124">
        <v>2</v>
      </c>
      <c r="BF124">
        <v>0</v>
      </c>
      <c r="BG124">
        <v>7</v>
      </c>
      <c r="BH124">
        <v>6</v>
      </c>
      <c r="BI124">
        <v>5</v>
      </c>
      <c r="BJ124">
        <v>3</v>
      </c>
      <c r="BK124">
        <v>6</v>
      </c>
      <c r="BL124">
        <v>5</v>
      </c>
      <c r="BM124">
        <v>6</v>
      </c>
      <c r="BN124">
        <v>4</v>
      </c>
      <c r="BO124">
        <v>4</v>
      </c>
      <c r="BP124">
        <v>13</v>
      </c>
      <c r="BQ124">
        <v>29</v>
      </c>
      <c r="BR124">
        <v>20</v>
      </c>
      <c r="BS124">
        <v>8</v>
      </c>
      <c r="BT124">
        <v>4</v>
      </c>
      <c r="BU124">
        <v>7</v>
      </c>
      <c r="BV124">
        <v>11</v>
      </c>
      <c r="BW124">
        <v>1</v>
      </c>
      <c r="BX124">
        <v>14</v>
      </c>
      <c r="BY124">
        <v>15</v>
      </c>
      <c r="BZ124">
        <v>29</v>
      </c>
      <c r="CA124">
        <v>2</v>
      </c>
      <c r="CB124">
        <v>25</v>
      </c>
      <c r="CC124">
        <v>4</v>
      </c>
      <c r="CD124">
        <v>3</v>
      </c>
      <c r="CE124">
        <v>1</v>
      </c>
      <c r="CF124">
        <v>5</v>
      </c>
      <c r="CG124">
        <v>200</v>
      </c>
      <c r="CH124">
        <v>7</v>
      </c>
      <c r="CI124">
        <v>134</v>
      </c>
      <c r="CJ124">
        <v>44</v>
      </c>
      <c r="CK124">
        <v>205</v>
      </c>
      <c r="CL124">
        <v>190</v>
      </c>
      <c r="CM124">
        <v>26</v>
      </c>
      <c r="CN124">
        <v>16</v>
      </c>
      <c r="CO124">
        <v>230</v>
      </c>
      <c r="CP124">
        <v>2</v>
      </c>
      <c r="CQ124">
        <v>96</v>
      </c>
      <c r="CR124">
        <v>39</v>
      </c>
      <c r="CS124">
        <v>4</v>
      </c>
      <c r="CT124">
        <v>22</v>
      </c>
      <c r="CU124">
        <v>39</v>
      </c>
      <c r="CV124">
        <v>47</v>
      </c>
      <c r="CW124">
        <v>25</v>
      </c>
      <c r="CX124">
        <v>1</v>
      </c>
      <c r="CY124">
        <v>3</v>
      </c>
      <c r="CZ124">
        <v>120</v>
      </c>
      <c r="DA124">
        <v>32</v>
      </c>
      <c r="DB124">
        <v>94</v>
      </c>
      <c r="DC124">
        <v>247</v>
      </c>
      <c r="DD124">
        <v>1</v>
      </c>
      <c r="DE124">
        <v>1</v>
      </c>
      <c r="DF124">
        <v>20</v>
      </c>
      <c r="DG124">
        <v>97</v>
      </c>
      <c r="DH124">
        <v>17</v>
      </c>
      <c r="DI124">
        <v>30</v>
      </c>
      <c r="DJ124">
        <v>136</v>
      </c>
      <c r="DK124">
        <v>80</v>
      </c>
      <c r="DL124">
        <v>95</v>
      </c>
      <c r="DM124">
        <v>582</v>
      </c>
      <c r="DN124">
        <v>71</v>
      </c>
      <c r="DO124">
        <v>232</v>
      </c>
      <c r="DP124">
        <v>836</v>
      </c>
      <c r="DQ124">
        <v>1710</v>
      </c>
      <c r="DR124">
        <v>757</v>
      </c>
      <c r="DS124">
        <v>1590</v>
      </c>
      <c r="DT124">
        <v>121</v>
      </c>
      <c r="DU124">
        <v>115</v>
      </c>
      <c r="DV124">
        <v>76</v>
      </c>
      <c r="DW124">
        <v>96</v>
      </c>
      <c r="DX124">
        <v>157</v>
      </c>
      <c r="DY124">
        <v>491</v>
      </c>
      <c r="DZ124">
        <v>111</v>
      </c>
      <c r="EA124">
        <v>54</v>
      </c>
      <c r="EB124">
        <v>0</v>
      </c>
      <c r="EC124">
        <v>0</v>
      </c>
      <c r="ED124">
        <v>4</v>
      </c>
      <c r="EE124">
        <v>5</v>
      </c>
      <c r="EF124">
        <v>18</v>
      </c>
      <c r="EG124">
        <v>12</v>
      </c>
      <c r="EH124">
        <v>18</v>
      </c>
      <c r="EI124">
        <v>51</v>
      </c>
      <c r="EJ124">
        <v>92</v>
      </c>
      <c r="EK124">
        <v>3</v>
      </c>
      <c r="EL124">
        <v>0</v>
      </c>
      <c r="EM124">
        <v>1</v>
      </c>
      <c r="EN124">
        <v>38</v>
      </c>
      <c r="EO124">
        <v>1</v>
      </c>
      <c r="EP124">
        <v>936</v>
      </c>
      <c r="EQ124">
        <v>1</v>
      </c>
      <c r="ER124">
        <v>12</v>
      </c>
      <c r="ES124">
        <v>7</v>
      </c>
      <c r="ET124">
        <v>8</v>
      </c>
      <c r="EU124">
        <v>1</v>
      </c>
      <c r="EV124">
        <v>0</v>
      </c>
      <c r="EW124">
        <v>6</v>
      </c>
      <c r="EX124">
        <v>97</v>
      </c>
      <c r="EY124">
        <v>1993</v>
      </c>
      <c r="EZ124">
        <v>1588</v>
      </c>
      <c r="FA124">
        <v>14</v>
      </c>
      <c r="FB124">
        <v>26</v>
      </c>
      <c r="FC124">
        <v>686</v>
      </c>
      <c r="FD124">
        <v>253</v>
      </c>
      <c r="FE124">
        <v>33</v>
      </c>
      <c r="FF124">
        <v>32</v>
      </c>
      <c r="FG124">
        <v>124</v>
      </c>
      <c r="FH124">
        <v>0</v>
      </c>
      <c r="FI124">
        <v>2</v>
      </c>
      <c r="FJ124">
        <v>2</v>
      </c>
      <c r="FK124">
        <v>11</v>
      </c>
      <c r="FL124">
        <v>9</v>
      </c>
      <c r="FM124">
        <v>2</v>
      </c>
      <c r="FN124">
        <v>0</v>
      </c>
      <c r="FO124">
        <v>3</v>
      </c>
      <c r="FP124">
        <v>11</v>
      </c>
      <c r="FQ124">
        <v>7</v>
      </c>
      <c r="FR124">
        <v>1</v>
      </c>
      <c r="FS124">
        <v>6</v>
      </c>
      <c r="FT124">
        <v>5</v>
      </c>
      <c r="FU124">
        <v>7</v>
      </c>
      <c r="FV124">
        <v>8</v>
      </c>
      <c r="FW124">
        <v>5</v>
      </c>
      <c r="FX124">
        <v>125</v>
      </c>
      <c r="FY124">
        <v>59</v>
      </c>
      <c r="GA124">
        <v>1</v>
      </c>
      <c r="GC124">
        <v>0</v>
      </c>
      <c r="GD124">
        <v>9</v>
      </c>
      <c r="GE124">
        <v>2</v>
      </c>
      <c r="GF124">
        <v>1</v>
      </c>
      <c r="GG124">
        <v>25</v>
      </c>
      <c r="GH124">
        <v>18</v>
      </c>
      <c r="GI124">
        <v>5</v>
      </c>
      <c r="GJ124">
        <v>9</v>
      </c>
      <c r="GL124">
        <v>3</v>
      </c>
      <c r="GM124">
        <v>1</v>
      </c>
      <c r="GN124">
        <v>19</v>
      </c>
      <c r="GO124">
        <v>2</v>
      </c>
      <c r="GP124">
        <v>15</v>
      </c>
      <c r="GQ124">
        <v>9</v>
      </c>
      <c r="GR124">
        <v>10</v>
      </c>
      <c r="GS124">
        <v>19</v>
      </c>
      <c r="GT124">
        <v>22</v>
      </c>
      <c r="GU124">
        <v>25</v>
      </c>
      <c r="GV124">
        <v>4</v>
      </c>
      <c r="GW124">
        <v>7</v>
      </c>
      <c r="GX124">
        <v>17</v>
      </c>
      <c r="GY124">
        <v>0</v>
      </c>
      <c r="GZ124">
        <v>8</v>
      </c>
      <c r="HA124">
        <v>13</v>
      </c>
      <c r="HB124">
        <v>27</v>
      </c>
      <c r="HC124">
        <v>32</v>
      </c>
      <c r="HD124">
        <v>19</v>
      </c>
      <c r="HE124">
        <v>21</v>
      </c>
      <c r="HF124">
        <v>11</v>
      </c>
      <c r="HG124">
        <v>154</v>
      </c>
      <c r="HH124">
        <v>4</v>
      </c>
      <c r="HI124">
        <v>1</v>
      </c>
      <c r="HJ124">
        <v>2</v>
      </c>
      <c r="HK124">
        <v>60</v>
      </c>
      <c r="HL124">
        <v>1</v>
      </c>
      <c r="HM124">
        <v>1</v>
      </c>
      <c r="HN124">
        <v>2</v>
      </c>
      <c r="HO124">
        <v>3</v>
      </c>
      <c r="HP124">
        <v>2</v>
      </c>
      <c r="HQ124">
        <v>4</v>
      </c>
      <c r="HS124">
        <v>0</v>
      </c>
      <c r="HT124">
        <v>2</v>
      </c>
      <c r="HU124">
        <v>11</v>
      </c>
      <c r="HV124">
        <v>13</v>
      </c>
      <c r="HW124">
        <v>26</v>
      </c>
      <c r="HX124">
        <v>25</v>
      </c>
      <c r="HY124">
        <v>3</v>
      </c>
      <c r="HZ124">
        <v>11</v>
      </c>
      <c r="IA124">
        <v>4</v>
      </c>
      <c r="IB124">
        <v>17</v>
      </c>
      <c r="IC124">
        <v>2</v>
      </c>
      <c r="ID124">
        <v>28</v>
      </c>
      <c r="IF124">
        <v>14</v>
      </c>
      <c r="IG124">
        <v>2</v>
      </c>
      <c r="IH124">
        <v>5</v>
      </c>
      <c r="II124">
        <v>8</v>
      </c>
      <c r="IJ124">
        <v>5</v>
      </c>
      <c r="IK124">
        <v>3</v>
      </c>
      <c r="IL124">
        <v>98</v>
      </c>
      <c r="IM124">
        <v>44</v>
      </c>
      <c r="IN124">
        <v>5</v>
      </c>
      <c r="IO124">
        <v>1</v>
      </c>
      <c r="IP124">
        <v>1</v>
      </c>
      <c r="IQ124">
        <v>0</v>
      </c>
      <c r="IR124">
        <v>2</v>
      </c>
      <c r="IS124">
        <v>3</v>
      </c>
      <c r="IT124">
        <v>1</v>
      </c>
      <c r="IU124">
        <v>13</v>
      </c>
      <c r="IV124">
        <v>18</v>
      </c>
      <c r="IW124">
        <v>39</v>
      </c>
      <c r="IX124">
        <v>13</v>
      </c>
      <c r="IY124">
        <v>4</v>
      </c>
      <c r="IZ124">
        <v>33</v>
      </c>
      <c r="JA124">
        <v>25</v>
      </c>
      <c r="JB124">
        <v>8</v>
      </c>
      <c r="JC124">
        <v>2</v>
      </c>
      <c r="JD124">
        <v>6</v>
      </c>
      <c r="JE124">
        <v>3</v>
      </c>
      <c r="JF124">
        <v>2</v>
      </c>
      <c r="JG124">
        <v>128</v>
      </c>
      <c r="JH124">
        <v>6</v>
      </c>
      <c r="JI124">
        <v>2</v>
      </c>
      <c r="JJ124">
        <v>11</v>
      </c>
      <c r="JK124">
        <v>1</v>
      </c>
      <c r="JL124">
        <v>137</v>
      </c>
      <c r="JM124">
        <v>765</v>
      </c>
      <c r="JN124">
        <v>95</v>
      </c>
      <c r="JO124">
        <v>4</v>
      </c>
      <c r="JP124">
        <v>5941</v>
      </c>
      <c r="JS124">
        <v>1</v>
      </c>
      <c r="JT124">
        <v>17</v>
      </c>
      <c r="JV124">
        <v>32</v>
      </c>
      <c r="JX124">
        <v>7</v>
      </c>
      <c r="KC124">
        <v>69</v>
      </c>
      <c r="KD124">
        <v>1</v>
      </c>
      <c r="KE124">
        <v>3</v>
      </c>
      <c r="KF124">
        <v>1</v>
      </c>
      <c r="KG124">
        <v>1</v>
      </c>
      <c r="KH124">
        <v>4</v>
      </c>
      <c r="KI124">
        <v>0</v>
      </c>
      <c r="KJ124">
        <v>1</v>
      </c>
      <c r="KN124">
        <v>1</v>
      </c>
      <c r="KO124">
        <v>5</v>
      </c>
      <c r="KQ124">
        <v>3</v>
      </c>
      <c r="KR124">
        <v>1893</v>
      </c>
      <c r="KV124">
        <v>2</v>
      </c>
      <c r="KW124">
        <v>523</v>
      </c>
      <c r="KX124">
        <v>920</v>
      </c>
      <c r="KY124">
        <v>37</v>
      </c>
      <c r="KZ124">
        <v>1920</v>
      </c>
      <c r="LA124">
        <v>2</v>
      </c>
      <c r="LC124">
        <v>67</v>
      </c>
      <c r="LD124">
        <v>85</v>
      </c>
      <c r="LE124">
        <v>73</v>
      </c>
      <c r="LF124">
        <v>16</v>
      </c>
      <c r="LO124">
        <v>0</v>
      </c>
      <c r="LS124">
        <v>506</v>
      </c>
      <c r="LT124">
        <v>988</v>
      </c>
      <c r="LU124">
        <v>1177</v>
      </c>
      <c r="LV124">
        <v>49</v>
      </c>
      <c r="LW124">
        <v>68</v>
      </c>
      <c r="LY124">
        <v>2</v>
      </c>
      <c r="LZ124">
        <v>1106</v>
      </c>
      <c r="MC124">
        <v>1</v>
      </c>
      <c r="MD124">
        <v>1</v>
      </c>
      <c r="MI124">
        <v>1</v>
      </c>
      <c r="MJ124">
        <v>1</v>
      </c>
      <c r="MM124">
        <v>247</v>
      </c>
      <c r="MO124">
        <v>3</v>
      </c>
      <c r="MP124">
        <v>27</v>
      </c>
      <c r="MQ124">
        <v>582</v>
      </c>
      <c r="MR124">
        <v>79</v>
      </c>
      <c r="MX124">
        <v>0</v>
      </c>
      <c r="MY124">
        <v>1</v>
      </c>
      <c r="MZ124">
        <v>52</v>
      </c>
      <c r="NA124">
        <v>33</v>
      </c>
      <c r="NR124">
        <v>295</v>
      </c>
      <c r="NS124">
        <v>469</v>
      </c>
      <c r="NT124">
        <v>38</v>
      </c>
      <c r="NU124">
        <v>1</v>
      </c>
      <c r="OD124">
        <v>1141</v>
      </c>
      <c r="OE124">
        <v>597</v>
      </c>
      <c r="OF124">
        <v>0</v>
      </c>
      <c r="OI124">
        <v>116</v>
      </c>
      <c r="OJ124">
        <v>4</v>
      </c>
      <c r="OK124">
        <v>337</v>
      </c>
      <c r="ON124">
        <v>10</v>
      </c>
      <c r="OO124">
        <v>37941</v>
      </c>
      <c r="OP124">
        <v>223</v>
      </c>
      <c r="OU124">
        <v>565</v>
      </c>
      <c r="OV124">
        <v>10453</v>
      </c>
      <c r="PB124">
        <v>3</v>
      </c>
      <c r="PF124">
        <v>20</v>
      </c>
      <c r="PI124">
        <v>49206</v>
      </c>
      <c r="PM124" t="str">
        <f>IFERROR(VLOOKUP($A124&amp;"",Key!$A:$C,3,FALSE),"")</f>
        <v>ISIC 26</v>
      </c>
    </row>
    <row r="125" spans="1:429" x14ac:dyDescent="0.25">
      <c r="A125">
        <v>334510</v>
      </c>
      <c r="B125" t="s">
        <v>260</v>
      </c>
      <c r="AA125">
        <v>3</v>
      </c>
      <c r="AD125">
        <v>0</v>
      </c>
      <c r="BP125">
        <v>0</v>
      </c>
      <c r="CI125">
        <v>0</v>
      </c>
      <c r="CJ125">
        <v>0</v>
      </c>
      <c r="CQ125">
        <v>0</v>
      </c>
      <c r="CU125">
        <v>0</v>
      </c>
      <c r="CV125">
        <v>0</v>
      </c>
      <c r="DB125">
        <v>0</v>
      </c>
      <c r="DR125">
        <v>423</v>
      </c>
      <c r="DS125">
        <v>29</v>
      </c>
      <c r="FF125">
        <v>0</v>
      </c>
      <c r="FX125">
        <v>223</v>
      </c>
      <c r="FY125">
        <v>1</v>
      </c>
      <c r="GH125">
        <v>0</v>
      </c>
      <c r="JL125">
        <v>0</v>
      </c>
      <c r="LZ125">
        <v>0</v>
      </c>
      <c r="MS125">
        <v>5982</v>
      </c>
      <c r="MT125">
        <v>248</v>
      </c>
      <c r="MU125">
        <v>0</v>
      </c>
      <c r="MV125">
        <v>955</v>
      </c>
      <c r="MW125">
        <v>111</v>
      </c>
      <c r="NB125">
        <v>31</v>
      </c>
      <c r="OB125">
        <v>21</v>
      </c>
      <c r="OE125">
        <v>635</v>
      </c>
      <c r="OO125">
        <v>8663</v>
      </c>
      <c r="OP125">
        <v>10192</v>
      </c>
      <c r="OQ125">
        <v>36070</v>
      </c>
      <c r="OU125">
        <v>262</v>
      </c>
      <c r="OV125">
        <v>7672</v>
      </c>
      <c r="OX125">
        <v>798</v>
      </c>
      <c r="PB125">
        <v>361</v>
      </c>
      <c r="PF125">
        <v>90</v>
      </c>
      <c r="PI125">
        <v>64108</v>
      </c>
      <c r="PM125" t="str">
        <f>IFERROR(VLOOKUP($A125&amp;"",Key!$A:$C,3,FALSE),"")</f>
        <v>ISIC 26</v>
      </c>
    </row>
    <row r="126" spans="1:429" x14ac:dyDescent="0.25">
      <c r="A126">
        <v>334511</v>
      </c>
      <c r="B126" t="s">
        <v>261</v>
      </c>
      <c r="AD126">
        <v>0</v>
      </c>
      <c r="AL126">
        <v>1</v>
      </c>
      <c r="CO126">
        <v>0</v>
      </c>
      <c r="CP126">
        <v>0</v>
      </c>
      <c r="CQ126">
        <v>0</v>
      </c>
      <c r="DS126">
        <v>18</v>
      </c>
      <c r="FE126">
        <v>5925</v>
      </c>
      <c r="FF126">
        <v>180</v>
      </c>
      <c r="FG126">
        <v>42</v>
      </c>
      <c r="FH126">
        <v>379</v>
      </c>
      <c r="FI126">
        <v>34</v>
      </c>
      <c r="FK126">
        <v>2143</v>
      </c>
      <c r="FL126">
        <v>653</v>
      </c>
      <c r="JV126">
        <v>47</v>
      </c>
      <c r="OD126">
        <v>12286</v>
      </c>
      <c r="OO126">
        <v>21709</v>
      </c>
      <c r="OP126">
        <v>46</v>
      </c>
      <c r="OQ126">
        <v>20334</v>
      </c>
      <c r="OU126">
        <v>-376</v>
      </c>
      <c r="OV126">
        <v>6179</v>
      </c>
      <c r="OX126">
        <v>15335</v>
      </c>
      <c r="PB126">
        <v>3022</v>
      </c>
      <c r="PF126">
        <v>377</v>
      </c>
      <c r="PI126">
        <v>66626</v>
      </c>
      <c r="PM126" t="str">
        <f>IFERROR(VLOOKUP($A126&amp;"",Key!$A:$C,3,FALSE),"")</f>
        <v>ISIC 26</v>
      </c>
    </row>
    <row r="127" spans="1:429" x14ac:dyDescent="0.25">
      <c r="A127">
        <v>334512</v>
      </c>
      <c r="B127" t="s">
        <v>262</v>
      </c>
      <c r="AA127">
        <v>55</v>
      </c>
      <c r="AB127">
        <v>950</v>
      </c>
      <c r="AC127">
        <v>252</v>
      </c>
      <c r="AD127">
        <v>145</v>
      </c>
      <c r="AE127">
        <v>416</v>
      </c>
      <c r="AF127">
        <v>42</v>
      </c>
      <c r="AG127">
        <v>1061</v>
      </c>
      <c r="AH127">
        <v>11</v>
      </c>
      <c r="AI127">
        <v>75</v>
      </c>
      <c r="AK127">
        <v>154</v>
      </c>
      <c r="AL127">
        <v>15</v>
      </c>
      <c r="CP127">
        <v>103</v>
      </c>
      <c r="CQ127">
        <v>214</v>
      </c>
      <c r="DT127">
        <v>11</v>
      </c>
      <c r="EE127">
        <v>42</v>
      </c>
      <c r="EF127">
        <v>228</v>
      </c>
      <c r="FC127">
        <v>12</v>
      </c>
      <c r="JK127">
        <v>0</v>
      </c>
      <c r="JL127">
        <v>0</v>
      </c>
      <c r="JM127">
        <v>0</v>
      </c>
      <c r="JN127">
        <v>0</v>
      </c>
      <c r="JR127">
        <v>0</v>
      </c>
      <c r="JT127">
        <v>0</v>
      </c>
      <c r="KD127">
        <v>0</v>
      </c>
      <c r="KX127">
        <v>3</v>
      </c>
      <c r="LB127">
        <v>0</v>
      </c>
      <c r="LK127">
        <v>1</v>
      </c>
      <c r="LR127">
        <v>110</v>
      </c>
      <c r="LT127">
        <v>91</v>
      </c>
      <c r="LV127">
        <v>36</v>
      </c>
      <c r="LW127">
        <v>106</v>
      </c>
      <c r="LX127">
        <v>10</v>
      </c>
      <c r="LZ127">
        <v>5</v>
      </c>
      <c r="MB127">
        <v>3</v>
      </c>
      <c r="ME127">
        <v>264</v>
      </c>
      <c r="MG127">
        <v>7</v>
      </c>
      <c r="MI127">
        <v>30</v>
      </c>
      <c r="MK127">
        <v>21</v>
      </c>
      <c r="MO127">
        <v>36</v>
      </c>
      <c r="MV127">
        <v>5</v>
      </c>
      <c r="MX127">
        <v>3</v>
      </c>
      <c r="MY127">
        <v>16</v>
      </c>
      <c r="NN127">
        <v>2</v>
      </c>
      <c r="NS127">
        <v>38</v>
      </c>
      <c r="NT127">
        <v>113</v>
      </c>
      <c r="OD127">
        <v>7</v>
      </c>
      <c r="ON127">
        <v>140</v>
      </c>
      <c r="OO127">
        <v>4836</v>
      </c>
      <c r="OU127">
        <v>50</v>
      </c>
      <c r="OV127">
        <v>196</v>
      </c>
      <c r="PI127">
        <v>5082</v>
      </c>
      <c r="PM127" t="str">
        <f>IFERROR(VLOOKUP($A127&amp;"",Key!$A:$C,3,FALSE),"")</f>
        <v>ISIC 26</v>
      </c>
    </row>
    <row r="128" spans="1:429" x14ac:dyDescent="0.25">
      <c r="A128">
        <v>334513</v>
      </c>
      <c r="B128" t="s">
        <v>263</v>
      </c>
      <c r="X128">
        <v>3</v>
      </c>
      <c r="Y128">
        <v>15</v>
      </c>
      <c r="AA128">
        <v>29</v>
      </c>
      <c r="AE128">
        <v>72</v>
      </c>
      <c r="AQ128">
        <v>4</v>
      </c>
      <c r="AS128">
        <v>2</v>
      </c>
      <c r="AW128">
        <v>5</v>
      </c>
      <c r="BP128">
        <v>3</v>
      </c>
      <c r="BX128">
        <v>83</v>
      </c>
      <c r="BZ128">
        <v>1214</v>
      </c>
      <c r="CF128">
        <v>63</v>
      </c>
      <c r="CI128">
        <v>3</v>
      </c>
      <c r="CJ128">
        <v>5</v>
      </c>
      <c r="CN128">
        <v>1</v>
      </c>
      <c r="CO128">
        <v>2</v>
      </c>
      <c r="CQ128">
        <v>4</v>
      </c>
      <c r="CU128">
        <v>3</v>
      </c>
      <c r="CV128">
        <v>2</v>
      </c>
      <c r="CZ128">
        <v>1</v>
      </c>
      <c r="DB128">
        <v>4</v>
      </c>
      <c r="DG128">
        <v>32</v>
      </c>
      <c r="DI128">
        <v>1</v>
      </c>
      <c r="DK128">
        <v>0</v>
      </c>
      <c r="DO128">
        <v>31</v>
      </c>
      <c r="DS128">
        <v>370</v>
      </c>
      <c r="DU128">
        <v>312</v>
      </c>
      <c r="DV128">
        <v>514</v>
      </c>
      <c r="EJ128">
        <v>57</v>
      </c>
      <c r="EP128">
        <v>4</v>
      </c>
      <c r="EQ128">
        <v>1</v>
      </c>
      <c r="ER128">
        <v>1</v>
      </c>
      <c r="ES128">
        <v>1</v>
      </c>
      <c r="EX128">
        <v>2</v>
      </c>
      <c r="EY128">
        <v>3</v>
      </c>
      <c r="EZ128">
        <v>3</v>
      </c>
      <c r="FC128">
        <v>5</v>
      </c>
      <c r="FD128">
        <v>2</v>
      </c>
      <c r="FE128">
        <v>1</v>
      </c>
      <c r="FF128">
        <v>9</v>
      </c>
      <c r="FR128">
        <v>0</v>
      </c>
      <c r="GH128">
        <v>2</v>
      </c>
      <c r="HU128">
        <v>7</v>
      </c>
      <c r="HV128">
        <v>7</v>
      </c>
      <c r="HW128">
        <v>6</v>
      </c>
      <c r="IB128">
        <v>89</v>
      </c>
      <c r="IC128">
        <v>9</v>
      </c>
      <c r="ID128">
        <v>4</v>
      </c>
      <c r="IH128">
        <v>3</v>
      </c>
      <c r="II128">
        <v>19</v>
      </c>
      <c r="IK128">
        <v>577</v>
      </c>
      <c r="IL128">
        <v>23</v>
      </c>
      <c r="IM128">
        <v>75</v>
      </c>
      <c r="IP128">
        <v>1</v>
      </c>
      <c r="IZ128">
        <v>2</v>
      </c>
      <c r="JG128">
        <v>404</v>
      </c>
      <c r="JN128">
        <v>19</v>
      </c>
      <c r="JV128">
        <v>192</v>
      </c>
      <c r="JW128">
        <v>33</v>
      </c>
      <c r="JX128">
        <v>16</v>
      </c>
      <c r="JZ128">
        <v>6</v>
      </c>
      <c r="KA128">
        <v>36</v>
      </c>
      <c r="KN128">
        <v>5</v>
      </c>
      <c r="KO128">
        <v>16</v>
      </c>
      <c r="KP128">
        <v>10</v>
      </c>
      <c r="KQ128">
        <v>15</v>
      </c>
      <c r="KR128">
        <v>29</v>
      </c>
      <c r="KS128">
        <v>9</v>
      </c>
      <c r="KW128">
        <v>32</v>
      </c>
      <c r="KX128">
        <v>2</v>
      </c>
      <c r="KY128">
        <v>8</v>
      </c>
      <c r="KZ128">
        <v>36</v>
      </c>
      <c r="LA128">
        <v>85</v>
      </c>
      <c r="LO128">
        <v>10</v>
      </c>
      <c r="LP128">
        <v>10</v>
      </c>
      <c r="LS128">
        <v>41</v>
      </c>
      <c r="LT128">
        <v>70</v>
      </c>
      <c r="LU128">
        <v>22</v>
      </c>
      <c r="LW128">
        <v>30</v>
      </c>
      <c r="LZ128">
        <v>41</v>
      </c>
      <c r="MA128">
        <v>14</v>
      </c>
      <c r="MB128">
        <v>4</v>
      </c>
      <c r="ME128">
        <v>3</v>
      </c>
      <c r="MH128">
        <v>35</v>
      </c>
      <c r="MI128">
        <v>11</v>
      </c>
      <c r="MJ128">
        <v>1</v>
      </c>
      <c r="MK128">
        <v>140</v>
      </c>
      <c r="MM128">
        <v>4</v>
      </c>
      <c r="MN128">
        <v>58</v>
      </c>
      <c r="MO128">
        <v>248</v>
      </c>
      <c r="MZ128">
        <v>155</v>
      </c>
      <c r="NR128">
        <v>16</v>
      </c>
      <c r="NS128">
        <v>6</v>
      </c>
      <c r="NV128">
        <v>10</v>
      </c>
      <c r="NY128">
        <v>101</v>
      </c>
      <c r="OD128">
        <v>6</v>
      </c>
      <c r="OE128">
        <v>39</v>
      </c>
      <c r="OI128">
        <v>19</v>
      </c>
      <c r="OJ128">
        <v>20</v>
      </c>
      <c r="OK128">
        <v>4</v>
      </c>
      <c r="OM128">
        <v>18</v>
      </c>
      <c r="ON128">
        <v>86</v>
      </c>
      <c r="OO128">
        <v>5865</v>
      </c>
      <c r="OQ128">
        <v>6766</v>
      </c>
      <c r="OU128">
        <v>25</v>
      </c>
      <c r="OV128">
        <v>5785</v>
      </c>
      <c r="OX128">
        <v>6</v>
      </c>
      <c r="PB128">
        <v>8</v>
      </c>
      <c r="PF128">
        <v>258</v>
      </c>
      <c r="PI128">
        <v>18714</v>
      </c>
      <c r="PM128" t="str">
        <f>IFERROR(VLOOKUP($A128&amp;"",Key!$A:$C,3,FALSE),"")</f>
        <v>ISIC 26</v>
      </c>
    </row>
    <row r="129" spans="1:429" x14ac:dyDescent="0.25">
      <c r="A129">
        <v>334514</v>
      </c>
      <c r="B129" t="s">
        <v>264</v>
      </c>
      <c r="O129">
        <v>1</v>
      </c>
      <c r="P129">
        <v>42</v>
      </c>
      <c r="Q129">
        <v>20</v>
      </c>
      <c r="X129">
        <v>101</v>
      </c>
      <c r="Z129">
        <v>9</v>
      </c>
      <c r="AB129">
        <v>7</v>
      </c>
      <c r="AC129">
        <v>7</v>
      </c>
      <c r="AD129">
        <v>1</v>
      </c>
      <c r="AG129">
        <v>26</v>
      </c>
      <c r="AI129">
        <v>1</v>
      </c>
      <c r="AJ129">
        <v>1</v>
      </c>
      <c r="AK129">
        <v>11</v>
      </c>
      <c r="AL129">
        <v>10</v>
      </c>
      <c r="DS129">
        <v>244</v>
      </c>
      <c r="DV129">
        <v>148</v>
      </c>
      <c r="DW129">
        <v>30</v>
      </c>
      <c r="EJ129">
        <v>5</v>
      </c>
      <c r="EQ129">
        <v>276</v>
      </c>
      <c r="ER129">
        <v>841</v>
      </c>
      <c r="ES129">
        <v>200</v>
      </c>
      <c r="GZ129">
        <v>2</v>
      </c>
      <c r="II129">
        <v>117</v>
      </c>
      <c r="IL129">
        <v>509</v>
      </c>
      <c r="IM129">
        <v>394</v>
      </c>
      <c r="JN129">
        <v>4</v>
      </c>
      <c r="JO129">
        <v>30</v>
      </c>
      <c r="JQ129">
        <v>26</v>
      </c>
      <c r="JR129">
        <v>3</v>
      </c>
      <c r="JS129">
        <v>6</v>
      </c>
      <c r="JV129">
        <v>75</v>
      </c>
      <c r="JW129">
        <v>27</v>
      </c>
      <c r="JY129">
        <v>18</v>
      </c>
      <c r="KA129">
        <v>27</v>
      </c>
      <c r="KC129">
        <v>29</v>
      </c>
      <c r="KE129">
        <v>1</v>
      </c>
      <c r="KH129">
        <v>9</v>
      </c>
      <c r="KK129">
        <v>0</v>
      </c>
      <c r="KL129">
        <v>0</v>
      </c>
      <c r="KW129">
        <v>14</v>
      </c>
      <c r="KX129">
        <v>81</v>
      </c>
      <c r="LN129">
        <v>1</v>
      </c>
      <c r="LW129">
        <v>59</v>
      </c>
      <c r="LZ129">
        <v>166</v>
      </c>
      <c r="MA129">
        <v>1</v>
      </c>
      <c r="ME129">
        <v>2</v>
      </c>
      <c r="MF129">
        <v>10</v>
      </c>
      <c r="MH129">
        <v>24</v>
      </c>
      <c r="MK129">
        <v>2</v>
      </c>
      <c r="MN129">
        <v>2</v>
      </c>
      <c r="MO129">
        <v>295</v>
      </c>
      <c r="MQ129">
        <v>7</v>
      </c>
      <c r="MY129">
        <v>2</v>
      </c>
      <c r="MZ129">
        <v>157</v>
      </c>
      <c r="NB129">
        <v>20</v>
      </c>
      <c r="NC129">
        <v>29</v>
      </c>
      <c r="NE129">
        <v>114</v>
      </c>
      <c r="NO129">
        <v>60</v>
      </c>
      <c r="NP129">
        <v>6</v>
      </c>
      <c r="NR129">
        <v>16</v>
      </c>
      <c r="NX129">
        <v>1</v>
      </c>
      <c r="OA129">
        <v>5</v>
      </c>
      <c r="OB129">
        <v>1</v>
      </c>
      <c r="OD129">
        <v>6</v>
      </c>
      <c r="OE129">
        <v>67</v>
      </c>
      <c r="OL129">
        <v>176</v>
      </c>
      <c r="ON129">
        <v>1279</v>
      </c>
      <c r="OO129">
        <v>5862</v>
      </c>
      <c r="OQ129">
        <v>2346</v>
      </c>
      <c r="OU129">
        <v>-36</v>
      </c>
      <c r="OV129">
        <v>294</v>
      </c>
      <c r="PF129">
        <v>372</v>
      </c>
      <c r="PI129">
        <v>8837</v>
      </c>
      <c r="PM129" t="str">
        <f>IFERROR(VLOOKUP($A129&amp;"",Key!$A:$C,3,FALSE),"")</f>
        <v>ISIC 26</v>
      </c>
    </row>
    <row r="130" spans="1:429" x14ac:dyDescent="0.25">
      <c r="A130">
        <v>334515</v>
      </c>
      <c r="B130" t="s">
        <v>265</v>
      </c>
      <c r="CM130">
        <v>243</v>
      </c>
      <c r="CU130">
        <v>211</v>
      </c>
      <c r="CV130">
        <v>60</v>
      </c>
      <c r="DK130">
        <v>7</v>
      </c>
      <c r="DL130">
        <v>26</v>
      </c>
      <c r="DM130">
        <v>326</v>
      </c>
      <c r="DN130">
        <v>59</v>
      </c>
      <c r="DO130">
        <v>147</v>
      </c>
      <c r="DP130">
        <v>27</v>
      </c>
      <c r="DQ130">
        <v>274</v>
      </c>
      <c r="DS130">
        <v>1512</v>
      </c>
      <c r="DT130">
        <v>19</v>
      </c>
      <c r="DU130">
        <v>301</v>
      </c>
      <c r="DV130">
        <v>287</v>
      </c>
      <c r="DW130">
        <v>861</v>
      </c>
      <c r="DX130">
        <v>398</v>
      </c>
      <c r="DZ130">
        <v>32</v>
      </c>
      <c r="EP130">
        <v>126</v>
      </c>
      <c r="KZ130">
        <v>7</v>
      </c>
      <c r="OO130">
        <v>4921</v>
      </c>
      <c r="OQ130">
        <v>6649</v>
      </c>
      <c r="OU130">
        <v>191</v>
      </c>
      <c r="OV130">
        <v>6110</v>
      </c>
      <c r="OX130">
        <v>2393</v>
      </c>
      <c r="PB130">
        <v>93</v>
      </c>
      <c r="PF130">
        <v>31</v>
      </c>
      <c r="PI130">
        <v>20388</v>
      </c>
      <c r="PM130" t="str">
        <f>IFERROR(VLOOKUP($A130&amp;"",Key!$A:$C,3,FALSE),"")</f>
        <v>ISIC 26</v>
      </c>
    </row>
    <row r="131" spans="1:429" x14ac:dyDescent="0.25">
      <c r="A131">
        <v>334516</v>
      </c>
      <c r="B131" t="s">
        <v>266</v>
      </c>
      <c r="DS131">
        <v>96</v>
      </c>
      <c r="DX131">
        <v>11</v>
      </c>
      <c r="FY131">
        <v>192</v>
      </c>
      <c r="IX131">
        <v>6</v>
      </c>
      <c r="KZ131">
        <v>3</v>
      </c>
      <c r="LT131">
        <v>272</v>
      </c>
      <c r="LV131">
        <v>45</v>
      </c>
      <c r="LW131">
        <v>1869</v>
      </c>
      <c r="LX131">
        <v>12</v>
      </c>
      <c r="LZ131">
        <v>24</v>
      </c>
      <c r="ME131">
        <v>299</v>
      </c>
      <c r="MG131">
        <v>8</v>
      </c>
      <c r="MI131">
        <v>35</v>
      </c>
      <c r="MK131">
        <v>24</v>
      </c>
      <c r="MO131">
        <v>42</v>
      </c>
      <c r="MP131">
        <v>92</v>
      </c>
      <c r="MU131">
        <v>67</v>
      </c>
      <c r="MV131">
        <v>25</v>
      </c>
      <c r="MX131">
        <v>603</v>
      </c>
      <c r="MY131">
        <v>298</v>
      </c>
      <c r="MZ131">
        <v>139</v>
      </c>
      <c r="ON131">
        <v>141</v>
      </c>
      <c r="OO131">
        <v>4302</v>
      </c>
      <c r="OQ131">
        <v>13111</v>
      </c>
      <c r="OU131">
        <v>22</v>
      </c>
      <c r="OV131">
        <v>7502</v>
      </c>
      <c r="PB131">
        <v>1</v>
      </c>
      <c r="PF131">
        <v>270</v>
      </c>
      <c r="PI131">
        <v>25207</v>
      </c>
      <c r="PM131" t="str">
        <f>IFERROR(VLOOKUP($A131&amp;"",Key!$A:$C,3,FALSE),"")</f>
        <v>ISIC 26</v>
      </c>
    </row>
    <row r="132" spans="1:429" x14ac:dyDescent="0.25">
      <c r="A132">
        <v>334517</v>
      </c>
      <c r="B132" t="s">
        <v>267</v>
      </c>
      <c r="AL132">
        <v>58</v>
      </c>
      <c r="DS132">
        <v>66</v>
      </c>
      <c r="DY132">
        <v>68</v>
      </c>
      <c r="FO132">
        <v>19</v>
      </c>
      <c r="LZ132">
        <v>4</v>
      </c>
      <c r="MS132">
        <v>79</v>
      </c>
      <c r="MT132">
        <v>225</v>
      </c>
      <c r="MW132">
        <v>185</v>
      </c>
      <c r="OO132">
        <v>704</v>
      </c>
      <c r="OQ132">
        <v>11979</v>
      </c>
      <c r="OU132">
        <v>78</v>
      </c>
      <c r="OV132">
        <v>3931</v>
      </c>
      <c r="OX132">
        <v>282</v>
      </c>
      <c r="PB132">
        <v>73</v>
      </c>
      <c r="PF132">
        <v>174</v>
      </c>
      <c r="PI132">
        <v>17220</v>
      </c>
      <c r="PM132" t="str">
        <f>IFERROR(VLOOKUP($A132&amp;"",Key!$A:$C,3,FALSE),"")</f>
        <v>ISIC 26</v>
      </c>
    </row>
    <row r="133" spans="1:429" x14ac:dyDescent="0.25">
      <c r="A133" t="s">
        <v>587</v>
      </c>
      <c r="B133" t="s">
        <v>268</v>
      </c>
      <c r="I133">
        <v>4</v>
      </c>
      <c r="V133">
        <v>34</v>
      </c>
      <c r="W133">
        <v>110</v>
      </c>
      <c r="AA133">
        <v>6</v>
      </c>
      <c r="AB133">
        <v>33</v>
      </c>
      <c r="AE133">
        <v>110</v>
      </c>
      <c r="AH133">
        <v>7</v>
      </c>
      <c r="AK133">
        <v>10</v>
      </c>
      <c r="AP133">
        <v>37</v>
      </c>
      <c r="BP133">
        <v>0</v>
      </c>
      <c r="CI133">
        <v>0</v>
      </c>
      <c r="CJ133">
        <v>1</v>
      </c>
      <c r="CQ133">
        <v>0</v>
      </c>
      <c r="CU133">
        <v>0</v>
      </c>
      <c r="CV133">
        <v>0</v>
      </c>
      <c r="DB133">
        <v>0</v>
      </c>
      <c r="DG133">
        <v>0</v>
      </c>
      <c r="DS133">
        <v>340</v>
      </c>
      <c r="DZ133">
        <v>564</v>
      </c>
      <c r="EE133">
        <v>27</v>
      </c>
      <c r="EF133">
        <v>124</v>
      </c>
      <c r="EJ133">
        <v>9</v>
      </c>
      <c r="ES133">
        <v>0</v>
      </c>
      <c r="EY133">
        <v>0</v>
      </c>
      <c r="FD133">
        <v>0</v>
      </c>
      <c r="FE133">
        <v>1388</v>
      </c>
      <c r="FF133">
        <v>54</v>
      </c>
      <c r="FG133">
        <v>1</v>
      </c>
      <c r="FH133">
        <v>1</v>
      </c>
      <c r="GH133">
        <v>1</v>
      </c>
      <c r="IE133">
        <v>15</v>
      </c>
      <c r="JQ133">
        <v>0</v>
      </c>
      <c r="JR133">
        <v>0</v>
      </c>
      <c r="JT133">
        <v>162</v>
      </c>
      <c r="JV133">
        <v>8</v>
      </c>
      <c r="KK133">
        <v>1</v>
      </c>
      <c r="KX133">
        <v>9</v>
      </c>
      <c r="KZ133">
        <v>5</v>
      </c>
      <c r="LO133">
        <v>0</v>
      </c>
      <c r="LT133">
        <v>333</v>
      </c>
      <c r="LW133">
        <v>220</v>
      </c>
      <c r="LZ133">
        <v>52</v>
      </c>
      <c r="MF133">
        <v>5</v>
      </c>
      <c r="MK133">
        <v>0</v>
      </c>
      <c r="MY133">
        <v>0</v>
      </c>
      <c r="MZ133">
        <v>76</v>
      </c>
      <c r="NE133">
        <v>3</v>
      </c>
      <c r="NS133">
        <v>79</v>
      </c>
      <c r="NU133">
        <v>10</v>
      </c>
      <c r="NY133">
        <v>0</v>
      </c>
      <c r="NZ133">
        <v>0</v>
      </c>
      <c r="OA133">
        <v>17</v>
      </c>
      <c r="OB133">
        <v>28</v>
      </c>
      <c r="OD133">
        <v>374</v>
      </c>
      <c r="OE133">
        <v>763</v>
      </c>
      <c r="OI133">
        <v>11</v>
      </c>
      <c r="OJ133">
        <v>51</v>
      </c>
      <c r="OK133">
        <v>116</v>
      </c>
      <c r="ON133">
        <v>155</v>
      </c>
      <c r="OO133">
        <v>5357</v>
      </c>
      <c r="OP133">
        <v>13480</v>
      </c>
      <c r="OQ133">
        <v>8339</v>
      </c>
      <c r="OU133">
        <v>-170</v>
      </c>
      <c r="OV133">
        <v>3236</v>
      </c>
      <c r="PF133">
        <v>206</v>
      </c>
      <c r="PI133">
        <v>30448</v>
      </c>
      <c r="PM133" t="str">
        <f>IFERROR(VLOOKUP($A133&amp;"",Key!$A:$C,3,FALSE),"")</f>
        <v>ISIC 26</v>
      </c>
    </row>
    <row r="134" spans="1:429" x14ac:dyDescent="0.25">
      <c r="A134">
        <v>334300</v>
      </c>
      <c r="B134" t="s">
        <v>269</v>
      </c>
      <c r="AB134">
        <v>31</v>
      </c>
      <c r="DL134">
        <v>1</v>
      </c>
      <c r="DM134">
        <v>8</v>
      </c>
      <c r="DN134">
        <v>9</v>
      </c>
      <c r="DO134">
        <v>7</v>
      </c>
      <c r="DQ134">
        <v>23</v>
      </c>
      <c r="DS134">
        <v>4</v>
      </c>
      <c r="EA134">
        <v>215</v>
      </c>
      <c r="EP134">
        <v>0</v>
      </c>
      <c r="EQ134">
        <v>267</v>
      </c>
      <c r="ER134">
        <v>2130</v>
      </c>
      <c r="ES134">
        <v>51</v>
      </c>
      <c r="IB134">
        <v>10</v>
      </c>
      <c r="JK134">
        <v>2</v>
      </c>
      <c r="JM134">
        <v>0</v>
      </c>
      <c r="JO134">
        <v>1</v>
      </c>
      <c r="JQ134">
        <v>2</v>
      </c>
      <c r="JR134">
        <v>1</v>
      </c>
      <c r="JV134">
        <v>142</v>
      </c>
      <c r="JW134">
        <v>61</v>
      </c>
      <c r="JX134">
        <v>2</v>
      </c>
      <c r="JY134">
        <v>31</v>
      </c>
      <c r="JZ134">
        <v>41</v>
      </c>
      <c r="KA134">
        <v>66</v>
      </c>
      <c r="KB134">
        <v>1</v>
      </c>
      <c r="KC134">
        <v>34</v>
      </c>
      <c r="KK134">
        <v>21</v>
      </c>
      <c r="KM134">
        <v>1</v>
      </c>
      <c r="KQ134">
        <v>1</v>
      </c>
      <c r="KR134">
        <v>15</v>
      </c>
      <c r="KZ134">
        <v>3</v>
      </c>
      <c r="LD134">
        <v>8</v>
      </c>
      <c r="LM134">
        <v>1</v>
      </c>
      <c r="LO134">
        <v>1</v>
      </c>
      <c r="LR134">
        <v>2</v>
      </c>
      <c r="LS134">
        <v>1</v>
      </c>
      <c r="LU134">
        <v>2</v>
      </c>
      <c r="LW134">
        <v>1</v>
      </c>
      <c r="LX134">
        <v>48</v>
      </c>
      <c r="LZ134">
        <v>3</v>
      </c>
      <c r="MA134">
        <v>4</v>
      </c>
      <c r="ME134">
        <v>3</v>
      </c>
      <c r="MF134">
        <v>13</v>
      </c>
      <c r="MH134">
        <v>44</v>
      </c>
      <c r="MI134">
        <v>6</v>
      </c>
      <c r="MJ134">
        <v>1</v>
      </c>
      <c r="MK134">
        <v>6</v>
      </c>
      <c r="ML134">
        <v>1</v>
      </c>
      <c r="MN134">
        <v>2</v>
      </c>
      <c r="MP134">
        <v>2</v>
      </c>
      <c r="MR134">
        <v>58</v>
      </c>
      <c r="MS134">
        <v>2</v>
      </c>
      <c r="NA134">
        <v>2</v>
      </c>
      <c r="NN134">
        <v>1</v>
      </c>
      <c r="NO134">
        <v>2</v>
      </c>
      <c r="NP134">
        <v>4</v>
      </c>
      <c r="NR134">
        <v>1</v>
      </c>
      <c r="NS134">
        <v>10</v>
      </c>
      <c r="OB134">
        <v>3</v>
      </c>
      <c r="OE134">
        <v>325</v>
      </c>
      <c r="OI134">
        <v>25</v>
      </c>
      <c r="OJ134">
        <v>1</v>
      </c>
      <c r="OK134">
        <v>12</v>
      </c>
      <c r="OO134">
        <v>3768</v>
      </c>
      <c r="OP134">
        <v>45335</v>
      </c>
      <c r="OQ134">
        <v>6636</v>
      </c>
      <c r="OS134">
        <v>354</v>
      </c>
      <c r="OU134">
        <v>-175</v>
      </c>
      <c r="OV134">
        <v>3209</v>
      </c>
      <c r="PF134">
        <v>3394</v>
      </c>
      <c r="PI134">
        <v>62522</v>
      </c>
      <c r="PM134" t="str">
        <f>IFERROR(VLOOKUP($A134&amp;"",Key!$A:$C,3,FALSE),"")</f>
        <v>ISIC 26</v>
      </c>
    </row>
    <row r="135" spans="1:429" x14ac:dyDescent="0.25">
      <c r="A135">
        <v>334610</v>
      </c>
      <c r="B135" t="s">
        <v>270</v>
      </c>
      <c r="AC135">
        <v>0</v>
      </c>
      <c r="AE135">
        <v>1</v>
      </c>
      <c r="AP135">
        <v>1</v>
      </c>
      <c r="CO135">
        <v>4</v>
      </c>
      <c r="DI135">
        <v>12</v>
      </c>
      <c r="DJ135">
        <v>4</v>
      </c>
      <c r="DK135">
        <v>1</v>
      </c>
      <c r="DS135">
        <v>32</v>
      </c>
      <c r="EB135">
        <v>111</v>
      </c>
      <c r="FC135">
        <v>10</v>
      </c>
      <c r="GH135">
        <v>3</v>
      </c>
      <c r="IE135">
        <v>0</v>
      </c>
      <c r="JK135">
        <v>1</v>
      </c>
      <c r="JL135">
        <v>3</v>
      </c>
      <c r="JM135">
        <v>1</v>
      </c>
      <c r="JN135">
        <v>2</v>
      </c>
      <c r="JO135">
        <v>5</v>
      </c>
      <c r="JP135">
        <v>4</v>
      </c>
      <c r="JQ135">
        <v>2</v>
      </c>
      <c r="JR135">
        <v>6</v>
      </c>
      <c r="JS135">
        <v>4</v>
      </c>
      <c r="JV135">
        <v>2</v>
      </c>
      <c r="JW135">
        <v>1</v>
      </c>
      <c r="JX135">
        <v>0</v>
      </c>
      <c r="JY135">
        <v>2</v>
      </c>
      <c r="JZ135">
        <v>1</v>
      </c>
      <c r="KA135">
        <v>1</v>
      </c>
      <c r="KB135">
        <v>2</v>
      </c>
      <c r="KC135">
        <v>2</v>
      </c>
      <c r="KD135">
        <v>3</v>
      </c>
      <c r="KJ135">
        <v>1</v>
      </c>
      <c r="KK135">
        <v>1</v>
      </c>
      <c r="KM135">
        <v>11</v>
      </c>
      <c r="KR135">
        <v>35</v>
      </c>
      <c r="KS135">
        <v>230</v>
      </c>
      <c r="KT135">
        <v>232</v>
      </c>
      <c r="KV135">
        <v>12</v>
      </c>
      <c r="KW135">
        <v>19</v>
      </c>
      <c r="KX135">
        <v>15</v>
      </c>
      <c r="KY135">
        <v>2</v>
      </c>
      <c r="KZ135">
        <v>1</v>
      </c>
      <c r="LB135">
        <v>0</v>
      </c>
      <c r="LC135">
        <v>22</v>
      </c>
      <c r="LD135">
        <v>29</v>
      </c>
      <c r="LE135">
        <v>23</v>
      </c>
      <c r="LF135">
        <v>4</v>
      </c>
      <c r="LR135">
        <v>115</v>
      </c>
      <c r="LS135">
        <v>0</v>
      </c>
      <c r="LT135">
        <v>18</v>
      </c>
      <c r="LU135">
        <v>0</v>
      </c>
      <c r="LV135">
        <v>84</v>
      </c>
      <c r="LW135">
        <v>31</v>
      </c>
      <c r="LX135">
        <v>10</v>
      </c>
      <c r="LY135">
        <v>16</v>
      </c>
      <c r="LZ135">
        <v>10</v>
      </c>
      <c r="MA135">
        <v>57</v>
      </c>
      <c r="MC135">
        <v>53</v>
      </c>
      <c r="MD135">
        <v>1</v>
      </c>
      <c r="ME135">
        <v>282</v>
      </c>
      <c r="MF135">
        <v>0</v>
      </c>
      <c r="MG135">
        <v>7</v>
      </c>
      <c r="MH135">
        <v>7</v>
      </c>
      <c r="MI135">
        <v>30</v>
      </c>
      <c r="MJ135">
        <v>0</v>
      </c>
      <c r="MK135">
        <v>37</v>
      </c>
      <c r="ML135">
        <v>9</v>
      </c>
      <c r="MM135">
        <v>60</v>
      </c>
      <c r="MN135">
        <v>86</v>
      </c>
      <c r="MO135">
        <v>1</v>
      </c>
      <c r="MR135">
        <v>13</v>
      </c>
      <c r="MS135">
        <v>35</v>
      </c>
      <c r="MT135">
        <v>12</v>
      </c>
      <c r="MU135">
        <v>1</v>
      </c>
      <c r="MV135">
        <v>1</v>
      </c>
      <c r="MX135">
        <v>0</v>
      </c>
      <c r="MY135">
        <v>3</v>
      </c>
      <c r="MZ135">
        <v>7</v>
      </c>
      <c r="NA135">
        <v>2</v>
      </c>
      <c r="NB135">
        <v>0</v>
      </c>
      <c r="NC135">
        <v>0</v>
      </c>
      <c r="NE135">
        <v>1</v>
      </c>
      <c r="NK135">
        <v>0</v>
      </c>
      <c r="NM135">
        <v>1</v>
      </c>
      <c r="NN135">
        <v>280</v>
      </c>
      <c r="NO135">
        <v>6</v>
      </c>
      <c r="NP135">
        <v>9</v>
      </c>
      <c r="NR135">
        <v>0</v>
      </c>
      <c r="NS135">
        <v>2</v>
      </c>
      <c r="NT135">
        <v>0</v>
      </c>
      <c r="NV135">
        <v>2</v>
      </c>
      <c r="NZ135">
        <v>11</v>
      </c>
      <c r="OA135">
        <v>3</v>
      </c>
      <c r="OB135">
        <v>18</v>
      </c>
      <c r="OD135">
        <v>11</v>
      </c>
      <c r="OE135">
        <v>23</v>
      </c>
      <c r="OI135">
        <v>17</v>
      </c>
      <c r="OK135">
        <v>12</v>
      </c>
      <c r="ON135">
        <v>31</v>
      </c>
      <c r="OO135">
        <v>2276</v>
      </c>
      <c r="OP135">
        <v>319</v>
      </c>
      <c r="OQ135">
        <v>93</v>
      </c>
      <c r="OU135">
        <v>-14</v>
      </c>
      <c r="OV135">
        <v>267</v>
      </c>
      <c r="PI135">
        <v>2942</v>
      </c>
      <c r="PM135" t="str">
        <f>IFERROR(VLOOKUP($A135&amp;"",Key!$A:$C,3,FALSE),"")</f>
        <v>ISIC 26</v>
      </c>
    </row>
    <row r="136" spans="1:429" x14ac:dyDescent="0.25">
      <c r="A136">
        <v>335110</v>
      </c>
      <c r="B136" t="s">
        <v>271</v>
      </c>
      <c r="I136">
        <v>1</v>
      </c>
      <c r="J136">
        <v>0</v>
      </c>
      <c r="N136">
        <v>1</v>
      </c>
      <c r="X136">
        <v>0</v>
      </c>
      <c r="AA136">
        <v>2</v>
      </c>
      <c r="AB136">
        <v>5</v>
      </c>
      <c r="AC136">
        <v>6</v>
      </c>
      <c r="AD136">
        <v>1</v>
      </c>
      <c r="AE136">
        <v>2</v>
      </c>
      <c r="AG136">
        <v>6</v>
      </c>
      <c r="AI136">
        <v>0</v>
      </c>
      <c r="AJ136">
        <v>1</v>
      </c>
      <c r="AK136">
        <v>3</v>
      </c>
      <c r="AL136">
        <v>2</v>
      </c>
      <c r="AR136">
        <v>0</v>
      </c>
      <c r="BP136">
        <v>1</v>
      </c>
      <c r="CI136">
        <v>1</v>
      </c>
      <c r="CJ136">
        <v>3</v>
      </c>
      <c r="CN136">
        <v>1</v>
      </c>
      <c r="CQ136">
        <v>2</v>
      </c>
      <c r="CU136">
        <v>1</v>
      </c>
      <c r="CV136">
        <v>1</v>
      </c>
      <c r="DB136">
        <v>2</v>
      </c>
      <c r="DG136">
        <v>2</v>
      </c>
      <c r="EC136">
        <v>279</v>
      </c>
      <c r="ED136">
        <v>585</v>
      </c>
      <c r="EF136">
        <v>2</v>
      </c>
      <c r="EH136">
        <v>0</v>
      </c>
      <c r="EQ136">
        <v>22</v>
      </c>
      <c r="ER136">
        <v>105</v>
      </c>
      <c r="ES136">
        <v>8</v>
      </c>
      <c r="ET136">
        <v>1</v>
      </c>
      <c r="EU136">
        <v>1</v>
      </c>
      <c r="EY136">
        <v>133</v>
      </c>
      <c r="FC136">
        <v>1</v>
      </c>
      <c r="FD136">
        <v>1</v>
      </c>
      <c r="FF136">
        <v>4</v>
      </c>
      <c r="FR136">
        <v>0</v>
      </c>
      <c r="FX136">
        <v>2</v>
      </c>
      <c r="FY136">
        <v>0</v>
      </c>
      <c r="GG136">
        <v>1</v>
      </c>
      <c r="GH136">
        <v>1</v>
      </c>
      <c r="GO136">
        <v>0</v>
      </c>
      <c r="GP136">
        <v>2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2</v>
      </c>
      <c r="GZ136">
        <v>1</v>
      </c>
      <c r="HA136">
        <v>2</v>
      </c>
      <c r="HB136">
        <v>6</v>
      </c>
      <c r="HF136">
        <v>1</v>
      </c>
      <c r="HG136">
        <v>5</v>
      </c>
      <c r="HH136">
        <v>1</v>
      </c>
      <c r="IV136">
        <v>1</v>
      </c>
      <c r="IW136">
        <v>5</v>
      </c>
      <c r="IX136">
        <v>1</v>
      </c>
      <c r="JF136">
        <v>0</v>
      </c>
      <c r="JG136">
        <v>1</v>
      </c>
      <c r="JJ136">
        <v>0</v>
      </c>
      <c r="JK136">
        <v>1</v>
      </c>
      <c r="JL136">
        <v>0</v>
      </c>
      <c r="JN136">
        <v>3</v>
      </c>
      <c r="JO136">
        <v>40</v>
      </c>
      <c r="JQ136">
        <v>5</v>
      </c>
      <c r="JS136">
        <v>0</v>
      </c>
      <c r="JV136">
        <v>1</v>
      </c>
      <c r="JW136">
        <v>0</v>
      </c>
      <c r="KB136">
        <v>0</v>
      </c>
      <c r="KC136">
        <v>1</v>
      </c>
      <c r="KL136">
        <v>0</v>
      </c>
      <c r="KM136">
        <v>25</v>
      </c>
      <c r="KX136">
        <v>0</v>
      </c>
      <c r="LD136">
        <v>1</v>
      </c>
      <c r="LI136">
        <v>1</v>
      </c>
      <c r="LM136">
        <v>8</v>
      </c>
      <c r="LR136">
        <v>1</v>
      </c>
      <c r="LV136">
        <v>0</v>
      </c>
      <c r="LW136">
        <v>3</v>
      </c>
      <c r="LX136">
        <v>14</v>
      </c>
      <c r="LZ136">
        <v>3</v>
      </c>
      <c r="MA136">
        <v>2</v>
      </c>
      <c r="ME136">
        <v>2</v>
      </c>
      <c r="MF136">
        <v>9</v>
      </c>
      <c r="MH136">
        <v>288</v>
      </c>
      <c r="MI136">
        <v>1</v>
      </c>
      <c r="MJ136">
        <v>1</v>
      </c>
      <c r="MK136">
        <v>1</v>
      </c>
      <c r="MP136">
        <v>19</v>
      </c>
      <c r="MQ136">
        <v>3</v>
      </c>
      <c r="MS136">
        <v>4</v>
      </c>
      <c r="MY136">
        <v>1</v>
      </c>
      <c r="MZ136">
        <v>16</v>
      </c>
      <c r="NA136">
        <v>2</v>
      </c>
      <c r="ND136">
        <v>1</v>
      </c>
      <c r="NE136">
        <v>1</v>
      </c>
      <c r="NG136">
        <v>0</v>
      </c>
      <c r="NM136">
        <v>1</v>
      </c>
      <c r="NN136">
        <v>3</v>
      </c>
      <c r="NP136">
        <v>3</v>
      </c>
      <c r="NR136">
        <v>4</v>
      </c>
      <c r="NZ136">
        <v>0</v>
      </c>
      <c r="OB136">
        <v>2</v>
      </c>
      <c r="OE136">
        <v>330</v>
      </c>
      <c r="OI136">
        <v>149</v>
      </c>
      <c r="OJ136">
        <v>97</v>
      </c>
      <c r="OK136">
        <v>190</v>
      </c>
      <c r="OO136">
        <v>2463</v>
      </c>
      <c r="OP136">
        <v>2817</v>
      </c>
      <c r="OU136">
        <v>20</v>
      </c>
      <c r="OV136">
        <v>379</v>
      </c>
      <c r="PI136">
        <v>5678</v>
      </c>
      <c r="PM136" t="str">
        <f>IFERROR(VLOOKUP($A136&amp;"",Key!$A:$C,3,FALSE),"")</f>
        <v>ISIC 27</v>
      </c>
    </row>
    <row r="137" spans="1:429" x14ac:dyDescent="0.25">
      <c r="A137">
        <v>335120</v>
      </c>
      <c r="B137" t="s">
        <v>272</v>
      </c>
      <c r="N137">
        <v>78</v>
      </c>
      <c r="P137">
        <v>56</v>
      </c>
      <c r="Q137">
        <v>26</v>
      </c>
      <c r="R137">
        <v>3</v>
      </c>
      <c r="T137">
        <v>18</v>
      </c>
      <c r="V137">
        <v>11</v>
      </c>
      <c r="W137">
        <v>68</v>
      </c>
      <c r="X137">
        <v>5</v>
      </c>
      <c r="Z137">
        <v>2</v>
      </c>
      <c r="AA137">
        <v>742</v>
      </c>
      <c r="AB137">
        <v>19</v>
      </c>
      <c r="AC137">
        <v>3386</v>
      </c>
      <c r="AD137">
        <v>258</v>
      </c>
      <c r="AE137">
        <v>1621</v>
      </c>
      <c r="AF137">
        <v>192</v>
      </c>
      <c r="AG137">
        <v>2055</v>
      </c>
      <c r="AH137">
        <v>2342</v>
      </c>
      <c r="AI137">
        <v>3461</v>
      </c>
      <c r="AJ137">
        <v>372</v>
      </c>
      <c r="AK137">
        <v>2275</v>
      </c>
      <c r="AL137">
        <v>1206</v>
      </c>
      <c r="AP137">
        <v>182</v>
      </c>
      <c r="BC137">
        <v>13</v>
      </c>
      <c r="BD137">
        <v>33</v>
      </c>
      <c r="BP137">
        <v>1</v>
      </c>
      <c r="CI137">
        <v>1</v>
      </c>
      <c r="CJ137">
        <v>2</v>
      </c>
      <c r="CN137">
        <v>11</v>
      </c>
      <c r="CQ137">
        <v>1</v>
      </c>
      <c r="CU137">
        <v>1</v>
      </c>
      <c r="CV137">
        <v>1</v>
      </c>
      <c r="CZ137">
        <v>72</v>
      </c>
      <c r="DB137">
        <v>1</v>
      </c>
      <c r="DG137">
        <v>1</v>
      </c>
      <c r="DK137">
        <v>1</v>
      </c>
      <c r="DO137">
        <v>7</v>
      </c>
      <c r="ED137">
        <v>225</v>
      </c>
      <c r="ET137">
        <v>157</v>
      </c>
      <c r="EV137">
        <v>2</v>
      </c>
      <c r="EY137">
        <v>1</v>
      </c>
      <c r="FC137">
        <v>77</v>
      </c>
      <c r="FD137">
        <v>1</v>
      </c>
      <c r="FF137">
        <v>3</v>
      </c>
      <c r="FJ137">
        <v>194</v>
      </c>
      <c r="FL137">
        <v>36</v>
      </c>
      <c r="FM137">
        <v>17</v>
      </c>
      <c r="FV137">
        <v>37</v>
      </c>
      <c r="FY137">
        <v>6</v>
      </c>
      <c r="GH137">
        <v>1</v>
      </c>
      <c r="IE137">
        <v>23</v>
      </c>
      <c r="JB137">
        <v>16</v>
      </c>
      <c r="JC137">
        <v>44</v>
      </c>
      <c r="JG137">
        <v>70</v>
      </c>
      <c r="JK137">
        <v>2</v>
      </c>
      <c r="JL137">
        <v>10</v>
      </c>
      <c r="JM137">
        <v>4</v>
      </c>
      <c r="JN137">
        <v>5</v>
      </c>
      <c r="JO137">
        <v>3</v>
      </c>
      <c r="JQ137">
        <v>12</v>
      </c>
      <c r="JR137">
        <v>11</v>
      </c>
      <c r="JS137">
        <v>11</v>
      </c>
      <c r="JT137">
        <v>0</v>
      </c>
      <c r="JV137">
        <v>8</v>
      </c>
      <c r="JW137">
        <v>11</v>
      </c>
      <c r="JX137">
        <v>11</v>
      </c>
      <c r="JY137">
        <v>28</v>
      </c>
      <c r="JZ137">
        <v>2</v>
      </c>
      <c r="KA137">
        <v>7</v>
      </c>
      <c r="KB137">
        <v>20</v>
      </c>
      <c r="KC137">
        <v>19</v>
      </c>
      <c r="KD137">
        <v>18</v>
      </c>
      <c r="KF137">
        <v>12</v>
      </c>
      <c r="KW137">
        <v>223</v>
      </c>
      <c r="KX137">
        <v>69</v>
      </c>
      <c r="KY137">
        <v>22</v>
      </c>
      <c r="KZ137">
        <v>22</v>
      </c>
      <c r="LC137">
        <v>85</v>
      </c>
      <c r="LD137">
        <v>84</v>
      </c>
      <c r="LE137">
        <v>18</v>
      </c>
      <c r="LF137">
        <v>9</v>
      </c>
      <c r="LK137">
        <v>1</v>
      </c>
      <c r="LL137">
        <v>0</v>
      </c>
      <c r="LM137">
        <v>2088</v>
      </c>
      <c r="LO137">
        <v>14</v>
      </c>
      <c r="LT137">
        <v>231</v>
      </c>
      <c r="LV137">
        <v>62</v>
      </c>
      <c r="LW137">
        <v>346</v>
      </c>
      <c r="LX137">
        <v>17</v>
      </c>
      <c r="LZ137">
        <v>271</v>
      </c>
      <c r="MB137">
        <v>151</v>
      </c>
      <c r="ME137">
        <v>460</v>
      </c>
      <c r="MF137">
        <v>58</v>
      </c>
      <c r="MG137">
        <v>12</v>
      </c>
      <c r="MH137">
        <v>435</v>
      </c>
      <c r="MI137">
        <v>49</v>
      </c>
      <c r="MJ137">
        <v>110</v>
      </c>
      <c r="MK137">
        <v>62</v>
      </c>
      <c r="MM137">
        <v>32</v>
      </c>
      <c r="MN137">
        <v>64</v>
      </c>
      <c r="MO137">
        <v>692</v>
      </c>
      <c r="MP137">
        <v>125</v>
      </c>
      <c r="MQ137">
        <v>87</v>
      </c>
      <c r="MS137">
        <v>3</v>
      </c>
      <c r="MT137">
        <v>3</v>
      </c>
      <c r="MZ137">
        <v>789</v>
      </c>
      <c r="NA137">
        <v>1005</v>
      </c>
      <c r="NB137">
        <v>3</v>
      </c>
      <c r="NC137">
        <v>3</v>
      </c>
      <c r="ND137">
        <v>18</v>
      </c>
      <c r="NE137">
        <v>3</v>
      </c>
      <c r="NF137">
        <v>56</v>
      </c>
      <c r="NK137">
        <v>8</v>
      </c>
      <c r="NL137">
        <v>248</v>
      </c>
      <c r="NM137">
        <v>57</v>
      </c>
      <c r="NN137">
        <v>1189</v>
      </c>
      <c r="NO137">
        <v>11</v>
      </c>
      <c r="NP137">
        <v>39</v>
      </c>
      <c r="NQ137">
        <v>1</v>
      </c>
      <c r="OB137">
        <v>15</v>
      </c>
      <c r="OI137">
        <v>110</v>
      </c>
      <c r="OJ137">
        <v>184</v>
      </c>
      <c r="OK137">
        <v>573</v>
      </c>
      <c r="OL137">
        <v>11</v>
      </c>
      <c r="OM137">
        <v>54</v>
      </c>
      <c r="ON137">
        <v>1471</v>
      </c>
      <c r="OO137">
        <v>31380</v>
      </c>
      <c r="OP137">
        <v>5824</v>
      </c>
      <c r="OQ137">
        <v>2439</v>
      </c>
      <c r="OU137">
        <v>226</v>
      </c>
      <c r="OV137">
        <v>1455</v>
      </c>
      <c r="PF137">
        <v>66</v>
      </c>
      <c r="PI137">
        <v>41389</v>
      </c>
      <c r="PM137" t="str">
        <f>IFERROR(VLOOKUP($A137&amp;"",Key!$A:$C,3,FALSE),"")</f>
        <v>ISIC 27</v>
      </c>
    </row>
    <row r="138" spans="1:429" x14ac:dyDescent="0.25">
      <c r="A138">
        <v>335210</v>
      </c>
      <c r="B138" t="s">
        <v>273</v>
      </c>
      <c r="AA138">
        <v>330</v>
      </c>
      <c r="AB138">
        <v>1308</v>
      </c>
      <c r="AC138">
        <v>222</v>
      </c>
      <c r="AD138">
        <v>29</v>
      </c>
      <c r="AE138">
        <v>200</v>
      </c>
      <c r="AF138">
        <v>22</v>
      </c>
      <c r="AG138">
        <v>120</v>
      </c>
      <c r="AH138">
        <v>26</v>
      </c>
      <c r="AI138">
        <v>84</v>
      </c>
      <c r="AJ138">
        <v>52</v>
      </c>
      <c r="AK138">
        <v>1581</v>
      </c>
      <c r="AL138">
        <v>175</v>
      </c>
      <c r="EE138">
        <v>3</v>
      </c>
      <c r="JG138">
        <v>320</v>
      </c>
      <c r="JX138">
        <v>391</v>
      </c>
      <c r="KB138">
        <v>0</v>
      </c>
      <c r="KW138">
        <v>17</v>
      </c>
      <c r="KX138">
        <v>107</v>
      </c>
      <c r="KY138">
        <v>4</v>
      </c>
      <c r="KZ138">
        <v>25</v>
      </c>
      <c r="LM138">
        <v>12</v>
      </c>
      <c r="MP138">
        <v>84</v>
      </c>
      <c r="MQ138">
        <v>1</v>
      </c>
      <c r="MR138">
        <v>264</v>
      </c>
      <c r="MZ138">
        <v>7</v>
      </c>
      <c r="NC138">
        <v>2</v>
      </c>
      <c r="ND138">
        <v>5</v>
      </c>
      <c r="NM138">
        <v>5</v>
      </c>
      <c r="NN138">
        <v>4</v>
      </c>
      <c r="NO138">
        <v>6</v>
      </c>
      <c r="NU138">
        <v>15</v>
      </c>
      <c r="NV138">
        <v>8</v>
      </c>
      <c r="OB138">
        <v>13</v>
      </c>
      <c r="OO138">
        <v>5444</v>
      </c>
      <c r="OP138">
        <v>19944</v>
      </c>
      <c r="OQ138">
        <v>432</v>
      </c>
      <c r="OS138">
        <v>53</v>
      </c>
      <c r="OU138">
        <v>119</v>
      </c>
      <c r="OV138">
        <v>1102</v>
      </c>
      <c r="OX138">
        <v>3</v>
      </c>
      <c r="PB138">
        <v>16</v>
      </c>
      <c r="PF138">
        <v>290</v>
      </c>
      <c r="PI138">
        <v>27402</v>
      </c>
      <c r="PM138" t="str">
        <f>IFERROR(VLOOKUP($A138&amp;"",Key!$A:$C,3,FALSE),"")</f>
        <v>ISIC 27</v>
      </c>
    </row>
    <row r="139" spans="1:429" x14ac:dyDescent="0.25">
      <c r="A139">
        <v>335220</v>
      </c>
      <c r="B139" t="s">
        <v>274</v>
      </c>
      <c r="AA139">
        <v>424</v>
      </c>
      <c r="AB139">
        <v>104</v>
      </c>
      <c r="AC139">
        <v>27</v>
      </c>
      <c r="AD139">
        <v>631</v>
      </c>
      <c r="AE139">
        <v>144</v>
      </c>
      <c r="AF139">
        <v>347</v>
      </c>
      <c r="AG139">
        <v>1602</v>
      </c>
      <c r="AI139">
        <v>134</v>
      </c>
      <c r="AK139">
        <v>1693</v>
      </c>
      <c r="AP139">
        <v>95</v>
      </c>
      <c r="EF139">
        <v>10</v>
      </c>
      <c r="EV139">
        <v>6</v>
      </c>
      <c r="EW139">
        <v>134</v>
      </c>
      <c r="JV139">
        <v>46</v>
      </c>
      <c r="JX139">
        <v>476</v>
      </c>
      <c r="KD139">
        <v>27</v>
      </c>
      <c r="LL139">
        <v>1</v>
      </c>
      <c r="MQ139">
        <v>0</v>
      </c>
      <c r="NN139">
        <v>4</v>
      </c>
      <c r="NU139">
        <v>1373</v>
      </c>
      <c r="NX139">
        <v>2192</v>
      </c>
      <c r="OD139">
        <v>21</v>
      </c>
      <c r="ON139">
        <v>245</v>
      </c>
      <c r="OO139">
        <v>9735</v>
      </c>
      <c r="OP139">
        <v>39010</v>
      </c>
      <c r="OQ139">
        <v>522</v>
      </c>
      <c r="OS139">
        <v>11265</v>
      </c>
      <c r="OU139">
        <v>471</v>
      </c>
      <c r="OV139">
        <v>2690</v>
      </c>
      <c r="OX139">
        <v>3</v>
      </c>
      <c r="PF139">
        <v>652</v>
      </c>
      <c r="PI139">
        <v>64346</v>
      </c>
      <c r="PM139" t="str">
        <f>IFERROR(VLOOKUP($A139&amp;"",Key!$A:$C,3,FALSE),"")</f>
        <v>ISIC 27</v>
      </c>
    </row>
    <row r="140" spans="1:429" x14ac:dyDescent="0.25">
      <c r="A140">
        <v>335311</v>
      </c>
      <c r="B140" t="s">
        <v>275</v>
      </c>
      <c r="AA140">
        <v>0</v>
      </c>
      <c r="AB140">
        <v>0</v>
      </c>
      <c r="AC140">
        <v>0</v>
      </c>
      <c r="AE140">
        <v>5</v>
      </c>
      <c r="AH140">
        <v>0</v>
      </c>
      <c r="AO140">
        <v>21</v>
      </c>
      <c r="AR140">
        <v>0</v>
      </c>
      <c r="BP140">
        <v>3</v>
      </c>
      <c r="CE140">
        <v>258</v>
      </c>
      <c r="CI140">
        <v>6</v>
      </c>
      <c r="CJ140">
        <v>4</v>
      </c>
      <c r="CK140">
        <v>1</v>
      </c>
      <c r="CL140">
        <v>22</v>
      </c>
      <c r="CO140">
        <v>1</v>
      </c>
      <c r="CQ140">
        <v>13</v>
      </c>
      <c r="CS140">
        <v>36</v>
      </c>
      <c r="CT140">
        <v>2</v>
      </c>
      <c r="CU140">
        <v>3</v>
      </c>
      <c r="CV140">
        <v>5</v>
      </c>
      <c r="DA140">
        <v>3</v>
      </c>
      <c r="DB140">
        <v>3</v>
      </c>
      <c r="DC140">
        <v>34</v>
      </c>
      <c r="DE140">
        <v>23</v>
      </c>
      <c r="DF140">
        <v>4</v>
      </c>
      <c r="DG140">
        <v>9</v>
      </c>
      <c r="DM140">
        <v>3</v>
      </c>
      <c r="DP140">
        <v>1</v>
      </c>
      <c r="DQ140">
        <v>1</v>
      </c>
      <c r="DR140">
        <v>11</v>
      </c>
      <c r="DU140">
        <v>2</v>
      </c>
      <c r="DV140">
        <v>1</v>
      </c>
      <c r="DW140">
        <v>8</v>
      </c>
      <c r="DX140">
        <v>2</v>
      </c>
      <c r="DY140">
        <v>121</v>
      </c>
      <c r="DZ140">
        <v>1</v>
      </c>
      <c r="ED140">
        <v>336</v>
      </c>
      <c r="EE140">
        <v>1</v>
      </c>
      <c r="EF140">
        <v>4</v>
      </c>
      <c r="EG140">
        <v>6</v>
      </c>
      <c r="EH140">
        <v>6</v>
      </c>
      <c r="EY140">
        <v>4</v>
      </c>
      <c r="FC140">
        <v>3</v>
      </c>
      <c r="FD140">
        <v>2</v>
      </c>
      <c r="FF140">
        <v>9</v>
      </c>
      <c r="FN140">
        <v>6</v>
      </c>
      <c r="FX140">
        <v>1</v>
      </c>
      <c r="FY140">
        <v>1</v>
      </c>
      <c r="GG140">
        <v>106</v>
      </c>
      <c r="GH140">
        <v>3</v>
      </c>
      <c r="GO140">
        <v>1</v>
      </c>
      <c r="GP140">
        <v>1</v>
      </c>
      <c r="GQ140">
        <v>1</v>
      </c>
      <c r="GR140">
        <v>0</v>
      </c>
      <c r="GS140">
        <v>0</v>
      </c>
      <c r="GT140">
        <v>0</v>
      </c>
      <c r="GU140">
        <v>0</v>
      </c>
      <c r="GV140">
        <v>0</v>
      </c>
      <c r="GZ140">
        <v>0</v>
      </c>
      <c r="HA140">
        <v>0</v>
      </c>
      <c r="HB140">
        <v>3</v>
      </c>
      <c r="HG140">
        <v>2</v>
      </c>
      <c r="HH140">
        <v>0</v>
      </c>
      <c r="HI140">
        <v>0</v>
      </c>
      <c r="IK140">
        <v>0</v>
      </c>
      <c r="IL140">
        <v>0</v>
      </c>
      <c r="IN140">
        <v>0</v>
      </c>
      <c r="IU140">
        <v>32</v>
      </c>
      <c r="IV140">
        <v>0</v>
      </c>
      <c r="IW140">
        <v>3</v>
      </c>
      <c r="IX140">
        <v>0</v>
      </c>
      <c r="IZ140">
        <v>0</v>
      </c>
      <c r="JA140">
        <v>0</v>
      </c>
      <c r="JF140">
        <v>0</v>
      </c>
      <c r="JK140">
        <v>0</v>
      </c>
      <c r="JL140">
        <v>5</v>
      </c>
      <c r="JM140">
        <v>3</v>
      </c>
      <c r="JN140">
        <v>0</v>
      </c>
      <c r="JO140">
        <v>2</v>
      </c>
      <c r="JQ140">
        <v>11</v>
      </c>
      <c r="JS140">
        <v>7</v>
      </c>
      <c r="JT140">
        <v>1</v>
      </c>
      <c r="KB140">
        <v>0</v>
      </c>
      <c r="KD140">
        <v>0</v>
      </c>
      <c r="KF140">
        <v>2</v>
      </c>
      <c r="KZ140">
        <v>2</v>
      </c>
      <c r="LV140">
        <v>1</v>
      </c>
      <c r="LX140">
        <v>2</v>
      </c>
      <c r="LZ140">
        <v>0</v>
      </c>
      <c r="MA140">
        <v>0</v>
      </c>
      <c r="ME140">
        <v>4</v>
      </c>
      <c r="MF140">
        <v>2</v>
      </c>
      <c r="MG140">
        <v>0</v>
      </c>
      <c r="MH140">
        <v>35</v>
      </c>
      <c r="MI140">
        <v>1</v>
      </c>
      <c r="MJ140">
        <v>3</v>
      </c>
      <c r="MK140">
        <v>0</v>
      </c>
      <c r="MQ140">
        <v>0</v>
      </c>
      <c r="MR140">
        <v>50</v>
      </c>
      <c r="MS140">
        <v>0</v>
      </c>
      <c r="NA140">
        <v>0</v>
      </c>
      <c r="ND140">
        <v>2</v>
      </c>
      <c r="NM140">
        <v>2</v>
      </c>
      <c r="NN140">
        <v>0</v>
      </c>
      <c r="NR140">
        <v>0</v>
      </c>
      <c r="OB140">
        <v>3</v>
      </c>
      <c r="OD140">
        <v>0</v>
      </c>
      <c r="OE140">
        <v>132</v>
      </c>
      <c r="ON140">
        <v>0</v>
      </c>
      <c r="OO140">
        <v>1416</v>
      </c>
      <c r="OP140">
        <v>11</v>
      </c>
      <c r="OQ140">
        <v>7595</v>
      </c>
      <c r="OU140">
        <v>43</v>
      </c>
      <c r="OV140">
        <v>522</v>
      </c>
      <c r="OX140">
        <v>0</v>
      </c>
      <c r="PB140">
        <v>236</v>
      </c>
      <c r="PF140">
        <v>86</v>
      </c>
      <c r="PI140">
        <v>9909</v>
      </c>
      <c r="PM140" t="str">
        <f>IFERROR(VLOOKUP($A140&amp;"",Key!$A:$C,3,FALSE),"")</f>
        <v>ISIC 27</v>
      </c>
    </row>
    <row r="141" spans="1:429" x14ac:dyDescent="0.25">
      <c r="A141">
        <v>335312</v>
      </c>
      <c r="B141" t="s">
        <v>276</v>
      </c>
      <c r="C141">
        <v>3</v>
      </c>
      <c r="D141">
        <v>11</v>
      </c>
      <c r="E141">
        <v>1</v>
      </c>
      <c r="F141">
        <v>1</v>
      </c>
      <c r="G141">
        <v>1</v>
      </c>
      <c r="H141">
        <v>0</v>
      </c>
      <c r="I141">
        <v>11</v>
      </c>
      <c r="L141">
        <v>0</v>
      </c>
      <c r="N141">
        <v>19</v>
      </c>
      <c r="P141">
        <v>38</v>
      </c>
      <c r="R141">
        <v>1</v>
      </c>
      <c r="V141">
        <v>20</v>
      </c>
      <c r="X141">
        <v>1</v>
      </c>
      <c r="Y141">
        <v>3</v>
      </c>
      <c r="AA141">
        <v>196</v>
      </c>
      <c r="AB141">
        <v>439</v>
      </c>
      <c r="AC141">
        <v>462</v>
      </c>
      <c r="AD141">
        <v>164</v>
      </c>
      <c r="AE141">
        <v>118</v>
      </c>
      <c r="AF141">
        <v>22</v>
      </c>
      <c r="AG141">
        <v>185</v>
      </c>
      <c r="AH141">
        <v>4</v>
      </c>
      <c r="AI141">
        <v>167</v>
      </c>
      <c r="AJ141">
        <v>50</v>
      </c>
      <c r="AK141">
        <v>267</v>
      </c>
      <c r="AL141">
        <v>21</v>
      </c>
      <c r="BP141">
        <v>5</v>
      </c>
      <c r="BV141">
        <v>30</v>
      </c>
      <c r="BX141">
        <v>467</v>
      </c>
      <c r="CB141">
        <v>299</v>
      </c>
      <c r="CC141">
        <v>14</v>
      </c>
      <c r="CF141">
        <v>217</v>
      </c>
      <c r="CG141">
        <v>173</v>
      </c>
      <c r="CH141">
        <v>16</v>
      </c>
      <c r="CI141">
        <v>160</v>
      </c>
      <c r="CJ141">
        <v>66</v>
      </c>
      <c r="CK141">
        <v>40</v>
      </c>
      <c r="CL141">
        <v>564</v>
      </c>
      <c r="CM141">
        <v>4</v>
      </c>
      <c r="CN141">
        <v>20</v>
      </c>
      <c r="CO141">
        <v>271</v>
      </c>
      <c r="CP141">
        <v>69</v>
      </c>
      <c r="CQ141">
        <v>1294</v>
      </c>
      <c r="CR141">
        <v>332</v>
      </c>
      <c r="CU141">
        <v>160</v>
      </c>
      <c r="CV141">
        <v>151</v>
      </c>
      <c r="CW141">
        <v>335</v>
      </c>
      <c r="CX141">
        <v>15</v>
      </c>
      <c r="CY141">
        <v>27</v>
      </c>
      <c r="CZ141">
        <v>92</v>
      </c>
      <c r="DA141">
        <v>574</v>
      </c>
      <c r="DB141">
        <v>1330</v>
      </c>
      <c r="DC141">
        <v>308</v>
      </c>
      <c r="DD141">
        <v>126</v>
      </c>
      <c r="DE141">
        <v>49</v>
      </c>
      <c r="DG141">
        <v>94</v>
      </c>
      <c r="DH141">
        <v>267</v>
      </c>
      <c r="DJ141">
        <v>3</v>
      </c>
      <c r="DK141">
        <v>10</v>
      </c>
      <c r="DL141">
        <v>18</v>
      </c>
      <c r="DM141">
        <v>26</v>
      </c>
      <c r="DN141">
        <v>11</v>
      </c>
      <c r="DO141">
        <v>40</v>
      </c>
      <c r="DP141">
        <v>1</v>
      </c>
      <c r="DQ141">
        <v>31</v>
      </c>
      <c r="DR141">
        <v>14</v>
      </c>
      <c r="DS141">
        <v>199</v>
      </c>
      <c r="DT141">
        <v>0</v>
      </c>
      <c r="DU141">
        <v>12</v>
      </c>
      <c r="DV141">
        <v>8</v>
      </c>
      <c r="DW141">
        <v>11</v>
      </c>
      <c r="DX141">
        <v>67</v>
      </c>
      <c r="DY141">
        <v>1</v>
      </c>
      <c r="DZ141">
        <v>136</v>
      </c>
      <c r="EE141">
        <v>326</v>
      </c>
      <c r="EF141">
        <v>652</v>
      </c>
      <c r="EH141">
        <v>2178</v>
      </c>
      <c r="EP141">
        <v>32</v>
      </c>
      <c r="ES141">
        <v>1</v>
      </c>
      <c r="EX141">
        <v>6</v>
      </c>
      <c r="EY141">
        <v>6</v>
      </c>
      <c r="EZ141">
        <v>12</v>
      </c>
      <c r="FC141">
        <v>130</v>
      </c>
      <c r="FD141">
        <v>4</v>
      </c>
      <c r="FE141">
        <v>259</v>
      </c>
      <c r="FF141">
        <v>15</v>
      </c>
      <c r="FH141">
        <v>21</v>
      </c>
      <c r="FJ141">
        <v>16</v>
      </c>
      <c r="FK141">
        <v>275</v>
      </c>
      <c r="FL141">
        <v>80</v>
      </c>
      <c r="FX141">
        <v>215</v>
      </c>
      <c r="FY141">
        <v>187</v>
      </c>
      <c r="GH141">
        <v>3</v>
      </c>
      <c r="JK141">
        <v>0</v>
      </c>
      <c r="JL141">
        <v>0</v>
      </c>
      <c r="JM141">
        <v>0</v>
      </c>
      <c r="JN141">
        <v>0</v>
      </c>
      <c r="JO141">
        <v>0</v>
      </c>
      <c r="JR141">
        <v>0</v>
      </c>
      <c r="JT141">
        <v>0</v>
      </c>
      <c r="JV141">
        <v>125</v>
      </c>
      <c r="KB141">
        <v>1</v>
      </c>
      <c r="KF141">
        <v>2</v>
      </c>
      <c r="KH141">
        <v>114</v>
      </c>
      <c r="KI141">
        <v>30</v>
      </c>
      <c r="KJ141">
        <v>2</v>
      </c>
      <c r="KK141">
        <v>12</v>
      </c>
      <c r="KL141">
        <v>0</v>
      </c>
      <c r="KM141">
        <v>140</v>
      </c>
      <c r="KR141">
        <v>0</v>
      </c>
      <c r="KW141">
        <v>22</v>
      </c>
      <c r="KX141">
        <v>65</v>
      </c>
      <c r="KY141">
        <v>2</v>
      </c>
      <c r="KZ141">
        <v>2</v>
      </c>
      <c r="LW141">
        <v>301</v>
      </c>
      <c r="LZ141">
        <v>100</v>
      </c>
      <c r="MF141">
        <v>4</v>
      </c>
      <c r="MH141">
        <v>35</v>
      </c>
      <c r="MM141">
        <v>4</v>
      </c>
      <c r="MO141">
        <v>56</v>
      </c>
      <c r="MQ141">
        <v>0</v>
      </c>
      <c r="NM141">
        <v>11</v>
      </c>
      <c r="NN141">
        <v>3</v>
      </c>
      <c r="NR141">
        <v>375</v>
      </c>
      <c r="NS141">
        <v>91</v>
      </c>
      <c r="NT141">
        <v>333</v>
      </c>
      <c r="OD141">
        <v>190</v>
      </c>
      <c r="OE141">
        <v>136</v>
      </c>
      <c r="OI141">
        <v>240</v>
      </c>
      <c r="OL141">
        <v>1180</v>
      </c>
      <c r="OM141">
        <v>14</v>
      </c>
      <c r="ON141">
        <v>378</v>
      </c>
      <c r="OO141">
        <v>18757</v>
      </c>
      <c r="OP141">
        <v>455</v>
      </c>
      <c r="OQ141">
        <v>3579</v>
      </c>
      <c r="OU141">
        <v>227</v>
      </c>
      <c r="OV141">
        <v>4804</v>
      </c>
      <c r="OX141">
        <v>10</v>
      </c>
      <c r="PB141">
        <v>92</v>
      </c>
      <c r="PF141">
        <v>174</v>
      </c>
      <c r="PI141">
        <v>28099</v>
      </c>
      <c r="PM141" t="str">
        <f>IFERROR(VLOOKUP($A141&amp;"",Key!$A:$C,3,FALSE),"")</f>
        <v>ISIC 27</v>
      </c>
    </row>
    <row r="142" spans="1:429" x14ac:dyDescent="0.25">
      <c r="A142">
        <v>335313</v>
      </c>
      <c r="B142" t="s">
        <v>277</v>
      </c>
      <c r="Z142">
        <v>0</v>
      </c>
      <c r="AA142">
        <v>117</v>
      </c>
      <c r="AB142">
        <v>261</v>
      </c>
      <c r="AC142">
        <v>574</v>
      </c>
      <c r="AD142">
        <v>51</v>
      </c>
      <c r="AE142">
        <v>326</v>
      </c>
      <c r="AF142">
        <v>54</v>
      </c>
      <c r="AG142">
        <v>957</v>
      </c>
      <c r="AH142">
        <v>62</v>
      </c>
      <c r="AI142">
        <v>271</v>
      </c>
      <c r="AJ142">
        <v>444</v>
      </c>
      <c r="AK142">
        <v>499</v>
      </c>
      <c r="AL142">
        <v>115</v>
      </c>
      <c r="BP142">
        <v>1</v>
      </c>
      <c r="CG142">
        <v>1</v>
      </c>
      <c r="CI142">
        <v>1</v>
      </c>
      <c r="CJ142">
        <v>2</v>
      </c>
      <c r="CK142">
        <v>5</v>
      </c>
      <c r="CO142">
        <v>0</v>
      </c>
      <c r="CQ142">
        <v>2</v>
      </c>
      <c r="CR142">
        <v>0</v>
      </c>
      <c r="CU142">
        <v>1</v>
      </c>
      <c r="CV142">
        <v>1</v>
      </c>
      <c r="CZ142">
        <v>117</v>
      </c>
      <c r="DB142">
        <v>1</v>
      </c>
      <c r="DC142">
        <v>5</v>
      </c>
      <c r="DG142">
        <v>4</v>
      </c>
      <c r="DK142">
        <v>3</v>
      </c>
      <c r="DO142">
        <v>11</v>
      </c>
      <c r="DS142">
        <v>3</v>
      </c>
      <c r="EI142">
        <v>298</v>
      </c>
      <c r="EJ142">
        <v>186</v>
      </c>
      <c r="EY142">
        <v>1</v>
      </c>
      <c r="FC142">
        <v>60</v>
      </c>
      <c r="FD142">
        <v>1</v>
      </c>
      <c r="FF142">
        <v>4</v>
      </c>
      <c r="FJ142">
        <v>168</v>
      </c>
      <c r="FY142">
        <v>0</v>
      </c>
      <c r="GH142">
        <v>1</v>
      </c>
      <c r="JG142">
        <v>204</v>
      </c>
      <c r="JK142">
        <v>0</v>
      </c>
      <c r="JL142">
        <v>0</v>
      </c>
      <c r="JM142">
        <v>0</v>
      </c>
      <c r="JN142">
        <v>0</v>
      </c>
      <c r="JR142">
        <v>0</v>
      </c>
      <c r="JT142">
        <v>0</v>
      </c>
      <c r="JY142">
        <v>4</v>
      </c>
      <c r="KB142">
        <v>2</v>
      </c>
      <c r="KC142">
        <v>1</v>
      </c>
      <c r="KD142">
        <v>6</v>
      </c>
      <c r="KE142">
        <v>0</v>
      </c>
      <c r="KF142">
        <v>197</v>
      </c>
      <c r="KV142">
        <v>5</v>
      </c>
      <c r="KW142">
        <v>228</v>
      </c>
      <c r="KX142">
        <v>446</v>
      </c>
      <c r="KY142">
        <v>47</v>
      </c>
      <c r="KZ142">
        <v>63</v>
      </c>
      <c r="LK142">
        <v>0</v>
      </c>
      <c r="LL142">
        <v>0</v>
      </c>
      <c r="LO142">
        <v>43</v>
      </c>
      <c r="LV142">
        <v>103</v>
      </c>
      <c r="LW142">
        <v>256</v>
      </c>
      <c r="LX142">
        <v>29</v>
      </c>
      <c r="LY142">
        <v>1</v>
      </c>
      <c r="LZ142">
        <v>39</v>
      </c>
      <c r="ME142">
        <v>772</v>
      </c>
      <c r="MF142">
        <v>1</v>
      </c>
      <c r="MG142">
        <v>20</v>
      </c>
      <c r="MH142">
        <v>1</v>
      </c>
      <c r="MI142">
        <v>85</v>
      </c>
      <c r="MJ142">
        <v>424</v>
      </c>
      <c r="MK142">
        <v>60</v>
      </c>
      <c r="MM142">
        <v>1</v>
      </c>
      <c r="MO142">
        <v>2</v>
      </c>
      <c r="MQ142">
        <v>2</v>
      </c>
      <c r="MZ142">
        <v>27</v>
      </c>
      <c r="NC142">
        <v>8</v>
      </c>
      <c r="ND142">
        <v>25</v>
      </c>
      <c r="NE142">
        <v>9</v>
      </c>
      <c r="NM142">
        <v>10</v>
      </c>
      <c r="NN142">
        <v>1</v>
      </c>
      <c r="NO142">
        <v>78</v>
      </c>
      <c r="NP142">
        <v>27</v>
      </c>
      <c r="NQ142">
        <v>5</v>
      </c>
      <c r="NS142">
        <v>12</v>
      </c>
      <c r="NT142">
        <v>118</v>
      </c>
      <c r="OB142">
        <v>41</v>
      </c>
      <c r="OD142">
        <v>1845</v>
      </c>
      <c r="OE142">
        <v>384</v>
      </c>
      <c r="OM142">
        <v>1</v>
      </c>
      <c r="ON142">
        <v>82</v>
      </c>
      <c r="OO142">
        <v>10325</v>
      </c>
      <c r="OP142">
        <v>321</v>
      </c>
      <c r="OQ142">
        <v>7775</v>
      </c>
      <c r="OU142">
        <v>118</v>
      </c>
      <c r="OV142">
        <v>1927</v>
      </c>
      <c r="PB142">
        <v>13</v>
      </c>
      <c r="PF142">
        <v>2</v>
      </c>
      <c r="PI142">
        <v>20481</v>
      </c>
      <c r="PM142" t="str">
        <f>IFERROR(VLOOKUP($A142&amp;"",Key!$A:$C,3,FALSE),"")</f>
        <v>ISIC 27</v>
      </c>
    </row>
    <row r="143" spans="1:429" x14ac:dyDescent="0.25">
      <c r="A143">
        <v>335314</v>
      </c>
      <c r="B143" t="s">
        <v>278</v>
      </c>
      <c r="X143">
        <v>8</v>
      </c>
      <c r="AA143">
        <v>0</v>
      </c>
      <c r="AB143">
        <v>0</v>
      </c>
      <c r="AE143">
        <v>0</v>
      </c>
      <c r="AH143">
        <v>0</v>
      </c>
      <c r="AM143">
        <v>21</v>
      </c>
      <c r="AN143">
        <v>13</v>
      </c>
      <c r="AO143">
        <v>38</v>
      </c>
      <c r="AP143">
        <v>8</v>
      </c>
      <c r="AQ143">
        <v>0</v>
      </c>
      <c r="AR143">
        <v>6</v>
      </c>
      <c r="AS143">
        <v>3</v>
      </c>
      <c r="AT143">
        <v>47</v>
      </c>
      <c r="AU143">
        <v>4</v>
      </c>
      <c r="AV143">
        <v>9</v>
      </c>
      <c r="AW143">
        <v>2</v>
      </c>
      <c r="AX143">
        <v>1</v>
      </c>
      <c r="AZ143">
        <v>10</v>
      </c>
      <c r="BA143">
        <v>5</v>
      </c>
      <c r="BB143">
        <v>1</v>
      </c>
      <c r="BC143">
        <v>112</v>
      </c>
      <c r="BD143">
        <v>60</v>
      </c>
      <c r="BF143">
        <v>1</v>
      </c>
      <c r="BG143">
        <v>28</v>
      </c>
      <c r="BH143">
        <v>18</v>
      </c>
      <c r="BI143">
        <v>12</v>
      </c>
      <c r="BJ143">
        <v>12</v>
      </c>
      <c r="BK143">
        <v>6</v>
      </c>
      <c r="BM143">
        <v>21</v>
      </c>
      <c r="BN143">
        <v>10</v>
      </c>
      <c r="BO143">
        <v>13</v>
      </c>
      <c r="BP143">
        <v>46</v>
      </c>
      <c r="BQ143">
        <v>90</v>
      </c>
      <c r="BR143">
        <v>78</v>
      </c>
      <c r="BS143">
        <v>23</v>
      </c>
      <c r="BT143">
        <v>13</v>
      </c>
      <c r="BV143">
        <v>32</v>
      </c>
      <c r="BW143">
        <v>5</v>
      </c>
      <c r="BX143">
        <v>28</v>
      </c>
      <c r="BY143">
        <v>33</v>
      </c>
      <c r="BZ143">
        <v>84</v>
      </c>
      <c r="CA143">
        <v>6</v>
      </c>
      <c r="CB143">
        <v>66</v>
      </c>
      <c r="CC143">
        <v>10</v>
      </c>
      <c r="CD143">
        <v>8</v>
      </c>
      <c r="CE143">
        <v>8</v>
      </c>
      <c r="CF143">
        <v>15</v>
      </c>
      <c r="CG143">
        <v>24</v>
      </c>
      <c r="CH143">
        <v>23</v>
      </c>
      <c r="CI143">
        <v>181</v>
      </c>
      <c r="CJ143">
        <v>45</v>
      </c>
      <c r="CK143">
        <v>59</v>
      </c>
      <c r="CL143">
        <v>773</v>
      </c>
      <c r="CM143">
        <v>15</v>
      </c>
      <c r="CO143">
        <v>16</v>
      </c>
      <c r="CP143">
        <v>5</v>
      </c>
      <c r="CQ143">
        <v>358</v>
      </c>
      <c r="CR143">
        <v>10</v>
      </c>
      <c r="CS143">
        <v>5</v>
      </c>
      <c r="CT143">
        <v>74</v>
      </c>
      <c r="CU143">
        <v>266</v>
      </c>
      <c r="CV143">
        <v>240</v>
      </c>
      <c r="CW143">
        <v>89</v>
      </c>
      <c r="CX143">
        <v>3</v>
      </c>
      <c r="CY143">
        <v>7</v>
      </c>
      <c r="CZ143">
        <v>4</v>
      </c>
      <c r="DA143">
        <v>114</v>
      </c>
      <c r="DB143">
        <v>474</v>
      </c>
      <c r="DC143">
        <v>1257</v>
      </c>
      <c r="DD143">
        <v>2</v>
      </c>
      <c r="DE143">
        <v>266</v>
      </c>
      <c r="DF143">
        <v>129</v>
      </c>
      <c r="DG143">
        <v>299</v>
      </c>
      <c r="DH143">
        <v>41</v>
      </c>
      <c r="DJ143">
        <v>0</v>
      </c>
      <c r="DK143">
        <v>1</v>
      </c>
      <c r="DL143">
        <v>0</v>
      </c>
      <c r="DM143">
        <v>5</v>
      </c>
      <c r="DN143">
        <v>63</v>
      </c>
      <c r="DO143">
        <v>4</v>
      </c>
      <c r="DP143">
        <v>64</v>
      </c>
      <c r="DQ143">
        <v>66</v>
      </c>
      <c r="DR143">
        <v>21</v>
      </c>
      <c r="DS143">
        <v>8</v>
      </c>
      <c r="DT143">
        <v>2</v>
      </c>
      <c r="DU143">
        <v>64</v>
      </c>
      <c r="DV143">
        <v>32</v>
      </c>
      <c r="DW143">
        <v>278</v>
      </c>
      <c r="DX143">
        <v>92</v>
      </c>
      <c r="DY143">
        <v>1</v>
      </c>
      <c r="DZ143">
        <v>71</v>
      </c>
      <c r="EA143">
        <v>1</v>
      </c>
      <c r="EB143">
        <v>0</v>
      </c>
      <c r="EC143">
        <v>0</v>
      </c>
      <c r="ED143">
        <v>12</v>
      </c>
      <c r="EE143">
        <v>14</v>
      </c>
      <c r="EF143">
        <v>114</v>
      </c>
      <c r="EG143">
        <v>6</v>
      </c>
      <c r="EH143">
        <v>110</v>
      </c>
      <c r="EI143">
        <v>567</v>
      </c>
      <c r="EJ143">
        <v>1642</v>
      </c>
      <c r="EK143">
        <v>32</v>
      </c>
      <c r="EL143">
        <v>1</v>
      </c>
      <c r="EM143">
        <v>7</v>
      </c>
      <c r="EN143">
        <v>71</v>
      </c>
      <c r="EO143">
        <v>3</v>
      </c>
      <c r="EP143">
        <v>9</v>
      </c>
      <c r="ES143">
        <v>28</v>
      </c>
      <c r="EU143">
        <v>7</v>
      </c>
      <c r="EV143">
        <v>1</v>
      </c>
      <c r="EW143">
        <v>36</v>
      </c>
      <c r="EX143">
        <v>66</v>
      </c>
      <c r="EY143">
        <v>11</v>
      </c>
      <c r="EZ143">
        <v>104</v>
      </c>
      <c r="FA143">
        <v>40</v>
      </c>
      <c r="FB143">
        <v>45</v>
      </c>
      <c r="FC143">
        <v>295</v>
      </c>
      <c r="FD143">
        <v>42</v>
      </c>
      <c r="FF143">
        <v>55</v>
      </c>
      <c r="FI143">
        <v>5</v>
      </c>
      <c r="FJ143">
        <v>14</v>
      </c>
      <c r="FK143">
        <v>78</v>
      </c>
      <c r="FL143">
        <v>31</v>
      </c>
      <c r="FO143">
        <v>12</v>
      </c>
      <c r="FP143">
        <v>23</v>
      </c>
      <c r="FQ143">
        <v>5</v>
      </c>
      <c r="FR143">
        <v>3</v>
      </c>
      <c r="FS143">
        <v>11</v>
      </c>
      <c r="FT143">
        <v>6</v>
      </c>
      <c r="FU143">
        <v>14</v>
      </c>
      <c r="FV143">
        <v>12</v>
      </c>
      <c r="FW143">
        <v>10</v>
      </c>
      <c r="FX143">
        <v>13</v>
      </c>
      <c r="FY143">
        <v>9</v>
      </c>
      <c r="FZ143">
        <v>14</v>
      </c>
      <c r="GA143">
        <v>0</v>
      </c>
      <c r="GC143">
        <v>1</v>
      </c>
      <c r="GE143">
        <v>2</v>
      </c>
      <c r="GF143">
        <v>4</v>
      </c>
      <c r="GG143">
        <v>51</v>
      </c>
      <c r="GH143">
        <v>33</v>
      </c>
      <c r="GI143">
        <v>8</v>
      </c>
      <c r="GJ143">
        <v>47</v>
      </c>
      <c r="GL143">
        <v>16</v>
      </c>
      <c r="GM143">
        <v>3</v>
      </c>
      <c r="GN143">
        <v>61</v>
      </c>
      <c r="GO143">
        <v>11</v>
      </c>
      <c r="GP143">
        <v>48</v>
      </c>
      <c r="GQ143">
        <v>26</v>
      </c>
      <c r="GS143">
        <v>67</v>
      </c>
      <c r="GT143">
        <v>115</v>
      </c>
      <c r="GU143">
        <v>77</v>
      </c>
      <c r="GW143">
        <v>46</v>
      </c>
      <c r="GX143">
        <v>121</v>
      </c>
      <c r="GZ143">
        <v>57</v>
      </c>
      <c r="HA143">
        <v>72</v>
      </c>
      <c r="HB143">
        <v>61</v>
      </c>
      <c r="HE143">
        <v>61</v>
      </c>
      <c r="HG143">
        <v>452</v>
      </c>
      <c r="HH143">
        <v>19</v>
      </c>
      <c r="HI143">
        <v>5</v>
      </c>
      <c r="HL143">
        <v>1</v>
      </c>
      <c r="HM143">
        <v>4</v>
      </c>
      <c r="HN143">
        <v>8</v>
      </c>
      <c r="HO143">
        <v>9</v>
      </c>
      <c r="HP143">
        <v>6</v>
      </c>
      <c r="HQ143">
        <v>9</v>
      </c>
      <c r="HR143">
        <v>1</v>
      </c>
      <c r="HS143">
        <v>0</v>
      </c>
      <c r="HU143">
        <v>95</v>
      </c>
      <c r="HV143">
        <v>93</v>
      </c>
      <c r="HW143">
        <v>156</v>
      </c>
      <c r="HX143">
        <v>76</v>
      </c>
      <c r="HZ143">
        <v>49</v>
      </c>
      <c r="IA143">
        <v>10</v>
      </c>
      <c r="IB143">
        <v>81</v>
      </c>
      <c r="IC143">
        <v>2</v>
      </c>
      <c r="ID143">
        <v>70</v>
      </c>
      <c r="IF143">
        <v>13</v>
      </c>
      <c r="IG143">
        <v>5</v>
      </c>
      <c r="II143">
        <v>6</v>
      </c>
      <c r="IJ143">
        <v>12</v>
      </c>
      <c r="IK143">
        <v>355</v>
      </c>
      <c r="IL143">
        <v>45</v>
      </c>
      <c r="IM143">
        <v>263</v>
      </c>
      <c r="IN143">
        <v>13</v>
      </c>
      <c r="IO143">
        <v>5</v>
      </c>
      <c r="IP143">
        <v>3</v>
      </c>
      <c r="IQ143">
        <v>2</v>
      </c>
      <c r="IR143">
        <v>9</v>
      </c>
      <c r="IS143">
        <v>7</v>
      </c>
      <c r="IT143">
        <v>1</v>
      </c>
      <c r="IV143">
        <v>45</v>
      </c>
      <c r="IW143">
        <v>48</v>
      </c>
      <c r="IY143">
        <v>12</v>
      </c>
      <c r="IZ143">
        <v>146</v>
      </c>
      <c r="JA143">
        <v>14</v>
      </c>
      <c r="JB143">
        <v>9</v>
      </c>
      <c r="JC143">
        <v>3</v>
      </c>
      <c r="JD143">
        <v>14</v>
      </c>
      <c r="JE143">
        <v>94</v>
      </c>
      <c r="JG143">
        <v>5</v>
      </c>
      <c r="JI143">
        <v>2</v>
      </c>
      <c r="JJ143">
        <v>24</v>
      </c>
      <c r="JO143">
        <v>4</v>
      </c>
      <c r="JW143">
        <v>2</v>
      </c>
      <c r="JX143">
        <v>1</v>
      </c>
      <c r="KB143">
        <v>0</v>
      </c>
      <c r="KH143">
        <v>16</v>
      </c>
      <c r="KI143">
        <v>16</v>
      </c>
      <c r="KJ143">
        <v>0</v>
      </c>
      <c r="KK143">
        <v>1</v>
      </c>
      <c r="KL143">
        <v>0</v>
      </c>
      <c r="KM143">
        <v>69</v>
      </c>
      <c r="KR143">
        <v>5</v>
      </c>
      <c r="KW143">
        <v>6</v>
      </c>
      <c r="KX143">
        <v>31</v>
      </c>
      <c r="KZ143">
        <v>14</v>
      </c>
      <c r="LT143">
        <v>8</v>
      </c>
      <c r="LU143">
        <v>2</v>
      </c>
      <c r="LW143">
        <v>87</v>
      </c>
      <c r="LZ143">
        <v>4</v>
      </c>
      <c r="MF143">
        <v>0</v>
      </c>
      <c r="MH143">
        <v>0</v>
      </c>
      <c r="MM143">
        <v>0</v>
      </c>
      <c r="MO143">
        <v>2</v>
      </c>
      <c r="MP143">
        <v>0</v>
      </c>
      <c r="MR143">
        <v>3</v>
      </c>
      <c r="MZ143">
        <v>53</v>
      </c>
      <c r="NS143">
        <v>9</v>
      </c>
      <c r="NT143">
        <v>45</v>
      </c>
      <c r="OD143">
        <v>238</v>
      </c>
      <c r="OE143">
        <v>683</v>
      </c>
      <c r="OI143">
        <v>5</v>
      </c>
      <c r="OJ143">
        <v>107</v>
      </c>
      <c r="OK143">
        <v>17</v>
      </c>
      <c r="OL143">
        <v>1</v>
      </c>
      <c r="OM143">
        <v>0</v>
      </c>
      <c r="ON143">
        <v>19</v>
      </c>
      <c r="OO143">
        <v>14889</v>
      </c>
      <c r="OQ143">
        <v>2991</v>
      </c>
      <c r="OU143">
        <v>183</v>
      </c>
      <c r="OV143">
        <v>6821</v>
      </c>
      <c r="OX143">
        <v>847</v>
      </c>
      <c r="PB143">
        <v>64</v>
      </c>
      <c r="PF143">
        <v>40</v>
      </c>
      <c r="PI143">
        <v>25835</v>
      </c>
      <c r="PM143" t="str">
        <f>IFERROR(VLOOKUP($A143&amp;"",Key!$A:$C,3,FALSE),"")</f>
        <v>ISIC 27</v>
      </c>
    </row>
    <row r="144" spans="1:429" x14ac:dyDescent="0.25">
      <c r="A144">
        <v>335911</v>
      </c>
      <c r="B144" t="s">
        <v>279</v>
      </c>
      <c r="C144">
        <v>165</v>
      </c>
      <c r="D144">
        <v>628</v>
      </c>
      <c r="E144">
        <v>94</v>
      </c>
      <c r="F144">
        <v>94</v>
      </c>
      <c r="G144">
        <v>94</v>
      </c>
      <c r="H144">
        <v>238</v>
      </c>
      <c r="I144">
        <v>569</v>
      </c>
      <c r="K144">
        <v>19</v>
      </c>
      <c r="L144">
        <v>107</v>
      </c>
      <c r="N144">
        <v>12</v>
      </c>
      <c r="O144">
        <v>1</v>
      </c>
      <c r="R144">
        <v>12</v>
      </c>
      <c r="V144">
        <v>165</v>
      </c>
      <c r="W144">
        <v>276</v>
      </c>
      <c r="Z144">
        <v>0</v>
      </c>
      <c r="AA144">
        <v>0</v>
      </c>
      <c r="AB144">
        <v>16</v>
      </c>
      <c r="AC144">
        <v>25</v>
      </c>
      <c r="AD144">
        <v>16</v>
      </c>
      <c r="AE144">
        <v>7</v>
      </c>
      <c r="AG144">
        <v>32</v>
      </c>
      <c r="AI144">
        <v>1</v>
      </c>
      <c r="AJ144">
        <v>6</v>
      </c>
      <c r="AK144">
        <v>9</v>
      </c>
      <c r="AL144">
        <v>14</v>
      </c>
      <c r="AP144">
        <v>18</v>
      </c>
      <c r="CG144">
        <v>120</v>
      </c>
      <c r="CI144">
        <v>194</v>
      </c>
      <c r="DC144">
        <v>347</v>
      </c>
      <c r="DD144">
        <v>140</v>
      </c>
      <c r="DI144">
        <v>19</v>
      </c>
      <c r="DJ144">
        <v>9</v>
      </c>
      <c r="DK144">
        <v>10</v>
      </c>
      <c r="EK144">
        <v>63</v>
      </c>
      <c r="EQ144">
        <v>101</v>
      </c>
      <c r="ER144">
        <v>1727</v>
      </c>
      <c r="ES144">
        <v>87</v>
      </c>
      <c r="FQ144">
        <v>2</v>
      </c>
      <c r="IE144">
        <v>15</v>
      </c>
      <c r="JK144">
        <v>286</v>
      </c>
      <c r="JN144">
        <v>0</v>
      </c>
      <c r="JQ144">
        <v>11</v>
      </c>
      <c r="JS144">
        <v>5</v>
      </c>
      <c r="JT144">
        <v>2</v>
      </c>
      <c r="JV144">
        <v>69</v>
      </c>
      <c r="JW144">
        <v>39</v>
      </c>
      <c r="JX144">
        <v>12</v>
      </c>
      <c r="JY144">
        <v>39</v>
      </c>
      <c r="KA144">
        <v>38</v>
      </c>
      <c r="KC144">
        <v>67</v>
      </c>
      <c r="KD144">
        <v>13</v>
      </c>
      <c r="KH144">
        <v>15</v>
      </c>
      <c r="KJ144">
        <v>1</v>
      </c>
      <c r="KL144">
        <v>1</v>
      </c>
      <c r="KZ144">
        <v>14</v>
      </c>
      <c r="LC144">
        <v>39</v>
      </c>
      <c r="LD144">
        <v>49</v>
      </c>
      <c r="LE144">
        <v>43</v>
      </c>
      <c r="LF144">
        <v>10</v>
      </c>
      <c r="LI144">
        <v>23</v>
      </c>
      <c r="LM144">
        <v>255</v>
      </c>
      <c r="LN144">
        <v>20</v>
      </c>
      <c r="LT144">
        <v>315</v>
      </c>
      <c r="LW144">
        <v>226</v>
      </c>
      <c r="LZ144">
        <v>67</v>
      </c>
      <c r="MA144">
        <v>8</v>
      </c>
      <c r="MD144">
        <v>1</v>
      </c>
      <c r="ME144">
        <v>10</v>
      </c>
      <c r="MF144">
        <v>36</v>
      </c>
      <c r="MH144">
        <v>37</v>
      </c>
      <c r="MI144">
        <v>6</v>
      </c>
      <c r="MJ144">
        <v>3</v>
      </c>
      <c r="MK144">
        <v>12</v>
      </c>
      <c r="MM144">
        <v>1</v>
      </c>
      <c r="MN144">
        <v>6</v>
      </c>
      <c r="MO144">
        <v>501</v>
      </c>
      <c r="MQ144">
        <v>1</v>
      </c>
      <c r="MS144">
        <v>5</v>
      </c>
      <c r="MZ144">
        <v>32</v>
      </c>
      <c r="NC144">
        <v>83</v>
      </c>
      <c r="ND144">
        <v>359</v>
      </c>
      <c r="NE144">
        <v>12</v>
      </c>
      <c r="NM144">
        <v>39</v>
      </c>
      <c r="NN144">
        <v>6</v>
      </c>
      <c r="NO144">
        <v>4</v>
      </c>
      <c r="NP144">
        <v>12</v>
      </c>
      <c r="NQ144">
        <v>3</v>
      </c>
      <c r="NR144">
        <v>135</v>
      </c>
      <c r="NS144">
        <v>0</v>
      </c>
      <c r="NX144">
        <v>8</v>
      </c>
      <c r="NY144">
        <v>3</v>
      </c>
      <c r="NZ144">
        <v>0</v>
      </c>
      <c r="OB144">
        <v>1</v>
      </c>
      <c r="OI144">
        <v>30</v>
      </c>
      <c r="OJ144">
        <v>25</v>
      </c>
      <c r="OK144">
        <v>52</v>
      </c>
      <c r="ON144">
        <v>324</v>
      </c>
      <c r="OO144">
        <v>8863</v>
      </c>
      <c r="OP144">
        <v>8100</v>
      </c>
      <c r="OQ144">
        <v>112</v>
      </c>
      <c r="OU144">
        <v>103</v>
      </c>
      <c r="OV144">
        <v>2850</v>
      </c>
      <c r="PI144">
        <v>20027</v>
      </c>
      <c r="PM144" t="str">
        <f>IFERROR(VLOOKUP($A144&amp;"",Key!$A:$C,3,FALSE),"")</f>
        <v>ISIC 27</v>
      </c>
    </row>
    <row r="145" spans="1:429" x14ac:dyDescent="0.25">
      <c r="A145">
        <v>335912</v>
      </c>
      <c r="B145" t="s">
        <v>280</v>
      </c>
      <c r="N145">
        <v>0</v>
      </c>
      <c r="AI145">
        <v>0</v>
      </c>
      <c r="CA145">
        <v>0</v>
      </c>
      <c r="DI145">
        <v>12</v>
      </c>
      <c r="DJ145">
        <v>10</v>
      </c>
      <c r="DK145">
        <v>2</v>
      </c>
      <c r="DM145">
        <v>0</v>
      </c>
      <c r="DS145">
        <v>1</v>
      </c>
      <c r="DW145">
        <v>1</v>
      </c>
      <c r="ED145">
        <v>0</v>
      </c>
      <c r="EL145">
        <v>12</v>
      </c>
      <c r="EY145">
        <v>0</v>
      </c>
      <c r="HB145">
        <v>0</v>
      </c>
      <c r="HI145">
        <v>0</v>
      </c>
      <c r="JL145">
        <v>1</v>
      </c>
      <c r="JM145">
        <v>1</v>
      </c>
      <c r="JO145">
        <v>1</v>
      </c>
      <c r="JP145">
        <v>1</v>
      </c>
      <c r="JR145">
        <v>1</v>
      </c>
      <c r="KD145">
        <v>0</v>
      </c>
      <c r="KE145">
        <v>0</v>
      </c>
      <c r="KW145">
        <v>1</v>
      </c>
      <c r="KX145">
        <v>3</v>
      </c>
      <c r="MZ145">
        <v>4</v>
      </c>
      <c r="NT145">
        <v>1</v>
      </c>
      <c r="NV145">
        <v>0</v>
      </c>
      <c r="OD145">
        <v>1</v>
      </c>
      <c r="OE145">
        <v>0</v>
      </c>
      <c r="OK145">
        <v>3</v>
      </c>
      <c r="OL145">
        <v>1</v>
      </c>
      <c r="OO145">
        <v>58</v>
      </c>
      <c r="OP145">
        <v>6823</v>
      </c>
      <c r="OU145">
        <v>5</v>
      </c>
      <c r="OV145">
        <v>790</v>
      </c>
      <c r="PI145">
        <v>7676</v>
      </c>
      <c r="PM145" t="str">
        <f>IFERROR(VLOOKUP($A145&amp;"",Key!$A:$C,3,FALSE),"")</f>
        <v>ISIC 27</v>
      </c>
    </row>
    <row r="146" spans="1:429" x14ac:dyDescent="0.25">
      <c r="A146">
        <v>335920</v>
      </c>
      <c r="B146" t="s">
        <v>281</v>
      </c>
      <c r="O146">
        <v>0</v>
      </c>
      <c r="X146">
        <v>3</v>
      </c>
      <c r="Z146">
        <v>0</v>
      </c>
      <c r="AA146">
        <v>157</v>
      </c>
      <c r="AB146">
        <v>221</v>
      </c>
      <c r="AC146">
        <v>1053</v>
      </c>
      <c r="AD146">
        <v>240</v>
      </c>
      <c r="AE146">
        <v>777</v>
      </c>
      <c r="AF146">
        <v>188</v>
      </c>
      <c r="AG146">
        <v>1169</v>
      </c>
      <c r="AH146">
        <v>87</v>
      </c>
      <c r="AI146">
        <v>263</v>
      </c>
      <c r="AJ146">
        <v>451</v>
      </c>
      <c r="AK146">
        <v>936</v>
      </c>
      <c r="AL146">
        <v>214</v>
      </c>
      <c r="BC146">
        <v>35</v>
      </c>
      <c r="BE146">
        <v>31</v>
      </c>
      <c r="BG146">
        <v>3</v>
      </c>
      <c r="BI146">
        <v>143</v>
      </c>
      <c r="BJ146">
        <v>62</v>
      </c>
      <c r="BP146">
        <v>6</v>
      </c>
      <c r="BR146">
        <v>9</v>
      </c>
      <c r="BV146">
        <v>60</v>
      </c>
      <c r="BW146">
        <v>103</v>
      </c>
      <c r="BX146">
        <v>50</v>
      </c>
      <c r="CA146">
        <v>146</v>
      </c>
      <c r="CB146">
        <v>460</v>
      </c>
      <c r="CE146">
        <v>4</v>
      </c>
      <c r="CF146">
        <v>60</v>
      </c>
      <c r="CG146">
        <v>3</v>
      </c>
      <c r="CI146">
        <v>6</v>
      </c>
      <c r="CJ146">
        <v>12</v>
      </c>
      <c r="CK146">
        <v>4</v>
      </c>
      <c r="CL146">
        <v>3</v>
      </c>
      <c r="CO146">
        <v>235</v>
      </c>
      <c r="CQ146">
        <v>60</v>
      </c>
      <c r="CR146">
        <v>11</v>
      </c>
      <c r="CU146">
        <v>5</v>
      </c>
      <c r="CV146">
        <v>5</v>
      </c>
      <c r="CZ146">
        <v>242</v>
      </c>
      <c r="DB146">
        <v>8</v>
      </c>
      <c r="DD146">
        <v>4</v>
      </c>
      <c r="DG146">
        <v>5</v>
      </c>
      <c r="DK146">
        <v>6</v>
      </c>
      <c r="DL146">
        <v>5</v>
      </c>
      <c r="DM146">
        <v>82</v>
      </c>
      <c r="DN146">
        <v>12</v>
      </c>
      <c r="DO146">
        <v>8</v>
      </c>
      <c r="DP146">
        <v>16</v>
      </c>
      <c r="DQ146">
        <v>96</v>
      </c>
      <c r="DR146">
        <v>102</v>
      </c>
      <c r="DS146">
        <v>156</v>
      </c>
      <c r="DT146">
        <v>1</v>
      </c>
      <c r="DU146">
        <v>15</v>
      </c>
      <c r="DV146">
        <v>11</v>
      </c>
      <c r="DW146">
        <v>18</v>
      </c>
      <c r="DX146">
        <v>19</v>
      </c>
      <c r="DY146">
        <v>41</v>
      </c>
      <c r="DZ146">
        <v>118</v>
      </c>
      <c r="EA146">
        <v>3</v>
      </c>
      <c r="ED146">
        <v>18</v>
      </c>
      <c r="EF146">
        <v>3</v>
      </c>
      <c r="EG146">
        <v>43</v>
      </c>
      <c r="EH146">
        <v>39</v>
      </c>
      <c r="EM146">
        <v>375</v>
      </c>
      <c r="EN146">
        <v>165</v>
      </c>
      <c r="EP146">
        <v>42</v>
      </c>
      <c r="ES146">
        <v>0</v>
      </c>
      <c r="ET146">
        <v>348</v>
      </c>
      <c r="EX146">
        <v>35</v>
      </c>
      <c r="EY146">
        <v>152</v>
      </c>
      <c r="EZ146">
        <v>161</v>
      </c>
      <c r="FA146">
        <v>21</v>
      </c>
      <c r="FB146">
        <v>351</v>
      </c>
      <c r="FC146">
        <v>187</v>
      </c>
      <c r="FD146">
        <v>78</v>
      </c>
      <c r="FE146">
        <v>149</v>
      </c>
      <c r="FF146">
        <v>20</v>
      </c>
      <c r="FG146">
        <v>82</v>
      </c>
      <c r="FY146">
        <v>7</v>
      </c>
      <c r="GH146">
        <v>6</v>
      </c>
      <c r="JG146">
        <v>105</v>
      </c>
      <c r="JK146">
        <v>1</v>
      </c>
      <c r="JL146">
        <v>3</v>
      </c>
      <c r="JM146">
        <v>0</v>
      </c>
      <c r="JN146">
        <v>0</v>
      </c>
      <c r="JO146">
        <v>1</v>
      </c>
      <c r="JQ146">
        <v>11</v>
      </c>
      <c r="JR146">
        <v>0</v>
      </c>
      <c r="JT146">
        <v>2</v>
      </c>
      <c r="JV146">
        <v>1</v>
      </c>
      <c r="JW146">
        <v>1</v>
      </c>
      <c r="JX146">
        <v>3</v>
      </c>
      <c r="JY146">
        <v>1</v>
      </c>
      <c r="KB146">
        <v>4</v>
      </c>
      <c r="KC146">
        <v>12</v>
      </c>
      <c r="KD146">
        <v>5</v>
      </c>
      <c r="KG146">
        <v>21</v>
      </c>
      <c r="KH146">
        <v>10</v>
      </c>
      <c r="KL146">
        <v>0</v>
      </c>
      <c r="KW146">
        <v>428</v>
      </c>
      <c r="KX146">
        <v>2683</v>
      </c>
      <c r="KY146">
        <v>104</v>
      </c>
      <c r="KZ146">
        <v>26</v>
      </c>
      <c r="LK146">
        <v>0</v>
      </c>
      <c r="LL146">
        <v>0</v>
      </c>
      <c r="LN146">
        <v>6</v>
      </c>
      <c r="LO146">
        <v>90</v>
      </c>
      <c r="LT146">
        <v>2914</v>
      </c>
      <c r="LV146">
        <v>22</v>
      </c>
      <c r="LW146">
        <v>959</v>
      </c>
      <c r="LX146">
        <v>6</v>
      </c>
      <c r="LZ146">
        <v>30</v>
      </c>
      <c r="MD146">
        <v>0</v>
      </c>
      <c r="ME146">
        <v>159</v>
      </c>
      <c r="MF146">
        <v>1</v>
      </c>
      <c r="MG146">
        <v>4</v>
      </c>
      <c r="MH146">
        <v>5</v>
      </c>
      <c r="MI146">
        <v>17</v>
      </c>
      <c r="MJ146">
        <v>58</v>
      </c>
      <c r="MK146">
        <v>14</v>
      </c>
      <c r="MM146">
        <v>1</v>
      </c>
      <c r="MN146">
        <v>2</v>
      </c>
      <c r="MO146">
        <v>1</v>
      </c>
      <c r="MQ146">
        <v>0</v>
      </c>
      <c r="MY146">
        <v>2</v>
      </c>
      <c r="MZ146">
        <v>33</v>
      </c>
      <c r="NC146">
        <v>17</v>
      </c>
      <c r="ND146">
        <v>26</v>
      </c>
      <c r="NE146">
        <v>17</v>
      </c>
      <c r="NM146">
        <v>22</v>
      </c>
      <c r="NN146">
        <v>1</v>
      </c>
      <c r="NO146">
        <v>81</v>
      </c>
      <c r="NP146">
        <v>163</v>
      </c>
      <c r="NQ146">
        <v>44</v>
      </c>
      <c r="NR146">
        <v>6</v>
      </c>
      <c r="NS146">
        <v>26</v>
      </c>
      <c r="NT146">
        <v>2</v>
      </c>
      <c r="NX146">
        <v>1</v>
      </c>
      <c r="OB146">
        <v>33</v>
      </c>
      <c r="OD146">
        <v>42</v>
      </c>
      <c r="OE146">
        <v>2</v>
      </c>
      <c r="OG146">
        <v>49</v>
      </c>
      <c r="ON146">
        <v>35</v>
      </c>
      <c r="OO146">
        <v>18837</v>
      </c>
      <c r="OQ146">
        <v>567</v>
      </c>
      <c r="OU146">
        <v>175</v>
      </c>
      <c r="OV146">
        <v>5461</v>
      </c>
      <c r="OX146">
        <v>12</v>
      </c>
      <c r="PB146">
        <v>212</v>
      </c>
      <c r="PI146">
        <v>25264</v>
      </c>
      <c r="PM146" t="str">
        <f>IFERROR(VLOOKUP($A146&amp;"",Key!$A:$C,3,FALSE),"")</f>
        <v>ISIC 27</v>
      </c>
    </row>
    <row r="147" spans="1:429" x14ac:dyDescent="0.25">
      <c r="A147">
        <v>335930</v>
      </c>
      <c r="B147" t="s">
        <v>282</v>
      </c>
      <c r="P147">
        <v>20</v>
      </c>
      <c r="Z147">
        <v>0</v>
      </c>
      <c r="AA147">
        <v>123</v>
      </c>
      <c r="AB147">
        <v>256</v>
      </c>
      <c r="AC147">
        <v>1325</v>
      </c>
      <c r="AD147">
        <v>612</v>
      </c>
      <c r="AE147">
        <v>1584</v>
      </c>
      <c r="AF147">
        <v>258</v>
      </c>
      <c r="AG147">
        <v>2708</v>
      </c>
      <c r="AH147">
        <v>551</v>
      </c>
      <c r="AI147">
        <v>459</v>
      </c>
      <c r="AJ147">
        <v>564</v>
      </c>
      <c r="AK147">
        <v>2401</v>
      </c>
      <c r="AL147">
        <v>1148</v>
      </c>
      <c r="AP147">
        <v>12</v>
      </c>
      <c r="AR147">
        <v>7</v>
      </c>
      <c r="BP147">
        <v>4</v>
      </c>
      <c r="CI147">
        <v>4</v>
      </c>
      <c r="CJ147">
        <v>7</v>
      </c>
      <c r="CO147">
        <v>185</v>
      </c>
      <c r="CQ147">
        <v>129</v>
      </c>
      <c r="CR147">
        <v>35</v>
      </c>
      <c r="CU147">
        <v>3</v>
      </c>
      <c r="CV147">
        <v>3</v>
      </c>
      <c r="CZ147">
        <v>189</v>
      </c>
      <c r="DB147">
        <v>5</v>
      </c>
      <c r="DG147">
        <v>8</v>
      </c>
      <c r="DI147">
        <v>2</v>
      </c>
      <c r="DJ147">
        <v>4</v>
      </c>
      <c r="DK147">
        <v>8</v>
      </c>
      <c r="DL147">
        <v>0</v>
      </c>
      <c r="DM147">
        <v>30</v>
      </c>
      <c r="DN147">
        <v>11</v>
      </c>
      <c r="DO147">
        <v>35</v>
      </c>
      <c r="DP147">
        <v>19</v>
      </c>
      <c r="DQ147">
        <v>117</v>
      </c>
      <c r="DS147">
        <v>19</v>
      </c>
      <c r="DT147">
        <v>8</v>
      </c>
      <c r="DU147">
        <v>44</v>
      </c>
      <c r="DV147">
        <v>5</v>
      </c>
      <c r="DW147">
        <v>71</v>
      </c>
      <c r="DX147">
        <v>84</v>
      </c>
      <c r="DZ147">
        <v>68</v>
      </c>
      <c r="EA147">
        <v>6</v>
      </c>
      <c r="ED147">
        <v>291</v>
      </c>
      <c r="EE147">
        <v>61</v>
      </c>
      <c r="EF147">
        <v>668</v>
      </c>
      <c r="EG147">
        <v>27</v>
      </c>
      <c r="EM147">
        <v>12</v>
      </c>
      <c r="EN147">
        <v>633</v>
      </c>
      <c r="EP147">
        <v>272</v>
      </c>
      <c r="EV147">
        <v>1</v>
      </c>
      <c r="EW147">
        <v>72</v>
      </c>
      <c r="EX147">
        <v>101</v>
      </c>
      <c r="EY147">
        <v>368</v>
      </c>
      <c r="EZ147">
        <v>621</v>
      </c>
      <c r="FC147">
        <v>720</v>
      </c>
      <c r="FD147">
        <v>159</v>
      </c>
      <c r="FE147">
        <v>587</v>
      </c>
      <c r="FF147">
        <v>13</v>
      </c>
      <c r="FX147">
        <v>181</v>
      </c>
      <c r="FY147">
        <v>92</v>
      </c>
      <c r="GA147">
        <v>1</v>
      </c>
      <c r="GH147">
        <v>14</v>
      </c>
      <c r="JG147">
        <v>2</v>
      </c>
      <c r="JK147">
        <v>1</v>
      </c>
      <c r="JL147">
        <v>1</v>
      </c>
      <c r="JM147">
        <v>0</v>
      </c>
      <c r="JN147">
        <v>0</v>
      </c>
      <c r="JO147">
        <v>24</v>
      </c>
      <c r="JR147">
        <v>0</v>
      </c>
      <c r="JT147">
        <v>0</v>
      </c>
      <c r="JV147">
        <v>164</v>
      </c>
      <c r="JW147">
        <v>69</v>
      </c>
      <c r="KA147">
        <v>75</v>
      </c>
      <c r="KB147">
        <v>3</v>
      </c>
      <c r="KC147">
        <v>0</v>
      </c>
      <c r="KD147">
        <v>1</v>
      </c>
      <c r="KF147">
        <v>3</v>
      </c>
      <c r="KW147">
        <v>30</v>
      </c>
      <c r="KX147">
        <v>177</v>
      </c>
      <c r="KZ147">
        <v>117</v>
      </c>
      <c r="LK147">
        <v>5</v>
      </c>
      <c r="LL147">
        <v>1</v>
      </c>
      <c r="LO147">
        <v>99</v>
      </c>
      <c r="LR147">
        <v>0</v>
      </c>
      <c r="LZ147">
        <v>44</v>
      </c>
      <c r="MH147">
        <v>69</v>
      </c>
      <c r="MQ147">
        <v>58</v>
      </c>
      <c r="MY147">
        <v>2</v>
      </c>
      <c r="MZ147">
        <v>22</v>
      </c>
      <c r="NC147">
        <v>10</v>
      </c>
      <c r="ND147">
        <v>10</v>
      </c>
      <c r="NE147">
        <v>18</v>
      </c>
      <c r="NF147">
        <v>2</v>
      </c>
      <c r="NM147">
        <v>19</v>
      </c>
      <c r="NN147">
        <v>4</v>
      </c>
      <c r="NO147">
        <v>5</v>
      </c>
      <c r="NP147">
        <v>1</v>
      </c>
      <c r="NQ147">
        <v>0</v>
      </c>
      <c r="NS147">
        <v>56</v>
      </c>
      <c r="NT147">
        <v>49</v>
      </c>
      <c r="OB147">
        <v>1</v>
      </c>
      <c r="OD147">
        <v>4</v>
      </c>
      <c r="OE147">
        <v>572</v>
      </c>
      <c r="ON147">
        <v>111</v>
      </c>
      <c r="OO147">
        <v>19857</v>
      </c>
      <c r="OQ147">
        <v>265</v>
      </c>
      <c r="OU147">
        <v>100</v>
      </c>
      <c r="OV147">
        <v>3187</v>
      </c>
      <c r="PI147">
        <v>23409</v>
      </c>
      <c r="PM147" t="str">
        <f>IFERROR(VLOOKUP($A147&amp;"",Key!$A:$C,3,FALSE),"")</f>
        <v>ISIC 27</v>
      </c>
    </row>
    <row r="148" spans="1:429" x14ac:dyDescent="0.25">
      <c r="A148">
        <v>335991</v>
      </c>
      <c r="B148" t="s">
        <v>283</v>
      </c>
      <c r="AP148">
        <v>18</v>
      </c>
      <c r="BC148">
        <v>452</v>
      </c>
      <c r="BD148">
        <v>64</v>
      </c>
      <c r="BF148">
        <v>29</v>
      </c>
      <c r="BK148">
        <v>52</v>
      </c>
      <c r="EH148">
        <v>21</v>
      </c>
      <c r="EL148">
        <v>76</v>
      </c>
      <c r="EO148">
        <v>12</v>
      </c>
      <c r="FE148">
        <v>289</v>
      </c>
      <c r="FF148">
        <v>1</v>
      </c>
      <c r="FG148">
        <v>135</v>
      </c>
      <c r="IE148">
        <v>8</v>
      </c>
      <c r="II148">
        <v>8</v>
      </c>
      <c r="IL148">
        <v>87</v>
      </c>
      <c r="JE148">
        <v>78</v>
      </c>
      <c r="KB148">
        <v>1</v>
      </c>
      <c r="KE148">
        <v>1</v>
      </c>
      <c r="KI148">
        <v>134</v>
      </c>
      <c r="KK148">
        <v>5</v>
      </c>
      <c r="LN148">
        <v>2</v>
      </c>
      <c r="LT148">
        <v>94</v>
      </c>
      <c r="LV148">
        <v>161</v>
      </c>
      <c r="LW148">
        <v>109</v>
      </c>
      <c r="LX148">
        <v>45</v>
      </c>
      <c r="LZ148">
        <v>40</v>
      </c>
      <c r="ME148">
        <v>1234</v>
      </c>
      <c r="MF148">
        <v>2</v>
      </c>
      <c r="MG148">
        <v>32</v>
      </c>
      <c r="MH148">
        <v>36</v>
      </c>
      <c r="MI148">
        <v>133</v>
      </c>
      <c r="MK148">
        <v>96</v>
      </c>
      <c r="MO148">
        <v>60</v>
      </c>
      <c r="OD148">
        <v>10</v>
      </c>
      <c r="OM148">
        <v>15</v>
      </c>
      <c r="ON148">
        <v>147</v>
      </c>
      <c r="OO148">
        <v>3687</v>
      </c>
      <c r="OU148">
        <v>1</v>
      </c>
      <c r="OV148">
        <v>1347</v>
      </c>
      <c r="PI148">
        <v>5035</v>
      </c>
      <c r="PM148" t="str">
        <f>IFERROR(VLOOKUP($A148&amp;"",Key!$A:$C,3,FALSE),"")</f>
        <v>ISIC 27</v>
      </c>
    </row>
    <row r="149" spans="1:429" x14ac:dyDescent="0.25">
      <c r="A149">
        <v>335999</v>
      </c>
      <c r="B149" t="s">
        <v>284</v>
      </c>
      <c r="AA149">
        <v>0</v>
      </c>
      <c r="AB149">
        <v>0</v>
      </c>
      <c r="AC149">
        <v>1487</v>
      </c>
      <c r="AD149">
        <v>29</v>
      </c>
      <c r="AE149">
        <v>696</v>
      </c>
      <c r="AF149">
        <v>11</v>
      </c>
      <c r="AG149">
        <v>109</v>
      </c>
      <c r="AH149">
        <v>11</v>
      </c>
      <c r="AI149">
        <v>6</v>
      </c>
      <c r="AJ149">
        <v>2</v>
      </c>
      <c r="AK149">
        <v>13</v>
      </c>
      <c r="AL149">
        <v>5</v>
      </c>
      <c r="BP149">
        <v>1</v>
      </c>
      <c r="CI149">
        <v>1</v>
      </c>
      <c r="CJ149">
        <v>2</v>
      </c>
      <c r="CO149">
        <v>497</v>
      </c>
      <c r="CQ149">
        <v>3</v>
      </c>
      <c r="CR149">
        <v>3</v>
      </c>
      <c r="CU149">
        <v>58</v>
      </c>
      <c r="CV149">
        <v>40</v>
      </c>
      <c r="CZ149">
        <v>130</v>
      </c>
      <c r="DA149">
        <v>2</v>
      </c>
      <c r="DB149">
        <v>1</v>
      </c>
      <c r="DF149">
        <v>1</v>
      </c>
      <c r="DG149">
        <v>668</v>
      </c>
      <c r="DI149">
        <v>128</v>
      </c>
      <c r="DJ149">
        <v>19</v>
      </c>
      <c r="DK149">
        <v>47</v>
      </c>
      <c r="DL149">
        <v>4</v>
      </c>
      <c r="DM149">
        <v>1</v>
      </c>
      <c r="DO149">
        <v>33</v>
      </c>
      <c r="DP149">
        <v>0</v>
      </c>
      <c r="DQ149">
        <v>0</v>
      </c>
      <c r="DR149">
        <v>208</v>
      </c>
      <c r="DS149">
        <v>118</v>
      </c>
      <c r="DT149">
        <v>0</v>
      </c>
      <c r="DU149">
        <v>1</v>
      </c>
      <c r="DV149">
        <v>0</v>
      </c>
      <c r="DW149">
        <v>1</v>
      </c>
      <c r="DX149">
        <v>3</v>
      </c>
      <c r="DZ149">
        <v>3</v>
      </c>
      <c r="EA149">
        <v>0</v>
      </c>
      <c r="ED149">
        <v>1</v>
      </c>
      <c r="EE149">
        <v>1</v>
      </c>
      <c r="EF149">
        <v>1</v>
      </c>
      <c r="EG149">
        <v>101</v>
      </c>
      <c r="EH149">
        <v>11</v>
      </c>
      <c r="EN149">
        <v>11</v>
      </c>
      <c r="EP149">
        <v>161</v>
      </c>
      <c r="EV149">
        <v>0</v>
      </c>
      <c r="EW149">
        <v>7</v>
      </c>
      <c r="EX149">
        <v>1</v>
      </c>
      <c r="EY149">
        <v>10</v>
      </c>
      <c r="EZ149">
        <v>5</v>
      </c>
      <c r="FC149">
        <v>8</v>
      </c>
      <c r="FD149">
        <v>1</v>
      </c>
      <c r="FF149">
        <v>3</v>
      </c>
      <c r="FX149">
        <v>0</v>
      </c>
      <c r="FY149">
        <v>0</v>
      </c>
      <c r="GH149">
        <v>0</v>
      </c>
      <c r="GO149">
        <v>0</v>
      </c>
      <c r="GP149">
        <v>1</v>
      </c>
      <c r="GQ149">
        <v>0</v>
      </c>
      <c r="GU149">
        <v>0</v>
      </c>
      <c r="HA149">
        <v>0</v>
      </c>
      <c r="HH149">
        <v>0</v>
      </c>
      <c r="IW149">
        <v>0</v>
      </c>
      <c r="IX149">
        <v>0</v>
      </c>
      <c r="JK149">
        <v>0</v>
      </c>
      <c r="JL149">
        <v>3</v>
      </c>
      <c r="JM149">
        <v>0</v>
      </c>
      <c r="JN149">
        <v>1</v>
      </c>
      <c r="JO149">
        <v>2</v>
      </c>
      <c r="JQ149">
        <v>0</v>
      </c>
      <c r="JR149">
        <v>0</v>
      </c>
      <c r="JT149">
        <v>0</v>
      </c>
      <c r="JV149">
        <v>5</v>
      </c>
      <c r="JY149">
        <v>0</v>
      </c>
      <c r="KF149">
        <v>99</v>
      </c>
      <c r="KK149">
        <v>106</v>
      </c>
      <c r="KW149">
        <v>82</v>
      </c>
      <c r="KX149">
        <v>190</v>
      </c>
      <c r="KY149">
        <v>12</v>
      </c>
      <c r="LZ149">
        <v>13</v>
      </c>
      <c r="MH149">
        <v>2</v>
      </c>
      <c r="NR149">
        <v>26</v>
      </c>
      <c r="NS149">
        <v>33</v>
      </c>
      <c r="NT149">
        <v>89</v>
      </c>
      <c r="OD149">
        <v>62</v>
      </c>
      <c r="OE149">
        <v>1158</v>
      </c>
      <c r="OI149">
        <v>1</v>
      </c>
      <c r="ON149">
        <v>29</v>
      </c>
      <c r="OO149">
        <v>6581</v>
      </c>
      <c r="OP149">
        <v>444</v>
      </c>
      <c r="OQ149">
        <v>13402</v>
      </c>
      <c r="OU149">
        <v>26</v>
      </c>
      <c r="OV149">
        <v>4691</v>
      </c>
      <c r="OX149">
        <v>480</v>
      </c>
      <c r="PB149">
        <v>74</v>
      </c>
      <c r="PF149">
        <v>130</v>
      </c>
      <c r="PI149">
        <v>25828</v>
      </c>
      <c r="PM149" t="str">
        <f>IFERROR(VLOOKUP($A149&amp;"",Key!$A:$C,3,FALSE),"")</f>
        <v>ISIC 27</v>
      </c>
    </row>
    <row r="150" spans="1:429" x14ac:dyDescent="0.25">
      <c r="A150">
        <v>336111</v>
      </c>
      <c r="B150" t="s">
        <v>285</v>
      </c>
      <c r="EQ150">
        <v>14</v>
      </c>
      <c r="OO150">
        <v>14</v>
      </c>
      <c r="OP150">
        <v>69901</v>
      </c>
      <c r="OQ150">
        <v>83960</v>
      </c>
      <c r="OU150">
        <v>4395</v>
      </c>
      <c r="OV150">
        <v>23537</v>
      </c>
      <c r="OX150">
        <v>39</v>
      </c>
      <c r="PB150">
        <v>105</v>
      </c>
      <c r="PF150">
        <v>597</v>
      </c>
      <c r="PI150">
        <v>182549</v>
      </c>
      <c r="PM150" t="str">
        <f>IFERROR(VLOOKUP($A150&amp;"",Key!$A:$C,3,FALSE),"")</f>
        <v>ISIC 29</v>
      </c>
    </row>
    <row r="151" spans="1:429" x14ac:dyDescent="0.25">
      <c r="A151">
        <v>336112</v>
      </c>
      <c r="B151" t="s">
        <v>286</v>
      </c>
      <c r="KK151">
        <v>0</v>
      </c>
      <c r="MH151">
        <v>1</v>
      </c>
      <c r="MO151">
        <v>0</v>
      </c>
      <c r="OO151">
        <v>1</v>
      </c>
      <c r="OP151">
        <v>210429</v>
      </c>
      <c r="OQ151">
        <v>191749</v>
      </c>
      <c r="OU151">
        <v>5105</v>
      </c>
      <c r="OV151">
        <v>31734</v>
      </c>
      <c r="OX151">
        <v>26</v>
      </c>
      <c r="PB151">
        <v>6</v>
      </c>
      <c r="PF151">
        <v>501</v>
      </c>
      <c r="PI151">
        <v>439550</v>
      </c>
      <c r="PM151" t="str">
        <f>IFERROR(VLOOKUP($A151&amp;"",Key!$A:$C,3,FALSE),"")</f>
        <v>ISIC 29</v>
      </c>
    </row>
    <row r="152" spans="1:429" x14ac:dyDescent="0.25">
      <c r="A152">
        <v>336120</v>
      </c>
      <c r="B152" t="s">
        <v>287</v>
      </c>
      <c r="AP152">
        <v>1</v>
      </c>
      <c r="CI152">
        <v>121</v>
      </c>
      <c r="CJ152">
        <v>27</v>
      </c>
      <c r="DC152">
        <v>1</v>
      </c>
      <c r="ES152">
        <v>888</v>
      </c>
      <c r="ET152">
        <v>619</v>
      </c>
      <c r="EU152">
        <v>113</v>
      </c>
      <c r="EV152">
        <v>19</v>
      </c>
      <c r="EW152">
        <v>203</v>
      </c>
      <c r="JV152">
        <v>18</v>
      </c>
      <c r="NR152">
        <v>51</v>
      </c>
      <c r="OI152">
        <v>35</v>
      </c>
      <c r="OO152">
        <v>2096</v>
      </c>
      <c r="OQ152">
        <v>24912</v>
      </c>
      <c r="OU152">
        <v>110</v>
      </c>
      <c r="OV152">
        <v>6512</v>
      </c>
      <c r="OX152">
        <v>851</v>
      </c>
      <c r="PB152">
        <v>338</v>
      </c>
      <c r="PF152">
        <v>13049</v>
      </c>
      <c r="PI152">
        <v>47868</v>
      </c>
      <c r="PM152" t="str">
        <f>IFERROR(VLOOKUP($A152&amp;"",Key!$A:$C,3,FALSE),"")</f>
        <v>ISIC 29</v>
      </c>
    </row>
    <row r="153" spans="1:429" x14ac:dyDescent="0.25">
      <c r="A153">
        <v>336211</v>
      </c>
      <c r="B153" t="s">
        <v>288</v>
      </c>
      <c r="CI153">
        <v>4</v>
      </c>
      <c r="EQ153">
        <v>712</v>
      </c>
      <c r="ER153">
        <v>3675</v>
      </c>
      <c r="ES153">
        <v>17</v>
      </c>
      <c r="ET153">
        <v>586</v>
      </c>
      <c r="EU153">
        <v>619</v>
      </c>
      <c r="KA153">
        <v>31</v>
      </c>
      <c r="LX153">
        <v>1</v>
      </c>
      <c r="MH153">
        <v>34</v>
      </c>
      <c r="NR153">
        <v>68</v>
      </c>
      <c r="NS153">
        <v>0</v>
      </c>
      <c r="OI153">
        <v>3</v>
      </c>
      <c r="OK153">
        <v>1</v>
      </c>
      <c r="OO153">
        <v>5751</v>
      </c>
      <c r="OP153">
        <v>400</v>
      </c>
      <c r="OQ153">
        <v>6490</v>
      </c>
      <c r="OU153">
        <v>-57</v>
      </c>
      <c r="OV153">
        <v>1048</v>
      </c>
      <c r="PB153">
        <v>51</v>
      </c>
      <c r="PI153">
        <v>13683</v>
      </c>
      <c r="PM153" t="str">
        <f>IFERROR(VLOOKUP($A153&amp;"",Key!$A:$C,3,FALSE),"")</f>
        <v>ISIC 29</v>
      </c>
    </row>
    <row r="154" spans="1:429" x14ac:dyDescent="0.25">
      <c r="A154">
        <v>336212</v>
      </c>
      <c r="B154" t="s">
        <v>289</v>
      </c>
      <c r="AP154">
        <v>1</v>
      </c>
      <c r="CI154">
        <v>175</v>
      </c>
      <c r="DC154">
        <v>1</v>
      </c>
      <c r="EU154">
        <v>33</v>
      </c>
      <c r="OO154">
        <v>210</v>
      </c>
      <c r="OQ154">
        <v>14108</v>
      </c>
      <c r="OU154">
        <v>40</v>
      </c>
      <c r="OV154">
        <v>1340</v>
      </c>
      <c r="OX154">
        <v>51</v>
      </c>
      <c r="PB154">
        <v>6</v>
      </c>
      <c r="PI154">
        <v>15755</v>
      </c>
      <c r="PM154" t="str">
        <f>IFERROR(VLOOKUP($A154&amp;"",Key!$A:$C,3,FALSE),"")</f>
        <v>ISIC 29</v>
      </c>
    </row>
    <row r="155" spans="1:429" x14ac:dyDescent="0.25">
      <c r="A155">
        <v>336213</v>
      </c>
      <c r="B155" t="s">
        <v>290</v>
      </c>
      <c r="EV155">
        <v>10</v>
      </c>
      <c r="OO155">
        <v>10</v>
      </c>
      <c r="OP155">
        <v>10002</v>
      </c>
      <c r="OQ155">
        <v>1076</v>
      </c>
      <c r="OU155">
        <v>154</v>
      </c>
      <c r="OV155">
        <v>405</v>
      </c>
      <c r="PI155">
        <v>11647</v>
      </c>
      <c r="PM155" t="str">
        <f>IFERROR(VLOOKUP($A155&amp;"",Key!$A:$C,3,FALSE),"")</f>
        <v>ISIC 29</v>
      </c>
    </row>
    <row r="156" spans="1:429" x14ac:dyDescent="0.25">
      <c r="A156">
        <v>336214</v>
      </c>
      <c r="B156" t="s">
        <v>291</v>
      </c>
      <c r="EU156">
        <v>53</v>
      </c>
      <c r="EW156">
        <v>2232</v>
      </c>
      <c r="FO156">
        <v>3</v>
      </c>
      <c r="LZ156">
        <v>6</v>
      </c>
      <c r="MF156">
        <v>1</v>
      </c>
      <c r="MH156">
        <v>815</v>
      </c>
      <c r="MO156">
        <v>118</v>
      </c>
      <c r="NG156">
        <v>97</v>
      </c>
      <c r="OI156">
        <v>117</v>
      </c>
      <c r="OM156">
        <v>13</v>
      </c>
      <c r="ON156">
        <v>0</v>
      </c>
      <c r="OO156">
        <v>3456</v>
      </c>
      <c r="OP156">
        <v>20263</v>
      </c>
      <c r="OQ156">
        <v>971</v>
      </c>
      <c r="OU156">
        <v>383</v>
      </c>
      <c r="OV156">
        <v>1113</v>
      </c>
      <c r="PI156">
        <v>26185</v>
      </c>
      <c r="PM156" t="str">
        <f>IFERROR(VLOOKUP($A156&amp;"",Key!$A:$C,3,FALSE),"")</f>
        <v>ISIC 29</v>
      </c>
    </row>
    <row r="157" spans="1:429" x14ac:dyDescent="0.25">
      <c r="A157">
        <v>336310</v>
      </c>
      <c r="B157" t="s">
        <v>292</v>
      </c>
      <c r="C157">
        <v>3</v>
      </c>
      <c r="D157">
        <v>10</v>
      </c>
      <c r="E157">
        <v>1</v>
      </c>
      <c r="F157">
        <v>1</v>
      </c>
      <c r="G157">
        <v>2</v>
      </c>
      <c r="H157">
        <v>4</v>
      </c>
      <c r="I157">
        <v>9</v>
      </c>
      <c r="K157">
        <v>0</v>
      </c>
      <c r="L157">
        <v>2</v>
      </c>
      <c r="M157">
        <v>0</v>
      </c>
      <c r="N157">
        <v>8</v>
      </c>
      <c r="P157">
        <v>106</v>
      </c>
      <c r="Q157">
        <v>49</v>
      </c>
      <c r="R157">
        <v>12</v>
      </c>
      <c r="S157">
        <v>40</v>
      </c>
      <c r="T157">
        <v>4</v>
      </c>
      <c r="U157">
        <v>79</v>
      </c>
      <c r="V157">
        <v>50</v>
      </c>
      <c r="W157">
        <v>124</v>
      </c>
      <c r="Z157">
        <v>0</v>
      </c>
      <c r="AC157">
        <v>99</v>
      </c>
      <c r="AD157">
        <v>23</v>
      </c>
      <c r="AM157">
        <v>13</v>
      </c>
      <c r="AN157">
        <v>10</v>
      </c>
      <c r="AO157">
        <v>8</v>
      </c>
      <c r="AP157">
        <v>7</v>
      </c>
      <c r="AQ157">
        <v>0</v>
      </c>
      <c r="AR157">
        <v>1</v>
      </c>
      <c r="AS157">
        <v>6</v>
      </c>
      <c r="AT157">
        <v>37</v>
      </c>
      <c r="AU157">
        <v>3</v>
      </c>
      <c r="AV157">
        <v>10</v>
      </c>
      <c r="AW157">
        <v>1</v>
      </c>
      <c r="AZ157">
        <v>5</v>
      </c>
      <c r="BD157">
        <v>2</v>
      </c>
      <c r="BG157">
        <v>2</v>
      </c>
      <c r="BJ157">
        <v>2</v>
      </c>
      <c r="BK157">
        <v>3</v>
      </c>
      <c r="BQ157">
        <v>13</v>
      </c>
      <c r="BR157">
        <v>7</v>
      </c>
      <c r="BT157">
        <v>2</v>
      </c>
      <c r="BX157">
        <v>3</v>
      </c>
      <c r="BY157">
        <v>1</v>
      </c>
      <c r="BZ157">
        <v>8</v>
      </c>
      <c r="CB157">
        <v>3</v>
      </c>
      <c r="CG157">
        <v>61</v>
      </c>
      <c r="CH157">
        <v>920</v>
      </c>
      <c r="CI157">
        <v>398</v>
      </c>
      <c r="CJ157">
        <v>166</v>
      </c>
      <c r="CK157">
        <v>1</v>
      </c>
      <c r="CL157">
        <v>5</v>
      </c>
      <c r="CQ157">
        <v>1</v>
      </c>
      <c r="CT157">
        <v>3</v>
      </c>
      <c r="CU157">
        <v>1</v>
      </c>
      <c r="CV157">
        <v>2</v>
      </c>
      <c r="CW157">
        <v>18</v>
      </c>
      <c r="CZ157">
        <v>1839</v>
      </c>
      <c r="DA157">
        <v>3</v>
      </c>
      <c r="DB157">
        <v>4</v>
      </c>
      <c r="DC157">
        <v>63</v>
      </c>
      <c r="DG157">
        <v>5</v>
      </c>
      <c r="DR157">
        <v>2</v>
      </c>
      <c r="DU157">
        <v>1</v>
      </c>
      <c r="DX157">
        <v>2</v>
      </c>
      <c r="EH157">
        <v>597</v>
      </c>
      <c r="EJ157">
        <v>1</v>
      </c>
      <c r="EN157">
        <v>4</v>
      </c>
      <c r="EQ157">
        <v>4159</v>
      </c>
      <c r="ER157">
        <v>17609</v>
      </c>
      <c r="ES157">
        <v>582</v>
      </c>
      <c r="EV157">
        <v>0</v>
      </c>
      <c r="EW157">
        <v>3</v>
      </c>
      <c r="EX157">
        <v>10</v>
      </c>
      <c r="EY157">
        <v>4</v>
      </c>
      <c r="EZ157">
        <v>311</v>
      </c>
      <c r="FA157">
        <v>3</v>
      </c>
      <c r="FC157">
        <v>17</v>
      </c>
      <c r="FD157">
        <v>21</v>
      </c>
      <c r="FF157">
        <v>37</v>
      </c>
      <c r="FJ157">
        <v>1</v>
      </c>
      <c r="FK157">
        <v>2</v>
      </c>
      <c r="FL157">
        <v>1531</v>
      </c>
      <c r="FO157">
        <v>1035</v>
      </c>
      <c r="FP157">
        <v>3</v>
      </c>
      <c r="FV157">
        <v>6</v>
      </c>
      <c r="FX157">
        <v>3</v>
      </c>
      <c r="FY157">
        <v>1</v>
      </c>
      <c r="GA157">
        <v>1</v>
      </c>
      <c r="GG157">
        <v>6</v>
      </c>
      <c r="GH157">
        <v>2</v>
      </c>
      <c r="GI157">
        <v>2</v>
      </c>
      <c r="GJ157">
        <v>4</v>
      </c>
      <c r="GN157">
        <v>5</v>
      </c>
      <c r="GO157">
        <v>3</v>
      </c>
      <c r="GQ157">
        <v>3</v>
      </c>
      <c r="GR157">
        <v>1</v>
      </c>
      <c r="GS157">
        <v>29</v>
      </c>
      <c r="GT157">
        <v>47</v>
      </c>
      <c r="GU157">
        <v>5</v>
      </c>
      <c r="GV157">
        <v>12</v>
      </c>
      <c r="GW157">
        <v>3</v>
      </c>
      <c r="GX157">
        <v>7</v>
      </c>
      <c r="GZ157">
        <v>80</v>
      </c>
      <c r="HA157">
        <v>2</v>
      </c>
      <c r="HB157">
        <v>6</v>
      </c>
      <c r="HD157">
        <v>20</v>
      </c>
      <c r="HE157">
        <v>7</v>
      </c>
      <c r="HF157">
        <v>2</v>
      </c>
      <c r="HG157">
        <v>135</v>
      </c>
      <c r="HH157">
        <v>11</v>
      </c>
      <c r="HI157">
        <v>2</v>
      </c>
      <c r="HJ157">
        <v>13</v>
      </c>
      <c r="HU157">
        <v>9</v>
      </c>
      <c r="HV157">
        <v>9</v>
      </c>
      <c r="HW157">
        <v>17</v>
      </c>
      <c r="HX157">
        <v>4</v>
      </c>
      <c r="IB157">
        <v>15</v>
      </c>
      <c r="IL157">
        <v>3</v>
      </c>
      <c r="IO157">
        <v>2</v>
      </c>
      <c r="IP157">
        <v>1</v>
      </c>
      <c r="IQ157">
        <v>1</v>
      </c>
      <c r="IS157">
        <v>0</v>
      </c>
      <c r="IT157">
        <v>0</v>
      </c>
      <c r="IV157">
        <v>4</v>
      </c>
      <c r="IW157">
        <v>4</v>
      </c>
      <c r="IX157">
        <v>1</v>
      </c>
      <c r="IZ157">
        <v>2</v>
      </c>
      <c r="JG157">
        <v>5</v>
      </c>
      <c r="JK157">
        <v>449</v>
      </c>
      <c r="JL157">
        <v>6</v>
      </c>
      <c r="JM157">
        <v>18</v>
      </c>
      <c r="JN157">
        <v>157</v>
      </c>
      <c r="JO157">
        <v>435</v>
      </c>
      <c r="JQ157">
        <v>331</v>
      </c>
      <c r="JR157">
        <v>56</v>
      </c>
      <c r="JS157">
        <v>166</v>
      </c>
      <c r="JT157">
        <v>33</v>
      </c>
      <c r="JV157">
        <v>4810</v>
      </c>
      <c r="JW157">
        <v>156</v>
      </c>
      <c r="JX157">
        <v>283</v>
      </c>
      <c r="JY157">
        <v>92</v>
      </c>
      <c r="JZ157">
        <v>26</v>
      </c>
      <c r="KA157">
        <v>164</v>
      </c>
      <c r="KB157">
        <v>31</v>
      </c>
      <c r="KC157">
        <v>228</v>
      </c>
      <c r="KD157">
        <v>116</v>
      </c>
      <c r="KF157">
        <v>2</v>
      </c>
      <c r="KH157">
        <v>5327</v>
      </c>
      <c r="KI157">
        <v>2</v>
      </c>
      <c r="KK157">
        <v>41</v>
      </c>
      <c r="KL157">
        <v>2</v>
      </c>
      <c r="KM157">
        <v>74</v>
      </c>
      <c r="KN157">
        <v>16</v>
      </c>
      <c r="KO157">
        <v>0</v>
      </c>
      <c r="KQ157">
        <v>39</v>
      </c>
      <c r="KR157">
        <v>10</v>
      </c>
      <c r="KS157">
        <v>22</v>
      </c>
      <c r="KW157">
        <v>13</v>
      </c>
      <c r="KX157">
        <v>76</v>
      </c>
      <c r="KZ157">
        <v>22</v>
      </c>
      <c r="LB157">
        <v>0</v>
      </c>
      <c r="LN157">
        <v>592</v>
      </c>
      <c r="LO157">
        <v>15</v>
      </c>
      <c r="LS157">
        <v>13</v>
      </c>
      <c r="LT157">
        <v>14</v>
      </c>
      <c r="LU157">
        <v>4</v>
      </c>
      <c r="LW157">
        <v>118</v>
      </c>
      <c r="LX157">
        <v>6</v>
      </c>
      <c r="LZ157">
        <v>96</v>
      </c>
      <c r="MA157">
        <v>15</v>
      </c>
      <c r="MB157">
        <v>2</v>
      </c>
      <c r="ME157">
        <v>12</v>
      </c>
      <c r="MF157">
        <v>3</v>
      </c>
      <c r="MG157">
        <v>29</v>
      </c>
      <c r="MH157">
        <v>2036</v>
      </c>
      <c r="MI157">
        <v>20</v>
      </c>
      <c r="MJ157">
        <v>5</v>
      </c>
      <c r="MK157">
        <v>191</v>
      </c>
      <c r="ML157">
        <v>8</v>
      </c>
      <c r="MM157">
        <v>82</v>
      </c>
      <c r="MN157">
        <v>74</v>
      </c>
      <c r="MO157">
        <v>233</v>
      </c>
      <c r="MQ157">
        <v>1</v>
      </c>
      <c r="MR157">
        <v>0</v>
      </c>
      <c r="MS157">
        <v>16</v>
      </c>
      <c r="MW157">
        <v>4</v>
      </c>
      <c r="MX157">
        <v>36</v>
      </c>
      <c r="MY157">
        <v>52</v>
      </c>
      <c r="MZ157">
        <v>27</v>
      </c>
      <c r="NA157">
        <v>14</v>
      </c>
      <c r="NC157">
        <v>105</v>
      </c>
      <c r="ND157">
        <v>1</v>
      </c>
      <c r="NE157">
        <v>24</v>
      </c>
      <c r="NL157">
        <v>5</v>
      </c>
      <c r="NM157">
        <v>6</v>
      </c>
      <c r="NN157">
        <v>5</v>
      </c>
      <c r="NO157">
        <v>14</v>
      </c>
      <c r="NP157">
        <v>42</v>
      </c>
      <c r="NQ157">
        <v>8</v>
      </c>
      <c r="NR157">
        <v>7543</v>
      </c>
      <c r="NS157">
        <v>0</v>
      </c>
      <c r="NV157">
        <v>10</v>
      </c>
      <c r="NX157">
        <v>25</v>
      </c>
      <c r="NY157">
        <v>94</v>
      </c>
      <c r="NZ157">
        <v>4</v>
      </c>
      <c r="OA157">
        <v>197</v>
      </c>
      <c r="OB157">
        <v>42</v>
      </c>
      <c r="OD157">
        <v>358</v>
      </c>
      <c r="OE157">
        <v>3</v>
      </c>
      <c r="OF157">
        <v>792</v>
      </c>
      <c r="OI157">
        <v>511</v>
      </c>
      <c r="OJ157">
        <v>75</v>
      </c>
      <c r="OK157">
        <v>157</v>
      </c>
      <c r="OL157">
        <v>106</v>
      </c>
      <c r="OM157">
        <v>2</v>
      </c>
      <c r="ON157">
        <v>0</v>
      </c>
      <c r="OO157">
        <v>57735</v>
      </c>
      <c r="OP157">
        <v>8104</v>
      </c>
      <c r="OU157">
        <v>348</v>
      </c>
      <c r="OV157">
        <v>7981</v>
      </c>
      <c r="PI157">
        <v>74168</v>
      </c>
      <c r="PM157" t="str">
        <f>IFERROR(VLOOKUP($A157&amp;"",Key!$A:$C,3,FALSE),"")</f>
        <v>ISIC 29</v>
      </c>
    </row>
    <row r="158" spans="1:429" x14ac:dyDescent="0.25">
      <c r="A158">
        <v>336320</v>
      </c>
      <c r="B158" t="s">
        <v>293</v>
      </c>
      <c r="C158">
        <v>49</v>
      </c>
      <c r="D158">
        <v>155</v>
      </c>
      <c r="E158">
        <v>33</v>
      </c>
      <c r="F158">
        <v>34</v>
      </c>
      <c r="G158">
        <v>23</v>
      </c>
      <c r="H158">
        <v>57</v>
      </c>
      <c r="I158">
        <v>217</v>
      </c>
      <c r="J158">
        <v>57</v>
      </c>
      <c r="K158">
        <v>6</v>
      </c>
      <c r="L158">
        <v>32</v>
      </c>
      <c r="N158">
        <v>8</v>
      </c>
      <c r="O158">
        <v>4</v>
      </c>
      <c r="P158">
        <v>144</v>
      </c>
      <c r="Q158">
        <v>67</v>
      </c>
      <c r="S158">
        <v>12</v>
      </c>
      <c r="T158">
        <v>9</v>
      </c>
      <c r="U158">
        <v>12</v>
      </c>
      <c r="V158">
        <v>15</v>
      </c>
      <c r="W158">
        <v>26</v>
      </c>
      <c r="X158">
        <v>0</v>
      </c>
      <c r="AB158">
        <v>0</v>
      </c>
      <c r="AC158">
        <v>737</v>
      </c>
      <c r="AD158">
        <v>61</v>
      </c>
      <c r="AG158">
        <v>6</v>
      </c>
      <c r="AI158">
        <v>1</v>
      </c>
      <c r="AJ158">
        <v>3</v>
      </c>
      <c r="AM158">
        <v>28</v>
      </c>
      <c r="AO158">
        <v>12</v>
      </c>
      <c r="AP158">
        <v>10</v>
      </c>
      <c r="AS158">
        <v>2</v>
      </c>
      <c r="AT158">
        <v>55</v>
      </c>
      <c r="AU158">
        <v>2</v>
      </c>
      <c r="AV158">
        <v>16</v>
      </c>
      <c r="AW158">
        <v>2</v>
      </c>
      <c r="BB158">
        <v>1</v>
      </c>
      <c r="BC158">
        <v>20</v>
      </c>
      <c r="BP158">
        <v>50</v>
      </c>
      <c r="CG158">
        <v>1270</v>
      </c>
      <c r="CH158">
        <v>85</v>
      </c>
      <c r="CI158">
        <v>331</v>
      </c>
      <c r="CJ158">
        <v>2</v>
      </c>
      <c r="CO158">
        <v>2</v>
      </c>
      <c r="CQ158">
        <v>5</v>
      </c>
      <c r="CU158">
        <v>1</v>
      </c>
      <c r="CV158">
        <v>1</v>
      </c>
      <c r="CW158">
        <v>205</v>
      </c>
      <c r="CZ158">
        <v>116</v>
      </c>
      <c r="DB158">
        <v>2</v>
      </c>
      <c r="DG158">
        <v>1</v>
      </c>
      <c r="DI158">
        <v>2</v>
      </c>
      <c r="DJ158">
        <v>0</v>
      </c>
      <c r="DK158">
        <v>0</v>
      </c>
      <c r="DM158">
        <v>209</v>
      </c>
      <c r="DN158">
        <v>12</v>
      </c>
      <c r="DO158">
        <v>3</v>
      </c>
      <c r="DP158">
        <v>0</v>
      </c>
      <c r="DQ158">
        <v>64</v>
      </c>
      <c r="DR158">
        <v>2</v>
      </c>
      <c r="DS158">
        <v>73</v>
      </c>
      <c r="DT158">
        <v>0</v>
      </c>
      <c r="DU158">
        <v>4</v>
      </c>
      <c r="DV158">
        <v>6</v>
      </c>
      <c r="DW158">
        <v>20</v>
      </c>
      <c r="DX158">
        <v>12</v>
      </c>
      <c r="DY158">
        <v>3</v>
      </c>
      <c r="DZ158">
        <v>29</v>
      </c>
      <c r="EA158">
        <v>3</v>
      </c>
      <c r="EP158">
        <v>5</v>
      </c>
      <c r="EQ158">
        <v>566</v>
      </c>
      <c r="ER158">
        <v>3801</v>
      </c>
      <c r="ES158">
        <v>407</v>
      </c>
      <c r="ET158">
        <v>255</v>
      </c>
      <c r="EU158">
        <v>175</v>
      </c>
      <c r="EV158">
        <v>0</v>
      </c>
      <c r="EW158">
        <v>41</v>
      </c>
      <c r="EX158">
        <v>1529</v>
      </c>
      <c r="EY158">
        <v>3313</v>
      </c>
      <c r="EZ158">
        <v>1375</v>
      </c>
      <c r="FB158">
        <v>15</v>
      </c>
      <c r="FC158">
        <v>515</v>
      </c>
      <c r="FD158">
        <v>699</v>
      </c>
      <c r="FF158">
        <v>4</v>
      </c>
      <c r="FK158">
        <v>127</v>
      </c>
      <c r="FO158">
        <v>18</v>
      </c>
      <c r="FQ158">
        <v>13</v>
      </c>
      <c r="FR158">
        <v>4</v>
      </c>
      <c r="FY158">
        <v>0</v>
      </c>
      <c r="GH158">
        <v>1</v>
      </c>
      <c r="GJ158">
        <v>4</v>
      </c>
      <c r="GN158">
        <v>4</v>
      </c>
      <c r="GS158">
        <v>8</v>
      </c>
      <c r="GT158">
        <v>2</v>
      </c>
      <c r="GU158">
        <v>5</v>
      </c>
      <c r="GW158">
        <v>2</v>
      </c>
      <c r="GX158">
        <v>12</v>
      </c>
      <c r="GZ158">
        <v>39</v>
      </c>
      <c r="HF158">
        <v>6</v>
      </c>
      <c r="HG158">
        <v>31</v>
      </c>
      <c r="HH158">
        <v>3</v>
      </c>
      <c r="HO158">
        <v>1</v>
      </c>
      <c r="HU158">
        <v>23</v>
      </c>
      <c r="HV158">
        <v>21</v>
      </c>
      <c r="HW158">
        <v>6</v>
      </c>
      <c r="IB158">
        <v>18</v>
      </c>
      <c r="IL158">
        <v>2</v>
      </c>
      <c r="JG158">
        <v>4</v>
      </c>
      <c r="JK158">
        <v>472</v>
      </c>
      <c r="JL158">
        <v>33</v>
      </c>
      <c r="JM158">
        <v>131</v>
      </c>
      <c r="JN158">
        <v>194</v>
      </c>
      <c r="JO158">
        <v>400</v>
      </c>
      <c r="JP158">
        <v>42</v>
      </c>
      <c r="JQ158">
        <v>705</v>
      </c>
      <c r="JR158">
        <v>37</v>
      </c>
      <c r="JS158">
        <v>346</v>
      </c>
      <c r="JT158">
        <v>159</v>
      </c>
      <c r="JV158">
        <v>1875</v>
      </c>
      <c r="JW158">
        <v>603</v>
      </c>
      <c r="JX158">
        <v>111</v>
      </c>
      <c r="JY158">
        <v>359</v>
      </c>
      <c r="JZ158">
        <v>200</v>
      </c>
      <c r="KA158">
        <v>54</v>
      </c>
      <c r="KB158">
        <v>7</v>
      </c>
      <c r="KC158">
        <v>433</v>
      </c>
      <c r="KD158">
        <v>20</v>
      </c>
      <c r="KF158">
        <v>9</v>
      </c>
      <c r="KH158">
        <v>211</v>
      </c>
      <c r="KI158">
        <v>21</v>
      </c>
      <c r="KK158">
        <v>19</v>
      </c>
      <c r="KL158">
        <v>2</v>
      </c>
      <c r="KM158">
        <v>813</v>
      </c>
      <c r="KN158">
        <v>22</v>
      </c>
      <c r="KO158">
        <v>3</v>
      </c>
      <c r="KP158">
        <v>3</v>
      </c>
      <c r="KQ158">
        <v>122</v>
      </c>
      <c r="KR158">
        <v>9</v>
      </c>
      <c r="KS158">
        <v>25</v>
      </c>
      <c r="KW158">
        <v>31</v>
      </c>
      <c r="KX158">
        <v>57</v>
      </c>
      <c r="KZ158">
        <v>10</v>
      </c>
      <c r="LA158">
        <v>77</v>
      </c>
      <c r="LN158">
        <v>222</v>
      </c>
      <c r="LO158">
        <v>18</v>
      </c>
      <c r="LT158">
        <v>11</v>
      </c>
      <c r="LU158">
        <v>2</v>
      </c>
      <c r="LV158">
        <v>1</v>
      </c>
      <c r="LW158">
        <v>81</v>
      </c>
      <c r="LX158">
        <v>171</v>
      </c>
      <c r="LZ158">
        <v>384</v>
      </c>
      <c r="MA158">
        <v>171</v>
      </c>
      <c r="MB158">
        <v>38</v>
      </c>
      <c r="ME158">
        <v>111</v>
      </c>
      <c r="MF158">
        <v>155</v>
      </c>
      <c r="MG158">
        <v>254</v>
      </c>
      <c r="MH158">
        <v>3172</v>
      </c>
      <c r="MI158">
        <v>19</v>
      </c>
      <c r="MJ158">
        <v>4</v>
      </c>
      <c r="MK158">
        <v>185</v>
      </c>
      <c r="ML158">
        <v>25</v>
      </c>
      <c r="MM158">
        <v>159</v>
      </c>
      <c r="MN158">
        <v>76</v>
      </c>
      <c r="MO158">
        <v>142</v>
      </c>
      <c r="MQ158">
        <v>243</v>
      </c>
      <c r="MR158">
        <v>26</v>
      </c>
      <c r="MS158">
        <v>18</v>
      </c>
      <c r="MV158">
        <v>102</v>
      </c>
      <c r="MW158">
        <v>21</v>
      </c>
      <c r="MX158">
        <v>32</v>
      </c>
      <c r="MY158">
        <v>42</v>
      </c>
      <c r="MZ158">
        <v>955</v>
      </c>
      <c r="NA158">
        <v>36</v>
      </c>
      <c r="NB158">
        <v>7</v>
      </c>
      <c r="NC158">
        <v>444</v>
      </c>
      <c r="ND158">
        <v>50</v>
      </c>
      <c r="NE158">
        <v>201</v>
      </c>
      <c r="NK158">
        <v>4</v>
      </c>
      <c r="NL158">
        <v>12</v>
      </c>
      <c r="NM158">
        <v>18</v>
      </c>
      <c r="NN158">
        <v>10</v>
      </c>
      <c r="NO158">
        <v>54</v>
      </c>
      <c r="NP158">
        <v>61</v>
      </c>
      <c r="NQ158">
        <v>7</v>
      </c>
      <c r="NR158">
        <v>3127</v>
      </c>
      <c r="NS158">
        <v>0</v>
      </c>
      <c r="NT158">
        <v>69</v>
      </c>
      <c r="NV158">
        <v>8</v>
      </c>
      <c r="NX158">
        <v>33</v>
      </c>
      <c r="NY158">
        <v>151</v>
      </c>
      <c r="NZ158">
        <v>8</v>
      </c>
      <c r="OA158">
        <v>107</v>
      </c>
      <c r="OB158">
        <v>54</v>
      </c>
      <c r="OD158">
        <v>4426</v>
      </c>
      <c r="OE158">
        <v>75</v>
      </c>
      <c r="OI158">
        <v>478</v>
      </c>
      <c r="OJ158">
        <v>24</v>
      </c>
      <c r="OK158">
        <v>825</v>
      </c>
      <c r="OL158">
        <v>30</v>
      </c>
      <c r="ON158">
        <v>23</v>
      </c>
      <c r="OO158">
        <v>42283</v>
      </c>
      <c r="OP158">
        <v>8277</v>
      </c>
      <c r="OU158">
        <v>364</v>
      </c>
      <c r="OV158">
        <v>4387</v>
      </c>
      <c r="PI158">
        <v>55311</v>
      </c>
      <c r="PM158" t="str">
        <f>IFERROR(VLOOKUP($A158&amp;"",Key!$A:$C,3,FALSE),"")</f>
        <v>ISIC 29</v>
      </c>
    </row>
    <row r="159" spans="1:429" x14ac:dyDescent="0.25">
      <c r="A159">
        <v>336350</v>
      </c>
      <c r="B159" t="s">
        <v>294</v>
      </c>
      <c r="M159">
        <v>0</v>
      </c>
      <c r="N159">
        <v>48</v>
      </c>
      <c r="O159">
        <v>3</v>
      </c>
      <c r="P159">
        <v>251</v>
      </c>
      <c r="Q159">
        <v>116</v>
      </c>
      <c r="R159">
        <v>7</v>
      </c>
      <c r="S159">
        <v>39</v>
      </c>
      <c r="T159">
        <v>79</v>
      </c>
      <c r="U159">
        <v>99</v>
      </c>
      <c r="V159">
        <v>32</v>
      </c>
      <c r="W159">
        <v>80</v>
      </c>
      <c r="X159">
        <v>1</v>
      </c>
      <c r="Z159">
        <v>0</v>
      </c>
      <c r="AC159">
        <v>232</v>
      </c>
      <c r="AD159">
        <v>64</v>
      </c>
      <c r="AM159">
        <v>32</v>
      </c>
      <c r="AN159">
        <v>12</v>
      </c>
      <c r="AO159">
        <v>11</v>
      </c>
      <c r="AP159">
        <v>10</v>
      </c>
      <c r="AQ159">
        <v>0</v>
      </c>
      <c r="AR159">
        <v>2</v>
      </c>
      <c r="AS159">
        <v>6</v>
      </c>
      <c r="AT159">
        <v>46</v>
      </c>
      <c r="AU159">
        <v>5</v>
      </c>
      <c r="AV159">
        <v>12</v>
      </c>
      <c r="AW159">
        <v>5</v>
      </c>
      <c r="AZ159">
        <v>6</v>
      </c>
      <c r="BA159">
        <v>1</v>
      </c>
      <c r="BB159">
        <v>1</v>
      </c>
      <c r="BC159">
        <v>17</v>
      </c>
      <c r="BD159">
        <v>3</v>
      </c>
      <c r="BE159">
        <v>2</v>
      </c>
      <c r="BF159">
        <v>0</v>
      </c>
      <c r="BG159">
        <v>5</v>
      </c>
      <c r="BI159">
        <v>1</v>
      </c>
      <c r="BJ159">
        <v>1</v>
      </c>
      <c r="BK159">
        <v>2</v>
      </c>
      <c r="BM159">
        <v>5</v>
      </c>
      <c r="BO159">
        <v>1</v>
      </c>
      <c r="BP159">
        <v>1</v>
      </c>
      <c r="BQ159">
        <v>21</v>
      </c>
      <c r="BR159">
        <v>16</v>
      </c>
      <c r="BS159">
        <v>4</v>
      </c>
      <c r="BT159">
        <v>3</v>
      </c>
      <c r="BV159">
        <v>3</v>
      </c>
      <c r="BX159">
        <v>6</v>
      </c>
      <c r="BY159">
        <v>2</v>
      </c>
      <c r="BZ159">
        <v>13</v>
      </c>
      <c r="CB159">
        <v>4</v>
      </c>
      <c r="CC159">
        <v>3</v>
      </c>
      <c r="CF159">
        <v>1</v>
      </c>
      <c r="CG159">
        <v>375</v>
      </c>
      <c r="CH159">
        <v>421</v>
      </c>
      <c r="CI159">
        <v>1360</v>
      </c>
      <c r="CJ159">
        <v>13</v>
      </c>
      <c r="CK159">
        <v>2</v>
      </c>
      <c r="CL159">
        <v>9</v>
      </c>
      <c r="CO159">
        <v>1</v>
      </c>
      <c r="CQ159">
        <v>3</v>
      </c>
      <c r="CS159">
        <v>1</v>
      </c>
      <c r="CT159">
        <v>4</v>
      </c>
      <c r="CU159">
        <v>2</v>
      </c>
      <c r="CV159">
        <v>4</v>
      </c>
      <c r="CX159">
        <v>1</v>
      </c>
      <c r="CZ159">
        <v>2</v>
      </c>
      <c r="DA159">
        <v>2</v>
      </c>
      <c r="DB159">
        <v>6</v>
      </c>
      <c r="DC159">
        <v>6</v>
      </c>
      <c r="DD159">
        <v>0</v>
      </c>
      <c r="DG159">
        <v>7</v>
      </c>
      <c r="DM159">
        <v>2</v>
      </c>
      <c r="DO159">
        <v>1</v>
      </c>
      <c r="DP159">
        <v>1</v>
      </c>
      <c r="DR159">
        <v>3</v>
      </c>
      <c r="DS159">
        <v>2</v>
      </c>
      <c r="DU159">
        <v>1</v>
      </c>
      <c r="DX159">
        <v>3</v>
      </c>
      <c r="EH159">
        <v>0</v>
      </c>
      <c r="EJ159">
        <v>1</v>
      </c>
      <c r="EN159">
        <v>5</v>
      </c>
      <c r="EQ159">
        <v>1881</v>
      </c>
      <c r="ER159">
        <v>17397</v>
      </c>
      <c r="ES159">
        <v>3085</v>
      </c>
      <c r="ET159">
        <v>191</v>
      </c>
      <c r="EU159">
        <v>9</v>
      </c>
      <c r="EV159">
        <v>0</v>
      </c>
      <c r="EW159">
        <v>2</v>
      </c>
      <c r="EX159">
        <v>3500</v>
      </c>
      <c r="EY159">
        <v>9</v>
      </c>
      <c r="EZ159">
        <v>37</v>
      </c>
      <c r="FA159">
        <v>5</v>
      </c>
      <c r="FB159">
        <v>2</v>
      </c>
      <c r="FC159">
        <v>9</v>
      </c>
      <c r="FD159">
        <v>1047</v>
      </c>
      <c r="FE159">
        <v>3</v>
      </c>
      <c r="FG159">
        <v>1</v>
      </c>
      <c r="FJ159">
        <v>2</v>
      </c>
      <c r="FK159">
        <v>6</v>
      </c>
      <c r="FL159">
        <v>4</v>
      </c>
      <c r="FO159">
        <v>1</v>
      </c>
      <c r="FP159">
        <v>6</v>
      </c>
      <c r="FQ159">
        <v>16</v>
      </c>
      <c r="FR159">
        <v>5</v>
      </c>
      <c r="FS159">
        <v>3</v>
      </c>
      <c r="FU159">
        <v>4</v>
      </c>
      <c r="FV159">
        <v>14</v>
      </c>
      <c r="FW159">
        <v>3</v>
      </c>
      <c r="FX159">
        <v>6</v>
      </c>
      <c r="FY159">
        <v>6</v>
      </c>
      <c r="GA159">
        <v>2</v>
      </c>
      <c r="GD159">
        <v>3</v>
      </c>
      <c r="GE159">
        <v>1</v>
      </c>
      <c r="GG159">
        <v>10</v>
      </c>
      <c r="GH159">
        <v>3</v>
      </c>
      <c r="GI159">
        <v>2</v>
      </c>
      <c r="GJ159">
        <v>6</v>
      </c>
      <c r="GL159">
        <v>2</v>
      </c>
      <c r="GM159">
        <v>1</v>
      </c>
      <c r="GN159">
        <v>8</v>
      </c>
      <c r="GO159">
        <v>3</v>
      </c>
      <c r="GP159">
        <v>1</v>
      </c>
      <c r="GQ159">
        <v>3</v>
      </c>
      <c r="GR159">
        <v>4</v>
      </c>
      <c r="GS159">
        <v>54</v>
      </c>
      <c r="GT159">
        <v>80</v>
      </c>
      <c r="GU159">
        <v>53</v>
      </c>
      <c r="GV159">
        <v>19</v>
      </c>
      <c r="GW159">
        <v>6</v>
      </c>
      <c r="GX159">
        <v>4</v>
      </c>
      <c r="GY159">
        <v>0</v>
      </c>
      <c r="GZ159">
        <v>131</v>
      </c>
      <c r="HA159">
        <v>3</v>
      </c>
      <c r="HB159">
        <v>34</v>
      </c>
      <c r="HD159">
        <v>45</v>
      </c>
      <c r="HE159">
        <v>20</v>
      </c>
      <c r="HF159">
        <v>5</v>
      </c>
      <c r="HG159">
        <v>218</v>
      </c>
      <c r="HH159">
        <v>17</v>
      </c>
      <c r="HI159">
        <v>3</v>
      </c>
      <c r="HJ159">
        <v>18</v>
      </c>
      <c r="HK159">
        <v>32</v>
      </c>
      <c r="HL159">
        <v>1</v>
      </c>
      <c r="HO159">
        <v>2</v>
      </c>
      <c r="HT159">
        <v>2</v>
      </c>
      <c r="HU159">
        <v>15</v>
      </c>
      <c r="HV159">
        <v>14</v>
      </c>
      <c r="HW159">
        <v>23</v>
      </c>
      <c r="HX159">
        <v>7</v>
      </c>
      <c r="HY159">
        <v>1</v>
      </c>
      <c r="HZ159">
        <v>2</v>
      </c>
      <c r="IA159">
        <v>1</v>
      </c>
      <c r="IB159">
        <v>24</v>
      </c>
      <c r="IC159">
        <v>1</v>
      </c>
      <c r="ID159">
        <v>44</v>
      </c>
      <c r="IF159">
        <v>3</v>
      </c>
      <c r="IG159">
        <v>1</v>
      </c>
      <c r="IH159">
        <v>1</v>
      </c>
      <c r="IK159">
        <v>1</v>
      </c>
      <c r="IL159">
        <v>4</v>
      </c>
      <c r="IM159">
        <v>1</v>
      </c>
      <c r="IO159">
        <v>5</v>
      </c>
      <c r="IP159">
        <v>3</v>
      </c>
      <c r="IQ159">
        <v>2</v>
      </c>
      <c r="IR159">
        <v>16</v>
      </c>
      <c r="IS159">
        <v>0</v>
      </c>
      <c r="IT159">
        <v>1</v>
      </c>
      <c r="IU159">
        <v>4</v>
      </c>
      <c r="IV159">
        <v>6</v>
      </c>
      <c r="IW159">
        <v>8</v>
      </c>
      <c r="IX159">
        <v>2</v>
      </c>
      <c r="IZ159">
        <v>3</v>
      </c>
      <c r="JA159">
        <v>3</v>
      </c>
      <c r="JD159">
        <v>2</v>
      </c>
      <c r="JG159">
        <v>9</v>
      </c>
      <c r="JH159">
        <v>3</v>
      </c>
      <c r="JJ159">
        <v>2</v>
      </c>
      <c r="JL159">
        <v>67</v>
      </c>
      <c r="JM159">
        <v>177</v>
      </c>
      <c r="JN159">
        <v>362</v>
      </c>
      <c r="JO159">
        <v>856</v>
      </c>
      <c r="JP159">
        <v>49</v>
      </c>
      <c r="JQ159">
        <v>967</v>
      </c>
      <c r="JR159">
        <v>74</v>
      </c>
      <c r="JS159">
        <v>519</v>
      </c>
      <c r="JT159">
        <v>207</v>
      </c>
      <c r="JV159">
        <v>529</v>
      </c>
      <c r="JW159">
        <v>884</v>
      </c>
      <c r="JX159">
        <v>77</v>
      </c>
      <c r="JY159">
        <v>528</v>
      </c>
      <c r="JZ159">
        <v>322</v>
      </c>
      <c r="KA159">
        <v>108</v>
      </c>
      <c r="KB159">
        <v>52</v>
      </c>
      <c r="KC159">
        <v>676</v>
      </c>
      <c r="KD159">
        <v>238</v>
      </c>
      <c r="KF159">
        <v>11</v>
      </c>
      <c r="KH159">
        <v>371</v>
      </c>
      <c r="KI159">
        <v>493</v>
      </c>
      <c r="KJ159">
        <v>1</v>
      </c>
      <c r="KK159">
        <v>9</v>
      </c>
      <c r="KL159">
        <v>2</v>
      </c>
      <c r="KM159">
        <v>215</v>
      </c>
      <c r="KN159">
        <v>38</v>
      </c>
      <c r="KO159">
        <v>0</v>
      </c>
      <c r="KP159">
        <v>8</v>
      </c>
      <c r="KQ159">
        <v>77</v>
      </c>
      <c r="KR159">
        <v>13</v>
      </c>
      <c r="KS159">
        <v>32</v>
      </c>
      <c r="KU159">
        <v>13</v>
      </c>
      <c r="KW159">
        <v>166</v>
      </c>
      <c r="KX159">
        <v>51</v>
      </c>
      <c r="KY159">
        <v>8</v>
      </c>
      <c r="KZ159">
        <v>3</v>
      </c>
      <c r="LA159">
        <v>105</v>
      </c>
      <c r="LB159">
        <v>0</v>
      </c>
      <c r="LN159">
        <v>578</v>
      </c>
      <c r="LO159">
        <v>28</v>
      </c>
      <c r="LT159">
        <v>27</v>
      </c>
      <c r="LU159">
        <v>28</v>
      </c>
      <c r="LV159">
        <v>2</v>
      </c>
      <c r="LW159">
        <v>49</v>
      </c>
      <c r="LX159">
        <v>132</v>
      </c>
      <c r="LZ159">
        <v>582</v>
      </c>
      <c r="MA159">
        <v>208</v>
      </c>
      <c r="MB159">
        <v>33</v>
      </c>
      <c r="MD159">
        <v>2</v>
      </c>
      <c r="ME159">
        <v>453</v>
      </c>
      <c r="MF159">
        <v>157</v>
      </c>
      <c r="MG159">
        <v>164</v>
      </c>
      <c r="MH159">
        <v>3648</v>
      </c>
      <c r="MI159">
        <v>34</v>
      </c>
      <c r="MJ159">
        <v>11</v>
      </c>
      <c r="MK159">
        <v>266</v>
      </c>
      <c r="ML159">
        <v>18</v>
      </c>
      <c r="MM159">
        <v>134</v>
      </c>
      <c r="MN159">
        <v>121</v>
      </c>
      <c r="MO159">
        <v>326</v>
      </c>
      <c r="MP159">
        <v>4</v>
      </c>
      <c r="MQ159">
        <v>132</v>
      </c>
      <c r="MR159">
        <v>46</v>
      </c>
      <c r="MS159">
        <v>26</v>
      </c>
      <c r="MT159">
        <v>5</v>
      </c>
      <c r="MU159">
        <v>4</v>
      </c>
      <c r="MW159">
        <v>35</v>
      </c>
      <c r="MX159">
        <v>39</v>
      </c>
      <c r="MY159">
        <v>73</v>
      </c>
      <c r="MZ159">
        <v>343</v>
      </c>
      <c r="NA159">
        <v>24</v>
      </c>
      <c r="NB159">
        <v>7</v>
      </c>
      <c r="NC159">
        <v>227</v>
      </c>
      <c r="ND159">
        <v>7</v>
      </c>
      <c r="NE159">
        <v>1459</v>
      </c>
      <c r="NF159">
        <v>2</v>
      </c>
      <c r="NG159">
        <v>1</v>
      </c>
      <c r="NI159">
        <v>7</v>
      </c>
      <c r="NJ159">
        <v>7</v>
      </c>
      <c r="NK159">
        <v>4</v>
      </c>
      <c r="NL159">
        <v>26</v>
      </c>
      <c r="NM159">
        <v>20</v>
      </c>
      <c r="NN159">
        <v>114</v>
      </c>
      <c r="NO159">
        <v>19</v>
      </c>
      <c r="NP159">
        <v>30</v>
      </c>
      <c r="NR159">
        <v>1637</v>
      </c>
      <c r="NS159">
        <v>0</v>
      </c>
      <c r="NV159">
        <v>5</v>
      </c>
      <c r="NX159">
        <v>35</v>
      </c>
      <c r="NY159">
        <v>204</v>
      </c>
      <c r="NZ159">
        <v>4</v>
      </c>
      <c r="OA159">
        <v>192</v>
      </c>
      <c r="OB159">
        <v>50</v>
      </c>
      <c r="OD159">
        <v>1751</v>
      </c>
      <c r="OE159">
        <v>8</v>
      </c>
      <c r="OF159">
        <v>2370</v>
      </c>
      <c r="OH159">
        <v>77</v>
      </c>
      <c r="OI159">
        <v>1252</v>
      </c>
      <c r="OJ159">
        <v>184</v>
      </c>
      <c r="OK159">
        <v>2613</v>
      </c>
      <c r="OL159">
        <v>434</v>
      </c>
      <c r="ON159">
        <v>107</v>
      </c>
      <c r="OO159">
        <v>60701</v>
      </c>
      <c r="OP159">
        <v>6923</v>
      </c>
      <c r="OU159">
        <v>229</v>
      </c>
      <c r="OV159">
        <v>6109</v>
      </c>
      <c r="PI159">
        <v>73962</v>
      </c>
      <c r="PM159" t="str">
        <f>IFERROR(VLOOKUP($A159&amp;"",Key!$A:$C,3,FALSE),"")</f>
        <v>ISIC 29</v>
      </c>
    </row>
    <row r="160" spans="1:429" x14ac:dyDescent="0.25">
      <c r="A160">
        <v>336360</v>
      </c>
      <c r="B160" t="s">
        <v>295</v>
      </c>
      <c r="C160">
        <v>2</v>
      </c>
      <c r="D160">
        <v>8</v>
      </c>
      <c r="E160">
        <v>3</v>
      </c>
      <c r="F160">
        <v>2</v>
      </c>
      <c r="G160">
        <v>3</v>
      </c>
      <c r="H160">
        <v>8</v>
      </c>
      <c r="I160">
        <v>15</v>
      </c>
      <c r="K160">
        <v>2</v>
      </c>
      <c r="L160">
        <v>1</v>
      </c>
      <c r="O160">
        <v>0</v>
      </c>
      <c r="CI160">
        <v>657</v>
      </c>
      <c r="EQ160">
        <v>4631</v>
      </c>
      <c r="ER160">
        <v>22751</v>
      </c>
      <c r="ES160">
        <v>3579</v>
      </c>
      <c r="ET160">
        <v>459</v>
      </c>
      <c r="EU160">
        <v>15</v>
      </c>
      <c r="FA160">
        <v>9091</v>
      </c>
      <c r="FE160">
        <v>599</v>
      </c>
      <c r="FG160">
        <v>6</v>
      </c>
      <c r="FW160">
        <v>0</v>
      </c>
      <c r="IB160">
        <v>3</v>
      </c>
      <c r="IL160">
        <v>1</v>
      </c>
      <c r="JV160">
        <v>157</v>
      </c>
      <c r="KB160">
        <v>15</v>
      </c>
      <c r="KF160">
        <v>44</v>
      </c>
      <c r="KH160">
        <v>29</v>
      </c>
      <c r="KI160">
        <v>36</v>
      </c>
      <c r="KK160">
        <v>148</v>
      </c>
      <c r="KM160">
        <v>266</v>
      </c>
      <c r="LO160">
        <v>133</v>
      </c>
      <c r="LZ160">
        <v>0</v>
      </c>
      <c r="MY160">
        <v>8</v>
      </c>
      <c r="NM160">
        <v>0</v>
      </c>
      <c r="NR160">
        <v>65</v>
      </c>
      <c r="NS160">
        <v>0</v>
      </c>
      <c r="OD160">
        <v>1</v>
      </c>
      <c r="OE160">
        <v>0</v>
      </c>
      <c r="OJ160">
        <v>0</v>
      </c>
      <c r="OK160">
        <v>19</v>
      </c>
      <c r="ON160">
        <v>0</v>
      </c>
      <c r="OO160">
        <v>42758</v>
      </c>
      <c r="OP160">
        <v>1</v>
      </c>
      <c r="OQ160">
        <v>672</v>
      </c>
      <c r="OU160">
        <v>-187</v>
      </c>
      <c r="OV160">
        <v>2202</v>
      </c>
      <c r="PB160">
        <v>9</v>
      </c>
      <c r="PF160">
        <v>13</v>
      </c>
      <c r="PI160">
        <v>45467</v>
      </c>
      <c r="PM160" t="str">
        <f>IFERROR(VLOOKUP($A160&amp;"",Key!$A:$C,3,FALSE),"")</f>
        <v>ISIC 29</v>
      </c>
    </row>
    <row r="161" spans="1:429" x14ac:dyDescent="0.25">
      <c r="A161">
        <v>336370</v>
      </c>
      <c r="B161" t="s">
        <v>296</v>
      </c>
      <c r="BO161">
        <v>301</v>
      </c>
      <c r="EQ161">
        <v>3230</v>
      </c>
      <c r="ER161">
        <v>30385</v>
      </c>
      <c r="ES161">
        <v>229</v>
      </c>
      <c r="ET161">
        <v>445</v>
      </c>
      <c r="EU161">
        <v>2</v>
      </c>
      <c r="EV161">
        <v>0</v>
      </c>
      <c r="EX161">
        <v>819</v>
      </c>
      <c r="EY161">
        <v>123</v>
      </c>
      <c r="EZ161">
        <v>201</v>
      </c>
      <c r="FA161">
        <v>6</v>
      </c>
      <c r="FB161">
        <v>661</v>
      </c>
      <c r="FC161">
        <v>2977</v>
      </c>
      <c r="FD161">
        <v>205</v>
      </c>
      <c r="JV161">
        <v>40</v>
      </c>
      <c r="LW161">
        <v>69</v>
      </c>
      <c r="LZ161">
        <v>288</v>
      </c>
      <c r="MF161">
        <v>5</v>
      </c>
      <c r="NR161">
        <v>130</v>
      </c>
      <c r="NS161">
        <v>0</v>
      </c>
      <c r="OL161">
        <v>60</v>
      </c>
      <c r="OO161">
        <v>40176</v>
      </c>
      <c r="OU161">
        <v>65</v>
      </c>
      <c r="OV161">
        <v>1782</v>
      </c>
      <c r="PI161">
        <v>42023</v>
      </c>
      <c r="PM161" t="str">
        <f>IFERROR(VLOOKUP($A161&amp;"",Key!$A:$C,3,FALSE),"")</f>
        <v>ISIC 29</v>
      </c>
    </row>
    <row r="162" spans="1:429" x14ac:dyDescent="0.25">
      <c r="A162">
        <v>336390</v>
      </c>
      <c r="B162" t="s">
        <v>297</v>
      </c>
      <c r="C162">
        <v>35</v>
      </c>
      <c r="D162">
        <v>131</v>
      </c>
      <c r="E162">
        <v>19</v>
      </c>
      <c r="F162">
        <v>19</v>
      </c>
      <c r="G162">
        <v>20</v>
      </c>
      <c r="H162">
        <v>51</v>
      </c>
      <c r="I162">
        <v>118</v>
      </c>
      <c r="K162">
        <v>4</v>
      </c>
      <c r="L162">
        <v>23</v>
      </c>
      <c r="M162">
        <v>0</v>
      </c>
      <c r="N162">
        <v>46</v>
      </c>
      <c r="O162">
        <v>16</v>
      </c>
      <c r="P162">
        <v>129</v>
      </c>
      <c r="Q162">
        <v>96</v>
      </c>
      <c r="R162">
        <v>9</v>
      </c>
      <c r="S162">
        <v>80</v>
      </c>
      <c r="T162">
        <v>36</v>
      </c>
      <c r="U162">
        <v>107</v>
      </c>
      <c r="V162">
        <v>83</v>
      </c>
      <c r="W162">
        <v>155</v>
      </c>
      <c r="X162">
        <v>45</v>
      </c>
      <c r="Y162">
        <v>4</v>
      </c>
      <c r="Z162">
        <v>1</v>
      </c>
      <c r="AB162">
        <v>0</v>
      </c>
      <c r="AC162">
        <v>249</v>
      </c>
      <c r="AD162">
        <v>52</v>
      </c>
      <c r="AE162">
        <v>0</v>
      </c>
      <c r="AF162">
        <v>1</v>
      </c>
      <c r="AG162">
        <v>6</v>
      </c>
      <c r="AH162">
        <v>1</v>
      </c>
      <c r="AJ162">
        <v>0</v>
      </c>
      <c r="AK162">
        <v>1</v>
      </c>
      <c r="AM162">
        <v>715</v>
      </c>
      <c r="AN162">
        <v>281</v>
      </c>
      <c r="AO162">
        <v>191</v>
      </c>
      <c r="AP162">
        <v>814</v>
      </c>
      <c r="AQ162">
        <v>1</v>
      </c>
      <c r="AR162">
        <v>35</v>
      </c>
      <c r="AS162">
        <v>20</v>
      </c>
      <c r="AT162">
        <v>266</v>
      </c>
      <c r="AU162">
        <v>17</v>
      </c>
      <c r="AV162">
        <v>48</v>
      </c>
      <c r="AW162">
        <v>6</v>
      </c>
      <c r="AZ162">
        <v>37</v>
      </c>
      <c r="BA162">
        <v>24</v>
      </c>
      <c r="BB162">
        <v>7</v>
      </c>
      <c r="BC162">
        <v>285</v>
      </c>
      <c r="BD162">
        <v>119</v>
      </c>
      <c r="BE162">
        <v>1</v>
      </c>
      <c r="BF162">
        <v>4</v>
      </c>
      <c r="BG162">
        <v>94</v>
      </c>
      <c r="BI162">
        <v>53</v>
      </c>
      <c r="BJ162">
        <v>14</v>
      </c>
      <c r="BK162">
        <v>81</v>
      </c>
      <c r="BL162">
        <v>34</v>
      </c>
      <c r="BO162">
        <v>54</v>
      </c>
      <c r="BP162">
        <v>28</v>
      </c>
      <c r="BQ162">
        <v>336</v>
      </c>
      <c r="BR162">
        <v>208</v>
      </c>
      <c r="BT162">
        <v>58</v>
      </c>
      <c r="BU162">
        <v>34</v>
      </c>
      <c r="BV162">
        <v>132</v>
      </c>
      <c r="BX162">
        <v>140</v>
      </c>
      <c r="BY162">
        <v>33</v>
      </c>
      <c r="BZ162">
        <v>236</v>
      </c>
      <c r="CB162">
        <v>159</v>
      </c>
      <c r="CC162">
        <v>47</v>
      </c>
      <c r="CF162">
        <v>57</v>
      </c>
      <c r="CG162">
        <v>432</v>
      </c>
      <c r="CH162">
        <v>45</v>
      </c>
      <c r="CI162">
        <v>1553</v>
      </c>
      <c r="CJ162">
        <v>233</v>
      </c>
      <c r="CL162">
        <v>258</v>
      </c>
      <c r="CO162">
        <v>255</v>
      </c>
      <c r="CQ162">
        <v>93</v>
      </c>
      <c r="CR162">
        <v>329</v>
      </c>
      <c r="CU162">
        <v>31</v>
      </c>
      <c r="CV162">
        <v>17</v>
      </c>
      <c r="CW162">
        <v>133</v>
      </c>
      <c r="CX162">
        <v>1</v>
      </c>
      <c r="CZ162">
        <v>383</v>
      </c>
      <c r="DA162">
        <v>78</v>
      </c>
      <c r="DB162">
        <v>191</v>
      </c>
      <c r="DC162">
        <v>1092</v>
      </c>
      <c r="DD162">
        <v>9</v>
      </c>
      <c r="DG162">
        <v>185</v>
      </c>
      <c r="DI162">
        <v>6</v>
      </c>
      <c r="DJ162">
        <v>5</v>
      </c>
      <c r="DK162">
        <v>8</v>
      </c>
      <c r="DL162">
        <v>9</v>
      </c>
      <c r="DM162">
        <v>251</v>
      </c>
      <c r="DO162">
        <v>32</v>
      </c>
      <c r="DP162">
        <v>1</v>
      </c>
      <c r="DQ162">
        <v>44</v>
      </c>
      <c r="DR162">
        <v>101</v>
      </c>
      <c r="DS162">
        <v>156</v>
      </c>
      <c r="DU162">
        <v>24</v>
      </c>
      <c r="DW162">
        <v>64</v>
      </c>
      <c r="DX162">
        <v>65</v>
      </c>
      <c r="EA162">
        <v>5</v>
      </c>
      <c r="EB162">
        <v>0</v>
      </c>
      <c r="EH162">
        <v>25</v>
      </c>
      <c r="EJ162">
        <v>55</v>
      </c>
      <c r="EK162">
        <v>37</v>
      </c>
      <c r="EM162">
        <v>18</v>
      </c>
      <c r="EN162">
        <v>139</v>
      </c>
      <c r="EQ162">
        <v>1798</v>
      </c>
      <c r="ER162">
        <v>8121</v>
      </c>
      <c r="ES162">
        <v>1314</v>
      </c>
      <c r="ET162">
        <v>471</v>
      </c>
      <c r="EU162">
        <v>2112</v>
      </c>
      <c r="EV162">
        <v>29</v>
      </c>
      <c r="EW162">
        <v>3052</v>
      </c>
      <c r="EX162">
        <v>1370</v>
      </c>
      <c r="EY162">
        <v>561</v>
      </c>
      <c r="EZ162">
        <v>2528</v>
      </c>
      <c r="FA162">
        <v>201</v>
      </c>
      <c r="FB162">
        <v>303</v>
      </c>
      <c r="FC162">
        <v>11153</v>
      </c>
      <c r="FD162">
        <v>657</v>
      </c>
      <c r="FE162">
        <v>1214</v>
      </c>
      <c r="FG162">
        <v>56</v>
      </c>
      <c r="FJ162">
        <v>25</v>
      </c>
      <c r="FK162">
        <v>128</v>
      </c>
      <c r="FL162">
        <v>136</v>
      </c>
      <c r="FO162">
        <v>484</v>
      </c>
      <c r="FP162">
        <v>128</v>
      </c>
      <c r="FQ162">
        <v>115</v>
      </c>
      <c r="FR162">
        <v>4</v>
      </c>
      <c r="FS162">
        <v>61</v>
      </c>
      <c r="FT162">
        <v>45</v>
      </c>
      <c r="FU162">
        <v>87</v>
      </c>
      <c r="FV162">
        <v>57</v>
      </c>
      <c r="FW162">
        <v>56</v>
      </c>
      <c r="FX162">
        <v>341</v>
      </c>
      <c r="FY162">
        <v>178</v>
      </c>
      <c r="GA162">
        <v>7</v>
      </c>
      <c r="GC162">
        <v>4</v>
      </c>
      <c r="GD162">
        <v>115</v>
      </c>
      <c r="GE162">
        <v>13</v>
      </c>
      <c r="GG162">
        <v>284</v>
      </c>
      <c r="GH162">
        <v>100</v>
      </c>
      <c r="GJ162">
        <v>273</v>
      </c>
      <c r="GL162">
        <v>76</v>
      </c>
      <c r="GM162">
        <v>15</v>
      </c>
      <c r="GN162">
        <v>5</v>
      </c>
      <c r="GO162">
        <v>52</v>
      </c>
      <c r="GQ162">
        <v>99</v>
      </c>
      <c r="GR162">
        <v>184</v>
      </c>
      <c r="GS162">
        <v>572</v>
      </c>
      <c r="GT162">
        <v>649</v>
      </c>
      <c r="GU162">
        <v>29</v>
      </c>
      <c r="GV162">
        <v>11</v>
      </c>
      <c r="GW162">
        <v>199</v>
      </c>
      <c r="GX162">
        <v>134</v>
      </c>
      <c r="GY162">
        <v>0</v>
      </c>
      <c r="GZ162">
        <v>71</v>
      </c>
      <c r="HA162">
        <v>110</v>
      </c>
      <c r="HB162">
        <v>13</v>
      </c>
      <c r="HD162">
        <v>14</v>
      </c>
      <c r="HE162">
        <v>192</v>
      </c>
      <c r="HG162">
        <v>2461</v>
      </c>
      <c r="HH162">
        <v>111</v>
      </c>
      <c r="HI162">
        <v>2</v>
      </c>
      <c r="HJ162">
        <v>10</v>
      </c>
      <c r="HK162">
        <v>35</v>
      </c>
      <c r="HL162">
        <v>16</v>
      </c>
      <c r="HM162">
        <v>16</v>
      </c>
      <c r="HO162">
        <v>57</v>
      </c>
      <c r="HR162">
        <v>1</v>
      </c>
      <c r="HT162">
        <v>3</v>
      </c>
      <c r="HU162">
        <v>329</v>
      </c>
      <c r="HV162">
        <v>412</v>
      </c>
      <c r="HW162">
        <v>726</v>
      </c>
      <c r="HX162">
        <v>187</v>
      </c>
      <c r="IB162">
        <v>156</v>
      </c>
      <c r="IE162">
        <v>58</v>
      </c>
      <c r="IF162">
        <v>94</v>
      </c>
      <c r="IG162">
        <v>26</v>
      </c>
      <c r="IK162">
        <v>49</v>
      </c>
      <c r="IL162">
        <v>295</v>
      </c>
      <c r="IM162">
        <v>325</v>
      </c>
      <c r="IO162">
        <v>3</v>
      </c>
      <c r="IP162">
        <v>2</v>
      </c>
      <c r="IQ162">
        <v>11</v>
      </c>
      <c r="IR162">
        <v>12</v>
      </c>
      <c r="IS162">
        <v>5</v>
      </c>
      <c r="IT162">
        <v>17</v>
      </c>
      <c r="IU162">
        <v>197</v>
      </c>
      <c r="IV162">
        <v>233</v>
      </c>
      <c r="IW162">
        <v>490</v>
      </c>
      <c r="IX162">
        <v>128</v>
      </c>
      <c r="IZ162">
        <v>175</v>
      </c>
      <c r="JA162">
        <v>181</v>
      </c>
      <c r="JG162">
        <v>493</v>
      </c>
      <c r="JH162">
        <v>1</v>
      </c>
      <c r="JJ162">
        <v>115</v>
      </c>
      <c r="JK162">
        <v>42</v>
      </c>
      <c r="JL162">
        <v>47</v>
      </c>
      <c r="JM162">
        <v>136</v>
      </c>
      <c r="JN162">
        <v>264</v>
      </c>
      <c r="JO162">
        <v>752</v>
      </c>
      <c r="JP162">
        <v>20</v>
      </c>
      <c r="JQ162">
        <v>547</v>
      </c>
      <c r="JR162">
        <v>50</v>
      </c>
      <c r="JS162">
        <v>377</v>
      </c>
      <c r="JT162">
        <v>304</v>
      </c>
      <c r="JV162">
        <v>1201</v>
      </c>
      <c r="JW162">
        <v>1099</v>
      </c>
      <c r="JX162">
        <v>161</v>
      </c>
      <c r="JY162">
        <v>689</v>
      </c>
      <c r="JZ162">
        <v>490</v>
      </c>
      <c r="KA162">
        <v>161</v>
      </c>
      <c r="KB162">
        <v>36</v>
      </c>
      <c r="KC162">
        <v>993</v>
      </c>
      <c r="KD162">
        <v>175</v>
      </c>
      <c r="KF162">
        <v>16</v>
      </c>
      <c r="KH162">
        <v>2661</v>
      </c>
      <c r="KI162">
        <v>281</v>
      </c>
      <c r="KJ162">
        <v>0</v>
      </c>
      <c r="KK162">
        <v>60</v>
      </c>
      <c r="KL162">
        <v>2</v>
      </c>
      <c r="KM162">
        <v>645</v>
      </c>
      <c r="KN162">
        <v>28</v>
      </c>
      <c r="KO162">
        <v>0</v>
      </c>
      <c r="KP162">
        <v>5</v>
      </c>
      <c r="KQ162">
        <v>23</v>
      </c>
      <c r="KR162">
        <v>5</v>
      </c>
      <c r="KS162">
        <v>17</v>
      </c>
      <c r="KV162">
        <v>297</v>
      </c>
      <c r="KW162">
        <v>14</v>
      </c>
      <c r="KX162">
        <v>49</v>
      </c>
      <c r="KZ162">
        <v>12</v>
      </c>
      <c r="LA162">
        <v>11</v>
      </c>
      <c r="LB162">
        <v>0</v>
      </c>
      <c r="LC162">
        <v>70</v>
      </c>
      <c r="LD162">
        <v>119</v>
      </c>
      <c r="LE162">
        <v>11</v>
      </c>
      <c r="LF162">
        <v>16</v>
      </c>
      <c r="LN162">
        <v>435</v>
      </c>
      <c r="LO162">
        <v>21</v>
      </c>
      <c r="LS162">
        <v>6</v>
      </c>
      <c r="LT162">
        <v>12</v>
      </c>
      <c r="LU162">
        <v>6</v>
      </c>
      <c r="LV162">
        <v>3</v>
      </c>
      <c r="LW162">
        <v>254</v>
      </c>
      <c r="LX162">
        <v>269</v>
      </c>
      <c r="LZ162">
        <v>484</v>
      </c>
      <c r="MA162">
        <v>135</v>
      </c>
      <c r="MB162">
        <v>23</v>
      </c>
      <c r="MD162">
        <v>1</v>
      </c>
      <c r="ME162">
        <v>36</v>
      </c>
      <c r="MF162">
        <v>422</v>
      </c>
      <c r="MG162">
        <v>120</v>
      </c>
      <c r="MH162">
        <v>2252</v>
      </c>
      <c r="MI162">
        <v>26</v>
      </c>
      <c r="MJ162">
        <v>14</v>
      </c>
      <c r="MK162">
        <v>239</v>
      </c>
      <c r="ML162">
        <v>17</v>
      </c>
      <c r="MM162">
        <v>105</v>
      </c>
      <c r="MN162">
        <v>194</v>
      </c>
      <c r="MO162">
        <v>727</v>
      </c>
      <c r="MP162">
        <v>2</v>
      </c>
      <c r="MQ162">
        <v>130</v>
      </c>
      <c r="MR162">
        <v>53</v>
      </c>
      <c r="MS162">
        <v>19</v>
      </c>
      <c r="MT162">
        <v>48</v>
      </c>
      <c r="MU162">
        <v>7</v>
      </c>
      <c r="MW162">
        <v>20</v>
      </c>
      <c r="MX162">
        <v>38</v>
      </c>
      <c r="MY162">
        <v>32</v>
      </c>
      <c r="MZ162">
        <v>345</v>
      </c>
      <c r="NA162">
        <v>40</v>
      </c>
      <c r="NB162">
        <v>26</v>
      </c>
      <c r="NC162">
        <v>174</v>
      </c>
      <c r="ND162">
        <v>11</v>
      </c>
      <c r="NE162">
        <v>172</v>
      </c>
      <c r="NG162">
        <v>4</v>
      </c>
      <c r="NI162">
        <v>26</v>
      </c>
      <c r="NK162">
        <v>4</v>
      </c>
      <c r="NL162">
        <v>8</v>
      </c>
      <c r="NM162">
        <v>24</v>
      </c>
      <c r="NN162">
        <v>69</v>
      </c>
      <c r="NO162">
        <v>399</v>
      </c>
      <c r="NP162">
        <v>397</v>
      </c>
      <c r="NQ162">
        <v>28</v>
      </c>
      <c r="NR162">
        <v>1946</v>
      </c>
      <c r="NS162">
        <v>0</v>
      </c>
      <c r="NT162">
        <v>44</v>
      </c>
      <c r="NV162">
        <v>8</v>
      </c>
      <c r="NX162">
        <v>25</v>
      </c>
      <c r="NY162">
        <v>128</v>
      </c>
      <c r="NZ162">
        <v>10</v>
      </c>
      <c r="OA162">
        <v>536</v>
      </c>
      <c r="OB162">
        <v>69</v>
      </c>
      <c r="OD162">
        <v>646</v>
      </c>
      <c r="OE162">
        <v>58</v>
      </c>
      <c r="OF162">
        <v>638</v>
      </c>
      <c r="OI162">
        <v>791</v>
      </c>
      <c r="OJ162">
        <v>141</v>
      </c>
      <c r="OK162">
        <v>1134</v>
      </c>
      <c r="OL162">
        <v>503</v>
      </c>
      <c r="OM162">
        <v>230</v>
      </c>
      <c r="ON162">
        <v>62</v>
      </c>
      <c r="OO162">
        <v>86743</v>
      </c>
      <c r="OP162">
        <v>12301</v>
      </c>
      <c r="OU162">
        <v>297</v>
      </c>
      <c r="OV162">
        <v>27336</v>
      </c>
      <c r="PI162">
        <v>126677</v>
      </c>
      <c r="PM162" t="str">
        <f>IFERROR(VLOOKUP($A162&amp;"",Key!$A:$C,3,FALSE),"")</f>
        <v>ISIC 29</v>
      </c>
    </row>
    <row r="163" spans="1:429" x14ac:dyDescent="0.25">
      <c r="A163" t="s">
        <v>588</v>
      </c>
      <c r="B163" t="s">
        <v>298</v>
      </c>
      <c r="M163">
        <v>0</v>
      </c>
      <c r="N163">
        <v>2</v>
      </c>
      <c r="P163">
        <v>227</v>
      </c>
      <c r="Q163">
        <v>106</v>
      </c>
      <c r="R163">
        <v>8</v>
      </c>
      <c r="S163">
        <v>70</v>
      </c>
      <c r="T163">
        <v>35</v>
      </c>
      <c r="U163">
        <v>135</v>
      </c>
      <c r="V163">
        <v>77</v>
      </c>
      <c r="W163">
        <v>164</v>
      </c>
      <c r="AC163">
        <v>1147</v>
      </c>
      <c r="AD163">
        <v>542</v>
      </c>
      <c r="AG163">
        <v>10</v>
      </c>
      <c r="AM163">
        <v>44</v>
      </c>
      <c r="AO163">
        <v>5</v>
      </c>
      <c r="AP163">
        <v>87</v>
      </c>
      <c r="AR163">
        <v>0</v>
      </c>
      <c r="AS163">
        <v>4</v>
      </c>
      <c r="AT163">
        <v>33</v>
      </c>
      <c r="AU163">
        <v>2</v>
      </c>
      <c r="AV163">
        <v>12</v>
      </c>
      <c r="AW163">
        <v>1</v>
      </c>
      <c r="AZ163">
        <v>6</v>
      </c>
      <c r="BB163">
        <v>0</v>
      </c>
      <c r="BC163">
        <v>4</v>
      </c>
      <c r="BD163">
        <v>1</v>
      </c>
      <c r="BG163">
        <v>3</v>
      </c>
      <c r="BJ163">
        <v>0</v>
      </c>
      <c r="BK163">
        <v>5</v>
      </c>
      <c r="BQ163">
        <v>7</v>
      </c>
      <c r="BR163">
        <v>4</v>
      </c>
      <c r="BT163">
        <v>3</v>
      </c>
      <c r="BV163">
        <v>3</v>
      </c>
      <c r="BX163">
        <v>3</v>
      </c>
      <c r="BY163">
        <v>2</v>
      </c>
      <c r="BZ163">
        <v>11</v>
      </c>
      <c r="CC163">
        <v>2</v>
      </c>
      <c r="CF163">
        <v>2</v>
      </c>
      <c r="CG163">
        <v>737</v>
      </c>
      <c r="CH163">
        <v>380</v>
      </c>
      <c r="CI163">
        <v>794</v>
      </c>
      <c r="CJ163">
        <v>60</v>
      </c>
      <c r="CL163">
        <v>10</v>
      </c>
      <c r="CQ163">
        <v>1</v>
      </c>
      <c r="CU163">
        <v>1</v>
      </c>
      <c r="CV163">
        <v>2</v>
      </c>
      <c r="CZ163">
        <v>2</v>
      </c>
      <c r="DA163">
        <v>4</v>
      </c>
      <c r="DB163">
        <v>4</v>
      </c>
      <c r="DC163">
        <v>7</v>
      </c>
      <c r="DG163">
        <v>9</v>
      </c>
      <c r="DM163">
        <v>2</v>
      </c>
      <c r="DO163">
        <v>0</v>
      </c>
      <c r="DP163">
        <v>1</v>
      </c>
      <c r="DR163">
        <v>3</v>
      </c>
      <c r="DU163">
        <v>1</v>
      </c>
      <c r="EH163">
        <v>0</v>
      </c>
      <c r="EJ163">
        <v>2</v>
      </c>
      <c r="EQ163">
        <v>933</v>
      </c>
      <c r="ER163">
        <v>5744</v>
      </c>
      <c r="ES163">
        <v>949</v>
      </c>
      <c r="ET163">
        <v>339</v>
      </c>
      <c r="EU163">
        <v>303</v>
      </c>
      <c r="EV163">
        <v>4</v>
      </c>
      <c r="EW163">
        <v>351</v>
      </c>
      <c r="EX163">
        <v>1916</v>
      </c>
      <c r="EY163">
        <v>4</v>
      </c>
      <c r="EZ163">
        <v>4886</v>
      </c>
      <c r="FA163">
        <v>2</v>
      </c>
      <c r="FC163">
        <v>1015</v>
      </c>
      <c r="FD163">
        <v>2088</v>
      </c>
      <c r="FE163">
        <v>6</v>
      </c>
      <c r="FG163">
        <v>1</v>
      </c>
      <c r="FJ163">
        <v>1</v>
      </c>
      <c r="FO163">
        <v>51</v>
      </c>
      <c r="FP163">
        <v>3</v>
      </c>
      <c r="FS163">
        <v>2</v>
      </c>
      <c r="FV163">
        <v>5</v>
      </c>
      <c r="FW163">
        <v>3</v>
      </c>
      <c r="FX163">
        <v>4</v>
      </c>
      <c r="FY163">
        <v>4</v>
      </c>
      <c r="GA163">
        <v>1</v>
      </c>
      <c r="GD163">
        <v>2</v>
      </c>
      <c r="GG163">
        <v>14</v>
      </c>
      <c r="GJ163">
        <v>1</v>
      </c>
      <c r="GK163">
        <v>9</v>
      </c>
      <c r="GN163">
        <v>3</v>
      </c>
      <c r="GR163">
        <v>2</v>
      </c>
      <c r="GS163">
        <v>30</v>
      </c>
      <c r="GT163">
        <v>37</v>
      </c>
      <c r="GU163">
        <v>15</v>
      </c>
      <c r="GV163">
        <v>8</v>
      </c>
      <c r="GW163">
        <v>3</v>
      </c>
      <c r="GX163">
        <v>5</v>
      </c>
      <c r="GZ163">
        <v>65</v>
      </c>
      <c r="HA163">
        <v>15</v>
      </c>
      <c r="HB163">
        <v>8</v>
      </c>
      <c r="HG163">
        <v>118</v>
      </c>
      <c r="HH163">
        <v>9</v>
      </c>
      <c r="HI163">
        <v>2</v>
      </c>
      <c r="HJ163">
        <v>10</v>
      </c>
      <c r="HU163">
        <v>10</v>
      </c>
      <c r="HV163">
        <v>6</v>
      </c>
      <c r="HW163">
        <v>13</v>
      </c>
      <c r="IB163">
        <v>9</v>
      </c>
      <c r="ID163">
        <v>5</v>
      </c>
      <c r="IK163">
        <v>1</v>
      </c>
      <c r="IL163">
        <v>2</v>
      </c>
      <c r="IO163">
        <v>3</v>
      </c>
      <c r="IP163">
        <v>2</v>
      </c>
      <c r="IQ163">
        <v>1</v>
      </c>
      <c r="IR163">
        <v>13</v>
      </c>
      <c r="IV163">
        <v>3</v>
      </c>
      <c r="IW163">
        <v>8</v>
      </c>
      <c r="IX163">
        <v>1</v>
      </c>
      <c r="JA163">
        <v>2</v>
      </c>
      <c r="JK163">
        <v>0</v>
      </c>
      <c r="JL163">
        <v>7</v>
      </c>
      <c r="JM163">
        <v>17</v>
      </c>
      <c r="JN163">
        <v>45</v>
      </c>
      <c r="JO163">
        <v>264</v>
      </c>
      <c r="JP163">
        <v>9</v>
      </c>
      <c r="JQ163">
        <v>335</v>
      </c>
      <c r="JR163">
        <v>64</v>
      </c>
      <c r="JS163">
        <v>144</v>
      </c>
      <c r="JT163">
        <v>29</v>
      </c>
      <c r="JV163">
        <v>428</v>
      </c>
      <c r="JW163">
        <v>210</v>
      </c>
      <c r="JX163">
        <v>88</v>
      </c>
      <c r="JY163">
        <v>140</v>
      </c>
      <c r="JZ163">
        <v>99</v>
      </c>
      <c r="KA163">
        <v>192</v>
      </c>
      <c r="KB163">
        <v>24</v>
      </c>
      <c r="KC163">
        <v>419</v>
      </c>
      <c r="KD163">
        <v>101</v>
      </c>
      <c r="KF163">
        <v>15</v>
      </c>
      <c r="KH163">
        <v>2221</v>
      </c>
      <c r="KI163">
        <v>81</v>
      </c>
      <c r="KK163">
        <v>13</v>
      </c>
      <c r="KL163">
        <v>2</v>
      </c>
      <c r="KM163">
        <v>498</v>
      </c>
      <c r="KN163">
        <v>13</v>
      </c>
      <c r="KQ163">
        <v>17</v>
      </c>
      <c r="KR163">
        <v>8</v>
      </c>
      <c r="KS163">
        <v>16</v>
      </c>
      <c r="KV163">
        <v>921</v>
      </c>
      <c r="KW163">
        <v>1</v>
      </c>
      <c r="KX163">
        <v>16</v>
      </c>
      <c r="KZ163">
        <v>10</v>
      </c>
      <c r="LA163">
        <v>3</v>
      </c>
      <c r="LB163">
        <v>0</v>
      </c>
      <c r="LN163">
        <v>366</v>
      </c>
      <c r="LO163">
        <v>13</v>
      </c>
      <c r="LS163">
        <v>4</v>
      </c>
      <c r="LT163">
        <v>20</v>
      </c>
      <c r="LU163">
        <v>10</v>
      </c>
      <c r="LW163">
        <v>19</v>
      </c>
      <c r="LX163">
        <v>190</v>
      </c>
      <c r="LZ163">
        <v>133</v>
      </c>
      <c r="MA163">
        <v>101</v>
      </c>
      <c r="ME163">
        <v>30</v>
      </c>
      <c r="MF163">
        <v>1</v>
      </c>
      <c r="MG163">
        <v>38</v>
      </c>
      <c r="MH163">
        <v>1485</v>
      </c>
      <c r="MI163">
        <v>19</v>
      </c>
      <c r="MJ163">
        <v>3</v>
      </c>
      <c r="MK163">
        <v>168</v>
      </c>
      <c r="ML163">
        <v>5</v>
      </c>
      <c r="MM163">
        <v>65</v>
      </c>
      <c r="MN163">
        <v>101</v>
      </c>
      <c r="MO163">
        <v>395</v>
      </c>
      <c r="MQ163">
        <v>1</v>
      </c>
      <c r="MR163">
        <v>16</v>
      </c>
      <c r="MS163">
        <v>19</v>
      </c>
      <c r="MU163">
        <v>17</v>
      </c>
      <c r="MW163">
        <v>6</v>
      </c>
      <c r="MX163">
        <v>35</v>
      </c>
      <c r="MY163">
        <v>35</v>
      </c>
      <c r="MZ163">
        <v>97</v>
      </c>
      <c r="NB163">
        <v>5</v>
      </c>
      <c r="NC163">
        <v>222</v>
      </c>
      <c r="ND163">
        <v>73</v>
      </c>
      <c r="NE163">
        <v>85</v>
      </c>
      <c r="NG163">
        <v>3</v>
      </c>
      <c r="NK163">
        <v>3</v>
      </c>
      <c r="NL163">
        <v>7</v>
      </c>
      <c r="NM163">
        <v>9</v>
      </c>
      <c r="NN163">
        <v>63</v>
      </c>
      <c r="NO163">
        <v>111</v>
      </c>
      <c r="NP163">
        <v>102</v>
      </c>
      <c r="NQ163">
        <v>19</v>
      </c>
      <c r="NR163">
        <v>6213</v>
      </c>
      <c r="NS163">
        <v>0</v>
      </c>
      <c r="NV163">
        <v>23</v>
      </c>
      <c r="NX163">
        <v>31</v>
      </c>
      <c r="NY163">
        <v>94</v>
      </c>
      <c r="NZ163">
        <v>2</v>
      </c>
      <c r="OA163">
        <v>163</v>
      </c>
      <c r="OB163">
        <v>150</v>
      </c>
      <c r="OD163">
        <v>231</v>
      </c>
      <c r="OF163">
        <v>655</v>
      </c>
      <c r="OI163">
        <v>425</v>
      </c>
      <c r="OJ163">
        <v>17</v>
      </c>
      <c r="OK163">
        <v>804</v>
      </c>
      <c r="OL163">
        <v>48</v>
      </c>
      <c r="OO163">
        <v>43232</v>
      </c>
      <c r="OP163">
        <v>3551</v>
      </c>
      <c r="OU163">
        <v>375</v>
      </c>
      <c r="OV163">
        <v>4555</v>
      </c>
      <c r="PI163">
        <v>51713</v>
      </c>
      <c r="PM163" t="str">
        <f>IFERROR(VLOOKUP($A163&amp;"",Key!$A:$C,3,FALSE),"")</f>
        <v>ISIC 29</v>
      </c>
    </row>
    <row r="164" spans="1:429" x14ac:dyDescent="0.25">
      <c r="A164">
        <v>336411</v>
      </c>
      <c r="B164" t="s">
        <v>299</v>
      </c>
      <c r="CZ164">
        <v>5</v>
      </c>
      <c r="FE164">
        <v>3423</v>
      </c>
      <c r="FF164">
        <v>2</v>
      </c>
      <c r="FG164">
        <v>4</v>
      </c>
      <c r="KE164">
        <v>1682</v>
      </c>
      <c r="KL164">
        <v>407</v>
      </c>
      <c r="OD164">
        <v>28389</v>
      </c>
      <c r="OO164">
        <v>33912</v>
      </c>
      <c r="OP164">
        <v>1485</v>
      </c>
      <c r="OQ164">
        <v>53468</v>
      </c>
      <c r="OU164">
        <v>-6314</v>
      </c>
      <c r="OV164">
        <v>52720</v>
      </c>
      <c r="OX164">
        <v>14441</v>
      </c>
      <c r="PB164">
        <v>293</v>
      </c>
      <c r="PF164">
        <v>67</v>
      </c>
      <c r="PI164">
        <v>150071</v>
      </c>
      <c r="PM164" t="str">
        <f>IFERROR(VLOOKUP($A164&amp;"",Key!$A:$C,3,FALSE),"")</f>
        <v>ISIC 302T309</v>
      </c>
    </row>
    <row r="165" spans="1:429" x14ac:dyDescent="0.25">
      <c r="A165">
        <v>336412</v>
      </c>
      <c r="B165" t="s">
        <v>300</v>
      </c>
      <c r="CZ165">
        <v>92</v>
      </c>
      <c r="FE165">
        <v>6507</v>
      </c>
      <c r="FF165">
        <v>14279</v>
      </c>
      <c r="FG165">
        <v>686</v>
      </c>
      <c r="JN165">
        <v>0</v>
      </c>
      <c r="KE165">
        <v>0</v>
      </c>
      <c r="LZ165">
        <v>22</v>
      </c>
      <c r="OD165">
        <v>723</v>
      </c>
      <c r="OE165">
        <v>77</v>
      </c>
      <c r="OO165">
        <v>22384</v>
      </c>
      <c r="OQ165">
        <v>74</v>
      </c>
      <c r="OU165">
        <v>500</v>
      </c>
      <c r="OV165">
        <v>35982</v>
      </c>
      <c r="OX165">
        <v>153</v>
      </c>
      <c r="PI165">
        <v>59093</v>
      </c>
      <c r="PM165" t="str">
        <f>IFERROR(VLOOKUP($A165&amp;"",Key!$A:$C,3,FALSE),"")</f>
        <v>ISIC 302T309</v>
      </c>
    </row>
    <row r="166" spans="1:429" x14ac:dyDescent="0.25">
      <c r="A166">
        <v>336413</v>
      </c>
      <c r="B166" t="s">
        <v>301</v>
      </c>
      <c r="FE166">
        <v>18177</v>
      </c>
      <c r="FF166">
        <v>1622</v>
      </c>
      <c r="FG166">
        <v>8096</v>
      </c>
      <c r="JV166">
        <v>0</v>
      </c>
      <c r="KE166">
        <v>26</v>
      </c>
      <c r="KK166">
        <v>792</v>
      </c>
      <c r="KL166">
        <v>917</v>
      </c>
      <c r="OD166">
        <v>6074</v>
      </c>
      <c r="OO166">
        <v>35703</v>
      </c>
      <c r="OU166">
        <v>-102</v>
      </c>
      <c r="OV166">
        <v>22154</v>
      </c>
      <c r="PI166">
        <v>57755</v>
      </c>
      <c r="PM166" t="str">
        <f>IFERROR(VLOOKUP($A166&amp;"",Key!$A:$C,3,FALSE),"")</f>
        <v>ISIC 302T309</v>
      </c>
    </row>
    <row r="167" spans="1:429" x14ac:dyDescent="0.25">
      <c r="A167">
        <v>336414</v>
      </c>
      <c r="B167" t="s">
        <v>302</v>
      </c>
      <c r="FH167">
        <v>116</v>
      </c>
      <c r="FI167">
        <v>239</v>
      </c>
      <c r="LZ167">
        <v>0</v>
      </c>
      <c r="OD167">
        <v>6854</v>
      </c>
      <c r="OO167">
        <v>7209</v>
      </c>
      <c r="OQ167">
        <v>1417</v>
      </c>
      <c r="OU167">
        <v>83</v>
      </c>
      <c r="OV167">
        <v>1899</v>
      </c>
      <c r="OX167">
        <v>6768</v>
      </c>
      <c r="PB167">
        <v>1279</v>
      </c>
      <c r="PI167">
        <v>18655</v>
      </c>
      <c r="PM167" t="str">
        <f>IFERROR(VLOOKUP($A167&amp;"",Key!$A:$C,3,FALSE),"")</f>
        <v>ISIC 302T309</v>
      </c>
    </row>
    <row r="168" spans="1:429" x14ac:dyDescent="0.25">
      <c r="A168" t="s">
        <v>589</v>
      </c>
      <c r="B168" t="s">
        <v>303</v>
      </c>
      <c r="FH168">
        <v>2529</v>
      </c>
      <c r="FI168">
        <v>3504</v>
      </c>
      <c r="LW168">
        <v>15</v>
      </c>
      <c r="OD168">
        <v>675</v>
      </c>
      <c r="OE168">
        <v>88</v>
      </c>
      <c r="OO168">
        <v>6812</v>
      </c>
      <c r="OU168">
        <v>245</v>
      </c>
      <c r="OV168">
        <v>1004</v>
      </c>
      <c r="PB168">
        <v>280</v>
      </c>
      <c r="PI168">
        <v>8341</v>
      </c>
      <c r="PM168" t="str">
        <f>IFERROR(VLOOKUP($A168&amp;"",Key!$A:$C,3,FALSE),"")</f>
        <v>ISIC 302T309</v>
      </c>
    </row>
    <row r="169" spans="1:429" x14ac:dyDescent="0.25">
      <c r="A169">
        <v>336500</v>
      </c>
      <c r="B169" t="s">
        <v>304</v>
      </c>
      <c r="Q169">
        <v>5</v>
      </c>
      <c r="CI169">
        <v>10</v>
      </c>
      <c r="FJ169">
        <v>3076</v>
      </c>
      <c r="JN169">
        <v>0</v>
      </c>
      <c r="KF169">
        <v>1143</v>
      </c>
      <c r="KK169">
        <v>400</v>
      </c>
      <c r="KX169">
        <v>5</v>
      </c>
      <c r="OH169">
        <v>3</v>
      </c>
      <c r="OK169">
        <v>0</v>
      </c>
      <c r="OL169">
        <v>41</v>
      </c>
      <c r="OO169">
        <v>4684</v>
      </c>
      <c r="OQ169">
        <v>10726</v>
      </c>
      <c r="OU169">
        <v>-123</v>
      </c>
      <c r="OV169">
        <v>2223</v>
      </c>
      <c r="OX169">
        <v>12</v>
      </c>
      <c r="PB169">
        <v>17</v>
      </c>
      <c r="PF169">
        <v>156</v>
      </c>
      <c r="PI169">
        <v>17696</v>
      </c>
      <c r="PM169" t="str">
        <f>IFERROR(VLOOKUP($A169&amp;"",Key!$A:$C,3,FALSE),"")</f>
        <v>ISIC 302T309</v>
      </c>
    </row>
    <row r="170" spans="1:429" x14ac:dyDescent="0.25">
      <c r="A170">
        <v>336611</v>
      </c>
      <c r="B170" t="s">
        <v>305</v>
      </c>
      <c r="N170">
        <v>6</v>
      </c>
      <c r="FK170">
        <v>5</v>
      </c>
      <c r="KG170">
        <v>2000</v>
      </c>
      <c r="KK170">
        <v>62</v>
      </c>
      <c r="OD170">
        <v>5302</v>
      </c>
      <c r="OO170">
        <v>7375</v>
      </c>
      <c r="OQ170">
        <v>5290</v>
      </c>
      <c r="OU170">
        <v>-96</v>
      </c>
      <c r="OV170">
        <v>916</v>
      </c>
      <c r="OX170">
        <v>12697</v>
      </c>
      <c r="PB170">
        <v>19</v>
      </c>
      <c r="PF170">
        <v>4</v>
      </c>
      <c r="PI170">
        <v>26204</v>
      </c>
      <c r="PM170" t="str">
        <f>IFERROR(VLOOKUP($A170&amp;"",Key!$A:$C,3,FALSE),"")</f>
        <v>ISIC 301</v>
      </c>
    </row>
    <row r="171" spans="1:429" x14ac:dyDescent="0.25">
      <c r="A171">
        <v>336612</v>
      </c>
      <c r="B171" t="s">
        <v>306</v>
      </c>
      <c r="FK171">
        <v>4</v>
      </c>
      <c r="FL171">
        <v>12</v>
      </c>
      <c r="KK171">
        <v>4</v>
      </c>
      <c r="OE171">
        <v>39</v>
      </c>
      <c r="ON171">
        <v>1</v>
      </c>
      <c r="OO171">
        <v>60</v>
      </c>
      <c r="OP171">
        <v>13599</v>
      </c>
      <c r="OQ171">
        <v>1478</v>
      </c>
      <c r="OU171">
        <v>379</v>
      </c>
      <c r="OV171">
        <v>1533</v>
      </c>
      <c r="OX171">
        <v>39</v>
      </c>
      <c r="PB171">
        <v>70</v>
      </c>
      <c r="PF171">
        <v>19</v>
      </c>
      <c r="PI171">
        <v>17178</v>
      </c>
      <c r="PM171" t="str">
        <f>IFERROR(VLOOKUP($A171&amp;"",Key!$A:$C,3,FALSE),"")</f>
        <v>ISIC 301</v>
      </c>
    </row>
    <row r="172" spans="1:429" x14ac:dyDescent="0.25">
      <c r="A172">
        <v>336991</v>
      </c>
      <c r="B172" t="s">
        <v>307</v>
      </c>
      <c r="FM172">
        <v>2008</v>
      </c>
      <c r="JV172">
        <v>59</v>
      </c>
      <c r="MM172">
        <v>1</v>
      </c>
      <c r="NC172">
        <v>0</v>
      </c>
      <c r="ND172">
        <v>0</v>
      </c>
      <c r="NE172">
        <v>0</v>
      </c>
      <c r="NU172">
        <v>270</v>
      </c>
      <c r="OD172">
        <v>3</v>
      </c>
      <c r="OO172">
        <v>2341</v>
      </c>
      <c r="OP172">
        <v>15245</v>
      </c>
      <c r="OQ172">
        <v>222</v>
      </c>
      <c r="OU172">
        <v>186</v>
      </c>
      <c r="OV172">
        <v>1764</v>
      </c>
      <c r="PF172">
        <v>272</v>
      </c>
      <c r="PI172">
        <v>20031</v>
      </c>
      <c r="PM172" t="str">
        <f>IFERROR(VLOOKUP($A172&amp;"",Key!$A:$C,3,FALSE),"")</f>
        <v>ISIC 302T309</v>
      </c>
    </row>
    <row r="173" spans="1:429" x14ac:dyDescent="0.25">
      <c r="A173">
        <v>336992</v>
      </c>
      <c r="B173" t="s">
        <v>308</v>
      </c>
      <c r="FN173">
        <v>334</v>
      </c>
      <c r="LZ173">
        <v>1902</v>
      </c>
      <c r="MF173">
        <v>62</v>
      </c>
      <c r="OO173">
        <v>2299</v>
      </c>
      <c r="OU173">
        <v>189</v>
      </c>
      <c r="OV173">
        <v>1883</v>
      </c>
      <c r="OX173">
        <v>2209</v>
      </c>
      <c r="PI173">
        <v>6580</v>
      </c>
      <c r="PM173" t="str">
        <f>IFERROR(VLOOKUP($A173&amp;"",Key!$A:$C,3,FALSE),"")</f>
        <v>ISIC 302T309</v>
      </c>
    </row>
    <row r="174" spans="1:429" x14ac:dyDescent="0.25">
      <c r="A174">
        <v>336999</v>
      </c>
      <c r="B174" t="s">
        <v>309</v>
      </c>
      <c r="AB174">
        <v>40</v>
      </c>
      <c r="AC174">
        <v>8</v>
      </c>
      <c r="AK174">
        <v>16</v>
      </c>
      <c r="AP174">
        <v>11</v>
      </c>
      <c r="BP174">
        <v>48</v>
      </c>
      <c r="BX174">
        <v>3</v>
      </c>
      <c r="CF174">
        <v>1</v>
      </c>
      <c r="EV174">
        <v>1</v>
      </c>
      <c r="EW174">
        <v>463</v>
      </c>
      <c r="FO174">
        <v>166</v>
      </c>
      <c r="KH174">
        <v>13</v>
      </c>
      <c r="KI174">
        <v>61</v>
      </c>
      <c r="KK174">
        <v>21</v>
      </c>
      <c r="KL174">
        <v>2</v>
      </c>
      <c r="LZ174">
        <v>13</v>
      </c>
      <c r="MF174">
        <v>1</v>
      </c>
      <c r="MH174">
        <v>31</v>
      </c>
      <c r="MO174">
        <v>50</v>
      </c>
      <c r="NM174">
        <v>28</v>
      </c>
      <c r="OD174">
        <v>495</v>
      </c>
      <c r="OM174">
        <v>19</v>
      </c>
      <c r="ON174">
        <v>0</v>
      </c>
      <c r="OO174">
        <v>1492</v>
      </c>
      <c r="OP174">
        <v>6690</v>
      </c>
      <c r="OQ174">
        <v>4155</v>
      </c>
      <c r="OU174">
        <v>179</v>
      </c>
      <c r="OV174">
        <v>438</v>
      </c>
      <c r="OX174">
        <v>45</v>
      </c>
      <c r="PF174">
        <v>50</v>
      </c>
      <c r="PI174">
        <v>13049</v>
      </c>
      <c r="PM174" t="str">
        <f>IFERROR(VLOOKUP($A174&amp;"",Key!$A:$C,3,FALSE),"")</f>
        <v>ISIC 302T309</v>
      </c>
    </row>
    <row r="175" spans="1:429" x14ac:dyDescent="0.25">
      <c r="A175">
        <v>337110</v>
      </c>
      <c r="B175" t="s">
        <v>310</v>
      </c>
      <c r="AA175">
        <v>19</v>
      </c>
      <c r="AB175">
        <v>2</v>
      </c>
      <c r="AC175">
        <v>1459</v>
      </c>
      <c r="AD175">
        <v>1822</v>
      </c>
      <c r="AE175">
        <v>1928</v>
      </c>
      <c r="AF175">
        <v>626</v>
      </c>
      <c r="AG175">
        <v>3919</v>
      </c>
      <c r="AH175">
        <v>113</v>
      </c>
      <c r="AI175">
        <v>631</v>
      </c>
      <c r="AJ175">
        <v>106</v>
      </c>
      <c r="AK175">
        <v>6157</v>
      </c>
      <c r="AL175">
        <v>240</v>
      </c>
      <c r="AN175">
        <v>12</v>
      </c>
      <c r="AP175">
        <v>184</v>
      </c>
      <c r="CZ175">
        <v>355</v>
      </c>
      <c r="DK175">
        <v>13</v>
      </c>
      <c r="DO175">
        <v>24</v>
      </c>
      <c r="FA175">
        <v>35</v>
      </c>
      <c r="FP175">
        <v>154</v>
      </c>
      <c r="FR175">
        <v>0</v>
      </c>
      <c r="FV175">
        <v>500</v>
      </c>
      <c r="JG175">
        <v>378</v>
      </c>
      <c r="JK175">
        <v>2</v>
      </c>
      <c r="JL175">
        <v>3</v>
      </c>
      <c r="JM175">
        <v>0</v>
      </c>
      <c r="JN175">
        <v>1</v>
      </c>
      <c r="JO175">
        <v>67</v>
      </c>
      <c r="JR175">
        <v>0</v>
      </c>
      <c r="JT175">
        <v>0</v>
      </c>
      <c r="JV175">
        <v>75</v>
      </c>
      <c r="JY175">
        <v>21</v>
      </c>
      <c r="KB175">
        <v>20</v>
      </c>
      <c r="KC175">
        <v>95</v>
      </c>
      <c r="KD175">
        <v>68</v>
      </c>
      <c r="KW175">
        <v>24</v>
      </c>
      <c r="KX175">
        <v>152</v>
      </c>
      <c r="KY175">
        <v>2</v>
      </c>
      <c r="KZ175">
        <v>322</v>
      </c>
      <c r="LK175">
        <v>7593</v>
      </c>
      <c r="LL175">
        <v>58</v>
      </c>
      <c r="LM175">
        <v>30</v>
      </c>
      <c r="LR175">
        <v>0</v>
      </c>
      <c r="LZ175">
        <v>29</v>
      </c>
      <c r="MF175">
        <v>1</v>
      </c>
      <c r="MS175">
        <v>0</v>
      </c>
      <c r="MT175">
        <v>0</v>
      </c>
      <c r="MU175">
        <v>37</v>
      </c>
      <c r="MV175">
        <v>0</v>
      </c>
      <c r="MY175">
        <v>5</v>
      </c>
      <c r="MZ175">
        <v>91</v>
      </c>
      <c r="NB175">
        <v>1</v>
      </c>
      <c r="NC175">
        <v>40</v>
      </c>
      <c r="ND175">
        <v>96</v>
      </c>
      <c r="NE175">
        <v>49</v>
      </c>
      <c r="NM175">
        <v>57</v>
      </c>
      <c r="NN175">
        <v>2</v>
      </c>
      <c r="NO175">
        <v>187</v>
      </c>
      <c r="NP175">
        <v>84</v>
      </c>
      <c r="NQ175">
        <v>24</v>
      </c>
      <c r="OB175">
        <v>146</v>
      </c>
      <c r="OK175">
        <v>0</v>
      </c>
      <c r="ON175">
        <v>392</v>
      </c>
      <c r="OO175">
        <v>28452</v>
      </c>
      <c r="OQ175">
        <v>136</v>
      </c>
      <c r="OU175">
        <v>117</v>
      </c>
      <c r="OV175">
        <v>139</v>
      </c>
      <c r="PI175">
        <v>28843</v>
      </c>
      <c r="PM175" t="str">
        <f>IFERROR(VLOOKUP($A175&amp;"",Key!$A:$C,3,FALSE),"")</f>
        <v>ISIC 31T33</v>
      </c>
    </row>
    <row r="176" spans="1:429" x14ac:dyDescent="0.25">
      <c r="A176">
        <v>337121</v>
      </c>
      <c r="B176" t="s">
        <v>311</v>
      </c>
      <c r="AP176">
        <v>203</v>
      </c>
      <c r="FQ176">
        <v>24</v>
      </c>
      <c r="OO176">
        <v>227</v>
      </c>
      <c r="OP176">
        <v>32100</v>
      </c>
      <c r="OQ176">
        <v>1434</v>
      </c>
      <c r="OS176">
        <v>134</v>
      </c>
      <c r="OU176">
        <v>88</v>
      </c>
      <c r="OV176">
        <v>486</v>
      </c>
      <c r="PB176">
        <v>25</v>
      </c>
      <c r="PF176">
        <v>72</v>
      </c>
      <c r="PI176">
        <v>34567</v>
      </c>
      <c r="PM176" t="str">
        <f>IFERROR(VLOOKUP($A176&amp;"",Key!$A:$C,3,FALSE),"")</f>
        <v>ISIC 31T33</v>
      </c>
    </row>
    <row r="177" spans="1:429" x14ac:dyDescent="0.25">
      <c r="A177">
        <v>337122</v>
      </c>
      <c r="B177" t="s">
        <v>312</v>
      </c>
      <c r="AP177">
        <v>266</v>
      </c>
      <c r="FR177">
        <v>540</v>
      </c>
      <c r="OO177">
        <v>806</v>
      </c>
      <c r="OP177">
        <v>32076</v>
      </c>
      <c r="OQ177">
        <v>1146</v>
      </c>
      <c r="OS177">
        <v>231</v>
      </c>
      <c r="OU177">
        <v>75</v>
      </c>
      <c r="OV177">
        <v>871</v>
      </c>
      <c r="OX177">
        <v>0</v>
      </c>
      <c r="PB177">
        <v>80</v>
      </c>
      <c r="PF177">
        <v>190</v>
      </c>
      <c r="PI177">
        <v>35476</v>
      </c>
      <c r="PM177" t="str">
        <f>IFERROR(VLOOKUP($A177&amp;"",Key!$A:$C,3,FALSE),"")</f>
        <v>ISIC 31T33</v>
      </c>
    </row>
    <row r="178" spans="1:429" x14ac:dyDescent="0.25">
      <c r="A178">
        <v>337127</v>
      </c>
      <c r="B178" t="s">
        <v>313</v>
      </c>
      <c r="AA178">
        <v>14</v>
      </c>
      <c r="AB178">
        <v>0</v>
      </c>
      <c r="AE178">
        <v>35</v>
      </c>
      <c r="AF178">
        <v>4</v>
      </c>
      <c r="AI178">
        <v>251</v>
      </c>
      <c r="FS178">
        <v>35</v>
      </c>
      <c r="MB178">
        <v>28</v>
      </c>
      <c r="MF178">
        <v>0</v>
      </c>
      <c r="MS178">
        <v>1</v>
      </c>
      <c r="MV178">
        <v>49</v>
      </c>
      <c r="MX178">
        <v>25</v>
      </c>
      <c r="MY178">
        <v>153</v>
      </c>
      <c r="MZ178">
        <v>17</v>
      </c>
      <c r="NF178">
        <v>4</v>
      </c>
      <c r="NG178">
        <v>1</v>
      </c>
      <c r="NH178">
        <v>1</v>
      </c>
      <c r="NI178">
        <v>2</v>
      </c>
      <c r="NJ178">
        <v>1</v>
      </c>
      <c r="NK178">
        <v>4</v>
      </c>
      <c r="NL178">
        <v>1</v>
      </c>
      <c r="NM178">
        <v>3</v>
      </c>
      <c r="NV178">
        <v>174</v>
      </c>
      <c r="OK178">
        <v>15</v>
      </c>
      <c r="OO178">
        <v>817</v>
      </c>
      <c r="OP178">
        <v>3</v>
      </c>
      <c r="OQ178">
        <v>14876</v>
      </c>
      <c r="OU178">
        <v>90</v>
      </c>
      <c r="OV178">
        <v>1716</v>
      </c>
      <c r="OX178">
        <v>0</v>
      </c>
      <c r="PB178">
        <v>0</v>
      </c>
      <c r="PF178">
        <v>1374</v>
      </c>
      <c r="PI178">
        <v>18877</v>
      </c>
      <c r="PM178" t="str">
        <f>IFERROR(VLOOKUP($A178&amp;"",Key!$A:$C,3,FALSE),"")</f>
        <v>ISIC 31T33</v>
      </c>
    </row>
    <row r="179" spans="1:429" x14ac:dyDescent="0.25">
      <c r="A179" t="s">
        <v>590</v>
      </c>
      <c r="B179" t="s">
        <v>314</v>
      </c>
      <c r="AP179">
        <v>10</v>
      </c>
      <c r="CO179">
        <v>0</v>
      </c>
      <c r="DM179">
        <v>33</v>
      </c>
      <c r="DN179">
        <v>7</v>
      </c>
      <c r="DQ179">
        <v>1</v>
      </c>
      <c r="DS179">
        <v>33</v>
      </c>
      <c r="EA179">
        <v>1</v>
      </c>
      <c r="EP179">
        <v>1</v>
      </c>
      <c r="FE179">
        <v>12</v>
      </c>
      <c r="FF179">
        <v>0</v>
      </c>
      <c r="FG179">
        <v>3</v>
      </c>
      <c r="FI179">
        <v>1</v>
      </c>
      <c r="FT179">
        <v>6</v>
      </c>
      <c r="FX179">
        <v>119</v>
      </c>
      <c r="FY179">
        <v>101</v>
      </c>
      <c r="KZ179">
        <v>1</v>
      </c>
      <c r="OO179">
        <v>331</v>
      </c>
      <c r="OP179">
        <v>16030</v>
      </c>
      <c r="OQ179">
        <v>594</v>
      </c>
      <c r="OS179">
        <v>250</v>
      </c>
      <c r="OU179">
        <v>64</v>
      </c>
      <c r="OV179">
        <v>128</v>
      </c>
      <c r="PB179">
        <v>0</v>
      </c>
      <c r="PF179">
        <v>14</v>
      </c>
      <c r="PI179">
        <v>17410</v>
      </c>
      <c r="PM179" t="str">
        <f>IFERROR(VLOOKUP($A179&amp;"",Key!$A:$C,3,FALSE),"")</f>
        <v>ISIC 31T33</v>
      </c>
    </row>
    <row r="180" spans="1:429" x14ac:dyDescent="0.25">
      <c r="A180">
        <v>337215</v>
      </c>
      <c r="B180" t="s">
        <v>315</v>
      </c>
      <c r="AA180">
        <v>5</v>
      </c>
      <c r="AB180">
        <v>2</v>
      </c>
      <c r="AC180">
        <v>1</v>
      </c>
      <c r="AD180">
        <v>0</v>
      </c>
      <c r="AE180">
        <v>409</v>
      </c>
      <c r="AG180">
        <v>2</v>
      </c>
      <c r="AH180">
        <v>29</v>
      </c>
      <c r="AI180">
        <v>65</v>
      </c>
      <c r="AJ180">
        <v>23</v>
      </c>
      <c r="AK180">
        <v>0</v>
      </c>
      <c r="AL180">
        <v>9</v>
      </c>
      <c r="AO180">
        <v>0</v>
      </c>
      <c r="AP180">
        <v>48</v>
      </c>
      <c r="AV180">
        <v>1</v>
      </c>
      <c r="FP180">
        <v>361</v>
      </c>
      <c r="FQ180">
        <v>1414</v>
      </c>
      <c r="FR180">
        <v>186</v>
      </c>
      <c r="FS180">
        <v>102</v>
      </c>
      <c r="FT180">
        <v>93</v>
      </c>
      <c r="FU180">
        <v>250</v>
      </c>
      <c r="FV180">
        <v>599</v>
      </c>
      <c r="GG180">
        <v>4</v>
      </c>
      <c r="IA180">
        <v>0</v>
      </c>
      <c r="JL180">
        <v>0</v>
      </c>
      <c r="JM180">
        <v>1</v>
      </c>
      <c r="JO180">
        <v>146</v>
      </c>
      <c r="JQ180">
        <v>460</v>
      </c>
      <c r="JR180">
        <v>0</v>
      </c>
      <c r="JS180">
        <v>192</v>
      </c>
      <c r="JV180">
        <v>131</v>
      </c>
      <c r="KB180">
        <v>206</v>
      </c>
      <c r="KC180">
        <v>206</v>
      </c>
      <c r="KD180">
        <v>1054</v>
      </c>
      <c r="KO180">
        <v>0</v>
      </c>
      <c r="KP180">
        <v>0</v>
      </c>
      <c r="KQ180">
        <v>0</v>
      </c>
      <c r="KR180">
        <v>1</v>
      </c>
      <c r="KZ180">
        <v>2</v>
      </c>
      <c r="LM180">
        <v>76</v>
      </c>
      <c r="LR180">
        <v>13</v>
      </c>
      <c r="LS180">
        <v>1</v>
      </c>
      <c r="LT180">
        <v>2</v>
      </c>
      <c r="LU180">
        <v>0</v>
      </c>
      <c r="LX180">
        <v>17</v>
      </c>
      <c r="LZ180">
        <v>139</v>
      </c>
      <c r="MB180">
        <v>435</v>
      </c>
      <c r="MD180">
        <v>2</v>
      </c>
      <c r="MF180">
        <v>6</v>
      </c>
      <c r="MI180">
        <v>3</v>
      </c>
      <c r="MJ180">
        <v>0</v>
      </c>
      <c r="MS180">
        <v>7</v>
      </c>
      <c r="MT180">
        <v>1</v>
      </c>
      <c r="MV180">
        <v>1</v>
      </c>
      <c r="MZ180">
        <v>1</v>
      </c>
      <c r="NH180">
        <v>610</v>
      </c>
      <c r="NM180">
        <v>666</v>
      </c>
      <c r="NP180">
        <v>0</v>
      </c>
      <c r="NU180">
        <v>405</v>
      </c>
      <c r="OB180">
        <v>5</v>
      </c>
      <c r="ON180">
        <v>20</v>
      </c>
      <c r="OO180">
        <v>8411</v>
      </c>
      <c r="OP180">
        <v>975</v>
      </c>
      <c r="OQ180">
        <v>8319</v>
      </c>
      <c r="OS180">
        <v>2</v>
      </c>
      <c r="OU180">
        <v>76</v>
      </c>
      <c r="OV180">
        <v>840</v>
      </c>
      <c r="OX180">
        <v>0</v>
      </c>
      <c r="PB180">
        <v>1</v>
      </c>
      <c r="PF180">
        <v>155</v>
      </c>
      <c r="PI180">
        <v>18780</v>
      </c>
      <c r="PM180" t="str">
        <f>IFERROR(VLOOKUP($A180&amp;"",Key!$A:$C,3,FALSE),"")</f>
        <v>ISIC 31T33</v>
      </c>
    </row>
    <row r="181" spans="1:429" x14ac:dyDescent="0.25">
      <c r="A181" t="s">
        <v>591</v>
      </c>
      <c r="B181" t="s">
        <v>316</v>
      </c>
      <c r="AA181">
        <v>25</v>
      </c>
      <c r="AB181">
        <v>8</v>
      </c>
      <c r="AE181">
        <v>1533</v>
      </c>
      <c r="AF181">
        <v>688</v>
      </c>
      <c r="AG181">
        <v>2960</v>
      </c>
      <c r="AI181">
        <v>465</v>
      </c>
      <c r="AJ181">
        <v>96</v>
      </c>
      <c r="AK181">
        <v>3120</v>
      </c>
      <c r="AL181">
        <v>298</v>
      </c>
      <c r="FP181">
        <v>5</v>
      </c>
      <c r="FU181">
        <v>22</v>
      </c>
      <c r="FV181">
        <v>88</v>
      </c>
      <c r="JX181">
        <v>20</v>
      </c>
      <c r="KC181">
        <v>0</v>
      </c>
      <c r="KD181">
        <v>0</v>
      </c>
      <c r="KO181">
        <v>0</v>
      </c>
      <c r="KP181">
        <v>0</v>
      </c>
      <c r="KQ181">
        <v>0</v>
      </c>
      <c r="KR181">
        <v>0</v>
      </c>
      <c r="LL181">
        <v>8</v>
      </c>
      <c r="LR181">
        <v>0</v>
      </c>
      <c r="OH181">
        <v>143</v>
      </c>
      <c r="OO181">
        <v>9478</v>
      </c>
      <c r="OP181">
        <v>171</v>
      </c>
      <c r="OQ181">
        <v>15408</v>
      </c>
      <c r="OU181">
        <v>104</v>
      </c>
      <c r="OV181">
        <v>394</v>
      </c>
      <c r="OX181">
        <v>2</v>
      </c>
      <c r="PB181">
        <v>47</v>
      </c>
      <c r="PF181">
        <v>2091</v>
      </c>
      <c r="PI181">
        <v>27695</v>
      </c>
      <c r="PM181" t="str">
        <f>IFERROR(VLOOKUP($A181&amp;"",Key!$A:$C,3,FALSE),"")</f>
        <v>ISIC 31T33</v>
      </c>
    </row>
    <row r="182" spans="1:429" x14ac:dyDescent="0.25">
      <c r="A182">
        <v>337900</v>
      </c>
      <c r="B182" t="s">
        <v>317</v>
      </c>
      <c r="E182">
        <v>0</v>
      </c>
      <c r="AA182">
        <v>4</v>
      </c>
      <c r="FK182">
        <v>444</v>
      </c>
      <c r="FQ182">
        <v>24</v>
      </c>
      <c r="FW182">
        <v>261</v>
      </c>
      <c r="KG182">
        <v>0</v>
      </c>
      <c r="KK182">
        <v>0</v>
      </c>
      <c r="NM182">
        <v>0</v>
      </c>
      <c r="OO182">
        <v>733</v>
      </c>
      <c r="OP182">
        <v>28858</v>
      </c>
      <c r="OQ182">
        <v>1258</v>
      </c>
      <c r="OS182">
        <v>210</v>
      </c>
      <c r="OU182">
        <v>48</v>
      </c>
      <c r="OV182">
        <v>237</v>
      </c>
      <c r="PF182">
        <v>68</v>
      </c>
      <c r="PI182">
        <v>31412</v>
      </c>
      <c r="PM182" t="str">
        <f>IFERROR(VLOOKUP($A182&amp;"",Key!$A:$C,3,FALSE),"")</f>
        <v>ISIC 31T33</v>
      </c>
    </row>
    <row r="183" spans="1:429" x14ac:dyDescent="0.25">
      <c r="A183">
        <v>339112</v>
      </c>
      <c r="B183" t="s">
        <v>318</v>
      </c>
      <c r="FX183">
        <v>442</v>
      </c>
      <c r="FY183">
        <v>94</v>
      </c>
      <c r="GA183">
        <v>9</v>
      </c>
      <c r="GB183">
        <v>0</v>
      </c>
      <c r="JZ183">
        <v>0</v>
      </c>
      <c r="LW183">
        <v>3</v>
      </c>
      <c r="LZ183">
        <v>6</v>
      </c>
      <c r="MD183">
        <v>353</v>
      </c>
      <c r="MQ183">
        <v>0</v>
      </c>
      <c r="MS183">
        <v>6724</v>
      </c>
      <c r="MT183">
        <v>135</v>
      </c>
      <c r="MU183">
        <v>3</v>
      </c>
      <c r="MV183">
        <v>1406</v>
      </c>
      <c r="MW183">
        <v>43</v>
      </c>
      <c r="MX183">
        <v>16</v>
      </c>
      <c r="MY183">
        <v>58</v>
      </c>
      <c r="MZ183">
        <v>22890</v>
      </c>
      <c r="NA183">
        <v>543</v>
      </c>
      <c r="NB183">
        <v>2</v>
      </c>
      <c r="NC183">
        <v>7</v>
      </c>
      <c r="OD183">
        <v>157</v>
      </c>
      <c r="OE183">
        <v>11</v>
      </c>
      <c r="OJ183">
        <v>425</v>
      </c>
      <c r="OO183">
        <v>33328</v>
      </c>
      <c r="OP183">
        <v>164</v>
      </c>
      <c r="OQ183">
        <v>28720</v>
      </c>
      <c r="OU183">
        <v>317</v>
      </c>
      <c r="OV183">
        <v>13061</v>
      </c>
      <c r="OX183">
        <v>71</v>
      </c>
      <c r="PB183">
        <v>6</v>
      </c>
      <c r="PF183">
        <v>128</v>
      </c>
      <c r="PI183">
        <v>75795</v>
      </c>
      <c r="PM183" t="str">
        <f>IFERROR(VLOOKUP($A183&amp;"",Key!$A:$C,3,FALSE),"")</f>
        <v>ISIC 31T33</v>
      </c>
    </row>
    <row r="184" spans="1:429" x14ac:dyDescent="0.25">
      <c r="A184">
        <v>339113</v>
      </c>
      <c r="B184" t="s">
        <v>319</v>
      </c>
      <c r="AH184">
        <v>9</v>
      </c>
      <c r="AI184">
        <v>1</v>
      </c>
      <c r="AO184">
        <v>4</v>
      </c>
      <c r="AQ184">
        <v>3</v>
      </c>
      <c r="AR184">
        <v>2</v>
      </c>
      <c r="AS184">
        <v>3</v>
      </c>
      <c r="AV184">
        <v>3</v>
      </c>
      <c r="AW184">
        <v>5</v>
      </c>
      <c r="BA184">
        <v>5</v>
      </c>
      <c r="BB184">
        <v>42</v>
      </c>
      <c r="BD184">
        <v>7</v>
      </c>
      <c r="BG184">
        <v>3</v>
      </c>
      <c r="BJ184">
        <v>4</v>
      </c>
      <c r="BK184">
        <v>5</v>
      </c>
      <c r="BR184">
        <v>6</v>
      </c>
      <c r="BX184">
        <v>5</v>
      </c>
      <c r="CF184">
        <v>4</v>
      </c>
      <c r="CG184">
        <v>4</v>
      </c>
      <c r="CJ184">
        <v>45</v>
      </c>
      <c r="CK184">
        <v>6</v>
      </c>
      <c r="CL184">
        <v>27</v>
      </c>
      <c r="CO184">
        <v>1</v>
      </c>
      <c r="CZ184">
        <v>6</v>
      </c>
      <c r="DA184">
        <v>0</v>
      </c>
      <c r="DB184">
        <v>13</v>
      </c>
      <c r="DE184">
        <v>2</v>
      </c>
      <c r="DG184">
        <v>19</v>
      </c>
      <c r="ED184">
        <v>4</v>
      </c>
      <c r="EH184">
        <v>2</v>
      </c>
      <c r="EJ184">
        <v>3</v>
      </c>
      <c r="EN184">
        <v>19</v>
      </c>
      <c r="EP184">
        <v>6</v>
      </c>
      <c r="ES184">
        <v>16</v>
      </c>
      <c r="FA184">
        <v>13</v>
      </c>
      <c r="FC184">
        <v>9</v>
      </c>
      <c r="FD184">
        <v>9</v>
      </c>
      <c r="FK184">
        <v>10</v>
      </c>
      <c r="FM184">
        <v>2</v>
      </c>
      <c r="FX184">
        <v>2062</v>
      </c>
      <c r="FY184">
        <v>1958</v>
      </c>
      <c r="FZ184">
        <v>1</v>
      </c>
      <c r="GA184">
        <v>7</v>
      </c>
      <c r="IW184">
        <v>32</v>
      </c>
      <c r="IX184">
        <v>10</v>
      </c>
      <c r="IZ184">
        <v>20</v>
      </c>
      <c r="JZ184">
        <v>0</v>
      </c>
      <c r="LW184">
        <v>59</v>
      </c>
      <c r="LZ184">
        <v>51</v>
      </c>
      <c r="MD184">
        <v>131</v>
      </c>
      <c r="MF184">
        <v>1</v>
      </c>
      <c r="MH184">
        <v>333</v>
      </c>
      <c r="MO184">
        <v>312</v>
      </c>
      <c r="MR184">
        <v>10</v>
      </c>
      <c r="MS184">
        <v>8162</v>
      </c>
      <c r="MT184">
        <v>408</v>
      </c>
      <c r="MU184">
        <v>36</v>
      </c>
      <c r="MV184">
        <v>572</v>
      </c>
      <c r="MW184">
        <v>4</v>
      </c>
      <c r="MY184">
        <v>0</v>
      </c>
      <c r="MZ184">
        <v>12584</v>
      </c>
      <c r="NA184">
        <v>344</v>
      </c>
      <c r="NB184">
        <v>76</v>
      </c>
      <c r="NC184">
        <v>62</v>
      </c>
      <c r="NE184">
        <v>248</v>
      </c>
      <c r="OD184">
        <v>958</v>
      </c>
      <c r="OE184">
        <v>278</v>
      </c>
      <c r="OJ184">
        <v>4504</v>
      </c>
      <c r="OK184">
        <v>1</v>
      </c>
      <c r="OM184">
        <v>39</v>
      </c>
      <c r="ON184">
        <v>0</v>
      </c>
      <c r="OO184">
        <v>33585</v>
      </c>
      <c r="OP184">
        <v>26578</v>
      </c>
      <c r="OQ184">
        <v>11270</v>
      </c>
      <c r="OU184">
        <v>242</v>
      </c>
      <c r="OV184">
        <v>9196</v>
      </c>
      <c r="OX184">
        <v>6</v>
      </c>
      <c r="PB184">
        <v>61</v>
      </c>
      <c r="PF184">
        <v>1102</v>
      </c>
      <c r="PI184">
        <v>82040</v>
      </c>
      <c r="PM184" t="str">
        <f>IFERROR(VLOOKUP($A184&amp;"",Key!$A:$C,3,FALSE),"")</f>
        <v>ISIC 31T33</v>
      </c>
    </row>
    <row r="185" spans="1:429" x14ac:dyDescent="0.25">
      <c r="A185">
        <v>339114</v>
      </c>
      <c r="B185" t="s">
        <v>320</v>
      </c>
      <c r="FY185">
        <v>0</v>
      </c>
      <c r="FZ185">
        <v>1</v>
      </c>
      <c r="GB185">
        <v>564</v>
      </c>
      <c r="MT185">
        <v>2510</v>
      </c>
      <c r="OI185">
        <v>0</v>
      </c>
      <c r="OJ185">
        <v>47</v>
      </c>
      <c r="OO185">
        <v>3122</v>
      </c>
      <c r="OQ185">
        <v>4233</v>
      </c>
      <c r="OU185">
        <v>8</v>
      </c>
      <c r="OV185">
        <v>1338</v>
      </c>
      <c r="OX185">
        <v>131</v>
      </c>
      <c r="PB185">
        <v>83</v>
      </c>
      <c r="PF185">
        <v>33</v>
      </c>
      <c r="PI185">
        <v>8948</v>
      </c>
      <c r="PM185" t="str">
        <f>IFERROR(VLOOKUP($A185&amp;"",Key!$A:$C,3,FALSE),"")</f>
        <v>ISIC 31T33</v>
      </c>
    </row>
    <row r="186" spans="1:429" x14ac:dyDescent="0.25">
      <c r="A186">
        <v>339115</v>
      </c>
      <c r="B186" t="s">
        <v>321</v>
      </c>
      <c r="AO186">
        <v>1</v>
      </c>
      <c r="BC186">
        <v>2</v>
      </c>
      <c r="BT186">
        <v>1</v>
      </c>
      <c r="BX186">
        <v>4</v>
      </c>
      <c r="CQ186">
        <v>1</v>
      </c>
      <c r="CT186">
        <v>2</v>
      </c>
      <c r="EX186">
        <v>1</v>
      </c>
      <c r="EZ186">
        <v>3</v>
      </c>
      <c r="FB186">
        <v>2</v>
      </c>
      <c r="FC186">
        <v>4</v>
      </c>
      <c r="FE186">
        <v>1</v>
      </c>
      <c r="FK186">
        <v>2</v>
      </c>
      <c r="FY186">
        <v>1</v>
      </c>
      <c r="GA186">
        <v>1</v>
      </c>
      <c r="GH186">
        <v>2</v>
      </c>
      <c r="JE186">
        <v>66</v>
      </c>
      <c r="LM186">
        <v>42</v>
      </c>
      <c r="NM186">
        <v>7</v>
      </c>
      <c r="NT186">
        <v>6</v>
      </c>
      <c r="OI186">
        <v>2</v>
      </c>
      <c r="OO186">
        <v>150</v>
      </c>
      <c r="OP186">
        <v>22945</v>
      </c>
      <c r="OU186">
        <v>-46</v>
      </c>
      <c r="OV186">
        <v>1606</v>
      </c>
      <c r="PI186">
        <v>24656</v>
      </c>
      <c r="PM186" t="str">
        <f>IFERROR(VLOOKUP($A186&amp;"",Key!$A:$C,3,FALSE),"")</f>
        <v>ISIC 31T33</v>
      </c>
    </row>
    <row r="187" spans="1:429" x14ac:dyDescent="0.25">
      <c r="A187">
        <v>339116</v>
      </c>
      <c r="B187" t="s">
        <v>322</v>
      </c>
      <c r="FY187">
        <v>0</v>
      </c>
      <c r="FZ187">
        <v>12</v>
      </c>
      <c r="GA187">
        <v>0</v>
      </c>
      <c r="GB187">
        <v>1</v>
      </c>
      <c r="MT187">
        <v>7293</v>
      </c>
      <c r="OO187">
        <v>7307</v>
      </c>
      <c r="OU187">
        <v>23</v>
      </c>
      <c r="OV187">
        <v>19</v>
      </c>
      <c r="PI187">
        <v>7349</v>
      </c>
      <c r="PM187" t="str">
        <f>IFERROR(VLOOKUP($A187&amp;"",Key!$A:$C,3,FALSE),"")</f>
        <v>ISIC 31T33</v>
      </c>
    </row>
    <row r="188" spans="1:429" x14ac:dyDescent="0.25">
      <c r="A188">
        <v>339910</v>
      </c>
      <c r="B188" t="s">
        <v>323</v>
      </c>
      <c r="AX188">
        <v>54</v>
      </c>
      <c r="GC188">
        <v>2749</v>
      </c>
      <c r="JO188">
        <v>62</v>
      </c>
      <c r="JV188">
        <v>640</v>
      </c>
      <c r="KB188">
        <v>832</v>
      </c>
      <c r="KC188">
        <v>466</v>
      </c>
      <c r="MP188">
        <v>1</v>
      </c>
      <c r="MZ188">
        <v>4</v>
      </c>
      <c r="NM188">
        <v>4</v>
      </c>
      <c r="NO188">
        <v>594</v>
      </c>
      <c r="NP188">
        <v>3</v>
      </c>
      <c r="OE188">
        <v>51</v>
      </c>
      <c r="OI188">
        <v>42</v>
      </c>
      <c r="OJ188">
        <v>12</v>
      </c>
      <c r="OK188">
        <v>22</v>
      </c>
      <c r="OO188">
        <v>5535</v>
      </c>
      <c r="OP188">
        <v>43280</v>
      </c>
      <c r="OU188">
        <v>-144</v>
      </c>
      <c r="OV188">
        <v>8292</v>
      </c>
      <c r="PI188">
        <v>56964</v>
      </c>
      <c r="PM188" t="str">
        <f>IFERROR(VLOOKUP($A188&amp;"",Key!$A:$C,3,FALSE),"")</f>
        <v>ISIC 31T33</v>
      </c>
    </row>
    <row r="189" spans="1:429" x14ac:dyDescent="0.25">
      <c r="A189">
        <v>339920</v>
      </c>
      <c r="B189" t="s">
        <v>324</v>
      </c>
      <c r="D189">
        <v>0</v>
      </c>
      <c r="AB189">
        <v>210</v>
      </c>
      <c r="AL189">
        <v>0</v>
      </c>
      <c r="GD189">
        <v>573</v>
      </c>
      <c r="JO189">
        <v>0</v>
      </c>
      <c r="JQ189">
        <v>0</v>
      </c>
      <c r="JR189">
        <v>0</v>
      </c>
      <c r="JV189">
        <v>22</v>
      </c>
      <c r="JW189">
        <v>9</v>
      </c>
      <c r="JY189">
        <v>4</v>
      </c>
      <c r="JZ189">
        <v>3</v>
      </c>
      <c r="KA189">
        <v>9</v>
      </c>
      <c r="KS189">
        <v>0</v>
      </c>
      <c r="KZ189">
        <v>0</v>
      </c>
      <c r="LC189">
        <v>0</v>
      </c>
      <c r="LD189">
        <v>1</v>
      </c>
      <c r="LI189">
        <v>0</v>
      </c>
      <c r="LR189">
        <v>0</v>
      </c>
      <c r="LS189">
        <v>0</v>
      </c>
      <c r="LT189">
        <v>1</v>
      </c>
      <c r="LV189">
        <v>0</v>
      </c>
      <c r="LW189">
        <v>0</v>
      </c>
      <c r="LX189">
        <v>0</v>
      </c>
      <c r="MA189">
        <v>0</v>
      </c>
      <c r="ME189">
        <v>0</v>
      </c>
      <c r="MG189">
        <v>2</v>
      </c>
      <c r="MH189">
        <v>1</v>
      </c>
      <c r="MJ189">
        <v>0</v>
      </c>
      <c r="MN189">
        <v>0</v>
      </c>
      <c r="MO189">
        <v>0</v>
      </c>
      <c r="MP189">
        <v>51</v>
      </c>
      <c r="MQ189">
        <v>16</v>
      </c>
      <c r="MR189">
        <v>14</v>
      </c>
      <c r="MS189">
        <v>0</v>
      </c>
      <c r="MX189">
        <v>0</v>
      </c>
      <c r="MZ189">
        <v>0</v>
      </c>
      <c r="NA189">
        <v>15</v>
      </c>
      <c r="NB189">
        <v>1</v>
      </c>
      <c r="ND189">
        <v>30</v>
      </c>
      <c r="NG189">
        <v>1</v>
      </c>
      <c r="NI189">
        <v>3</v>
      </c>
      <c r="NK189">
        <v>3</v>
      </c>
      <c r="NL189">
        <v>26</v>
      </c>
      <c r="NM189">
        <v>92</v>
      </c>
      <c r="NN189">
        <v>3</v>
      </c>
      <c r="NP189">
        <v>18</v>
      </c>
      <c r="NQ189">
        <v>2</v>
      </c>
      <c r="OA189">
        <v>0</v>
      </c>
      <c r="OD189">
        <v>1</v>
      </c>
      <c r="OE189">
        <v>12</v>
      </c>
      <c r="OI189">
        <v>269</v>
      </c>
      <c r="OK189">
        <v>113</v>
      </c>
      <c r="OO189">
        <v>1506</v>
      </c>
      <c r="OP189">
        <v>32601</v>
      </c>
      <c r="OQ189">
        <v>4020</v>
      </c>
      <c r="OU189">
        <v>-212</v>
      </c>
      <c r="OV189">
        <v>1887</v>
      </c>
      <c r="OX189">
        <v>0</v>
      </c>
      <c r="PB189">
        <v>1</v>
      </c>
      <c r="PF189">
        <v>623</v>
      </c>
      <c r="PI189">
        <v>40426</v>
      </c>
      <c r="PM189" t="str">
        <f>IFERROR(VLOOKUP($A189&amp;"",Key!$A:$C,3,FALSE),"")</f>
        <v>ISIC 31T33</v>
      </c>
    </row>
    <row r="190" spans="1:429" x14ac:dyDescent="0.25">
      <c r="A190">
        <v>339930</v>
      </c>
      <c r="B190" t="s">
        <v>325</v>
      </c>
      <c r="GE190">
        <v>2</v>
      </c>
      <c r="JO190">
        <v>5</v>
      </c>
      <c r="MP190">
        <v>9</v>
      </c>
      <c r="NA190">
        <v>36</v>
      </c>
      <c r="NB190">
        <v>2</v>
      </c>
      <c r="NC190">
        <v>358</v>
      </c>
      <c r="ND190">
        <v>199</v>
      </c>
      <c r="NE190">
        <v>2</v>
      </c>
      <c r="NL190">
        <v>2</v>
      </c>
      <c r="NM190">
        <v>17</v>
      </c>
      <c r="OE190">
        <v>10</v>
      </c>
      <c r="OI190">
        <v>140</v>
      </c>
      <c r="OJ190">
        <v>69</v>
      </c>
      <c r="OK190">
        <v>81</v>
      </c>
      <c r="OO190">
        <v>932</v>
      </c>
      <c r="OP190">
        <v>62205</v>
      </c>
      <c r="OU190">
        <v>-29</v>
      </c>
      <c r="OV190">
        <v>1311</v>
      </c>
      <c r="PI190">
        <v>64419</v>
      </c>
      <c r="PM190" t="str">
        <f>IFERROR(VLOOKUP($A190&amp;"",Key!$A:$C,3,FALSE),"")</f>
        <v>ISIC 31T33</v>
      </c>
    </row>
    <row r="191" spans="1:429" x14ac:dyDescent="0.25">
      <c r="A191">
        <v>339940</v>
      </c>
      <c r="B191" t="s">
        <v>326</v>
      </c>
      <c r="AB191">
        <v>13</v>
      </c>
      <c r="AC191">
        <v>17</v>
      </c>
      <c r="AD191">
        <v>27</v>
      </c>
      <c r="AG191">
        <v>1</v>
      </c>
      <c r="AI191">
        <v>1</v>
      </c>
      <c r="AK191">
        <v>4</v>
      </c>
      <c r="FC191">
        <v>12</v>
      </c>
      <c r="GF191">
        <v>344</v>
      </c>
      <c r="IB191">
        <v>1</v>
      </c>
      <c r="JK191">
        <v>0</v>
      </c>
      <c r="JN191">
        <v>5</v>
      </c>
      <c r="JO191">
        <v>0</v>
      </c>
      <c r="JQ191">
        <v>0</v>
      </c>
      <c r="JR191">
        <v>1</v>
      </c>
      <c r="JS191">
        <v>0</v>
      </c>
      <c r="JW191">
        <v>0</v>
      </c>
      <c r="JX191">
        <v>0</v>
      </c>
      <c r="JY191">
        <v>2</v>
      </c>
      <c r="JZ191">
        <v>0</v>
      </c>
      <c r="KB191">
        <v>0</v>
      </c>
      <c r="KC191">
        <v>161</v>
      </c>
      <c r="KD191">
        <v>0</v>
      </c>
      <c r="KF191">
        <v>0</v>
      </c>
      <c r="KI191">
        <v>12</v>
      </c>
      <c r="KJ191">
        <v>1</v>
      </c>
      <c r="KK191">
        <v>123</v>
      </c>
      <c r="KL191">
        <v>0</v>
      </c>
      <c r="KM191">
        <v>16</v>
      </c>
      <c r="KO191">
        <v>0</v>
      </c>
      <c r="KX191">
        <v>4</v>
      </c>
      <c r="KZ191">
        <v>76</v>
      </c>
      <c r="LA191">
        <v>6</v>
      </c>
      <c r="LB191">
        <v>0</v>
      </c>
      <c r="LC191">
        <v>19</v>
      </c>
      <c r="LD191">
        <v>25</v>
      </c>
      <c r="LE191">
        <v>3</v>
      </c>
      <c r="LF191">
        <v>2</v>
      </c>
      <c r="LI191">
        <v>8</v>
      </c>
      <c r="LM191">
        <v>93</v>
      </c>
      <c r="LN191">
        <v>2</v>
      </c>
      <c r="LO191">
        <v>46</v>
      </c>
      <c r="LR191">
        <v>17</v>
      </c>
      <c r="LT191">
        <v>15</v>
      </c>
      <c r="LU191">
        <v>2</v>
      </c>
      <c r="LV191">
        <v>9</v>
      </c>
      <c r="LW191">
        <v>18</v>
      </c>
      <c r="LX191">
        <v>10</v>
      </c>
      <c r="LY191">
        <v>103</v>
      </c>
      <c r="LZ191">
        <v>2</v>
      </c>
      <c r="MA191">
        <v>340</v>
      </c>
      <c r="MB191">
        <v>160</v>
      </c>
      <c r="MC191">
        <v>23</v>
      </c>
      <c r="ME191">
        <v>2</v>
      </c>
      <c r="MF191">
        <v>3</v>
      </c>
      <c r="MG191">
        <v>87</v>
      </c>
      <c r="MH191">
        <v>8</v>
      </c>
      <c r="MI191">
        <v>2</v>
      </c>
      <c r="MJ191">
        <v>1</v>
      </c>
      <c r="MK191">
        <v>37</v>
      </c>
      <c r="MM191">
        <v>1</v>
      </c>
      <c r="MN191">
        <v>1</v>
      </c>
      <c r="MO191">
        <v>8</v>
      </c>
      <c r="MP191">
        <v>60</v>
      </c>
      <c r="MQ191">
        <v>107</v>
      </c>
      <c r="MR191">
        <v>22</v>
      </c>
      <c r="MS191">
        <v>19</v>
      </c>
      <c r="MT191">
        <v>5</v>
      </c>
      <c r="MU191">
        <v>0</v>
      </c>
      <c r="MX191">
        <v>1</v>
      </c>
      <c r="MY191">
        <v>5</v>
      </c>
      <c r="MZ191">
        <v>5</v>
      </c>
      <c r="NC191">
        <v>5</v>
      </c>
      <c r="ND191">
        <v>205</v>
      </c>
      <c r="NE191">
        <v>8</v>
      </c>
      <c r="NG191">
        <v>21</v>
      </c>
      <c r="NH191">
        <v>6</v>
      </c>
      <c r="NI191">
        <v>6</v>
      </c>
      <c r="NK191">
        <v>0</v>
      </c>
      <c r="NM191">
        <v>1</v>
      </c>
      <c r="NN191">
        <v>52</v>
      </c>
      <c r="NO191">
        <v>7</v>
      </c>
      <c r="NP191">
        <v>5</v>
      </c>
      <c r="NV191">
        <v>0</v>
      </c>
      <c r="NZ191">
        <v>1</v>
      </c>
      <c r="OA191">
        <v>1</v>
      </c>
      <c r="OB191">
        <v>7</v>
      </c>
      <c r="OD191">
        <v>3</v>
      </c>
      <c r="OE191">
        <v>142</v>
      </c>
      <c r="OI191">
        <v>460</v>
      </c>
      <c r="OJ191">
        <v>118</v>
      </c>
      <c r="OK191">
        <v>147</v>
      </c>
      <c r="OO191">
        <v>3293</v>
      </c>
      <c r="OP191">
        <v>4705</v>
      </c>
      <c r="OQ191">
        <v>22</v>
      </c>
      <c r="OU191">
        <v>-99</v>
      </c>
      <c r="OV191">
        <v>476</v>
      </c>
      <c r="PB191">
        <v>1</v>
      </c>
      <c r="PF191">
        <v>166</v>
      </c>
      <c r="PI191">
        <v>8564</v>
      </c>
      <c r="PM191" t="str">
        <f>IFERROR(VLOOKUP($A191&amp;"",Key!$A:$C,3,FALSE),"")</f>
        <v>ISIC 31T33</v>
      </c>
    </row>
    <row r="192" spans="1:429" x14ac:dyDescent="0.25">
      <c r="A192">
        <v>339950</v>
      </c>
      <c r="B192" t="s">
        <v>327</v>
      </c>
      <c r="AE192">
        <v>128</v>
      </c>
      <c r="AJ192">
        <v>17</v>
      </c>
      <c r="AK192">
        <v>19</v>
      </c>
      <c r="AL192">
        <v>1058</v>
      </c>
      <c r="GG192">
        <v>11</v>
      </c>
      <c r="JQ192">
        <v>128</v>
      </c>
      <c r="JY192">
        <v>2</v>
      </c>
      <c r="LC192">
        <v>2</v>
      </c>
      <c r="LD192">
        <v>2</v>
      </c>
      <c r="LE192">
        <v>2</v>
      </c>
      <c r="LF192">
        <v>0</v>
      </c>
      <c r="NE192">
        <v>0</v>
      </c>
      <c r="OO192">
        <v>1368</v>
      </c>
      <c r="OQ192">
        <v>12610</v>
      </c>
      <c r="OU192">
        <v>17</v>
      </c>
      <c r="OV192">
        <v>347</v>
      </c>
      <c r="OX192">
        <v>0</v>
      </c>
      <c r="PB192">
        <v>3</v>
      </c>
      <c r="PI192">
        <v>14344</v>
      </c>
      <c r="PM192" t="str">
        <f>IFERROR(VLOOKUP($A192&amp;"",Key!$A:$C,3,FALSE),"")</f>
        <v>ISIC 31T33</v>
      </c>
    </row>
    <row r="193" spans="1:429" x14ac:dyDescent="0.25">
      <c r="A193">
        <v>339990</v>
      </c>
      <c r="B193" t="s">
        <v>328</v>
      </c>
      <c r="C193">
        <v>6</v>
      </c>
      <c r="D193">
        <v>20</v>
      </c>
      <c r="E193">
        <v>6</v>
      </c>
      <c r="F193">
        <v>5</v>
      </c>
      <c r="G193">
        <v>1</v>
      </c>
      <c r="H193">
        <v>7</v>
      </c>
      <c r="I193">
        <v>42</v>
      </c>
      <c r="J193">
        <v>43</v>
      </c>
      <c r="K193">
        <v>4</v>
      </c>
      <c r="L193">
        <v>0</v>
      </c>
      <c r="N193">
        <v>1</v>
      </c>
      <c r="P193">
        <v>21</v>
      </c>
      <c r="Q193">
        <v>10</v>
      </c>
      <c r="R193">
        <v>2</v>
      </c>
      <c r="S193">
        <v>8</v>
      </c>
      <c r="T193">
        <v>7</v>
      </c>
      <c r="U193">
        <v>8</v>
      </c>
      <c r="V193">
        <v>11</v>
      </c>
      <c r="W193">
        <v>18</v>
      </c>
      <c r="AA193">
        <v>4</v>
      </c>
      <c r="AB193">
        <v>33</v>
      </c>
      <c r="AC193">
        <v>65</v>
      </c>
      <c r="AD193">
        <v>19</v>
      </c>
      <c r="AE193">
        <v>19</v>
      </c>
      <c r="AF193">
        <v>9</v>
      </c>
      <c r="AG193">
        <v>192</v>
      </c>
      <c r="AH193">
        <v>4</v>
      </c>
      <c r="AI193">
        <v>6</v>
      </c>
      <c r="AJ193">
        <v>11</v>
      </c>
      <c r="AK193">
        <v>118</v>
      </c>
      <c r="AL193">
        <v>24</v>
      </c>
      <c r="AP193">
        <v>25</v>
      </c>
      <c r="AR193">
        <v>16</v>
      </c>
      <c r="AX193">
        <v>2</v>
      </c>
      <c r="BC193">
        <v>4</v>
      </c>
      <c r="BE193">
        <v>3</v>
      </c>
      <c r="BI193">
        <v>1</v>
      </c>
      <c r="BJ193">
        <v>2</v>
      </c>
      <c r="BW193">
        <v>2</v>
      </c>
      <c r="BX193">
        <v>3</v>
      </c>
      <c r="CB193">
        <v>48</v>
      </c>
      <c r="CF193">
        <v>1</v>
      </c>
      <c r="CH193">
        <v>114</v>
      </c>
      <c r="CI193">
        <v>8</v>
      </c>
      <c r="CJ193">
        <v>490</v>
      </c>
      <c r="CK193">
        <v>86</v>
      </c>
      <c r="CL193">
        <v>586</v>
      </c>
      <c r="CM193">
        <v>40</v>
      </c>
      <c r="CN193">
        <v>6</v>
      </c>
      <c r="CO193">
        <v>98</v>
      </c>
      <c r="CP193">
        <v>37</v>
      </c>
      <c r="CQ193">
        <v>64</v>
      </c>
      <c r="CR193">
        <v>21</v>
      </c>
      <c r="CW193">
        <v>211</v>
      </c>
      <c r="CZ193">
        <v>115</v>
      </c>
      <c r="DA193">
        <v>49</v>
      </c>
      <c r="DB193">
        <v>144</v>
      </c>
      <c r="DC193">
        <v>521</v>
      </c>
      <c r="DE193">
        <v>7</v>
      </c>
      <c r="DG193">
        <v>8</v>
      </c>
      <c r="DH193">
        <v>150</v>
      </c>
      <c r="DK193">
        <v>0</v>
      </c>
      <c r="DO193">
        <v>2</v>
      </c>
      <c r="EH193">
        <v>43</v>
      </c>
      <c r="EI193">
        <v>77</v>
      </c>
      <c r="EJ193">
        <v>513</v>
      </c>
      <c r="EM193">
        <v>2</v>
      </c>
      <c r="EQ193">
        <v>127</v>
      </c>
      <c r="ER193">
        <v>322</v>
      </c>
      <c r="ES193">
        <v>23</v>
      </c>
      <c r="EX193">
        <v>534</v>
      </c>
      <c r="EY193">
        <v>162</v>
      </c>
      <c r="EZ193">
        <v>279</v>
      </c>
      <c r="FA193">
        <v>22</v>
      </c>
      <c r="FC193">
        <v>536</v>
      </c>
      <c r="FD193">
        <v>754</v>
      </c>
      <c r="FH193">
        <v>179</v>
      </c>
      <c r="FS193">
        <v>17</v>
      </c>
      <c r="FY193">
        <v>3</v>
      </c>
      <c r="GA193">
        <v>0</v>
      </c>
      <c r="GC193">
        <v>13</v>
      </c>
      <c r="GH193">
        <v>1293</v>
      </c>
      <c r="GO193">
        <v>3</v>
      </c>
      <c r="GP193">
        <v>3</v>
      </c>
      <c r="GQ193">
        <v>3</v>
      </c>
      <c r="GR193">
        <v>2</v>
      </c>
      <c r="GS193">
        <v>3</v>
      </c>
      <c r="GU193">
        <v>3</v>
      </c>
      <c r="GV193">
        <v>4</v>
      </c>
      <c r="GZ193">
        <v>5</v>
      </c>
      <c r="HA193">
        <v>5</v>
      </c>
      <c r="HB193">
        <v>11</v>
      </c>
      <c r="HF193">
        <v>1</v>
      </c>
      <c r="HG193">
        <v>12</v>
      </c>
      <c r="HH193">
        <v>2</v>
      </c>
      <c r="HM193">
        <v>4</v>
      </c>
      <c r="HP193">
        <v>7</v>
      </c>
      <c r="HR193">
        <v>99</v>
      </c>
      <c r="HS193">
        <v>5</v>
      </c>
      <c r="HU193">
        <v>0</v>
      </c>
      <c r="IB193">
        <v>4</v>
      </c>
      <c r="IE193">
        <v>4</v>
      </c>
      <c r="II193">
        <v>1</v>
      </c>
      <c r="IK193">
        <v>14</v>
      </c>
      <c r="IL193">
        <v>401</v>
      </c>
      <c r="IM193">
        <v>16</v>
      </c>
      <c r="IW193">
        <v>23</v>
      </c>
      <c r="IX193">
        <v>3</v>
      </c>
      <c r="JF193">
        <v>1</v>
      </c>
      <c r="JG193">
        <v>78</v>
      </c>
      <c r="JK193">
        <v>1</v>
      </c>
      <c r="JL193">
        <v>43</v>
      </c>
      <c r="JM193">
        <v>58</v>
      </c>
      <c r="JN193">
        <v>6</v>
      </c>
      <c r="JO193">
        <v>183</v>
      </c>
      <c r="JP193">
        <v>175</v>
      </c>
      <c r="JQ193">
        <v>242</v>
      </c>
      <c r="JR193">
        <v>24</v>
      </c>
      <c r="JS193">
        <v>129</v>
      </c>
      <c r="JT193">
        <v>4</v>
      </c>
      <c r="JV193">
        <v>183</v>
      </c>
      <c r="JW193">
        <v>142</v>
      </c>
      <c r="JX193">
        <v>10</v>
      </c>
      <c r="JY193">
        <v>76</v>
      </c>
      <c r="JZ193">
        <v>18</v>
      </c>
      <c r="KA193">
        <v>9</v>
      </c>
      <c r="KB193">
        <v>538</v>
      </c>
      <c r="KC193">
        <v>89</v>
      </c>
      <c r="KD193">
        <v>13</v>
      </c>
      <c r="KE193">
        <v>0</v>
      </c>
      <c r="KF193">
        <v>1</v>
      </c>
      <c r="KH193">
        <v>10</v>
      </c>
      <c r="KI193">
        <v>17</v>
      </c>
      <c r="KK193">
        <v>18</v>
      </c>
      <c r="KL193">
        <v>76</v>
      </c>
      <c r="KM193">
        <v>159</v>
      </c>
      <c r="KN193">
        <v>0</v>
      </c>
      <c r="KO193">
        <v>0</v>
      </c>
      <c r="KQ193">
        <v>1</v>
      </c>
      <c r="KR193">
        <v>4</v>
      </c>
      <c r="KS193">
        <v>2</v>
      </c>
      <c r="KW193">
        <v>72</v>
      </c>
      <c r="KX193">
        <v>143</v>
      </c>
      <c r="KY193">
        <v>10</v>
      </c>
      <c r="KZ193">
        <v>15</v>
      </c>
      <c r="LB193">
        <v>0</v>
      </c>
      <c r="LC193">
        <v>49</v>
      </c>
      <c r="LD193">
        <v>50</v>
      </c>
      <c r="LE193">
        <v>7</v>
      </c>
      <c r="LF193">
        <v>12</v>
      </c>
      <c r="LI193">
        <v>4</v>
      </c>
      <c r="LK193">
        <v>0</v>
      </c>
      <c r="LL193">
        <v>0</v>
      </c>
      <c r="LM193">
        <v>262</v>
      </c>
      <c r="LN193">
        <v>7</v>
      </c>
      <c r="LO193">
        <v>7</v>
      </c>
      <c r="LP193">
        <v>3</v>
      </c>
      <c r="LT193">
        <v>36</v>
      </c>
      <c r="LV193">
        <v>277</v>
      </c>
      <c r="LW193">
        <v>394</v>
      </c>
      <c r="LX193">
        <v>24</v>
      </c>
      <c r="LY193">
        <v>44</v>
      </c>
      <c r="LZ193">
        <v>86</v>
      </c>
      <c r="MA193">
        <v>36</v>
      </c>
      <c r="MB193">
        <v>244</v>
      </c>
      <c r="MC193">
        <v>1</v>
      </c>
      <c r="MD193">
        <v>8</v>
      </c>
      <c r="ME193">
        <v>7</v>
      </c>
      <c r="MF193">
        <v>13</v>
      </c>
      <c r="MG193">
        <v>13</v>
      </c>
      <c r="MH193">
        <v>1787</v>
      </c>
      <c r="MI193">
        <v>1</v>
      </c>
      <c r="MJ193">
        <v>2</v>
      </c>
      <c r="MK193">
        <v>19</v>
      </c>
      <c r="MM193">
        <v>43</v>
      </c>
      <c r="MN193">
        <v>22</v>
      </c>
      <c r="MO193">
        <v>8</v>
      </c>
      <c r="MP193">
        <v>151</v>
      </c>
      <c r="MQ193">
        <v>15</v>
      </c>
      <c r="MR193">
        <v>13</v>
      </c>
      <c r="MS193">
        <v>15</v>
      </c>
      <c r="MT193">
        <v>12</v>
      </c>
      <c r="MU193">
        <v>1</v>
      </c>
      <c r="MV193">
        <v>59</v>
      </c>
      <c r="MW193">
        <v>6</v>
      </c>
      <c r="MX193">
        <v>27</v>
      </c>
      <c r="MY193">
        <v>19</v>
      </c>
      <c r="MZ193">
        <v>288</v>
      </c>
      <c r="NA193">
        <v>10</v>
      </c>
      <c r="NB193">
        <v>2</v>
      </c>
      <c r="NC193">
        <v>269</v>
      </c>
      <c r="ND193">
        <v>48</v>
      </c>
      <c r="NE193">
        <v>466</v>
      </c>
      <c r="NF193">
        <v>61</v>
      </c>
      <c r="NH193">
        <v>0</v>
      </c>
      <c r="NJ193">
        <v>34</v>
      </c>
      <c r="NK193">
        <v>154</v>
      </c>
      <c r="NL193">
        <v>24</v>
      </c>
      <c r="NM193">
        <v>45</v>
      </c>
      <c r="NN193">
        <v>23</v>
      </c>
      <c r="NO193">
        <v>104</v>
      </c>
      <c r="NP193">
        <v>102</v>
      </c>
      <c r="NQ193">
        <v>25</v>
      </c>
      <c r="NR193">
        <v>1</v>
      </c>
      <c r="NS193">
        <v>2</v>
      </c>
      <c r="NT193">
        <v>77</v>
      </c>
      <c r="NU193">
        <v>87</v>
      </c>
      <c r="NV193">
        <v>938</v>
      </c>
      <c r="NW193">
        <v>817</v>
      </c>
      <c r="NX193">
        <v>39</v>
      </c>
      <c r="NY193">
        <v>68</v>
      </c>
      <c r="NZ193">
        <v>92</v>
      </c>
      <c r="OA193">
        <v>173</v>
      </c>
      <c r="OB193">
        <v>193</v>
      </c>
      <c r="OD193">
        <v>4</v>
      </c>
      <c r="OE193">
        <v>61</v>
      </c>
      <c r="OI193">
        <v>258</v>
      </c>
      <c r="OJ193">
        <v>140</v>
      </c>
      <c r="OK193">
        <v>206</v>
      </c>
      <c r="ON193">
        <v>5</v>
      </c>
      <c r="OO193">
        <v>20279</v>
      </c>
      <c r="OP193">
        <v>52600</v>
      </c>
      <c r="OQ193">
        <v>5681</v>
      </c>
      <c r="OU193">
        <v>217</v>
      </c>
      <c r="OV193">
        <v>7657</v>
      </c>
      <c r="OX193">
        <v>42</v>
      </c>
      <c r="PF193">
        <v>186</v>
      </c>
      <c r="PI193">
        <v>86662</v>
      </c>
      <c r="PM193" t="str">
        <f>IFERROR(VLOOKUP($A193&amp;"",Key!$A:$C,3,FALSE),"")</f>
        <v>ISIC 31T33</v>
      </c>
    </row>
    <row r="194" spans="1:429" x14ac:dyDescent="0.25">
      <c r="A194">
        <v>311111</v>
      </c>
      <c r="B194" t="s">
        <v>329</v>
      </c>
      <c r="GI194">
        <v>53</v>
      </c>
      <c r="MD194">
        <v>5762</v>
      </c>
      <c r="NY194">
        <v>6</v>
      </c>
      <c r="OE194">
        <v>44</v>
      </c>
      <c r="OJ194">
        <v>32</v>
      </c>
      <c r="OK194">
        <v>140</v>
      </c>
      <c r="OO194">
        <v>6037</v>
      </c>
      <c r="OP194">
        <v>40451</v>
      </c>
      <c r="OU194">
        <v>265</v>
      </c>
      <c r="OV194">
        <v>1424</v>
      </c>
      <c r="PI194">
        <v>48176</v>
      </c>
      <c r="PM194" t="str">
        <f>IFERROR(VLOOKUP($A194&amp;"",Key!$A:$C,3,FALSE),"")</f>
        <v>ISIC 10T12</v>
      </c>
    </row>
    <row r="195" spans="1:429" x14ac:dyDescent="0.25">
      <c r="A195">
        <v>311119</v>
      </c>
      <c r="B195" t="s">
        <v>330</v>
      </c>
      <c r="I195">
        <v>8003</v>
      </c>
      <c r="J195">
        <v>8028</v>
      </c>
      <c r="K195">
        <v>18085</v>
      </c>
      <c r="L195">
        <v>2442</v>
      </c>
      <c r="M195">
        <v>0</v>
      </c>
      <c r="N195">
        <v>16</v>
      </c>
      <c r="O195">
        <v>249</v>
      </c>
      <c r="GI195">
        <v>1</v>
      </c>
      <c r="GJ195">
        <v>190</v>
      </c>
      <c r="GX195">
        <v>1758</v>
      </c>
      <c r="JS195">
        <v>1228</v>
      </c>
      <c r="JT195">
        <v>40</v>
      </c>
      <c r="JW195">
        <v>5</v>
      </c>
      <c r="KA195">
        <v>1</v>
      </c>
      <c r="KC195">
        <v>0</v>
      </c>
      <c r="KK195">
        <v>0</v>
      </c>
      <c r="KN195">
        <v>0</v>
      </c>
      <c r="KO195">
        <v>3</v>
      </c>
      <c r="KQ195">
        <v>1</v>
      </c>
      <c r="LZ195">
        <v>327</v>
      </c>
      <c r="MD195">
        <v>9</v>
      </c>
      <c r="MF195">
        <v>8</v>
      </c>
      <c r="MP195">
        <v>1</v>
      </c>
      <c r="MQ195">
        <v>51</v>
      </c>
      <c r="NN195">
        <v>213</v>
      </c>
      <c r="NO195">
        <v>23</v>
      </c>
      <c r="NP195">
        <v>15</v>
      </c>
      <c r="NQ195">
        <v>211</v>
      </c>
      <c r="OD195">
        <v>125</v>
      </c>
      <c r="OI195">
        <v>0</v>
      </c>
      <c r="OJ195">
        <v>2</v>
      </c>
      <c r="OK195">
        <v>27</v>
      </c>
      <c r="OO195">
        <v>41065</v>
      </c>
      <c r="OP195">
        <v>6000</v>
      </c>
      <c r="OU195">
        <v>343</v>
      </c>
      <c r="OV195">
        <v>2908</v>
      </c>
      <c r="PI195">
        <v>50317</v>
      </c>
      <c r="PM195" t="str">
        <f>IFERROR(VLOOKUP($A195&amp;"",Key!$A:$C,3,FALSE),"")</f>
        <v>ISIC 10T12</v>
      </c>
    </row>
    <row r="196" spans="1:429" x14ac:dyDescent="0.25">
      <c r="A196">
        <v>311210</v>
      </c>
      <c r="B196" t="s">
        <v>331</v>
      </c>
      <c r="I196">
        <v>508</v>
      </c>
      <c r="K196">
        <v>263</v>
      </c>
      <c r="L196">
        <v>10</v>
      </c>
      <c r="GI196">
        <v>642</v>
      </c>
      <c r="GJ196">
        <v>1091</v>
      </c>
      <c r="GK196">
        <v>884</v>
      </c>
      <c r="GO196">
        <v>310</v>
      </c>
      <c r="GQ196">
        <v>393</v>
      </c>
      <c r="GR196">
        <v>194</v>
      </c>
      <c r="GT196">
        <v>4</v>
      </c>
      <c r="GZ196">
        <v>1908</v>
      </c>
      <c r="HA196">
        <v>3701</v>
      </c>
      <c r="HB196">
        <v>751</v>
      </c>
      <c r="HE196">
        <v>47</v>
      </c>
      <c r="HF196">
        <v>1721</v>
      </c>
      <c r="HH196">
        <v>1700</v>
      </c>
      <c r="HJ196">
        <v>135</v>
      </c>
      <c r="JW196">
        <v>631</v>
      </c>
      <c r="JX196">
        <v>166</v>
      </c>
      <c r="KC196">
        <v>0</v>
      </c>
      <c r="KG196">
        <v>0</v>
      </c>
      <c r="MP196">
        <v>1</v>
      </c>
      <c r="MQ196">
        <v>6</v>
      </c>
      <c r="MZ196">
        <v>160</v>
      </c>
      <c r="NA196">
        <v>29</v>
      </c>
      <c r="NB196">
        <v>12</v>
      </c>
      <c r="NC196">
        <v>7</v>
      </c>
      <c r="ND196">
        <v>3</v>
      </c>
      <c r="NE196">
        <v>1</v>
      </c>
      <c r="NM196">
        <v>7</v>
      </c>
      <c r="NN196">
        <v>20</v>
      </c>
      <c r="NO196">
        <v>21</v>
      </c>
      <c r="NP196">
        <v>29</v>
      </c>
      <c r="NQ196">
        <v>2</v>
      </c>
      <c r="NZ196">
        <v>1</v>
      </c>
      <c r="OB196">
        <v>7</v>
      </c>
      <c r="OG196">
        <v>7</v>
      </c>
      <c r="OH196">
        <v>20</v>
      </c>
      <c r="OI196">
        <v>5</v>
      </c>
      <c r="OJ196">
        <v>12</v>
      </c>
      <c r="OK196">
        <v>16</v>
      </c>
      <c r="OO196">
        <v>15423</v>
      </c>
      <c r="OP196">
        <v>5598</v>
      </c>
      <c r="OU196">
        <v>265</v>
      </c>
      <c r="OV196">
        <v>2076</v>
      </c>
      <c r="PI196">
        <v>23361</v>
      </c>
      <c r="PM196" t="str">
        <f>IFERROR(VLOOKUP($A196&amp;"",Key!$A:$C,3,FALSE),"")</f>
        <v>ISIC 10T12</v>
      </c>
    </row>
    <row r="197" spans="1:429" x14ac:dyDescent="0.25">
      <c r="A197">
        <v>311221</v>
      </c>
      <c r="B197" t="s">
        <v>332</v>
      </c>
      <c r="I197">
        <v>1</v>
      </c>
      <c r="L197">
        <v>1</v>
      </c>
      <c r="AW197">
        <v>610</v>
      </c>
      <c r="GI197">
        <v>1224</v>
      </c>
      <c r="GJ197">
        <v>373</v>
      </c>
      <c r="GK197">
        <v>8</v>
      </c>
      <c r="GL197">
        <v>82</v>
      </c>
      <c r="GM197">
        <v>107</v>
      </c>
      <c r="GN197">
        <v>503</v>
      </c>
      <c r="GO197">
        <v>6</v>
      </c>
      <c r="GP197">
        <v>1250</v>
      </c>
      <c r="GQ197">
        <v>90</v>
      </c>
      <c r="GR197">
        <v>200</v>
      </c>
      <c r="GS197">
        <v>66</v>
      </c>
      <c r="GT197">
        <v>630</v>
      </c>
      <c r="GU197">
        <v>327</v>
      </c>
      <c r="GV197">
        <v>255</v>
      </c>
      <c r="GY197">
        <v>7</v>
      </c>
      <c r="GZ197">
        <v>1875</v>
      </c>
      <c r="HA197">
        <v>489</v>
      </c>
      <c r="HB197">
        <v>228</v>
      </c>
      <c r="HD197">
        <v>667</v>
      </c>
      <c r="HE197">
        <v>604</v>
      </c>
      <c r="HF197">
        <v>177</v>
      </c>
      <c r="HG197">
        <v>743</v>
      </c>
      <c r="HH197">
        <v>713</v>
      </c>
      <c r="HT197">
        <v>146</v>
      </c>
      <c r="HU197">
        <v>131</v>
      </c>
      <c r="HV197">
        <v>110</v>
      </c>
      <c r="IB197">
        <v>321</v>
      </c>
      <c r="IG197">
        <v>42</v>
      </c>
      <c r="IV197">
        <v>162</v>
      </c>
      <c r="JE197">
        <v>233</v>
      </c>
      <c r="JW197">
        <v>598</v>
      </c>
      <c r="JX197">
        <v>56</v>
      </c>
      <c r="KA197">
        <v>1</v>
      </c>
      <c r="KC197">
        <v>1</v>
      </c>
      <c r="KO197">
        <v>47</v>
      </c>
      <c r="KQ197">
        <v>0</v>
      </c>
      <c r="LA197">
        <v>89</v>
      </c>
      <c r="LW197">
        <v>31</v>
      </c>
      <c r="LZ197">
        <v>20</v>
      </c>
      <c r="MB197">
        <v>0</v>
      </c>
      <c r="MK197">
        <v>0</v>
      </c>
      <c r="MP197">
        <v>2</v>
      </c>
      <c r="MQ197">
        <v>69</v>
      </c>
      <c r="MZ197">
        <v>143</v>
      </c>
      <c r="NA197">
        <v>9</v>
      </c>
      <c r="NB197">
        <v>2</v>
      </c>
      <c r="NC197">
        <v>115</v>
      </c>
      <c r="NE197">
        <v>30</v>
      </c>
      <c r="NM197">
        <v>21</v>
      </c>
      <c r="NN197">
        <v>299</v>
      </c>
      <c r="NO197">
        <v>40</v>
      </c>
      <c r="NP197">
        <v>30</v>
      </c>
      <c r="NQ197">
        <v>200</v>
      </c>
      <c r="OI197">
        <v>196</v>
      </c>
      <c r="OJ197">
        <v>14</v>
      </c>
      <c r="OO197">
        <v>14398</v>
      </c>
      <c r="OP197">
        <v>3204</v>
      </c>
      <c r="OU197">
        <v>0</v>
      </c>
      <c r="OV197">
        <v>1904</v>
      </c>
      <c r="PI197">
        <v>19505</v>
      </c>
      <c r="PM197" t="str">
        <f>IFERROR(VLOOKUP($A197&amp;"",Key!$A:$C,3,FALSE),"")</f>
        <v>ISIC 10T12</v>
      </c>
    </row>
    <row r="198" spans="1:429" x14ac:dyDescent="0.25">
      <c r="A198">
        <v>311225</v>
      </c>
      <c r="B198" t="s">
        <v>333</v>
      </c>
      <c r="GI198">
        <v>767</v>
      </c>
      <c r="GJ198">
        <v>290</v>
      </c>
      <c r="GK198">
        <v>30</v>
      </c>
      <c r="GM198">
        <v>187</v>
      </c>
      <c r="GN198">
        <v>8</v>
      </c>
      <c r="GO198">
        <v>17</v>
      </c>
      <c r="GP198">
        <v>108</v>
      </c>
      <c r="GQ198">
        <v>229</v>
      </c>
      <c r="GR198">
        <v>3</v>
      </c>
      <c r="GS198">
        <v>59</v>
      </c>
      <c r="GT198">
        <v>182</v>
      </c>
      <c r="GU198">
        <v>53</v>
      </c>
      <c r="GV198">
        <v>7</v>
      </c>
      <c r="GY198">
        <v>49</v>
      </c>
      <c r="GZ198">
        <v>784</v>
      </c>
      <c r="HA198">
        <v>690</v>
      </c>
      <c r="HB198">
        <v>539</v>
      </c>
      <c r="HE198">
        <v>346</v>
      </c>
      <c r="HF198">
        <v>83</v>
      </c>
      <c r="ID198">
        <v>57</v>
      </c>
      <c r="IG198">
        <v>107</v>
      </c>
      <c r="IL198">
        <v>3115</v>
      </c>
      <c r="IM198">
        <v>0</v>
      </c>
      <c r="IU198">
        <v>1</v>
      </c>
      <c r="IX198">
        <v>0</v>
      </c>
      <c r="IZ198">
        <v>18</v>
      </c>
      <c r="JS198">
        <v>3</v>
      </c>
      <c r="JW198">
        <v>166</v>
      </c>
      <c r="JX198">
        <v>41</v>
      </c>
      <c r="KC198">
        <v>0</v>
      </c>
      <c r="MQ198">
        <v>12</v>
      </c>
      <c r="MZ198">
        <v>2</v>
      </c>
      <c r="NA198">
        <v>3</v>
      </c>
      <c r="NB198">
        <v>1</v>
      </c>
      <c r="NC198">
        <v>9</v>
      </c>
      <c r="ND198">
        <v>1</v>
      </c>
      <c r="NE198">
        <v>4</v>
      </c>
      <c r="NN198">
        <v>1</v>
      </c>
      <c r="NO198">
        <v>120</v>
      </c>
      <c r="NP198">
        <v>60</v>
      </c>
      <c r="NQ198">
        <v>17</v>
      </c>
      <c r="OB198">
        <v>2</v>
      </c>
      <c r="OD198">
        <v>1</v>
      </c>
      <c r="OI198">
        <v>9</v>
      </c>
      <c r="OJ198">
        <v>64</v>
      </c>
      <c r="OK198">
        <v>6</v>
      </c>
      <c r="OO198">
        <v>8248</v>
      </c>
      <c r="OP198">
        <v>5469</v>
      </c>
      <c r="OU198">
        <v>87</v>
      </c>
      <c r="OV198">
        <v>497</v>
      </c>
      <c r="PI198">
        <v>14302</v>
      </c>
      <c r="PM198" t="str">
        <f>IFERROR(VLOOKUP($A198&amp;"",Key!$A:$C,3,FALSE),"")</f>
        <v>ISIC 10T12</v>
      </c>
    </row>
    <row r="199" spans="1:429" x14ac:dyDescent="0.25">
      <c r="A199">
        <v>311224</v>
      </c>
      <c r="B199" t="s">
        <v>334</v>
      </c>
      <c r="I199">
        <v>539</v>
      </c>
      <c r="J199">
        <v>127</v>
      </c>
      <c r="K199">
        <v>915</v>
      </c>
      <c r="L199">
        <v>66</v>
      </c>
      <c r="AP199">
        <v>26</v>
      </c>
      <c r="GI199">
        <v>2431</v>
      </c>
      <c r="GJ199">
        <v>5037</v>
      </c>
      <c r="GK199">
        <v>54</v>
      </c>
      <c r="GM199">
        <v>6101</v>
      </c>
      <c r="GN199">
        <v>3149</v>
      </c>
      <c r="GO199">
        <v>3549</v>
      </c>
      <c r="GP199">
        <v>737</v>
      </c>
      <c r="GQ199">
        <v>581</v>
      </c>
      <c r="GR199">
        <v>6</v>
      </c>
      <c r="GS199">
        <v>97</v>
      </c>
      <c r="GT199">
        <v>309</v>
      </c>
      <c r="GU199">
        <v>97</v>
      </c>
      <c r="GV199">
        <v>6</v>
      </c>
      <c r="GW199">
        <v>68</v>
      </c>
      <c r="GX199">
        <v>179</v>
      </c>
      <c r="GY199">
        <v>90</v>
      </c>
      <c r="GZ199">
        <v>628</v>
      </c>
      <c r="HA199">
        <v>235</v>
      </c>
      <c r="HB199">
        <v>3797</v>
      </c>
      <c r="HE199">
        <v>690</v>
      </c>
      <c r="HF199">
        <v>765</v>
      </c>
      <c r="HG199">
        <v>95</v>
      </c>
      <c r="HM199">
        <v>2</v>
      </c>
      <c r="HQ199">
        <v>34</v>
      </c>
      <c r="HU199">
        <v>100</v>
      </c>
      <c r="HV199">
        <v>16</v>
      </c>
      <c r="ID199">
        <v>29</v>
      </c>
      <c r="IE199">
        <v>10</v>
      </c>
      <c r="IG199">
        <v>234</v>
      </c>
      <c r="IM199">
        <v>12</v>
      </c>
      <c r="IO199">
        <v>0</v>
      </c>
      <c r="IQ199">
        <v>0</v>
      </c>
      <c r="IU199">
        <v>558</v>
      </c>
      <c r="IW199">
        <v>733</v>
      </c>
      <c r="IX199">
        <v>501</v>
      </c>
      <c r="IZ199">
        <v>265</v>
      </c>
      <c r="JQ199">
        <v>0</v>
      </c>
      <c r="JR199">
        <v>0</v>
      </c>
      <c r="JS199">
        <v>48</v>
      </c>
      <c r="JT199">
        <v>47</v>
      </c>
      <c r="JW199">
        <v>7</v>
      </c>
      <c r="JX199">
        <v>31</v>
      </c>
      <c r="KA199">
        <v>1</v>
      </c>
      <c r="KC199">
        <v>1</v>
      </c>
      <c r="KK199">
        <v>0</v>
      </c>
      <c r="MP199">
        <v>2</v>
      </c>
      <c r="MQ199">
        <v>79</v>
      </c>
      <c r="NN199">
        <v>341</v>
      </c>
      <c r="NO199">
        <v>1742</v>
      </c>
      <c r="NP199">
        <v>2291</v>
      </c>
      <c r="NQ199">
        <v>940</v>
      </c>
      <c r="OI199">
        <v>218</v>
      </c>
      <c r="OK199">
        <v>22</v>
      </c>
      <c r="OO199">
        <v>38640</v>
      </c>
      <c r="OP199">
        <v>5006</v>
      </c>
      <c r="OU199">
        <v>365</v>
      </c>
      <c r="OV199">
        <v>6629</v>
      </c>
      <c r="PI199">
        <v>50641</v>
      </c>
      <c r="PM199" t="str">
        <f>IFERROR(VLOOKUP($A199&amp;"",Key!$A:$C,3,FALSE),"")</f>
        <v>ISIC 10T12</v>
      </c>
    </row>
    <row r="200" spans="1:429" x14ac:dyDescent="0.25">
      <c r="A200">
        <v>311230</v>
      </c>
      <c r="B200" t="s">
        <v>335</v>
      </c>
      <c r="GO200">
        <v>3</v>
      </c>
      <c r="MP200">
        <v>1</v>
      </c>
      <c r="MQ200">
        <v>6</v>
      </c>
      <c r="MZ200">
        <v>2</v>
      </c>
      <c r="NA200">
        <v>3</v>
      </c>
      <c r="NB200">
        <v>2</v>
      </c>
      <c r="NC200">
        <v>17</v>
      </c>
      <c r="ND200">
        <v>12</v>
      </c>
      <c r="NE200">
        <v>0</v>
      </c>
      <c r="NN200">
        <v>0</v>
      </c>
      <c r="NO200">
        <v>6</v>
      </c>
      <c r="NP200">
        <v>7</v>
      </c>
      <c r="NQ200">
        <v>0</v>
      </c>
      <c r="OD200">
        <v>52</v>
      </c>
      <c r="OI200">
        <v>15</v>
      </c>
      <c r="OJ200">
        <v>62</v>
      </c>
      <c r="OK200">
        <v>79</v>
      </c>
      <c r="OO200">
        <v>267</v>
      </c>
      <c r="OP200">
        <v>16361</v>
      </c>
      <c r="OU200">
        <v>72</v>
      </c>
      <c r="OV200">
        <v>694</v>
      </c>
      <c r="PI200">
        <v>17395</v>
      </c>
      <c r="PM200" t="str">
        <f>IFERROR(VLOOKUP($A200&amp;"",Key!$A:$C,3,FALSE),"")</f>
        <v>ISIC 10T12</v>
      </c>
    </row>
    <row r="201" spans="1:429" x14ac:dyDescent="0.25">
      <c r="A201">
        <v>311300</v>
      </c>
      <c r="B201" t="s">
        <v>336</v>
      </c>
      <c r="I201">
        <v>184</v>
      </c>
      <c r="K201">
        <v>10</v>
      </c>
      <c r="L201">
        <v>5</v>
      </c>
      <c r="GI201">
        <v>55</v>
      </c>
      <c r="GJ201">
        <v>331</v>
      </c>
      <c r="GK201">
        <v>31</v>
      </c>
      <c r="GO201">
        <v>534</v>
      </c>
      <c r="GP201">
        <v>8146</v>
      </c>
      <c r="GQ201">
        <v>74</v>
      </c>
      <c r="GR201">
        <v>80</v>
      </c>
      <c r="GS201">
        <v>28</v>
      </c>
      <c r="GT201">
        <v>459</v>
      </c>
      <c r="GU201">
        <v>735</v>
      </c>
      <c r="GV201">
        <v>309</v>
      </c>
      <c r="GZ201">
        <v>2236</v>
      </c>
      <c r="HA201">
        <v>2082</v>
      </c>
      <c r="HB201">
        <v>76</v>
      </c>
      <c r="HD201">
        <v>239</v>
      </c>
      <c r="HE201">
        <v>291</v>
      </c>
      <c r="HF201">
        <v>322</v>
      </c>
      <c r="HG201">
        <v>498</v>
      </c>
      <c r="HH201">
        <v>0</v>
      </c>
      <c r="JW201">
        <v>37</v>
      </c>
      <c r="JX201">
        <v>53</v>
      </c>
      <c r="KA201">
        <v>4</v>
      </c>
      <c r="KC201">
        <v>0</v>
      </c>
      <c r="KG201">
        <v>6</v>
      </c>
      <c r="KK201">
        <v>0</v>
      </c>
      <c r="KS201">
        <v>15</v>
      </c>
      <c r="LW201">
        <v>3</v>
      </c>
      <c r="LZ201">
        <v>3</v>
      </c>
      <c r="MP201">
        <v>3</v>
      </c>
      <c r="MQ201">
        <v>187</v>
      </c>
      <c r="MZ201">
        <v>110</v>
      </c>
      <c r="NA201">
        <v>57</v>
      </c>
      <c r="NB201">
        <v>1</v>
      </c>
      <c r="NC201">
        <v>32</v>
      </c>
      <c r="ND201">
        <v>19</v>
      </c>
      <c r="NE201">
        <v>35</v>
      </c>
      <c r="NG201">
        <v>2</v>
      </c>
      <c r="NL201">
        <v>10</v>
      </c>
      <c r="NM201">
        <v>26</v>
      </c>
      <c r="NN201">
        <v>85</v>
      </c>
      <c r="NO201">
        <v>830</v>
      </c>
      <c r="NP201">
        <v>533</v>
      </c>
      <c r="NQ201">
        <v>169</v>
      </c>
      <c r="OB201">
        <v>18</v>
      </c>
      <c r="OD201">
        <v>131</v>
      </c>
      <c r="OH201">
        <v>6</v>
      </c>
      <c r="OI201">
        <v>145</v>
      </c>
      <c r="OJ201">
        <v>114</v>
      </c>
      <c r="OK201">
        <v>202</v>
      </c>
      <c r="OO201">
        <v>19561</v>
      </c>
      <c r="OP201">
        <v>47396</v>
      </c>
      <c r="OU201">
        <v>179</v>
      </c>
      <c r="OV201">
        <v>2919</v>
      </c>
      <c r="PI201">
        <v>70055</v>
      </c>
      <c r="PM201" t="str">
        <f>IFERROR(VLOOKUP($A201&amp;"",Key!$A:$C,3,FALSE),"")</f>
        <v>ISIC 10T12</v>
      </c>
    </row>
    <row r="202" spans="1:429" x14ac:dyDescent="0.25">
      <c r="A202">
        <v>311410</v>
      </c>
      <c r="B202" t="s">
        <v>337</v>
      </c>
      <c r="GQ202">
        <v>2289</v>
      </c>
      <c r="GR202">
        <v>740</v>
      </c>
      <c r="GT202">
        <v>4</v>
      </c>
      <c r="GZ202">
        <v>210</v>
      </c>
      <c r="HA202">
        <v>42</v>
      </c>
      <c r="HB202">
        <v>150</v>
      </c>
      <c r="HD202">
        <v>58</v>
      </c>
      <c r="HE202">
        <v>49</v>
      </c>
      <c r="HF202">
        <v>254</v>
      </c>
      <c r="JS202">
        <v>117</v>
      </c>
      <c r="JW202">
        <v>1</v>
      </c>
      <c r="JX202">
        <v>30</v>
      </c>
      <c r="KC202">
        <v>0</v>
      </c>
      <c r="KG202">
        <v>13</v>
      </c>
      <c r="LZ202">
        <v>14</v>
      </c>
      <c r="MP202">
        <v>8</v>
      </c>
      <c r="MQ202">
        <v>200</v>
      </c>
      <c r="MZ202">
        <v>162</v>
      </c>
      <c r="NA202">
        <v>365</v>
      </c>
      <c r="NB202">
        <v>60</v>
      </c>
      <c r="NC202">
        <v>82</v>
      </c>
      <c r="NE202">
        <v>43</v>
      </c>
      <c r="NK202">
        <v>20</v>
      </c>
      <c r="NL202">
        <v>3</v>
      </c>
      <c r="NM202">
        <v>30</v>
      </c>
      <c r="NN202">
        <v>25</v>
      </c>
      <c r="NO202">
        <v>741</v>
      </c>
      <c r="NP202">
        <v>757</v>
      </c>
      <c r="NQ202">
        <v>135</v>
      </c>
      <c r="NZ202">
        <v>26</v>
      </c>
      <c r="OB202">
        <v>169</v>
      </c>
      <c r="OG202">
        <v>32</v>
      </c>
      <c r="OH202">
        <v>72</v>
      </c>
      <c r="OI202">
        <v>165</v>
      </c>
      <c r="OJ202">
        <v>667</v>
      </c>
      <c r="OK202">
        <v>202</v>
      </c>
      <c r="OO202">
        <v>7936</v>
      </c>
      <c r="OP202">
        <v>49939</v>
      </c>
      <c r="OU202">
        <v>158</v>
      </c>
      <c r="OV202">
        <v>2074</v>
      </c>
      <c r="PI202">
        <v>60108</v>
      </c>
      <c r="PM202" t="str">
        <f>IFERROR(VLOOKUP($A202&amp;"",Key!$A:$C,3,FALSE),"")</f>
        <v>ISIC 10T12</v>
      </c>
    </row>
    <row r="203" spans="1:429" x14ac:dyDescent="0.25">
      <c r="A203">
        <v>311420</v>
      </c>
      <c r="B203" t="s">
        <v>338</v>
      </c>
      <c r="GO203">
        <v>254</v>
      </c>
      <c r="GP203">
        <v>73</v>
      </c>
      <c r="GQ203">
        <v>328</v>
      </c>
      <c r="GR203">
        <v>5642</v>
      </c>
      <c r="GT203">
        <v>4</v>
      </c>
      <c r="GZ203">
        <v>329</v>
      </c>
      <c r="HA203">
        <v>118</v>
      </c>
      <c r="HB203">
        <v>37</v>
      </c>
      <c r="HD203">
        <v>7</v>
      </c>
      <c r="HE203">
        <v>318</v>
      </c>
      <c r="HF203">
        <v>145</v>
      </c>
      <c r="HG203">
        <v>370</v>
      </c>
      <c r="JX203">
        <v>6</v>
      </c>
      <c r="KG203">
        <v>12</v>
      </c>
      <c r="LZ203">
        <v>10</v>
      </c>
      <c r="MF203">
        <v>1</v>
      </c>
      <c r="MP203">
        <v>204</v>
      </c>
      <c r="MQ203">
        <v>310</v>
      </c>
      <c r="MZ203">
        <v>356</v>
      </c>
      <c r="NA203">
        <v>338</v>
      </c>
      <c r="NB203">
        <v>154</v>
      </c>
      <c r="NC203">
        <v>113</v>
      </c>
      <c r="ND203">
        <v>521</v>
      </c>
      <c r="NE203">
        <v>31</v>
      </c>
      <c r="NG203">
        <v>0</v>
      </c>
      <c r="NK203">
        <v>4</v>
      </c>
      <c r="NL203">
        <v>5</v>
      </c>
      <c r="NM203">
        <v>65</v>
      </c>
      <c r="NN203">
        <v>221</v>
      </c>
      <c r="NO203">
        <v>2327</v>
      </c>
      <c r="NP203">
        <v>1790</v>
      </c>
      <c r="NQ203">
        <v>404</v>
      </c>
      <c r="NZ203">
        <v>86</v>
      </c>
      <c r="OB203">
        <v>137</v>
      </c>
      <c r="OD203">
        <v>48</v>
      </c>
      <c r="OG203">
        <v>207</v>
      </c>
      <c r="OH203">
        <v>181</v>
      </c>
      <c r="OI203">
        <v>2834</v>
      </c>
      <c r="OJ203">
        <v>2550</v>
      </c>
      <c r="OK203">
        <v>1590</v>
      </c>
      <c r="OO203">
        <v>22130</v>
      </c>
      <c r="OP203">
        <v>46064</v>
      </c>
      <c r="OU203">
        <v>341</v>
      </c>
      <c r="OV203">
        <v>4252</v>
      </c>
      <c r="PI203">
        <v>72788</v>
      </c>
      <c r="PM203" t="str">
        <f>IFERROR(VLOOKUP($A203&amp;"",Key!$A:$C,3,FALSE),"")</f>
        <v>ISIC 10T12</v>
      </c>
    </row>
    <row r="204" spans="1:429" x14ac:dyDescent="0.25">
      <c r="A204">
        <v>311513</v>
      </c>
      <c r="B204" t="s">
        <v>339</v>
      </c>
      <c r="GQ204">
        <v>2288</v>
      </c>
      <c r="GS204">
        <v>12185</v>
      </c>
      <c r="GT204">
        <v>296</v>
      </c>
      <c r="GU204">
        <v>31</v>
      </c>
      <c r="GZ204">
        <v>118</v>
      </c>
      <c r="HA204">
        <v>178</v>
      </c>
      <c r="HF204">
        <v>1</v>
      </c>
      <c r="JW204">
        <v>439</v>
      </c>
      <c r="JX204">
        <v>294</v>
      </c>
      <c r="JZ204">
        <v>7</v>
      </c>
      <c r="KA204">
        <v>699</v>
      </c>
      <c r="KC204">
        <v>121</v>
      </c>
      <c r="KD204">
        <v>11</v>
      </c>
      <c r="KG204">
        <v>54</v>
      </c>
      <c r="KK204">
        <v>1</v>
      </c>
      <c r="LZ204">
        <v>19</v>
      </c>
      <c r="MP204">
        <v>315</v>
      </c>
      <c r="MQ204">
        <v>304</v>
      </c>
      <c r="MS204">
        <v>1</v>
      </c>
      <c r="MU204">
        <v>0</v>
      </c>
      <c r="MV204">
        <v>0</v>
      </c>
      <c r="MZ204">
        <v>873</v>
      </c>
      <c r="NA204">
        <v>517</v>
      </c>
      <c r="NB204">
        <v>22</v>
      </c>
      <c r="NC204">
        <v>88</v>
      </c>
      <c r="ND204">
        <v>652</v>
      </c>
      <c r="NE204">
        <v>60</v>
      </c>
      <c r="NF204">
        <v>15</v>
      </c>
      <c r="NG204">
        <v>62</v>
      </c>
      <c r="NH204">
        <v>0</v>
      </c>
      <c r="NI204">
        <v>88</v>
      </c>
      <c r="NJ204">
        <v>25</v>
      </c>
      <c r="NK204">
        <v>253</v>
      </c>
      <c r="NL204">
        <v>41</v>
      </c>
      <c r="NM204">
        <v>279</v>
      </c>
      <c r="NN204">
        <v>415</v>
      </c>
      <c r="NO204">
        <v>2394</v>
      </c>
      <c r="NP204">
        <v>2851</v>
      </c>
      <c r="NQ204">
        <v>514</v>
      </c>
      <c r="NZ204">
        <v>9</v>
      </c>
      <c r="OB204">
        <v>93</v>
      </c>
      <c r="OD204">
        <v>539</v>
      </c>
      <c r="OH204">
        <v>94</v>
      </c>
      <c r="OI204">
        <v>431</v>
      </c>
      <c r="OJ204">
        <v>463</v>
      </c>
      <c r="OK204">
        <v>668</v>
      </c>
      <c r="OO204">
        <v>28807</v>
      </c>
      <c r="OP204">
        <v>28347</v>
      </c>
      <c r="OU204">
        <v>110</v>
      </c>
      <c r="OV204">
        <v>1845</v>
      </c>
      <c r="PI204">
        <v>59110</v>
      </c>
      <c r="PM204" t="str">
        <f>IFERROR(VLOOKUP($A204&amp;"",Key!$A:$C,3,FALSE),"")</f>
        <v>ISIC 10T12</v>
      </c>
    </row>
    <row r="205" spans="1:429" x14ac:dyDescent="0.25">
      <c r="A205">
        <v>311514</v>
      </c>
      <c r="B205" t="s">
        <v>340</v>
      </c>
      <c r="K205">
        <v>67</v>
      </c>
      <c r="L205">
        <v>4</v>
      </c>
      <c r="GI205">
        <v>109</v>
      </c>
      <c r="GJ205">
        <v>216</v>
      </c>
      <c r="GP205">
        <v>216</v>
      </c>
      <c r="GS205">
        <v>989</v>
      </c>
      <c r="GT205">
        <v>2274</v>
      </c>
      <c r="GU205">
        <v>1832</v>
      </c>
      <c r="GV205">
        <v>693</v>
      </c>
      <c r="GZ205">
        <v>263</v>
      </c>
      <c r="HA205">
        <v>318</v>
      </c>
      <c r="HE205">
        <v>63</v>
      </c>
      <c r="HF205">
        <v>64</v>
      </c>
      <c r="IO205">
        <v>9</v>
      </c>
      <c r="IP205">
        <v>26</v>
      </c>
      <c r="IQ205">
        <v>5</v>
      </c>
      <c r="IR205">
        <v>39</v>
      </c>
      <c r="JS205">
        <v>1372</v>
      </c>
      <c r="JT205">
        <v>15</v>
      </c>
      <c r="JW205">
        <v>10</v>
      </c>
      <c r="JX205">
        <v>23</v>
      </c>
      <c r="KG205">
        <v>2</v>
      </c>
      <c r="KN205">
        <v>0</v>
      </c>
      <c r="KO205">
        <v>4</v>
      </c>
      <c r="KQ205">
        <v>1</v>
      </c>
      <c r="LZ205">
        <v>4</v>
      </c>
      <c r="MP205">
        <v>120</v>
      </c>
      <c r="MQ205">
        <v>147</v>
      </c>
      <c r="MZ205">
        <v>33</v>
      </c>
      <c r="NA205">
        <v>26</v>
      </c>
      <c r="NB205">
        <v>1</v>
      </c>
      <c r="NC205">
        <v>10</v>
      </c>
      <c r="ND205">
        <v>142</v>
      </c>
      <c r="NM205">
        <v>4</v>
      </c>
      <c r="NN205">
        <v>54</v>
      </c>
      <c r="NO205">
        <v>703</v>
      </c>
      <c r="NP205">
        <v>505</v>
      </c>
      <c r="NQ205">
        <v>32</v>
      </c>
      <c r="NZ205">
        <v>5</v>
      </c>
      <c r="OB205">
        <v>11</v>
      </c>
      <c r="OH205">
        <v>2</v>
      </c>
      <c r="OI205">
        <v>1323</v>
      </c>
      <c r="OJ205">
        <v>412</v>
      </c>
      <c r="OK205">
        <v>673</v>
      </c>
      <c r="OO205">
        <v>12823</v>
      </c>
      <c r="OP205">
        <v>17285</v>
      </c>
      <c r="OU205">
        <v>143</v>
      </c>
      <c r="OV205">
        <v>3301</v>
      </c>
      <c r="PI205">
        <v>33552</v>
      </c>
      <c r="PM205" t="str">
        <f>IFERROR(VLOOKUP($A205&amp;"",Key!$A:$C,3,FALSE),"")</f>
        <v>ISIC 10T12</v>
      </c>
    </row>
    <row r="206" spans="1:429" x14ac:dyDescent="0.25">
      <c r="A206" t="s">
        <v>592</v>
      </c>
      <c r="B206" t="s">
        <v>341</v>
      </c>
      <c r="GP206">
        <v>411</v>
      </c>
      <c r="GQ206">
        <v>14</v>
      </c>
      <c r="GR206">
        <v>14</v>
      </c>
      <c r="GS206">
        <v>1207</v>
      </c>
      <c r="GT206">
        <v>1135</v>
      </c>
      <c r="GU206">
        <v>4493</v>
      </c>
      <c r="GV206">
        <v>800</v>
      </c>
      <c r="GZ206">
        <v>152</v>
      </c>
      <c r="HA206">
        <v>209</v>
      </c>
      <c r="HB206">
        <v>15</v>
      </c>
      <c r="HD206">
        <v>245</v>
      </c>
      <c r="HE206">
        <v>117</v>
      </c>
      <c r="HF206">
        <v>117</v>
      </c>
      <c r="JW206">
        <v>1</v>
      </c>
      <c r="JX206">
        <v>4</v>
      </c>
      <c r="KA206">
        <v>1</v>
      </c>
      <c r="LZ206">
        <v>1</v>
      </c>
      <c r="MP206">
        <v>168</v>
      </c>
      <c r="MQ206">
        <v>399</v>
      </c>
      <c r="MZ206">
        <v>123</v>
      </c>
      <c r="NA206">
        <v>25</v>
      </c>
      <c r="NB206">
        <v>3</v>
      </c>
      <c r="NC206">
        <v>12</v>
      </c>
      <c r="ND206">
        <v>1002</v>
      </c>
      <c r="NE206">
        <v>5</v>
      </c>
      <c r="NL206">
        <v>2</v>
      </c>
      <c r="NM206">
        <v>21</v>
      </c>
      <c r="NN206">
        <v>122</v>
      </c>
      <c r="NO206">
        <v>1393</v>
      </c>
      <c r="NP206">
        <v>1647</v>
      </c>
      <c r="NQ206">
        <v>260</v>
      </c>
      <c r="NZ206">
        <v>106</v>
      </c>
      <c r="OB206">
        <v>34</v>
      </c>
      <c r="OE206">
        <v>-5</v>
      </c>
      <c r="OG206">
        <v>3</v>
      </c>
      <c r="OH206">
        <v>8</v>
      </c>
      <c r="OI206">
        <v>2736</v>
      </c>
      <c r="OJ206">
        <v>762</v>
      </c>
      <c r="OK206">
        <v>1127</v>
      </c>
      <c r="OO206">
        <v>18887</v>
      </c>
      <c r="OP206">
        <v>40988</v>
      </c>
      <c r="OU206">
        <v>236</v>
      </c>
      <c r="OV206">
        <v>634</v>
      </c>
      <c r="PI206">
        <v>60745</v>
      </c>
      <c r="PM206" t="str">
        <f>IFERROR(VLOOKUP($A206&amp;"",Key!$A:$C,3,FALSE),"")</f>
        <v>ISIC 10T12</v>
      </c>
    </row>
    <row r="207" spans="1:429" x14ac:dyDescent="0.25">
      <c r="A207">
        <v>311520</v>
      </c>
      <c r="B207" t="s">
        <v>342</v>
      </c>
      <c r="GT207">
        <v>238</v>
      </c>
      <c r="GV207">
        <v>546</v>
      </c>
      <c r="JW207">
        <v>78</v>
      </c>
      <c r="KA207">
        <v>129</v>
      </c>
      <c r="KG207">
        <v>11</v>
      </c>
      <c r="LZ207">
        <v>13</v>
      </c>
      <c r="MP207">
        <v>61</v>
      </c>
      <c r="MQ207">
        <v>155</v>
      </c>
      <c r="MZ207">
        <v>489</v>
      </c>
      <c r="NA207">
        <v>151</v>
      </c>
      <c r="NB207">
        <v>114</v>
      </c>
      <c r="NC207">
        <v>116</v>
      </c>
      <c r="ND207">
        <v>361</v>
      </c>
      <c r="NE207">
        <v>46</v>
      </c>
      <c r="NK207">
        <v>21</v>
      </c>
      <c r="NM207">
        <v>24</v>
      </c>
      <c r="NN207">
        <v>21</v>
      </c>
      <c r="NO207">
        <v>743</v>
      </c>
      <c r="NP207">
        <v>728</v>
      </c>
      <c r="NQ207">
        <v>79</v>
      </c>
      <c r="NZ207">
        <v>8</v>
      </c>
      <c r="OB207">
        <v>19</v>
      </c>
      <c r="OG207">
        <v>2</v>
      </c>
      <c r="OH207">
        <v>21</v>
      </c>
      <c r="OI207">
        <v>723</v>
      </c>
      <c r="OJ207">
        <v>484</v>
      </c>
      <c r="OK207">
        <v>643</v>
      </c>
      <c r="OO207">
        <v>6021</v>
      </c>
      <c r="OP207">
        <v>3060</v>
      </c>
      <c r="OU207">
        <v>31</v>
      </c>
      <c r="OV207">
        <v>292</v>
      </c>
      <c r="PI207">
        <v>9405</v>
      </c>
      <c r="PM207" t="str">
        <f>IFERROR(VLOOKUP($A207&amp;"",Key!$A:$C,3,FALSE),"")</f>
        <v>ISIC 10T12</v>
      </c>
    </row>
    <row r="208" spans="1:429" x14ac:dyDescent="0.25">
      <c r="A208">
        <v>311615</v>
      </c>
      <c r="B208" t="s">
        <v>343</v>
      </c>
      <c r="GI208">
        <v>6</v>
      </c>
      <c r="GQ208">
        <v>2118</v>
      </c>
      <c r="GR208">
        <v>103</v>
      </c>
      <c r="GW208">
        <v>10748</v>
      </c>
      <c r="GX208">
        <v>1522</v>
      </c>
      <c r="HF208">
        <v>144</v>
      </c>
      <c r="JS208">
        <v>25</v>
      </c>
      <c r="JW208">
        <v>4</v>
      </c>
      <c r="KA208">
        <v>1</v>
      </c>
      <c r="KC208">
        <v>0</v>
      </c>
      <c r="KG208">
        <v>26</v>
      </c>
      <c r="KK208">
        <v>0</v>
      </c>
      <c r="LZ208">
        <v>34</v>
      </c>
      <c r="MP208">
        <v>147</v>
      </c>
      <c r="MQ208">
        <v>50</v>
      </c>
      <c r="MZ208">
        <v>572</v>
      </c>
      <c r="NA208">
        <v>592</v>
      </c>
      <c r="NB208">
        <v>182</v>
      </c>
      <c r="NC208">
        <v>437</v>
      </c>
      <c r="ND208">
        <v>5</v>
      </c>
      <c r="NE208">
        <v>3147</v>
      </c>
      <c r="NJ208">
        <v>2</v>
      </c>
      <c r="NK208">
        <v>73</v>
      </c>
      <c r="NL208">
        <v>9</v>
      </c>
      <c r="NM208">
        <v>95</v>
      </c>
      <c r="NN208">
        <v>488</v>
      </c>
      <c r="NO208">
        <v>3768</v>
      </c>
      <c r="NP208">
        <v>3379</v>
      </c>
      <c r="NQ208">
        <v>282</v>
      </c>
      <c r="OB208">
        <v>63</v>
      </c>
      <c r="OD208">
        <v>885</v>
      </c>
      <c r="OH208">
        <v>35</v>
      </c>
      <c r="OI208">
        <v>248</v>
      </c>
      <c r="OJ208">
        <v>899</v>
      </c>
      <c r="OK208">
        <v>792</v>
      </c>
      <c r="OO208">
        <v>30882</v>
      </c>
      <c r="OP208">
        <v>57025</v>
      </c>
      <c r="OU208">
        <v>269</v>
      </c>
      <c r="OV208">
        <v>3800</v>
      </c>
      <c r="PI208">
        <v>91976</v>
      </c>
      <c r="PM208" t="str">
        <f>IFERROR(VLOOKUP($A208&amp;"",Key!$A:$C,3,FALSE),"")</f>
        <v>ISIC 10T12</v>
      </c>
    </row>
    <row r="209" spans="1:429" x14ac:dyDescent="0.25">
      <c r="A209" t="s">
        <v>593</v>
      </c>
      <c r="B209" t="s">
        <v>344</v>
      </c>
      <c r="I209">
        <v>0</v>
      </c>
      <c r="K209">
        <v>41</v>
      </c>
      <c r="L209">
        <v>2</v>
      </c>
      <c r="O209">
        <v>1</v>
      </c>
      <c r="BC209">
        <v>7</v>
      </c>
      <c r="GH209">
        <v>6</v>
      </c>
      <c r="GI209">
        <v>3101</v>
      </c>
      <c r="GJ209">
        <v>819</v>
      </c>
      <c r="GK209">
        <v>19</v>
      </c>
      <c r="GM209">
        <v>80</v>
      </c>
      <c r="GO209">
        <v>8</v>
      </c>
      <c r="GP209">
        <v>122</v>
      </c>
      <c r="GQ209">
        <v>1230</v>
      </c>
      <c r="GR209">
        <v>644</v>
      </c>
      <c r="GS209">
        <v>27</v>
      </c>
      <c r="GT209">
        <v>83</v>
      </c>
      <c r="GU209">
        <v>26</v>
      </c>
      <c r="GV209">
        <v>3</v>
      </c>
      <c r="GW209">
        <v>1582</v>
      </c>
      <c r="GX209">
        <v>25616</v>
      </c>
      <c r="GY209">
        <v>32</v>
      </c>
      <c r="GZ209">
        <v>232</v>
      </c>
      <c r="HA209">
        <v>229</v>
      </c>
      <c r="HB209">
        <v>227</v>
      </c>
      <c r="HE209">
        <v>162</v>
      </c>
      <c r="HF209">
        <v>206</v>
      </c>
      <c r="HS209">
        <v>232</v>
      </c>
      <c r="ID209">
        <v>5</v>
      </c>
      <c r="IG209">
        <v>71</v>
      </c>
      <c r="IO209">
        <v>27</v>
      </c>
      <c r="IP209">
        <v>97</v>
      </c>
      <c r="IQ209">
        <v>42</v>
      </c>
      <c r="IR209">
        <v>374</v>
      </c>
      <c r="IW209">
        <v>96</v>
      </c>
      <c r="IX209">
        <v>99</v>
      </c>
      <c r="JQ209">
        <v>95</v>
      </c>
      <c r="JS209">
        <v>25</v>
      </c>
      <c r="JT209">
        <v>6</v>
      </c>
      <c r="JW209">
        <v>274</v>
      </c>
      <c r="JX209">
        <v>162</v>
      </c>
      <c r="JZ209">
        <v>4</v>
      </c>
      <c r="KA209">
        <v>441</v>
      </c>
      <c r="KC209">
        <v>76</v>
      </c>
      <c r="KD209">
        <v>7</v>
      </c>
      <c r="KG209">
        <v>53</v>
      </c>
      <c r="KK209">
        <v>2</v>
      </c>
      <c r="LZ209">
        <v>767</v>
      </c>
      <c r="MD209">
        <v>5</v>
      </c>
      <c r="MF209">
        <v>80</v>
      </c>
      <c r="MP209">
        <v>251</v>
      </c>
      <c r="MQ209">
        <v>1399</v>
      </c>
      <c r="MS209">
        <v>0</v>
      </c>
      <c r="MU209">
        <v>0</v>
      </c>
      <c r="MZ209">
        <v>2532</v>
      </c>
      <c r="NA209">
        <v>1901</v>
      </c>
      <c r="NB209">
        <v>714</v>
      </c>
      <c r="NC209">
        <v>2056</v>
      </c>
      <c r="ND209">
        <v>939</v>
      </c>
      <c r="NE209">
        <v>1817</v>
      </c>
      <c r="NF209">
        <v>9</v>
      </c>
      <c r="NG209">
        <v>48</v>
      </c>
      <c r="NI209">
        <v>69</v>
      </c>
      <c r="NJ209">
        <v>25</v>
      </c>
      <c r="NK209">
        <v>421</v>
      </c>
      <c r="NL209">
        <v>76</v>
      </c>
      <c r="NM209">
        <v>387</v>
      </c>
      <c r="NN209">
        <v>1555</v>
      </c>
      <c r="NO209">
        <v>5691</v>
      </c>
      <c r="NP209">
        <v>6547</v>
      </c>
      <c r="NQ209">
        <v>304</v>
      </c>
      <c r="NY209">
        <v>6</v>
      </c>
      <c r="NZ209">
        <v>110</v>
      </c>
      <c r="OB209">
        <v>165</v>
      </c>
      <c r="OD209">
        <v>1926</v>
      </c>
      <c r="OG209">
        <v>51</v>
      </c>
      <c r="OH209">
        <v>190</v>
      </c>
      <c r="OI209">
        <v>5107</v>
      </c>
      <c r="OJ209">
        <v>4254</v>
      </c>
      <c r="OK209">
        <v>4168</v>
      </c>
      <c r="OO209">
        <v>80262</v>
      </c>
      <c r="OP209">
        <v>118397</v>
      </c>
      <c r="OU209">
        <v>688</v>
      </c>
      <c r="OV209">
        <v>17501</v>
      </c>
      <c r="PI209">
        <v>216847</v>
      </c>
      <c r="PM209" t="str">
        <f>IFERROR(VLOOKUP($A209&amp;"",Key!$A:$C,3,FALSE),"")</f>
        <v>ISIC 10T12</v>
      </c>
    </row>
    <row r="210" spans="1:429" x14ac:dyDescent="0.25">
      <c r="A210">
        <v>311700</v>
      </c>
      <c r="B210" t="s">
        <v>345</v>
      </c>
      <c r="GI210">
        <v>214</v>
      </c>
      <c r="GJ210">
        <v>276</v>
      </c>
      <c r="GQ210">
        <v>64</v>
      </c>
      <c r="GY210">
        <v>2073</v>
      </c>
      <c r="JW210">
        <v>1</v>
      </c>
      <c r="KA210">
        <v>2</v>
      </c>
      <c r="KG210">
        <v>24</v>
      </c>
      <c r="KK210">
        <v>1</v>
      </c>
      <c r="LZ210">
        <v>28</v>
      </c>
      <c r="MP210">
        <v>136</v>
      </c>
      <c r="MQ210">
        <v>492</v>
      </c>
      <c r="MZ210">
        <v>834</v>
      </c>
      <c r="NA210">
        <v>253</v>
      </c>
      <c r="NB210">
        <v>192</v>
      </c>
      <c r="NC210">
        <v>59</v>
      </c>
      <c r="NE210">
        <v>160</v>
      </c>
      <c r="NJ210">
        <v>11</v>
      </c>
      <c r="NK210">
        <v>53</v>
      </c>
      <c r="NL210">
        <v>34</v>
      </c>
      <c r="NM210">
        <v>167</v>
      </c>
      <c r="NN210">
        <v>445</v>
      </c>
      <c r="NO210">
        <v>2051</v>
      </c>
      <c r="NP210">
        <v>2447</v>
      </c>
      <c r="NQ210">
        <v>269</v>
      </c>
      <c r="OB210">
        <v>57</v>
      </c>
      <c r="OD210">
        <v>268</v>
      </c>
      <c r="OH210">
        <v>27</v>
      </c>
      <c r="OI210">
        <v>1104</v>
      </c>
      <c r="OJ210">
        <v>1174</v>
      </c>
      <c r="OK210">
        <v>683</v>
      </c>
      <c r="OO210">
        <v>13599</v>
      </c>
      <c r="OP210">
        <v>10481</v>
      </c>
      <c r="OU210">
        <v>-28</v>
      </c>
      <c r="OV210">
        <v>398</v>
      </c>
      <c r="PI210">
        <v>24450</v>
      </c>
      <c r="PM210" t="str">
        <f>IFERROR(VLOOKUP($A210&amp;"",Key!$A:$C,3,FALSE),"")</f>
        <v>ISIC 10T12</v>
      </c>
    </row>
    <row r="211" spans="1:429" x14ac:dyDescent="0.25">
      <c r="A211">
        <v>311810</v>
      </c>
      <c r="B211" t="s">
        <v>346</v>
      </c>
      <c r="GZ211">
        <v>243</v>
      </c>
      <c r="JW211">
        <v>80</v>
      </c>
      <c r="JX211">
        <v>46</v>
      </c>
      <c r="JZ211">
        <v>1</v>
      </c>
      <c r="KA211">
        <v>129</v>
      </c>
      <c r="KC211">
        <v>22</v>
      </c>
      <c r="KD211">
        <v>2</v>
      </c>
      <c r="KE211">
        <v>16</v>
      </c>
      <c r="KG211">
        <v>43</v>
      </c>
      <c r="KH211">
        <v>2</v>
      </c>
      <c r="KK211">
        <v>1</v>
      </c>
      <c r="MP211">
        <v>48</v>
      </c>
      <c r="MQ211">
        <v>1082</v>
      </c>
      <c r="MS211">
        <v>0</v>
      </c>
      <c r="MZ211">
        <v>30</v>
      </c>
      <c r="NA211">
        <v>84</v>
      </c>
      <c r="NB211">
        <v>97</v>
      </c>
      <c r="NC211">
        <v>669</v>
      </c>
      <c r="ND211">
        <v>332</v>
      </c>
      <c r="NE211">
        <v>284</v>
      </c>
      <c r="NF211">
        <v>3</v>
      </c>
      <c r="NG211">
        <v>13</v>
      </c>
      <c r="NI211">
        <v>16</v>
      </c>
      <c r="NJ211">
        <v>5</v>
      </c>
      <c r="NK211">
        <v>35</v>
      </c>
      <c r="NL211">
        <v>46</v>
      </c>
      <c r="NM211">
        <v>96</v>
      </c>
      <c r="NN211">
        <v>544</v>
      </c>
      <c r="NO211">
        <v>2965</v>
      </c>
      <c r="NP211">
        <v>2630</v>
      </c>
      <c r="NQ211">
        <v>77</v>
      </c>
      <c r="NZ211">
        <v>52</v>
      </c>
      <c r="OA211">
        <v>11</v>
      </c>
      <c r="OB211">
        <v>200</v>
      </c>
      <c r="OD211">
        <v>236</v>
      </c>
      <c r="OG211">
        <v>2</v>
      </c>
      <c r="OH211">
        <v>18</v>
      </c>
      <c r="OI211">
        <v>1898</v>
      </c>
      <c r="OJ211">
        <v>863</v>
      </c>
      <c r="OK211">
        <v>1046</v>
      </c>
      <c r="OO211">
        <v>13967</v>
      </c>
      <c r="OP211">
        <v>79279</v>
      </c>
      <c r="OU211">
        <v>413</v>
      </c>
      <c r="OV211">
        <v>1764</v>
      </c>
      <c r="PI211">
        <v>95423</v>
      </c>
      <c r="PM211" t="str">
        <f>IFERROR(VLOOKUP($A211&amp;"",Key!$A:$C,3,FALSE),"")</f>
        <v>ISIC 10T12</v>
      </c>
    </row>
    <row r="212" spans="1:429" x14ac:dyDescent="0.25">
      <c r="A212" t="s">
        <v>594</v>
      </c>
      <c r="B212" t="s">
        <v>347</v>
      </c>
      <c r="GO212">
        <v>4</v>
      </c>
      <c r="GR212">
        <v>12</v>
      </c>
      <c r="GV212">
        <v>33</v>
      </c>
      <c r="GZ212">
        <v>391</v>
      </c>
      <c r="HA212">
        <v>237</v>
      </c>
      <c r="HB212">
        <v>93</v>
      </c>
      <c r="HD212">
        <v>22</v>
      </c>
      <c r="HF212">
        <v>3</v>
      </c>
      <c r="JW212">
        <v>130</v>
      </c>
      <c r="JX212">
        <v>33</v>
      </c>
      <c r="KC212">
        <v>0</v>
      </c>
      <c r="KG212">
        <v>1</v>
      </c>
      <c r="LZ212">
        <v>10</v>
      </c>
      <c r="MQ212">
        <v>86</v>
      </c>
      <c r="MZ212">
        <v>37</v>
      </c>
      <c r="NA212">
        <v>124</v>
      </c>
      <c r="NB212">
        <v>18</v>
      </c>
      <c r="NC212">
        <v>176</v>
      </c>
      <c r="ND212">
        <v>78</v>
      </c>
      <c r="NE212">
        <v>93</v>
      </c>
      <c r="NL212">
        <v>4</v>
      </c>
      <c r="NM212">
        <v>5</v>
      </c>
      <c r="NN212">
        <v>37</v>
      </c>
      <c r="NO212">
        <v>410</v>
      </c>
      <c r="NP212">
        <v>532</v>
      </c>
      <c r="NQ212">
        <v>14</v>
      </c>
      <c r="NZ212">
        <v>2</v>
      </c>
      <c r="OB212">
        <v>12</v>
      </c>
      <c r="OD212">
        <v>8</v>
      </c>
      <c r="OG212">
        <v>2</v>
      </c>
      <c r="OH212">
        <v>2</v>
      </c>
      <c r="OI212">
        <v>76</v>
      </c>
      <c r="OJ212">
        <v>116</v>
      </c>
      <c r="OK212">
        <v>179</v>
      </c>
      <c r="OO212">
        <v>2980</v>
      </c>
      <c r="OP212">
        <v>38417</v>
      </c>
      <c r="OU212">
        <v>182</v>
      </c>
      <c r="OV212">
        <v>596</v>
      </c>
      <c r="PI212">
        <v>42175</v>
      </c>
      <c r="PM212" t="str">
        <f>IFERROR(VLOOKUP($A212&amp;"",Key!$A:$C,3,FALSE),"")</f>
        <v>ISIC 10T12</v>
      </c>
    </row>
    <row r="213" spans="1:429" x14ac:dyDescent="0.25">
      <c r="A213">
        <v>311910</v>
      </c>
      <c r="B213" t="s">
        <v>348</v>
      </c>
      <c r="GO213">
        <v>114</v>
      </c>
      <c r="GP213">
        <v>1228</v>
      </c>
      <c r="GV213">
        <v>1</v>
      </c>
      <c r="GZ213">
        <v>1</v>
      </c>
      <c r="HA213">
        <v>148</v>
      </c>
      <c r="HB213">
        <v>298</v>
      </c>
      <c r="JW213">
        <v>170</v>
      </c>
      <c r="JX213">
        <v>97</v>
      </c>
      <c r="JZ213">
        <v>3</v>
      </c>
      <c r="KA213">
        <v>275</v>
      </c>
      <c r="KC213">
        <v>48</v>
      </c>
      <c r="KD213">
        <v>4</v>
      </c>
      <c r="KF213">
        <v>2</v>
      </c>
      <c r="KG213">
        <v>22</v>
      </c>
      <c r="LZ213">
        <v>83</v>
      </c>
      <c r="MF213">
        <v>12</v>
      </c>
      <c r="MQ213">
        <v>282</v>
      </c>
      <c r="MS213">
        <v>0</v>
      </c>
      <c r="MU213">
        <v>0</v>
      </c>
      <c r="MZ213">
        <v>61</v>
      </c>
      <c r="NA213">
        <v>15</v>
      </c>
      <c r="NB213">
        <v>5</v>
      </c>
      <c r="NC213">
        <v>12</v>
      </c>
      <c r="NF213">
        <v>6</v>
      </c>
      <c r="NG213">
        <v>26</v>
      </c>
      <c r="NI213">
        <v>39</v>
      </c>
      <c r="NJ213">
        <v>10</v>
      </c>
      <c r="NK213">
        <v>75</v>
      </c>
      <c r="NL213">
        <v>43</v>
      </c>
      <c r="NM213">
        <v>123</v>
      </c>
      <c r="NN213">
        <v>212</v>
      </c>
      <c r="NO213">
        <v>2496</v>
      </c>
      <c r="NP213">
        <v>3530</v>
      </c>
      <c r="NQ213">
        <v>188</v>
      </c>
      <c r="OB213">
        <v>103</v>
      </c>
      <c r="OD213">
        <v>104</v>
      </c>
      <c r="OH213">
        <v>22</v>
      </c>
      <c r="OI213">
        <v>178</v>
      </c>
      <c r="OJ213">
        <v>92</v>
      </c>
      <c r="OK213">
        <v>321</v>
      </c>
      <c r="OO213">
        <v>10450</v>
      </c>
      <c r="OP213">
        <v>49024</v>
      </c>
      <c r="OU213">
        <v>489</v>
      </c>
      <c r="OV213">
        <v>5826</v>
      </c>
      <c r="PI213">
        <v>65789</v>
      </c>
      <c r="PM213" t="str">
        <f>IFERROR(VLOOKUP($A213&amp;"",Key!$A:$C,3,FALSE),"")</f>
        <v>ISIC 10T12</v>
      </c>
    </row>
    <row r="214" spans="1:429" x14ac:dyDescent="0.25">
      <c r="A214">
        <v>311920</v>
      </c>
      <c r="B214" t="s">
        <v>349</v>
      </c>
      <c r="GR214">
        <v>522</v>
      </c>
      <c r="GZ214">
        <v>14</v>
      </c>
      <c r="HC214">
        <v>9</v>
      </c>
      <c r="JW214">
        <v>49</v>
      </c>
      <c r="JX214">
        <v>28</v>
      </c>
      <c r="JZ214">
        <v>1</v>
      </c>
      <c r="KA214">
        <v>79</v>
      </c>
      <c r="KC214">
        <v>14</v>
      </c>
      <c r="KD214">
        <v>1</v>
      </c>
      <c r="KE214">
        <v>181</v>
      </c>
      <c r="KG214">
        <v>129</v>
      </c>
      <c r="KH214">
        <v>17</v>
      </c>
      <c r="KK214">
        <v>1</v>
      </c>
      <c r="KS214">
        <v>1</v>
      </c>
      <c r="MQ214">
        <v>252</v>
      </c>
      <c r="MS214">
        <v>0</v>
      </c>
      <c r="MU214">
        <v>0</v>
      </c>
      <c r="MZ214">
        <v>585</v>
      </c>
      <c r="NA214">
        <v>1</v>
      </c>
      <c r="NB214">
        <v>1</v>
      </c>
      <c r="NC214">
        <v>415</v>
      </c>
      <c r="NE214">
        <v>245</v>
      </c>
      <c r="NF214">
        <v>2</v>
      </c>
      <c r="NG214">
        <v>7</v>
      </c>
      <c r="NI214">
        <v>10</v>
      </c>
      <c r="NJ214">
        <v>3</v>
      </c>
      <c r="NK214">
        <v>21</v>
      </c>
      <c r="NL214">
        <v>21</v>
      </c>
      <c r="NM214">
        <v>110</v>
      </c>
      <c r="NN214">
        <v>355</v>
      </c>
      <c r="NO214">
        <v>305</v>
      </c>
      <c r="NP214">
        <v>447</v>
      </c>
      <c r="NQ214">
        <v>45</v>
      </c>
      <c r="NZ214">
        <v>37</v>
      </c>
      <c r="OA214">
        <v>48</v>
      </c>
      <c r="OB214">
        <v>96</v>
      </c>
      <c r="OH214">
        <v>20</v>
      </c>
      <c r="OI214">
        <v>192</v>
      </c>
      <c r="OJ214">
        <v>3041</v>
      </c>
      <c r="OK214">
        <v>921</v>
      </c>
      <c r="OO214">
        <v>8222</v>
      </c>
      <c r="OP214">
        <v>13961</v>
      </c>
      <c r="OU214">
        <v>58</v>
      </c>
      <c r="OV214">
        <v>1262</v>
      </c>
      <c r="PI214">
        <v>23502</v>
      </c>
      <c r="PM214" t="str">
        <f>IFERROR(VLOOKUP($A214&amp;"",Key!$A:$C,3,FALSE),"")</f>
        <v>ISIC 10T12</v>
      </c>
    </row>
    <row r="215" spans="1:429" x14ac:dyDescent="0.25">
      <c r="A215">
        <v>311930</v>
      </c>
      <c r="B215" t="s">
        <v>350</v>
      </c>
      <c r="GO215">
        <v>2</v>
      </c>
      <c r="GR215">
        <v>1498</v>
      </c>
      <c r="GS215">
        <v>244</v>
      </c>
      <c r="GT215">
        <v>175</v>
      </c>
      <c r="GU215">
        <v>404</v>
      </c>
      <c r="GV215">
        <v>40</v>
      </c>
      <c r="HB215">
        <v>3</v>
      </c>
      <c r="HD215">
        <v>921</v>
      </c>
      <c r="HE215">
        <v>63</v>
      </c>
      <c r="HF215">
        <v>27</v>
      </c>
      <c r="HG215">
        <v>6209</v>
      </c>
      <c r="HJ215">
        <v>0</v>
      </c>
      <c r="JW215">
        <v>14</v>
      </c>
      <c r="KA215">
        <v>24</v>
      </c>
      <c r="KG215">
        <v>40</v>
      </c>
      <c r="KI215">
        <v>0</v>
      </c>
      <c r="KS215">
        <v>8</v>
      </c>
      <c r="LZ215">
        <v>391</v>
      </c>
      <c r="MQ215">
        <v>7</v>
      </c>
      <c r="MZ215">
        <v>11</v>
      </c>
      <c r="NG215">
        <v>7</v>
      </c>
      <c r="NI215">
        <v>26</v>
      </c>
      <c r="NM215">
        <v>39</v>
      </c>
      <c r="NN215">
        <v>967</v>
      </c>
      <c r="NO215">
        <v>1740</v>
      </c>
      <c r="NP215">
        <v>2423</v>
      </c>
      <c r="NQ215">
        <v>122</v>
      </c>
      <c r="NZ215">
        <v>32</v>
      </c>
      <c r="OB215">
        <v>40</v>
      </c>
      <c r="OH215">
        <v>10</v>
      </c>
      <c r="OI215">
        <v>51</v>
      </c>
      <c r="OJ215">
        <v>88</v>
      </c>
      <c r="OK215">
        <v>79</v>
      </c>
      <c r="OO215">
        <v>15703</v>
      </c>
      <c r="OP215">
        <v>1000</v>
      </c>
      <c r="OU215">
        <v>130</v>
      </c>
      <c r="OV215">
        <v>544</v>
      </c>
      <c r="PI215">
        <v>17377</v>
      </c>
      <c r="PM215" t="str">
        <f>IFERROR(VLOOKUP($A215&amp;"",Key!$A:$C,3,FALSE),"")</f>
        <v>ISIC 10T12</v>
      </c>
    </row>
    <row r="216" spans="1:429" x14ac:dyDescent="0.25">
      <c r="A216">
        <v>311940</v>
      </c>
      <c r="B216" t="s">
        <v>351</v>
      </c>
      <c r="GI216">
        <v>47</v>
      </c>
      <c r="GJ216">
        <v>181</v>
      </c>
      <c r="GO216">
        <v>1</v>
      </c>
      <c r="GR216">
        <v>1983</v>
      </c>
      <c r="GS216">
        <v>80</v>
      </c>
      <c r="GT216">
        <v>61</v>
      </c>
      <c r="GU216">
        <v>135</v>
      </c>
      <c r="GV216">
        <v>14</v>
      </c>
      <c r="GW216">
        <v>40</v>
      </c>
      <c r="GX216">
        <v>718</v>
      </c>
      <c r="HB216">
        <v>1</v>
      </c>
      <c r="HD216">
        <v>35</v>
      </c>
      <c r="HE216">
        <v>576</v>
      </c>
      <c r="HF216">
        <v>99</v>
      </c>
      <c r="HJ216">
        <v>0</v>
      </c>
      <c r="JT216">
        <v>12</v>
      </c>
      <c r="JW216">
        <v>9</v>
      </c>
      <c r="KA216">
        <v>14</v>
      </c>
      <c r="KG216">
        <v>14</v>
      </c>
      <c r="KK216">
        <v>2</v>
      </c>
      <c r="LZ216">
        <v>11</v>
      </c>
      <c r="MQ216">
        <v>311</v>
      </c>
      <c r="MX216">
        <v>3</v>
      </c>
      <c r="MZ216">
        <v>404</v>
      </c>
      <c r="NA216">
        <v>246</v>
      </c>
      <c r="NB216">
        <v>16</v>
      </c>
      <c r="NC216">
        <v>251</v>
      </c>
      <c r="NE216">
        <v>69</v>
      </c>
      <c r="NG216">
        <v>1</v>
      </c>
      <c r="NI216">
        <v>4</v>
      </c>
      <c r="NK216">
        <v>2</v>
      </c>
      <c r="NL216">
        <v>52</v>
      </c>
      <c r="NM216">
        <v>33</v>
      </c>
      <c r="NN216">
        <v>411</v>
      </c>
      <c r="NO216">
        <v>1458</v>
      </c>
      <c r="NP216">
        <v>1961</v>
      </c>
      <c r="NQ216">
        <v>75</v>
      </c>
      <c r="NZ216">
        <v>1</v>
      </c>
      <c r="OB216">
        <v>181</v>
      </c>
      <c r="OD216">
        <v>27</v>
      </c>
      <c r="OE216">
        <v>41</v>
      </c>
      <c r="OG216">
        <v>3</v>
      </c>
      <c r="OH216">
        <v>41</v>
      </c>
      <c r="OI216">
        <v>930</v>
      </c>
      <c r="OJ216">
        <v>637</v>
      </c>
      <c r="OK216">
        <v>811</v>
      </c>
      <c r="OO216">
        <v>12003</v>
      </c>
      <c r="OP216">
        <v>24121</v>
      </c>
      <c r="OU216">
        <v>114</v>
      </c>
      <c r="OV216">
        <v>1652</v>
      </c>
      <c r="PI216">
        <v>37890</v>
      </c>
      <c r="PM216" t="str">
        <f>IFERROR(VLOOKUP($A216&amp;"",Key!$A:$C,3,FALSE),"")</f>
        <v>ISIC 10T12</v>
      </c>
    </row>
    <row r="217" spans="1:429" x14ac:dyDescent="0.25">
      <c r="A217">
        <v>311990</v>
      </c>
      <c r="B217" t="s">
        <v>352</v>
      </c>
      <c r="GK217">
        <v>10</v>
      </c>
      <c r="GO217">
        <v>3</v>
      </c>
      <c r="GP217">
        <v>96</v>
      </c>
      <c r="GR217">
        <v>1237</v>
      </c>
      <c r="GS217">
        <v>62</v>
      </c>
      <c r="GT217">
        <v>44</v>
      </c>
      <c r="GU217">
        <v>103</v>
      </c>
      <c r="GV217">
        <v>10</v>
      </c>
      <c r="GZ217">
        <v>2438</v>
      </c>
      <c r="HA217">
        <v>317</v>
      </c>
      <c r="HB217">
        <v>7</v>
      </c>
      <c r="HD217">
        <v>65</v>
      </c>
      <c r="HE217">
        <v>28</v>
      </c>
      <c r="HF217">
        <v>1122</v>
      </c>
      <c r="HG217">
        <v>15</v>
      </c>
      <c r="HJ217">
        <v>0</v>
      </c>
      <c r="IO217">
        <v>2</v>
      </c>
      <c r="IP217">
        <v>5</v>
      </c>
      <c r="IQ217">
        <v>1</v>
      </c>
      <c r="IR217">
        <v>7</v>
      </c>
      <c r="JW217">
        <v>36</v>
      </c>
      <c r="JX217">
        <v>33</v>
      </c>
      <c r="KC217">
        <v>0</v>
      </c>
      <c r="KG217">
        <v>14</v>
      </c>
      <c r="LZ217">
        <v>62</v>
      </c>
      <c r="MF217">
        <v>3</v>
      </c>
      <c r="MQ217">
        <v>235</v>
      </c>
      <c r="MZ217">
        <v>166</v>
      </c>
      <c r="NA217">
        <v>229</v>
      </c>
      <c r="NB217">
        <v>40</v>
      </c>
      <c r="NC217">
        <v>167</v>
      </c>
      <c r="ND217">
        <v>92</v>
      </c>
      <c r="NE217">
        <v>59</v>
      </c>
      <c r="NG217">
        <v>716</v>
      </c>
      <c r="NK217">
        <v>263</v>
      </c>
      <c r="NL217">
        <v>2</v>
      </c>
      <c r="NM217">
        <v>1528</v>
      </c>
      <c r="NN217">
        <v>32</v>
      </c>
      <c r="NO217">
        <v>328</v>
      </c>
      <c r="NP217">
        <v>392</v>
      </c>
      <c r="NQ217">
        <v>23</v>
      </c>
      <c r="NZ217">
        <v>1</v>
      </c>
      <c r="OB217">
        <v>5</v>
      </c>
      <c r="OD217">
        <v>130</v>
      </c>
      <c r="OG217">
        <v>9</v>
      </c>
      <c r="OH217">
        <v>23</v>
      </c>
      <c r="OI217">
        <v>416</v>
      </c>
      <c r="OJ217">
        <v>133</v>
      </c>
      <c r="OK217">
        <v>126</v>
      </c>
      <c r="OO217">
        <v>10834</v>
      </c>
      <c r="OP217">
        <v>40848</v>
      </c>
      <c r="OU217">
        <v>311</v>
      </c>
      <c r="OV217">
        <v>5054</v>
      </c>
      <c r="PI217">
        <v>57047</v>
      </c>
      <c r="PM217" t="str">
        <f>IFERROR(VLOOKUP($A217&amp;"",Key!$A:$C,3,FALSE),"")</f>
        <v>ISIC 10T12</v>
      </c>
    </row>
    <row r="218" spans="1:429" x14ac:dyDescent="0.25">
      <c r="A218">
        <v>312110</v>
      </c>
      <c r="B218" t="s">
        <v>353</v>
      </c>
      <c r="HG218">
        <v>13</v>
      </c>
      <c r="JW218">
        <v>61</v>
      </c>
      <c r="JX218">
        <v>34</v>
      </c>
      <c r="JZ218">
        <v>1</v>
      </c>
      <c r="KA218">
        <v>97</v>
      </c>
      <c r="KC218">
        <v>17</v>
      </c>
      <c r="KD218">
        <v>1</v>
      </c>
      <c r="KE218">
        <v>1</v>
      </c>
      <c r="KG218">
        <v>4</v>
      </c>
      <c r="KK218">
        <v>1</v>
      </c>
      <c r="LZ218">
        <v>38</v>
      </c>
      <c r="MF218">
        <v>18</v>
      </c>
      <c r="MP218">
        <v>8</v>
      </c>
      <c r="MQ218">
        <v>20</v>
      </c>
      <c r="MR218">
        <v>0</v>
      </c>
      <c r="MS218">
        <v>0</v>
      </c>
      <c r="MZ218">
        <v>337</v>
      </c>
      <c r="NA218">
        <v>86</v>
      </c>
      <c r="NB218">
        <v>25</v>
      </c>
      <c r="NC218">
        <v>43</v>
      </c>
      <c r="NE218">
        <v>35</v>
      </c>
      <c r="NF218">
        <v>3</v>
      </c>
      <c r="NG218">
        <v>9</v>
      </c>
      <c r="NI218">
        <v>15</v>
      </c>
      <c r="NJ218">
        <v>3</v>
      </c>
      <c r="NK218">
        <v>614</v>
      </c>
      <c r="NL218">
        <v>61</v>
      </c>
      <c r="NM218">
        <v>105</v>
      </c>
      <c r="NN218">
        <v>541</v>
      </c>
      <c r="NO218">
        <v>1963</v>
      </c>
      <c r="NP218">
        <v>1838</v>
      </c>
      <c r="NQ218">
        <v>121</v>
      </c>
      <c r="NZ218">
        <v>4</v>
      </c>
      <c r="OA218">
        <v>1</v>
      </c>
      <c r="OB218">
        <v>58</v>
      </c>
      <c r="OD218">
        <v>85</v>
      </c>
      <c r="OG218">
        <v>9</v>
      </c>
      <c r="OH218">
        <v>19</v>
      </c>
      <c r="OI218">
        <v>191</v>
      </c>
      <c r="OJ218">
        <v>370</v>
      </c>
      <c r="OK218">
        <v>87</v>
      </c>
      <c r="OO218">
        <v>6938</v>
      </c>
      <c r="OP218">
        <v>75414</v>
      </c>
      <c r="OU218">
        <v>486</v>
      </c>
      <c r="OV218">
        <v>1477</v>
      </c>
      <c r="PI218">
        <v>84314</v>
      </c>
      <c r="PM218" t="str">
        <f>IFERROR(VLOOKUP($A218&amp;"",Key!$A:$C,3,FALSE),"")</f>
        <v>ISIC 10T12</v>
      </c>
    </row>
    <row r="219" spans="1:429" x14ac:dyDescent="0.25">
      <c r="A219">
        <v>312120</v>
      </c>
      <c r="B219" t="s">
        <v>354</v>
      </c>
      <c r="I219">
        <v>44</v>
      </c>
      <c r="K219">
        <v>23</v>
      </c>
      <c r="L219">
        <v>2</v>
      </c>
      <c r="GI219">
        <v>149</v>
      </c>
      <c r="GV219">
        <v>3</v>
      </c>
      <c r="HH219">
        <v>2975</v>
      </c>
      <c r="JV219">
        <v>1</v>
      </c>
      <c r="JW219">
        <v>2</v>
      </c>
      <c r="KC219">
        <v>4</v>
      </c>
      <c r="KD219">
        <v>7</v>
      </c>
      <c r="KE219">
        <v>194</v>
      </c>
      <c r="KG219">
        <v>28</v>
      </c>
      <c r="KH219">
        <v>4</v>
      </c>
      <c r="KK219">
        <v>6</v>
      </c>
      <c r="MP219">
        <v>1</v>
      </c>
      <c r="MQ219">
        <v>1276</v>
      </c>
      <c r="MR219">
        <v>7</v>
      </c>
      <c r="NF219">
        <v>3</v>
      </c>
      <c r="NG219">
        <v>12</v>
      </c>
      <c r="NI219">
        <v>39</v>
      </c>
      <c r="NK219">
        <v>385</v>
      </c>
      <c r="NL219">
        <v>378</v>
      </c>
      <c r="NM219">
        <v>944</v>
      </c>
      <c r="NN219">
        <v>317</v>
      </c>
      <c r="NO219">
        <v>3166</v>
      </c>
      <c r="NP219">
        <v>4690</v>
      </c>
      <c r="NQ219">
        <v>970</v>
      </c>
      <c r="OB219">
        <v>372</v>
      </c>
      <c r="OH219">
        <v>179</v>
      </c>
      <c r="OI219">
        <v>457</v>
      </c>
      <c r="OK219">
        <v>0</v>
      </c>
      <c r="OO219">
        <v>16637</v>
      </c>
      <c r="OP219">
        <v>65044</v>
      </c>
      <c r="OU219">
        <v>658</v>
      </c>
      <c r="OV219">
        <v>841</v>
      </c>
      <c r="PI219">
        <v>83180</v>
      </c>
      <c r="PM219" t="str">
        <f>IFERROR(VLOOKUP($A219&amp;"",Key!$A:$C,3,FALSE),"")</f>
        <v>ISIC 10T12</v>
      </c>
    </row>
    <row r="220" spans="1:429" x14ac:dyDescent="0.25">
      <c r="A220">
        <v>312130</v>
      </c>
      <c r="B220" t="s">
        <v>355</v>
      </c>
      <c r="HI220">
        <v>1919</v>
      </c>
      <c r="HJ220">
        <v>10</v>
      </c>
      <c r="JW220">
        <v>31</v>
      </c>
      <c r="KA220">
        <v>5</v>
      </c>
      <c r="KC220">
        <v>3</v>
      </c>
      <c r="KE220">
        <v>426</v>
      </c>
      <c r="KG220">
        <v>32</v>
      </c>
      <c r="KH220">
        <v>18</v>
      </c>
      <c r="LZ220">
        <v>114</v>
      </c>
      <c r="MP220">
        <v>8</v>
      </c>
      <c r="MQ220">
        <v>339</v>
      </c>
      <c r="NG220">
        <v>5</v>
      </c>
      <c r="NJ220">
        <v>96</v>
      </c>
      <c r="NK220">
        <v>63</v>
      </c>
      <c r="NL220">
        <v>143</v>
      </c>
      <c r="NM220">
        <v>229</v>
      </c>
      <c r="NN220">
        <v>2056</v>
      </c>
      <c r="NO220">
        <v>2158</v>
      </c>
      <c r="NP220">
        <v>2633</v>
      </c>
      <c r="NQ220">
        <v>928</v>
      </c>
      <c r="NZ220">
        <v>77</v>
      </c>
      <c r="OB220">
        <v>129</v>
      </c>
      <c r="OI220">
        <v>920</v>
      </c>
      <c r="OJ220">
        <v>35</v>
      </c>
      <c r="OK220">
        <v>16</v>
      </c>
      <c r="OO220">
        <v>12392</v>
      </c>
      <c r="OP220">
        <v>47187</v>
      </c>
      <c r="OU220">
        <v>1064</v>
      </c>
      <c r="OV220">
        <v>1640</v>
      </c>
      <c r="PI220">
        <v>62283</v>
      </c>
      <c r="PM220" t="str">
        <f>IFERROR(VLOOKUP($A220&amp;"",Key!$A:$C,3,FALSE),"")</f>
        <v>ISIC 10T12</v>
      </c>
    </row>
    <row r="221" spans="1:429" x14ac:dyDescent="0.25">
      <c r="A221">
        <v>312140</v>
      </c>
      <c r="B221" t="s">
        <v>356</v>
      </c>
      <c r="I221">
        <v>510</v>
      </c>
      <c r="K221">
        <v>262</v>
      </c>
      <c r="L221">
        <v>26</v>
      </c>
      <c r="GI221">
        <v>2012</v>
      </c>
      <c r="GJ221">
        <v>2644</v>
      </c>
      <c r="GV221">
        <v>1</v>
      </c>
      <c r="HI221">
        <v>8</v>
      </c>
      <c r="HJ221">
        <v>4785</v>
      </c>
      <c r="JN221">
        <v>36</v>
      </c>
      <c r="JT221">
        <v>19</v>
      </c>
      <c r="JW221">
        <v>4</v>
      </c>
      <c r="KC221">
        <v>0</v>
      </c>
      <c r="KE221">
        <v>31</v>
      </c>
      <c r="KG221">
        <v>21</v>
      </c>
      <c r="KH221">
        <v>3</v>
      </c>
      <c r="LZ221">
        <v>191</v>
      </c>
      <c r="MF221">
        <v>17</v>
      </c>
      <c r="MP221">
        <v>1</v>
      </c>
      <c r="MQ221">
        <v>39</v>
      </c>
      <c r="NK221">
        <v>42</v>
      </c>
      <c r="NL221">
        <v>16</v>
      </c>
      <c r="NM221">
        <v>349</v>
      </c>
      <c r="NN221">
        <v>235</v>
      </c>
      <c r="NO221">
        <v>9048</v>
      </c>
      <c r="NP221">
        <v>1759</v>
      </c>
      <c r="NQ221">
        <v>248</v>
      </c>
      <c r="OB221">
        <v>55</v>
      </c>
      <c r="OD221">
        <v>33</v>
      </c>
      <c r="OH221">
        <v>13</v>
      </c>
      <c r="OI221">
        <v>109</v>
      </c>
      <c r="OJ221">
        <v>32</v>
      </c>
      <c r="OK221">
        <v>4</v>
      </c>
      <c r="OO221">
        <v>22555</v>
      </c>
      <c r="OP221">
        <v>32804</v>
      </c>
      <c r="OU221">
        <v>188</v>
      </c>
      <c r="OV221">
        <v>1525</v>
      </c>
      <c r="PI221">
        <v>57071</v>
      </c>
      <c r="PM221" t="str">
        <f>IFERROR(VLOOKUP($A221&amp;"",Key!$A:$C,3,FALSE),"")</f>
        <v>ISIC 10T12</v>
      </c>
    </row>
    <row r="222" spans="1:429" x14ac:dyDescent="0.25">
      <c r="A222">
        <v>312200</v>
      </c>
      <c r="B222" t="s">
        <v>357</v>
      </c>
      <c r="HK222">
        <v>1817</v>
      </c>
      <c r="MF222">
        <v>1</v>
      </c>
      <c r="OI222">
        <v>280</v>
      </c>
      <c r="OK222">
        <v>3170</v>
      </c>
      <c r="OO222">
        <v>5267</v>
      </c>
      <c r="OP222">
        <v>114963</v>
      </c>
      <c r="OU222">
        <v>530</v>
      </c>
      <c r="OV222">
        <v>1342</v>
      </c>
      <c r="PI222">
        <v>122102</v>
      </c>
      <c r="PM222" t="str">
        <f>IFERROR(VLOOKUP($A222&amp;"",Key!$A:$C,3,FALSE),"")</f>
        <v>ISIC 10T12</v>
      </c>
    </row>
    <row r="223" spans="1:429" x14ac:dyDescent="0.25">
      <c r="A223">
        <v>313100</v>
      </c>
      <c r="B223" t="s">
        <v>358</v>
      </c>
      <c r="D223">
        <v>1</v>
      </c>
      <c r="AQ223">
        <v>0</v>
      </c>
      <c r="FA223">
        <v>78</v>
      </c>
      <c r="FW223">
        <v>305</v>
      </c>
      <c r="GE223">
        <v>1</v>
      </c>
      <c r="GG223">
        <v>3</v>
      </c>
      <c r="GH223">
        <v>34</v>
      </c>
      <c r="HL223">
        <v>285</v>
      </c>
      <c r="HM223">
        <v>284</v>
      </c>
      <c r="HN223">
        <v>258</v>
      </c>
      <c r="HO223">
        <v>603</v>
      </c>
      <c r="HP223">
        <v>145</v>
      </c>
      <c r="HQ223">
        <v>231</v>
      </c>
      <c r="HR223">
        <v>65</v>
      </c>
      <c r="HS223">
        <v>0</v>
      </c>
      <c r="HU223">
        <v>98</v>
      </c>
      <c r="HV223">
        <v>14</v>
      </c>
      <c r="HX223">
        <v>9</v>
      </c>
      <c r="HY223">
        <v>4</v>
      </c>
      <c r="IB223">
        <v>42</v>
      </c>
      <c r="KB223">
        <v>1</v>
      </c>
      <c r="KS223">
        <v>90</v>
      </c>
      <c r="NC223">
        <v>0</v>
      </c>
      <c r="NE223">
        <v>215</v>
      </c>
      <c r="NU223">
        <v>2</v>
      </c>
      <c r="OD223">
        <v>3</v>
      </c>
      <c r="OE223">
        <v>3</v>
      </c>
      <c r="OI223">
        <v>0</v>
      </c>
      <c r="OO223">
        <v>2776</v>
      </c>
      <c r="OP223">
        <v>111</v>
      </c>
      <c r="OU223">
        <v>-27</v>
      </c>
      <c r="OV223">
        <v>1842</v>
      </c>
      <c r="PI223">
        <v>4702</v>
      </c>
      <c r="PM223" t="str">
        <f>IFERROR(VLOOKUP($A223&amp;"",Key!$A:$C,3,FALSE),"")</f>
        <v>ISIC 13T15</v>
      </c>
    </row>
    <row r="224" spans="1:429" x14ac:dyDescent="0.25">
      <c r="A224">
        <v>313200</v>
      </c>
      <c r="B224" t="s">
        <v>359</v>
      </c>
      <c r="O224">
        <v>0</v>
      </c>
      <c r="Q224">
        <v>2</v>
      </c>
      <c r="AC224">
        <v>38</v>
      </c>
      <c r="AD224">
        <v>11</v>
      </c>
      <c r="AE224">
        <v>8</v>
      </c>
      <c r="AF224">
        <v>5</v>
      </c>
      <c r="AG224">
        <v>29</v>
      </c>
      <c r="AH224">
        <v>1</v>
      </c>
      <c r="AI224">
        <v>4</v>
      </c>
      <c r="AJ224">
        <v>15</v>
      </c>
      <c r="AK224">
        <v>81</v>
      </c>
      <c r="AL224">
        <v>17</v>
      </c>
      <c r="AO224">
        <v>19</v>
      </c>
      <c r="AP224">
        <v>78</v>
      </c>
      <c r="AX224">
        <v>160</v>
      </c>
      <c r="BA224">
        <v>34</v>
      </c>
      <c r="CO224">
        <v>80</v>
      </c>
      <c r="CR224">
        <v>270</v>
      </c>
      <c r="DE224">
        <v>41</v>
      </c>
      <c r="DG224">
        <v>440</v>
      </c>
      <c r="ES224">
        <v>100</v>
      </c>
      <c r="EV224">
        <v>2</v>
      </c>
      <c r="FA224">
        <v>182</v>
      </c>
      <c r="FQ224">
        <v>942</v>
      </c>
      <c r="FR224">
        <v>24</v>
      </c>
      <c r="FS224">
        <v>16</v>
      </c>
      <c r="FT224">
        <v>17</v>
      </c>
      <c r="FU224">
        <v>10</v>
      </c>
      <c r="FV224">
        <v>72</v>
      </c>
      <c r="FW224">
        <v>947</v>
      </c>
      <c r="FX224">
        <v>250</v>
      </c>
      <c r="FY224">
        <v>146</v>
      </c>
      <c r="GA224">
        <v>22</v>
      </c>
      <c r="GD224">
        <v>0</v>
      </c>
      <c r="GE224">
        <v>2</v>
      </c>
      <c r="GF224">
        <v>1</v>
      </c>
      <c r="GG224">
        <v>142</v>
      </c>
      <c r="GH224">
        <v>126</v>
      </c>
      <c r="HM224">
        <v>881</v>
      </c>
      <c r="HN224">
        <v>1694</v>
      </c>
      <c r="HO224">
        <v>706</v>
      </c>
      <c r="HP224">
        <v>646</v>
      </c>
      <c r="HQ224">
        <v>159</v>
      </c>
      <c r="HR224">
        <v>1207</v>
      </c>
      <c r="HS224">
        <v>11</v>
      </c>
      <c r="HU224">
        <v>1167</v>
      </c>
      <c r="HV224">
        <v>27</v>
      </c>
      <c r="HX224">
        <v>1</v>
      </c>
      <c r="HZ224">
        <v>1631</v>
      </c>
      <c r="IB224">
        <v>144</v>
      </c>
      <c r="IC224">
        <v>59</v>
      </c>
      <c r="IE224">
        <v>13</v>
      </c>
      <c r="JE224">
        <v>13</v>
      </c>
      <c r="JG224">
        <v>58</v>
      </c>
      <c r="JI224">
        <v>739</v>
      </c>
      <c r="JJ224">
        <v>286</v>
      </c>
      <c r="JN224">
        <v>0</v>
      </c>
      <c r="JO224">
        <v>0</v>
      </c>
      <c r="JV224">
        <v>15</v>
      </c>
      <c r="KB224">
        <v>471</v>
      </c>
      <c r="KN224">
        <v>0</v>
      </c>
      <c r="KO224">
        <v>0</v>
      </c>
      <c r="KQ224">
        <v>1</v>
      </c>
      <c r="KS224">
        <v>99</v>
      </c>
      <c r="LO224">
        <v>13</v>
      </c>
      <c r="LZ224">
        <v>39</v>
      </c>
      <c r="MD224">
        <v>62</v>
      </c>
      <c r="MF224">
        <v>3</v>
      </c>
      <c r="MS224">
        <v>39</v>
      </c>
      <c r="MZ224">
        <v>4</v>
      </c>
      <c r="NK224">
        <v>0</v>
      </c>
      <c r="NL224">
        <v>0</v>
      </c>
      <c r="NM224">
        <v>0</v>
      </c>
      <c r="NO224">
        <v>48</v>
      </c>
      <c r="NR224">
        <v>3</v>
      </c>
      <c r="NU224">
        <v>13</v>
      </c>
      <c r="NX224">
        <v>5</v>
      </c>
      <c r="OD224">
        <v>72</v>
      </c>
      <c r="OE224">
        <v>8</v>
      </c>
      <c r="OI224">
        <v>301</v>
      </c>
      <c r="OJ224">
        <v>10</v>
      </c>
      <c r="OK224">
        <v>115</v>
      </c>
      <c r="OO224">
        <v>15096</v>
      </c>
      <c r="OP224">
        <v>2236</v>
      </c>
      <c r="OQ224">
        <v>18</v>
      </c>
      <c r="OU224">
        <v>-133</v>
      </c>
      <c r="OV224">
        <v>3039</v>
      </c>
      <c r="PI224">
        <v>20255</v>
      </c>
      <c r="PM224" t="str">
        <f>IFERROR(VLOOKUP($A224&amp;"",Key!$A:$C,3,FALSE),"")</f>
        <v>ISIC 13T15</v>
      </c>
    </row>
    <row r="225" spans="1:429" x14ac:dyDescent="0.25">
      <c r="A225">
        <v>313300</v>
      </c>
      <c r="B225" t="s">
        <v>360</v>
      </c>
      <c r="AN225">
        <v>233</v>
      </c>
      <c r="AP225">
        <v>67</v>
      </c>
      <c r="AQ225">
        <v>49</v>
      </c>
      <c r="AS225">
        <v>0</v>
      </c>
      <c r="AU225">
        <v>0</v>
      </c>
      <c r="AV225">
        <v>0</v>
      </c>
      <c r="AW225">
        <v>0</v>
      </c>
      <c r="CB225">
        <v>1</v>
      </c>
      <c r="DR225">
        <v>1</v>
      </c>
      <c r="FA225">
        <v>651</v>
      </c>
      <c r="FQ225">
        <v>221</v>
      </c>
      <c r="FR225">
        <v>31</v>
      </c>
      <c r="FS225">
        <v>57</v>
      </c>
      <c r="FT225">
        <v>60</v>
      </c>
      <c r="FU225">
        <v>80</v>
      </c>
      <c r="FV225">
        <v>354</v>
      </c>
      <c r="FW225">
        <v>518</v>
      </c>
      <c r="FX225">
        <v>387</v>
      </c>
      <c r="FY225">
        <v>615</v>
      </c>
      <c r="GD225">
        <v>121</v>
      </c>
      <c r="GE225">
        <v>194</v>
      </c>
      <c r="GG225">
        <v>81</v>
      </c>
      <c r="GH225">
        <v>116</v>
      </c>
      <c r="GT225">
        <v>1</v>
      </c>
      <c r="HL225">
        <v>0</v>
      </c>
      <c r="HM225">
        <v>445</v>
      </c>
      <c r="HN225">
        <v>677</v>
      </c>
      <c r="HO225">
        <v>26</v>
      </c>
      <c r="HP225">
        <v>446</v>
      </c>
      <c r="HQ225">
        <v>1269</v>
      </c>
      <c r="HR225">
        <v>116</v>
      </c>
      <c r="HS225">
        <v>27</v>
      </c>
      <c r="HU225">
        <v>715</v>
      </c>
      <c r="HX225">
        <v>389</v>
      </c>
      <c r="HY225">
        <v>35</v>
      </c>
      <c r="IA225">
        <v>56</v>
      </c>
      <c r="IB225">
        <v>40</v>
      </c>
      <c r="IE225">
        <v>1</v>
      </c>
      <c r="JD225">
        <v>119</v>
      </c>
      <c r="JG225">
        <v>49</v>
      </c>
      <c r="JJ225">
        <v>143</v>
      </c>
      <c r="JO225">
        <v>776</v>
      </c>
      <c r="JT225">
        <v>3</v>
      </c>
      <c r="JV225">
        <v>0</v>
      </c>
      <c r="KB225">
        <v>87</v>
      </c>
      <c r="KD225">
        <v>697</v>
      </c>
      <c r="KS225">
        <v>11</v>
      </c>
      <c r="LO225">
        <v>1</v>
      </c>
      <c r="LP225">
        <v>1</v>
      </c>
      <c r="LZ225">
        <v>171</v>
      </c>
      <c r="MF225">
        <v>14</v>
      </c>
      <c r="MK225">
        <v>4</v>
      </c>
      <c r="MN225">
        <v>6</v>
      </c>
      <c r="MR225">
        <v>25</v>
      </c>
      <c r="MX225">
        <v>1</v>
      </c>
      <c r="MZ225">
        <v>0</v>
      </c>
      <c r="NG225">
        <v>0</v>
      </c>
      <c r="NK225">
        <v>1</v>
      </c>
      <c r="NL225">
        <v>10</v>
      </c>
      <c r="NM225">
        <v>117</v>
      </c>
      <c r="NO225">
        <v>0</v>
      </c>
      <c r="NR225">
        <v>0</v>
      </c>
      <c r="NT225">
        <v>0</v>
      </c>
      <c r="NU225">
        <v>26</v>
      </c>
      <c r="NV225">
        <v>26</v>
      </c>
      <c r="OE225">
        <v>21</v>
      </c>
      <c r="OI225">
        <v>62</v>
      </c>
      <c r="OJ225">
        <v>0</v>
      </c>
      <c r="OK225">
        <v>3</v>
      </c>
      <c r="OO225">
        <v>10453</v>
      </c>
      <c r="OP225">
        <v>1293</v>
      </c>
      <c r="OU225">
        <v>-98</v>
      </c>
      <c r="OV225">
        <v>1126</v>
      </c>
      <c r="PI225">
        <v>12775</v>
      </c>
      <c r="PM225" t="str">
        <f>IFERROR(VLOOKUP($A225&amp;"",Key!$A:$C,3,FALSE),"")</f>
        <v>ISIC 13T15</v>
      </c>
    </row>
    <row r="226" spans="1:429" x14ac:dyDescent="0.25">
      <c r="A226">
        <v>314110</v>
      </c>
      <c r="B226" t="s">
        <v>361</v>
      </c>
      <c r="AA226">
        <v>41</v>
      </c>
      <c r="AB226">
        <v>197</v>
      </c>
      <c r="AC226">
        <v>68</v>
      </c>
      <c r="AD226">
        <v>74</v>
      </c>
      <c r="AE226">
        <v>422</v>
      </c>
      <c r="AF226">
        <v>21</v>
      </c>
      <c r="AG226">
        <v>202</v>
      </c>
      <c r="AH226">
        <v>4</v>
      </c>
      <c r="AI226">
        <v>81</v>
      </c>
      <c r="AJ226">
        <v>45</v>
      </c>
      <c r="AK226">
        <v>179</v>
      </c>
      <c r="AL226">
        <v>32</v>
      </c>
      <c r="AN226">
        <v>19</v>
      </c>
      <c r="AP226">
        <v>56</v>
      </c>
      <c r="EQ226">
        <v>235</v>
      </c>
      <c r="ER226">
        <v>2080</v>
      </c>
      <c r="ES226">
        <v>4</v>
      </c>
      <c r="EV226">
        <v>1</v>
      </c>
      <c r="EW226">
        <v>46</v>
      </c>
      <c r="FE226">
        <v>937</v>
      </c>
      <c r="FL226">
        <v>112</v>
      </c>
      <c r="HO226">
        <v>60</v>
      </c>
      <c r="KD226">
        <v>0</v>
      </c>
      <c r="KX226">
        <v>0</v>
      </c>
      <c r="KZ226">
        <v>1</v>
      </c>
      <c r="LL226">
        <v>0</v>
      </c>
      <c r="LN226">
        <v>3</v>
      </c>
      <c r="LX226">
        <v>76</v>
      </c>
      <c r="MQ226">
        <v>0</v>
      </c>
      <c r="NC226">
        <v>0</v>
      </c>
      <c r="ND226">
        <v>0</v>
      </c>
      <c r="NM226">
        <v>2</v>
      </c>
      <c r="NP226">
        <v>0</v>
      </c>
      <c r="NR226">
        <v>4</v>
      </c>
      <c r="NZ226">
        <v>5</v>
      </c>
      <c r="OE226">
        <v>41</v>
      </c>
      <c r="OO226">
        <v>5048</v>
      </c>
      <c r="OP226">
        <v>16826</v>
      </c>
      <c r="OQ226">
        <v>6877</v>
      </c>
      <c r="OS226">
        <v>2235</v>
      </c>
      <c r="OU226">
        <v>-198</v>
      </c>
      <c r="OV226">
        <v>939</v>
      </c>
      <c r="PB226">
        <v>6</v>
      </c>
      <c r="PF226">
        <v>40</v>
      </c>
      <c r="PI226">
        <v>31772</v>
      </c>
      <c r="PM226" t="str">
        <f>IFERROR(VLOOKUP($A226&amp;"",Key!$A:$C,3,FALSE),"")</f>
        <v>ISIC 13T15</v>
      </c>
    </row>
    <row r="227" spans="1:429" x14ac:dyDescent="0.25">
      <c r="A227">
        <v>314120</v>
      </c>
      <c r="B227" t="s">
        <v>362</v>
      </c>
      <c r="EV227">
        <v>0</v>
      </c>
      <c r="EW227">
        <v>1</v>
      </c>
      <c r="HP227">
        <v>45</v>
      </c>
      <c r="JW227">
        <v>6</v>
      </c>
      <c r="MB227">
        <v>5</v>
      </c>
      <c r="MQ227">
        <v>30</v>
      </c>
      <c r="MY227">
        <v>36</v>
      </c>
      <c r="MZ227">
        <v>403</v>
      </c>
      <c r="NA227">
        <v>817</v>
      </c>
      <c r="NB227">
        <v>1520</v>
      </c>
      <c r="NC227">
        <v>931</v>
      </c>
      <c r="NE227">
        <v>440</v>
      </c>
      <c r="NM227">
        <v>41</v>
      </c>
      <c r="NN227">
        <v>2158</v>
      </c>
      <c r="NO227">
        <v>109</v>
      </c>
      <c r="NP227">
        <v>126</v>
      </c>
      <c r="NQ227">
        <v>41</v>
      </c>
      <c r="NV227">
        <v>12</v>
      </c>
      <c r="NX227">
        <v>600</v>
      </c>
      <c r="OD227">
        <v>186</v>
      </c>
      <c r="OE227">
        <v>153</v>
      </c>
      <c r="OI227">
        <v>27</v>
      </c>
      <c r="OJ227">
        <v>1329</v>
      </c>
      <c r="OK227">
        <v>211</v>
      </c>
      <c r="OO227">
        <v>9227</v>
      </c>
      <c r="OP227">
        <v>34126</v>
      </c>
      <c r="OU227">
        <v>-11</v>
      </c>
      <c r="OV227">
        <v>932</v>
      </c>
      <c r="PI227">
        <v>44273</v>
      </c>
      <c r="PM227" t="str">
        <f>IFERROR(VLOOKUP($A227&amp;"",Key!$A:$C,3,FALSE),"")</f>
        <v>ISIC 13T15</v>
      </c>
    </row>
    <row r="228" spans="1:429" x14ac:dyDescent="0.25">
      <c r="A228">
        <v>314900</v>
      </c>
      <c r="B228" t="s">
        <v>363</v>
      </c>
      <c r="D228">
        <v>1</v>
      </c>
      <c r="E228">
        <v>42</v>
      </c>
      <c r="F228">
        <v>47</v>
      </c>
      <c r="H228">
        <v>25</v>
      </c>
      <c r="I228">
        <v>2</v>
      </c>
      <c r="J228">
        <v>3</v>
      </c>
      <c r="N228">
        <v>43</v>
      </c>
      <c r="O228">
        <v>32</v>
      </c>
      <c r="AA228">
        <v>46</v>
      </c>
      <c r="AB228">
        <v>128</v>
      </c>
      <c r="AC228">
        <v>358</v>
      </c>
      <c r="AD228">
        <v>116</v>
      </c>
      <c r="AE228">
        <v>220</v>
      </c>
      <c r="AF228">
        <v>121</v>
      </c>
      <c r="AG228">
        <v>537</v>
      </c>
      <c r="AH228">
        <v>6</v>
      </c>
      <c r="AI228">
        <v>10</v>
      </c>
      <c r="AJ228">
        <v>18</v>
      </c>
      <c r="AK228">
        <v>476</v>
      </c>
      <c r="AL228">
        <v>103</v>
      </c>
      <c r="AO228">
        <v>5</v>
      </c>
      <c r="AP228">
        <v>82</v>
      </c>
      <c r="AY228">
        <v>113</v>
      </c>
      <c r="EH228">
        <v>0</v>
      </c>
      <c r="EQ228">
        <v>6</v>
      </c>
      <c r="ER228">
        <v>93</v>
      </c>
      <c r="ES228">
        <v>9</v>
      </c>
      <c r="ET228">
        <v>59</v>
      </c>
      <c r="EU228">
        <v>0</v>
      </c>
      <c r="FA228">
        <v>105</v>
      </c>
      <c r="FC228">
        <v>3</v>
      </c>
      <c r="FJ228">
        <v>762</v>
      </c>
      <c r="FK228">
        <v>52</v>
      </c>
      <c r="FL228">
        <v>184</v>
      </c>
      <c r="FP228">
        <v>16</v>
      </c>
      <c r="FQ228">
        <v>286</v>
      </c>
      <c r="FR228">
        <v>39</v>
      </c>
      <c r="FS228">
        <v>6</v>
      </c>
      <c r="FT228">
        <v>20</v>
      </c>
      <c r="FU228">
        <v>7</v>
      </c>
      <c r="FV228">
        <v>22</v>
      </c>
      <c r="FW228">
        <v>12</v>
      </c>
      <c r="FX228">
        <v>1</v>
      </c>
      <c r="FY228">
        <v>0</v>
      </c>
      <c r="GE228">
        <v>2</v>
      </c>
      <c r="GG228">
        <v>25</v>
      </c>
      <c r="GI228">
        <v>1</v>
      </c>
      <c r="GJ228">
        <v>84</v>
      </c>
      <c r="GK228">
        <v>67</v>
      </c>
      <c r="GL228">
        <v>1</v>
      </c>
      <c r="GM228">
        <v>1</v>
      </c>
      <c r="GN228">
        <v>3</v>
      </c>
      <c r="GO228">
        <v>0</v>
      </c>
      <c r="GP228">
        <v>1</v>
      </c>
      <c r="GQ228">
        <v>0</v>
      </c>
      <c r="GR228">
        <v>0</v>
      </c>
      <c r="GS228">
        <v>0</v>
      </c>
      <c r="GU228">
        <v>0</v>
      </c>
      <c r="GX228">
        <v>4</v>
      </c>
      <c r="GZ228">
        <v>51</v>
      </c>
      <c r="HG228">
        <v>21</v>
      </c>
      <c r="HH228">
        <v>0</v>
      </c>
      <c r="HL228">
        <v>8</v>
      </c>
      <c r="HN228">
        <v>3</v>
      </c>
      <c r="HO228">
        <v>81</v>
      </c>
      <c r="HQ228">
        <v>196</v>
      </c>
      <c r="HR228">
        <v>57</v>
      </c>
      <c r="IE228">
        <v>22</v>
      </c>
      <c r="IW228">
        <v>2</v>
      </c>
      <c r="IX228">
        <v>0</v>
      </c>
      <c r="IZ228">
        <v>0</v>
      </c>
      <c r="JA228">
        <v>0</v>
      </c>
      <c r="JF228">
        <v>0</v>
      </c>
      <c r="JG228">
        <v>6</v>
      </c>
      <c r="JH228">
        <v>1766</v>
      </c>
      <c r="JK228">
        <v>164</v>
      </c>
      <c r="JL228">
        <v>306</v>
      </c>
      <c r="JM228">
        <v>418</v>
      </c>
      <c r="JN228">
        <v>87</v>
      </c>
      <c r="JO228">
        <v>459</v>
      </c>
      <c r="JP228">
        <v>521</v>
      </c>
      <c r="JQ228">
        <v>235</v>
      </c>
      <c r="JR228">
        <v>232</v>
      </c>
      <c r="JS228">
        <v>422</v>
      </c>
      <c r="JT228">
        <v>35</v>
      </c>
      <c r="JV228">
        <v>71</v>
      </c>
      <c r="JW228">
        <v>135</v>
      </c>
      <c r="JX228">
        <v>4012</v>
      </c>
      <c r="JY228">
        <v>9</v>
      </c>
      <c r="JZ228">
        <v>34</v>
      </c>
      <c r="KA228">
        <v>9</v>
      </c>
      <c r="KB228">
        <v>514</v>
      </c>
      <c r="KC228">
        <v>82</v>
      </c>
      <c r="KD228">
        <v>15</v>
      </c>
      <c r="KG228">
        <v>127</v>
      </c>
      <c r="KH228">
        <v>31</v>
      </c>
      <c r="KJ228">
        <v>1</v>
      </c>
      <c r="KK228">
        <v>77</v>
      </c>
      <c r="KL228">
        <v>34</v>
      </c>
      <c r="KM228">
        <v>10</v>
      </c>
      <c r="KS228">
        <v>0</v>
      </c>
      <c r="KW228">
        <v>1</v>
      </c>
      <c r="KX228">
        <v>7</v>
      </c>
      <c r="KZ228">
        <v>5</v>
      </c>
      <c r="LK228">
        <v>1</v>
      </c>
      <c r="LM228">
        <v>228</v>
      </c>
      <c r="LN228">
        <v>150</v>
      </c>
      <c r="LO228">
        <v>4</v>
      </c>
      <c r="LP228">
        <v>71</v>
      </c>
      <c r="LW228">
        <v>14</v>
      </c>
      <c r="LX228">
        <v>1</v>
      </c>
      <c r="LZ228">
        <v>145</v>
      </c>
      <c r="MA228">
        <v>1</v>
      </c>
      <c r="MD228">
        <v>1</v>
      </c>
      <c r="MF228">
        <v>4</v>
      </c>
      <c r="MH228">
        <v>122</v>
      </c>
      <c r="MN228">
        <v>1</v>
      </c>
      <c r="MO228">
        <v>190</v>
      </c>
      <c r="MQ228">
        <v>3</v>
      </c>
      <c r="MS228">
        <v>1</v>
      </c>
      <c r="MT228">
        <v>1</v>
      </c>
      <c r="MZ228">
        <v>56</v>
      </c>
      <c r="NA228">
        <v>0</v>
      </c>
      <c r="NC228">
        <v>3</v>
      </c>
      <c r="ND228">
        <v>3</v>
      </c>
      <c r="NE228">
        <v>3</v>
      </c>
      <c r="NK228">
        <v>11</v>
      </c>
      <c r="NL228">
        <v>33</v>
      </c>
      <c r="NM228">
        <v>415</v>
      </c>
      <c r="NN228">
        <v>40</v>
      </c>
      <c r="NO228">
        <v>8</v>
      </c>
      <c r="NP228">
        <v>18</v>
      </c>
      <c r="NQ228">
        <v>4</v>
      </c>
      <c r="NR228">
        <v>6</v>
      </c>
      <c r="NU228">
        <v>11</v>
      </c>
      <c r="NX228">
        <v>83</v>
      </c>
      <c r="NY228">
        <v>4</v>
      </c>
      <c r="NZ228">
        <v>41</v>
      </c>
      <c r="OB228">
        <v>97</v>
      </c>
      <c r="OD228">
        <v>1236</v>
      </c>
      <c r="OE228">
        <v>205</v>
      </c>
      <c r="OG228">
        <v>1</v>
      </c>
      <c r="OH228">
        <v>5</v>
      </c>
      <c r="OI228">
        <v>101</v>
      </c>
      <c r="OJ228">
        <v>221</v>
      </c>
      <c r="OK228">
        <v>431</v>
      </c>
      <c r="OM228">
        <v>18</v>
      </c>
      <c r="ON228">
        <v>0</v>
      </c>
      <c r="OO228">
        <v>18673</v>
      </c>
      <c r="OP228">
        <v>12627</v>
      </c>
      <c r="OU228">
        <v>151</v>
      </c>
      <c r="OV228">
        <v>3233</v>
      </c>
      <c r="PB228">
        <v>102</v>
      </c>
      <c r="PI228">
        <v>34786</v>
      </c>
      <c r="PM228" t="str">
        <f>IFERROR(VLOOKUP($A228&amp;"",Key!$A:$C,3,FALSE),"")</f>
        <v>ISIC 13T15</v>
      </c>
    </row>
    <row r="229" spans="1:429" x14ac:dyDescent="0.25">
      <c r="A229">
        <v>315000</v>
      </c>
      <c r="B229" t="s">
        <v>364</v>
      </c>
      <c r="AV229">
        <v>1</v>
      </c>
      <c r="FA229">
        <v>6</v>
      </c>
      <c r="HM229">
        <v>2</v>
      </c>
      <c r="HN229">
        <v>27</v>
      </c>
      <c r="HO229">
        <v>1</v>
      </c>
      <c r="HQ229">
        <v>82</v>
      </c>
      <c r="HR229">
        <v>356</v>
      </c>
      <c r="HS229">
        <v>0</v>
      </c>
      <c r="IB229">
        <v>2003</v>
      </c>
      <c r="JJ229">
        <v>1</v>
      </c>
      <c r="JS229">
        <v>434</v>
      </c>
      <c r="JT229">
        <v>221</v>
      </c>
      <c r="JV229">
        <v>1</v>
      </c>
      <c r="JX229">
        <v>416</v>
      </c>
      <c r="KB229">
        <v>120</v>
      </c>
      <c r="KN229">
        <v>20</v>
      </c>
      <c r="KO229">
        <v>18</v>
      </c>
      <c r="KP229">
        <v>49</v>
      </c>
      <c r="KS229">
        <v>23</v>
      </c>
      <c r="KV229">
        <v>8</v>
      </c>
      <c r="KW229">
        <v>122</v>
      </c>
      <c r="KX229">
        <v>530</v>
      </c>
      <c r="KY229">
        <v>19</v>
      </c>
      <c r="LP229">
        <v>120</v>
      </c>
      <c r="LZ229">
        <v>28</v>
      </c>
      <c r="MB229">
        <v>0</v>
      </c>
      <c r="MF229">
        <v>9</v>
      </c>
      <c r="MH229">
        <v>83</v>
      </c>
      <c r="MK229">
        <v>35</v>
      </c>
      <c r="MM229">
        <v>24</v>
      </c>
      <c r="MN229">
        <v>52</v>
      </c>
      <c r="MO229">
        <v>133</v>
      </c>
      <c r="MQ229">
        <v>54</v>
      </c>
      <c r="MR229">
        <v>63</v>
      </c>
      <c r="MS229">
        <v>29</v>
      </c>
      <c r="MV229">
        <v>1</v>
      </c>
      <c r="MX229">
        <v>6</v>
      </c>
      <c r="MZ229">
        <v>11</v>
      </c>
      <c r="NC229">
        <v>626</v>
      </c>
      <c r="NE229">
        <v>0</v>
      </c>
      <c r="NF229">
        <v>116</v>
      </c>
      <c r="NM229">
        <v>24</v>
      </c>
      <c r="NN229">
        <v>9</v>
      </c>
      <c r="NO229">
        <v>43</v>
      </c>
      <c r="NP229">
        <v>116</v>
      </c>
      <c r="NQ229">
        <v>27</v>
      </c>
      <c r="NT229">
        <v>124</v>
      </c>
      <c r="NU229">
        <v>90</v>
      </c>
      <c r="NV229">
        <v>66</v>
      </c>
      <c r="NX229">
        <v>13</v>
      </c>
      <c r="NZ229">
        <v>20</v>
      </c>
      <c r="OB229">
        <v>1754</v>
      </c>
      <c r="OD229">
        <v>32</v>
      </c>
      <c r="OE229">
        <v>20</v>
      </c>
      <c r="OG229">
        <v>16</v>
      </c>
      <c r="OH229">
        <v>8</v>
      </c>
      <c r="OI229">
        <v>797</v>
      </c>
      <c r="OJ229">
        <v>484</v>
      </c>
      <c r="OK229">
        <v>1358</v>
      </c>
      <c r="OM229">
        <v>36</v>
      </c>
      <c r="ON229">
        <v>2</v>
      </c>
      <c r="OO229">
        <v>10890</v>
      </c>
      <c r="OP229">
        <v>297647</v>
      </c>
      <c r="OU229">
        <v>-139</v>
      </c>
      <c r="OV229">
        <v>3203</v>
      </c>
      <c r="PI229">
        <v>311601</v>
      </c>
      <c r="PM229" t="str">
        <f>IFERROR(VLOOKUP($A229&amp;"",Key!$A:$C,3,FALSE),"")</f>
        <v>ISIC 13T15</v>
      </c>
    </row>
    <row r="230" spans="1:429" x14ac:dyDescent="0.25">
      <c r="A230">
        <v>316000</v>
      </c>
      <c r="B230" t="s">
        <v>365</v>
      </c>
      <c r="J230">
        <v>4</v>
      </c>
      <c r="L230">
        <v>56</v>
      </c>
      <c r="X230">
        <v>0</v>
      </c>
      <c r="EQ230">
        <v>113</v>
      </c>
      <c r="ER230">
        <v>238</v>
      </c>
      <c r="FA230">
        <v>1808</v>
      </c>
      <c r="GD230">
        <v>145</v>
      </c>
      <c r="GW230">
        <v>22</v>
      </c>
      <c r="HQ230">
        <v>161</v>
      </c>
      <c r="HR230">
        <v>110</v>
      </c>
      <c r="HS230">
        <v>812</v>
      </c>
      <c r="IB230">
        <v>276</v>
      </c>
      <c r="ID230">
        <v>14</v>
      </c>
      <c r="JK230">
        <v>5</v>
      </c>
      <c r="JL230">
        <v>20</v>
      </c>
      <c r="JM230">
        <v>5</v>
      </c>
      <c r="JO230">
        <v>17</v>
      </c>
      <c r="JP230">
        <v>23</v>
      </c>
      <c r="JQ230">
        <v>71</v>
      </c>
      <c r="JS230">
        <v>60</v>
      </c>
      <c r="JV230">
        <v>79</v>
      </c>
      <c r="JW230">
        <v>3</v>
      </c>
      <c r="JX230">
        <v>15</v>
      </c>
      <c r="JY230">
        <v>7</v>
      </c>
      <c r="JZ230">
        <v>6</v>
      </c>
      <c r="KA230">
        <v>17</v>
      </c>
      <c r="KB230">
        <v>178</v>
      </c>
      <c r="KC230">
        <v>44</v>
      </c>
      <c r="KD230">
        <v>4</v>
      </c>
      <c r="KQ230">
        <v>0</v>
      </c>
      <c r="KZ230">
        <v>0</v>
      </c>
      <c r="MB230">
        <v>0</v>
      </c>
      <c r="MH230">
        <v>19</v>
      </c>
      <c r="MK230">
        <v>4</v>
      </c>
      <c r="MN230">
        <v>5</v>
      </c>
      <c r="MQ230">
        <v>0</v>
      </c>
      <c r="MS230">
        <v>15</v>
      </c>
      <c r="MW230">
        <v>0</v>
      </c>
      <c r="MY230">
        <v>6</v>
      </c>
      <c r="MZ230">
        <v>60</v>
      </c>
      <c r="NC230">
        <v>1</v>
      </c>
      <c r="ND230">
        <v>10</v>
      </c>
      <c r="NE230">
        <v>0</v>
      </c>
      <c r="NG230">
        <v>18</v>
      </c>
      <c r="NM230">
        <v>16</v>
      </c>
      <c r="NN230">
        <v>5</v>
      </c>
      <c r="NR230">
        <v>95</v>
      </c>
      <c r="NU230">
        <v>104</v>
      </c>
      <c r="NX230">
        <v>2</v>
      </c>
      <c r="NZ230">
        <v>7</v>
      </c>
      <c r="OB230">
        <v>47</v>
      </c>
      <c r="OD230">
        <v>262</v>
      </c>
      <c r="OE230">
        <v>46</v>
      </c>
      <c r="OF230">
        <v>58</v>
      </c>
      <c r="OI230">
        <v>55</v>
      </c>
      <c r="OJ230">
        <v>4</v>
      </c>
      <c r="OK230">
        <v>122</v>
      </c>
      <c r="OO230">
        <v>5275</v>
      </c>
      <c r="OP230">
        <v>115483</v>
      </c>
      <c r="OU230">
        <v>327</v>
      </c>
      <c r="OV230">
        <v>3021</v>
      </c>
      <c r="PI230">
        <v>124107</v>
      </c>
      <c r="PM230" t="str">
        <f>IFERROR(VLOOKUP($A230&amp;"",Key!$A:$C,3,FALSE),"")</f>
        <v>ISIC 13T15</v>
      </c>
    </row>
    <row r="231" spans="1:429" x14ac:dyDescent="0.25">
      <c r="A231">
        <v>322110</v>
      </c>
      <c r="B231" t="s">
        <v>366</v>
      </c>
      <c r="AC231">
        <v>1</v>
      </c>
      <c r="CB231">
        <v>2</v>
      </c>
      <c r="GT231">
        <v>2</v>
      </c>
      <c r="HT231">
        <v>305</v>
      </c>
      <c r="HU231">
        <v>3082</v>
      </c>
      <c r="HV231">
        <v>428</v>
      </c>
      <c r="HW231">
        <v>568</v>
      </c>
      <c r="HX231">
        <v>531</v>
      </c>
      <c r="HY231">
        <v>108</v>
      </c>
      <c r="HZ231">
        <v>467</v>
      </c>
      <c r="IA231">
        <v>380</v>
      </c>
      <c r="IN231">
        <v>199</v>
      </c>
      <c r="LZ231">
        <v>2</v>
      </c>
      <c r="OO231">
        <v>6073</v>
      </c>
      <c r="OU231">
        <v>-73</v>
      </c>
      <c r="OV231">
        <v>5326</v>
      </c>
      <c r="PI231">
        <v>11325</v>
      </c>
      <c r="PM231" t="str">
        <f>IFERROR(VLOOKUP($A231&amp;"",Key!$A:$C,3,FALSE),"")</f>
        <v>ISIC 17T18</v>
      </c>
    </row>
    <row r="232" spans="1:429" x14ac:dyDescent="0.25">
      <c r="A232">
        <v>322120</v>
      </c>
      <c r="B232" t="s">
        <v>367</v>
      </c>
      <c r="Q232">
        <v>19</v>
      </c>
      <c r="R232">
        <v>0</v>
      </c>
      <c r="V232">
        <v>2</v>
      </c>
      <c r="W232">
        <v>4</v>
      </c>
      <c r="AA232">
        <v>9</v>
      </c>
      <c r="AB232">
        <v>31</v>
      </c>
      <c r="AC232">
        <v>24</v>
      </c>
      <c r="AD232">
        <v>43</v>
      </c>
      <c r="AE232">
        <v>13</v>
      </c>
      <c r="AG232">
        <v>32</v>
      </c>
      <c r="AH232">
        <v>4</v>
      </c>
      <c r="AI232">
        <v>2</v>
      </c>
      <c r="AJ232">
        <v>2</v>
      </c>
      <c r="AK232">
        <v>11</v>
      </c>
      <c r="AL232">
        <v>3</v>
      </c>
      <c r="AP232">
        <v>2</v>
      </c>
      <c r="AR232">
        <v>1</v>
      </c>
      <c r="AX232">
        <v>1</v>
      </c>
      <c r="BA232">
        <v>2</v>
      </c>
      <c r="BB232">
        <v>3</v>
      </c>
      <c r="BO232">
        <v>2</v>
      </c>
      <c r="BP232">
        <v>5</v>
      </c>
      <c r="BV232">
        <v>1</v>
      </c>
      <c r="BW232">
        <v>1</v>
      </c>
      <c r="BY232">
        <v>0</v>
      </c>
      <c r="CA232">
        <v>1</v>
      </c>
      <c r="CB232">
        <v>7</v>
      </c>
      <c r="CF232">
        <v>1</v>
      </c>
      <c r="CG232">
        <v>0</v>
      </c>
      <c r="CI232">
        <v>0</v>
      </c>
      <c r="CJ232">
        <v>1</v>
      </c>
      <c r="CK232">
        <v>6</v>
      </c>
      <c r="CL232">
        <v>11</v>
      </c>
      <c r="CN232">
        <v>1</v>
      </c>
      <c r="CO232">
        <v>3</v>
      </c>
      <c r="CP232">
        <v>1</v>
      </c>
      <c r="CQ232">
        <v>3</v>
      </c>
      <c r="CR232">
        <v>5</v>
      </c>
      <c r="CU232">
        <v>0</v>
      </c>
      <c r="CV232">
        <v>0</v>
      </c>
      <c r="CW232">
        <v>1</v>
      </c>
      <c r="CZ232">
        <v>2</v>
      </c>
      <c r="DA232">
        <v>0</v>
      </c>
      <c r="DB232">
        <v>1</v>
      </c>
      <c r="DC232">
        <v>1</v>
      </c>
      <c r="DG232">
        <v>64</v>
      </c>
      <c r="DH232">
        <v>1</v>
      </c>
      <c r="DM232">
        <v>1</v>
      </c>
      <c r="DO232">
        <v>0</v>
      </c>
      <c r="DP232">
        <v>0</v>
      </c>
      <c r="DQ232">
        <v>0</v>
      </c>
      <c r="DW232">
        <v>1</v>
      </c>
      <c r="DX232">
        <v>1</v>
      </c>
      <c r="EA232">
        <v>0</v>
      </c>
      <c r="EC232">
        <v>0</v>
      </c>
      <c r="ED232">
        <v>15</v>
      </c>
      <c r="EE232">
        <v>4</v>
      </c>
      <c r="EG232">
        <v>93</v>
      </c>
      <c r="EH232">
        <v>2</v>
      </c>
      <c r="EJ232">
        <v>0</v>
      </c>
      <c r="EL232">
        <v>0</v>
      </c>
      <c r="EN232">
        <v>1</v>
      </c>
      <c r="EO232">
        <v>0</v>
      </c>
      <c r="EP232">
        <v>1</v>
      </c>
      <c r="EX232">
        <v>3</v>
      </c>
      <c r="EY232">
        <v>5</v>
      </c>
      <c r="FA232">
        <v>1</v>
      </c>
      <c r="FB232">
        <v>1</v>
      </c>
      <c r="FC232">
        <v>33</v>
      </c>
      <c r="FD232">
        <v>12</v>
      </c>
      <c r="FT232">
        <v>5</v>
      </c>
      <c r="FV232">
        <v>3</v>
      </c>
      <c r="FX232">
        <v>43</v>
      </c>
      <c r="FY232">
        <v>41</v>
      </c>
      <c r="GA232">
        <v>1</v>
      </c>
      <c r="GD232">
        <v>1</v>
      </c>
      <c r="GE232">
        <v>1</v>
      </c>
      <c r="GF232">
        <v>8</v>
      </c>
      <c r="GG232">
        <v>3</v>
      </c>
      <c r="GH232">
        <v>5</v>
      </c>
      <c r="GI232">
        <v>1</v>
      </c>
      <c r="GM232">
        <v>0</v>
      </c>
      <c r="GO232">
        <v>5</v>
      </c>
      <c r="GP232">
        <v>20</v>
      </c>
      <c r="GQ232">
        <v>3</v>
      </c>
      <c r="GR232">
        <v>17</v>
      </c>
      <c r="GS232">
        <v>7</v>
      </c>
      <c r="GT232">
        <v>7</v>
      </c>
      <c r="GU232">
        <v>4</v>
      </c>
      <c r="GV232">
        <v>10</v>
      </c>
      <c r="GY232">
        <v>0</v>
      </c>
      <c r="GZ232">
        <v>14</v>
      </c>
      <c r="HA232">
        <v>23</v>
      </c>
      <c r="HB232">
        <v>13</v>
      </c>
      <c r="HE232">
        <v>1</v>
      </c>
      <c r="HF232">
        <v>1</v>
      </c>
      <c r="HG232">
        <v>28</v>
      </c>
      <c r="HH232">
        <v>5</v>
      </c>
      <c r="HI232">
        <v>0</v>
      </c>
      <c r="HK232">
        <v>4</v>
      </c>
      <c r="HM232">
        <v>36</v>
      </c>
      <c r="HN232">
        <v>5</v>
      </c>
      <c r="HR232">
        <v>0</v>
      </c>
      <c r="HU232">
        <v>164</v>
      </c>
      <c r="HV232">
        <v>223</v>
      </c>
      <c r="HW232">
        <v>8764</v>
      </c>
      <c r="HX232">
        <v>1631</v>
      </c>
      <c r="HY232">
        <v>432</v>
      </c>
      <c r="HZ232">
        <v>613</v>
      </c>
      <c r="IA232">
        <v>195</v>
      </c>
      <c r="IB232">
        <v>4964</v>
      </c>
      <c r="IC232">
        <v>49</v>
      </c>
      <c r="IF232">
        <v>43</v>
      </c>
      <c r="IG232">
        <v>1</v>
      </c>
      <c r="IK232">
        <v>1</v>
      </c>
      <c r="IL232">
        <v>2</v>
      </c>
      <c r="IM232">
        <v>1</v>
      </c>
      <c r="IN232">
        <v>1</v>
      </c>
      <c r="IP232">
        <v>0</v>
      </c>
      <c r="IT232">
        <v>0</v>
      </c>
      <c r="IV232">
        <v>5</v>
      </c>
      <c r="IW232">
        <v>53</v>
      </c>
      <c r="IX232">
        <v>8</v>
      </c>
      <c r="IZ232">
        <v>79</v>
      </c>
      <c r="JA232">
        <v>101</v>
      </c>
      <c r="JB232">
        <v>12</v>
      </c>
      <c r="JC232">
        <v>71</v>
      </c>
      <c r="JD232">
        <v>16</v>
      </c>
      <c r="JE232">
        <v>13</v>
      </c>
      <c r="JF232">
        <v>4</v>
      </c>
      <c r="JG232">
        <v>93</v>
      </c>
      <c r="JI232">
        <v>0</v>
      </c>
      <c r="JJ232">
        <v>1</v>
      </c>
      <c r="JK232">
        <v>8</v>
      </c>
      <c r="JL232">
        <v>25</v>
      </c>
      <c r="JM232">
        <v>14</v>
      </c>
      <c r="JN232">
        <v>51</v>
      </c>
      <c r="JO232">
        <v>78</v>
      </c>
      <c r="JP232">
        <v>51</v>
      </c>
      <c r="JQ232">
        <v>66</v>
      </c>
      <c r="JR232">
        <v>69</v>
      </c>
      <c r="JS232">
        <v>78</v>
      </c>
      <c r="JT232">
        <v>2</v>
      </c>
      <c r="JV232">
        <v>23</v>
      </c>
      <c r="JW232">
        <v>35</v>
      </c>
      <c r="JX232">
        <v>27</v>
      </c>
      <c r="JY232">
        <v>10</v>
      </c>
      <c r="JZ232">
        <v>27</v>
      </c>
      <c r="KA232">
        <v>25</v>
      </c>
      <c r="KB232">
        <v>24</v>
      </c>
      <c r="KC232">
        <v>52</v>
      </c>
      <c r="KD232">
        <v>56</v>
      </c>
      <c r="KE232">
        <v>2</v>
      </c>
      <c r="KF232">
        <v>30</v>
      </c>
      <c r="KG232">
        <v>2</v>
      </c>
      <c r="KI232">
        <v>937</v>
      </c>
      <c r="KJ232">
        <v>11</v>
      </c>
      <c r="KK232">
        <v>661</v>
      </c>
      <c r="KL232">
        <v>38</v>
      </c>
      <c r="KM232">
        <v>77</v>
      </c>
      <c r="KN232">
        <v>178</v>
      </c>
      <c r="KO232">
        <v>187</v>
      </c>
      <c r="KP232">
        <v>569</v>
      </c>
      <c r="KQ232">
        <v>34</v>
      </c>
      <c r="KR232">
        <v>12</v>
      </c>
      <c r="KS232">
        <v>13</v>
      </c>
      <c r="KW232">
        <v>1</v>
      </c>
      <c r="KX232">
        <v>1</v>
      </c>
      <c r="KZ232">
        <v>18</v>
      </c>
      <c r="LB232">
        <v>3</v>
      </c>
      <c r="LI232">
        <v>35</v>
      </c>
      <c r="LK232">
        <v>0</v>
      </c>
      <c r="LM232">
        <v>356</v>
      </c>
      <c r="LN232">
        <v>1</v>
      </c>
      <c r="LO232">
        <v>2</v>
      </c>
      <c r="LP232">
        <v>4</v>
      </c>
      <c r="LQ232">
        <v>20</v>
      </c>
      <c r="LR232">
        <v>31</v>
      </c>
      <c r="LS232">
        <v>5</v>
      </c>
      <c r="LT232">
        <v>63</v>
      </c>
      <c r="LU232">
        <v>3</v>
      </c>
      <c r="LV232">
        <v>11</v>
      </c>
      <c r="LW232">
        <v>73</v>
      </c>
      <c r="LX232">
        <v>35</v>
      </c>
      <c r="LY232">
        <v>3</v>
      </c>
      <c r="LZ232">
        <v>20</v>
      </c>
      <c r="MA232">
        <v>24</v>
      </c>
      <c r="MB232">
        <v>2</v>
      </c>
      <c r="MC232">
        <v>17</v>
      </c>
      <c r="MD232">
        <v>7</v>
      </c>
      <c r="ME232">
        <v>20</v>
      </c>
      <c r="MF232">
        <v>460</v>
      </c>
      <c r="MG232">
        <v>5</v>
      </c>
      <c r="MH232">
        <v>685</v>
      </c>
      <c r="MI232">
        <v>8</v>
      </c>
      <c r="MJ232">
        <v>7</v>
      </c>
      <c r="MK232">
        <v>218</v>
      </c>
      <c r="ML232">
        <v>4</v>
      </c>
      <c r="MM232">
        <v>13</v>
      </c>
      <c r="MN232">
        <v>145</v>
      </c>
      <c r="MO232">
        <v>19</v>
      </c>
      <c r="MP232">
        <v>38</v>
      </c>
      <c r="MQ232">
        <v>42</v>
      </c>
      <c r="MR232">
        <v>8</v>
      </c>
      <c r="MS232">
        <v>46</v>
      </c>
      <c r="MT232">
        <v>68</v>
      </c>
      <c r="MU232">
        <v>14</v>
      </c>
      <c r="MV232">
        <v>21</v>
      </c>
      <c r="MW232">
        <v>0</v>
      </c>
      <c r="MX232">
        <v>3</v>
      </c>
      <c r="MY232">
        <v>39</v>
      </c>
      <c r="MZ232">
        <v>70</v>
      </c>
      <c r="NA232">
        <v>16</v>
      </c>
      <c r="NB232">
        <v>2</v>
      </c>
      <c r="NC232">
        <v>99</v>
      </c>
      <c r="ND232">
        <v>6</v>
      </c>
      <c r="NE232">
        <v>40</v>
      </c>
      <c r="NF232">
        <v>6</v>
      </c>
      <c r="NG232">
        <v>3</v>
      </c>
      <c r="NI232">
        <v>7</v>
      </c>
      <c r="NJ232">
        <v>1</v>
      </c>
      <c r="NK232">
        <v>4</v>
      </c>
      <c r="NL232">
        <v>2</v>
      </c>
      <c r="NM232">
        <v>23</v>
      </c>
      <c r="NN232">
        <v>1433</v>
      </c>
      <c r="NO232">
        <v>64</v>
      </c>
      <c r="NP232">
        <v>194</v>
      </c>
      <c r="NQ232">
        <v>24</v>
      </c>
      <c r="NR232">
        <v>20</v>
      </c>
      <c r="NS232">
        <v>5</v>
      </c>
      <c r="NT232">
        <v>9</v>
      </c>
      <c r="NU232">
        <v>2</v>
      </c>
      <c r="NV232">
        <v>40</v>
      </c>
      <c r="NW232">
        <v>0</v>
      </c>
      <c r="NX232">
        <v>1</v>
      </c>
      <c r="NY232">
        <v>4</v>
      </c>
      <c r="NZ232">
        <v>87</v>
      </c>
      <c r="OA232">
        <v>6</v>
      </c>
      <c r="OB232">
        <v>29</v>
      </c>
      <c r="OD232">
        <v>4</v>
      </c>
      <c r="OE232">
        <v>289</v>
      </c>
      <c r="OF232">
        <v>11</v>
      </c>
      <c r="OI232">
        <v>2744</v>
      </c>
      <c r="OJ232">
        <v>442</v>
      </c>
      <c r="OK232">
        <v>1160</v>
      </c>
      <c r="OO232">
        <v>31273</v>
      </c>
      <c r="OP232">
        <v>27806</v>
      </c>
      <c r="OU232">
        <v>-41</v>
      </c>
      <c r="OV232">
        <v>10165</v>
      </c>
      <c r="PI232">
        <v>69202</v>
      </c>
      <c r="PM232" t="str">
        <f>IFERROR(VLOOKUP($A232&amp;"",Key!$A:$C,3,FALSE),"")</f>
        <v>ISIC 17T18</v>
      </c>
    </row>
    <row r="233" spans="1:429" x14ac:dyDescent="0.25">
      <c r="A233">
        <v>322130</v>
      </c>
      <c r="B233" t="s">
        <v>368</v>
      </c>
      <c r="P233">
        <v>10</v>
      </c>
      <c r="Q233">
        <v>5</v>
      </c>
      <c r="R233">
        <v>1</v>
      </c>
      <c r="S233">
        <v>10</v>
      </c>
      <c r="T233">
        <v>3</v>
      </c>
      <c r="U233">
        <v>10</v>
      </c>
      <c r="V233">
        <v>5</v>
      </c>
      <c r="W233">
        <v>13</v>
      </c>
      <c r="X233">
        <v>27</v>
      </c>
      <c r="Z233">
        <v>0</v>
      </c>
      <c r="AC233">
        <v>59</v>
      </c>
      <c r="AD233">
        <v>27</v>
      </c>
      <c r="AM233">
        <v>48</v>
      </c>
      <c r="AN233">
        <v>40</v>
      </c>
      <c r="AO233">
        <v>14</v>
      </c>
      <c r="AP233">
        <v>72</v>
      </c>
      <c r="AQ233">
        <v>3</v>
      </c>
      <c r="AR233">
        <v>7</v>
      </c>
      <c r="AS233">
        <v>5</v>
      </c>
      <c r="AT233">
        <v>24</v>
      </c>
      <c r="AU233">
        <v>4</v>
      </c>
      <c r="AV233">
        <v>7</v>
      </c>
      <c r="AW233">
        <v>434</v>
      </c>
      <c r="AX233">
        <v>31</v>
      </c>
      <c r="AY233">
        <v>5</v>
      </c>
      <c r="AZ233">
        <v>11</v>
      </c>
      <c r="BA233">
        <v>37</v>
      </c>
      <c r="BB233">
        <v>8</v>
      </c>
      <c r="BC233">
        <v>50</v>
      </c>
      <c r="BD233">
        <v>8</v>
      </c>
      <c r="BE233">
        <v>4</v>
      </c>
      <c r="BF233">
        <v>0</v>
      </c>
      <c r="BG233">
        <v>9</v>
      </c>
      <c r="BH233">
        <v>189</v>
      </c>
      <c r="BI233">
        <v>7</v>
      </c>
      <c r="BJ233">
        <v>3</v>
      </c>
      <c r="BK233">
        <v>16</v>
      </c>
      <c r="BL233">
        <v>14</v>
      </c>
      <c r="BM233">
        <v>8</v>
      </c>
      <c r="BN233">
        <v>5</v>
      </c>
      <c r="BO233">
        <v>5</v>
      </c>
      <c r="BP233">
        <v>8</v>
      </c>
      <c r="BQ233">
        <v>12</v>
      </c>
      <c r="BR233">
        <v>38</v>
      </c>
      <c r="BS233">
        <v>12</v>
      </c>
      <c r="BT233">
        <v>6</v>
      </c>
      <c r="BU233">
        <v>12</v>
      </c>
      <c r="BV233">
        <v>15</v>
      </c>
      <c r="BW233">
        <v>3</v>
      </c>
      <c r="BX233">
        <v>25</v>
      </c>
      <c r="BY233">
        <v>24</v>
      </c>
      <c r="BZ233">
        <v>44</v>
      </c>
      <c r="CA233">
        <v>2</v>
      </c>
      <c r="CB233">
        <v>37</v>
      </c>
      <c r="CC233">
        <v>6</v>
      </c>
      <c r="CD233">
        <v>4</v>
      </c>
      <c r="CE233">
        <v>11</v>
      </c>
      <c r="CF233">
        <v>42</v>
      </c>
      <c r="CG233">
        <v>10</v>
      </c>
      <c r="CH233">
        <v>8</v>
      </c>
      <c r="CI233">
        <v>14</v>
      </c>
      <c r="CJ233">
        <v>30</v>
      </c>
      <c r="CK233">
        <v>6</v>
      </c>
      <c r="CL233">
        <v>46</v>
      </c>
      <c r="CM233">
        <v>4</v>
      </c>
      <c r="CN233">
        <v>0</v>
      </c>
      <c r="CO233">
        <v>7</v>
      </c>
      <c r="CP233">
        <v>3</v>
      </c>
      <c r="CQ233">
        <v>12</v>
      </c>
      <c r="CR233">
        <v>2</v>
      </c>
      <c r="CS233">
        <v>6</v>
      </c>
      <c r="CT233">
        <v>16</v>
      </c>
      <c r="CU233">
        <v>7</v>
      </c>
      <c r="CV233">
        <v>7</v>
      </c>
      <c r="CW233">
        <v>42</v>
      </c>
      <c r="CX233">
        <v>2</v>
      </c>
      <c r="CY233">
        <v>4</v>
      </c>
      <c r="CZ233">
        <v>12</v>
      </c>
      <c r="DA233">
        <v>7</v>
      </c>
      <c r="DB233">
        <v>21</v>
      </c>
      <c r="DC233">
        <v>32</v>
      </c>
      <c r="DD233">
        <v>1</v>
      </c>
      <c r="DE233">
        <v>2</v>
      </c>
      <c r="DF233">
        <v>1</v>
      </c>
      <c r="DG233">
        <v>20</v>
      </c>
      <c r="DH233">
        <v>22</v>
      </c>
      <c r="DJ233">
        <v>0</v>
      </c>
      <c r="DK233">
        <v>0</v>
      </c>
      <c r="DL233">
        <v>1</v>
      </c>
      <c r="DM233">
        <v>22</v>
      </c>
      <c r="DN233">
        <v>5</v>
      </c>
      <c r="DO233">
        <v>6</v>
      </c>
      <c r="DP233">
        <v>8</v>
      </c>
      <c r="DQ233">
        <v>11</v>
      </c>
      <c r="DR233">
        <v>13</v>
      </c>
      <c r="DS233">
        <v>26</v>
      </c>
      <c r="DT233">
        <v>0</v>
      </c>
      <c r="DU233">
        <v>5</v>
      </c>
      <c r="DV233">
        <v>4</v>
      </c>
      <c r="DW233">
        <v>12</v>
      </c>
      <c r="DX233">
        <v>12</v>
      </c>
      <c r="DY233">
        <v>9</v>
      </c>
      <c r="DZ233">
        <v>27</v>
      </c>
      <c r="EA233">
        <v>0</v>
      </c>
      <c r="EB233">
        <v>2</v>
      </c>
      <c r="EC233">
        <v>0</v>
      </c>
      <c r="ED233">
        <v>6</v>
      </c>
      <c r="EE233">
        <v>4</v>
      </c>
      <c r="EF233">
        <v>5</v>
      </c>
      <c r="EG233">
        <v>3</v>
      </c>
      <c r="EH233">
        <v>4</v>
      </c>
      <c r="EI233">
        <v>7</v>
      </c>
      <c r="EJ233">
        <v>9</v>
      </c>
      <c r="EK233">
        <v>4</v>
      </c>
      <c r="EL233">
        <v>0</v>
      </c>
      <c r="EM233">
        <v>3</v>
      </c>
      <c r="EN233">
        <v>37</v>
      </c>
      <c r="EO233">
        <v>2</v>
      </c>
      <c r="EP233">
        <v>5</v>
      </c>
      <c r="EQ233">
        <v>16</v>
      </c>
      <c r="ER233">
        <v>103</v>
      </c>
      <c r="ES233">
        <v>16</v>
      </c>
      <c r="ET233">
        <v>11</v>
      </c>
      <c r="EU233">
        <v>3</v>
      </c>
      <c r="EV233">
        <v>0</v>
      </c>
      <c r="EW233">
        <v>15</v>
      </c>
      <c r="EX233">
        <v>21</v>
      </c>
      <c r="EY233">
        <v>30</v>
      </c>
      <c r="EZ233">
        <v>37</v>
      </c>
      <c r="FA233">
        <v>12</v>
      </c>
      <c r="FC233">
        <v>68</v>
      </c>
      <c r="FD233">
        <v>37</v>
      </c>
      <c r="FE233">
        <v>42</v>
      </c>
      <c r="FF233">
        <v>0</v>
      </c>
      <c r="FG233">
        <v>8</v>
      </c>
      <c r="FH233">
        <v>3</v>
      </c>
      <c r="FI233">
        <v>8</v>
      </c>
      <c r="FJ233">
        <v>3</v>
      </c>
      <c r="FK233">
        <v>18</v>
      </c>
      <c r="FL233">
        <v>11</v>
      </c>
      <c r="FM233">
        <v>32</v>
      </c>
      <c r="FO233">
        <v>4</v>
      </c>
      <c r="FP233">
        <v>15</v>
      </c>
      <c r="FQ233">
        <v>13</v>
      </c>
      <c r="FR233">
        <v>2</v>
      </c>
      <c r="FS233">
        <v>7</v>
      </c>
      <c r="FT233">
        <v>8</v>
      </c>
      <c r="FU233">
        <v>9</v>
      </c>
      <c r="FV233">
        <v>17</v>
      </c>
      <c r="FW233">
        <v>6</v>
      </c>
      <c r="FX233">
        <v>58</v>
      </c>
      <c r="FY233">
        <v>35</v>
      </c>
      <c r="FZ233">
        <v>47</v>
      </c>
      <c r="GA233">
        <v>1</v>
      </c>
      <c r="GC233">
        <v>1</v>
      </c>
      <c r="GD233">
        <v>13</v>
      </c>
      <c r="GE233">
        <v>23</v>
      </c>
      <c r="GF233">
        <v>4</v>
      </c>
      <c r="GG233">
        <v>93</v>
      </c>
      <c r="GH233">
        <v>56</v>
      </c>
      <c r="GI233">
        <v>4</v>
      </c>
      <c r="GJ233">
        <v>17</v>
      </c>
      <c r="GL233">
        <v>7</v>
      </c>
      <c r="GM233">
        <v>1</v>
      </c>
      <c r="GN233">
        <v>16</v>
      </c>
      <c r="GO233">
        <v>9</v>
      </c>
      <c r="GP233">
        <v>40</v>
      </c>
      <c r="GQ233">
        <v>13</v>
      </c>
      <c r="GR233">
        <v>21</v>
      </c>
      <c r="GS233">
        <v>31</v>
      </c>
      <c r="GT233">
        <v>15</v>
      </c>
      <c r="GU233">
        <v>27</v>
      </c>
      <c r="GV233">
        <v>11</v>
      </c>
      <c r="GW233">
        <v>18</v>
      </c>
      <c r="GX233">
        <v>61</v>
      </c>
      <c r="GY233">
        <v>0</v>
      </c>
      <c r="GZ233">
        <v>38</v>
      </c>
      <c r="HA233">
        <v>50</v>
      </c>
      <c r="HB233">
        <v>64</v>
      </c>
      <c r="HC233">
        <v>80</v>
      </c>
      <c r="HD233">
        <v>21</v>
      </c>
      <c r="HE233">
        <v>52</v>
      </c>
      <c r="HF233">
        <v>30</v>
      </c>
      <c r="HG233">
        <v>184</v>
      </c>
      <c r="HH233">
        <v>12</v>
      </c>
      <c r="HI233">
        <v>2</v>
      </c>
      <c r="HJ233">
        <v>7</v>
      </c>
      <c r="HK233">
        <v>29</v>
      </c>
      <c r="HL233">
        <v>1</v>
      </c>
      <c r="HM233">
        <v>2</v>
      </c>
      <c r="HN233">
        <v>5</v>
      </c>
      <c r="HO233">
        <v>4</v>
      </c>
      <c r="HP233">
        <v>3</v>
      </c>
      <c r="HQ233">
        <v>8</v>
      </c>
      <c r="HR233">
        <v>1</v>
      </c>
      <c r="HS233">
        <v>1</v>
      </c>
      <c r="HT233">
        <v>7</v>
      </c>
      <c r="HU233">
        <v>45</v>
      </c>
      <c r="HV233">
        <v>53</v>
      </c>
      <c r="HW233">
        <v>23606</v>
      </c>
      <c r="HX233">
        <v>1429</v>
      </c>
      <c r="HY233">
        <v>1152</v>
      </c>
      <c r="HZ233">
        <v>25</v>
      </c>
      <c r="IA233">
        <v>518</v>
      </c>
      <c r="IB233">
        <v>202</v>
      </c>
      <c r="IC233">
        <v>31</v>
      </c>
      <c r="ID233">
        <v>52</v>
      </c>
      <c r="IE233">
        <v>3</v>
      </c>
      <c r="IF233">
        <v>11</v>
      </c>
      <c r="IG233">
        <v>3</v>
      </c>
      <c r="II233">
        <v>2</v>
      </c>
      <c r="IJ233">
        <v>6</v>
      </c>
      <c r="IK233">
        <v>9</v>
      </c>
      <c r="IL233">
        <v>24</v>
      </c>
      <c r="IM233">
        <v>25</v>
      </c>
      <c r="IN233">
        <v>7</v>
      </c>
      <c r="IP233">
        <v>0</v>
      </c>
      <c r="IS233">
        <v>3</v>
      </c>
      <c r="IT233">
        <v>2</v>
      </c>
      <c r="IU233">
        <v>17</v>
      </c>
      <c r="IV233">
        <v>21</v>
      </c>
      <c r="IW233">
        <v>96</v>
      </c>
      <c r="IX233">
        <v>21</v>
      </c>
      <c r="IY233">
        <v>5</v>
      </c>
      <c r="IZ233">
        <v>30</v>
      </c>
      <c r="JA233">
        <v>34</v>
      </c>
      <c r="JB233">
        <v>18</v>
      </c>
      <c r="JC233">
        <v>3</v>
      </c>
      <c r="JD233">
        <v>10</v>
      </c>
      <c r="JE233">
        <v>3</v>
      </c>
      <c r="JF233">
        <v>3</v>
      </c>
      <c r="JG233">
        <v>73</v>
      </c>
      <c r="JH233">
        <v>12</v>
      </c>
      <c r="JI233">
        <v>4</v>
      </c>
      <c r="JJ233">
        <v>15</v>
      </c>
      <c r="JK233">
        <v>21</v>
      </c>
      <c r="JL233">
        <v>47</v>
      </c>
      <c r="JM233">
        <v>27</v>
      </c>
      <c r="JN233">
        <v>24</v>
      </c>
      <c r="JO233">
        <v>172</v>
      </c>
      <c r="JP233">
        <v>9</v>
      </c>
      <c r="JQ233">
        <v>71</v>
      </c>
      <c r="JR233">
        <v>37</v>
      </c>
      <c r="JS233">
        <v>209</v>
      </c>
      <c r="JT233">
        <v>6</v>
      </c>
      <c r="JV233">
        <v>25</v>
      </c>
      <c r="JW233">
        <v>74</v>
      </c>
      <c r="JX233">
        <v>94</v>
      </c>
      <c r="JY233">
        <v>22</v>
      </c>
      <c r="JZ233">
        <v>19</v>
      </c>
      <c r="KA233">
        <v>29</v>
      </c>
      <c r="KB233">
        <v>75</v>
      </c>
      <c r="KC233">
        <v>36</v>
      </c>
      <c r="KD233">
        <v>35</v>
      </c>
      <c r="KE233">
        <v>7</v>
      </c>
      <c r="KF233">
        <v>6</v>
      </c>
      <c r="KG233">
        <v>5</v>
      </c>
      <c r="KH233">
        <v>71</v>
      </c>
      <c r="KI233">
        <v>7</v>
      </c>
      <c r="KJ233">
        <v>2</v>
      </c>
      <c r="KK233">
        <v>60</v>
      </c>
      <c r="KL233">
        <v>58</v>
      </c>
      <c r="KM233">
        <v>7</v>
      </c>
      <c r="KN233">
        <v>31</v>
      </c>
      <c r="KO233">
        <v>44</v>
      </c>
      <c r="KP233">
        <v>68</v>
      </c>
      <c r="KQ233">
        <v>19</v>
      </c>
      <c r="KR233">
        <v>355</v>
      </c>
      <c r="KS233">
        <v>17</v>
      </c>
      <c r="KT233">
        <v>1</v>
      </c>
      <c r="KV233">
        <v>7</v>
      </c>
      <c r="KW233">
        <v>71</v>
      </c>
      <c r="KX233">
        <v>140</v>
      </c>
      <c r="KY233">
        <v>10</v>
      </c>
      <c r="KZ233">
        <v>4</v>
      </c>
      <c r="LA233">
        <v>74</v>
      </c>
      <c r="LB233">
        <v>0</v>
      </c>
      <c r="LC233">
        <v>455</v>
      </c>
      <c r="LD233">
        <v>398</v>
      </c>
      <c r="LE233">
        <v>307</v>
      </c>
      <c r="LF233">
        <v>67</v>
      </c>
      <c r="LH233">
        <v>23</v>
      </c>
      <c r="LJ233">
        <v>2</v>
      </c>
      <c r="LK233">
        <v>0</v>
      </c>
      <c r="LL233">
        <v>0</v>
      </c>
      <c r="LM233">
        <v>495</v>
      </c>
      <c r="LN233">
        <v>10</v>
      </c>
      <c r="LO233">
        <v>3</v>
      </c>
      <c r="LP233">
        <v>62</v>
      </c>
      <c r="LQ233">
        <v>821</v>
      </c>
      <c r="LR233">
        <v>187</v>
      </c>
      <c r="LS233">
        <v>27</v>
      </c>
      <c r="LT233">
        <v>82</v>
      </c>
      <c r="LU233">
        <v>122</v>
      </c>
      <c r="LV233">
        <v>80</v>
      </c>
      <c r="LW233">
        <v>106</v>
      </c>
      <c r="LX233">
        <v>282</v>
      </c>
      <c r="LY233">
        <v>101</v>
      </c>
      <c r="LZ233">
        <v>79</v>
      </c>
      <c r="MA233">
        <v>124</v>
      </c>
      <c r="MB233">
        <v>53</v>
      </c>
      <c r="MC233">
        <v>25</v>
      </c>
      <c r="MD233">
        <v>6</v>
      </c>
      <c r="ME233">
        <v>418</v>
      </c>
      <c r="MF233">
        <v>21</v>
      </c>
      <c r="MG233">
        <v>1326</v>
      </c>
      <c r="MH233">
        <v>373</v>
      </c>
      <c r="MI233">
        <v>48</v>
      </c>
      <c r="MJ233">
        <v>28</v>
      </c>
      <c r="MK233">
        <v>91</v>
      </c>
      <c r="ML233">
        <v>8</v>
      </c>
      <c r="MM233">
        <v>40</v>
      </c>
      <c r="MN233">
        <v>48</v>
      </c>
      <c r="MO233">
        <v>93</v>
      </c>
      <c r="MP233">
        <v>14</v>
      </c>
      <c r="MQ233">
        <v>1</v>
      </c>
      <c r="MR233">
        <v>33</v>
      </c>
      <c r="MS233">
        <v>50</v>
      </c>
      <c r="MT233">
        <v>36</v>
      </c>
      <c r="MU233">
        <v>30</v>
      </c>
      <c r="MV233">
        <v>4</v>
      </c>
      <c r="MW233">
        <v>29</v>
      </c>
      <c r="MX233">
        <v>33</v>
      </c>
      <c r="MY233">
        <v>17</v>
      </c>
      <c r="MZ233">
        <v>23</v>
      </c>
      <c r="NA233">
        <v>14</v>
      </c>
      <c r="NB233">
        <v>12</v>
      </c>
      <c r="NC233">
        <v>151</v>
      </c>
      <c r="ND233">
        <v>41</v>
      </c>
      <c r="NE233">
        <v>39</v>
      </c>
      <c r="NF233">
        <v>5</v>
      </c>
      <c r="NG233">
        <v>1</v>
      </c>
      <c r="NI233">
        <v>6</v>
      </c>
      <c r="NK233">
        <v>2</v>
      </c>
      <c r="NL233">
        <v>36</v>
      </c>
      <c r="NM233">
        <v>19</v>
      </c>
      <c r="NN233">
        <v>49</v>
      </c>
      <c r="NP233">
        <v>185</v>
      </c>
      <c r="NQ233">
        <v>35</v>
      </c>
      <c r="NR233">
        <v>13</v>
      </c>
      <c r="NS233">
        <v>2</v>
      </c>
      <c r="NT233">
        <v>18</v>
      </c>
      <c r="NU233">
        <v>19</v>
      </c>
      <c r="NV233">
        <v>9</v>
      </c>
      <c r="NX233">
        <v>2</v>
      </c>
      <c r="NY233">
        <v>9</v>
      </c>
      <c r="NZ233">
        <v>33</v>
      </c>
      <c r="OA233">
        <v>70</v>
      </c>
      <c r="OB233">
        <v>7</v>
      </c>
      <c r="OD233">
        <v>1</v>
      </c>
      <c r="OF233">
        <v>54</v>
      </c>
      <c r="OG233">
        <v>7</v>
      </c>
      <c r="OH233">
        <v>1</v>
      </c>
      <c r="OI233">
        <v>312</v>
      </c>
      <c r="OL233">
        <v>1</v>
      </c>
      <c r="OO233">
        <v>41434</v>
      </c>
      <c r="OU233">
        <v>314</v>
      </c>
      <c r="OV233">
        <v>287</v>
      </c>
      <c r="PI233">
        <v>42035</v>
      </c>
      <c r="PM233" t="str">
        <f>IFERROR(VLOOKUP($A233&amp;"",Key!$A:$C,3,FALSE),"")</f>
        <v>ISIC 17T18</v>
      </c>
    </row>
    <row r="234" spans="1:429" x14ac:dyDescent="0.25">
      <c r="A234">
        <v>322210</v>
      </c>
      <c r="B234" t="s">
        <v>369</v>
      </c>
      <c r="D234">
        <v>1</v>
      </c>
      <c r="E234">
        <v>100</v>
      </c>
      <c r="F234">
        <v>81</v>
      </c>
      <c r="H234">
        <v>26</v>
      </c>
      <c r="M234">
        <v>0</v>
      </c>
      <c r="P234">
        <v>21</v>
      </c>
      <c r="Q234">
        <v>10</v>
      </c>
      <c r="R234">
        <v>2</v>
      </c>
      <c r="S234">
        <v>23</v>
      </c>
      <c r="T234">
        <v>6</v>
      </c>
      <c r="U234">
        <v>21</v>
      </c>
      <c r="V234">
        <v>11</v>
      </c>
      <c r="W234">
        <v>23</v>
      </c>
      <c r="X234">
        <v>6</v>
      </c>
      <c r="Z234">
        <v>0</v>
      </c>
      <c r="AA234">
        <v>10</v>
      </c>
      <c r="AB234">
        <v>36</v>
      </c>
      <c r="AC234">
        <v>321</v>
      </c>
      <c r="AD234">
        <v>12</v>
      </c>
      <c r="AE234">
        <v>8</v>
      </c>
      <c r="AF234">
        <v>118</v>
      </c>
      <c r="AG234">
        <v>501</v>
      </c>
      <c r="AH234">
        <v>136</v>
      </c>
      <c r="AI234">
        <v>146</v>
      </c>
      <c r="AJ234">
        <v>142</v>
      </c>
      <c r="AK234">
        <v>100</v>
      </c>
      <c r="AL234">
        <v>142</v>
      </c>
      <c r="AM234">
        <v>469</v>
      </c>
      <c r="AN234">
        <v>244</v>
      </c>
      <c r="AO234">
        <v>92</v>
      </c>
      <c r="AP234">
        <v>153</v>
      </c>
      <c r="AQ234">
        <v>69</v>
      </c>
      <c r="AR234">
        <v>627</v>
      </c>
      <c r="AS234">
        <v>12</v>
      </c>
      <c r="AT234">
        <v>178</v>
      </c>
      <c r="AU234">
        <v>15</v>
      </c>
      <c r="AV234">
        <v>33</v>
      </c>
      <c r="AW234">
        <v>148</v>
      </c>
      <c r="AX234">
        <v>64</v>
      </c>
      <c r="AY234">
        <v>10</v>
      </c>
      <c r="AZ234">
        <v>29</v>
      </c>
      <c r="BA234">
        <v>24</v>
      </c>
      <c r="BB234">
        <v>8</v>
      </c>
      <c r="BC234">
        <v>448</v>
      </c>
      <c r="BD234">
        <v>96</v>
      </c>
      <c r="BE234">
        <v>59</v>
      </c>
      <c r="BF234">
        <v>3</v>
      </c>
      <c r="BG234">
        <v>135</v>
      </c>
      <c r="BH234">
        <v>94</v>
      </c>
      <c r="BI234">
        <v>55</v>
      </c>
      <c r="BJ234">
        <v>45</v>
      </c>
      <c r="BK234">
        <v>88</v>
      </c>
      <c r="BL234">
        <v>82</v>
      </c>
      <c r="BM234">
        <v>72</v>
      </c>
      <c r="BN234">
        <v>54</v>
      </c>
      <c r="BO234">
        <v>51</v>
      </c>
      <c r="BP234">
        <v>158</v>
      </c>
      <c r="BQ234">
        <v>99</v>
      </c>
      <c r="BR234">
        <v>85</v>
      </c>
      <c r="BS234">
        <v>76</v>
      </c>
      <c r="BT234">
        <v>45</v>
      </c>
      <c r="BU234">
        <v>32</v>
      </c>
      <c r="BV234">
        <v>70</v>
      </c>
      <c r="BW234">
        <v>17</v>
      </c>
      <c r="BX234">
        <v>107</v>
      </c>
      <c r="BY234">
        <v>112</v>
      </c>
      <c r="BZ234">
        <v>277</v>
      </c>
      <c r="CA234">
        <v>46</v>
      </c>
      <c r="CB234">
        <v>41</v>
      </c>
      <c r="CC234">
        <v>35</v>
      </c>
      <c r="CD234">
        <v>28</v>
      </c>
      <c r="CE234">
        <v>478</v>
      </c>
      <c r="CF234">
        <v>28</v>
      </c>
      <c r="CG234">
        <v>28</v>
      </c>
      <c r="CH234">
        <v>18</v>
      </c>
      <c r="CI234">
        <v>34</v>
      </c>
      <c r="CJ234">
        <v>81</v>
      </c>
      <c r="CK234">
        <v>15</v>
      </c>
      <c r="CL234">
        <v>139</v>
      </c>
      <c r="CM234">
        <v>4</v>
      </c>
      <c r="CN234">
        <v>5</v>
      </c>
      <c r="CO234">
        <v>78</v>
      </c>
      <c r="CP234">
        <v>128</v>
      </c>
      <c r="CQ234">
        <v>152</v>
      </c>
      <c r="CR234">
        <v>8</v>
      </c>
      <c r="CS234">
        <v>15</v>
      </c>
      <c r="CT234">
        <v>40</v>
      </c>
      <c r="CU234">
        <v>9</v>
      </c>
      <c r="CV234">
        <v>18</v>
      </c>
      <c r="CW234">
        <v>99</v>
      </c>
      <c r="CX234">
        <v>20</v>
      </c>
      <c r="CY234">
        <v>10</v>
      </c>
      <c r="CZ234">
        <v>38</v>
      </c>
      <c r="DA234">
        <v>31</v>
      </c>
      <c r="DB234">
        <v>729</v>
      </c>
      <c r="DC234">
        <v>70</v>
      </c>
      <c r="DD234">
        <v>22</v>
      </c>
      <c r="DE234">
        <v>5</v>
      </c>
      <c r="DF234">
        <v>1</v>
      </c>
      <c r="DG234">
        <v>110</v>
      </c>
      <c r="DH234">
        <v>89</v>
      </c>
      <c r="DI234">
        <v>1</v>
      </c>
      <c r="DJ234">
        <v>1</v>
      </c>
      <c r="DK234">
        <v>1</v>
      </c>
      <c r="DL234">
        <v>21</v>
      </c>
      <c r="DM234">
        <v>62</v>
      </c>
      <c r="DN234">
        <v>20</v>
      </c>
      <c r="DO234">
        <v>6</v>
      </c>
      <c r="DP234">
        <v>68</v>
      </c>
      <c r="DQ234">
        <v>59</v>
      </c>
      <c r="DR234">
        <v>107</v>
      </c>
      <c r="DS234">
        <v>8</v>
      </c>
      <c r="DT234">
        <v>2</v>
      </c>
      <c r="DU234">
        <v>37</v>
      </c>
      <c r="DV234">
        <v>19</v>
      </c>
      <c r="DW234">
        <v>18</v>
      </c>
      <c r="DX234">
        <v>67</v>
      </c>
      <c r="DY234">
        <v>43</v>
      </c>
      <c r="DZ234">
        <v>77</v>
      </c>
      <c r="EA234">
        <v>3</v>
      </c>
      <c r="EB234">
        <v>0</v>
      </c>
      <c r="EC234">
        <v>13</v>
      </c>
      <c r="ED234">
        <v>206</v>
      </c>
      <c r="EE234">
        <v>105</v>
      </c>
      <c r="EF234">
        <v>343</v>
      </c>
      <c r="EG234">
        <v>34</v>
      </c>
      <c r="EH234">
        <v>32</v>
      </c>
      <c r="EI234">
        <v>21</v>
      </c>
      <c r="EJ234">
        <v>19</v>
      </c>
      <c r="EK234">
        <v>111</v>
      </c>
      <c r="EL234">
        <v>61</v>
      </c>
      <c r="EM234">
        <v>6</v>
      </c>
      <c r="EN234">
        <v>136</v>
      </c>
      <c r="EO234">
        <v>3</v>
      </c>
      <c r="EP234">
        <v>7</v>
      </c>
      <c r="EQ234">
        <v>252</v>
      </c>
      <c r="ER234">
        <v>1718</v>
      </c>
      <c r="ES234">
        <v>245</v>
      </c>
      <c r="ET234">
        <v>88</v>
      </c>
      <c r="EU234">
        <v>26</v>
      </c>
      <c r="EV234">
        <v>5</v>
      </c>
      <c r="EW234">
        <v>150</v>
      </c>
      <c r="EX234">
        <v>74</v>
      </c>
      <c r="EY234">
        <v>63</v>
      </c>
      <c r="EZ234">
        <v>83</v>
      </c>
      <c r="FA234">
        <v>56</v>
      </c>
      <c r="FB234">
        <v>215</v>
      </c>
      <c r="FC234">
        <v>857</v>
      </c>
      <c r="FD234">
        <v>210</v>
      </c>
      <c r="FE234">
        <v>391</v>
      </c>
      <c r="FF234">
        <v>5</v>
      </c>
      <c r="FG234">
        <v>41</v>
      </c>
      <c r="FH234">
        <v>9</v>
      </c>
      <c r="FI234">
        <v>37</v>
      </c>
      <c r="FJ234">
        <v>27</v>
      </c>
      <c r="FK234">
        <v>100</v>
      </c>
      <c r="FL234">
        <v>108</v>
      </c>
      <c r="FM234">
        <v>20</v>
      </c>
      <c r="FO234">
        <v>42</v>
      </c>
      <c r="FP234">
        <v>363</v>
      </c>
      <c r="FQ234">
        <v>436</v>
      </c>
      <c r="FR234">
        <v>98</v>
      </c>
      <c r="FS234">
        <v>125</v>
      </c>
      <c r="FT234">
        <v>52</v>
      </c>
      <c r="FU234">
        <v>231</v>
      </c>
      <c r="FV234">
        <v>176</v>
      </c>
      <c r="FW234">
        <v>138</v>
      </c>
      <c r="FX234">
        <v>355</v>
      </c>
      <c r="FY234">
        <v>273</v>
      </c>
      <c r="FZ234">
        <v>106</v>
      </c>
      <c r="GA234">
        <v>27</v>
      </c>
      <c r="GB234">
        <v>24</v>
      </c>
      <c r="GC234">
        <v>6</v>
      </c>
      <c r="GD234">
        <v>164</v>
      </c>
      <c r="GE234">
        <v>56</v>
      </c>
      <c r="GF234">
        <v>282</v>
      </c>
      <c r="GG234">
        <v>63</v>
      </c>
      <c r="GH234">
        <v>474</v>
      </c>
      <c r="GI234">
        <v>305</v>
      </c>
      <c r="GJ234">
        <v>50</v>
      </c>
      <c r="GK234">
        <v>254</v>
      </c>
      <c r="GL234">
        <v>11</v>
      </c>
      <c r="GM234">
        <v>78</v>
      </c>
      <c r="GN234">
        <v>77</v>
      </c>
      <c r="GO234">
        <v>588</v>
      </c>
      <c r="GP234">
        <v>1230</v>
      </c>
      <c r="GQ234">
        <v>1032</v>
      </c>
      <c r="GR234">
        <v>459</v>
      </c>
      <c r="GS234">
        <v>489</v>
      </c>
      <c r="GT234">
        <v>436</v>
      </c>
      <c r="GU234">
        <v>788</v>
      </c>
      <c r="GV234">
        <v>390</v>
      </c>
      <c r="GW234">
        <v>643</v>
      </c>
      <c r="GX234">
        <v>1108</v>
      </c>
      <c r="GY234">
        <v>159</v>
      </c>
      <c r="GZ234">
        <v>1537</v>
      </c>
      <c r="HA234">
        <v>1537</v>
      </c>
      <c r="HB234">
        <v>368</v>
      </c>
      <c r="HC234">
        <v>54</v>
      </c>
      <c r="HD234">
        <v>82</v>
      </c>
      <c r="HE234">
        <v>446</v>
      </c>
      <c r="HF234">
        <v>630</v>
      </c>
      <c r="HG234">
        <v>468</v>
      </c>
      <c r="HH234">
        <v>1049</v>
      </c>
      <c r="HI234">
        <v>389</v>
      </c>
      <c r="HJ234">
        <v>99</v>
      </c>
      <c r="HK234">
        <v>3336</v>
      </c>
      <c r="HL234">
        <v>13</v>
      </c>
      <c r="HM234">
        <v>128</v>
      </c>
      <c r="HN234">
        <v>46</v>
      </c>
      <c r="HO234">
        <v>45</v>
      </c>
      <c r="HP234">
        <v>26</v>
      </c>
      <c r="HQ234">
        <v>75</v>
      </c>
      <c r="HR234">
        <v>2</v>
      </c>
      <c r="HS234">
        <v>14</v>
      </c>
      <c r="HT234">
        <v>6</v>
      </c>
      <c r="HU234">
        <v>1119</v>
      </c>
      <c r="HV234">
        <v>977</v>
      </c>
      <c r="HW234">
        <v>760</v>
      </c>
      <c r="HX234">
        <v>1137</v>
      </c>
      <c r="HY234">
        <v>697</v>
      </c>
      <c r="HZ234">
        <v>662</v>
      </c>
      <c r="IA234">
        <v>229</v>
      </c>
      <c r="IB234">
        <v>1778</v>
      </c>
      <c r="IC234">
        <v>61</v>
      </c>
      <c r="IE234">
        <v>8</v>
      </c>
      <c r="IF234">
        <v>110</v>
      </c>
      <c r="IG234">
        <v>114</v>
      </c>
      <c r="II234">
        <v>10</v>
      </c>
      <c r="IJ234">
        <v>10</v>
      </c>
      <c r="IK234">
        <v>253</v>
      </c>
      <c r="IL234">
        <v>172</v>
      </c>
      <c r="IM234">
        <v>492</v>
      </c>
      <c r="IN234">
        <v>135</v>
      </c>
      <c r="IO234">
        <v>71</v>
      </c>
      <c r="IP234">
        <v>173</v>
      </c>
      <c r="IQ234">
        <v>50</v>
      </c>
      <c r="IR234">
        <v>158</v>
      </c>
      <c r="IS234">
        <v>35</v>
      </c>
      <c r="IT234">
        <v>138</v>
      </c>
      <c r="IU234">
        <v>154</v>
      </c>
      <c r="IV234">
        <v>303</v>
      </c>
      <c r="IW234">
        <v>1174</v>
      </c>
      <c r="IX234">
        <v>2426</v>
      </c>
      <c r="IY234">
        <v>51</v>
      </c>
      <c r="IZ234">
        <v>740</v>
      </c>
      <c r="JA234">
        <v>789</v>
      </c>
      <c r="JB234">
        <v>220</v>
      </c>
      <c r="JC234">
        <v>50</v>
      </c>
      <c r="JD234">
        <v>448</v>
      </c>
      <c r="JE234">
        <v>64</v>
      </c>
      <c r="JF234">
        <v>216</v>
      </c>
      <c r="JG234">
        <v>2118</v>
      </c>
      <c r="JH234">
        <v>4</v>
      </c>
      <c r="JI234">
        <v>76</v>
      </c>
      <c r="JJ234">
        <v>107</v>
      </c>
      <c r="JK234">
        <v>383</v>
      </c>
      <c r="JL234">
        <v>152</v>
      </c>
      <c r="JM234">
        <v>112</v>
      </c>
      <c r="JN234">
        <v>218</v>
      </c>
      <c r="JO234">
        <v>376</v>
      </c>
      <c r="JP234">
        <v>310</v>
      </c>
      <c r="JQ234">
        <v>714</v>
      </c>
      <c r="JR234">
        <v>123</v>
      </c>
      <c r="JS234">
        <v>1084</v>
      </c>
      <c r="JT234">
        <v>88</v>
      </c>
      <c r="JV234">
        <v>90</v>
      </c>
      <c r="JW234">
        <v>922</v>
      </c>
      <c r="JX234">
        <v>283</v>
      </c>
      <c r="JY234">
        <v>41</v>
      </c>
      <c r="JZ234">
        <v>120</v>
      </c>
      <c r="KA234">
        <v>51</v>
      </c>
      <c r="KB234">
        <v>93</v>
      </c>
      <c r="KC234">
        <v>264</v>
      </c>
      <c r="KD234">
        <v>84</v>
      </c>
      <c r="KE234">
        <v>19</v>
      </c>
      <c r="KF234">
        <v>9</v>
      </c>
      <c r="KH234">
        <v>176</v>
      </c>
      <c r="KI234">
        <v>7</v>
      </c>
      <c r="KJ234">
        <v>15</v>
      </c>
      <c r="KK234">
        <v>323</v>
      </c>
      <c r="KL234">
        <v>582</v>
      </c>
      <c r="KM234">
        <v>190</v>
      </c>
      <c r="KN234">
        <v>17</v>
      </c>
      <c r="KO234">
        <v>20</v>
      </c>
      <c r="KP234">
        <v>23</v>
      </c>
      <c r="KQ234">
        <v>24</v>
      </c>
      <c r="KR234">
        <v>46</v>
      </c>
      <c r="KS234">
        <v>28</v>
      </c>
      <c r="KT234">
        <v>3</v>
      </c>
      <c r="KW234">
        <v>43</v>
      </c>
      <c r="KX234">
        <v>228</v>
      </c>
      <c r="KY234">
        <v>10</v>
      </c>
      <c r="KZ234">
        <v>45</v>
      </c>
      <c r="LA234">
        <v>40</v>
      </c>
      <c r="LB234">
        <v>0</v>
      </c>
      <c r="LD234">
        <v>12</v>
      </c>
      <c r="LI234">
        <v>302</v>
      </c>
      <c r="LK234">
        <v>0</v>
      </c>
      <c r="LL234">
        <v>0</v>
      </c>
      <c r="LM234">
        <v>82</v>
      </c>
      <c r="LN234">
        <v>10</v>
      </c>
      <c r="LO234">
        <v>53</v>
      </c>
      <c r="LP234">
        <v>52</v>
      </c>
      <c r="LR234">
        <v>265</v>
      </c>
      <c r="LS234">
        <v>22</v>
      </c>
      <c r="LT234">
        <v>215</v>
      </c>
      <c r="LU234">
        <v>56</v>
      </c>
      <c r="LV234">
        <v>103</v>
      </c>
      <c r="LW234">
        <v>137</v>
      </c>
      <c r="LX234">
        <v>227</v>
      </c>
      <c r="LY234">
        <v>93</v>
      </c>
      <c r="LZ234">
        <v>110</v>
      </c>
      <c r="MA234">
        <v>337</v>
      </c>
      <c r="MB234">
        <v>50</v>
      </c>
      <c r="MC234">
        <v>70</v>
      </c>
      <c r="MD234">
        <v>29</v>
      </c>
      <c r="ME234">
        <v>238</v>
      </c>
      <c r="MF234">
        <v>70</v>
      </c>
      <c r="MG234">
        <v>134</v>
      </c>
      <c r="MH234">
        <v>935</v>
      </c>
      <c r="MI234">
        <v>124</v>
      </c>
      <c r="MJ234">
        <v>42</v>
      </c>
      <c r="MK234">
        <v>221</v>
      </c>
      <c r="ML234">
        <v>25</v>
      </c>
      <c r="MM234">
        <v>67</v>
      </c>
      <c r="MN234">
        <v>237</v>
      </c>
      <c r="MO234">
        <v>141</v>
      </c>
      <c r="MP234">
        <v>12</v>
      </c>
      <c r="MQ234">
        <v>5</v>
      </c>
      <c r="MR234">
        <v>92</v>
      </c>
      <c r="MS234">
        <v>136</v>
      </c>
      <c r="MT234">
        <v>47</v>
      </c>
      <c r="MU234">
        <v>21</v>
      </c>
      <c r="MV234">
        <v>87</v>
      </c>
      <c r="MW234">
        <v>7</v>
      </c>
      <c r="MX234">
        <v>62</v>
      </c>
      <c r="MY234">
        <v>21</v>
      </c>
      <c r="MZ234">
        <v>96</v>
      </c>
      <c r="NA234">
        <v>0</v>
      </c>
      <c r="NC234">
        <v>215</v>
      </c>
      <c r="ND234">
        <v>62</v>
      </c>
      <c r="NE234">
        <v>122</v>
      </c>
      <c r="NF234">
        <v>8</v>
      </c>
      <c r="NG234">
        <v>26</v>
      </c>
      <c r="NI234">
        <v>24</v>
      </c>
      <c r="NJ234">
        <v>3</v>
      </c>
      <c r="NK234">
        <v>8</v>
      </c>
      <c r="NL234">
        <v>16</v>
      </c>
      <c r="NM234">
        <v>38</v>
      </c>
      <c r="NN234">
        <v>15</v>
      </c>
      <c r="NO234">
        <v>18</v>
      </c>
      <c r="NP234">
        <v>2675</v>
      </c>
      <c r="NQ234">
        <v>6</v>
      </c>
      <c r="NR234">
        <v>8</v>
      </c>
      <c r="NS234">
        <v>19</v>
      </c>
      <c r="NT234">
        <v>38</v>
      </c>
      <c r="NU234">
        <v>22</v>
      </c>
      <c r="NV234">
        <v>81</v>
      </c>
      <c r="NW234">
        <v>0</v>
      </c>
      <c r="NX234">
        <v>3</v>
      </c>
      <c r="NY234">
        <v>5</v>
      </c>
      <c r="NZ234">
        <v>136</v>
      </c>
      <c r="OA234">
        <v>310</v>
      </c>
      <c r="OB234">
        <v>26</v>
      </c>
      <c r="OD234">
        <v>61</v>
      </c>
      <c r="OE234">
        <v>322</v>
      </c>
      <c r="OF234">
        <v>124</v>
      </c>
      <c r="OI234">
        <v>436</v>
      </c>
      <c r="OJ234">
        <v>407</v>
      </c>
      <c r="OK234">
        <v>178</v>
      </c>
      <c r="ON234">
        <v>1</v>
      </c>
      <c r="OO234">
        <v>73735</v>
      </c>
      <c r="OP234">
        <v>1820</v>
      </c>
      <c r="OU234">
        <v>371</v>
      </c>
      <c r="OV234">
        <v>2561</v>
      </c>
      <c r="PI234">
        <v>78488</v>
      </c>
      <c r="PM234" t="str">
        <f>IFERROR(VLOOKUP($A234&amp;"",Key!$A:$C,3,FALSE),"")</f>
        <v>ISIC 17T18</v>
      </c>
    </row>
    <row r="235" spans="1:429" x14ac:dyDescent="0.25">
      <c r="A235">
        <v>322220</v>
      </c>
      <c r="B235" t="s">
        <v>370</v>
      </c>
      <c r="D235">
        <v>1</v>
      </c>
      <c r="E235">
        <v>165</v>
      </c>
      <c r="F235">
        <v>198</v>
      </c>
      <c r="P235">
        <v>14</v>
      </c>
      <c r="Q235">
        <v>15</v>
      </c>
      <c r="R235">
        <v>1</v>
      </c>
      <c r="S235">
        <v>13</v>
      </c>
      <c r="T235">
        <v>4</v>
      </c>
      <c r="U235">
        <v>13</v>
      </c>
      <c r="V235">
        <v>7</v>
      </c>
      <c r="W235">
        <v>12</v>
      </c>
      <c r="X235">
        <v>2</v>
      </c>
      <c r="AA235">
        <v>22</v>
      </c>
      <c r="AB235">
        <v>37</v>
      </c>
      <c r="AC235">
        <v>42</v>
      </c>
      <c r="AD235">
        <v>29</v>
      </c>
      <c r="AE235">
        <v>35</v>
      </c>
      <c r="AF235">
        <v>26</v>
      </c>
      <c r="AG235">
        <v>52</v>
      </c>
      <c r="AH235">
        <v>1</v>
      </c>
      <c r="AI235">
        <v>14</v>
      </c>
      <c r="AJ235">
        <v>4</v>
      </c>
      <c r="AK235">
        <v>1336</v>
      </c>
      <c r="AL235">
        <v>11</v>
      </c>
      <c r="AN235">
        <v>8</v>
      </c>
      <c r="AO235">
        <v>1</v>
      </c>
      <c r="AR235">
        <v>0</v>
      </c>
      <c r="AS235">
        <v>20</v>
      </c>
      <c r="AT235">
        <v>1</v>
      </c>
      <c r="AW235">
        <v>20</v>
      </c>
      <c r="AX235">
        <v>3</v>
      </c>
      <c r="BA235">
        <v>43</v>
      </c>
      <c r="BB235">
        <v>35</v>
      </c>
      <c r="BC235">
        <v>4</v>
      </c>
      <c r="BD235">
        <v>0</v>
      </c>
      <c r="BF235">
        <v>0</v>
      </c>
      <c r="BG235">
        <v>3</v>
      </c>
      <c r="BJ235">
        <v>0</v>
      </c>
      <c r="BK235">
        <v>1</v>
      </c>
      <c r="BO235">
        <v>1</v>
      </c>
      <c r="BP235">
        <v>2</v>
      </c>
      <c r="BQ235">
        <v>2</v>
      </c>
      <c r="BR235">
        <v>3</v>
      </c>
      <c r="BU235">
        <v>1</v>
      </c>
      <c r="BW235">
        <v>5</v>
      </c>
      <c r="BX235">
        <v>2</v>
      </c>
      <c r="BY235">
        <v>1</v>
      </c>
      <c r="BZ235">
        <v>3</v>
      </c>
      <c r="CB235">
        <v>13</v>
      </c>
      <c r="CF235">
        <v>1</v>
      </c>
      <c r="CG235">
        <v>2</v>
      </c>
      <c r="CH235">
        <v>1</v>
      </c>
      <c r="CI235">
        <v>2</v>
      </c>
      <c r="CJ235">
        <v>6</v>
      </c>
      <c r="CK235">
        <v>1</v>
      </c>
      <c r="CL235">
        <v>9</v>
      </c>
      <c r="CN235">
        <v>9</v>
      </c>
      <c r="CO235">
        <v>4</v>
      </c>
      <c r="CP235">
        <v>1</v>
      </c>
      <c r="CQ235">
        <v>4</v>
      </c>
      <c r="CR235">
        <v>5</v>
      </c>
      <c r="CS235">
        <v>1</v>
      </c>
      <c r="CT235">
        <v>3</v>
      </c>
      <c r="CU235">
        <v>1</v>
      </c>
      <c r="CV235">
        <v>1</v>
      </c>
      <c r="CW235">
        <v>8</v>
      </c>
      <c r="CX235">
        <v>0</v>
      </c>
      <c r="CY235">
        <v>1</v>
      </c>
      <c r="CZ235">
        <v>3</v>
      </c>
      <c r="DA235">
        <v>2</v>
      </c>
      <c r="DB235">
        <v>6</v>
      </c>
      <c r="DC235">
        <v>6</v>
      </c>
      <c r="DD235">
        <v>1</v>
      </c>
      <c r="DE235">
        <v>0</v>
      </c>
      <c r="DG235">
        <v>6</v>
      </c>
      <c r="DH235">
        <v>4</v>
      </c>
      <c r="DK235">
        <v>0</v>
      </c>
      <c r="DL235">
        <v>0</v>
      </c>
      <c r="DM235">
        <v>2</v>
      </c>
      <c r="DO235">
        <v>1</v>
      </c>
      <c r="DP235">
        <v>1</v>
      </c>
      <c r="DQ235">
        <v>1</v>
      </c>
      <c r="DR235">
        <v>1</v>
      </c>
      <c r="DS235">
        <v>1</v>
      </c>
      <c r="DU235">
        <v>0</v>
      </c>
      <c r="DW235">
        <v>1</v>
      </c>
      <c r="DX235">
        <v>1</v>
      </c>
      <c r="DZ235">
        <v>1</v>
      </c>
      <c r="EB235">
        <v>0</v>
      </c>
      <c r="EC235">
        <v>1</v>
      </c>
      <c r="ED235">
        <v>8</v>
      </c>
      <c r="EE235">
        <v>2</v>
      </c>
      <c r="EF235">
        <v>3</v>
      </c>
      <c r="EG235">
        <v>1</v>
      </c>
      <c r="EH235">
        <v>2</v>
      </c>
      <c r="EI235">
        <v>1</v>
      </c>
      <c r="EJ235">
        <v>2</v>
      </c>
      <c r="EL235">
        <v>0</v>
      </c>
      <c r="EM235">
        <v>0</v>
      </c>
      <c r="EN235">
        <v>3</v>
      </c>
      <c r="EO235">
        <v>0</v>
      </c>
      <c r="EP235">
        <v>1</v>
      </c>
      <c r="EQ235">
        <v>1</v>
      </c>
      <c r="ER235">
        <v>6</v>
      </c>
      <c r="ES235">
        <v>1</v>
      </c>
      <c r="ET235">
        <v>1</v>
      </c>
      <c r="EX235">
        <v>3</v>
      </c>
      <c r="EY235">
        <v>1</v>
      </c>
      <c r="FA235">
        <v>12</v>
      </c>
      <c r="FB235">
        <v>2</v>
      </c>
      <c r="FC235">
        <v>74</v>
      </c>
      <c r="FD235">
        <v>92</v>
      </c>
      <c r="FE235">
        <v>3</v>
      </c>
      <c r="FG235">
        <v>1</v>
      </c>
      <c r="FH235">
        <v>0</v>
      </c>
      <c r="FJ235">
        <v>0</v>
      </c>
      <c r="FK235">
        <v>1</v>
      </c>
      <c r="FP235">
        <v>0</v>
      </c>
      <c r="FQ235">
        <v>1</v>
      </c>
      <c r="FX235">
        <v>4</v>
      </c>
      <c r="FY235">
        <v>2</v>
      </c>
      <c r="GA235">
        <v>0</v>
      </c>
      <c r="GD235">
        <v>1</v>
      </c>
      <c r="GE235">
        <v>0</v>
      </c>
      <c r="GG235">
        <v>1</v>
      </c>
      <c r="GH235">
        <v>0</v>
      </c>
      <c r="GI235">
        <v>312</v>
      </c>
      <c r="GJ235">
        <v>122</v>
      </c>
      <c r="GK235">
        <v>136</v>
      </c>
      <c r="GL235">
        <v>86</v>
      </c>
      <c r="GM235">
        <v>19</v>
      </c>
      <c r="GN235">
        <v>265</v>
      </c>
      <c r="GO235">
        <v>36</v>
      </c>
      <c r="GP235">
        <v>509</v>
      </c>
      <c r="GQ235">
        <v>171</v>
      </c>
      <c r="GR235">
        <v>25</v>
      </c>
      <c r="GS235">
        <v>224</v>
      </c>
      <c r="GT235">
        <v>293</v>
      </c>
      <c r="GU235">
        <v>122</v>
      </c>
      <c r="GV235">
        <v>34</v>
      </c>
      <c r="GW235">
        <v>235</v>
      </c>
      <c r="GX235">
        <v>365</v>
      </c>
      <c r="GY235">
        <v>56</v>
      </c>
      <c r="GZ235">
        <v>628</v>
      </c>
      <c r="HA235">
        <v>325</v>
      </c>
      <c r="HB235">
        <v>386</v>
      </c>
      <c r="HC235">
        <v>35</v>
      </c>
      <c r="HD235">
        <v>11</v>
      </c>
      <c r="HE235">
        <v>410</v>
      </c>
      <c r="HF235">
        <v>519</v>
      </c>
      <c r="HG235">
        <v>15</v>
      </c>
      <c r="HH235">
        <v>1</v>
      </c>
      <c r="HI235">
        <v>0</v>
      </c>
      <c r="HJ235">
        <v>0</v>
      </c>
      <c r="HR235">
        <v>0</v>
      </c>
      <c r="HS235">
        <v>2</v>
      </c>
      <c r="HT235">
        <v>4</v>
      </c>
      <c r="HU235">
        <v>1008</v>
      </c>
      <c r="HV235">
        <v>89</v>
      </c>
      <c r="HW235">
        <v>16</v>
      </c>
      <c r="HX235">
        <v>76</v>
      </c>
      <c r="HY235">
        <v>4</v>
      </c>
      <c r="HZ235">
        <v>515</v>
      </c>
      <c r="IA235">
        <v>17</v>
      </c>
      <c r="IB235">
        <v>4386</v>
      </c>
      <c r="IC235">
        <v>14</v>
      </c>
      <c r="IG235">
        <v>1</v>
      </c>
      <c r="II235">
        <v>1</v>
      </c>
      <c r="IK235">
        <v>3</v>
      </c>
      <c r="IL235">
        <v>13</v>
      </c>
      <c r="IM235">
        <v>4</v>
      </c>
      <c r="IN235">
        <v>2</v>
      </c>
      <c r="IO235">
        <v>1</v>
      </c>
      <c r="IP235">
        <v>3</v>
      </c>
      <c r="IQ235">
        <v>2</v>
      </c>
      <c r="IR235">
        <v>15</v>
      </c>
      <c r="IS235">
        <v>117</v>
      </c>
      <c r="IT235">
        <v>0</v>
      </c>
      <c r="IU235">
        <v>1</v>
      </c>
      <c r="IV235">
        <v>1</v>
      </c>
      <c r="IW235">
        <v>6</v>
      </c>
      <c r="IX235">
        <v>4</v>
      </c>
      <c r="IZ235">
        <v>131</v>
      </c>
      <c r="JA235">
        <v>1</v>
      </c>
      <c r="JE235">
        <v>128</v>
      </c>
      <c r="JF235">
        <v>0</v>
      </c>
      <c r="JG235">
        <v>204</v>
      </c>
      <c r="JH235">
        <v>0</v>
      </c>
      <c r="JI235">
        <v>0</v>
      </c>
      <c r="JJ235">
        <v>1</v>
      </c>
      <c r="JK235">
        <v>349</v>
      </c>
      <c r="JL235">
        <v>144</v>
      </c>
      <c r="JM235">
        <v>239</v>
      </c>
      <c r="JN235">
        <v>195</v>
      </c>
      <c r="JO235">
        <v>475</v>
      </c>
      <c r="JP235">
        <v>241</v>
      </c>
      <c r="JQ235">
        <v>594</v>
      </c>
      <c r="JR235">
        <v>158</v>
      </c>
      <c r="JS235">
        <v>800</v>
      </c>
      <c r="JT235">
        <v>86</v>
      </c>
      <c r="JV235">
        <v>81</v>
      </c>
      <c r="JW235">
        <v>381</v>
      </c>
      <c r="JX235">
        <v>99</v>
      </c>
      <c r="JY235">
        <v>22</v>
      </c>
      <c r="JZ235">
        <v>102</v>
      </c>
      <c r="KA235">
        <v>26</v>
      </c>
      <c r="KB235">
        <v>82</v>
      </c>
      <c r="KC235">
        <v>215</v>
      </c>
      <c r="KD235">
        <v>80</v>
      </c>
      <c r="KF235">
        <v>2</v>
      </c>
      <c r="KH235">
        <v>14</v>
      </c>
      <c r="KI235">
        <v>11</v>
      </c>
      <c r="KJ235">
        <v>9</v>
      </c>
      <c r="KK235">
        <v>34</v>
      </c>
      <c r="KL235">
        <v>79</v>
      </c>
      <c r="KM235">
        <v>45</v>
      </c>
      <c r="KN235">
        <v>53</v>
      </c>
      <c r="KO235">
        <v>49</v>
      </c>
      <c r="KP235">
        <v>126</v>
      </c>
      <c r="KQ235">
        <v>37</v>
      </c>
      <c r="KR235">
        <v>27</v>
      </c>
      <c r="KS235">
        <v>8</v>
      </c>
      <c r="KW235">
        <v>3</v>
      </c>
      <c r="KX235">
        <v>8</v>
      </c>
      <c r="KZ235">
        <v>36</v>
      </c>
      <c r="LB235">
        <v>2</v>
      </c>
      <c r="LC235">
        <v>173</v>
      </c>
      <c r="LD235">
        <v>199</v>
      </c>
      <c r="LE235">
        <v>11</v>
      </c>
      <c r="LF235">
        <v>5</v>
      </c>
      <c r="LH235">
        <v>2</v>
      </c>
      <c r="LI235">
        <v>104</v>
      </c>
      <c r="LM235">
        <v>416</v>
      </c>
      <c r="LN235">
        <v>4</v>
      </c>
      <c r="LO235">
        <v>5</v>
      </c>
      <c r="LP235">
        <v>14</v>
      </c>
      <c r="LQ235">
        <v>277</v>
      </c>
      <c r="LS235">
        <v>7</v>
      </c>
      <c r="LT235">
        <v>50</v>
      </c>
      <c r="LU235">
        <v>14</v>
      </c>
      <c r="LV235">
        <v>24</v>
      </c>
      <c r="LW235">
        <v>71</v>
      </c>
      <c r="LX235">
        <v>46</v>
      </c>
      <c r="LY235">
        <v>14</v>
      </c>
      <c r="LZ235">
        <v>44</v>
      </c>
      <c r="MA235">
        <v>64</v>
      </c>
      <c r="MB235">
        <v>56</v>
      </c>
      <c r="MC235">
        <v>22</v>
      </c>
      <c r="MD235">
        <v>8</v>
      </c>
      <c r="ME235">
        <v>46</v>
      </c>
      <c r="MF235">
        <v>6</v>
      </c>
      <c r="MG235">
        <v>199</v>
      </c>
      <c r="MH235">
        <v>257</v>
      </c>
      <c r="MI235">
        <v>17</v>
      </c>
      <c r="MJ235">
        <v>9</v>
      </c>
      <c r="MK235">
        <v>252</v>
      </c>
      <c r="ML235">
        <v>9</v>
      </c>
      <c r="MM235">
        <v>22</v>
      </c>
      <c r="MN235">
        <v>210</v>
      </c>
      <c r="MO235">
        <v>152</v>
      </c>
      <c r="MP235">
        <v>1</v>
      </c>
      <c r="MQ235">
        <v>13</v>
      </c>
      <c r="MR235">
        <v>9</v>
      </c>
      <c r="MS235">
        <v>55</v>
      </c>
      <c r="MT235">
        <v>70</v>
      </c>
      <c r="MU235">
        <v>16</v>
      </c>
      <c r="MV235">
        <v>174</v>
      </c>
      <c r="MW235">
        <v>1</v>
      </c>
      <c r="MX235">
        <v>15</v>
      </c>
      <c r="MY235">
        <v>37</v>
      </c>
      <c r="MZ235">
        <v>71</v>
      </c>
      <c r="NA235">
        <v>7</v>
      </c>
      <c r="NB235">
        <v>2</v>
      </c>
      <c r="NC235">
        <v>30</v>
      </c>
      <c r="ND235">
        <v>17</v>
      </c>
      <c r="NE235">
        <v>45</v>
      </c>
      <c r="NG235">
        <v>0</v>
      </c>
      <c r="NJ235">
        <v>1</v>
      </c>
      <c r="NK235">
        <v>0</v>
      </c>
      <c r="NL235">
        <v>7</v>
      </c>
      <c r="NM235">
        <v>20</v>
      </c>
      <c r="NN235">
        <v>1523</v>
      </c>
      <c r="NO235">
        <v>44</v>
      </c>
      <c r="NP235">
        <v>204</v>
      </c>
      <c r="NQ235">
        <v>2</v>
      </c>
      <c r="NR235">
        <v>6</v>
      </c>
      <c r="NS235">
        <v>8</v>
      </c>
      <c r="NT235">
        <v>14</v>
      </c>
      <c r="NU235">
        <v>6</v>
      </c>
      <c r="NV235">
        <v>44</v>
      </c>
      <c r="NW235">
        <v>0</v>
      </c>
      <c r="NX235">
        <v>1</v>
      </c>
      <c r="NY235">
        <v>4</v>
      </c>
      <c r="NZ235">
        <v>66</v>
      </c>
      <c r="OA235">
        <v>8</v>
      </c>
      <c r="OB235">
        <v>19</v>
      </c>
      <c r="OD235">
        <v>99</v>
      </c>
      <c r="OE235">
        <v>80</v>
      </c>
      <c r="OF235">
        <v>4</v>
      </c>
      <c r="OG235">
        <v>0</v>
      </c>
      <c r="OI235">
        <v>490</v>
      </c>
      <c r="OJ235">
        <v>129</v>
      </c>
      <c r="OK235">
        <v>591</v>
      </c>
      <c r="OM235">
        <v>32</v>
      </c>
      <c r="ON235">
        <v>0</v>
      </c>
      <c r="OO235">
        <v>26354</v>
      </c>
      <c r="OP235">
        <v>4477</v>
      </c>
      <c r="OU235">
        <v>67</v>
      </c>
      <c r="OV235">
        <v>4660</v>
      </c>
      <c r="PI235">
        <v>35557</v>
      </c>
      <c r="PM235" t="str">
        <f>IFERROR(VLOOKUP($A235&amp;"",Key!$A:$C,3,FALSE),"")</f>
        <v>ISIC 17T18</v>
      </c>
    </row>
    <row r="236" spans="1:429" x14ac:dyDescent="0.25">
      <c r="A236">
        <v>322230</v>
      </c>
      <c r="B236" t="s">
        <v>371</v>
      </c>
      <c r="D236">
        <v>2</v>
      </c>
      <c r="E236">
        <v>1</v>
      </c>
      <c r="H236">
        <v>0</v>
      </c>
      <c r="AC236">
        <v>1</v>
      </c>
      <c r="AD236">
        <v>0</v>
      </c>
      <c r="AG236">
        <v>8</v>
      </c>
      <c r="CB236">
        <v>2</v>
      </c>
      <c r="CI236">
        <v>1</v>
      </c>
      <c r="CK236">
        <v>1</v>
      </c>
      <c r="CL236">
        <v>3</v>
      </c>
      <c r="GT236">
        <v>2</v>
      </c>
      <c r="HU236">
        <v>0</v>
      </c>
      <c r="HV236">
        <v>0</v>
      </c>
      <c r="HY236">
        <v>9</v>
      </c>
      <c r="IB236">
        <v>210</v>
      </c>
      <c r="IK236">
        <v>1</v>
      </c>
      <c r="IL236">
        <v>1</v>
      </c>
      <c r="JK236">
        <v>4</v>
      </c>
      <c r="JL236">
        <v>3</v>
      </c>
      <c r="JM236">
        <v>2</v>
      </c>
      <c r="JN236">
        <v>6</v>
      </c>
      <c r="JO236">
        <v>9</v>
      </c>
      <c r="JQ236">
        <v>4</v>
      </c>
      <c r="JR236">
        <v>16</v>
      </c>
      <c r="JV236">
        <v>2</v>
      </c>
      <c r="JW236">
        <v>3</v>
      </c>
      <c r="JX236">
        <v>2</v>
      </c>
      <c r="JY236">
        <v>0</v>
      </c>
      <c r="JZ236">
        <v>4</v>
      </c>
      <c r="KA236">
        <v>2</v>
      </c>
      <c r="KB236">
        <v>5</v>
      </c>
      <c r="KC236">
        <v>14</v>
      </c>
      <c r="KD236">
        <v>11</v>
      </c>
      <c r="KF236">
        <v>6</v>
      </c>
      <c r="KI236">
        <v>65</v>
      </c>
      <c r="KJ236">
        <v>4</v>
      </c>
      <c r="KK236">
        <v>857</v>
      </c>
      <c r="KL236">
        <v>1</v>
      </c>
      <c r="KR236">
        <v>1</v>
      </c>
      <c r="KZ236">
        <v>4</v>
      </c>
      <c r="LB236">
        <v>1</v>
      </c>
      <c r="LC236">
        <v>201</v>
      </c>
      <c r="LD236">
        <v>193</v>
      </c>
      <c r="LE236">
        <v>11</v>
      </c>
      <c r="LF236">
        <v>24</v>
      </c>
      <c r="LI236">
        <v>3</v>
      </c>
      <c r="LM236">
        <v>42</v>
      </c>
      <c r="LP236">
        <v>7</v>
      </c>
      <c r="LR236">
        <v>6</v>
      </c>
      <c r="LT236">
        <v>13</v>
      </c>
      <c r="LV236">
        <v>0</v>
      </c>
      <c r="LW236">
        <v>16</v>
      </c>
      <c r="LZ236">
        <v>2</v>
      </c>
      <c r="MA236">
        <v>3</v>
      </c>
      <c r="MC236">
        <v>2</v>
      </c>
      <c r="MD236">
        <v>1</v>
      </c>
      <c r="MF236">
        <v>9</v>
      </c>
      <c r="MH236">
        <v>18</v>
      </c>
      <c r="MJ236">
        <v>1</v>
      </c>
      <c r="MK236">
        <v>25</v>
      </c>
      <c r="MM236">
        <v>2</v>
      </c>
      <c r="MN236">
        <v>1</v>
      </c>
      <c r="MO236">
        <v>1</v>
      </c>
      <c r="MQ236">
        <v>33</v>
      </c>
      <c r="MR236">
        <v>1</v>
      </c>
      <c r="MS236">
        <v>8</v>
      </c>
      <c r="MT236">
        <v>15</v>
      </c>
      <c r="MU236">
        <v>2</v>
      </c>
      <c r="MV236">
        <v>1</v>
      </c>
      <c r="MY236">
        <v>9</v>
      </c>
      <c r="MZ236">
        <v>21</v>
      </c>
      <c r="NE236">
        <v>1</v>
      </c>
      <c r="NM236">
        <v>3</v>
      </c>
      <c r="NN236">
        <v>1272</v>
      </c>
      <c r="NO236">
        <v>15</v>
      </c>
      <c r="NP236">
        <v>13</v>
      </c>
      <c r="NR236">
        <v>1</v>
      </c>
      <c r="NS236">
        <v>0</v>
      </c>
      <c r="NT236">
        <v>1</v>
      </c>
      <c r="NV236">
        <v>5</v>
      </c>
      <c r="NZ236">
        <v>17</v>
      </c>
      <c r="OA236">
        <v>0</v>
      </c>
      <c r="OD236">
        <v>12</v>
      </c>
      <c r="OE236">
        <v>1286</v>
      </c>
      <c r="OI236">
        <v>1144</v>
      </c>
      <c r="OJ236">
        <v>222</v>
      </c>
      <c r="OK236">
        <v>891</v>
      </c>
      <c r="OO236">
        <v>6820</v>
      </c>
      <c r="OP236">
        <v>1450</v>
      </c>
      <c r="OU236">
        <v>-31</v>
      </c>
      <c r="OV236">
        <v>492</v>
      </c>
      <c r="PI236">
        <v>8731</v>
      </c>
      <c r="PM236" t="str">
        <f>IFERROR(VLOOKUP($A236&amp;"",Key!$A:$C,3,FALSE),"")</f>
        <v>ISIC 17T18</v>
      </c>
    </row>
    <row r="237" spans="1:429" x14ac:dyDescent="0.25">
      <c r="A237">
        <v>322291</v>
      </c>
      <c r="B237" t="s">
        <v>372</v>
      </c>
      <c r="C237">
        <v>1</v>
      </c>
      <c r="D237">
        <v>1</v>
      </c>
      <c r="G237">
        <v>1</v>
      </c>
      <c r="H237">
        <v>1</v>
      </c>
      <c r="I237">
        <v>1</v>
      </c>
      <c r="AC237">
        <v>0</v>
      </c>
      <c r="GP237">
        <v>1</v>
      </c>
      <c r="HH237">
        <v>0</v>
      </c>
      <c r="HZ237">
        <v>3</v>
      </c>
      <c r="IW237">
        <v>3</v>
      </c>
      <c r="IX237">
        <v>1</v>
      </c>
      <c r="JG237">
        <v>1</v>
      </c>
      <c r="JQ237">
        <v>1</v>
      </c>
      <c r="MA237">
        <v>1</v>
      </c>
      <c r="MD237">
        <v>113</v>
      </c>
      <c r="MH237">
        <v>41</v>
      </c>
      <c r="MS237">
        <v>128</v>
      </c>
      <c r="MV237">
        <v>464</v>
      </c>
      <c r="MZ237">
        <v>1734</v>
      </c>
      <c r="NA237">
        <v>688</v>
      </c>
      <c r="NB237">
        <v>395</v>
      </c>
      <c r="NC237">
        <v>456</v>
      </c>
      <c r="ND237">
        <v>6</v>
      </c>
      <c r="NE237">
        <v>4</v>
      </c>
      <c r="NM237">
        <v>2</v>
      </c>
      <c r="OE237">
        <v>531</v>
      </c>
      <c r="OJ237">
        <v>1631</v>
      </c>
      <c r="OO237">
        <v>6208</v>
      </c>
      <c r="OP237">
        <v>22990</v>
      </c>
      <c r="OU237">
        <v>285</v>
      </c>
      <c r="OV237">
        <v>752</v>
      </c>
      <c r="PI237">
        <v>30236</v>
      </c>
      <c r="PM237" t="str">
        <f>IFERROR(VLOOKUP($A237&amp;"",Key!$A:$C,3,FALSE),"")</f>
        <v>ISIC 17T18</v>
      </c>
    </row>
    <row r="238" spans="1:429" x14ac:dyDescent="0.25">
      <c r="A238">
        <v>322299</v>
      </c>
      <c r="B238" t="s">
        <v>373</v>
      </c>
      <c r="K238">
        <v>8</v>
      </c>
      <c r="AK238">
        <v>19</v>
      </c>
      <c r="AX238">
        <v>2</v>
      </c>
      <c r="BA238">
        <v>24</v>
      </c>
      <c r="BB238">
        <v>2</v>
      </c>
      <c r="BW238">
        <v>1</v>
      </c>
      <c r="CB238">
        <v>2</v>
      </c>
      <c r="DD238">
        <v>3</v>
      </c>
      <c r="ET238">
        <v>4</v>
      </c>
      <c r="GE238">
        <v>13</v>
      </c>
      <c r="GI238">
        <v>43</v>
      </c>
      <c r="GJ238">
        <v>24</v>
      </c>
      <c r="GK238">
        <v>18</v>
      </c>
      <c r="GL238">
        <v>1</v>
      </c>
      <c r="GO238">
        <v>33</v>
      </c>
      <c r="GP238">
        <v>281</v>
      </c>
      <c r="GQ238">
        <v>167</v>
      </c>
      <c r="GR238">
        <v>17</v>
      </c>
      <c r="GS238">
        <v>249</v>
      </c>
      <c r="GT238">
        <v>86</v>
      </c>
      <c r="GU238">
        <v>209</v>
      </c>
      <c r="GV238">
        <v>55</v>
      </c>
      <c r="GW238">
        <v>57</v>
      </c>
      <c r="GX238">
        <v>207</v>
      </c>
      <c r="GY238">
        <v>32</v>
      </c>
      <c r="GZ238">
        <v>158</v>
      </c>
      <c r="HA238">
        <v>272</v>
      </c>
      <c r="HB238">
        <v>188</v>
      </c>
      <c r="HC238">
        <v>17</v>
      </c>
      <c r="HD238">
        <v>12</v>
      </c>
      <c r="HE238">
        <v>43</v>
      </c>
      <c r="HF238">
        <v>71</v>
      </c>
      <c r="HT238">
        <v>16</v>
      </c>
      <c r="HU238">
        <v>461</v>
      </c>
      <c r="HV238">
        <v>179</v>
      </c>
      <c r="HW238">
        <v>86</v>
      </c>
      <c r="HZ238">
        <v>375</v>
      </c>
      <c r="IA238">
        <v>6</v>
      </c>
      <c r="IF238">
        <v>20</v>
      </c>
      <c r="JG238">
        <v>3</v>
      </c>
      <c r="JK238">
        <v>32</v>
      </c>
      <c r="JL238">
        <v>10</v>
      </c>
      <c r="JM238">
        <v>18</v>
      </c>
      <c r="JN238">
        <v>18</v>
      </c>
      <c r="JO238">
        <v>30</v>
      </c>
      <c r="JP238">
        <v>12</v>
      </c>
      <c r="JQ238">
        <v>45</v>
      </c>
      <c r="JS238">
        <v>46</v>
      </c>
      <c r="JT238">
        <v>5</v>
      </c>
      <c r="JV238">
        <v>7</v>
      </c>
      <c r="JW238">
        <v>26</v>
      </c>
      <c r="JX238">
        <v>8</v>
      </c>
      <c r="JZ238">
        <v>6</v>
      </c>
      <c r="KA238">
        <v>2</v>
      </c>
      <c r="KB238">
        <v>2</v>
      </c>
      <c r="KC238">
        <v>13</v>
      </c>
      <c r="KK238">
        <v>12</v>
      </c>
      <c r="MF238">
        <v>1</v>
      </c>
      <c r="MQ238">
        <v>1</v>
      </c>
      <c r="NN238">
        <v>2</v>
      </c>
      <c r="NO238">
        <v>538</v>
      </c>
      <c r="NP238">
        <v>714</v>
      </c>
      <c r="NQ238">
        <v>244</v>
      </c>
      <c r="OD238">
        <v>1</v>
      </c>
      <c r="OE238">
        <v>33</v>
      </c>
      <c r="OI238">
        <v>248</v>
      </c>
      <c r="OJ238">
        <v>65</v>
      </c>
      <c r="OK238">
        <v>254</v>
      </c>
      <c r="OO238">
        <v>5856</v>
      </c>
      <c r="OP238">
        <v>1170</v>
      </c>
      <c r="OU238">
        <v>20</v>
      </c>
      <c r="OV238">
        <v>274</v>
      </c>
      <c r="PI238">
        <v>7320</v>
      </c>
      <c r="PM238" t="str">
        <f>IFERROR(VLOOKUP($A238&amp;"",Key!$A:$C,3,FALSE),"")</f>
        <v>ISIC 17T18</v>
      </c>
    </row>
    <row r="239" spans="1:429" x14ac:dyDescent="0.25">
      <c r="A239">
        <v>323110</v>
      </c>
      <c r="B239" t="s">
        <v>374</v>
      </c>
      <c r="C239">
        <v>1</v>
      </c>
      <c r="D239">
        <v>3</v>
      </c>
      <c r="E239">
        <v>1</v>
      </c>
      <c r="F239">
        <v>0</v>
      </c>
      <c r="G239">
        <v>1</v>
      </c>
      <c r="H239">
        <v>1</v>
      </c>
      <c r="I239">
        <v>6</v>
      </c>
      <c r="J239">
        <v>2</v>
      </c>
      <c r="K239">
        <v>1</v>
      </c>
      <c r="L239">
        <v>0</v>
      </c>
      <c r="P239">
        <v>5</v>
      </c>
      <c r="Q239">
        <v>2</v>
      </c>
      <c r="Y239">
        <v>12</v>
      </c>
      <c r="AC239">
        <v>2</v>
      </c>
      <c r="AD239">
        <v>9</v>
      </c>
      <c r="AG239">
        <v>15</v>
      </c>
      <c r="AK239">
        <v>25</v>
      </c>
      <c r="AL239">
        <v>1</v>
      </c>
      <c r="AP239">
        <v>6</v>
      </c>
      <c r="BR239">
        <v>0</v>
      </c>
      <c r="BU239">
        <v>0</v>
      </c>
      <c r="BW239">
        <v>1</v>
      </c>
      <c r="CB239">
        <v>13</v>
      </c>
      <c r="CG239">
        <v>0</v>
      </c>
      <c r="CI239">
        <v>1</v>
      </c>
      <c r="CL239">
        <v>2</v>
      </c>
      <c r="CR239">
        <v>1</v>
      </c>
      <c r="CT239">
        <v>0</v>
      </c>
      <c r="CU239">
        <v>0</v>
      </c>
      <c r="CW239">
        <v>2</v>
      </c>
      <c r="DB239">
        <v>1</v>
      </c>
      <c r="DC239">
        <v>1</v>
      </c>
      <c r="DG239">
        <v>1</v>
      </c>
      <c r="EJ239">
        <v>0</v>
      </c>
      <c r="EN239">
        <v>3</v>
      </c>
      <c r="EP239">
        <v>0</v>
      </c>
      <c r="FC239">
        <v>5</v>
      </c>
      <c r="GP239">
        <v>2</v>
      </c>
      <c r="GR239">
        <v>43</v>
      </c>
      <c r="GS239">
        <v>1</v>
      </c>
      <c r="GT239">
        <v>12</v>
      </c>
      <c r="GX239">
        <v>2</v>
      </c>
      <c r="HH239">
        <v>5</v>
      </c>
      <c r="HR239">
        <v>1</v>
      </c>
      <c r="IB239">
        <v>646</v>
      </c>
      <c r="IC239">
        <v>10</v>
      </c>
      <c r="IE239">
        <v>3</v>
      </c>
      <c r="IM239">
        <v>2</v>
      </c>
      <c r="IO239">
        <v>9</v>
      </c>
      <c r="IP239">
        <v>92</v>
      </c>
      <c r="IQ239">
        <v>20</v>
      </c>
      <c r="IR239">
        <v>76</v>
      </c>
      <c r="IT239">
        <v>0</v>
      </c>
      <c r="IW239">
        <v>85</v>
      </c>
      <c r="JK239">
        <v>1287</v>
      </c>
      <c r="JL239">
        <v>2087</v>
      </c>
      <c r="JM239">
        <v>1305</v>
      </c>
      <c r="JN239">
        <v>524</v>
      </c>
      <c r="JO239">
        <v>1482</v>
      </c>
      <c r="JP239">
        <v>3309</v>
      </c>
      <c r="JQ239">
        <v>888</v>
      </c>
      <c r="JR239">
        <v>162</v>
      </c>
      <c r="JS239">
        <v>1784</v>
      </c>
      <c r="JT239">
        <v>535</v>
      </c>
      <c r="JV239">
        <v>295</v>
      </c>
      <c r="JW239">
        <v>216</v>
      </c>
      <c r="JX239">
        <v>236</v>
      </c>
      <c r="JY239">
        <v>30</v>
      </c>
      <c r="JZ239">
        <v>100</v>
      </c>
      <c r="KA239">
        <v>103</v>
      </c>
      <c r="KB239">
        <v>77</v>
      </c>
      <c r="KC239">
        <v>5725</v>
      </c>
      <c r="KD239">
        <v>235</v>
      </c>
      <c r="KE239">
        <v>9</v>
      </c>
      <c r="KF239">
        <v>13</v>
      </c>
      <c r="KH239">
        <v>265</v>
      </c>
      <c r="KI239">
        <v>114</v>
      </c>
      <c r="KJ239">
        <v>5</v>
      </c>
      <c r="KK239">
        <v>293</v>
      </c>
      <c r="KL239">
        <v>31</v>
      </c>
      <c r="KM239">
        <v>20</v>
      </c>
      <c r="KN239">
        <v>857</v>
      </c>
      <c r="KO239">
        <v>739</v>
      </c>
      <c r="KP239">
        <v>1182</v>
      </c>
      <c r="KQ239">
        <v>471</v>
      </c>
      <c r="KR239">
        <v>156</v>
      </c>
      <c r="KS239">
        <v>321</v>
      </c>
      <c r="KT239">
        <v>153</v>
      </c>
      <c r="KV239">
        <v>66</v>
      </c>
      <c r="KW239">
        <v>206</v>
      </c>
      <c r="KX239">
        <v>74</v>
      </c>
      <c r="KY239">
        <v>34</v>
      </c>
      <c r="KZ239">
        <v>313</v>
      </c>
      <c r="LA239">
        <v>3403</v>
      </c>
      <c r="LB239">
        <v>1</v>
      </c>
      <c r="LC239">
        <v>853</v>
      </c>
      <c r="LD239">
        <v>727</v>
      </c>
      <c r="LE239">
        <v>1080</v>
      </c>
      <c r="LF239">
        <v>190</v>
      </c>
      <c r="LG239">
        <v>1231</v>
      </c>
      <c r="LH239">
        <v>2245</v>
      </c>
      <c r="LI239">
        <v>611</v>
      </c>
      <c r="LM239">
        <v>208</v>
      </c>
      <c r="LN239">
        <v>28</v>
      </c>
      <c r="LO239">
        <v>44</v>
      </c>
      <c r="LP239">
        <v>31</v>
      </c>
      <c r="LQ239">
        <v>429</v>
      </c>
      <c r="LR239">
        <v>1025</v>
      </c>
      <c r="LS239">
        <v>190</v>
      </c>
      <c r="LT239">
        <v>155</v>
      </c>
      <c r="LU239">
        <v>92</v>
      </c>
      <c r="LV239">
        <v>256</v>
      </c>
      <c r="LW239">
        <v>586</v>
      </c>
      <c r="LX239">
        <v>1047</v>
      </c>
      <c r="LY239">
        <v>193</v>
      </c>
      <c r="LZ239">
        <v>175</v>
      </c>
      <c r="MA239">
        <v>2465</v>
      </c>
      <c r="MB239">
        <v>434</v>
      </c>
      <c r="MC239">
        <v>114</v>
      </c>
      <c r="MD239">
        <v>12</v>
      </c>
      <c r="ME239">
        <v>266</v>
      </c>
      <c r="MF239">
        <v>834</v>
      </c>
      <c r="MG239">
        <v>268</v>
      </c>
      <c r="MH239">
        <v>75</v>
      </c>
      <c r="MI239">
        <v>75</v>
      </c>
      <c r="MJ239">
        <v>15</v>
      </c>
      <c r="MK239">
        <v>905</v>
      </c>
      <c r="ML239">
        <v>391</v>
      </c>
      <c r="MM239">
        <v>33</v>
      </c>
      <c r="MN239">
        <v>1679</v>
      </c>
      <c r="MO239">
        <v>20</v>
      </c>
      <c r="MQ239">
        <v>127</v>
      </c>
      <c r="MR239">
        <v>787</v>
      </c>
      <c r="MS239">
        <v>946</v>
      </c>
      <c r="MT239">
        <v>326</v>
      </c>
      <c r="MU239">
        <v>122</v>
      </c>
      <c r="MV239">
        <v>226</v>
      </c>
      <c r="MW239">
        <v>40</v>
      </c>
      <c r="MX239">
        <v>143</v>
      </c>
      <c r="MY239">
        <v>82</v>
      </c>
      <c r="MZ239">
        <v>3150</v>
      </c>
      <c r="NA239">
        <v>117</v>
      </c>
      <c r="NB239">
        <v>28</v>
      </c>
      <c r="NC239">
        <v>1679</v>
      </c>
      <c r="ND239">
        <v>19</v>
      </c>
      <c r="NE239">
        <v>923</v>
      </c>
      <c r="NF239">
        <v>82</v>
      </c>
      <c r="NG239">
        <v>52</v>
      </c>
      <c r="NH239">
        <v>31</v>
      </c>
      <c r="NI239">
        <v>104</v>
      </c>
      <c r="NJ239">
        <v>651</v>
      </c>
      <c r="NK239">
        <v>11</v>
      </c>
      <c r="NL239">
        <v>114</v>
      </c>
      <c r="NM239">
        <v>119</v>
      </c>
      <c r="NN239">
        <v>1174</v>
      </c>
      <c r="NO239">
        <v>317</v>
      </c>
      <c r="NP239">
        <v>674</v>
      </c>
      <c r="NQ239">
        <v>67</v>
      </c>
      <c r="NR239">
        <v>110</v>
      </c>
      <c r="NS239">
        <v>4</v>
      </c>
      <c r="NT239">
        <v>11</v>
      </c>
      <c r="NV239">
        <v>185</v>
      </c>
      <c r="NW239">
        <v>0</v>
      </c>
      <c r="NX239">
        <v>27</v>
      </c>
      <c r="NY239">
        <v>384</v>
      </c>
      <c r="NZ239">
        <v>77</v>
      </c>
      <c r="OA239">
        <v>666</v>
      </c>
      <c r="OB239">
        <v>587</v>
      </c>
      <c r="OD239">
        <v>587</v>
      </c>
      <c r="OE239">
        <v>1793</v>
      </c>
      <c r="OF239">
        <v>21</v>
      </c>
      <c r="OH239">
        <v>2</v>
      </c>
      <c r="OI239">
        <v>4865</v>
      </c>
      <c r="OJ239">
        <v>1421</v>
      </c>
      <c r="OK239">
        <v>1798</v>
      </c>
      <c r="OL239">
        <v>0</v>
      </c>
      <c r="ON239">
        <v>514</v>
      </c>
      <c r="OO239">
        <v>74379</v>
      </c>
      <c r="OP239">
        <v>8499</v>
      </c>
      <c r="OU239">
        <v>331</v>
      </c>
      <c r="OV239">
        <v>2231</v>
      </c>
      <c r="PI239">
        <v>85440</v>
      </c>
      <c r="PM239" t="str">
        <f>IFERROR(VLOOKUP($A239&amp;"",Key!$A:$C,3,FALSE),"")</f>
        <v>ISIC 17T18</v>
      </c>
    </row>
    <row r="240" spans="1:429" x14ac:dyDescent="0.25">
      <c r="A240">
        <v>323120</v>
      </c>
      <c r="B240" t="s">
        <v>375</v>
      </c>
      <c r="IB240">
        <v>864</v>
      </c>
      <c r="IC240">
        <v>44</v>
      </c>
      <c r="JQ240">
        <v>0</v>
      </c>
      <c r="JX240">
        <v>0</v>
      </c>
      <c r="KN240">
        <v>84</v>
      </c>
      <c r="KO240">
        <v>42</v>
      </c>
      <c r="KP240">
        <v>1507</v>
      </c>
      <c r="KQ240">
        <v>46</v>
      </c>
      <c r="KV240">
        <v>176</v>
      </c>
      <c r="KW240">
        <v>21</v>
      </c>
      <c r="KX240">
        <v>47</v>
      </c>
      <c r="KY240">
        <v>3</v>
      </c>
      <c r="LA240">
        <v>161</v>
      </c>
      <c r="LB240">
        <v>13</v>
      </c>
      <c r="LT240">
        <v>6</v>
      </c>
      <c r="LV240">
        <v>1</v>
      </c>
      <c r="LW240">
        <v>87</v>
      </c>
      <c r="LY240">
        <v>4</v>
      </c>
      <c r="LZ240">
        <v>6</v>
      </c>
      <c r="MA240">
        <v>196</v>
      </c>
      <c r="MC240">
        <v>189</v>
      </c>
      <c r="ME240">
        <v>50</v>
      </c>
      <c r="MF240">
        <v>409</v>
      </c>
      <c r="MK240">
        <v>29</v>
      </c>
      <c r="MN240">
        <v>26</v>
      </c>
      <c r="MP240">
        <v>0</v>
      </c>
      <c r="MQ240">
        <v>3</v>
      </c>
      <c r="MR240">
        <v>1</v>
      </c>
      <c r="NC240">
        <v>14</v>
      </c>
      <c r="OB240">
        <v>15</v>
      </c>
      <c r="OD240">
        <v>0</v>
      </c>
      <c r="OE240">
        <v>12</v>
      </c>
      <c r="OF240">
        <v>35</v>
      </c>
      <c r="OI240">
        <v>445</v>
      </c>
      <c r="OJ240">
        <v>16</v>
      </c>
      <c r="OK240">
        <v>7</v>
      </c>
      <c r="OO240">
        <v>4562</v>
      </c>
      <c r="OU240">
        <v>-18</v>
      </c>
      <c r="OV240">
        <v>66</v>
      </c>
      <c r="PI240">
        <v>4610</v>
      </c>
      <c r="PM240" t="str">
        <f>IFERROR(VLOOKUP($A240&amp;"",Key!$A:$C,3,FALSE),"")</f>
        <v>ISIC 17T18</v>
      </c>
    </row>
    <row r="241" spans="1:429" x14ac:dyDescent="0.25">
      <c r="A241">
        <v>324110</v>
      </c>
      <c r="B241" t="s">
        <v>376</v>
      </c>
      <c r="C241">
        <v>785</v>
      </c>
      <c r="D241">
        <v>3175</v>
      </c>
      <c r="E241">
        <v>561</v>
      </c>
      <c r="F241">
        <v>432</v>
      </c>
      <c r="G241">
        <v>1043</v>
      </c>
      <c r="H241">
        <v>1502</v>
      </c>
      <c r="I241">
        <v>1633</v>
      </c>
      <c r="J241">
        <v>1306</v>
      </c>
      <c r="K241">
        <v>910</v>
      </c>
      <c r="L241">
        <v>381</v>
      </c>
      <c r="M241">
        <v>53</v>
      </c>
      <c r="N241">
        <v>370</v>
      </c>
      <c r="O241">
        <v>80</v>
      </c>
      <c r="P241">
        <v>2555</v>
      </c>
      <c r="Q241">
        <v>1324</v>
      </c>
      <c r="R241">
        <v>570</v>
      </c>
      <c r="S241">
        <v>925</v>
      </c>
      <c r="T241">
        <v>685</v>
      </c>
      <c r="U241">
        <v>706</v>
      </c>
      <c r="V241">
        <v>410</v>
      </c>
      <c r="W241">
        <v>1802</v>
      </c>
      <c r="X241">
        <v>15249</v>
      </c>
      <c r="Y241">
        <v>4</v>
      </c>
      <c r="Z241">
        <v>404</v>
      </c>
      <c r="AA241">
        <v>646</v>
      </c>
      <c r="AB241">
        <v>1652</v>
      </c>
      <c r="AC241">
        <v>5756</v>
      </c>
      <c r="AD241">
        <v>1318</v>
      </c>
      <c r="AE241">
        <v>3296</v>
      </c>
      <c r="AF241">
        <v>1023</v>
      </c>
      <c r="AG241">
        <v>5019</v>
      </c>
      <c r="AH241">
        <v>1303</v>
      </c>
      <c r="AI241">
        <v>2199</v>
      </c>
      <c r="AJ241">
        <v>2228</v>
      </c>
      <c r="AK241">
        <v>3723</v>
      </c>
      <c r="AL241">
        <v>4071</v>
      </c>
      <c r="AM241">
        <v>177</v>
      </c>
      <c r="AN241">
        <v>460</v>
      </c>
      <c r="AO241">
        <v>69</v>
      </c>
      <c r="AP241">
        <v>172</v>
      </c>
      <c r="AQ241">
        <v>52</v>
      </c>
      <c r="AR241">
        <v>142</v>
      </c>
      <c r="AS241">
        <v>145</v>
      </c>
      <c r="AT241">
        <v>76</v>
      </c>
      <c r="AU241">
        <v>11</v>
      </c>
      <c r="AV241">
        <v>16</v>
      </c>
      <c r="AW241">
        <v>121</v>
      </c>
      <c r="AX241">
        <v>8</v>
      </c>
      <c r="AY241">
        <v>10</v>
      </c>
      <c r="AZ241">
        <v>22</v>
      </c>
      <c r="BA241">
        <v>26</v>
      </c>
      <c r="BB241">
        <v>15</v>
      </c>
      <c r="BC241">
        <v>185</v>
      </c>
      <c r="BD241">
        <v>28</v>
      </c>
      <c r="BE241">
        <v>8</v>
      </c>
      <c r="BF241">
        <v>11</v>
      </c>
      <c r="BG241">
        <v>24</v>
      </c>
      <c r="BH241">
        <v>8</v>
      </c>
      <c r="BI241">
        <v>9</v>
      </c>
      <c r="BJ241">
        <v>9</v>
      </c>
      <c r="BK241">
        <v>12</v>
      </c>
      <c r="BL241">
        <v>19</v>
      </c>
      <c r="BM241">
        <v>29</v>
      </c>
      <c r="BN241">
        <v>52</v>
      </c>
      <c r="BO241">
        <v>16</v>
      </c>
      <c r="BP241">
        <v>23</v>
      </c>
      <c r="BQ241">
        <v>54</v>
      </c>
      <c r="BR241">
        <v>44</v>
      </c>
      <c r="BS241">
        <v>6</v>
      </c>
      <c r="BT241">
        <v>12</v>
      </c>
      <c r="BU241">
        <v>14</v>
      </c>
      <c r="BV241">
        <v>11</v>
      </c>
      <c r="BW241">
        <v>16</v>
      </c>
      <c r="BX241">
        <v>126</v>
      </c>
      <c r="BY241">
        <v>52</v>
      </c>
      <c r="BZ241">
        <v>357</v>
      </c>
      <c r="CA241">
        <v>11</v>
      </c>
      <c r="CB241">
        <v>16</v>
      </c>
      <c r="CC241">
        <v>8</v>
      </c>
      <c r="CD241">
        <v>8</v>
      </c>
      <c r="CE241">
        <v>19</v>
      </c>
      <c r="CF241">
        <v>47</v>
      </c>
      <c r="CG241">
        <v>25</v>
      </c>
      <c r="CH241">
        <v>2</v>
      </c>
      <c r="CI241">
        <v>149</v>
      </c>
      <c r="CJ241">
        <v>22</v>
      </c>
      <c r="CK241">
        <v>3</v>
      </c>
      <c r="CL241">
        <v>37</v>
      </c>
      <c r="CM241">
        <v>6</v>
      </c>
      <c r="CN241">
        <v>0</v>
      </c>
      <c r="CO241">
        <v>276</v>
      </c>
      <c r="CP241">
        <v>8</v>
      </c>
      <c r="CQ241">
        <v>22</v>
      </c>
      <c r="CR241">
        <v>5</v>
      </c>
      <c r="CS241">
        <v>10</v>
      </c>
      <c r="CT241">
        <v>6</v>
      </c>
      <c r="CU241">
        <v>6</v>
      </c>
      <c r="CV241">
        <v>10</v>
      </c>
      <c r="CW241">
        <v>8</v>
      </c>
      <c r="CX241">
        <v>4</v>
      </c>
      <c r="CY241">
        <v>5</v>
      </c>
      <c r="CZ241">
        <v>21</v>
      </c>
      <c r="DA241">
        <v>6</v>
      </c>
      <c r="DB241">
        <v>11</v>
      </c>
      <c r="DC241">
        <v>22</v>
      </c>
      <c r="DD241">
        <v>2</v>
      </c>
      <c r="DE241">
        <v>5</v>
      </c>
      <c r="DF241">
        <v>2</v>
      </c>
      <c r="DG241">
        <v>50</v>
      </c>
      <c r="DH241">
        <v>8</v>
      </c>
      <c r="DI241">
        <v>0</v>
      </c>
      <c r="DJ241">
        <v>0</v>
      </c>
      <c r="DK241">
        <v>6</v>
      </c>
      <c r="DL241">
        <v>0</v>
      </c>
      <c r="DM241">
        <v>1</v>
      </c>
      <c r="DN241">
        <v>0</v>
      </c>
      <c r="DO241">
        <v>48</v>
      </c>
      <c r="DP241">
        <v>1</v>
      </c>
      <c r="DQ241">
        <v>1</v>
      </c>
      <c r="DR241">
        <v>7</v>
      </c>
      <c r="DS241">
        <v>20</v>
      </c>
      <c r="DT241">
        <v>0</v>
      </c>
      <c r="DU241">
        <v>1</v>
      </c>
      <c r="DV241">
        <v>0</v>
      </c>
      <c r="DW241">
        <v>0</v>
      </c>
      <c r="DX241">
        <v>5</v>
      </c>
      <c r="DY241">
        <v>0</v>
      </c>
      <c r="DZ241">
        <v>3</v>
      </c>
      <c r="EA241">
        <v>0</v>
      </c>
      <c r="EB241">
        <v>0</v>
      </c>
      <c r="EC241">
        <v>1</v>
      </c>
      <c r="ED241">
        <v>6</v>
      </c>
      <c r="EE241">
        <v>0</v>
      </c>
      <c r="EF241">
        <v>2</v>
      </c>
      <c r="EG241">
        <v>7</v>
      </c>
      <c r="EH241">
        <v>5</v>
      </c>
      <c r="EI241">
        <v>6</v>
      </c>
      <c r="EJ241">
        <v>1</v>
      </c>
      <c r="EK241">
        <v>20</v>
      </c>
      <c r="EL241">
        <v>0</v>
      </c>
      <c r="EM241">
        <v>4</v>
      </c>
      <c r="EN241">
        <v>4</v>
      </c>
      <c r="EO241">
        <v>6</v>
      </c>
      <c r="EP241">
        <v>3</v>
      </c>
      <c r="EQ241">
        <v>1</v>
      </c>
      <c r="ER241">
        <v>40</v>
      </c>
      <c r="ES241">
        <v>8</v>
      </c>
      <c r="ET241">
        <v>14</v>
      </c>
      <c r="EU241">
        <v>5</v>
      </c>
      <c r="EV241">
        <v>0</v>
      </c>
      <c r="EW241">
        <v>7</v>
      </c>
      <c r="EX241">
        <v>28</v>
      </c>
      <c r="EY241">
        <v>9</v>
      </c>
      <c r="EZ241">
        <v>23</v>
      </c>
      <c r="FA241">
        <v>25</v>
      </c>
      <c r="FB241">
        <v>33</v>
      </c>
      <c r="FC241">
        <v>35</v>
      </c>
      <c r="FD241">
        <v>17</v>
      </c>
      <c r="FE241">
        <v>24</v>
      </c>
      <c r="FF241">
        <v>53</v>
      </c>
      <c r="FG241">
        <v>51</v>
      </c>
      <c r="FH241">
        <v>14</v>
      </c>
      <c r="FI241">
        <v>17</v>
      </c>
      <c r="FJ241">
        <v>19</v>
      </c>
      <c r="FK241">
        <v>21</v>
      </c>
      <c r="FL241">
        <v>9</v>
      </c>
      <c r="FM241">
        <v>1</v>
      </c>
      <c r="FN241">
        <v>3</v>
      </c>
      <c r="FO241">
        <v>2</v>
      </c>
      <c r="FP241">
        <v>39</v>
      </c>
      <c r="FQ241">
        <v>7</v>
      </c>
      <c r="FR241">
        <v>4</v>
      </c>
      <c r="FS241">
        <v>9</v>
      </c>
      <c r="FT241">
        <v>5</v>
      </c>
      <c r="FU241">
        <v>14</v>
      </c>
      <c r="FV241">
        <v>33</v>
      </c>
      <c r="FW241">
        <v>9</v>
      </c>
      <c r="FX241">
        <v>16</v>
      </c>
      <c r="FY241">
        <v>14</v>
      </c>
      <c r="FZ241">
        <v>2</v>
      </c>
      <c r="GA241">
        <v>0</v>
      </c>
      <c r="GB241">
        <v>5</v>
      </c>
      <c r="GC241">
        <v>4</v>
      </c>
      <c r="GD241">
        <v>16</v>
      </c>
      <c r="GE241">
        <v>1</v>
      </c>
      <c r="GF241">
        <v>2</v>
      </c>
      <c r="GG241">
        <v>22</v>
      </c>
      <c r="GH241">
        <v>42</v>
      </c>
      <c r="GI241">
        <v>19</v>
      </c>
      <c r="GJ241">
        <v>26</v>
      </c>
      <c r="GK241">
        <v>13</v>
      </c>
      <c r="GL241">
        <v>36</v>
      </c>
      <c r="GM241">
        <v>3</v>
      </c>
      <c r="GN241">
        <v>17</v>
      </c>
      <c r="GO241">
        <v>39</v>
      </c>
      <c r="GP241">
        <v>96</v>
      </c>
      <c r="GQ241">
        <v>37</v>
      </c>
      <c r="GR241">
        <v>55</v>
      </c>
      <c r="GS241">
        <v>31</v>
      </c>
      <c r="GT241">
        <v>33</v>
      </c>
      <c r="GU241">
        <v>42</v>
      </c>
      <c r="GV241">
        <v>4</v>
      </c>
      <c r="GW241">
        <v>34</v>
      </c>
      <c r="GX241">
        <v>87</v>
      </c>
      <c r="GY241">
        <v>30</v>
      </c>
      <c r="GZ241">
        <v>97</v>
      </c>
      <c r="HA241">
        <v>30</v>
      </c>
      <c r="HB241">
        <v>46</v>
      </c>
      <c r="HC241">
        <v>7</v>
      </c>
      <c r="HD241">
        <v>8</v>
      </c>
      <c r="HE241">
        <v>15</v>
      </c>
      <c r="HF241">
        <v>24</v>
      </c>
      <c r="HG241">
        <v>45</v>
      </c>
      <c r="HH241">
        <v>40</v>
      </c>
      <c r="HI241">
        <v>10</v>
      </c>
      <c r="HJ241">
        <v>14</v>
      </c>
      <c r="HK241">
        <v>62</v>
      </c>
      <c r="HL241">
        <v>6</v>
      </c>
      <c r="HM241">
        <v>24</v>
      </c>
      <c r="HN241">
        <v>21</v>
      </c>
      <c r="HO241">
        <v>15</v>
      </c>
      <c r="HP241">
        <v>5</v>
      </c>
      <c r="HQ241">
        <v>12</v>
      </c>
      <c r="HR241">
        <v>0</v>
      </c>
      <c r="HS241">
        <v>2</v>
      </c>
      <c r="HT241">
        <v>96</v>
      </c>
      <c r="HU241">
        <v>595</v>
      </c>
      <c r="HV241">
        <v>493</v>
      </c>
      <c r="HW241">
        <v>528</v>
      </c>
      <c r="HX241">
        <v>58</v>
      </c>
      <c r="HY241">
        <v>4</v>
      </c>
      <c r="HZ241">
        <v>18</v>
      </c>
      <c r="IA241">
        <v>15</v>
      </c>
      <c r="IB241">
        <v>668</v>
      </c>
      <c r="IC241">
        <v>6</v>
      </c>
      <c r="ID241">
        <v>7614</v>
      </c>
      <c r="IE241">
        <v>5042</v>
      </c>
      <c r="IF241">
        <v>1741</v>
      </c>
      <c r="IG241">
        <v>2709</v>
      </c>
      <c r="IH241">
        <v>1526</v>
      </c>
      <c r="II241">
        <v>752</v>
      </c>
      <c r="IJ241">
        <v>88</v>
      </c>
      <c r="IK241">
        <v>909</v>
      </c>
      <c r="IL241">
        <v>3210</v>
      </c>
      <c r="IM241">
        <v>2400</v>
      </c>
      <c r="IN241">
        <v>298</v>
      </c>
      <c r="IO241">
        <v>56</v>
      </c>
      <c r="IP241">
        <v>150</v>
      </c>
      <c r="IQ241">
        <v>19</v>
      </c>
      <c r="IR241">
        <v>96</v>
      </c>
      <c r="IS241">
        <v>421</v>
      </c>
      <c r="IT241">
        <v>650</v>
      </c>
      <c r="IU241">
        <v>187</v>
      </c>
      <c r="IV241">
        <v>517</v>
      </c>
      <c r="IW241">
        <v>452</v>
      </c>
      <c r="IX241">
        <v>321</v>
      </c>
      <c r="IY241">
        <v>58</v>
      </c>
      <c r="IZ241">
        <v>555</v>
      </c>
      <c r="JA241">
        <v>64</v>
      </c>
      <c r="JB241">
        <v>29</v>
      </c>
      <c r="JC241">
        <v>14</v>
      </c>
      <c r="JD241">
        <v>40</v>
      </c>
      <c r="JE241">
        <v>99</v>
      </c>
      <c r="JF241">
        <v>11</v>
      </c>
      <c r="JG241">
        <v>125</v>
      </c>
      <c r="JH241">
        <v>56</v>
      </c>
      <c r="JI241">
        <v>12</v>
      </c>
      <c r="JJ241">
        <v>31</v>
      </c>
      <c r="JK241">
        <v>670</v>
      </c>
      <c r="JL241">
        <v>241</v>
      </c>
      <c r="JM241">
        <v>1400</v>
      </c>
      <c r="JN241">
        <v>324</v>
      </c>
      <c r="JO241">
        <v>1078</v>
      </c>
      <c r="JP241">
        <v>106</v>
      </c>
      <c r="JQ241">
        <v>735</v>
      </c>
      <c r="JR241">
        <v>267</v>
      </c>
      <c r="JS241">
        <v>1213</v>
      </c>
      <c r="JT241">
        <v>126</v>
      </c>
      <c r="JV241">
        <v>1099</v>
      </c>
      <c r="JW241">
        <v>455</v>
      </c>
      <c r="JX241">
        <v>292</v>
      </c>
      <c r="JY241">
        <v>700</v>
      </c>
      <c r="JZ241">
        <v>102</v>
      </c>
      <c r="KA241">
        <v>315</v>
      </c>
      <c r="KB241">
        <v>68</v>
      </c>
      <c r="KC241">
        <v>288</v>
      </c>
      <c r="KD241">
        <v>276</v>
      </c>
      <c r="KE241">
        <v>27730</v>
      </c>
      <c r="KF241">
        <v>6584</v>
      </c>
      <c r="KG241">
        <v>6864</v>
      </c>
      <c r="KH241">
        <v>35622</v>
      </c>
      <c r="KI241">
        <v>3744</v>
      </c>
      <c r="KJ241">
        <v>115</v>
      </c>
      <c r="KK241">
        <v>2293</v>
      </c>
      <c r="KL241">
        <v>9565</v>
      </c>
      <c r="KM241">
        <v>6424</v>
      </c>
      <c r="KN241">
        <v>33</v>
      </c>
      <c r="KO241">
        <v>31</v>
      </c>
      <c r="KP241">
        <v>42</v>
      </c>
      <c r="KQ241">
        <v>11</v>
      </c>
      <c r="KR241">
        <v>144</v>
      </c>
      <c r="KS241">
        <v>75</v>
      </c>
      <c r="KT241">
        <v>13</v>
      </c>
      <c r="KU241">
        <v>13</v>
      </c>
      <c r="KV241">
        <v>46</v>
      </c>
      <c r="KW241">
        <v>139</v>
      </c>
      <c r="KX241">
        <v>196</v>
      </c>
      <c r="KY241">
        <v>81</v>
      </c>
      <c r="KZ241">
        <v>632</v>
      </c>
      <c r="LA241">
        <v>96</v>
      </c>
      <c r="LB241">
        <v>1</v>
      </c>
      <c r="LC241">
        <v>5003</v>
      </c>
      <c r="LD241">
        <v>4249</v>
      </c>
      <c r="LE241">
        <v>3379</v>
      </c>
      <c r="LF241">
        <v>591</v>
      </c>
      <c r="LI241">
        <v>35</v>
      </c>
      <c r="LJ241">
        <v>1619</v>
      </c>
      <c r="LK241">
        <v>41</v>
      </c>
      <c r="LL241">
        <v>34</v>
      </c>
      <c r="LM241">
        <v>6361</v>
      </c>
      <c r="LN241">
        <v>858</v>
      </c>
      <c r="LO241">
        <v>681</v>
      </c>
      <c r="LP241">
        <v>347</v>
      </c>
      <c r="LQ241">
        <v>242</v>
      </c>
      <c r="LR241">
        <v>69</v>
      </c>
      <c r="LS241">
        <v>159</v>
      </c>
      <c r="LT241">
        <v>1341</v>
      </c>
      <c r="LU241">
        <v>295</v>
      </c>
      <c r="LV241">
        <v>108</v>
      </c>
      <c r="LW241">
        <v>835</v>
      </c>
      <c r="LX241">
        <v>71</v>
      </c>
      <c r="LY241">
        <v>19</v>
      </c>
      <c r="LZ241">
        <v>349</v>
      </c>
      <c r="MA241">
        <v>40</v>
      </c>
      <c r="MB241">
        <v>22</v>
      </c>
      <c r="MC241">
        <v>13</v>
      </c>
      <c r="MD241">
        <v>50</v>
      </c>
      <c r="ME241">
        <v>84</v>
      </c>
      <c r="MF241">
        <v>1122</v>
      </c>
      <c r="MG241">
        <v>122</v>
      </c>
      <c r="MH241">
        <v>3425</v>
      </c>
      <c r="MI241">
        <v>105</v>
      </c>
      <c r="MJ241">
        <v>330</v>
      </c>
      <c r="MK241">
        <v>209</v>
      </c>
      <c r="ML241">
        <v>66</v>
      </c>
      <c r="MM241">
        <v>242</v>
      </c>
      <c r="MN241">
        <v>180</v>
      </c>
      <c r="MO241">
        <v>1846</v>
      </c>
      <c r="MP241">
        <v>14</v>
      </c>
      <c r="MQ241">
        <v>367</v>
      </c>
      <c r="MR241">
        <v>997</v>
      </c>
      <c r="MS241">
        <v>153</v>
      </c>
      <c r="MT241">
        <v>12</v>
      </c>
      <c r="MU241">
        <v>24</v>
      </c>
      <c r="MV241">
        <v>119</v>
      </c>
      <c r="MW241">
        <v>6</v>
      </c>
      <c r="MX241">
        <v>46</v>
      </c>
      <c r="MY241">
        <v>136</v>
      </c>
      <c r="MZ241">
        <v>1449</v>
      </c>
      <c r="NA241">
        <v>635</v>
      </c>
      <c r="NB241">
        <v>109</v>
      </c>
      <c r="NC241">
        <v>211</v>
      </c>
      <c r="ND241">
        <v>164</v>
      </c>
      <c r="NE241">
        <v>86</v>
      </c>
      <c r="NF241">
        <v>42</v>
      </c>
      <c r="NG241">
        <v>38</v>
      </c>
      <c r="NH241">
        <v>16</v>
      </c>
      <c r="NI241">
        <v>81</v>
      </c>
      <c r="NJ241">
        <v>63</v>
      </c>
      <c r="NK241">
        <v>93</v>
      </c>
      <c r="NL241">
        <v>330</v>
      </c>
      <c r="NM241">
        <v>487</v>
      </c>
      <c r="NN241">
        <v>1004</v>
      </c>
      <c r="NO241">
        <v>1772</v>
      </c>
      <c r="NP241">
        <v>1954</v>
      </c>
      <c r="NQ241">
        <v>119</v>
      </c>
      <c r="NR241">
        <v>502</v>
      </c>
      <c r="NS241">
        <v>22</v>
      </c>
      <c r="NT241">
        <v>151</v>
      </c>
      <c r="NU241">
        <v>49</v>
      </c>
      <c r="NV241">
        <v>175</v>
      </c>
      <c r="NW241">
        <v>13</v>
      </c>
      <c r="NX241">
        <v>328</v>
      </c>
      <c r="NY241">
        <v>142</v>
      </c>
      <c r="NZ241">
        <v>429</v>
      </c>
      <c r="OA241">
        <v>151</v>
      </c>
      <c r="OB241">
        <v>604</v>
      </c>
      <c r="OD241">
        <v>11609</v>
      </c>
      <c r="OE241">
        <v>1652</v>
      </c>
      <c r="OF241">
        <v>395</v>
      </c>
      <c r="OG241">
        <v>1534</v>
      </c>
      <c r="OH241">
        <v>165</v>
      </c>
      <c r="OI241">
        <v>33027</v>
      </c>
      <c r="OJ241">
        <v>3006</v>
      </c>
      <c r="OK241">
        <v>37661</v>
      </c>
      <c r="OL241">
        <v>17586</v>
      </c>
      <c r="OM241">
        <v>568</v>
      </c>
      <c r="ON241">
        <v>7800</v>
      </c>
      <c r="OO241">
        <v>380158</v>
      </c>
      <c r="OP241">
        <v>311032</v>
      </c>
      <c r="OU241">
        <v>-7387</v>
      </c>
      <c r="OV241">
        <v>97680</v>
      </c>
      <c r="PI241">
        <v>781483</v>
      </c>
      <c r="PM241" t="str">
        <f>IFERROR(VLOOKUP($A241&amp;"",Key!$A:$C,3,FALSE),"")</f>
        <v>ISIC 19</v>
      </c>
    </row>
    <row r="242" spans="1:429" x14ac:dyDescent="0.25">
      <c r="A242">
        <v>324121</v>
      </c>
      <c r="B242" t="s">
        <v>377</v>
      </c>
      <c r="R242">
        <v>1</v>
      </c>
      <c r="V242">
        <v>12</v>
      </c>
      <c r="W242">
        <v>20</v>
      </c>
      <c r="AA242">
        <v>7</v>
      </c>
      <c r="AB242">
        <v>8</v>
      </c>
      <c r="AC242">
        <v>2222</v>
      </c>
      <c r="AD242">
        <v>640</v>
      </c>
      <c r="AE242">
        <v>299</v>
      </c>
      <c r="AF242">
        <v>122</v>
      </c>
      <c r="AG242">
        <v>4491</v>
      </c>
      <c r="AH242">
        <v>45</v>
      </c>
      <c r="AI242">
        <v>237</v>
      </c>
      <c r="AJ242">
        <v>69</v>
      </c>
      <c r="AK242">
        <v>2043</v>
      </c>
      <c r="AL242">
        <v>1031</v>
      </c>
      <c r="CZ242">
        <v>18</v>
      </c>
      <c r="FA242">
        <v>41</v>
      </c>
      <c r="FC242">
        <v>37</v>
      </c>
      <c r="IE242">
        <v>217</v>
      </c>
      <c r="JG242">
        <v>68</v>
      </c>
      <c r="JK242">
        <v>0</v>
      </c>
      <c r="JL242">
        <v>1</v>
      </c>
      <c r="JM242">
        <v>0</v>
      </c>
      <c r="JN242">
        <v>0</v>
      </c>
      <c r="JR242">
        <v>0</v>
      </c>
      <c r="JT242">
        <v>0</v>
      </c>
      <c r="KB242">
        <v>4</v>
      </c>
      <c r="KD242">
        <v>1</v>
      </c>
      <c r="KW242">
        <v>1</v>
      </c>
      <c r="KX242">
        <v>6</v>
      </c>
      <c r="KZ242">
        <v>6</v>
      </c>
      <c r="LK242">
        <v>2</v>
      </c>
      <c r="LL242">
        <v>0</v>
      </c>
      <c r="LO242">
        <v>18</v>
      </c>
      <c r="LW242">
        <v>8</v>
      </c>
      <c r="LZ242">
        <v>4</v>
      </c>
      <c r="MF242">
        <v>2</v>
      </c>
      <c r="MQ242">
        <v>1</v>
      </c>
      <c r="MS242">
        <v>62</v>
      </c>
      <c r="MY242">
        <v>1</v>
      </c>
      <c r="MZ242">
        <v>42</v>
      </c>
      <c r="NC242">
        <v>2</v>
      </c>
      <c r="ND242">
        <v>1</v>
      </c>
      <c r="NM242">
        <v>7</v>
      </c>
      <c r="NN242">
        <v>3</v>
      </c>
      <c r="NO242">
        <v>144</v>
      </c>
      <c r="NZ242">
        <v>12</v>
      </c>
      <c r="OB242">
        <v>8</v>
      </c>
      <c r="OK242">
        <v>4222</v>
      </c>
      <c r="OL242">
        <v>24</v>
      </c>
      <c r="ON242">
        <v>540</v>
      </c>
      <c r="OO242">
        <v>16748</v>
      </c>
      <c r="OU242">
        <v>-106</v>
      </c>
      <c r="OV242">
        <v>150</v>
      </c>
      <c r="PI242">
        <v>16792</v>
      </c>
      <c r="PM242" t="str">
        <f>IFERROR(VLOOKUP($A242&amp;"",Key!$A:$C,3,FALSE),"")</f>
        <v>ISIC 19</v>
      </c>
    </row>
    <row r="243" spans="1:429" x14ac:dyDescent="0.25">
      <c r="A243">
        <v>324122</v>
      </c>
      <c r="B243" t="s">
        <v>378</v>
      </c>
      <c r="Z243">
        <v>0</v>
      </c>
      <c r="AA243">
        <v>4</v>
      </c>
      <c r="AB243">
        <v>14</v>
      </c>
      <c r="AC243">
        <v>2879</v>
      </c>
      <c r="AD243">
        <v>622</v>
      </c>
      <c r="AE243">
        <v>849</v>
      </c>
      <c r="AF243">
        <v>166</v>
      </c>
      <c r="AG243">
        <v>1671</v>
      </c>
      <c r="AH243">
        <v>180</v>
      </c>
      <c r="AI243">
        <v>172</v>
      </c>
      <c r="AJ243">
        <v>98</v>
      </c>
      <c r="AK243">
        <v>440</v>
      </c>
      <c r="AL243">
        <v>3714</v>
      </c>
      <c r="AP243">
        <v>1</v>
      </c>
      <c r="IE243">
        <v>1</v>
      </c>
      <c r="IF243">
        <v>462</v>
      </c>
      <c r="JK243">
        <v>0</v>
      </c>
      <c r="JL243">
        <v>3</v>
      </c>
      <c r="JM243">
        <v>0</v>
      </c>
      <c r="JN243">
        <v>0</v>
      </c>
      <c r="JR243">
        <v>0</v>
      </c>
      <c r="JT243">
        <v>0</v>
      </c>
      <c r="JY243">
        <v>0</v>
      </c>
      <c r="KC243">
        <v>0</v>
      </c>
      <c r="KD243">
        <v>0</v>
      </c>
      <c r="KO243">
        <v>0</v>
      </c>
      <c r="KP243">
        <v>0</v>
      </c>
      <c r="KQ243">
        <v>0</v>
      </c>
      <c r="KR243">
        <v>0</v>
      </c>
      <c r="KW243">
        <v>22</v>
      </c>
      <c r="KX243">
        <v>144</v>
      </c>
      <c r="KY243">
        <v>5</v>
      </c>
      <c r="LK243">
        <v>6</v>
      </c>
      <c r="LW243">
        <v>5</v>
      </c>
      <c r="MF243">
        <v>1</v>
      </c>
      <c r="MH243">
        <v>94</v>
      </c>
      <c r="MO243">
        <v>155</v>
      </c>
      <c r="MQ243">
        <v>6</v>
      </c>
      <c r="MS243">
        <v>168</v>
      </c>
      <c r="NF243">
        <v>1</v>
      </c>
      <c r="NZ243">
        <v>9</v>
      </c>
      <c r="OB243">
        <v>28</v>
      </c>
      <c r="OE243">
        <v>0</v>
      </c>
      <c r="OK243">
        <v>360</v>
      </c>
      <c r="OM243">
        <v>20</v>
      </c>
      <c r="ON243">
        <v>110</v>
      </c>
      <c r="OO243">
        <v>12411</v>
      </c>
      <c r="OU243">
        <v>-140</v>
      </c>
      <c r="OV243">
        <v>397</v>
      </c>
      <c r="PI243">
        <v>12667</v>
      </c>
      <c r="PM243" t="str">
        <f>IFERROR(VLOOKUP($A243&amp;"",Key!$A:$C,3,FALSE),"")</f>
        <v>ISIC 19</v>
      </c>
    </row>
    <row r="244" spans="1:429" x14ac:dyDescent="0.25">
      <c r="A244">
        <v>324190</v>
      </c>
      <c r="B244" t="s">
        <v>379</v>
      </c>
      <c r="C244">
        <v>3</v>
      </c>
      <c r="J244">
        <v>60</v>
      </c>
      <c r="M244">
        <v>1</v>
      </c>
      <c r="N244">
        <v>79</v>
      </c>
      <c r="O244">
        <v>2</v>
      </c>
      <c r="P244">
        <v>809</v>
      </c>
      <c r="Q244">
        <v>206</v>
      </c>
      <c r="R244">
        <v>6</v>
      </c>
      <c r="S244">
        <v>28</v>
      </c>
      <c r="T244">
        <v>19</v>
      </c>
      <c r="U244">
        <v>16</v>
      </c>
      <c r="V244">
        <v>265</v>
      </c>
      <c r="W244">
        <v>534</v>
      </c>
      <c r="X244">
        <v>4</v>
      </c>
      <c r="Z244">
        <v>3</v>
      </c>
      <c r="AA244">
        <v>3</v>
      </c>
      <c r="AB244">
        <v>1</v>
      </c>
      <c r="AC244">
        <v>436</v>
      </c>
      <c r="AD244">
        <v>198</v>
      </c>
      <c r="AE244">
        <v>58</v>
      </c>
      <c r="AF244">
        <v>78</v>
      </c>
      <c r="AG244">
        <v>822</v>
      </c>
      <c r="AH244">
        <v>18</v>
      </c>
      <c r="AI244">
        <v>49</v>
      </c>
      <c r="AJ244">
        <v>299</v>
      </c>
      <c r="AK244">
        <v>490</v>
      </c>
      <c r="AL244">
        <v>156</v>
      </c>
      <c r="AM244">
        <v>44</v>
      </c>
      <c r="AO244">
        <v>15</v>
      </c>
      <c r="AP244">
        <v>220</v>
      </c>
      <c r="AQ244">
        <v>7</v>
      </c>
      <c r="AR244">
        <v>30</v>
      </c>
      <c r="AS244">
        <v>14</v>
      </c>
      <c r="AT244">
        <v>12</v>
      </c>
      <c r="AU244">
        <v>2</v>
      </c>
      <c r="AV244">
        <v>5</v>
      </c>
      <c r="AW244">
        <v>11</v>
      </c>
      <c r="AX244">
        <v>3</v>
      </c>
      <c r="AY244">
        <v>3</v>
      </c>
      <c r="AZ244">
        <v>2</v>
      </c>
      <c r="BA244">
        <v>7</v>
      </c>
      <c r="BB244">
        <v>5</v>
      </c>
      <c r="BC244">
        <v>795</v>
      </c>
      <c r="BD244">
        <v>89</v>
      </c>
      <c r="BE244">
        <v>26</v>
      </c>
      <c r="BF244">
        <v>36</v>
      </c>
      <c r="BG244">
        <v>82</v>
      </c>
      <c r="BH244">
        <v>26</v>
      </c>
      <c r="BI244">
        <v>16</v>
      </c>
      <c r="BJ244">
        <v>26</v>
      </c>
      <c r="BK244">
        <v>37</v>
      </c>
      <c r="BL244">
        <v>43</v>
      </c>
      <c r="BN244">
        <v>2</v>
      </c>
      <c r="BO244">
        <v>11</v>
      </c>
      <c r="BP244">
        <v>7</v>
      </c>
      <c r="BQ244">
        <v>6</v>
      </c>
      <c r="BR244">
        <v>83</v>
      </c>
      <c r="BS244">
        <v>5</v>
      </c>
      <c r="BT244">
        <v>4</v>
      </c>
      <c r="BU244">
        <v>5</v>
      </c>
      <c r="BV244">
        <v>27</v>
      </c>
      <c r="BW244">
        <v>3</v>
      </c>
      <c r="BX244">
        <v>13</v>
      </c>
      <c r="BY244">
        <v>28</v>
      </c>
      <c r="BZ244">
        <v>11</v>
      </c>
      <c r="CA244">
        <v>8</v>
      </c>
      <c r="CB244">
        <v>45</v>
      </c>
      <c r="CC244">
        <v>0</v>
      </c>
      <c r="CE244">
        <v>3</v>
      </c>
      <c r="CF244">
        <v>16</v>
      </c>
      <c r="CI244">
        <v>0</v>
      </c>
      <c r="CK244">
        <v>2</v>
      </c>
      <c r="CL244">
        <v>2</v>
      </c>
      <c r="CM244">
        <v>8</v>
      </c>
      <c r="CN244">
        <v>0</v>
      </c>
      <c r="CO244">
        <v>9</v>
      </c>
      <c r="CP244">
        <v>8</v>
      </c>
      <c r="CQ244">
        <v>16</v>
      </c>
      <c r="CR244">
        <v>4</v>
      </c>
      <c r="CS244">
        <v>0</v>
      </c>
      <c r="CT244">
        <v>0</v>
      </c>
      <c r="CZ244">
        <v>16</v>
      </c>
      <c r="DA244">
        <v>8</v>
      </c>
      <c r="DB244">
        <v>16</v>
      </c>
      <c r="DG244">
        <v>17</v>
      </c>
      <c r="DH244">
        <v>138</v>
      </c>
      <c r="DI244">
        <v>2</v>
      </c>
      <c r="DK244">
        <v>1</v>
      </c>
      <c r="DL244">
        <v>1</v>
      </c>
      <c r="DM244">
        <v>10</v>
      </c>
      <c r="DN244">
        <v>8</v>
      </c>
      <c r="DO244">
        <v>2</v>
      </c>
      <c r="DP244">
        <v>11</v>
      </c>
      <c r="DQ244">
        <v>15</v>
      </c>
      <c r="DS244">
        <v>9</v>
      </c>
      <c r="DT244">
        <v>0</v>
      </c>
      <c r="DU244">
        <v>3</v>
      </c>
      <c r="DV244">
        <v>6</v>
      </c>
      <c r="DW244">
        <v>12</v>
      </c>
      <c r="DX244">
        <v>21</v>
      </c>
      <c r="DZ244">
        <v>29</v>
      </c>
      <c r="EA244">
        <v>0</v>
      </c>
      <c r="EB244">
        <v>0</v>
      </c>
      <c r="EC244">
        <v>1</v>
      </c>
      <c r="ED244">
        <v>56</v>
      </c>
      <c r="EE244">
        <v>21</v>
      </c>
      <c r="EF244">
        <v>22</v>
      </c>
      <c r="EG244">
        <v>38</v>
      </c>
      <c r="EH244">
        <v>11</v>
      </c>
      <c r="EI244">
        <v>10</v>
      </c>
      <c r="EJ244">
        <v>1</v>
      </c>
      <c r="EK244">
        <v>5</v>
      </c>
      <c r="EL244">
        <v>1</v>
      </c>
      <c r="EO244">
        <v>455</v>
      </c>
      <c r="EP244">
        <v>5</v>
      </c>
      <c r="EQ244">
        <v>1</v>
      </c>
      <c r="ER244">
        <v>11</v>
      </c>
      <c r="ES244">
        <v>8</v>
      </c>
      <c r="ET244">
        <v>9</v>
      </c>
      <c r="EX244">
        <v>15</v>
      </c>
      <c r="EY244">
        <v>38</v>
      </c>
      <c r="EZ244">
        <v>47</v>
      </c>
      <c r="FA244">
        <v>24</v>
      </c>
      <c r="FB244">
        <v>24</v>
      </c>
      <c r="FC244">
        <v>79</v>
      </c>
      <c r="FD244">
        <v>3</v>
      </c>
      <c r="FE244">
        <v>22</v>
      </c>
      <c r="FF244">
        <v>2</v>
      </c>
      <c r="FG244">
        <v>36</v>
      </c>
      <c r="FK244">
        <v>0</v>
      </c>
      <c r="FP244">
        <v>33</v>
      </c>
      <c r="FQ244">
        <v>5</v>
      </c>
      <c r="FR244">
        <v>7</v>
      </c>
      <c r="FS244">
        <v>8</v>
      </c>
      <c r="FT244">
        <v>57</v>
      </c>
      <c r="FU244">
        <v>26</v>
      </c>
      <c r="FV244">
        <v>60</v>
      </c>
      <c r="FW244">
        <v>20</v>
      </c>
      <c r="FX244">
        <v>131</v>
      </c>
      <c r="FY244">
        <v>100</v>
      </c>
      <c r="FZ244">
        <v>116</v>
      </c>
      <c r="GA244">
        <v>2</v>
      </c>
      <c r="GC244">
        <v>1</v>
      </c>
      <c r="GD244">
        <v>36</v>
      </c>
      <c r="GE244">
        <v>11</v>
      </c>
      <c r="GF244">
        <v>7</v>
      </c>
      <c r="GG244">
        <v>152</v>
      </c>
      <c r="GH244">
        <v>270</v>
      </c>
      <c r="GI244">
        <v>20</v>
      </c>
      <c r="GJ244">
        <v>5</v>
      </c>
      <c r="GL244">
        <v>0</v>
      </c>
      <c r="GM244">
        <v>4</v>
      </c>
      <c r="GN244">
        <v>6</v>
      </c>
      <c r="GO244">
        <v>77</v>
      </c>
      <c r="GP244">
        <v>263</v>
      </c>
      <c r="GQ244">
        <v>60</v>
      </c>
      <c r="GR244">
        <v>66</v>
      </c>
      <c r="GS244">
        <v>64</v>
      </c>
      <c r="GT244">
        <v>171</v>
      </c>
      <c r="GU244">
        <v>119</v>
      </c>
      <c r="GV244">
        <v>145</v>
      </c>
      <c r="GW244">
        <v>3</v>
      </c>
      <c r="GX244">
        <v>1</v>
      </c>
      <c r="GY244">
        <v>4</v>
      </c>
      <c r="GZ244">
        <v>141</v>
      </c>
      <c r="HA244">
        <v>93</v>
      </c>
      <c r="HB244">
        <v>245</v>
      </c>
      <c r="HD244">
        <v>44</v>
      </c>
      <c r="HE244">
        <v>42</v>
      </c>
      <c r="HF244">
        <v>32</v>
      </c>
      <c r="HG244">
        <v>363</v>
      </c>
      <c r="HH244">
        <v>58</v>
      </c>
      <c r="HI244">
        <v>4</v>
      </c>
      <c r="HJ244">
        <v>11</v>
      </c>
      <c r="HK244">
        <v>85</v>
      </c>
      <c r="HL244">
        <v>1</v>
      </c>
      <c r="HM244">
        <v>1</v>
      </c>
      <c r="HN244">
        <v>3</v>
      </c>
      <c r="HQ244">
        <v>0</v>
      </c>
      <c r="HS244">
        <v>2</v>
      </c>
      <c r="HT244">
        <v>1</v>
      </c>
      <c r="HU244">
        <v>12</v>
      </c>
      <c r="HV244">
        <v>37</v>
      </c>
      <c r="HW244">
        <v>2</v>
      </c>
      <c r="IB244">
        <v>2</v>
      </c>
      <c r="ID244">
        <v>1870</v>
      </c>
      <c r="IE244">
        <v>77</v>
      </c>
      <c r="IG244">
        <v>25</v>
      </c>
      <c r="IH244">
        <v>22</v>
      </c>
      <c r="II244">
        <v>11</v>
      </c>
      <c r="IJ244">
        <v>144</v>
      </c>
      <c r="IK244">
        <v>467</v>
      </c>
      <c r="IL244">
        <v>608</v>
      </c>
      <c r="IM244">
        <v>53</v>
      </c>
      <c r="IN244">
        <v>14</v>
      </c>
      <c r="IP244">
        <v>0</v>
      </c>
      <c r="IT244">
        <v>5</v>
      </c>
      <c r="IV244">
        <v>61</v>
      </c>
      <c r="IW244">
        <v>114</v>
      </c>
      <c r="IX244">
        <v>50</v>
      </c>
      <c r="IZ244">
        <v>63</v>
      </c>
      <c r="JA244">
        <v>98</v>
      </c>
      <c r="JB244">
        <v>22</v>
      </c>
      <c r="JC244">
        <v>6</v>
      </c>
      <c r="JD244">
        <v>15</v>
      </c>
      <c r="JE244">
        <v>7</v>
      </c>
      <c r="JF244">
        <v>54</v>
      </c>
      <c r="JG244">
        <v>74</v>
      </c>
      <c r="JH244">
        <v>8</v>
      </c>
      <c r="JI244">
        <v>12</v>
      </c>
      <c r="JJ244">
        <v>24</v>
      </c>
      <c r="JK244">
        <v>23</v>
      </c>
      <c r="JL244">
        <v>14</v>
      </c>
      <c r="JM244">
        <v>44</v>
      </c>
      <c r="JN244">
        <v>8</v>
      </c>
      <c r="JO244">
        <v>80</v>
      </c>
      <c r="JQ244">
        <v>16</v>
      </c>
      <c r="JR244">
        <v>0</v>
      </c>
      <c r="JS244">
        <v>36</v>
      </c>
      <c r="JT244">
        <v>5</v>
      </c>
      <c r="JV244">
        <v>257</v>
      </c>
      <c r="JW244">
        <v>196</v>
      </c>
      <c r="JX244">
        <v>101</v>
      </c>
      <c r="JY244">
        <v>43</v>
      </c>
      <c r="JZ244">
        <v>24</v>
      </c>
      <c r="KA244">
        <v>140</v>
      </c>
      <c r="KB244">
        <v>46</v>
      </c>
      <c r="KC244">
        <v>314</v>
      </c>
      <c r="KD244">
        <v>63</v>
      </c>
      <c r="KE244">
        <v>6</v>
      </c>
      <c r="KF244">
        <v>49</v>
      </c>
      <c r="KH244">
        <v>152</v>
      </c>
      <c r="KI244">
        <v>0</v>
      </c>
      <c r="KK244">
        <v>45</v>
      </c>
      <c r="KN244">
        <v>3</v>
      </c>
      <c r="KQ244">
        <v>2</v>
      </c>
      <c r="KR244">
        <v>4</v>
      </c>
      <c r="KS244">
        <v>3</v>
      </c>
      <c r="KW244">
        <v>5</v>
      </c>
      <c r="KX244">
        <v>19</v>
      </c>
      <c r="KZ244">
        <v>6</v>
      </c>
      <c r="LC244">
        <v>15</v>
      </c>
      <c r="LD244">
        <v>23</v>
      </c>
      <c r="LH244">
        <v>8</v>
      </c>
      <c r="LK244">
        <v>1</v>
      </c>
      <c r="LM244">
        <v>2031</v>
      </c>
      <c r="LN244">
        <v>287</v>
      </c>
      <c r="LO244">
        <v>18</v>
      </c>
      <c r="LP244">
        <v>11</v>
      </c>
      <c r="LS244">
        <v>3</v>
      </c>
      <c r="LT244">
        <v>14</v>
      </c>
      <c r="LU244">
        <v>3</v>
      </c>
      <c r="LW244">
        <v>521</v>
      </c>
      <c r="LX244">
        <v>7</v>
      </c>
      <c r="LZ244">
        <v>219</v>
      </c>
      <c r="MA244">
        <v>2</v>
      </c>
      <c r="MB244">
        <v>1</v>
      </c>
      <c r="MD244">
        <v>0</v>
      </c>
      <c r="ME244">
        <v>2</v>
      </c>
      <c r="MF244">
        <v>16</v>
      </c>
      <c r="MH244">
        <v>1528</v>
      </c>
      <c r="MI244">
        <v>4</v>
      </c>
      <c r="MJ244">
        <v>2</v>
      </c>
      <c r="MK244">
        <v>32</v>
      </c>
      <c r="MM244">
        <v>6</v>
      </c>
      <c r="MN244">
        <v>47</v>
      </c>
      <c r="MO244">
        <v>11</v>
      </c>
      <c r="MP244">
        <v>24</v>
      </c>
      <c r="MQ244">
        <v>2</v>
      </c>
      <c r="MR244">
        <v>48</v>
      </c>
      <c r="MS244">
        <v>218</v>
      </c>
      <c r="MT244">
        <v>3</v>
      </c>
      <c r="MW244">
        <v>10</v>
      </c>
      <c r="MX244">
        <v>7</v>
      </c>
      <c r="MY244">
        <v>5</v>
      </c>
      <c r="MZ244">
        <v>115</v>
      </c>
      <c r="NA244">
        <v>181</v>
      </c>
      <c r="NB244">
        <v>20</v>
      </c>
      <c r="NC244">
        <v>119</v>
      </c>
      <c r="ND244">
        <v>71</v>
      </c>
      <c r="NE244">
        <v>8</v>
      </c>
      <c r="NK244">
        <v>1</v>
      </c>
      <c r="NL244">
        <v>4</v>
      </c>
      <c r="NM244">
        <v>21</v>
      </c>
      <c r="NN244">
        <v>207</v>
      </c>
      <c r="NO244">
        <v>124</v>
      </c>
      <c r="NP244">
        <v>313</v>
      </c>
      <c r="NQ244">
        <v>37</v>
      </c>
      <c r="NR244">
        <v>468</v>
      </c>
      <c r="NS244">
        <v>1</v>
      </c>
      <c r="NT244">
        <v>12</v>
      </c>
      <c r="NU244">
        <v>27</v>
      </c>
      <c r="NV244">
        <v>3</v>
      </c>
      <c r="NX244">
        <v>3</v>
      </c>
      <c r="NY244">
        <v>25</v>
      </c>
      <c r="NZ244">
        <v>15</v>
      </c>
      <c r="OA244">
        <v>7</v>
      </c>
      <c r="OB244">
        <v>38</v>
      </c>
      <c r="OD244">
        <v>37</v>
      </c>
      <c r="OI244">
        <v>255</v>
      </c>
      <c r="OJ244">
        <v>385</v>
      </c>
      <c r="OK244">
        <v>290</v>
      </c>
      <c r="OL244">
        <v>13</v>
      </c>
      <c r="ON244">
        <v>423</v>
      </c>
      <c r="OO244">
        <v>24992</v>
      </c>
      <c r="OP244">
        <v>13152</v>
      </c>
      <c r="OU244">
        <v>-41</v>
      </c>
      <c r="OV244">
        <v>1683</v>
      </c>
      <c r="PI244">
        <v>39786</v>
      </c>
      <c r="PM244" t="str">
        <f>IFERROR(VLOOKUP($A244&amp;"",Key!$A:$C,3,FALSE),"")</f>
        <v>ISIC 241</v>
      </c>
    </row>
    <row r="245" spans="1:429" x14ac:dyDescent="0.25">
      <c r="A245">
        <v>325110</v>
      </c>
      <c r="B245" t="s">
        <v>380</v>
      </c>
      <c r="P245">
        <v>970</v>
      </c>
      <c r="Q245">
        <v>9</v>
      </c>
      <c r="R245">
        <v>6</v>
      </c>
      <c r="S245">
        <v>39</v>
      </c>
      <c r="V245">
        <v>5</v>
      </c>
      <c r="W245">
        <v>78</v>
      </c>
      <c r="X245">
        <v>280</v>
      </c>
      <c r="Y245">
        <v>3</v>
      </c>
      <c r="Z245">
        <v>0</v>
      </c>
      <c r="AC245">
        <v>1</v>
      </c>
      <c r="AK245">
        <v>7</v>
      </c>
      <c r="AL245">
        <v>52</v>
      </c>
      <c r="AQ245">
        <v>3</v>
      </c>
      <c r="AR245">
        <v>3</v>
      </c>
      <c r="AT245">
        <v>1</v>
      </c>
      <c r="AX245">
        <v>6</v>
      </c>
      <c r="BA245">
        <v>5</v>
      </c>
      <c r="BB245">
        <v>5</v>
      </c>
      <c r="BC245">
        <v>3</v>
      </c>
      <c r="BD245">
        <v>3</v>
      </c>
      <c r="BE245">
        <v>0</v>
      </c>
      <c r="BI245">
        <v>4</v>
      </c>
      <c r="BJ245">
        <v>1</v>
      </c>
      <c r="BL245">
        <v>0</v>
      </c>
      <c r="BP245">
        <v>1</v>
      </c>
      <c r="BR245">
        <v>3</v>
      </c>
      <c r="BX245">
        <v>2</v>
      </c>
      <c r="BZ245">
        <v>10</v>
      </c>
      <c r="CE245">
        <v>0</v>
      </c>
      <c r="CG245">
        <v>2</v>
      </c>
      <c r="CN245">
        <v>4</v>
      </c>
      <c r="DG245">
        <v>5</v>
      </c>
      <c r="DO245">
        <v>1</v>
      </c>
      <c r="DP245">
        <v>0</v>
      </c>
      <c r="DQ245">
        <v>1</v>
      </c>
      <c r="EM245">
        <v>1</v>
      </c>
      <c r="ET245">
        <v>3</v>
      </c>
      <c r="EX245">
        <v>2</v>
      </c>
      <c r="EY245">
        <v>1</v>
      </c>
      <c r="EZ245">
        <v>6</v>
      </c>
      <c r="FB245">
        <v>1</v>
      </c>
      <c r="FC245">
        <v>3</v>
      </c>
      <c r="FD245">
        <v>6</v>
      </c>
      <c r="FI245">
        <v>4</v>
      </c>
      <c r="FK245">
        <v>7</v>
      </c>
      <c r="FN245">
        <v>0</v>
      </c>
      <c r="FZ245">
        <v>2</v>
      </c>
      <c r="GB245">
        <v>1</v>
      </c>
      <c r="GD245">
        <v>0</v>
      </c>
      <c r="GF245">
        <v>5</v>
      </c>
      <c r="GH245">
        <v>2</v>
      </c>
      <c r="HK245">
        <v>4</v>
      </c>
      <c r="HM245">
        <v>8</v>
      </c>
      <c r="HS245">
        <v>0</v>
      </c>
      <c r="HT245">
        <v>49</v>
      </c>
      <c r="HU245">
        <v>27</v>
      </c>
      <c r="HV245">
        <v>31</v>
      </c>
      <c r="HX245">
        <v>2</v>
      </c>
      <c r="ID245">
        <v>15575</v>
      </c>
      <c r="IG245">
        <v>2121</v>
      </c>
      <c r="IH245">
        <v>13106</v>
      </c>
      <c r="II245">
        <v>81</v>
      </c>
      <c r="IJ245">
        <v>12</v>
      </c>
      <c r="IK245">
        <v>555</v>
      </c>
      <c r="IL245">
        <v>19165</v>
      </c>
      <c r="IM245">
        <v>14043</v>
      </c>
      <c r="IN245">
        <v>2466</v>
      </c>
      <c r="IO245">
        <v>20</v>
      </c>
      <c r="IP245">
        <v>21</v>
      </c>
      <c r="IQ245">
        <v>83</v>
      </c>
      <c r="IR245">
        <v>41</v>
      </c>
      <c r="IT245">
        <v>31</v>
      </c>
      <c r="IU245">
        <v>563</v>
      </c>
      <c r="IV245">
        <v>183</v>
      </c>
      <c r="IW245">
        <v>71</v>
      </c>
      <c r="IX245">
        <v>56</v>
      </c>
      <c r="IY245">
        <v>1</v>
      </c>
      <c r="IZ245">
        <v>1903</v>
      </c>
      <c r="JA245">
        <v>76</v>
      </c>
      <c r="JB245">
        <v>49</v>
      </c>
      <c r="JC245">
        <v>9</v>
      </c>
      <c r="JD245">
        <v>6</v>
      </c>
      <c r="JE245">
        <v>36</v>
      </c>
      <c r="JF245">
        <v>3</v>
      </c>
      <c r="JG245">
        <v>462</v>
      </c>
      <c r="JH245">
        <v>10</v>
      </c>
      <c r="JI245">
        <v>1</v>
      </c>
      <c r="JJ245">
        <v>4</v>
      </c>
      <c r="JL245">
        <v>0</v>
      </c>
      <c r="KD245">
        <v>0</v>
      </c>
      <c r="KF245">
        <v>1</v>
      </c>
      <c r="KW245">
        <v>9</v>
      </c>
      <c r="KY245">
        <v>2</v>
      </c>
      <c r="LC245">
        <v>7</v>
      </c>
      <c r="LD245">
        <v>13</v>
      </c>
      <c r="LE245">
        <v>5</v>
      </c>
      <c r="LF245">
        <v>5</v>
      </c>
      <c r="LZ245">
        <v>27</v>
      </c>
      <c r="MH245">
        <v>3</v>
      </c>
      <c r="MK245">
        <v>14</v>
      </c>
      <c r="MM245">
        <v>2</v>
      </c>
      <c r="MN245">
        <v>12</v>
      </c>
      <c r="MO245">
        <v>40</v>
      </c>
      <c r="MP245">
        <v>3</v>
      </c>
      <c r="MQ245">
        <v>1</v>
      </c>
      <c r="MS245">
        <v>84</v>
      </c>
      <c r="MU245">
        <v>227</v>
      </c>
      <c r="MW245">
        <v>32</v>
      </c>
      <c r="MX245">
        <v>1</v>
      </c>
      <c r="MY245">
        <v>1</v>
      </c>
      <c r="MZ245">
        <v>29</v>
      </c>
      <c r="NA245">
        <v>56</v>
      </c>
      <c r="NB245">
        <v>2</v>
      </c>
      <c r="NT245">
        <v>15</v>
      </c>
      <c r="NU245">
        <v>8</v>
      </c>
      <c r="OB245">
        <v>14</v>
      </c>
      <c r="OE245">
        <v>36</v>
      </c>
      <c r="OI245">
        <v>1</v>
      </c>
      <c r="OJ245">
        <v>1483</v>
      </c>
      <c r="OK245">
        <v>251</v>
      </c>
      <c r="ON245">
        <v>5</v>
      </c>
      <c r="OO245">
        <v>74824</v>
      </c>
      <c r="OU245">
        <v>172</v>
      </c>
      <c r="OV245">
        <v>6380</v>
      </c>
      <c r="PI245">
        <v>81376</v>
      </c>
      <c r="PM245" t="str">
        <f>IFERROR(VLOOKUP($A245&amp;"",Key!$A:$C,3,FALSE),"")</f>
        <v>ISIC 20</v>
      </c>
    </row>
    <row r="246" spans="1:429" x14ac:dyDescent="0.25">
      <c r="A246">
        <v>325120</v>
      </c>
      <c r="B246" t="s">
        <v>381</v>
      </c>
      <c r="P246">
        <v>1094</v>
      </c>
      <c r="Q246">
        <v>25</v>
      </c>
      <c r="R246">
        <v>26</v>
      </c>
      <c r="S246">
        <v>123</v>
      </c>
      <c r="V246">
        <v>19</v>
      </c>
      <c r="W246">
        <v>315</v>
      </c>
      <c r="X246">
        <v>827</v>
      </c>
      <c r="Y246">
        <v>4</v>
      </c>
      <c r="Z246">
        <v>109</v>
      </c>
      <c r="AC246">
        <v>4</v>
      </c>
      <c r="AJ246">
        <v>34</v>
      </c>
      <c r="AQ246">
        <v>13</v>
      </c>
      <c r="AR246">
        <v>41</v>
      </c>
      <c r="AS246">
        <v>5</v>
      </c>
      <c r="AT246">
        <v>5</v>
      </c>
      <c r="AW246">
        <v>8</v>
      </c>
      <c r="AX246">
        <v>12</v>
      </c>
      <c r="BA246">
        <v>21</v>
      </c>
      <c r="BB246">
        <v>17</v>
      </c>
      <c r="BC246">
        <v>748</v>
      </c>
      <c r="BD246">
        <v>86</v>
      </c>
      <c r="BE246">
        <v>11</v>
      </c>
      <c r="BF246">
        <v>19</v>
      </c>
      <c r="BI246">
        <v>12</v>
      </c>
      <c r="BJ246">
        <v>2</v>
      </c>
      <c r="BK246">
        <v>1</v>
      </c>
      <c r="BL246">
        <v>3</v>
      </c>
      <c r="BQ246">
        <v>7</v>
      </c>
      <c r="BR246">
        <v>9</v>
      </c>
      <c r="BS246">
        <v>4</v>
      </c>
      <c r="BT246">
        <v>2</v>
      </c>
      <c r="BW246">
        <v>6</v>
      </c>
      <c r="BX246">
        <v>14</v>
      </c>
      <c r="BZ246">
        <v>139</v>
      </c>
      <c r="CB246">
        <v>1</v>
      </c>
      <c r="CG246">
        <v>4</v>
      </c>
      <c r="CI246">
        <v>4</v>
      </c>
      <c r="CJ246">
        <v>5</v>
      </c>
      <c r="CL246">
        <v>2</v>
      </c>
      <c r="CN246">
        <v>1</v>
      </c>
      <c r="CQ246">
        <v>3</v>
      </c>
      <c r="CR246">
        <v>10</v>
      </c>
      <c r="CT246">
        <v>1</v>
      </c>
      <c r="DB246">
        <v>2</v>
      </c>
      <c r="DC246">
        <v>4</v>
      </c>
      <c r="DG246">
        <v>15</v>
      </c>
      <c r="DO246">
        <v>88</v>
      </c>
      <c r="DP246">
        <v>1</v>
      </c>
      <c r="DQ246">
        <v>20</v>
      </c>
      <c r="EC246">
        <v>11</v>
      </c>
      <c r="EK246">
        <v>17</v>
      </c>
      <c r="EL246">
        <v>11</v>
      </c>
      <c r="EM246">
        <v>1</v>
      </c>
      <c r="ES246">
        <v>0</v>
      </c>
      <c r="EX246">
        <v>1</v>
      </c>
      <c r="EZ246">
        <v>1</v>
      </c>
      <c r="FB246">
        <v>2</v>
      </c>
      <c r="FC246">
        <v>10</v>
      </c>
      <c r="FD246">
        <v>9</v>
      </c>
      <c r="FG246">
        <v>88</v>
      </c>
      <c r="FI246">
        <v>1</v>
      </c>
      <c r="FJ246">
        <v>1</v>
      </c>
      <c r="FK246">
        <v>4</v>
      </c>
      <c r="FN246">
        <v>0</v>
      </c>
      <c r="FY246">
        <v>2</v>
      </c>
      <c r="FZ246">
        <v>4</v>
      </c>
      <c r="GB246">
        <v>4</v>
      </c>
      <c r="GD246">
        <v>9</v>
      </c>
      <c r="GF246">
        <v>9</v>
      </c>
      <c r="GH246">
        <v>3</v>
      </c>
      <c r="HK246">
        <v>14</v>
      </c>
      <c r="HT246">
        <v>12</v>
      </c>
      <c r="HU246">
        <v>18</v>
      </c>
      <c r="HV246">
        <v>21</v>
      </c>
      <c r="HX246">
        <v>2</v>
      </c>
      <c r="IH246">
        <v>33</v>
      </c>
      <c r="II246">
        <v>58</v>
      </c>
      <c r="IJ246">
        <v>27</v>
      </c>
      <c r="IK246">
        <v>292</v>
      </c>
      <c r="IL246">
        <v>396</v>
      </c>
      <c r="IM246">
        <v>43</v>
      </c>
      <c r="IN246">
        <v>16</v>
      </c>
      <c r="IO246">
        <v>2</v>
      </c>
      <c r="IP246">
        <v>5</v>
      </c>
      <c r="IQ246">
        <v>307</v>
      </c>
      <c r="IR246">
        <v>75</v>
      </c>
      <c r="IT246">
        <v>33</v>
      </c>
      <c r="IU246">
        <v>13</v>
      </c>
      <c r="IV246">
        <v>91</v>
      </c>
      <c r="IZ246">
        <v>196</v>
      </c>
      <c r="JA246">
        <v>36</v>
      </c>
      <c r="JB246">
        <v>36</v>
      </c>
      <c r="JC246">
        <v>22</v>
      </c>
      <c r="JD246">
        <v>14</v>
      </c>
      <c r="JE246">
        <v>70</v>
      </c>
      <c r="JG246">
        <v>49</v>
      </c>
      <c r="JH246">
        <v>13</v>
      </c>
      <c r="JJ246">
        <v>7</v>
      </c>
      <c r="JS246">
        <v>21</v>
      </c>
      <c r="KZ246">
        <v>1</v>
      </c>
      <c r="LB246">
        <v>0</v>
      </c>
      <c r="LT246">
        <v>70</v>
      </c>
      <c r="LW246">
        <v>79</v>
      </c>
      <c r="LX246">
        <v>1</v>
      </c>
      <c r="LZ246">
        <v>148</v>
      </c>
      <c r="MA246">
        <v>15</v>
      </c>
      <c r="MB246">
        <v>18</v>
      </c>
      <c r="ME246">
        <v>6</v>
      </c>
      <c r="MF246">
        <v>1</v>
      </c>
      <c r="MH246">
        <v>11</v>
      </c>
      <c r="MI246">
        <v>1</v>
      </c>
      <c r="MJ246">
        <v>73</v>
      </c>
      <c r="MK246">
        <v>24</v>
      </c>
      <c r="MM246">
        <v>5</v>
      </c>
      <c r="MN246">
        <v>6</v>
      </c>
      <c r="MO246">
        <v>139</v>
      </c>
      <c r="MP246">
        <v>5</v>
      </c>
      <c r="MS246">
        <v>435</v>
      </c>
      <c r="MT246">
        <v>48</v>
      </c>
      <c r="MU246">
        <v>475</v>
      </c>
      <c r="MV246">
        <v>6</v>
      </c>
      <c r="MW246">
        <v>88</v>
      </c>
      <c r="MX246">
        <v>79</v>
      </c>
      <c r="MY246">
        <v>111</v>
      </c>
      <c r="MZ246">
        <v>776</v>
      </c>
      <c r="NR246">
        <v>0</v>
      </c>
      <c r="NT246">
        <v>70</v>
      </c>
      <c r="NU246">
        <v>26</v>
      </c>
      <c r="NX246">
        <v>1</v>
      </c>
      <c r="OE246">
        <v>68</v>
      </c>
      <c r="OI246">
        <v>212</v>
      </c>
      <c r="OJ246">
        <v>2298</v>
      </c>
      <c r="OK246">
        <v>180</v>
      </c>
      <c r="ON246">
        <v>62</v>
      </c>
      <c r="OO246">
        <v>11574</v>
      </c>
      <c r="OP246">
        <v>1196</v>
      </c>
      <c r="OU246">
        <v>-262</v>
      </c>
      <c r="OV246">
        <v>569</v>
      </c>
      <c r="PI246">
        <v>13077</v>
      </c>
      <c r="PM246" t="str">
        <f>IFERROR(VLOOKUP($A246&amp;"",Key!$A:$C,3,FALSE),"")</f>
        <v>ISIC 20</v>
      </c>
    </row>
    <row r="247" spans="1:429" x14ac:dyDescent="0.25">
      <c r="A247">
        <v>325130</v>
      </c>
      <c r="B247" t="s">
        <v>382</v>
      </c>
      <c r="AC247">
        <v>1</v>
      </c>
      <c r="AP247">
        <v>9</v>
      </c>
      <c r="AQ247">
        <v>8</v>
      </c>
      <c r="AR247">
        <v>22</v>
      </c>
      <c r="AS247">
        <v>1</v>
      </c>
      <c r="AT247">
        <v>6</v>
      </c>
      <c r="AW247">
        <v>0</v>
      </c>
      <c r="AX247">
        <v>6</v>
      </c>
      <c r="AY247">
        <v>8</v>
      </c>
      <c r="BA247">
        <v>11</v>
      </c>
      <c r="BB247">
        <v>7</v>
      </c>
      <c r="BL247">
        <v>0</v>
      </c>
      <c r="BU247">
        <v>0</v>
      </c>
      <c r="BX247">
        <v>2</v>
      </c>
      <c r="CI247">
        <v>12</v>
      </c>
      <c r="CK247">
        <v>7</v>
      </c>
      <c r="CL247">
        <v>26</v>
      </c>
      <c r="CO247">
        <v>0</v>
      </c>
      <c r="DG247">
        <v>7</v>
      </c>
      <c r="EC247">
        <v>0</v>
      </c>
      <c r="EK247">
        <v>69</v>
      </c>
      <c r="EL247">
        <v>7</v>
      </c>
      <c r="EX247">
        <v>1</v>
      </c>
      <c r="EY247">
        <v>1</v>
      </c>
      <c r="EZ247">
        <v>4</v>
      </c>
      <c r="FB247">
        <v>1</v>
      </c>
      <c r="FC247">
        <v>5</v>
      </c>
      <c r="FD247">
        <v>7</v>
      </c>
      <c r="FG247">
        <v>6</v>
      </c>
      <c r="FN247">
        <v>0</v>
      </c>
      <c r="FZ247">
        <v>3</v>
      </c>
      <c r="GB247">
        <v>3</v>
      </c>
      <c r="GD247">
        <v>5</v>
      </c>
      <c r="GF247">
        <v>57</v>
      </c>
      <c r="GH247">
        <v>29</v>
      </c>
      <c r="HK247">
        <v>7</v>
      </c>
      <c r="HL247">
        <v>4</v>
      </c>
      <c r="HM247">
        <v>75</v>
      </c>
      <c r="HN247">
        <v>242</v>
      </c>
      <c r="HO247">
        <v>203</v>
      </c>
      <c r="HQ247">
        <v>1</v>
      </c>
      <c r="HR247">
        <v>0</v>
      </c>
      <c r="HS247">
        <v>0</v>
      </c>
      <c r="HT247">
        <v>19</v>
      </c>
      <c r="HU247">
        <v>95</v>
      </c>
      <c r="HV247">
        <v>95</v>
      </c>
      <c r="HX247">
        <v>156</v>
      </c>
      <c r="IG247">
        <v>4</v>
      </c>
      <c r="IH247">
        <v>2</v>
      </c>
      <c r="IJ247">
        <v>6</v>
      </c>
      <c r="IK247">
        <v>3</v>
      </c>
      <c r="IL247">
        <v>184</v>
      </c>
      <c r="IM247">
        <v>41</v>
      </c>
      <c r="IN247">
        <v>130</v>
      </c>
      <c r="IP247">
        <v>0</v>
      </c>
      <c r="IT247">
        <v>9</v>
      </c>
      <c r="IU247">
        <v>1540</v>
      </c>
      <c r="IV247">
        <v>1</v>
      </c>
      <c r="IW247">
        <v>23</v>
      </c>
      <c r="IX247">
        <v>40</v>
      </c>
      <c r="IY247">
        <v>739</v>
      </c>
      <c r="IZ247">
        <v>344</v>
      </c>
      <c r="JA247">
        <v>79</v>
      </c>
      <c r="JB247">
        <v>75</v>
      </c>
      <c r="JC247">
        <v>7</v>
      </c>
      <c r="JD247">
        <v>6</v>
      </c>
      <c r="JE247">
        <v>3</v>
      </c>
      <c r="JF247">
        <v>43</v>
      </c>
      <c r="JG247">
        <v>504</v>
      </c>
      <c r="JH247">
        <v>55</v>
      </c>
      <c r="JI247">
        <v>4</v>
      </c>
      <c r="JJ247">
        <v>39</v>
      </c>
      <c r="KF247">
        <v>1</v>
      </c>
      <c r="LX247">
        <v>2</v>
      </c>
      <c r="LZ247">
        <v>53</v>
      </c>
      <c r="MB247">
        <v>18</v>
      </c>
      <c r="MF247">
        <v>6</v>
      </c>
      <c r="MI247">
        <v>32</v>
      </c>
      <c r="MJ247">
        <v>9</v>
      </c>
      <c r="MK247">
        <v>9</v>
      </c>
      <c r="MM247">
        <v>2</v>
      </c>
      <c r="MN247">
        <v>2</v>
      </c>
      <c r="MO247">
        <v>1</v>
      </c>
      <c r="MP247">
        <v>3</v>
      </c>
      <c r="MQ247">
        <v>1</v>
      </c>
      <c r="MR247">
        <v>1</v>
      </c>
      <c r="MS247">
        <v>115</v>
      </c>
      <c r="MT247">
        <v>7</v>
      </c>
      <c r="MU247">
        <v>159</v>
      </c>
      <c r="MV247">
        <v>9</v>
      </c>
      <c r="MW247">
        <v>57</v>
      </c>
      <c r="MX247">
        <v>75</v>
      </c>
      <c r="MY247">
        <v>80</v>
      </c>
      <c r="MZ247">
        <v>166</v>
      </c>
      <c r="NT247">
        <v>31</v>
      </c>
      <c r="NU247">
        <v>11</v>
      </c>
      <c r="NX247">
        <v>2</v>
      </c>
      <c r="OE247">
        <v>37</v>
      </c>
      <c r="OI247">
        <v>202</v>
      </c>
      <c r="OJ247">
        <v>1162</v>
      </c>
      <c r="OK247">
        <v>67</v>
      </c>
      <c r="ON247">
        <v>21</v>
      </c>
      <c r="OO247">
        <v>7451</v>
      </c>
      <c r="OU247">
        <v>79</v>
      </c>
      <c r="OV247">
        <v>3133</v>
      </c>
      <c r="PI247">
        <v>10662</v>
      </c>
      <c r="PM247" t="str">
        <f>IFERROR(VLOOKUP($A247&amp;"",Key!$A:$C,3,FALSE),"")</f>
        <v>ISIC 20</v>
      </c>
    </row>
    <row r="248" spans="1:429" x14ac:dyDescent="0.25">
      <c r="A248">
        <v>325180</v>
      </c>
      <c r="B248" t="s">
        <v>383</v>
      </c>
      <c r="C248">
        <v>82</v>
      </c>
      <c r="D248">
        <v>168</v>
      </c>
      <c r="E248">
        <v>47</v>
      </c>
      <c r="F248">
        <v>30</v>
      </c>
      <c r="G248">
        <v>17</v>
      </c>
      <c r="H248">
        <v>38</v>
      </c>
      <c r="I248">
        <v>4</v>
      </c>
      <c r="J248">
        <v>1</v>
      </c>
      <c r="K248">
        <v>0</v>
      </c>
      <c r="L248">
        <v>2</v>
      </c>
      <c r="P248">
        <v>614</v>
      </c>
      <c r="Q248">
        <v>15</v>
      </c>
      <c r="R248">
        <v>7</v>
      </c>
      <c r="S248">
        <v>57</v>
      </c>
      <c r="U248">
        <v>114</v>
      </c>
      <c r="V248">
        <v>8</v>
      </c>
      <c r="W248">
        <v>121</v>
      </c>
      <c r="X248">
        <v>195</v>
      </c>
      <c r="Y248">
        <v>3</v>
      </c>
      <c r="Z248">
        <v>66</v>
      </c>
      <c r="AB248">
        <v>4</v>
      </c>
      <c r="AC248">
        <v>8</v>
      </c>
      <c r="AE248">
        <v>2</v>
      </c>
      <c r="AM248">
        <v>201</v>
      </c>
      <c r="AQ248">
        <v>16</v>
      </c>
      <c r="AR248">
        <v>991</v>
      </c>
      <c r="AS248">
        <v>6</v>
      </c>
      <c r="AT248">
        <v>157</v>
      </c>
      <c r="AW248">
        <v>10</v>
      </c>
      <c r="AX248">
        <v>47</v>
      </c>
      <c r="AY248">
        <v>87</v>
      </c>
      <c r="BA248">
        <v>51</v>
      </c>
      <c r="BB248">
        <v>18</v>
      </c>
      <c r="BC248">
        <v>88</v>
      </c>
      <c r="BD248">
        <v>76</v>
      </c>
      <c r="BE248">
        <v>1</v>
      </c>
      <c r="BF248">
        <v>97</v>
      </c>
      <c r="BI248">
        <v>11</v>
      </c>
      <c r="BJ248">
        <v>2</v>
      </c>
      <c r="BK248">
        <v>0</v>
      </c>
      <c r="BL248">
        <v>0</v>
      </c>
      <c r="BP248">
        <v>4</v>
      </c>
      <c r="BQ248">
        <v>5</v>
      </c>
      <c r="BR248">
        <v>16</v>
      </c>
      <c r="BS248">
        <v>3</v>
      </c>
      <c r="BT248">
        <v>1</v>
      </c>
      <c r="BU248">
        <v>2</v>
      </c>
      <c r="BW248">
        <v>1</v>
      </c>
      <c r="BX248">
        <v>2</v>
      </c>
      <c r="BZ248">
        <v>55</v>
      </c>
      <c r="CE248">
        <v>1</v>
      </c>
      <c r="CN248">
        <v>3</v>
      </c>
      <c r="DG248">
        <v>13</v>
      </c>
      <c r="DM248">
        <v>1</v>
      </c>
      <c r="DO248">
        <v>486</v>
      </c>
      <c r="DP248">
        <v>84</v>
      </c>
      <c r="DQ248">
        <v>132</v>
      </c>
      <c r="EC248">
        <v>4</v>
      </c>
      <c r="EK248">
        <v>145</v>
      </c>
      <c r="EL248">
        <v>10</v>
      </c>
      <c r="EM248">
        <v>11</v>
      </c>
      <c r="ES248">
        <v>1</v>
      </c>
      <c r="EX248">
        <v>5</v>
      </c>
      <c r="EY248">
        <v>3</v>
      </c>
      <c r="EZ248">
        <v>25</v>
      </c>
      <c r="FB248">
        <v>2</v>
      </c>
      <c r="FC248">
        <v>26</v>
      </c>
      <c r="FD248">
        <v>49</v>
      </c>
      <c r="FI248">
        <v>11</v>
      </c>
      <c r="FN248">
        <v>2</v>
      </c>
      <c r="FY248">
        <v>9</v>
      </c>
      <c r="FZ248">
        <v>10</v>
      </c>
      <c r="GB248">
        <v>14</v>
      </c>
      <c r="GD248">
        <v>9</v>
      </c>
      <c r="GF248">
        <v>31</v>
      </c>
      <c r="GI248">
        <v>38</v>
      </c>
      <c r="GJ248">
        <v>1295</v>
      </c>
      <c r="HK248">
        <v>12</v>
      </c>
      <c r="HM248">
        <v>109</v>
      </c>
      <c r="HS248">
        <v>0</v>
      </c>
      <c r="HT248">
        <v>522</v>
      </c>
      <c r="HU248">
        <v>1108</v>
      </c>
      <c r="HV248">
        <v>1087</v>
      </c>
      <c r="HX248">
        <v>234</v>
      </c>
      <c r="HY248">
        <v>3</v>
      </c>
      <c r="IA248">
        <v>15</v>
      </c>
      <c r="ID248">
        <v>1295</v>
      </c>
      <c r="IE248">
        <v>15</v>
      </c>
      <c r="IG248">
        <v>183</v>
      </c>
      <c r="IH248">
        <v>62</v>
      </c>
      <c r="II248">
        <v>203</v>
      </c>
      <c r="IJ248">
        <v>188</v>
      </c>
      <c r="IK248">
        <v>3060</v>
      </c>
      <c r="IL248">
        <v>1565</v>
      </c>
      <c r="IM248">
        <v>1529</v>
      </c>
      <c r="IN248">
        <v>249</v>
      </c>
      <c r="IO248">
        <v>1</v>
      </c>
      <c r="IP248">
        <v>3</v>
      </c>
      <c r="IQ248">
        <v>7</v>
      </c>
      <c r="IR248">
        <v>2</v>
      </c>
      <c r="IS248">
        <v>665</v>
      </c>
      <c r="IT248">
        <v>413</v>
      </c>
      <c r="IU248">
        <v>42</v>
      </c>
      <c r="IV248">
        <v>306</v>
      </c>
      <c r="IW248">
        <v>1223</v>
      </c>
      <c r="IX248">
        <v>24</v>
      </c>
      <c r="IY248">
        <v>151</v>
      </c>
      <c r="IZ248">
        <v>2586</v>
      </c>
      <c r="JA248">
        <v>289</v>
      </c>
      <c r="JB248">
        <v>140</v>
      </c>
      <c r="JC248">
        <v>128</v>
      </c>
      <c r="JD248">
        <v>301</v>
      </c>
      <c r="JE248">
        <v>1737</v>
      </c>
      <c r="JG248">
        <v>804</v>
      </c>
      <c r="JH248">
        <v>688</v>
      </c>
      <c r="JI248">
        <v>34</v>
      </c>
      <c r="JJ248">
        <v>380</v>
      </c>
      <c r="JS248">
        <v>115</v>
      </c>
      <c r="JT248">
        <v>2</v>
      </c>
      <c r="KF248">
        <v>2</v>
      </c>
      <c r="KH248">
        <v>3</v>
      </c>
      <c r="KW248">
        <v>2</v>
      </c>
      <c r="KX248">
        <v>5</v>
      </c>
      <c r="LK248">
        <v>456</v>
      </c>
      <c r="LL248">
        <v>8</v>
      </c>
      <c r="LM248">
        <v>140</v>
      </c>
      <c r="LX248">
        <v>10</v>
      </c>
      <c r="LZ248">
        <v>264</v>
      </c>
      <c r="MB248">
        <v>52</v>
      </c>
      <c r="MD248">
        <v>14</v>
      </c>
      <c r="ME248">
        <v>3</v>
      </c>
      <c r="MF248">
        <v>2</v>
      </c>
      <c r="MH248">
        <v>878</v>
      </c>
      <c r="MJ248">
        <v>50</v>
      </c>
      <c r="MK248">
        <v>19</v>
      </c>
      <c r="MM248">
        <v>2</v>
      </c>
      <c r="MN248">
        <v>8</v>
      </c>
      <c r="MO248">
        <v>65</v>
      </c>
      <c r="MP248">
        <v>16</v>
      </c>
      <c r="MQ248">
        <v>1</v>
      </c>
      <c r="MR248">
        <v>30</v>
      </c>
      <c r="MS248">
        <v>418</v>
      </c>
      <c r="MT248">
        <v>48</v>
      </c>
      <c r="MU248">
        <v>421</v>
      </c>
      <c r="MV248">
        <v>186</v>
      </c>
      <c r="MW248">
        <v>398</v>
      </c>
      <c r="MX248">
        <v>293</v>
      </c>
      <c r="MY248">
        <v>392</v>
      </c>
      <c r="MZ248">
        <v>290</v>
      </c>
      <c r="NA248">
        <v>10</v>
      </c>
      <c r="NB248">
        <v>2</v>
      </c>
      <c r="NT248">
        <v>22</v>
      </c>
      <c r="NU248">
        <v>12</v>
      </c>
      <c r="NW248">
        <v>0</v>
      </c>
      <c r="NX248">
        <v>4</v>
      </c>
      <c r="OD248">
        <v>624</v>
      </c>
      <c r="OE248">
        <v>194</v>
      </c>
      <c r="OI248">
        <v>476</v>
      </c>
      <c r="OJ248">
        <v>2761</v>
      </c>
      <c r="OK248">
        <v>845</v>
      </c>
      <c r="OM248">
        <v>1</v>
      </c>
      <c r="ON248">
        <v>142</v>
      </c>
      <c r="OO248">
        <v>37027</v>
      </c>
      <c r="OP248">
        <v>36</v>
      </c>
      <c r="OQ248">
        <v>1628</v>
      </c>
      <c r="OU248">
        <v>-94</v>
      </c>
      <c r="OV248">
        <v>13313</v>
      </c>
      <c r="PI248">
        <v>51909</v>
      </c>
      <c r="PM248" t="str">
        <f>IFERROR(VLOOKUP($A248&amp;"",Key!$A:$C,3,FALSE),"")</f>
        <v>ISIC 20</v>
      </c>
    </row>
    <row r="249" spans="1:429" x14ac:dyDescent="0.25">
      <c r="A249">
        <v>325190</v>
      </c>
      <c r="B249" t="s">
        <v>384</v>
      </c>
      <c r="H249">
        <v>728</v>
      </c>
      <c r="P249">
        <v>729</v>
      </c>
      <c r="Q249">
        <v>28</v>
      </c>
      <c r="R249">
        <v>37</v>
      </c>
      <c r="S249">
        <v>152</v>
      </c>
      <c r="U249">
        <v>188</v>
      </c>
      <c r="V249">
        <v>28</v>
      </c>
      <c r="W249">
        <v>502</v>
      </c>
      <c r="X249">
        <v>920</v>
      </c>
      <c r="Y249">
        <v>8</v>
      </c>
      <c r="Z249">
        <v>26</v>
      </c>
      <c r="AA249">
        <v>16</v>
      </c>
      <c r="AB249">
        <v>72</v>
      </c>
      <c r="AC249">
        <v>58</v>
      </c>
      <c r="AD249">
        <v>12</v>
      </c>
      <c r="AE249">
        <v>5</v>
      </c>
      <c r="AF249">
        <v>3</v>
      </c>
      <c r="AG249">
        <v>57</v>
      </c>
      <c r="AH249">
        <v>3</v>
      </c>
      <c r="AI249">
        <v>6</v>
      </c>
      <c r="AJ249">
        <v>9</v>
      </c>
      <c r="AL249">
        <v>6</v>
      </c>
      <c r="AM249">
        <v>107</v>
      </c>
      <c r="AN249">
        <v>18</v>
      </c>
      <c r="AO249">
        <v>10</v>
      </c>
      <c r="AP249">
        <v>12</v>
      </c>
      <c r="AQ249">
        <v>33</v>
      </c>
      <c r="AR249">
        <v>123</v>
      </c>
      <c r="AS249">
        <v>6</v>
      </c>
      <c r="AT249">
        <v>384</v>
      </c>
      <c r="AU249">
        <v>2</v>
      </c>
      <c r="AV249">
        <v>7</v>
      </c>
      <c r="AW249">
        <v>13</v>
      </c>
      <c r="AX249">
        <v>32</v>
      </c>
      <c r="AY249">
        <v>101</v>
      </c>
      <c r="AZ249">
        <v>61</v>
      </c>
      <c r="BA249">
        <v>158</v>
      </c>
      <c r="BB249">
        <v>14</v>
      </c>
      <c r="BC249">
        <v>115</v>
      </c>
      <c r="BD249">
        <v>73</v>
      </c>
      <c r="BE249">
        <v>9</v>
      </c>
      <c r="BF249">
        <v>0</v>
      </c>
      <c r="BG249">
        <v>52</v>
      </c>
      <c r="BI249">
        <v>92</v>
      </c>
      <c r="BJ249">
        <v>17</v>
      </c>
      <c r="BK249">
        <v>9</v>
      </c>
      <c r="BL249">
        <v>2</v>
      </c>
      <c r="BM249">
        <v>3</v>
      </c>
      <c r="BN249">
        <v>5</v>
      </c>
      <c r="BO249">
        <v>2</v>
      </c>
      <c r="BP249">
        <v>5</v>
      </c>
      <c r="BQ249">
        <v>26</v>
      </c>
      <c r="BR249">
        <v>460</v>
      </c>
      <c r="BS249">
        <v>10</v>
      </c>
      <c r="BT249">
        <v>7</v>
      </c>
      <c r="BU249">
        <v>15</v>
      </c>
      <c r="BV249">
        <v>7</v>
      </c>
      <c r="BW249">
        <v>3</v>
      </c>
      <c r="BX249">
        <v>12</v>
      </c>
      <c r="BY249">
        <v>11</v>
      </c>
      <c r="BZ249">
        <v>154</v>
      </c>
      <c r="CA249">
        <v>1</v>
      </c>
      <c r="CB249">
        <v>19</v>
      </c>
      <c r="CC249">
        <v>4</v>
      </c>
      <c r="CD249">
        <v>1</v>
      </c>
      <c r="CE249">
        <v>112</v>
      </c>
      <c r="CG249">
        <v>11</v>
      </c>
      <c r="CH249">
        <v>4</v>
      </c>
      <c r="CI249">
        <v>40</v>
      </c>
      <c r="CJ249">
        <v>16</v>
      </c>
      <c r="CK249">
        <v>1</v>
      </c>
      <c r="CL249">
        <v>20</v>
      </c>
      <c r="CM249">
        <v>2</v>
      </c>
      <c r="CN249">
        <v>9</v>
      </c>
      <c r="CO249">
        <v>3</v>
      </c>
      <c r="CP249">
        <v>1</v>
      </c>
      <c r="CQ249">
        <v>93</v>
      </c>
      <c r="CR249">
        <v>1</v>
      </c>
      <c r="CS249">
        <v>4</v>
      </c>
      <c r="CT249">
        <v>10</v>
      </c>
      <c r="CU249">
        <v>3</v>
      </c>
      <c r="CV249">
        <v>3</v>
      </c>
      <c r="CW249">
        <v>18</v>
      </c>
      <c r="CX249">
        <v>1</v>
      </c>
      <c r="CY249">
        <v>2</v>
      </c>
      <c r="CZ249">
        <v>6</v>
      </c>
      <c r="DA249">
        <v>3</v>
      </c>
      <c r="DB249">
        <v>13</v>
      </c>
      <c r="DC249">
        <v>22</v>
      </c>
      <c r="DD249">
        <v>1</v>
      </c>
      <c r="DE249">
        <v>1</v>
      </c>
      <c r="DG249">
        <v>41</v>
      </c>
      <c r="DH249">
        <v>8</v>
      </c>
      <c r="DI249">
        <v>1</v>
      </c>
      <c r="DJ249">
        <v>0</v>
      </c>
      <c r="DK249">
        <v>0</v>
      </c>
      <c r="DL249">
        <v>1</v>
      </c>
      <c r="DM249">
        <v>19</v>
      </c>
      <c r="DN249">
        <v>2</v>
      </c>
      <c r="DO249">
        <v>14</v>
      </c>
      <c r="DP249">
        <v>3</v>
      </c>
      <c r="DQ249">
        <v>8</v>
      </c>
      <c r="DR249">
        <v>105</v>
      </c>
      <c r="DS249">
        <v>11</v>
      </c>
      <c r="DT249">
        <v>0</v>
      </c>
      <c r="DU249">
        <v>2</v>
      </c>
      <c r="DV249">
        <v>2</v>
      </c>
      <c r="DX249">
        <v>5</v>
      </c>
      <c r="DY249">
        <v>3</v>
      </c>
      <c r="DZ249">
        <v>11</v>
      </c>
      <c r="EA249">
        <v>0</v>
      </c>
      <c r="EB249">
        <v>0</v>
      </c>
      <c r="EC249">
        <v>2</v>
      </c>
      <c r="ED249">
        <v>2</v>
      </c>
      <c r="EE249">
        <v>2</v>
      </c>
      <c r="EG249">
        <v>1</v>
      </c>
      <c r="EH249">
        <v>1</v>
      </c>
      <c r="EI249">
        <v>1</v>
      </c>
      <c r="EJ249">
        <v>0</v>
      </c>
      <c r="EK249">
        <v>2</v>
      </c>
      <c r="EL249">
        <v>1</v>
      </c>
      <c r="EM249">
        <v>26</v>
      </c>
      <c r="EN249">
        <v>17</v>
      </c>
      <c r="EO249">
        <v>149</v>
      </c>
      <c r="EP249">
        <v>2</v>
      </c>
      <c r="EQ249">
        <v>17</v>
      </c>
      <c r="ER249">
        <v>102</v>
      </c>
      <c r="ES249">
        <v>9</v>
      </c>
      <c r="ET249">
        <v>11</v>
      </c>
      <c r="EU249">
        <v>1</v>
      </c>
      <c r="EV249">
        <v>7</v>
      </c>
      <c r="EW249">
        <v>141</v>
      </c>
      <c r="EX249">
        <v>64</v>
      </c>
      <c r="EY249">
        <v>18</v>
      </c>
      <c r="EZ249">
        <v>163</v>
      </c>
      <c r="FA249">
        <v>5</v>
      </c>
      <c r="FB249">
        <v>14</v>
      </c>
      <c r="FC249">
        <v>52</v>
      </c>
      <c r="FD249">
        <v>141</v>
      </c>
      <c r="FE249">
        <v>21</v>
      </c>
      <c r="FF249">
        <v>0</v>
      </c>
      <c r="FH249">
        <v>36</v>
      </c>
      <c r="FI249">
        <v>96</v>
      </c>
      <c r="FJ249">
        <v>2</v>
      </c>
      <c r="FK249">
        <v>35</v>
      </c>
      <c r="FL249">
        <v>12</v>
      </c>
      <c r="FN249">
        <v>2</v>
      </c>
      <c r="FO249">
        <v>2</v>
      </c>
      <c r="FP249">
        <v>8</v>
      </c>
      <c r="FQ249">
        <v>7</v>
      </c>
      <c r="FR249">
        <v>1</v>
      </c>
      <c r="FS249">
        <v>5</v>
      </c>
      <c r="FT249">
        <v>5</v>
      </c>
      <c r="FU249">
        <v>5</v>
      </c>
      <c r="FV249">
        <v>9</v>
      </c>
      <c r="FW249">
        <v>6</v>
      </c>
      <c r="FX249">
        <v>50</v>
      </c>
      <c r="FY249">
        <v>41</v>
      </c>
      <c r="FZ249">
        <v>88</v>
      </c>
      <c r="GA249">
        <v>1</v>
      </c>
      <c r="GB249">
        <v>24</v>
      </c>
      <c r="GC249">
        <v>0</v>
      </c>
      <c r="GD249">
        <v>16</v>
      </c>
      <c r="GE249">
        <v>1</v>
      </c>
      <c r="GF249">
        <v>143</v>
      </c>
      <c r="GG249">
        <v>21</v>
      </c>
      <c r="GH249">
        <v>34</v>
      </c>
      <c r="GI249">
        <v>2</v>
      </c>
      <c r="GJ249">
        <v>7</v>
      </c>
      <c r="GK249">
        <v>1</v>
      </c>
      <c r="GL249">
        <v>219</v>
      </c>
      <c r="GM249">
        <v>0</v>
      </c>
      <c r="GN249">
        <v>7</v>
      </c>
      <c r="GO249">
        <v>5</v>
      </c>
      <c r="GP249">
        <v>1073</v>
      </c>
      <c r="GQ249">
        <v>6</v>
      </c>
      <c r="GR249">
        <v>2</v>
      </c>
      <c r="GS249">
        <v>19</v>
      </c>
      <c r="GT249">
        <v>26</v>
      </c>
      <c r="GU249">
        <v>20</v>
      </c>
      <c r="GV249">
        <v>6</v>
      </c>
      <c r="GW249">
        <v>9</v>
      </c>
      <c r="GX249">
        <v>26</v>
      </c>
      <c r="GY249">
        <v>0</v>
      </c>
      <c r="GZ249">
        <v>74</v>
      </c>
      <c r="HA249">
        <v>53</v>
      </c>
      <c r="HB249">
        <v>46</v>
      </c>
      <c r="HC249">
        <v>31</v>
      </c>
      <c r="HD249">
        <v>98</v>
      </c>
      <c r="HE249">
        <v>47</v>
      </c>
      <c r="HF249">
        <v>157</v>
      </c>
      <c r="HG249">
        <v>209</v>
      </c>
      <c r="HH249">
        <v>7</v>
      </c>
      <c r="HI249">
        <v>1</v>
      </c>
      <c r="HJ249">
        <v>4</v>
      </c>
      <c r="HK249">
        <v>36</v>
      </c>
      <c r="HL249">
        <v>1</v>
      </c>
      <c r="HM249">
        <v>119</v>
      </c>
      <c r="HN249">
        <v>94</v>
      </c>
      <c r="HP249">
        <v>1</v>
      </c>
      <c r="HQ249">
        <v>3</v>
      </c>
      <c r="HR249">
        <v>0</v>
      </c>
      <c r="HS249">
        <v>4</v>
      </c>
      <c r="HT249">
        <v>155</v>
      </c>
      <c r="HU249">
        <v>790</v>
      </c>
      <c r="HV249">
        <v>543</v>
      </c>
      <c r="HW249">
        <v>58</v>
      </c>
      <c r="HX249">
        <v>232</v>
      </c>
      <c r="HY249">
        <v>7</v>
      </c>
      <c r="HZ249">
        <v>16</v>
      </c>
      <c r="IA249">
        <v>18</v>
      </c>
      <c r="IB249">
        <v>1403</v>
      </c>
      <c r="IC249">
        <v>4</v>
      </c>
      <c r="ID249">
        <v>12878</v>
      </c>
      <c r="IE249">
        <v>167</v>
      </c>
      <c r="IF249">
        <v>47</v>
      </c>
      <c r="IG249">
        <v>220</v>
      </c>
      <c r="IH249">
        <v>8010</v>
      </c>
      <c r="II249">
        <v>513</v>
      </c>
      <c r="IJ249">
        <v>474</v>
      </c>
      <c r="IK249">
        <v>317</v>
      </c>
      <c r="IL249">
        <v>12687</v>
      </c>
      <c r="IM249">
        <v>22842</v>
      </c>
      <c r="IN249">
        <v>1433</v>
      </c>
      <c r="IO249">
        <v>353</v>
      </c>
      <c r="IP249">
        <v>1046</v>
      </c>
      <c r="IQ249">
        <v>700</v>
      </c>
      <c r="IR249">
        <v>565</v>
      </c>
      <c r="IS249">
        <v>2</v>
      </c>
      <c r="IT249">
        <v>5699</v>
      </c>
      <c r="IU249">
        <v>2894</v>
      </c>
      <c r="IV249">
        <v>1232</v>
      </c>
      <c r="IW249">
        <v>1639</v>
      </c>
      <c r="IX249">
        <v>2016</v>
      </c>
      <c r="IY249">
        <v>81</v>
      </c>
      <c r="IZ249">
        <v>2361</v>
      </c>
      <c r="JA249">
        <v>1392</v>
      </c>
      <c r="JB249">
        <v>149</v>
      </c>
      <c r="JC249">
        <v>63</v>
      </c>
      <c r="JD249">
        <v>71</v>
      </c>
      <c r="JE249">
        <v>389</v>
      </c>
      <c r="JF249">
        <v>927</v>
      </c>
      <c r="JG249">
        <v>726</v>
      </c>
      <c r="JH249">
        <v>1188</v>
      </c>
      <c r="JI249">
        <v>129</v>
      </c>
      <c r="JJ249">
        <v>790</v>
      </c>
      <c r="JL249">
        <v>27</v>
      </c>
      <c r="JM249">
        <v>16</v>
      </c>
      <c r="JO249">
        <v>194</v>
      </c>
      <c r="JQ249">
        <v>52</v>
      </c>
      <c r="JR249">
        <v>31</v>
      </c>
      <c r="JS249">
        <v>194</v>
      </c>
      <c r="JT249">
        <v>5</v>
      </c>
      <c r="JV249">
        <v>28</v>
      </c>
      <c r="JW249">
        <v>21</v>
      </c>
      <c r="JX249">
        <v>20</v>
      </c>
      <c r="JZ249">
        <v>6</v>
      </c>
      <c r="KA249">
        <v>7</v>
      </c>
      <c r="KC249">
        <v>15</v>
      </c>
      <c r="KD249">
        <v>0</v>
      </c>
      <c r="KF249">
        <v>17</v>
      </c>
      <c r="KG249">
        <v>6</v>
      </c>
      <c r="KH249">
        <v>112</v>
      </c>
      <c r="KI249">
        <v>2</v>
      </c>
      <c r="KJ249">
        <v>1</v>
      </c>
      <c r="KK249">
        <v>2</v>
      </c>
      <c r="KL249">
        <v>19</v>
      </c>
      <c r="KM249">
        <v>3</v>
      </c>
      <c r="KN249">
        <v>16</v>
      </c>
      <c r="KO249">
        <v>6</v>
      </c>
      <c r="KP249">
        <v>22</v>
      </c>
      <c r="KQ249">
        <v>6</v>
      </c>
      <c r="KS249">
        <v>6</v>
      </c>
      <c r="KW249">
        <v>332</v>
      </c>
      <c r="KX249">
        <v>75</v>
      </c>
      <c r="KY249">
        <v>33</v>
      </c>
      <c r="KZ249">
        <v>4</v>
      </c>
      <c r="LB249">
        <v>0</v>
      </c>
      <c r="LL249">
        <v>0</v>
      </c>
      <c r="LM249">
        <v>11245</v>
      </c>
      <c r="LR249">
        <v>2</v>
      </c>
      <c r="LU249">
        <v>5</v>
      </c>
      <c r="LV249">
        <v>32</v>
      </c>
      <c r="LW249">
        <v>2983</v>
      </c>
      <c r="LX249">
        <v>170</v>
      </c>
      <c r="LY249">
        <v>15</v>
      </c>
      <c r="LZ249">
        <v>779</v>
      </c>
      <c r="MA249">
        <v>62</v>
      </c>
      <c r="MB249">
        <v>85</v>
      </c>
      <c r="MC249">
        <v>11</v>
      </c>
      <c r="MD249">
        <v>77</v>
      </c>
      <c r="ME249">
        <v>50</v>
      </c>
      <c r="MF249">
        <v>19</v>
      </c>
      <c r="MG249">
        <v>1</v>
      </c>
      <c r="MH249">
        <v>788</v>
      </c>
      <c r="MI249">
        <v>623</v>
      </c>
      <c r="MJ249">
        <v>232</v>
      </c>
      <c r="MK249">
        <v>165</v>
      </c>
      <c r="ML249">
        <v>4</v>
      </c>
      <c r="MM249">
        <v>10</v>
      </c>
      <c r="MN249">
        <v>59</v>
      </c>
      <c r="MO249">
        <v>959</v>
      </c>
      <c r="MP249">
        <v>66</v>
      </c>
      <c r="MQ249">
        <v>10</v>
      </c>
      <c r="MR249">
        <v>74</v>
      </c>
      <c r="MS249">
        <v>944</v>
      </c>
      <c r="MT249">
        <v>168</v>
      </c>
      <c r="MU249">
        <v>1447</v>
      </c>
      <c r="MW249">
        <v>543</v>
      </c>
      <c r="MX249">
        <v>781</v>
      </c>
      <c r="MY249">
        <v>901</v>
      </c>
      <c r="MZ249">
        <v>1492</v>
      </c>
      <c r="NA249">
        <v>137</v>
      </c>
      <c r="NB249">
        <v>12</v>
      </c>
      <c r="NC249">
        <v>15</v>
      </c>
      <c r="ND249">
        <v>19</v>
      </c>
      <c r="NL249">
        <v>10</v>
      </c>
      <c r="NM249">
        <v>4</v>
      </c>
      <c r="NN249">
        <v>19</v>
      </c>
      <c r="NO249">
        <v>182</v>
      </c>
      <c r="NP249">
        <v>673</v>
      </c>
      <c r="NQ249">
        <v>138</v>
      </c>
      <c r="NR249">
        <v>14</v>
      </c>
      <c r="NS249">
        <v>8</v>
      </c>
      <c r="NT249">
        <v>284</v>
      </c>
      <c r="NU249">
        <v>175</v>
      </c>
      <c r="NW249">
        <v>0</v>
      </c>
      <c r="NX249">
        <v>10</v>
      </c>
      <c r="OB249">
        <v>10</v>
      </c>
      <c r="OD249">
        <v>1</v>
      </c>
      <c r="OE249">
        <v>713</v>
      </c>
      <c r="OF249">
        <v>37</v>
      </c>
      <c r="OG249">
        <v>5</v>
      </c>
      <c r="OI249">
        <v>1541</v>
      </c>
      <c r="OJ249">
        <v>9583</v>
      </c>
      <c r="OK249">
        <v>1076</v>
      </c>
      <c r="OL249">
        <v>1085</v>
      </c>
      <c r="ON249">
        <v>1016</v>
      </c>
      <c r="OO249">
        <v>140533</v>
      </c>
      <c r="OP249">
        <v>1073</v>
      </c>
      <c r="OU249">
        <v>184</v>
      </c>
      <c r="OV249">
        <v>32439</v>
      </c>
      <c r="PI249">
        <v>174230</v>
      </c>
      <c r="PM249" t="str">
        <f>IFERROR(VLOOKUP($A249&amp;"",Key!$A:$C,3,FALSE),"")</f>
        <v>ISIC 20</v>
      </c>
    </row>
    <row r="250" spans="1:429" x14ac:dyDescent="0.25">
      <c r="A250">
        <v>325211</v>
      </c>
      <c r="B250" t="s">
        <v>385</v>
      </c>
      <c r="AC250">
        <v>0</v>
      </c>
      <c r="AN250">
        <v>926</v>
      </c>
      <c r="AP250">
        <v>42</v>
      </c>
      <c r="AQ250">
        <v>1</v>
      </c>
      <c r="AR250">
        <v>1370</v>
      </c>
      <c r="AS250">
        <v>7</v>
      </c>
      <c r="AX250">
        <v>3</v>
      </c>
      <c r="AY250">
        <v>1</v>
      </c>
      <c r="BA250">
        <v>34</v>
      </c>
      <c r="BB250">
        <v>48</v>
      </c>
      <c r="BC250">
        <v>2</v>
      </c>
      <c r="BD250">
        <v>3</v>
      </c>
      <c r="BJ250">
        <v>13</v>
      </c>
      <c r="BN250">
        <v>1</v>
      </c>
      <c r="BO250">
        <v>28</v>
      </c>
      <c r="BP250">
        <v>234</v>
      </c>
      <c r="BU250">
        <v>1</v>
      </c>
      <c r="BV250">
        <v>37</v>
      </c>
      <c r="BZ250">
        <v>123</v>
      </c>
      <c r="CA250">
        <v>43</v>
      </c>
      <c r="CD250">
        <v>21</v>
      </c>
      <c r="CE250">
        <v>128</v>
      </c>
      <c r="CF250">
        <v>64</v>
      </c>
      <c r="CM250">
        <v>2</v>
      </c>
      <c r="CN250">
        <v>119</v>
      </c>
      <c r="CO250">
        <v>33</v>
      </c>
      <c r="CQ250">
        <v>131</v>
      </c>
      <c r="DG250">
        <v>1</v>
      </c>
      <c r="DL250">
        <v>1</v>
      </c>
      <c r="DM250">
        <v>11</v>
      </c>
      <c r="DN250">
        <v>3</v>
      </c>
      <c r="DO250">
        <v>3</v>
      </c>
      <c r="DP250">
        <v>4</v>
      </c>
      <c r="DQ250">
        <v>144</v>
      </c>
      <c r="DS250">
        <v>22</v>
      </c>
      <c r="DT250">
        <v>1</v>
      </c>
      <c r="DU250">
        <v>13</v>
      </c>
      <c r="DV250">
        <v>12</v>
      </c>
      <c r="DW250">
        <v>15</v>
      </c>
      <c r="DX250">
        <v>11</v>
      </c>
      <c r="DZ250">
        <v>17</v>
      </c>
      <c r="EB250">
        <v>7</v>
      </c>
      <c r="ED250">
        <v>18</v>
      </c>
      <c r="EE250">
        <v>94</v>
      </c>
      <c r="EF250">
        <v>232</v>
      </c>
      <c r="EH250">
        <v>9</v>
      </c>
      <c r="EI250">
        <v>46</v>
      </c>
      <c r="EJ250">
        <v>16</v>
      </c>
      <c r="EK250">
        <v>118</v>
      </c>
      <c r="EL250">
        <v>3</v>
      </c>
      <c r="EM250">
        <v>567</v>
      </c>
      <c r="EN250">
        <v>240</v>
      </c>
      <c r="ES250">
        <v>1</v>
      </c>
      <c r="EV250">
        <v>3</v>
      </c>
      <c r="EW250">
        <v>202</v>
      </c>
      <c r="EX250">
        <v>249</v>
      </c>
      <c r="EY250">
        <v>332</v>
      </c>
      <c r="EZ250">
        <v>79</v>
      </c>
      <c r="FA250">
        <v>429</v>
      </c>
      <c r="FB250">
        <v>101</v>
      </c>
      <c r="FC250">
        <v>1072</v>
      </c>
      <c r="FD250">
        <v>188</v>
      </c>
      <c r="FL250">
        <v>230</v>
      </c>
      <c r="FN250">
        <v>5</v>
      </c>
      <c r="FQ250">
        <v>12</v>
      </c>
      <c r="FR250">
        <v>4</v>
      </c>
      <c r="FS250">
        <v>77</v>
      </c>
      <c r="FT250">
        <v>81</v>
      </c>
      <c r="FU250">
        <v>165</v>
      </c>
      <c r="FV250">
        <v>112</v>
      </c>
      <c r="FX250">
        <v>820</v>
      </c>
      <c r="FY250">
        <v>207</v>
      </c>
      <c r="GA250">
        <v>481</v>
      </c>
      <c r="GD250">
        <v>160</v>
      </c>
      <c r="GE250">
        <v>96</v>
      </c>
      <c r="GF250">
        <v>4</v>
      </c>
      <c r="GG250">
        <v>195</v>
      </c>
      <c r="GH250">
        <v>510</v>
      </c>
      <c r="GS250">
        <v>16</v>
      </c>
      <c r="GT250">
        <v>52</v>
      </c>
      <c r="GU250">
        <v>481</v>
      </c>
      <c r="GV250">
        <v>9</v>
      </c>
      <c r="HK250">
        <v>1</v>
      </c>
      <c r="HM250">
        <v>1011</v>
      </c>
      <c r="HN250">
        <v>179</v>
      </c>
      <c r="HQ250">
        <v>198</v>
      </c>
      <c r="HS250">
        <v>28</v>
      </c>
      <c r="HV250">
        <v>208</v>
      </c>
      <c r="HW250">
        <v>6</v>
      </c>
      <c r="HX250">
        <v>694</v>
      </c>
      <c r="HY250">
        <v>3</v>
      </c>
      <c r="HZ250">
        <v>671</v>
      </c>
      <c r="IH250">
        <v>25</v>
      </c>
      <c r="IJ250">
        <v>2</v>
      </c>
      <c r="IL250">
        <v>193</v>
      </c>
      <c r="IM250">
        <v>11204</v>
      </c>
      <c r="IN250">
        <v>2245</v>
      </c>
      <c r="IU250">
        <v>2671</v>
      </c>
      <c r="IV250">
        <v>1206</v>
      </c>
      <c r="IY250">
        <v>306</v>
      </c>
      <c r="IZ250">
        <v>3067</v>
      </c>
      <c r="JA250">
        <v>13935</v>
      </c>
      <c r="JB250">
        <v>7492</v>
      </c>
      <c r="JC250">
        <v>666</v>
      </c>
      <c r="JD250">
        <v>2946</v>
      </c>
      <c r="JE250">
        <v>817</v>
      </c>
      <c r="JF250">
        <v>4056</v>
      </c>
      <c r="JG250">
        <v>23288</v>
      </c>
      <c r="JH250">
        <v>75</v>
      </c>
      <c r="JI250">
        <v>163</v>
      </c>
      <c r="JJ250">
        <v>342</v>
      </c>
      <c r="JK250">
        <v>1</v>
      </c>
      <c r="JL250">
        <v>0</v>
      </c>
      <c r="JV250">
        <v>24</v>
      </c>
      <c r="KS250">
        <v>0</v>
      </c>
      <c r="LT250">
        <v>103</v>
      </c>
      <c r="LW250">
        <v>124</v>
      </c>
      <c r="OD250">
        <v>1</v>
      </c>
      <c r="OE250">
        <v>2</v>
      </c>
      <c r="OI250">
        <v>34</v>
      </c>
      <c r="OK250">
        <v>5</v>
      </c>
      <c r="OL250">
        <v>9</v>
      </c>
      <c r="OO250">
        <v>89396</v>
      </c>
      <c r="OU250">
        <v>683</v>
      </c>
      <c r="OV250">
        <v>30776</v>
      </c>
      <c r="PI250">
        <v>120856</v>
      </c>
      <c r="PM250" t="str">
        <f>IFERROR(VLOOKUP($A250&amp;"",Key!$A:$C,3,FALSE),"")</f>
        <v>ISIC 20</v>
      </c>
    </row>
    <row r="251" spans="1:429" x14ac:dyDescent="0.25">
      <c r="A251" t="s">
        <v>595</v>
      </c>
      <c r="B251" t="s">
        <v>386</v>
      </c>
      <c r="AO251">
        <v>179</v>
      </c>
      <c r="AP251">
        <v>1</v>
      </c>
      <c r="AQ251">
        <v>4</v>
      </c>
      <c r="AR251">
        <v>32</v>
      </c>
      <c r="AX251">
        <v>9</v>
      </c>
      <c r="AY251">
        <v>11</v>
      </c>
      <c r="BA251">
        <v>52</v>
      </c>
      <c r="BB251">
        <v>2</v>
      </c>
      <c r="BC251">
        <v>297</v>
      </c>
      <c r="BD251">
        <v>5</v>
      </c>
      <c r="BI251">
        <v>26</v>
      </c>
      <c r="BN251">
        <v>1</v>
      </c>
      <c r="BO251">
        <v>1</v>
      </c>
      <c r="BU251">
        <v>5</v>
      </c>
      <c r="BZ251">
        <v>67</v>
      </c>
      <c r="CE251">
        <v>15</v>
      </c>
      <c r="CO251">
        <v>121</v>
      </c>
      <c r="DG251">
        <v>159</v>
      </c>
      <c r="DR251">
        <v>7</v>
      </c>
      <c r="DS251">
        <v>155</v>
      </c>
      <c r="DY251">
        <v>27</v>
      </c>
      <c r="EM251">
        <v>7</v>
      </c>
      <c r="EX251">
        <v>17</v>
      </c>
      <c r="EY251">
        <v>12</v>
      </c>
      <c r="EZ251">
        <v>45</v>
      </c>
      <c r="FA251">
        <v>643</v>
      </c>
      <c r="FB251">
        <v>8</v>
      </c>
      <c r="FC251">
        <v>89</v>
      </c>
      <c r="FD251">
        <v>52</v>
      </c>
      <c r="FI251">
        <v>34</v>
      </c>
      <c r="FN251">
        <v>1</v>
      </c>
      <c r="FO251">
        <v>18</v>
      </c>
      <c r="FX251">
        <v>983</v>
      </c>
      <c r="FY251">
        <v>548</v>
      </c>
      <c r="FZ251">
        <v>3</v>
      </c>
      <c r="GA251">
        <v>12</v>
      </c>
      <c r="GB251">
        <v>1</v>
      </c>
      <c r="GD251">
        <v>46</v>
      </c>
      <c r="GF251">
        <v>10</v>
      </c>
      <c r="GH251">
        <v>728</v>
      </c>
      <c r="HK251">
        <v>599</v>
      </c>
      <c r="HL251">
        <v>2492</v>
      </c>
      <c r="HM251">
        <v>2881</v>
      </c>
      <c r="HN251">
        <v>184</v>
      </c>
      <c r="HO251">
        <v>3648</v>
      </c>
      <c r="HP251">
        <v>290</v>
      </c>
      <c r="HQ251">
        <v>938</v>
      </c>
      <c r="HR251">
        <v>3</v>
      </c>
      <c r="HS251">
        <v>4</v>
      </c>
      <c r="HU251">
        <v>8</v>
      </c>
      <c r="HX251">
        <v>104</v>
      </c>
      <c r="HY251">
        <v>15</v>
      </c>
      <c r="IA251">
        <v>90</v>
      </c>
      <c r="IE251">
        <v>4</v>
      </c>
      <c r="IL251">
        <v>31</v>
      </c>
      <c r="IM251">
        <v>17</v>
      </c>
      <c r="IN251">
        <v>102</v>
      </c>
      <c r="IU251">
        <v>134</v>
      </c>
      <c r="IV251">
        <v>939</v>
      </c>
      <c r="IZ251">
        <v>104</v>
      </c>
      <c r="JA251">
        <v>125</v>
      </c>
      <c r="JB251">
        <v>51</v>
      </c>
      <c r="JC251">
        <v>46</v>
      </c>
      <c r="JD251">
        <v>943</v>
      </c>
      <c r="JE251">
        <v>189</v>
      </c>
      <c r="JG251">
        <v>132</v>
      </c>
      <c r="JH251">
        <v>2074</v>
      </c>
      <c r="JI251">
        <v>351</v>
      </c>
      <c r="JJ251">
        <v>1009</v>
      </c>
      <c r="JL251">
        <v>0</v>
      </c>
      <c r="JN251">
        <v>0</v>
      </c>
      <c r="JO251">
        <v>0</v>
      </c>
      <c r="LW251">
        <v>89</v>
      </c>
      <c r="LZ251">
        <v>34</v>
      </c>
      <c r="MZ251">
        <v>32</v>
      </c>
      <c r="OD251">
        <v>7</v>
      </c>
      <c r="OI251">
        <v>10</v>
      </c>
      <c r="OL251">
        <v>14</v>
      </c>
      <c r="ON251">
        <v>13</v>
      </c>
      <c r="OO251">
        <v>22138</v>
      </c>
      <c r="OU251">
        <v>-15</v>
      </c>
      <c r="OV251">
        <v>5780</v>
      </c>
      <c r="PI251">
        <v>27903</v>
      </c>
      <c r="PM251" t="str">
        <f>IFERROR(VLOOKUP($A251&amp;"",Key!$A:$C,3,FALSE),"")</f>
        <v>ISIC 20</v>
      </c>
    </row>
    <row r="252" spans="1:429" x14ac:dyDescent="0.25">
      <c r="A252">
        <v>325411</v>
      </c>
      <c r="B252" t="s">
        <v>387</v>
      </c>
      <c r="AC252">
        <v>479</v>
      </c>
      <c r="GI252">
        <v>87</v>
      </c>
      <c r="GJ252">
        <v>682</v>
      </c>
      <c r="GO252">
        <v>2</v>
      </c>
      <c r="IO252">
        <v>607</v>
      </c>
      <c r="IP252">
        <v>7133</v>
      </c>
      <c r="IQ252">
        <v>16</v>
      </c>
      <c r="IR252">
        <v>15</v>
      </c>
      <c r="JR252">
        <v>0</v>
      </c>
      <c r="JS252">
        <v>0</v>
      </c>
      <c r="LW252">
        <v>39</v>
      </c>
      <c r="LZ252">
        <v>17</v>
      </c>
      <c r="MF252">
        <v>1</v>
      </c>
      <c r="MS252">
        <v>6150</v>
      </c>
      <c r="MU252">
        <v>17</v>
      </c>
      <c r="OK252">
        <v>4</v>
      </c>
      <c r="OO252">
        <v>15250</v>
      </c>
      <c r="OU252">
        <v>286</v>
      </c>
      <c r="OV252">
        <v>78</v>
      </c>
      <c r="PI252">
        <v>15614</v>
      </c>
      <c r="PM252" t="str">
        <f>IFERROR(VLOOKUP($A252&amp;"",Key!$A:$C,3,FALSE),"")</f>
        <v>ISIC 21</v>
      </c>
    </row>
    <row r="253" spans="1:429" x14ac:dyDescent="0.25">
      <c r="A253">
        <v>325412</v>
      </c>
      <c r="B253" t="s">
        <v>388</v>
      </c>
      <c r="I253">
        <v>4</v>
      </c>
      <c r="J253">
        <v>2</v>
      </c>
      <c r="K253">
        <v>67</v>
      </c>
      <c r="L253">
        <v>21</v>
      </c>
      <c r="AC253">
        <v>4</v>
      </c>
      <c r="GO253">
        <v>46</v>
      </c>
      <c r="IO253">
        <v>13</v>
      </c>
      <c r="IP253">
        <v>1001</v>
      </c>
      <c r="IQ253">
        <v>19</v>
      </c>
      <c r="IR253">
        <v>395</v>
      </c>
      <c r="JP253">
        <v>79</v>
      </c>
      <c r="JT253">
        <v>1</v>
      </c>
      <c r="JZ253">
        <v>61</v>
      </c>
      <c r="LW253">
        <v>0</v>
      </c>
      <c r="LZ253">
        <v>29</v>
      </c>
      <c r="MD253">
        <v>1697</v>
      </c>
      <c r="MF253">
        <v>3</v>
      </c>
      <c r="MS253">
        <v>2769</v>
      </c>
      <c r="MT253">
        <v>9</v>
      </c>
      <c r="MU253">
        <v>32</v>
      </c>
      <c r="MW253">
        <v>7</v>
      </c>
      <c r="MX253">
        <v>3959</v>
      </c>
      <c r="MY253">
        <v>2049</v>
      </c>
      <c r="MZ253">
        <v>7257</v>
      </c>
      <c r="NA253">
        <v>106</v>
      </c>
      <c r="NB253">
        <v>6</v>
      </c>
      <c r="NG253">
        <v>1</v>
      </c>
      <c r="NY253">
        <v>2</v>
      </c>
      <c r="OD253">
        <v>5972</v>
      </c>
      <c r="OE253">
        <v>75</v>
      </c>
      <c r="OI253">
        <v>3</v>
      </c>
      <c r="OJ253">
        <v>82</v>
      </c>
      <c r="OO253">
        <v>25770</v>
      </c>
      <c r="OP253">
        <v>432930</v>
      </c>
      <c r="OU253">
        <v>7547</v>
      </c>
      <c r="OV253">
        <v>30127</v>
      </c>
      <c r="PI253">
        <v>496375</v>
      </c>
      <c r="PM253" t="str">
        <f>IFERROR(VLOOKUP($A253&amp;"",Key!$A:$C,3,FALSE),"")</f>
        <v>ISIC 21</v>
      </c>
    </row>
    <row r="254" spans="1:429" x14ac:dyDescent="0.25">
      <c r="A254">
        <v>325413</v>
      </c>
      <c r="B254" t="s">
        <v>389</v>
      </c>
      <c r="AC254">
        <v>10</v>
      </c>
      <c r="DG254">
        <v>0</v>
      </c>
      <c r="GB254">
        <v>0</v>
      </c>
      <c r="GO254">
        <v>0</v>
      </c>
      <c r="HK254">
        <v>0</v>
      </c>
      <c r="IO254">
        <v>0</v>
      </c>
      <c r="IP254">
        <v>7</v>
      </c>
      <c r="IQ254">
        <v>9</v>
      </c>
      <c r="IR254">
        <v>1</v>
      </c>
      <c r="JP254">
        <v>13</v>
      </c>
      <c r="LT254">
        <v>0</v>
      </c>
      <c r="LW254">
        <v>0</v>
      </c>
      <c r="MQ254">
        <v>0</v>
      </c>
      <c r="MS254">
        <v>591</v>
      </c>
      <c r="MU254">
        <v>0</v>
      </c>
      <c r="MW254">
        <v>3</v>
      </c>
      <c r="MZ254">
        <v>13888</v>
      </c>
      <c r="NA254">
        <v>3</v>
      </c>
      <c r="OD254">
        <v>89</v>
      </c>
      <c r="OE254">
        <v>65</v>
      </c>
      <c r="OJ254">
        <v>490</v>
      </c>
      <c r="OO254">
        <v>15172</v>
      </c>
      <c r="OU254">
        <v>65</v>
      </c>
      <c r="OV254">
        <v>117</v>
      </c>
      <c r="PI254">
        <v>15355</v>
      </c>
      <c r="PM254" t="str">
        <f>IFERROR(VLOOKUP($A254&amp;"",Key!$A:$C,3,FALSE),"")</f>
        <v>ISIC 21</v>
      </c>
    </row>
    <row r="255" spans="1:429" x14ac:dyDescent="0.25">
      <c r="A255">
        <v>325414</v>
      </c>
      <c r="B255" t="s">
        <v>390</v>
      </c>
      <c r="I255">
        <v>17</v>
      </c>
      <c r="J255">
        <v>1997</v>
      </c>
      <c r="K255">
        <v>876</v>
      </c>
      <c r="L255">
        <v>42</v>
      </c>
      <c r="O255">
        <v>541</v>
      </c>
      <c r="AC255">
        <v>43</v>
      </c>
      <c r="AP255">
        <v>333</v>
      </c>
      <c r="GO255">
        <v>10</v>
      </c>
      <c r="IO255">
        <v>3840</v>
      </c>
      <c r="IP255">
        <v>41581</v>
      </c>
      <c r="IQ255">
        <v>4694</v>
      </c>
      <c r="IR255">
        <v>7696</v>
      </c>
      <c r="JP255">
        <v>2</v>
      </c>
      <c r="JW255">
        <v>0</v>
      </c>
      <c r="JZ255">
        <v>0</v>
      </c>
      <c r="KD255">
        <v>772</v>
      </c>
      <c r="KI255">
        <v>0</v>
      </c>
      <c r="LW255">
        <v>963</v>
      </c>
      <c r="LZ255">
        <v>4386</v>
      </c>
      <c r="MD255">
        <v>18</v>
      </c>
      <c r="MF255">
        <v>233</v>
      </c>
      <c r="MS255">
        <v>0</v>
      </c>
      <c r="MT255">
        <v>785</v>
      </c>
      <c r="MU255">
        <v>4450</v>
      </c>
      <c r="MV255">
        <v>7460</v>
      </c>
      <c r="MW255">
        <v>6057</v>
      </c>
      <c r="MZ255">
        <v>35</v>
      </c>
      <c r="NA255">
        <v>3159</v>
      </c>
      <c r="NB255">
        <v>1</v>
      </c>
      <c r="NC255">
        <v>71</v>
      </c>
      <c r="NJ255">
        <v>616</v>
      </c>
      <c r="NK255">
        <v>630</v>
      </c>
      <c r="NM255">
        <v>44</v>
      </c>
      <c r="NY255">
        <v>119</v>
      </c>
      <c r="OD255">
        <v>0</v>
      </c>
      <c r="OE255">
        <v>30</v>
      </c>
      <c r="OI255">
        <v>0</v>
      </c>
      <c r="OJ255">
        <v>6</v>
      </c>
      <c r="ON255">
        <v>52</v>
      </c>
      <c r="OO255">
        <v>91560</v>
      </c>
      <c r="OU255">
        <v>2484</v>
      </c>
      <c r="OV255">
        <v>22574</v>
      </c>
      <c r="PI255">
        <v>116618</v>
      </c>
      <c r="PM255" t="str">
        <f>IFERROR(VLOOKUP($A255&amp;"",Key!$A:$C,3,FALSE),"")</f>
        <v>ISIC 21</v>
      </c>
    </row>
    <row r="256" spans="1:429" x14ac:dyDescent="0.25">
      <c r="A256">
        <v>325310</v>
      </c>
      <c r="B256" t="s">
        <v>391</v>
      </c>
      <c r="C256">
        <v>756</v>
      </c>
      <c r="D256">
        <v>5674</v>
      </c>
      <c r="E256">
        <v>1229</v>
      </c>
      <c r="F256">
        <v>825</v>
      </c>
      <c r="G256">
        <v>784</v>
      </c>
      <c r="H256">
        <v>1063</v>
      </c>
      <c r="I256">
        <v>633</v>
      </c>
      <c r="O256">
        <v>1562</v>
      </c>
      <c r="Q256">
        <v>476</v>
      </c>
      <c r="V256">
        <v>6</v>
      </c>
      <c r="W256">
        <v>0</v>
      </c>
      <c r="Z256">
        <v>2</v>
      </c>
      <c r="AA256">
        <v>154</v>
      </c>
      <c r="AB256">
        <v>566</v>
      </c>
      <c r="AC256">
        <v>319</v>
      </c>
      <c r="AD256">
        <v>201</v>
      </c>
      <c r="AE256">
        <v>489</v>
      </c>
      <c r="AF256">
        <v>158</v>
      </c>
      <c r="AG256">
        <v>722</v>
      </c>
      <c r="AH256">
        <v>130</v>
      </c>
      <c r="AI256">
        <v>252</v>
      </c>
      <c r="AJ256">
        <v>103</v>
      </c>
      <c r="AK256">
        <v>728</v>
      </c>
      <c r="AL256">
        <v>188</v>
      </c>
      <c r="AQ256">
        <v>3</v>
      </c>
      <c r="AR256">
        <v>11</v>
      </c>
      <c r="AX256">
        <v>1</v>
      </c>
      <c r="BA256">
        <v>13</v>
      </c>
      <c r="BB256">
        <v>5</v>
      </c>
      <c r="BC256">
        <v>4</v>
      </c>
      <c r="BD256">
        <v>5</v>
      </c>
      <c r="BF256">
        <v>0</v>
      </c>
      <c r="BI256">
        <v>1</v>
      </c>
      <c r="BU256">
        <v>1</v>
      </c>
      <c r="BZ256">
        <v>9</v>
      </c>
      <c r="CN256">
        <v>0</v>
      </c>
      <c r="DG256">
        <v>5</v>
      </c>
      <c r="EC256">
        <v>0</v>
      </c>
      <c r="EK256">
        <v>1</v>
      </c>
      <c r="EL256">
        <v>1</v>
      </c>
      <c r="EX256">
        <v>2</v>
      </c>
      <c r="EY256">
        <v>1</v>
      </c>
      <c r="EZ256">
        <v>5</v>
      </c>
      <c r="FB256">
        <v>2</v>
      </c>
      <c r="FC256">
        <v>3</v>
      </c>
      <c r="FD256">
        <v>6</v>
      </c>
      <c r="FI256">
        <v>1</v>
      </c>
      <c r="FN256">
        <v>0</v>
      </c>
      <c r="GD256">
        <v>2</v>
      </c>
      <c r="GF256">
        <v>3</v>
      </c>
      <c r="HK256">
        <v>4</v>
      </c>
      <c r="HM256">
        <v>0</v>
      </c>
      <c r="HS256">
        <v>0</v>
      </c>
      <c r="HX256">
        <v>6</v>
      </c>
      <c r="ID256">
        <v>4</v>
      </c>
      <c r="IG256">
        <v>13</v>
      </c>
      <c r="IH256">
        <v>94</v>
      </c>
      <c r="II256">
        <v>17</v>
      </c>
      <c r="IJ256">
        <v>11</v>
      </c>
      <c r="IK256">
        <v>508</v>
      </c>
      <c r="IL256">
        <v>1077</v>
      </c>
      <c r="IM256">
        <v>76</v>
      </c>
      <c r="IN256">
        <v>4</v>
      </c>
      <c r="IP256">
        <v>1</v>
      </c>
      <c r="IS256">
        <v>4091</v>
      </c>
      <c r="IT256">
        <v>28</v>
      </c>
      <c r="IU256">
        <v>8</v>
      </c>
      <c r="IV256">
        <v>23</v>
      </c>
      <c r="IW256">
        <v>79</v>
      </c>
      <c r="IZ256">
        <v>419</v>
      </c>
      <c r="JA256">
        <v>19</v>
      </c>
      <c r="JB256">
        <v>9</v>
      </c>
      <c r="JC256">
        <v>9</v>
      </c>
      <c r="JD256">
        <v>3</v>
      </c>
      <c r="JE256">
        <v>12</v>
      </c>
      <c r="JG256">
        <v>7</v>
      </c>
      <c r="JH256">
        <v>9</v>
      </c>
      <c r="JI256">
        <v>1</v>
      </c>
      <c r="JS256">
        <v>856</v>
      </c>
      <c r="JT256">
        <v>8</v>
      </c>
      <c r="JY256">
        <v>25</v>
      </c>
      <c r="KD256">
        <v>1</v>
      </c>
      <c r="KF256">
        <v>3</v>
      </c>
      <c r="KN256">
        <v>0</v>
      </c>
      <c r="KO256">
        <v>1</v>
      </c>
      <c r="KQ256">
        <v>0</v>
      </c>
      <c r="LK256">
        <v>221</v>
      </c>
      <c r="LL256">
        <v>15</v>
      </c>
      <c r="LW256">
        <v>5</v>
      </c>
      <c r="LZ256">
        <v>60</v>
      </c>
      <c r="MA256">
        <v>124</v>
      </c>
      <c r="MD256">
        <v>0</v>
      </c>
      <c r="ME256">
        <v>7</v>
      </c>
      <c r="MF256">
        <v>3</v>
      </c>
      <c r="MH256">
        <v>2198</v>
      </c>
      <c r="MP256">
        <v>26</v>
      </c>
      <c r="MQ256">
        <v>1</v>
      </c>
      <c r="MR256">
        <v>14</v>
      </c>
      <c r="MZ256">
        <v>89</v>
      </c>
      <c r="NA256">
        <v>1</v>
      </c>
      <c r="NB256">
        <v>0</v>
      </c>
      <c r="NF256">
        <v>1</v>
      </c>
      <c r="NK256">
        <v>88</v>
      </c>
      <c r="NL256">
        <v>3</v>
      </c>
      <c r="NM256">
        <v>72</v>
      </c>
      <c r="NO256">
        <v>10</v>
      </c>
      <c r="OD256">
        <v>12</v>
      </c>
      <c r="OE256">
        <v>302</v>
      </c>
      <c r="OI256">
        <v>177</v>
      </c>
      <c r="OJ256">
        <v>352</v>
      </c>
      <c r="OK256">
        <v>4196</v>
      </c>
      <c r="ON256">
        <v>555</v>
      </c>
      <c r="OO256">
        <v>33066</v>
      </c>
      <c r="OP256">
        <v>312</v>
      </c>
      <c r="OU256">
        <v>435</v>
      </c>
      <c r="OV256">
        <v>3495</v>
      </c>
      <c r="PI256">
        <v>37308</v>
      </c>
      <c r="PM256" t="str">
        <f>IFERROR(VLOOKUP($A256&amp;"",Key!$A:$C,3,FALSE),"")</f>
        <v>ISIC 20</v>
      </c>
    </row>
    <row r="257" spans="1:429" x14ac:dyDescent="0.25">
      <c r="A257">
        <v>325320</v>
      </c>
      <c r="B257" t="s">
        <v>392</v>
      </c>
      <c r="C257">
        <v>1534</v>
      </c>
      <c r="D257">
        <v>6460</v>
      </c>
      <c r="E257">
        <v>1807</v>
      </c>
      <c r="F257">
        <v>1727</v>
      </c>
      <c r="G257">
        <v>621</v>
      </c>
      <c r="H257">
        <v>2555</v>
      </c>
      <c r="I257">
        <v>1214</v>
      </c>
      <c r="J257">
        <v>537</v>
      </c>
      <c r="K257">
        <v>208</v>
      </c>
      <c r="L257">
        <v>248</v>
      </c>
      <c r="M257">
        <v>0</v>
      </c>
      <c r="N257">
        <v>11</v>
      </c>
      <c r="O257">
        <v>550</v>
      </c>
      <c r="AC257">
        <v>2</v>
      </c>
      <c r="IT257">
        <v>10</v>
      </c>
      <c r="JS257">
        <v>101</v>
      </c>
      <c r="LK257">
        <v>2</v>
      </c>
      <c r="LZ257">
        <v>27</v>
      </c>
      <c r="MA257">
        <v>16</v>
      </c>
      <c r="MD257">
        <v>0</v>
      </c>
      <c r="ME257">
        <v>9</v>
      </c>
      <c r="MH257">
        <v>194</v>
      </c>
      <c r="MQ257">
        <v>17</v>
      </c>
      <c r="MR257">
        <v>1</v>
      </c>
      <c r="MZ257">
        <v>4</v>
      </c>
      <c r="NG257">
        <v>0</v>
      </c>
      <c r="NK257">
        <v>11</v>
      </c>
      <c r="NL257">
        <v>14</v>
      </c>
      <c r="NM257">
        <v>17</v>
      </c>
      <c r="NN257">
        <v>1</v>
      </c>
      <c r="NP257">
        <v>4</v>
      </c>
      <c r="NZ257">
        <v>3</v>
      </c>
      <c r="OB257">
        <v>4</v>
      </c>
      <c r="OD257">
        <v>5</v>
      </c>
      <c r="OE257">
        <v>94</v>
      </c>
      <c r="OI257">
        <v>401</v>
      </c>
      <c r="OJ257">
        <v>363</v>
      </c>
      <c r="OK257">
        <v>988</v>
      </c>
      <c r="OO257">
        <v>19760</v>
      </c>
      <c r="OP257">
        <v>2501</v>
      </c>
      <c r="OU257">
        <v>265</v>
      </c>
      <c r="OV257">
        <v>3797</v>
      </c>
      <c r="PI257">
        <v>26323</v>
      </c>
      <c r="PM257" t="str">
        <f>IFERROR(VLOOKUP($A257&amp;"",Key!$A:$C,3,FALSE),"")</f>
        <v>ISIC 20</v>
      </c>
    </row>
    <row r="258" spans="1:429" x14ac:dyDescent="0.25">
      <c r="A258">
        <v>325510</v>
      </c>
      <c r="B258" t="s">
        <v>393</v>
      </c>
      <c r="O258">
        <v>1</v>
      </c>
      <c r="R258">
        <v>6</v>
      </c>
      <c r="V258">
        <v>4</v>
      </c>
      <c r="W258">
        <v>69</v>
      </c>
      <c r="X258">
        <v>0</v>
      </c>
      <c r="AA258">
        <v>77</v>
      </c>
      <c r="AB258">
        <v>211</v>
      </c>
      <c r="AC258">
        <v>1628</v>
      </c>
      <c r="AD258">
        <v>1083</v>
      </c>
      <c r="AE258">
        <v>588</v>
      </c>
      <c r="AF258">
        <v>688</v>
      </c>
      <c r="AG258">
        <v>1708</v>
      </c>
      <c r="AH258">
        <v>71</v>
      </c>
      <c r="AI258">
        <v>374</v>
      </c>
      <c r="AJ258">
        <v>129</v>
      </c>
      <c r="AK258">
        <v>2041</v>
      </c>
      <c r="AL258">
        <v>924</v>
      </c>
      <c r="AN258">
        <v>58</v>
      </c>
      <c r="AO258">
        <v>19</v>
      </c>
      <c r="AP258">
        <v>85</v>
      </c>
      <c r="AQ258">
        <v>49</v>
      </c>
      <c r="AU258">
        <v>59</v>
      </c>
      <c r="AV258">
        <v>115</v>
      </c>
      <c r="AX258">
        <v>0</v>
      </c>
      <c r="BA258">
        <v>2</v>
      </c>
      <c r="BB258">
        <v>14</v>
      </c>
      <c r="BC258">
        <v>1</v>
      </c>
      <c r="BF258">
        <v>0</v>
      </c>
      <c r="BL258">
        <v>0</v>
      </c>
      <c r="BM258">
        <v>75</v>
      </c>
      <c r="BN258">
        <v>44</v>
      </c>
      <c r="BO258">
        <v>135</v>
      </c>
      <c r="BP258">
        <v>2</v>
      </c>
      <c r="BQ258">
        <v>199</v>
      </c>
      <c r="BR258">
        <v>197</v>
      </c>
      <c r="BS258">
        <v>16</v>
      </c>
      <c r="BT258">
        <v>100</v>
      </c>
      <c r="BU258">
        <v>332</v>
      </c>
      <c r="BV258">
        <v>47</v>
      </c>
      <c r="BX258">
        <v>289</v>
      </c>
      <c r="BZ258">
        <v>939</v>
      </c>
      <c r="CE258">
        <v>0</v>
      </c>
      <c r="CF258">
        <v>1</v>
      </c>
      <c r="CG258">
        <v>172</v>
      </c>
      <c r="CH258">
        <v>260</v>
      </c>
      <c r="CI258">
        <v>150</v>
      </c>
      <c r="CJ258">
        <v>51</v>
      </c>
      <c r="CO258">
        <v>9</v>
      </c>
      <c r="CP258">
        <v>140</v>
      </c>
      <c r="CQ258">
        <v>60</v>
      </c>
      <c r="CR258">
        <v>63</v>
      </c>
      <c r="CU258">
        <v>148</v>
      </c>
      <c r="CZ258">
        <v>119</v>
      </c>
      <c r="DA258">
        <v>87</v>
      </c>
      <c r="DB258">
        <v>217</v>
      </c>
      <c r="DC258">
        <v>28</v>
      </c>
      <c r="DG258">
        <v>54</v>
      </c>
      <c r="DH258">
        <v>85</v>
      </c>
      <c r="DQ258">
        <v>0</v>
      </c>
      <c r="DR258">
        <v>178</v>
      </c>
      <c r="DS258">
        <v>88</v>
      </c>
      <c r="ED258">
        <v>59</v>
      </c>
      <c r="EE258">
        <v>58</v>
      </c>
      <c r="EF258">
        <v>601</v>
      </c>
      <c r="EG258">
        <v>70</v>
      </c>
      <c r="EH258">
        <v>32</v>
      </c>
      <c r="EI258">
        <v>57</v>
      </c>
      <c r="EM258">
        <v>16</v>
      </c>
      <c r="EQ258">
        <v>250</v>
      </c>
      <c r="ER258">
        <v>2217</v>
      </c>
      <c r="ES258">
        <v>230</v>
      </c>
      <c r="ET258">
        <v>255</v>
      </c>
      <c r="EU258">
        <v>173</v>
      </c>
      <c r="EV258">
        <v>16</v>
      </c>
      <c r="EW258">
        <v>389</v>
      </c>
      <c r="EX258">
        <v>23</v>
      </c>
      <c r="EY258">
        <v>11</v>
      </c>
      <c r="EZ258">
        <v>153</v>
      </c>
      <c r="FA258">
        <v>408</v>
      </c>
      <c r="FB258">
        <v>119</v>
      </c>
      <c r="FC258">
        <v>783</v>
      </c>
      <c r="FD258">
        <v>211</v>
      </c>
      <c r="FE258">
        <v>150</v>
      </c>
      <c r="FF258">
        <v>0</v>
      </c>
      <c r="FG258">
        <v>66</v>
      </c>
      <c r="FI258">
        <v>69</v>
      </c>
      <c r="FJ258">
        <v>49</v>
      </c>
      <c r="FK258">
        <v>257</v>
      </c>
      <c r="FL258">
        <v>187</v>
      </c>
      <c r="FO258">
        <v>110</v>
      </c>
      <c r="FP258">
        <v>592</v>
      </c>
      <c r="FQ258">
        <v>33</v>
      </c>
      <c r="FR258">
        <v>148</v>
      </c>
      <c r="FS258">
        <v>206</v>
      </c>
      <c r="FT258">
        <v>26</v>
      </c>
      <c r="FU258">
        <v>183</v>
      </c>
      <c r="FV258">
        <v>581</v>
      </c>
      <c r="GC258">
        <v>1</v>
      </c>
      <c r="GD258">
        <v>326</v>
      </c>
      <c r="GF258">
        <v>10</v>
      </c>
      <c r="GG258">
        <v>259</v>
      </c>
      <c r="GH258">
        <v>462</v>
      </c>
      <c r="HK258">
        <v>11</v>
      </c>
      <c r="HU258">
        <v>2</v>
      </c>
      <c r="HV258">
        <v>2</v>
      </c>
      <c r="HW258">
        <v>177</v>
      </c>
      <c r="HX258">
        <v>36</v>
      </c>
      <c r="IB258">
        <v>34</v>
      </c>
      <c r="IH258">
        <v>3</v>
      </c>
      <c r="II258">
        <v>3</v>
      </c>
      <c r="IJ258">
        <v>9</v>
      </c>
      <c r="IK258">
        <v>4</v>
      </c>
      <c r="IL258">
        <v>41</v>
      </c>
      <c r="IM258">
        <v>6</v>
      </c>
      <c r="IU258">
        <v>467</v>
      </c>
      <c r="IW258">
        <v>8</v>
      </c>
      <c r="IX258">
        <v>88</v>
      </c>
      <c r="IY258">
        <v>599</v>
      </c>
      <c r="IZ258">
        <v>2</v>
      </c>
      <c r="JG258">
        <v>57</v>
      </c>
      <c r="JK258">
        <v>1</v>
      </c>
      <c r="JL258">
        <v>4</v>
      </c>
      <c r="JM258">
        <v>0</v>
      </c>
      <c r="JN258">
        <v>62</v>
      </c>
      <c r="JO258">
        <v>10</v>
      </c>
      <c r="JP258">
        <v>76</v>
      </c>
      <c r="JQ258">
        <v>13</v>
      </c>
      <c r="JR258">
        <v>4</v>
      </c>
      <c r="JS258">
        <v>12</v>
      </c>
      <c r="JT258">
        <v>11</v>
      </c>
      <c r="JV258">
        <v>70</v>
      </c>
      <c r="JW258">
        <v>23</v>
      </c>
      <c r="JX258">
        <v>1</v>
      </c>
      <c r="JY258">
        <v>27</v>
      </c>
      <c r="KA258">
        <v>30</v>
      </c>
      <c r="KB258">
        <v>6</v>
      </c>
      <c r="KC258">
        <v>40</v>
      </c>
      <c r="KD258">
        <v>3</v>
      </c>
      <c r="KE258">
        <v>2</v>
      </c>
      <c r="KF258">
        <v>230</v>
      </c>
      <c r="KH258">
        <v>37</v>
      </c>
      <c r="KI258">
        <v>24</v>
      </c>
      <c r="KK258">
        <v>13</v>
      </c>
      <c r="KL258">
        <v>5</v>
      </c>
      <c r="KM258">
        <v>223</v>
      </c>
      <c r="KN258">
        <v>2</v>
      </c>
      <c r="KP258">
        <v>4</v>
      </c>
      <c r="KQ258">
        <v>5</v>
      </c>
      <c r="KS258">
        <v>8</v>
      </c>
      <c r="KT258">
        <v>1</v>
      </c>
      <c r="KU258">
        <v>6</v>
      </c>
      <c r="KV258">
        <v>9</v>
      </c>
      <c r="KW258">
        <v>59</v>
      </c>
      <c r="KX258">
        <v>158</v>
      </c>
      <c r="KY258">
        <v>4</v>
      </c>
      <c r="KZ258">
        <v>185</v>
      </c>
      <c r="LA258">
        <v>8</v>
      </c>
      <c r="LB258">
        <v>0</v>
      </c>
      <c r="LN258">
        <v>29</v>
      </c>
      <c r="LO258">
        <v>45</v>
      </c>
      <c r="LW258">
        <v>154</v>
      </c>
      <c r="LX258">
        <v>70</v>
      </c>
      <c r="LY258">
        <v>2</v>
      </c>
      <c r="LZ258">
        <v>37</v>
      </c>
      <c r="MA258">
        <v>2</v>
      </c>
      <c r="MD258">
        <v>1</v>
      </c>
      <c r="MF258">
        <v>6</v>
      </c>
      <c r="MH258">
        <v>133</v>
      </c>
      <c r="MK258">
        <v>4</v>
      </c>
      <c r="MM258">
        <v>353</v>
      </c>
      <c r="MN258">
        <v>5</v>
      </c>
      <c r="MO258">
        <v>170</v>
      </c>
      <c r="MQ258">
        <v>159</v>
      </c>
      <c r="MR258">
        <v>86</v>
      </c>
      <c r="MS258">
        <v>2</v>
      </c>
      <c r="MT258">
        <v>4</v>
      </c>
      <c r="MU258">
        <v>14</v>
      </c>
      <c r="MV258">
        <v>45</v>
      </c>
      <c r="MW258">
        <v>1</v>
      </c>
      <c r="MX258">
        <v>6</v>
      </c>
      <c r="MY258">
        <v>21</v>
      </c>
      <c r="MZ258">
        <v>72</v>
      </c>
      <c r="NA258">
        <v>4</v>
      </c>
      <c r="NB258">
        <v>4</v>
      </c>
      <c r="NC258">
        <v>62</v>
      </c>
      <c r="ND258">
        <v>99</v>
      </c>
      <c r="NE258">
        <v>150</v>
      </c>
      <c r="NG258">
        <v>1</v>
      </c>
      <c r="NI258">
        <v>4</v>
      </c>
      <c r="NJ258">
        <v>5</v>
      </c>
      <c r="NK258">
        <v>0</v>
      </c>
      <c r="NL258">
        <v>5</v>
      </c>
      <c r="NM258">
        <v>196</v>
      </c>
      <c r="NN258">
        <v>30</v>
      </c>
      <c r="NO258">
        <v>158</v>
      </c>
      <c r="NP258">
        <v>12</v>
      </c>
      <c r="NQ258">
        <v>3</v>
      </c>
      <c r="NR258">
        <v>125</v>
      </c>
      <c r="NS258">
        <v>18</v>
      </c>
      <c r="NT258">
        <v>196</v>
      </c>
      <c r="NU258">
        <v>17</v>
      </c>
      <c r="NV258">
        <v>55</v>
      </c>
      <c r="NW258">
        <v>0</v>
      </c>
      <c r="NY258">
        <v>4</v>
      </c>
      <c r="OA258">
        <v>11</v>
      </c>
      <c r="OB258">
        <v>57</v>
      </c>
      <c r="OE258">
        <v>10</v>
      </c>
      <c r="OI258">
        <v>273</v>
      </c>
      <c r="OJ258">
        <v>422</v>
      </c>
      <c r="OK258">
        <v>51</v>
      </c>
      <c r="OL258">
        <v>74</v>
      </c>
      <c r="OM258">
        <v>4</v>
      </c>
      <c r="ON258">
        <v>265</v>
      </c>
      <c r="OO258">
        <v>30796</v>
      </c>
      <c r="OP258">
        <v>4831</v>
      </c>
      <c r="OU258">
        <v>260</v>
      </c>
      <c r="OV258">
        <v>2909</v>
      </c>
      <c r="PI258">
        <v>38796</v>
      </c>
      <c r="PM258" t="str">
        <f>IFERROR(VLOOKUP($A258&amp;"",Key!$A:$C,3,FALSE),"")</f>
        <v>ISIC 20</v>
      </c>
    </row>
    <row r="259" spans="1:429" x14ac:dyDescent="0.25">
      <c r="A259">
        <v>325520</v>
      </c>
      <c r="B259" t="s">
        <v>394</v>
      </c>
      <c r="H259">
        <v>17</v>
      </c>
      <c r="Z259">
        <v>0</v>
      </c>
      <c r="AA259">
        <v>2</v>
      </c>
      <c r="AB259">
        <v>2</v>
      </c>
      <c r="AC259">
        <v>418</v>
      </c>
      <c r="AD259">
        <v>120</v>
      </c>
      <c r="AE259">
        <v>15</v>
      </c>
      <c r="AF259">
        <v>54</v>
      </c>
      <c r="AG259">
        <v>318</v>
      </c>
      <c r="AH259">
        <v>1</v>
      </c>
      <c r="AI259">
        <v>111</v>
      </c>
      <c r="AJ259">
        <v>109</v>
      </c>
      <c r="AK259">
        <v>413</v>
      </c>
      <c r="AL259">
        <v>164</v>
      </c>
      <c r="AM259">
        <v>74</v>
      </c>
      <c r="AN259">
        <v>976</v>
      </c>
      <c r="AO259">
        <v>465</v>
      </c>
      <c r="AP259">
        <v>8</v>
      </c>
      <c r="AQ259">
        <v>1</v>
      </c>
      <c r="AR259">
        <v>25</v>
      </c>
      <c r="AX259">
        <v>46</v>
      </c>
      <c r="BA259">
        <v>73</v>
      </c>
      <c r="BB259">
        <v>4</v>
      </c>
      <c r="BC259">
        <v>6</v>
      </c>
      <c r="BD259">
        <v>8</v>
      </c>
      <c r="BF259">
        <v>1</v>
      </c>
      <c r="BI259">
        <v>6</v>
      </c>
      <c r="BJ259">
        <v>1</v>
      </c>
      <c r="BP259">
        <v>1</v>
      </c>
      <c r="BR259">
        <v>1</v>
      </c>
      <c r="BU259">
        <v>45</v>
      </c>
      <c r="BZ259">
        <v>18</v>
      </c>
      <c r="CE259">
        <v>1</v>
      </c>
      <c r="CF259">
        <v>50</v>
      </c>
      <c r="CN259">
        <v>1</v>
      </c>
      <c r="CO259">
        <v>9</v>
      </c>
      <c r="CZ259">
        <v>107</v>
      </c>
      <c r="DG259">
        <v>3</v>
      </c>
      <c r="DM259">
        <v>4</v>
      </c>
      <c r="DN259">
        <v>2</v>
      </c>
      <c r="DO259">
        <v>2</v>
      </c>
      <c r="DP259">
        <v>16</v>
      </c>
      <c r="DQ259">
        <v>10</v>
      </c>
      <c r="DR259">
        <v>250</v>
      </c>
      <c r="DS259">
        <v>9</v>
      </c>
      <c r="EA259">
        <v>1</v>
      </c>
      <c r="EC259">
        <v>2</v>
      </c>
      <c r="EK259">
        <v>8</v>
      </c>
      <c r="EL259">
        <v>3</v>
      </c>
      <c r="EM259">
        <v>1</v>
      </c>
      <c r="EQ259">
        <v>13</v>
      </c>
      <c r="ER259">
        <v>2279</v>
      </c>
      <c r="ES259">
        <v>10</v>
      </c>
      <c r="EX259">
        <v>5</v>
      </c>
      <c r="EY259">
        <v>6</v>
      </c>
      <c r="EZ259">
        <v>18</v>
      </c>
      <c r="FA259">
        <v>102</v>
      </c>
      <c r="FB259">
        <v>1</v>
      </c>
      <c r="FC259">
        <v>21</v>
      </c>
      <c r="FD259">
        <v>24</v>
      </c>
      <c r="FI259">
        <v>8</v>
      </c>
      <c r="FN259">
        <v>0</v>
      </c>
      <c r="FP259">
        <v>72</v>
      </c>
      <c r="FQ259">
        <v>24</v>
      </c>
      <c r="FR259">
        <v>64</v>
      </c>
      <c r="FS259">
        <v>8</v>
      </c>
      <c r="FU259">
        <v>17</v>
      </c>
      <c r="FV259">
        <v>81</v>
      </c>
      <c r="FX259">
        <v>175</v>
      </c>
      <c r="FY259">
        <v>318</v>
      </c>
      <c r="FZ259">
        <v>4</v>
      </c>
      <c r="GA259">
        <v>2</v>
      </c>
      <c r="GB259">
        <v>3</v>
      </c>
      <c r="GD259">
        <v>2</v>
      </c>
      <c r="GF259">
        <v>12</v>
      </c>
      <c r="GO259">
        <v>3</v>
      </c>
      <c r="GP259">
        <v>1</v>
      </c>
      <c r="GQ259">
        <v>3</v>
      </c>
      <c r="GR259">
        <v>4</v>
      </c>
      <c r="GS259">
        <v>6</v>
      </c>
      <c r="GU259">
        <v>3</v>
      </c>
      <c r="GV259">
        <v>8</v>
      </c>
      <c r="HA259">
        <v>10</v>
      </c>
      <c r="HB259">
        <v>21</v>
      </c>
      <c r="HF259">
        <v>1</v>
      </c>
      <c r="HG259">
        <v>23</v>
      </c>
      <c r="HH259">
        <v>2</v>
      </c>
      <c r="HK259">
        <v>3</v>
      </c>
      <c r="HM259">
        <v>231</v>
      </c>
      <c r="HN259">
        <v>39</v>
      </c>
      <c r="HQ259">
        <v>8</v>
      </c>
      <c r="HS259">
        <v>4</v>
      </c>
      <c r="HT259">
        <v>34</v>
      </c>
      <c r="HU259">
        <v>215</v>
      </c>
      <c r="HV259">
        <v>85</v>
      </c>
      <c r="HW259">
        <v>919</v>
      </c>
      <c r="HX259">
        <v>1471</v>
      </c>
      <c r="HY259">
        <v>78</v>
      </c>
      <c r="HZ259">
        <v>228</v>
      </c>
      <c r="IA259">
        <v>33</v>
      </c>
      <c r="IB259">
        <v>354</v>
      </c>
      <c r="IC259">
        <v>2</v>
      </c>
      <c r="ID259">
        <v>6</v>
      </c>
      <c r="IG259">
        <v>25</v>
      </c>
      <c r="IH259">
        <v>8</v>
      </c>
      <c r="IJ259">
        <v>39</v>
      </c>
      <c r="IK259">
        <v>93</v>
      </c>
      <c r="IL259">
        <v>433</v>
      </c>
      <c r="IM259">
        <v>36</v>
      </c>
      <c r="IN259">
        <v>16</v>
      </c>
      <c r="IP259">
        <v>6</v>
      </c>
      <c r="IT259">
        <v>50</v>
      </c>
      <c r="IU259">
        <v>15</v>
      </c>
      <c r="IV259">
        <v>236</v>
      </c>
      <c r="IW259">
        <v>152</v>
      </c>
      <c r="IX259">
        <v>4</v>
      </c>
      <c r="IZ259">
        <v>549</v>
      </c>
      <c r="JA259">
        <v>295</v>
      </c>
      <c r="JB259">
        <v>51</v>
      </c>
      <c r="JC259">
        <v>50</v>
      </c>
      <c r="JD259">
        <v>12</v>
      </c>
      <c r="JE259">
        <v>123</v>
      </c>
      <c r="JG259">
        <v>41</v>
      </c>
      <c r="JH259">
        <v>15</v>
      </c>
      <c r="JI259">
        <v>3</v>
      </c>
      <c r="JK259">
        <v>0</v>
      </c>
      <c r="JL259">
        <v>5</v>
      </c>
      <c r="JM259">
        <v>3</v>
      </c>
      <c r="JN259">
        <v>2</v>
      </c>
      <c r="JO259">
        <v>0</v>
      </c>
      <c r="JQ259">
        <v>9</v>
      </c>
      <c r="JR259">
        <v>3</v>
      </c>
      <c r="JT259">
        <v>0</v>
      </c>
      <c r="JV259">
        <v>5</v>
      </c>
      <c r="JW259">
        <v>1</v>
      </c>
      <c r="JX259">
        <v>3</v>
      </c>
      <c r="JY259">
        <v>10</v>
      </c>
      <c r="JZ259">
        <v>1</v>
      </c>
      <c r="KB259">
        <v>2</v>
      </c>
      <c r="KD259">
        <v>3</v>
      </c>
      <c r="KJ259">
        <v>0</v>
      </c>
      <c r="KX259">
        <v>1</v>
      </c>
      <c r="KZ259">
        <v>36</v>
      </c>
      <c r="LC259">
        <v>9</v>
      </c>
      <c r="LD259">
        <v>10</v>
      </c>
      <c r="LE259">
        <v>7</v>
      </c>
      <c r="LF259">
        <v>2</v>
      </c>
      <c r="LI259">
        <v>1</v>
      </c>
      <c r="LK259">
        <v>1</v>
      </c>
      <c r="LM259">
        <v>32</v>
      </c>
      <c r="LO259">
        <v>26</v>
      </c>
      <c r="LR259">
        <v>2</v>
      </c>
      <c r="LT259">
        <v>4</v>
      </c>
      <c r="LW259">
        <v>4</v>
      </c>
      <c r="LX259">
        <v>1</v>
      </c>
      <c r="MA259">
        <v>4</v>
      </c>
      <c r="MH259">
        <v>285</v>
      </c>
      <c r="MI259">
        <v>3</v>
      </c>
      <c r="MJ259">
        <v>1</v>
      </c>
      <c r="MK259">
        <v>7</v>
      </c>
      <c r="MQ259">
        <v>1</v>
      </c>
      <c r="MS259">
        <v>7</v>
      </c>
      <c r="MT259">
        <v>5</v>
      </c>
      <c r="MU259">
        <v>0</v>
      </c>
      <c r="MV259">
        <v>65</v>
      </c>
      <c r="MX259">
        <v>4</v>
      </c>
      <c r="MY259">
        <v>5</v>
      </c>
      <c r="MZ259">
        <v>31</v>
      </c>
      <c r="NC259">
        <v>4</v>
      </c>
      <c r="ND259">
        <v>5</v>
      </c>
      <c r="NE259">
        <v>6</v>
      </c>
      <c r="NM259">
        <v>7</v>
      </c>
      <c r="NN259">
        <v>5</v>
      </c>
      <c r="NR259">
        <v>4</v>
      </c>
      <c r="NU259">
        <v>3</v>
      </c>
      <c r="NV259">
        <v>2</v>
      </c>
      <c r="NZ259">
        <v>3</v>
      </c>
      <c r="OB259">
        <v>19</v>
      </c>
      <c r="OI259">
        <v>0</v>
      </c>
      <c r="OJ259">
        <v>184</v>
      </c>
      <c r="OK259">
        <v>101</v>
      </c>
      <c r="OO259">
        <v>14243</v>
      </c>
      <c r="OP259">
        <v>3105</v>
      </c>
      <c r="OU259">
        <v>105</v>
      </c>
      <c r="OV259">
        <v>2115</v>
      </c>
      <c r="PI259">
        <v>19567</v>
      </c>
      <c r="PM259" t="str">
        <f>IFERROR(VLOOKUP($A259&amp;"",Key!$A:$C,3,FALSE),"")</f>
        <v>ISIC 20</v>
      </c>
    </row>
    <row r="260" spans="1:429" x14ac:dyDescent="0.25">
      <c r="A260">
        <v>325610</v>
      </c>
      <c r="B260" t="s">
        <v>395</v>
      </c>
      <c r="H260">
        <v>162</v>
      </c>
      <c r="I260">
        <v>46</v>
      </c>
      <c r="K260">
        <v>3</v>
      </c>
      <c r="P260">
        <v>0</v>
      </c>
      <c r="Q260">
        <v>2</v>
      </c>
      <c r="R260">
        <v>1</v>
      </c>
      <c r="S260">
        <v>3</v>
      </c>
      <c r="T260">
        <v>1</v>
      </c>
      <c r="U260">
        <v>7</v>
      </c>
      <c r="V260">
        <v>1</v>
      </c>
      <c r="W260">
        <v>4</v>
      </c>
      <c r="X260">
        <v>12</v>
      </c>
      <c r="Y260">
        <v>2</v>
      </c>
      <c r="Z260">
        <v>1</v>
      </c>
      <c r="AA260">
        <v>0</v>
      </c>
      <c r="AB260">
        <v>0</v>
      </c>
      <c r="AC260">
        <v>347</v>
      </c>
      <c r="AD260">
        <v>3</v>
      </c>
      <c r="AE260">
        <v>2</v>
      </c>
      <c r="AF260">
        <v>0</v>
      </c>
      <c r="AG260">
        <v>33</v>
      </c>
      <c r="AH260">
        <v>0</v>
      </c>
      <c r="AI260">
        <v>1</v>
      </c>
      <c r="AJ260">
        <v>0</v>
      </c>
      <c r="AK260">
        <v>1</v>
      </c>
      <c r="AL260">
        <v>1</v>
      </c>
      <c r="AM260">
        <v>1</v>
      </c>
      <c r="AN260">
        <v>3</v>
      </c>
      <c r="AO260">
        <v>1</v>
      </c>
      <c r="AP260">
        <v>61</v>
      </c>
      <c r="AQ260">
        <v>1</v>
      </c>
      <c r="AR260">
        <v>20</v>
      </c>
      <c r="AS260">
        <v>1</v>
      </c>
      <c r="AT260">
        <v>1</v>
      </c>
      <c r="AU260">
        <v>1</v>
      </c>
      <c r="AV260">
        <v>1</v>
      </c>
      <c r="AW260">
        <v>2</v>
      </c>
      <c r="AX260">
        <v>2</v>
      </c>
      <c r="AY260">
        <v>4</v>
      </c>
      <c r="AZ260">
        <v>1</v>
      </c>
      <c r="BA260">
        <v>1</v>
      </c>
      <c r="BB260">
        <v>1</v>
      </c>
      <c r="BC260">
        <v>1</v>
      </c>
      <c r="BD260">
        <v>2</v>
      </c>
      <c r="BE260">
        <v>1</v>
      </c>
      <c r="BF260">
        <v>2</v>
      </c>
      <c r="BG260">
        <v>1</v>
      </c>
      <c r="BH260">
        <v>2</v>
      </c>
      <c r="BI260">
        <v>1</v>
      </c>
      <c r="BJ260">
        <v>1</v>
      </c>
      <c r="BK260">
        <v>0</v>
      </c>
      <c r="BL260">
        <v>2</v>
      </c>
      <c r="BM260">
        <v>1</v>
      </c>
      <c r="BN260">
        <v>3</v>
      </c>
      <c r="BO260">
        <v>1</v>
      </c>
      <c r="BP260">
        <v>3</v>
      </c>
      <c r="BQ260">
        <v>2</v>
      </c>
      <c r="BR260">
        <v>1</v>
      </c>
      <c r="BS260">
        <v>2</v>
      </c>
      <c r="BT260">
        <v>1</v>
      </c>
      <c r="BU260">
        <v>1</v>
      </c>
      <c r="BV260">
        <v>3</v>
      </c>
      <c r="BW260">
        <v>1</v>
      </c>
      <c r="BX260">
        <v>1</v>
      </c>
      <c r="BY260">
        <v>2</v>
      </c>
      <c r="BZ260">
        <v>3</v>
      </c>
      <c r="CA260">
        <v>1</v>
      </c>
      <c r="CB260">
        <v>1</v>
      </c>
      <c r="CC260">
        <v>1</v>
      </c>
      <c r="CD260">
        <v>2</v>
      </c>
      <c r="CE260">
        <v>4</v>
      </c>
      <c r="CF260">
        <v>1</v>
      </c>
      <c r="CG260">
        <v>1</v>
      </c>
      <c r="CH260">
        <v>1</v>
      </c>
      <c r="CI260">
        <v>1</v>
      </c>
      <c r="CJ260">
        <v>2</v>
      </c>
      <c r="CK260">
        <v>2</v>
      </c>
      <c r="CL260">
        <v>3</v>
      </c>
      <c r="CM260">
        <v>2</v>
      </c>
      <c r="CN260">
        <v>1</v>
      </c>
      <c r="CO260">
        <v>2</v>
      </c>
      <c r="CP260">
        <v>1</v>
      </c>
      <c r="CQ260">
        <v>2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2</v>
      </c>
      <c r="CX260">
        <v>1</v>
      </c>
      <c r="CY260">
        <v>1</v>
      </c>
      <c r="CZ260">
        <v>2</v>
      </c>
      <c r="DA260">
        <v>1</v>
      </c>
      <c r="DB260">
        <v>1</v>
      </c>
      <c r="DC260">
        <v>2</v>
      </c>
      <c r="DD260">
        <v>1</v>
      </c>
      <c r="DE260">
        <v>1</v>
      </c>
      <c r="DF260">
        <v>1</v>
      </c>
      <c r="DG260">
        <v>12</v>
      </c>
      <c r="DH260">
        <v>2</v>
      </c>
      <c r="DI260">
        <v>1</v>
      </c>
      <c r="DJ260">
        <v>0</v>
      </c>
      <c r="DK260">
        <v>0</v>
      </c>
      <c r="DL260">
        <v>1</v>
      </c>
      <c r="DM260">
        <v>6</v>
      </c>
      <c r="DN260">
        <v>2</v>
      </c>
      <c r="DO260">
        <v>3</v>
      </c>
      <c r="DP260">
        <v>1</v>
      </c>
      <c r="DQ260">
        <v>3</v>
      </c>
      <c r="DR260">
        <v>1</v>
      </c>
      <c r="DS260">
        <v>22</v>
      </c>
      <c r="DT260">
        <v>0</v>
      </c>
      <c r="DU260">
        <v>1</v>
      </c>
      <c r="DV260">
        <v>1</v>
      </c>
      <c r="DW260">
        <v>4</v>
      </c>
      <c r="DX260">
        <v>1</v>
      </c>
      <c r="DY260">
        <v>1</v>
      </c>
      <c r="DZ260">
        <v>3</v>
      </c>
      <c r="EA260">
        <v>1</v>
      </c>
      <c r="EB260">
        <v>0</v>
      </c>
      <c r="EC260">
        <v>0</v>
      </c>
      <c r="ED260">
        <v>4</v>
      </c>
      <c r="EE260">
        <v>2</v>
      </c>
      <c r="EF260">
        <v>3</v>
      </c>
      <c r="EG260">
        <v>2</v>
      </c>
      <c r="EH260">
        <v>1</v>
      </c>
      <c r="EI260">
        <v>1</v>
      </c>
      <c r="EJ260">
        <v>1</v>
      </c>
      <c r="EK260">
        <v>2</v>
      </c>
      <c r="EL260">
        <v>1</v>
      </c>
      <c r="EM260">
        <v>0</v>
      </c>
      <c r="EN260">
        <v>2</v>
      </c>
      <c r="EO260">
        <v>1</v>
      </c>
      <c r="EP260">
        <v>1</v>
      </c>
      <c r="EQ260">
        <v>1</v>
      </c>
      <c r="ER260">
        <v>2</v>
      </c>
      <c r="ES260">
        <v>1</v>
      </c>
      <c r="ET260">
        <v>3</v>
      </c>
      <c r="EU260">
        <v>1</v>
      </c>
      <c r="EV260">
        <v>1</v>
      </c>
      <c r="EW260">
        <v>2</v>
      </c>
      <c r="EX260">
        <v>1</v>
      </c>
      <c r="EY260">
        <v>2</v>
      </c>
      <c r="EZ260">
        <v>3</v>
      </c>
      <c r="FA260">
        <v>1</v>
      </c>
      <c r="FB260">
        <v>1</v>
      </c>
      <c r="FC260">
        <v>3</v>
      </c>
      <c r="FD260">
        <v>5</v>
      </c>
      <c r="FE260">
        <v>3</v>
      </c>
      <c r="FF260">
        <v>0</v>
      </c>
      <c r="FG260">
        <v>1</v>
      </c>
      <c r="FH260">
        <v>1</v>
      </c>
      <c r="FI260">
        <v>1</v>
      </c>
      <c r="FJ260">
        <v>1</v>
      </c>
      <c r="FK260">
        <v>2</v>
      </c>
      <c r="FL260">
        <v>2</v>
      </c>
      <c r="FM260">
        <v>1</v>
      </c>
      <c r="FN260">
        <v>0</v>
      </c>
      <c r="FO260">
        <v>1</v>
      </c>
      <c r="FP260">
        <v>3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5</v>
      </c>
      <c r="FW260">
        <v>3</v>
      </c>
      <c r="FX260">
        <v>12</v>
      </c>
      <c r="FY260">
        <v>8</v>
      </c>
      <c r="FZ260">
        <v>1</v>
      </c>
      <c r="GA260">
        <v>3</v>
      </c>
      <c r="GB260">
        <v>1</v>
      </c>
      <c r="GC260">
        <v>1</v>
      </c>
      <c r="GD260">
        <v>3</v>
      </c>
      <c r="GE260">
        <v>1</v>
      </c>
      <c r="GF260">
        <v>1</v>
      </c>
      <c r="GG260">
        <v>11</v>
      </c>
      <c r="GH260">
        <v>7</v>
      </c>
      <c r="GI260">
        <v>2</v>
      </c>
      <c r="GJ260">
        <v>1</v>
      </c>
      <c r="GK260">
        <v>2</v>
      </c>
      <c r="GL260">
        <v>1</v>
      </c>
      <c r="GM260">
        <v>0</v>
      </c>
      <c r="GN260">
        <v>1</v>
      </c>
      <c r="GO260">
        <v>36</v>
      </c>
      <c r="GP260">
        <v>54</v>
      </c>
      <c r="GQ260">
        <v>13</v>
      </c>
      <c r="GR260">
        <v>9</v>
      </c>
      <c r="GS260">
        <v>42</v>
      </c>
      <c r="GT260">
        <v>12</v>
      </c>
      <c r="GU260">
        <v>39</v>
      </c>
      <c r="GV260">
        <v>61</v>
      </c>
      <c r="GW260">
        <v>0</v>
      </c>
      <c r="GX260">
        <v>1</v>
      </c>
      <c r="GY260">
        <v>2</v>
      </c>
      <c r="GZ260">
        <v>35</v>
      </c>
      <c r="HA260">
        <v>36</v>
      </c>
      <c r="HB260">
        <v>92</v>
      </c>
      <c r="HC260">
        <v>1</v>
      </c>
      <c r="HD260">
        <v>11</v>
      </c>
      <c r="HE260">
        <v>1</v>
      </c>
      <c r="HF260">
        <v>11</v>
      </c>
      <c r="HG260">
        <v>41</v>
      </c>
      <c r="HH260">
        <v>7</v>
      </c>
      <c r="HI260">
        <v>0</v>
      </c>
      <c r="HJ260">
        <v>0</v>
      </c>
      <c r="HK260">
        <v>17</v>
      </c>
      <c r="HL260">
        <v>1</v>
      </c>
      <c r="HM260">
        <v>112</v>
      </c>
      <c r="HN260">
        <v>2</v>
      </c>
      <c r="HO260">
        <v>2</v>
      </c>
      <c r="HP260">
        <v>1</v>
      </c>
      <c r="HQ260">
        <v>3</v>
      </c>
      <c r="HR260">
        <v>7</v>
      </c>
      <c r="HS260">
        <v>90</v>
      </c>
      <c r="HT260">
        <v>2</v>
      </c>
      <c r="HU260">
        <v>3</v>
      </c>
      <c r="HV260">
        <v>1</v>
      </c>
      <c r="HW260">
        <v>5</v>
      </c>
      <c r="HX260">
        <v>2</v>
      </c>
      <c r="HY260">
        <v>1</v>
      </c>
      <c r="HZ260">
        <v>1</v>
      </c>
      <c r="IA260">
        <v>1</v>
      </c>
      <c r="IB260">
        <v>3</v>
      </c>
      <c r="IC260">
        <v>0</v>
      </c>
      <c r="ID260">
        <v>8</v>
      </c>
      <c r="IE260">
        <v>23</v>
      </c>
      <c r="IF260">
        <v>1</v>
      </c>
      <c r="IG260">
        <v>4</v>
      </c>
      <c r="IH260">
        <v>3</v>
      </c>
      <c r="II260">
        <v>1</v>
      </c>
      <c r="IJ260">
        <v>1</v>
      </c>
      <c r="IK260">
        <v>1</v>
      </c>
      <c r="IL260">
        <v>11</v>
      </c>
      <c r="IM260">
        <v>7</v>
      </c>
      <c r="IN260">
        <v>3</v>
      </c>
      <c r="IO260">
        <v>1</v>
      </c>
      <c r="IP260">
        <v>1</v>
      </c>
      <c r="IQ260">
        <v>0</v>
      </c>
      <c r="IR260">
        <v>1</v>
      </c>
      <c r="IS260">
        <v>7</v>
      </c>
      <c r="IT260">
        <v>118</v>
      </c>
      <c r="IU260">
        <v>1</v>
      </c>
      <c r="IV260">
        <v>6</v>
      </c>
      <c r="IW260">
        <v>3690</v>
      </c>
      <c r="IX260">
        <v>607</v>
      </c>
      <c r="IY260">
        <v>1</v>
      </c>
      <c r="IZ260">
        <v>96</v>
      </c>
      <c r="JA260">
        <v>51</v>
      </c>
      <c r="JB260">
        <v>2</v>
      </c>
      <c r="JC260">
        <v>1</v>
      </c>
      <c r="JD260">
        <v>5</v>
      </c>
      <c r="JE260">
        <v>5</v>
      </c>
      <c r="JF260">
        <v>8</v>
      </c>
      <c r="JG260">
        <v>10</v>
      </c>
      <c r="JH260">
        <v>1</v>
      </c>
      <c r="JI260">
        <v>1</v>
      </c>
      <c r="JJ260">
        <v>4</v>
      </c>
      <c r="JK260">
        <v>5</v>
      </c>
      <c r="JL260">
        <v>12</v>
      </c>
      <c r="JM260">
        <v>10</v>
      </c>
      <c r="JN260">
        <v>3</v>
      </c>
      <c r="JO260">
        <v>15</v>
      </c>
      <c r="JP260">
        <v>10</v>
      </c>
      <c r="JQ260">
        <v>168</v>
      </c>
      <c r="JR260">
        <v>3</v>
      </c>
      <c r="JS260">
        <v>19</v>
      </c>
      <c r="JT260">
        <v>1</v>
      </c>
      <c r="JV260">
        <v>25</v>
      </c>
      <c r="JW260">
        <v>24</v>
      </c>
      <c r="JX260">
        <v>8</v>
      </c>
      <c r="JY260">
        <v>0</v>
      </c>
      <c r="JZ260">
        <v>9</v>
      </c>
      <c r="KA260">
        <v>21</v>
      </c>
      <c r="KB260">
        <v>11</v>
      </c>
      <c r="KC260">
        <v>1</v>
      </c>
      <c r="KD260">
        <v>13</v>
      </c>
      <c r="KH260">
        <v>3</v>
      </c>
      <c r="KK260">
        <v>8</v>
      </c>
      <c r="KL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5</v>
      </c>
      <c r="KT260">
        <v>2</v>
      </c>
      <c r="KU260">
        <v>10</v>
      </c>
      <c r="KV260">
        <v>3</v>
      </c>
      <c r="KW260">
        <v>12</v>
      </c>
      <c r="KX260">
        <v>5</v>
      </c>
      <c r="KY260">
        <v>3</v>
      </c>
      <c r="KZ260">
        <v>3</v>
      </c>
      <c r="LA260">
        <v>4</v>
      </c>
      <c r="LB260">
        <v>0</v>
      </c>
      <c r="LD260">
        <v>4</v>
      </c>
      <c r="LL260">
        <v>0</v>
      </c>
      <c r="LM260">
        <v>2344</v>
      </c>
      <c r="LN260">
        <v>8</v>
      </c>
      <c r="LR260">
        <v>0</v>
      </c>
      <c r="LT260">
        <v>32</v>
      </c>
      <c r="LW260">
        <v>171</v>
      </c>
      <c r="LX260">
        <v>60</v>
      </c>
      <c r="LY260">
        <v>0</v>
      </c>
      <c r="LZ260">
        <v>570</v>
      </c>
      <c r="MA260">
        <v>23</v>
      </c>
      <c r="ME260">
        <v>6</v>
      </c>
      <c r="MF260">
        <v>757</v>
      </c>
      <c r="MG260">
        <v>773</v>
      </c>
      <c r="MH260">
        <v>1749</v>
      </c>
      <c r="MI260">
        <v>97</v>
      </c>
      <c r="MJ260">
        <v>4</v>
      </c>
      <c r="MK260">
        <v>11</v>
      </c>
      <c r="MN260">
        <v>23</v>
      </c>
      <c r="MO260">
        <v>873</v>
      </c>
      <c r="MP260">
        <v>16</v>
      </c>
      <c r="MQ260">
        <v>74</v>
      </c>
      <c r="MR260">
        <v>1</v>
      </c>
      <c r="MS260">
        <v>126</v>
      </c>
      <c r="MU260">
        <v>1</v>
      </c>
      <c r="MV260">
        <v>5</v>
      </c>
      <c r="MX260">
        <v>0</v>
      </c>
      <c r="MZ260">
        <v>5</v>
      </c>
      <c r="NA260">
        <v>25</v>
      </c>
      <c r="NB260">
        <v>5</v>
      </c>
      <c r="NC260">
        <v>4</v>
      </c>
      <c r="ND260">
        <v>1</v>
      </c>
      <c r="NE260">
        <v>0</v>
      </c>
      <c r="NM260">
        <v>3</v>
      </c>
      <c r="NN260">
        <v>23</v>
      </c>
      <c r="NO260">
        <v>3</v>
      </c>
      <c r="NP260">
        <v>16</v>
      </c>
      <c r="NQ260">
        <v>1</v>
      </c>
      <c r="NR260">
        <v>213</v>
      </c>
      <c r="NU260">
        <v>5</v>
      </c>
      <c r="NX260">
        <v>219</v>
      </c>
      <c r="NY260">
        <v>30</v>
      </c>
      <c r="NZ260">
        <v>9</v>
      </c>
      <c r="OA260">
        <v>1</v>
      </c>
      <c r="OB260">
        <v>43</v>
      </c>
      <c r="OD260">
        <v>20</v>
      </c>
      <c r="OE260">
        <v>471</v>
      </c>
      <c r="OF260">
        <v>13</v>
      </c>
      <c r="OG260">
        <v>11</v>
      </c>
      <c r="OH260">
        <v>5</v>
      </c>
      <c r="OI260">
        <v>686</v>
      </c>
      <c r="OJ260">
        <v>1522</v>
      </c>
      <c r="OK260">
        <v>626</v>
      </c>
      <c r="OL260">
        <v>0</v>
      </c>
      <c r="OM260">
        <v>0</v>
      </c>
      <c r="ON260">
        <v>15</v>
      </c>
      <c r="OO260">
        <v>18583</v>
      </c>
      <c r="OP260">
        <v>33144</v>
      </c>
      <c r="OU260">
        <v>40</v>
      </c>
      <c r="OV260">
        <v>7384</v>
      </c>
      <c r="PI260">
        <v>59151</v>
      </c>
      <c r="PM260" t="str">
        <f>IFERROR(VLOOKUP($A260&amp;"",Key!$A:$C,3,FALSE),"")</f>
        <v>ISIC 20</v>
      </c>
    </row>
    <row r="261" spans="1:429" x14ac:dyDescent="0.25">
      <c r="A261">
        <v>325620</v>
      </c>
      <c r="B261" t="s">
        <v>396</v>
      </c>
      <c r="AC261">
        <v>2</v>
      </c>
      <c r="IW261">
        <v>244</v>
      </c>
      <c r="IX261">
        <v>774</v>
      </c>
      <c r="LW261">
        <v>59</v>
      </c>
      <c r="LZ261">
        <v>254</v>
      </c>
      <c r="MF261">
        <v>18</v>
      </c>
      <c r="MG261">
        <v>0</v>
      </c>
      <c r="MP261">
        <v>237</v>
      </c>
      <c r="MR261">
        <v>76</v>
      </c>
      <c r="NC261">
        <v>224</v>
      </c>
      <c r="NE261">
        <v>1</v>
      </c>
      <c r="NV261">
        <v>3729</v>
      </c>
      <c r="OD261">
        <v>11</v>
      </c>
      <c r="OI261">
        <v>1</v>
      </c>
      <c r="OJ261">
        <v>8</v>
      </c>
      <c r="OK261">
        <v>408</v>
      </c>
      <c r="OO261">
        <v>6046</v>
      </c>
      <c r="OP261">
        <v>71262</v>
      </c>
      <c r="OU261">
        <v>352</v>
      </c>
      <c r="OV261">
        <v>8502</v>
      </c>
      <c r="PI261">
        <v>86161</v>
      </c>
      <c r="PM261" t="str">
        <f>IFERROR(VLOOKUP($A261&amp;"",Key!$A:$C,3,FALSE),"")</f>
        <v>ISIC 20</v>
      </c>
    </row>
    <row r="262" spans="1:429" x14ac:dyDescent="0.25">
      <c r="A262">
        <v>325910</v>
      </c>
      <c r="B262" t="s">
        <v>397</v>
      </c>
      <c r="BR262">
        <v>16</v>
      </c>
      <c r="BU262">
        <v>48</v>
      </c>
      <c r="BX262">
        <v>15</v>
      </c>
      <c r="DG262">
        <v>1</v>
      </c>
      <c r="GG262">
        <v>75</v>
      </c>
      <c r="HK262">
        <v>1</v>
      </c>
      <c r="HU262">
        <v>12</v>
      </c>
      <c r="HW262">
        <v>338</v>
      </c>
      <c r="HX262">
        <v>242</v>
      </c>
      <c r="HY262">
        <v>40</v>
      </c>
      <c r="IA262">
        <v>4</v>
      </c>
      <c r="IB262">
        <v>2449</v>
      </c>
      <c r="IC262">
        <v>22</v>
      </c>
      <c r="IY262">
        <v>47</v>
      </c>
      <c r="JA262">
        <v>326</v>
      </c>
      <c r="JN262">
        <v>74</v>
      </c>
      <c r="JS262">
        <v>16</v>
      </c>
      <c r="JT262">
        <v>1</v>
      </c>
      <c r="KD262">
        <v>0</v>
      </c>
      <c r="KN262">
        <v>29</v>
      </c>
      <c r="KO262">
        <v>110</v>
      </c>
      <c r="KP262">
        <v>72</v>
      </c>
      <c r="KQ262">
        <v>18</v>
      </c>
      <c r="KW262">
        <v>54</v>
      </c>
      <c r="KY262">
        <v>13</v>
      </c>
      <c r="LA262">
        <v>277</v>
      </c>
      <c r="LT262">
        <v>17</v>
      </c>
      <c r="LW262">
        <v>19</v>
      </c>
      <c r="LZ262">
        <v>4</v>
      </c>
      <c r="MB262">
        <v>77</v>
      </c>
      <c r="MC262">
        <v>38</v>
      </c>
      <c r="MK262">
        <v>55</v>
      </c>
      <c r="MN262">
        <v>62</v>
      </c>
      <c r="MQ262">
        <v>1</v>
      </c>
      <c r="OB262">
        <v>2</v>
      </c>
      <c r="OE262">
        <v>1</v>
      </c>
      <c r="OF262">
        <v>5</v>
      </c>
      <c r="OI262">
        <v>95</v>
      </c>
      <c r="OK262">
        <v>71</v>
      </c>
      <c r="OO262">
        <v>4747</v>
      </c>
      <c r="OU262">
        <v>33</v>
      </c>
      <c r="OV262">
        <v>953</v>
      </c>
      <c r="PI262">
        <v>5732</v>
      </c>
      <c r="PM262" t="str">
        <f>IFERROR(VLOOKUP($A262&amp;"",Key!$A:$C,3,FALSE),"")</f>
        <v>ISIC 20</v>
      </c>
    </row>
    <row r="263" spans="1:429" x14ac:dyDescent="0.25">
      <c r="A263" t="s">
        <v>596</v>
      </c>
      <c r="B263" t="s">
        <v>398</v>
      </c>
      <c r="C263">
        <v>7</v>
      </c>
      <c r="D263">
        <v>28</v>
      </c>
      <c r="E263">
        <v>4</v>
      </c>
      <c r="F263">
        <v>4</v>
      </c>
      <c r="G263">
        <v>4</v>
      </c>
      <c r="H263">
        <v>10</v>
      </c>
      <c r="I263">
        <v>26</v>
      </c>
      <c r="K263">
        <v>1</v>
      </c>
      <c r="L263">
        <v>5</v>
      </c>
      <c r="O263">
        <v>0</v>
      </c>
      <c r="P263">
        <v>1318</v>
      </c>
      <c r="Q263">
        <v>398</v>
      </c>
      <c r="R263">
        <v>33</v>
      </c>
      <c r="S263">
        <v>86</v>
      </c>
      <c r="T263">
        <v>279</v>
      </c>
      <c r="U263">
        <v>269</v>
      </c>
      <c r="V263">
        <v>99</v>
      </c>
      <c r="W263">
        <v>1008</v>
      </c>
      <c r="X263">
        <v>3</v>
      </c>
      <c r="Z263">
        <v>5</v>
      </c>
      <c r="AA263">
        <v>33</v>
      </c>
      <c r="AB263">
        <v>380</v>
      </c>
      <c r="AC263">
        <v>1316</v>
      </c>
      <c r="AD263">
        <v>40</v>
      </c>
      <c r="AE263">
        <v>77</v>
      </c>
      <c r="AF263">
        <v>15</v>
      </c>
      <c r="AG263">
        <v>252</v>
      </c>
      <c r="AH263">
        <v>57</v>
      </c>
      <c r="AI263">
        <v>35</v>
      </c>
      <c r="AJ263">
        <v>22</v>
      </c>
      <c r="AK263">
        <v>131</v>
      </c>
      <c r="AL263">
        <v>53</v>
      </c>
      <c r="AM263">
        <v>47</v>
      </c>
      <c r="AN263">
        <v>49</v>
      </c>
      <c r="AO263">
        <v>20</v>
      </c>
      <c r="AP263">
        <v>110</v>
      </c>
      <c r="AQ263">
        <v>5</v>
      </c>
      <c r="AR263">
        <v>37</v>
      </c>
      <c r="AS263">
        <v>7</v>
      </c>
      <c r="AT263">
        <v>23</v>
      </c>
      <c r="AU263">
        <v>3</v>
      </c>
      <c r="AV263">
        <v>7</v>
      </c>
      <c r="AW263">
        <v>3</v>
      </c>
      <c r="AX263">
        <v>6</v>
      </c>
      <c r="AY263">
        <v>12</v>
      </c>
      <c r="AZ263">
        <v>8</v>
      </c>
      <c r="BA263">
        <v>25</v>
      </c>
      <c r="BB263">
        <v>7</v>
      </c>
      <c r="BC263">
        <v>64</v>
      </c>
      <c r="BD263">
        <v>5</v>
      </c>
      <c r="BE263">
        <v>28</v>
      </c>
      <c r="BF263">
        <v>3</v>
      </c>
      <c r="BG263">
        <v>18</v>
      </c>
      <c r="BH263">
        <v>14</v>
      </c>
      <c r="BI263">
        <v>17</v>
      </c>
      <c r="BJ263">
        <v>7</v>
      </c>
      <c r="BK263">
        <v>33</v>
      </c>
      <c r="BL263">
        <v>1</v>
      </c>
      <c r="BM263">
        <v>9</v>
      </c>
      <c r="BN263">
        <v>68</v>
      </c>
      <c r="BO263">
        <v>5</v>
      </c>
      <c r="BP263">
        <v>8</v>
      </c>
      <c r="BQ263">
        <v>445</v>
      </c>
      <c r="BR263">
        <v>1271</v>
      </c>
      <c r="BS263">
        <v>196</v>
      </c>
      <c r="BT263">
        <v>74</v>
      </c>
      <c r="BU263">
        <v>2</v>
      </c>
      <c r="BV263">
        <v>20</v>
      </c>
      <c r="BW263">
        <v>29</v>
      </c>
      <c r="BX263">
        <v>171</v>
      </c>
      <c r="BY263">
        <v>33</v>
      </c>
      <c r="BZ263">
        <v>585</v>
      </c>
      <c r="CA263">
        <v>3</v>
      </c>
      <c r="CB263">
        <v>46</v>
      </c>
      <c r="CC263">
        <v>7</v>
      </c>
      <c r="CD263">
        <v>5</v>
      </c>
      <c r="CE263">
        <v>126</v>
      </c>
      <c r="CF263">
        <v>0</v>
      </c>
      <c r="CG263">
        <v>12</v>
      </c>
      <c r="CH263">
        <v>9</v>
      </c>
      <c r="CI263">
        <v>20</v>
      </c>
      <c r="CJ263">
        <v>40</v>
      </c>
      <c r="CK263">
        <v>12</v>
      </c>
      <c r="CL263">
        <v>92</v>
      </c>
      <c r="CM263">
        <v>67</v>
      </c>
      <c r="CN263">
        <v>11</v>
      </c>
      <c r="CO263">
        <v>23</v>
      </c>
      <c r="CP263">
        <v>3</v>
      </c>
      <c r="CQ263">
        <v>34</v>
      </c>
      <c r="CR263">
        <v>3</v>
      </c>
      <c r="CS263">
        <v>13</v>
      </c>
      <c r="CT263">
        <v>38</v>
      </c>
      <c r="CU263">
        <v>12</v>
      </c>
      <c r="CV263">
        <v>25</v>
      </c>
      <c r="CW263">
        <v>59</v>
      </c>
      <c r="CX263">
        <v>3</v>
      </c>
      <c r="CY263">
        <v>7</v>
      </c>
      <c r="CZ263">
        <v>15</v>
      </c>
      <c r="DA263">
        <v>10</v>
      </c>
      <c r="DB263">
        <v>29</v>
      </c>
      <c r="DC263">
        <v>76</v>
      </c>
      <c r="DD263">
        <v>2</v>
      </c>
      <c r="DE263">
        <v>7</v>
      </c>
      <c r="DF263">
        <v>1</v>
      </c>
      <c r="DG263">
        <v>43</v>
      </c>
      <c r="DH263">
        <v>31</v>
      </c>
      <c r="DI263">
        <v>9</v>
      </c>
      <c r="DJ263">
        <v>3</v>
      </c>
      <c r="DK263">
        <v>3</v>
      </c>
      <c r="DL263">
        <v>14</v>
      </c>
      <c r="DM263">
        <v>29</v>
      </c>
      <c r="DN263">
        <v>7</v>
      </c>
      <c r="DO263">
        <v>55</v>
      </c>
      <c r="DP263">
        <v>143</v>
      </c>
      <c r="DQ263">
        <v>213</v>
      </c>
      <c r="DR263">
        <v>26</v>
      </c>
      <c r="DS263">
        <v>38</v>
      </c>
      <c r="DT263">
        <v>0</v>
      </c>
      <c r="DU263">
        <v>6</v>
      </c>
      <c r="DV263">
        <v>6</v>
      </c>
      <c r="DW263">
        <v>16</v>
      </c>
      <c r="DX263">
        <v>226</v>
      </c>
      <c r="DY263">
        <v>12</v>
      </c>
      <c r="DZ263">
        <v>178</v>
      </c>
      <c r="EA263">
        <v>1</v>
      </c>
      <c r="EB263">
        <v>0</v>
      </c>
      <c r="EC263">
        <v>2</v>
      </c>
      <c r="ED263">
        <v>8</v>
      </c>
      <c r="EE263">
        <v>5</v>
      </c>
      <c r="EF263">
        <v>9</v>
      </c>
      <c r="EG263">
        <v>6</v>
      </c>
      <c r="EH263">
        <v>2</v>
      </c>
      <c r="EI263">
        <v>3</v>
      </c>
      <c r="EJ263">
        <v>4</v>
      </c>
      <c r="EK263">
        <v>9</v>
      </c>
      <c r="EL263">
        <v>3</v>
      </c>
      <c r="EM263">
        <v>16</v>
      </c>
      <c r="EN263">
        <v>58</v>
      </c>
      <c r="EO263">
        <v>39</v>
      </c>
      <c r="EP263">
        <v>12</v>
      </c>
      <c r="EQ263">
        <v>18</v>
      </c>
      <c r="ER263">
        <v>108</v>
      </c>
      <c r="ES263">
        <v>20</v>
      </c>
      <c r="ET263">
        <v>14</v>
      </c>
      <c r="EU263">
        <v>3</v>
      </c>
      <c r="EV263">
        <v>1</v>
      </c>
      <c r="EW263">
        <v>16</v>
      </c>
      <c r="EX263">
        <v>5</v>
      </c>
      <c r="EY263">
        <v>13</v>
      </c>
      <c r="EZ263">
        <v>13</v>
      </c>
      <c r="FA263">
        <v>108</v>
      </c>
      <c r="FB263">
        <v>199</v>
      </c>
      <c r="FC263">
        <v>22</v>
      </c>
      <c r="FD263">
        <v>19</v>
      </c>
      <c r="FE263">
        <v>664</v>
      </c>
      <c r="FF263">
        <v>1</v>
      </c>
      <c r="FG263">
        <v>23</v>
      </c>
      <c r="FH263">
        <v>19</v>
      </c>
      <c r="FI263">
        <v>26</v>
      </c>
      <c r="FJ263">
        <v>4</v>
      </c>
      <c r="FK263">
        <v>22</v>
      </c>
      <c r="FL263">
        <v>14</v>
      </c>
      <c r="FN263">
        <v>0</v>
      </c>
      <c r="FO263">
        <v>5</v>
      </c>
      <c r="FP263">
        <v>19</v>
      </c>
      <c r="FQ263">
        <v>15</v>
      </c>
      <c r="FR263">
        <v>2</v>
      </c>
      <c r="FS263">
        <v>10</v>
      </c>
      <c r="FT263">
        <v>10</v>
      </c>
      <c r="FU263">
        <v>11</v>
      </c>
      <c r="FV263">
        <v>22</v>
      </c>
      <c r="FW263">
        <v>7</v>
      </c>
      <c r="FX263">
        <v>80</v>
      </c>
      <c r="FY263">
        <v>71</v>
      </c>
      <c r="FZ263">
        <v>7</v>
      </c>
      <c r="GA263">
        <v>1</v>
      </c>
      <c r="GB263">
        <v>3</v>
      </c>
      <c r="GC263">
        <v>1</v>
      </c>
      <c r="GD263">
        <v>4</v>
      </c>
      <c r="GE263">
        <v>2</v>
      </c>
      <c r="GF263">
        <v>14</v>
      </c>
      <c r="GG263">
        <v>53</v>
      </c>
      <c r="GH263">
        <v>41</v>
      </c>
      <c r="GI263">
        <v>17</v>
      </c>
      <c r="GN263">
        <v>13</v>
      </c>
      <c r="GO263">
        <v>3</v>
      </c>
      <c r="GP263">
        <v>115</v>
      </c>
      <c r="GQ263">
        <v>65</v>
      </c>
      <c r="GR263">
        <v>320</v>
      </c>
      <c r="GT263">
        <v>170</v>
      </c>
      <c r="GU263">
        <v>10</v>
      </c>
      <c r="GW263">
        <v>64</v>
      </c>
      <c r="GX263">
        <v>90</v>
      </c>
      <c r="GY263">
        <v>0</v>
      </c>
      <c r="GZ263">
        <v>163</v>
      </c>
      <c r="HA263">
        <v>132</v>
      </c>
      <c r="HB263">
        <v>380</v>
      </c>
      <c r="HD263">
        <v>0</v>
      </c>
      <c r="HE263">
        <v>503</v>
      </c>
      <c r="HF263">
        <v>105</v>
      </c>
      <c r="HG263">
        <v>362</v>
      </c>
      <c r="HH263">
        <v>17</v>
      </c>
      <c r="HI263">
        <v>4</v>
      </c>
      <c r="HJ263">
        <v>10</v>
      </c>
      <c r="HK263">
        <v>13</v>
      </c>
      <c r="HL263">
        <v>1</v>
      </c>
      <c r="HM263">
        <v>3</v>
      </c>
      <c r="HN263">
        <v>6</v>
      </c>
      <c r="HO263">
        <v>5</v>
      </c>
      <c r="HP263">
        <v>3</v>
      </c>
      <c r="HQ263">
        <v>7</v>
      </c>
      <c r="HR263">
        <v>1</v>
      </c>
      <c r="HS263">
        <v>1</v>
      </c>
      <c r="HT263">
        <v>19</v>
      </c>
      <c r="HU263">
        <v>119</v>
      </c>
      <c r="HV263">
        <v>240</v>
      </c>
      <c r="HW263">
        <v>163</v>
      </c>
      <c r="HX263">
        <v>59</v>
      </c>
      <c r="HY263">
        <v>8</v>
      </c>
      <c r="HZ263">
        <v>21</v>
      </c>
      <c r="IA263">
        <v>14</v>
      </c>
      <c r="IB263">
        <v>688</v>
      </c>
      <c r="IC263">
        <v>35</v>
      </c>
      <c r="ID263">
        <v>1064</v>
      </c>
      <c r="IE263">
        <v>36</v>
      </c>
      <c r="IF263">
        <v>14</v>
      </c>
      <c r="IG263">
        <v>2922</v>
      </c>
      <c r="IH263">
        <v>28</v>
      </c>
      <c r="II263">
        <v>26</v>
      </c>
      <c r="IJ263">
        <v>154</v>
      </c>
      <c r="IK263">
        <v>551</v>
      </c>
      <c r="IL263">
        <v>1103</v>
      </c>
      <c r="IM263">
        <v>196</v>
      </c>
      <c r="IN263">
        <v>154</v>
      </c>
      <c r="IO263">
        <v>78</v>
      </c>
      <c r="IP263">
        <v>122</v>
      </c>
      <c r="IQ263">
        <v>4</v>
      </c>
      <c r="IR263">
        <v>277</v>
      </c>
      <c r="IS263">
        <v>4</v>
      </c>
      <c r="IT263">
        <v>68</v>
      </c>
      <c r="IU263">
        <v>84</v>
      </c>
      <c r="IV263">
        <v>183</v>
      </c>
      <c r="IW263">
        <v>350</v>
      </c>
      <c r="IX263">
        <v>493</v>
      </c>
      <c r="IY263">
        <v>7</v>
      </c>
      <c r="IZ263">
        <v>2816</v>
      </c>
      <c r="JA263">
        <v>240</v>
      </c>
      <c r="JB263">
        <v>286</v>
      </c>
      <c r="JC263">
        <v>59</v>
      </c>
      <c r="JD263">
        <v>46</v>
      </c>
      <c r="JE263">
        <v>183</v>
      </c>
      <c r="JF263">
        <v>45</v>
      </c>
      <c r="JG263">
        <v>1371</v>
      </c>
      <c r="JH263">
        <v>20</v>
      </c>
      <c r="JI263">
        <v>3</v>
      </c>
      <c r="JJ263">
        <v>63</v>
      </c>
      <c r="JK263">
        <v>8</v>
      </c>
      <c r="JL263">
        <v>18</v>
      </c>
      <c r="JM263">
        <v>5</v>
      </c>
      <c r="JN263">
        <v>58</v>
      </c>
      <c r="JO263">
        <v>27</v>
      </c>
      <c r="JP263">
        <v>11</v>
      </c>
      <c r="JQ263">
        <v>93</v>
      </c>
      <c r="JR263">
        <v>9</v>
      </c>
      <c r="JS263">
        <v>44</v>
      </c>
      <c r="JT263">
        <v>4</v>
      </c>
      <c r="JV263">
        <v>12</v>
      </c>
      <c r="JW263">
        <v>5</v>
      </c>
      <c r="JX263">
        <v>33</v>
      </c>
      <c r="JY263">
        <v>5</v>
      </c>
      <c r="JZ263">
        <v>22</v>
      </c>
      <c r="KA263">
        <v>3</v>
      </c>
      <c r="KB263">
        <v>4</v>
      </c>
      <c r="KC263">
        <v>6</v>
      </c>
      <c r="KD263">
        <v>149</v>
      </c>
      <c r="KF263">
        <v>58</v>
      </c>
      <c r="KG263">
        <v>6</v>
      </c>
      <c r="KH263">
        <v>157</v>
      </c>
      <c r="KI263">
        <v>2</v>
      </c>
      <c r="KJ263">
        <v>2</v>
      </c>
      <c r="KK263">
        <v>116</v>
      </c>
      <c r="KL263">
        <v>1</v>
      </c>
      <c r="KM263">
        <v>594</v>
      </c>
      <c r="KN263">
        <v>10</v>
      </c>
      <c r="KO263">
        <v>10</v>
      </c>
      <c r="KP263">
        <v>7</v>
      </c>
      <c r="KQ263">
        <v>13</v>
      </c>
      <c r="KR263">
        <v>441</v>
      </c>
      <c r="KS263">
        <v>195</v>
      </c>
      <c r="KW263">
        <v>41</v>
      </c>
      <c r="KX263">
        <v>107</v>
      </c>
      <c r="KY263">
        <v>5</v>
      </c>
      <c r="KZ263">
        <v>17</v>
      </c>
      <c r="LA263">
        <v>126</v>
      </c>
      <c r="LB263">
        <v>0</v>
      </c>
      <c r="LC263">
        <v>42</v>
      </c>
      <c r="LD263">
        <v>57</v>
      </c>
      <c r="LE263">
        <v>10</v>
      </c>
      <c r="LF263">
        <v>96</v>
      </c>
      <c r="LH263">
        <v>12</v>
      </c>
      <c r="LI263">
        <v>59</v>
      </c>
      <c r="LK263">
        <v>0</v>
      </c>
      <c r="LM263">
        <v>583</v>
      </c>
      <c r="LN263">
        <v>7</v>
      </c>
      <c r="LR263">
        <v>264</v>
      </c>
      <c r="LS263">
        <v>23</v>
      </c>
      <c r="LT263">
        <v>108</v>
      </c>
      <c r="LU263">
        <v>13</v>
      </c>
      <c r="LV263">
        <v>13</v>
      </c>
      <c r="LW263">
        <v>850</v>
      </c>
      <c r="LX263">
        <v>205</v>
      </c>
      <c r="LY263">
        <v>29</v>
      </c>
      <c r="LZ263">
        <v>468</v>
      </c>
      <c r="MA263">
        <v>100</v>
      </c>
      <c r="MB263">
        <v>142</v>
      </c>
      <c r="MC263">
        <v>648</v>
      </c>
      <c r="MD263">
        <v>208</v>
      </c>
      <c r="ME263">
        <v>43</v>
      </c>
      <c r="MF263">
        <v>45</v>
      </c>
      <c r="MG263">
        <v>89</v>
      </c>
      <c r="MH263">
        <v>715</v>
      </c>
      <c r="MI263">
        <v>10</v>
      </c>
      <c r="MJ263">
        <v>39</v>
      </c>
      <c r="MK263">
        <v>171</v>
      </c>
      <c r="ML263">
        <v>2</v>
      </c>
      <c r="MM263">
        <v>12</v>
      </c>
      <c r="MN263">
        <v>153</v>
      </c>
      <c r="MP263">
        <v>9</v>
      </c>
      <c r="MQ263">
        <v>26</v>
      </c>
      <c r="MR263">
        <v>21</v>
      </c>
      <c r="MS263">
        <v>97</v>
      </c>
      <c r="MT263">
        <v>41</v>
      </c>
      <c r="MU263">
        <v>15</v>
      </c>
      <c r="MV263">
        <v>167</v>
      </c>
      <c r="MW263">
        <v>101</v>
      </c>
      <c r="MX263">
        <v>87</v>
      </c>
      <c r="MY263">
        <v>102</v>
      </c>
      <c r="MZ263">
        <v>459</v>
      </c>
      <c r="NA263">
        <v>119</v>
      </c>
      <c r="NB263">
        <v>6</v>
      </c>
      <c r="NC263">
        <v>35</v>
      </c>
      <c r="ND263">
        <v>13</v>
      </c>
      <c r="NE263">
        <v>28</v>
      </c>
      <c r="NI263">
        <v>1</v>
      </c>
      <c r="NK263">
        <v>21</v>
      </c>
      <c r="NL263">
        <v>61</v>
      </c>
      <c r="NM263">
        <v>18</v>
      </c>
      <c r="NN263">
        <v>13</v>
      </c>
      <c r="NO263">
        <v>3</v>
      </c>
      <c r="NP263">
        <v>22</v>
      </c>
      <c r="NR263">
        <v>70</v>
      </c>
      <c r="NS263">
        <v>2</v>
      </c>
      <c r="NT263">
        <v>47</v>
      </c>
      <c r="NU263">
        <v>25</v>
      </c>
      <c r="NV263">
        <v>9</v>
      </c>
      <c r="NW263">
        <v>1</v>
      </c>
      <c r="NX263">
        <v>0</v>
      </c>
      <c r="NY263">
        <v>174</v>
      </c>
      <c r="NZ263">
        <v>7</v>
      </c>
      <c r="OA263">
        <v>67</v>
      </c>
      <c r="OB263">
        <v>113</v>
      </c>
      <c r="OD263">
        <v>877</v>
      </c>
      <c r="OE263">
        <v>1515</v>
      </c>
      <c r="OF263">
        <v>2</v>
      </c>
      <c r="OG263">
        <v>18</v>
      </c>
      <c r="OI263">
        <v>1035</v>
      </c>
      <c r="OJ263">
        <v>3000</v>
      </c>
      <c r="OK263">
        <v>832</v>
      </c>
      <c r="OL263">
        <v>8</v>
      </c>
      <c r="ON263">
        <v>1</v>
      </c>
      <c r="OO263">
        <v>47130</v>
      </c>
      <c r="OP263">
        <v>4583</v>
      </c>
      <c r="OU263">
        <v>116</v>
      </c>
      <c r="OV263">
        <v>8052</v>
      </c>
      <c r="PI263">
        <v>59881</v>
      </c>
      <c r="PM263" t="str">
        <f>IFERROR(VLOOKUP($A263&amp;"",Key!$A:$C,3,FALSE),"")</f>
        <v>ISIC 20</v>
      </c>
    </row>
    <row r="264" spans="1:429" x14ac:dyDescent="0.25">
      <c r="A264">
        <v>326110</v>
      </c>
      <c r="B264" t="s">
        <v>399</v>
      </c>
      <c r="D264">
        <v>5</v>
      </c>
      <c r="E264">
        <v>13</v>
      </c>
      <c r="F264">
        <v>2</v>
      </c>
      <c r="G264">
        <v>22</v>
      </c>
      <c r="H264">
        <v>5</v>
      </c>
      <c r="O264">
        <v>2</v>
      </c>
      <c r="Q264">
        <v>19</v>
      </c>
      <c r="Z264">
        <v>0</v>
      </c>
      <c r="AA264">
        <v>13</v>
      </c>
      <c r="AB264">
        <v>45</v>
      </c>
      <c r="AC264">
        <v>118</v>
      </c>
      <c r="AD264">
        <v>14</v>
      </c>
      <c r="AE264">
        <v>85</v>
      </c>
      <c r="AF264">
        <v>61</v>
      </c>
      <c r="AG264">
        <v>873</v>
      </c>
      <c r="AH264">
        <v>6</v>
      </c>
      <c r="AI264">
        <v>115</v>
      </c>
      <c r="AJ264">
        <v>108</v>
      </c>
      <c r="AK264">
        <v>172</v>
      </c>
      <c r="AL264">
        <v>71</v>
      </c>
      <c r="AM264">
        <v>48</v>
      </c>
      <c r="AN264">
        <v>20</v>
      </c>
      <c r="AO264">
        <v>44</v>
      </c>
      <c r="AP264">
        <v>39</v>
      </c>
      <c r="AR264">
        <v>554</v>
      </c>
      <c r="AX264">
        <v>3</v>
      </c>
      <c r="BA264">
        <v>77</v>
      </c>
      <c r="BB264">
        <v>6</v>
      </c>
      <c r="BC264">
        <v>191</v>
      </c>
      <c r="BF264">
        <v>2</v>
      </c>
      <c r="BG264">
        <v>37</v>
      </c>
      <c r="BI264">
        <v>18</v>
      </c>
      <c r="BJ264">
        <v>15</v>
      </c>
      <c r="BK264">
        <v>33</v>
      </c>
      <c r="BN264">
        <v>1</v>
      </c>
      <c r="BO264">
        <v>31</v>
      </c>
      <c r="BP264">
        <v>85</v>
      </c>
      <c r="BQ264">
        <v>101</v>
      </c>
      <c r="BR264">
        <v>69</v>
      </c>
      <c r="BS264">
        <v>34</v>
      </c>
      <c r="BT264">
        <v>20</v>
      </c>
      <c r="BV264">
        <v>25</v>
      </c>
      <c r="BW264">
        <v>92</v>
      </c>
      <c r="BX264">
        <v>66</v>
      </c>
      <c r="BY264">
        <v>54</v>
      </c>
      <c r="BZ264">
        <v>81</v>
      </c>
      <c r="CB264">
        <v>95</v>
      </c>
      <c r="CF264">
        <v>77</v>
      </c>
      <c r="CI264">
        <v>61</v>
      </c>
      <c r="CJ264">
        <v>54</v>
      </c>
      <c r="CK264">
        <v>23</v>
      </c>
      <c r="CL264">
        <v>191</v>
      </c>
      <c r="CM264">
        <v>45</v>
      </c>
      <c r="CN264">
        <v>1</v>
      </c>
      <c r="CO264">
        <v>644</v>
      </c>
      <c r="CP264">
        <v>3</v>
      </c>
      <c r="CQ264">
        <v>289</v>
      </c>
      <c r="CR264">
        <v>14</v>
      </c>
      <c r="CS264">
        <v>14</v>
      </c>
      <c r="CT264">
        <v>40</v>
      </c>
      <c r="CU264">
        <v>19</v>
      </c>
      <c r="CV264">
        <v>26</v>
      </c>
      <c r="CX264">
        <v>1</v>
      </c>
      <c r="CY264">
        <v>13</v>
      </c>
      <c r="CZ264">
        <v>60</v>
      </c>
      <c r="DA264">
        <v>12</v>
      </c>
      <c r="DB264">
        <v>45</v>
      </c>
      <c r="DC264">
        <v>124</v>
      </c>
      <c r="DD264">
        <v>40</v>
      </c>
      <c r="DE264">
        <v>8</v>
      </c>
      <c r="DG264">
        <v>114</v>
      </c>
      <c r="DI264">
        <v>15</v>
      </c>
      <c r="DJ264">
        <v>3</v>
      </c>
      <c r="DK264">
        <v>3</v>
      </c>
      <c r="DL264">
        <v>17</v>
      </c>
      <c r="DM264">
        <v>54</v>
      </c>
      <c r="DN264">
        <v>9</v>
      </c>
      <c r="DO264">
        <v>356</v>
      </c>
      <c r="DP264">
        <v>12</v>
      </c>
      <c r="DQ264">
        <v>71</v>
      </c>
      <c r="DR264">
        <v>1241</v>
      </c>
      <c r="DS264">
        <v>49</v>
      </c>
      <c r="DV264">
        <v>22</v>
      </c>
      <c r="DX264">
        <v>36</v>
      </c>
      <c r="DY264">
        <v>6</v>
      </c>
      <c r="EA264">
        <v>2</v>
      </c>
      <c r="EB264">
        <v>9</v>
      </c>
      <c r="EC264">
        <v>1</v>
      </c>
      <c r="ED264">
        <v>149</v>
      </c>
      <c r="EE264">
        <v>43</v>
      </c>
      <c r="EF264">
        <v>431</v>
      </c>
      <c r="EG264">
        <v>7</v>
      </c>
      <c r="EH264">
        <v>19</v>
      </c>
      <c r="EI264">
        <v>95</v>
      </c>
      <c r="EJ264">
        <v>71</v>
      </c>
      <c r="EK264">
        <v>23</v>
      </c>
      <c r="EL264">
        <v>27</v>
      </c>
      <c r="EM264">
        <v>14</v>
      </c>
      <c r="EN264">
        <v>191</v>
      </c>
      <c r="EO264">
        <v>29</v>
      </c>
      <c r="EP264">
        <v>22</v>
      </c>
      <c r="EQ264">
        <v>42</v>
      </c>
      <c r="ER264">
        <v>764</v>
      </c>
      <c r="ES264">
        <v>129</v>
      </c>
      <c r="ET264">
        <v>22</v>
      </c>
      <c r="EU264">
        <v>11</v>
      </c>
      <c r="EV264">
        <v>1</v>
      </c>
      <c r="EW264">
        <v>40</v>
      </c>
      <c r="EX264">
        <v>104</v>
      </c>
      <c r="EY264">
        <v>99</v>
      </c>
      <c r="EZ264">
        <v>74</v>
      </c>
      <c r="FA264">
        <v>479</v>
      </c>
      <c r="FB264">
        <v>190</v>
      </c>
      <c r="FC264">
        <v>577</v>
      </c>
      <c r="FD264">
        <v>91</v>
      </c>
      <c r="FG264">
        <v>17</v>
      </c>
      <c r="FK264">
        <v>39</v>
      </c>
      <c r="FL264">
        <v>165</v>
      </c>
      <c r="FO264">
        <v>545</v>
      </c>
      <c r="FP264">
        <v>46</v>
      </c>
      <c r="FQ264">
        <v>50</v>
      </c>
      <c r="FT264">
        <v>29</v>
      </c>
      <c r="FW264">
        <v>187</v>
      </c>
      <c r="FX264">
        <v>287</v>
      </c>
      <c r="FY264">
        <v>326</v>
      </c>
      <c r="FZ264">
        <v>103</v>
      </c>
      <c r="GA264">
        <v>138</v>
      </c>
      <c r="GD264">
        <v>117</v>
      </c>
      <c r="GE264">
        <v>8</v>
      </c>
      <c r="GF264">
        <v>172</v>
      </c>
      <c r="GG264">
        <v>318</v>
      </c>
      <c r="GH264">
        <v>288</v>
      </c>
      <c r="GI264">
        <v>173</v>
      </c>
      <c r="GJ264">
        <v>75</v>
      </c>
      <c r="GK264">
        <v>68</v>
      </c>
      <c r="GL264">
        <v>10</v>
      </c>
      <c r="GM264">
        <v>1</v>
      </c>
      <c r="GO264">
        <v>70</v>
      </c>
      <c r="GP264">
        <v>406</v>
      </c>
      <c r="GQ264">
        <v>278</v>
      </c>
      <c r="GR264">
        <v>110</v>
      </c>
      <c r="GS264">
        <v>125</v>
      </c>
      <c r="GT264">
        <v>58</v>
      </c>
      <c r="GU264">
        <v>293</v>
      </c>
      <c r="GV264">
        <v>45</v>
      </c>
      <c r="GW264">
        <v>185</v>
      </c>
      <c r="GX264">
        <v>693</v>
      </c>
      <c r="GY264">
        <v>39</v>
      </c>
      <c r="GZ264">
        <v>402</v>
      </c>
      <c r="HA264">
        <v>375</v>
      </c>
      <c r="HB264">
        <v>518</v>
      </c>
      <c r="HC264">
        <v>25</v>
      </c>
      <c r="HD264">
        <v>12</v>
      </c>
      <c r="HE264">
        <v>253</v>
      </c>
      <c r="HF264">
        <v>233</v>
      </c>
      <c r="HH264">
        <v>39</v>
      </c>
      <c r="HL264">
        <v>0</v>
      </c>
      <c r="HM264">
        <v>6</v>
      </c>
      <c r="HN264">
        <v>106</v>
      </c>
      <c r="HP264">
        <v>20</v>
      </c>
      <c r="HQ264">
        <v>86</v>
      </c>
      <c r="HR264">
        <v>0</v>
      </c>
      <c r="HS264">
        <v>8</v>
      </c>
      <c r="HT264">
        <v>23</v>
      </c>
      <c r="HU264">
        <v>386</v>
      </c>
      <c r="HV264">
        <v>22</v>
      </c>
      <c r="HW264">
        <v>130</v>
      </c>
      <c r="HX264">
        <v>1152</v>
      </c>
      <c r="HY264">
        <v>177</v>
      </c>
      <c r="HZ264">
        <v>525</v>
      </c>
      <c r="IA264">
        <v>56</v>
      </c>
      <c r="IB264">
        <v>1661</v>
      </c>
      <c r="IC264">
        <v>15</v>
      </c>
      <c r="ID264">
        <v>53</v>
      </c>
      <c r="IE264">
        <v>2</v>
      </c>
      <c r="IF264">
        <v>49</v>
      </c>
      <c r="II264">
        <v>4</v>
      </c>
      <c r="IJ264">
        <v>23</v>
      </c>
      <c r="IK264">
        <v>38</v>
      </c>
      <c r="IL264">
        <v>133</v>
      </c>
      <c r="IM264">
        <v>120</v>
      </c>
      <c r="IN264">
        <v>17</v>
      </c>
      <c r="IP264">
        <v>35</v>
      </c>
      <c r="IQ264">
        <v>10</v>
      </c>
      <c r="IR264">
        <v>9</v>
      </c>
      <c r="IS264">
        <v>14</v>
      </c>
      <c r="IW264">
        <v>41</v>
      </c>
      <c r="IZ264">
        <v>390</v>
      </c>
      <c r="JA264">
        <v>3281</v>
      </c>
      <c r="JB264">
        <v>464</v>
      </c>
      <c r="JC264">
        <v>439</v>
      </c>
      <c r="JD264">
        <v>200</v>
      </c>
      <c r="JE264">
        <v>531</v>
      </c>
      <c r="JF264">
        <v>618</v>
      </c>
      <c r="JG264">
        <v>3487</v>
      </c>
      <c r="JH264">
        <v>135</v>
      </c>
      <c r="JI264">
        <v>13</v>
      </c>
      <c r="JJ264">
        <v>179</v>
      </c>
      <c r="JK264">
        <v>635</v>
      </c>
      <c r="JL264">
        <v>169</v>
      </c>
      <c r="JM264">
        <v>354</v>
      </c>
      <c r="JN264">
        <v>422</v>
      </c>
      <c r="JO264">
        <v>715</v>
      </c>
      <c r="JP264">
        <v>335</v>
      </c>
      <c r="JQ264">
        <v>770</v>
      </c>
      <c r="JR264">
        <v>205</v>
      </c>
      <c r="JS264">
        <v>1090</v>
      </c>
      <c r="JT264">
        <v>141</v>
      </c>
      <c r="JV264">
        <v>111</v>
      </c>
      <c r="JW264">
        <v>740</v>
      </c>
      <c r="JX264">
        <v>85</v>
      </c>
      <c r="JY264">
        <v>49</v>
      </c>
      <c r="JZ264">
        <v>160</v>
      </c>
      <c r="KA264">
        <v>398</v>
      </c>
      <c r="KB264">
        <v>84</v>
      </c>
      <c r="KC264">
        <v>268</v>
      </c>
      <c r="KD264">
        <v>144</v>
      </c>
      <c r="KF264">
        <v>1</v>
      </c>
      <c r="KH264">
        <v>16</v>
      </c>
      <c r="KK264">
        <v>61</v>
      </c>
      <c r="KL264">
        <v>133</v>
      </c>
      <c r="KM264">
        <v>74</v>
      </c>
      <c r="KN264">
        <v>2</v>
      </c>
      <c r="KO264">
        <v>3</v>
      </c>
      <c r="KP264">
        <v>1</v>
      </c>
      <c r="KQ264">
        <v>11</v>
      </c>
      <c r="KR264">
        <v>31</v>
      </c>
      <c r="KS264">
        <v>16</v>
      </c>
      <c r="KW264">
        <v>150</v>
      </c>
      <c r="KX264">
        <v>14</v>
      </c>
      <c r="KZ264">
        <v>18</v>
      </c>
      <c r="LI264">
        <v>65</v>
      </c>
      <c r="LK264">
        <v>1</v>
      </c>
      <c r="LL264">
        <v>0</v>
      </c>
      <c r="LN264">
        <v>2</v>
      </c>
      <c r="LO264">
        <v>28</v>
      </c>
      <c r="LP264">
        <v>7</v>
      </c>
      <c r="LQ264">
        <v>102</v>
      </c>
      <c r="LR264">
        <v>5</v>
      </c>
      <c r="LS264">
        <v>2</v>
      </c>
      <c r="LT264">
        <v>11</v>
      </c>
      <c r="LV264">
        <v>0</v>
      </c>
      <c r="LW264">
        <v>67</v>
      </c>
      <c r="LX264">
        <v>70</v>
      </c>
      <c r="LY264">
        <v>10</v>
      </c>
      <c r="LZ264">
        <v>11</v>
      </c>
      <c r="MA264">
        <v>50</v>
      </c>
      <c r="MB264">
        <v>6</v>
      </c>
      <c r="MC264">
        <v>10</v>
      </c>
      <c r="ME264">
        <v>25</v>
      </c>
      <c r="MF264">
        <v>41</v>
      </c>
      <c r="MG264">
        <v>26</v>
      </c>
      <c r="MH264">
        <v>87</v>
      </c>
      <c r="MI264">
        <v>3</v>
      </c>
      <c r="MJ264">
        <v>2</v>
      </c>
      <c r="MK264">
        <v>33</v>
      </c>
      <c r="MM264">
        <v>4</v>
      </c>
      <c r="MN264">
        <v>78</v>
      </c>
      <c r="MO264">
        <v>49</v>
      </c>
      <c r="MQ264">
        <v>0</v>
      </c>
      <c r="MR264">
        <v>12</v>
      </c>
      <c r="MS264">
        <v>31</v>
      </c>
      <c r="MT264">
        <v>29</v>
      </c>
      <c r="MU264">
        <v>2</v>
      </c>
      <c r="MV264">
        <v>63</v>
      </c>
      <c r="MW264">
        <v>7</v>
      </c>
      <c r="MX264">
        <v>8</v>
      </c>
      <c r="MY264">
        <v>1</v>
      </c>
      <c r="MZ264">
        <v>15</v>
      </c>
      <c r="NA264">
        <v>0</v>
      </c>
      <c r="NC264">
        <v>3</v>
      </c>
      <c r="ND264">
        <v>40</v>
      </c>
      <c r="NE264">
        <v>9</v>
      </c>
      <c r="NF264">
        <v>0</v>
      </c>
      <c r="NG264">
        <v>1</v>
      </c>
      <c r="NI264">
        <v>1</v>
      </c>
      <c r="NJ264">
        <v>1</v>
      </c>
      <c r="NK264">
        <v>3</v>
      </c>
      <c r="NL264">
        <v>9</v>
      </c>
      <c r="NM264">
        <v>7</v>
      </c>
      <c r="NN264">
        <v>7</v>
      </c>
      <c r="NO264">
        <v>75</v>
      </c>
      <c r="NP264">
        <v>53</v>
      </c>
      <c r="NQ264">
        <v>4</v>
      </c>
      <c r="NR264">
        <v>2</v>
      </c>
      <c r="NS264">
        <v>12</v>
      </c>
      <c r="NT264">
        <v>22</v>
      </c>
      <c r="NU264">
        <v>14</v>
      </c>
      <c r="NV264">
        <v>48</v>
      </c>
      <c r="NW264">
        <v>0</v>
      </c>
      <c r="NX264">
        <v>2</v>
      </c>
      <c r="NY264">
        <v>3</v>
      </c>
      <c r="NZ264">
        <v>5</v>
      </c>
      <c r="OA264">
        <v>0</v>
      </c>
      <c r="OB264">
        <v>8</v>
      </c>
      <c r="OD264">
        <v>11</v>
      </c>
      <c r="OE264">
        <v>194</v>
      </c>
      <c r="OI264">
        <v>406</v>
      </c>
      <c r="OJ264">
        <v>1016</v>
      </c>
      <c r="OK264">
        <v>144</v>
      </c>
      <c r="OL264">
        <v>12</v>
      </c>
      <c r="ON264">
        <v>1</v>
      </c>
      <c r="OO264">
        <v>43624</v>
      </c>
      <c r="OP264">
        <v>6541</v>
      </c>
      <c r="OU264">
        <v>136</v>
      </c>
      <c r="OV264">
        <v>5185</v>
      </c>
      <c r="PI264">
        <v>55486</v>
      </c>
      <c r="PM264" t="str">
        <f>IFERROR(VLOOKUP($A264&amp;"",Key!$A:$C,3,FALSE),"")</f>
        <v>ISIC 22</v>
      </c>
    </row>
    <row r="265" spans="1:429" x14ac:dyDescent="0.25">
      <c r="A265">
        <v>326120</v>
      </c>
      <c r="B265" t="s">
        <v>400</v>
      </c>
      <c r="D265">
        <v>100</v>
      </c>
      <c r="H265">
        <v>15</v>
      </c>
      <c r="J265">
        <v>92</v>
      </c>
      <c r="N265">
        <v>11</v>
      </c>
      <c r="R265">
        <v>4</v>
      </c>
      <c r="V265">
        <v>48</v>
      </c>
      <c r="W265">
        <v>81</v>
      </c>
      <c r="X265">
        <v>1</v>
      </c>
      <c r="Z265">
        <v>0</v>
      </c>
      <c r="AA265">
        <v>69</v>
      </c>
      <c r="AB265">
        <v>75</v>
      </c>
      <c r="AC265">
        <v>1544</v>
      </c>
      <c r="AD265">
        <v>400</v>
      </c>
      <c r="AE265">
        <v>1239</v>
      </c>
      <c r="AF265">
        <v>266</v>
      </c>
      <c r="AG265">
        <v>1126</v>
      </c>
      <c r="AH265">
        <v>99</v>
      </c>
      <c r="AI265">
        <v>656</v>
      </c>
      <c r="AJ265">
        <v>534</v>
      </c>
      <c r="AK265">
        <v>1561</v>
      </c>
      <c r="AL265">
        <v>555</v>
      </c>
      <c r="AO265">
        <v>7</v>
      </c>
      <c r="AP265">
        <v>298</v>
      </c>
      <c r="AR265">
        <v>1</v>
      </c>
      <c r="BA265">
        <v>9</v>
      </c>
      <c r="BB265">
        <v>2</v>
      </c>
      <c r="BG265">
        <v>20</v>
      </c>
      <c r="BO265">
        <v>3</v>
      </c>
      <c r="BP265">
        <v>8</v>
      </c>
      <c r="BR265">
        <v>58</v>
      </c>
      <c r="BV265">
        <v>4</v>
      </c>
      <c r="BW265">
        <v>18</v>
      </c>
      <c r="BX265">
        <v>76</v>
      </c>
      <c r="BY265">
        <v>3</v>
      </c>
      <c r="CB265">
        <v>20</v>
      </c>
      <c r="CF265">
        <v>7</v>
      </c>
      <c r="CJ265">
        <v>13</v>
      </c>
      <c r="CK265">
        <v>1</v>
      </c>
      <c r="CL265">
        <v>15</v>
      </c>
      <c r="CM265">
        <v>18</v>
      </c>
      <c r="CN265">
        <v>1</v>
      </c>
      <c r="CO265">
        <v>61</v>
      </c>
      <c r="CQ265">
        <v>25</v>
      </c>
      <c r="CR265">
        <v>4</v>
      </c>
      <c r="CS265">
        <v>1</v>
      </c>
      <c r="CT265">
        <v>4</v>
      </c>
      <c r="CV265">
        <v>9</v>
      </c>
      <c r="CZ265">
        <v>89</v>
      </c>
      <c r="DA265">
        <v>2</v>
      </c>
      <c r="DB265">
        <v>9</v>
      </c>
      <c r="DC265">
        <v>35</v>
      </c>
      <c r="DE265">
        <v>1</v>
      </c>
      <c r="DG265">
        <v>15</v>
      </c>
      <c r="DK265">
        <v>42</v>
      </c>
      <c r="DL265">
        <v>1</v>
      </c>
      <c r="DO265">
        <v>42</v>
      </c>
      <c r="DR265">
        <v>138</v>
      </c>
      <c r="DS265">
        <v>30</v>
      </c>
      <c r="DY265">
        <v>1</v>
      </c>
      <c r="EA265">
        <v>0</v>
      </c>
      <c r="EB265">
        <v>2</v>
      </c>
      <c r="EC265">
        <v>5</v>
      </c>
      <c r="ED265">
        <v>14</v>
      </c>
      <c r="EE265">
        <v>5</v>
      </c>
      <c r="EF265">
        <v>57</v>
      </c>
      <c r="EG265">
        <v>2</v>
      </c>
      <c r="EH265">
        <v>2</v>
      </c>
      <c r="EI265">
        <v>11</v>
      </c>
      <c r="EJ265">
        <v>6</v>
      </c>
      <c r="EK265">
        <v>2</v>
      </c>
      <c r="EL265">
        <v>2</v>
      </c>
      <c r="EM265">
        <v>1</v>
      </c>
      <c r="EN265">
        <v>20</v>
      </c>
      <c r="EO265">
        <v>9</v>
      </c>
      <c r="EP265">
        <v>1</v>
      </c>
      <c r="EQ265">
        <v>9</v>
      </c>
      <c r="ER265">
        <v>192</v>
      </c>
      <c r="ES265">
        <v>4</v>
      </c>
      <c r="EV265">
        <v>0</v>
      </c>
      <c r="EW265">
        <v>5</v>
      </c>
      <c r="EX265">
        <v>11</v>
      </c>
      <c r="EY265">
        <v>12</v>
      </c>
      <c r="EZ265">
        <v>11</v>
      </c>
      <c r="FA265">
        <v>67</v>
      </c>
      <c r="FB265">
        <v>10</v>
      </c>
      <c r="FC265">
        <v>111</v>
      </c>
      <c r="FD265">
        <v>9</v>
      </c>
      <c r="FK265">
        <v>239</v>
      </c>
      <c r="FL265">
        <v>17</v>
      </c>
      <c r="FO265">
        <v>63</v>
      </c>
      <c r="FW265">
        <v>22</v>
      </c>
      <c r="FX265">
        <v>38</v>
      </c>
      <c r="FY265">
        <v>42</v>
      </c>
      <c r="GA265">
        <v>10</v>
      </c>
      <c r="GD265">
        <v>10</v>
      </c>
      <c r="GE265">
        <v>1</v>
      </c>
      <c r="GF265">
        <v>16</v>
      </c>
      <c r="GG265">
        <v>40</v>
      </c>
      <c r="GH265">
        <v>68</v>
      </c>
      <c r="GP265">
        <v>15</v>
      </c>
      <c r="GS265">
        <v>3</v>
      </c>
      <c r="GT265">
        <v>10</v>
      </c>
      <c r="GU265">
        <v>20</v>
      </c>
      <c r="GV265">
        <v>0</v>
      </c>
      <c r="GW265">
        <v>33</v>
      </c>
      <c r="HN265">
        <v>10</v>
      </c>
      <c r="HP265">
        <v>0</v>
      </c>
      <c r="HQ265">
        <v>10</v>
      </c>
      <c r="HS265">
        <v>8</v>
      </c>
      <c r="HU265">
        <v>20</v>
      </c>
      <c r="HX265">
        <v>101</v>
      </c>
      <c r="HY265">
        <v>23</v>
      </c>
      <c r="HZ265">
        <v>22</v>
      </c>
      <c r="IA265">
        <v>5</v>
      </c>
      <c r="IB265">
        <v>416</v>
      </c>
      <c r="ID265">
        <v>38</v>
      </c>
      <c r="IE265">
        <v>13</v>
      </c>
      <c r="II265">
        <v>19</v>
      </c>
      <c r="IK265">
        <v>166</v>
      </c>
      <c r="IL265">
        <v>1172</v>
      </c>
      <c r="IM265">
        <v>115</v>
      </c>
      <c r="IN265">
        <v>5</v>
      </c>
      <c r="IX265">
        <v>364</v>
      </c>
      <c r="IZ265">
        <v>12</v>
      </c>
      <c r="JA265">
        <v>163</v>
      </c>
      <c r="JB265">
        <v>222</v>
      </c>
      <c r="JC265">
        <v>53</v>
      </c>
      <c r="JD265">
        <v>21</v>
      </c>
      <c r="JE265">
        <v>287</v>
      </c>
      <c r="JF265">
        <v>73</v>
      </c>
      <c r="JG265">
        <v>798</v>
      </c>
      <c r="JH265">
        <v>26</v>
      </c>
      <c r="JJ265">
        <v>20</v>
      </c>
      <c r="JK265">
        <v>3</v>
      </c>
      <c r="JN265">
        <v>7</v>
      </c>
      <c r="JP265">
        <v>27</v>
      </c>
      <c r="JQ265">
        <v>21</v>
      </c>
      <c r="JS265">
        <v>53</v>
      </c>
      <c r="JT265">
        <v>1</v>
      </c>
      <c r="JV265">
        <v>153</v>
      </c>
      <c r="JX265">
        <v>5</v>
      </c>
      <c r="JY265">
        <v>10</v>
      </c>
      <c r="KB265">
        <v>9</v>
      </c>
      <c r="KC265">
        <v>6</v>
      </c>
      <c r="KD265">
        <v>25</v>
      </c>
      <c r="KN265">
        <v>1</v>
      </c>
      <c r="KO265">
        <v>1</v>
      </c>
      <c r="KQ265">
        <v>4</v>
      </c>
      <c r="KR265">
        <v>12</v>
      </c>
      <c r="KS265">
        <v>6</v>
      </c>
      <c r="KV265">
        <v>1501</v>
      </c>
      <c r="KW265">
        <v>1102</v>
      </c>
      <c r="KX265">
        <v>167</v>
      </c>
      <c r="KY265">
        <v>13</v>
      </c>
      <c r="KZ265">
        <v>9</v>
      </c>
      <c r="LK265">
        <v>4</v>
      </c>
      <c r="LL265">
        <v>0</v>
      </c>
      <c r="LO265">
        <v>147</v>
      </c>
      <c r="LR265">
        <v>2</v>
      </c>
      <c r="LS265">
        <v>1</v>
      </c>
      <c r="LT265">
        <v>508</v>
      </c>
      <c r="LW265">
        <v>585</v>
      </c>
      <c r="LX265">
        <v>28</v>
      </c>
      <c r="LY265">
        <v>4</v>
      </c>
      <c r="LZ265">
        <v>160</v>
      </c>
      <c r="MA265">
        <v>20</v>
      </c>
      <c r="MB265">
        <v>1</v>
      </c>
      <c r="MC265">
        <v>4</v>
      </c>
      <c r="ME265">
        <v>10</v>
      </c>
      <c r="MF265">
        <v>6</v>
      </c>
      <c r="MG265">
        <v>9</v>
      </c>
      <c r="MH265">
        <v>77</v>
      </c>
      <c r="MI265">
        <v>1</v>
      </c>
      <c r="MJ265">
        <v>1</v>
      </c>
      <c r="MK265">
        <v>13</v>
      </c>
      <c r="MM265">
        <v>1</v>
      </c>
      <c r="MN265">
        <v>31</v>
      </c>
      <c r="MO265">
        <v>94</v>
      </c>
      <c r="MQ265">
        <v>1</v>
      </c>
      <c r="MS265">
        <v>128</v>
      </c>
      <c r="MT265">
        <v>12</v>
      </c>
      <c r="MU265">
        <v>1</v>
      </c>
      <c r="MV265">
        <v>4</v>
      </c>
      <c r="MW265">
        <v>1</v>
      </c>
      <c r="MX265">
        <v>3</v>
      </c>
      <c r="MY265">
        <v>3</v>
      </c>
      <c r="MZ265">
        <v>85</v>
      </c>
      <c r="NB265">
        <v>7</v>
      </c>
      <c r="NC265">
        <v>37</v>
      </c>
      <c r="ND265">
        <v>41</v>
      </c>
      <c r="NE265">
        <v>48</v>
      </c>
      <c r="NF265">
        <v>1</v>
      </c>
      <c r="NI265">
        <v>1</v>
      </c>
      <c r="NJ265">
        <v>0</v>
      </c>
      <c r="NM265">
        <v>42</v>
      </c>
      <c r="NN265">
        <v>14</v>
      </c>
      <c r="NO265">
        <v>204</v>
      </c>
      <c r="NP265">
        <v>154</v>
      </c>
      <c r="NQ265">
        <v>39</v>
      </c>
      <c r="NR265">
        <v>1</v>
      </c>
      <c r="NS265">
        <v>5</v>
      </c>
      <c r="NT265">
        <v>9</v>
      </c>
      <c r="NU265">
        <v>6</v>
      </c>
      <c r="NV265">
        <v>19</v>
      </c>
      <c r="NW265">
        <v>0</v>
      </c>
      <c r="NX265">
        <v>1</v>
      </c>
      <c r="NY265">
        <v>1</v>
      </c>
      <c r="NZ265">
        <v>28</v>
      </c>
      <c r="OA265">
        <v>0</v>
      </c>
      <c r="OB265">
        <v>30</v>
      </c>
      <c r="OE265">
        <v>0</v>
      </c>
      <c r="OI265">
        <v>48</v>
      </c>
      <c r="OK265">
        <v>78</v>
      </c>
      <c r="OL265">
        <v>28</v>
      </c>
      <c r="OM265">
        <v>30</v>
      </c>
      <c r="ON265">
        <v>1529</v>
      </c>
      <c r="OO265">
        <v>22465</v>
      </c>
      <c r="OU265">
        <v>308</v>
      </c>
      <c r="OV265">
        <v>1528</v>
      </c>
      <c r="PI265">
        <v>24302</v>
      </c>
      <c r="PM265" t="str">
        <f>IFERROR(VLOOKUP($A265&amp;"",Key!$A:$C,3,FALSE),"")</f>
        <v>ISIC 22</v>
      </c>
    </row>
    <row r="266" spans="1:429" x14ac:dyDescent="0.25">
      <c r="A266">
        <v>326130</v>
      </c>
      <c r="B266" t="s">
        <v>401</v>
      </c>
      <c r="AC266">
        <v>0</v>
      </c>
      <c r="AO266">
        <v>3</v>
      </c>
      <c r="AP266">
        <v>5</v>
      </c>
      <c r="AR266">
        <v>0</v>
      </c>
      <c r="BA266">
        <v>6</v>
      </c>
      <c r="BB266">
        <v>2</v>
      </c>
      <c r="BN266">
        <v>24</v>
      </c>
      <c r="BO266">
        <v>2</v>
      </c>
      <c r="BP266">
        <v>5</v>
      </c>
      <c r="BR266">
        <v>5</v>
      </c>
      <c r="BV266">
        <v>2</v>
      </c>
      <c r="BW266">
        <v>7</v>
      </c>
      <c r="BX266">
        <v>206</v>
      </c>
      <c r="BY266">
        <v>13</v>
      </c>
      <c r="CA266">
        <v>30</v>
      </c>
      <c r="CB266">
        <v>13</v>
      </c>
      <c r="CD266">
        <v>36</v>
      </c>
      <c r="CE266">
        <v>14</v>
      </c>
      <c r="CF266">
        <v>5</v>
      </c>
      <c r="CG266">
        <v>3</v>
      </c>
      <c r="CH266">
        <v>9</v>
      </c>
      <c r="CI266">
        <v>6</v>
      </c>
      <c r="CJ266">
        <v>9</v>
      </c>
      <c r="CK266">
        <v>12</v>
      </c>
      <c r="CL266">
        <v>61</v>
      </c>
      <c r="CN266">
        <v>1</v>
      </c>
      <c r="CO266">
        <v>46</v>
      </c>
      <c r="CQ266">
        <v>17</v>
      </c>
      <c r="CR266">
        <v>4</v>
      </c>
      <c r="CZ266">
        <v>7</v>
      </c>
      <c r="DA266">
        <v>13</v>
      </c>
      <c r="DB266">
        <v>37</v>
      </c>
      <c r="DC266">
        <v>48</v>
      </c>
      <c r="DD266">
        <v>13</v>
      </c>
      <c r="DG266">
        <v>1</v>
      </c>
      <c r="DP266">
        <v>3</v>
      </c>
      <c r="DQ266">
        <v>16</v>
      </c>
      <c r="DR266">
        <v>98</v>
      </c>
      <c r="DS266">
        <v>70</v>
      </c>
      <c r="DU266">
        <v>58</v>
      </c>
      <c r="DY266">
        <v>0</v>
      </c>
      <c r="EA266">
        <v>0</v>
      </c>
      <c r="EB266">
        <v>2</v>
      </c>
      <c r="ED266">
        <v>20</v>
      </c>
      <c r="EE266">
        <v>4</v>
      </c>
      <c r="EF266">
        <v>38</v>
      </c>
      <c r="EH266">
        <v>1</v>
      </c>
      <c r="EI266">
        <v>8</v>
      </c>
      <c r="EJ266">
        <v>4</v>
      </c>
      <c r="EK266">
        <v>8</v>
      </c>
      <c r="EL266">
        <v>4</v>
      </c>
      <c r="EM266">
        <v>1</v>
      </c>
      <c r="EN266">
        <v>14</v>
      </c>
      <c r="EQ266">
        <v>4</v>
      </c>
      <c r="ER266">
        <v>71</v>
      </c>
      <c r="ES266">
        <v>2</v>
      </c>
      <c r="EV266">
        <v>0</v>
      </c>
      <c r="EW266">
        <v>7</v>
      </c>
      <c r="EX266">
        <v>5</v>
      </c>
      <c r="EY266">
        <v>12</v>
      </c>
      <c r="EZ266">
        <v>6</v>
      </c>
      <c r="FA266">
        <v>39</v>
      </c>
      <c r="FB266">
        <v>8</v>
      </c>
      <c r="FC266">
        <v>32</v>
      </c>
      <c r="FD266">
        <v>5</v>
      </c>
      <c r="FE266">
        <v>6</v>
      </c>
      <c r="FG266">
        <v>8</v>
      </c>
      <c r="FK266">
        <v>47</v>
      </c>
      <c r="FL266">
        <v>12</v>
      </c>
      <c r="FN266">
        <v>0</v>
      </c>
      <c r="FO266">
        <v>44</v>
      </c>
      <c r="FP266">
        <v>353</v>
      </c>
      <c r="FQ266">
        <v>4</v>
      </c>
      <c r="FR266">
        <v>8</v>
      </c>
      <c r="FS266">
        <v>67</v>
      </c>
      <c r="FT266">
        <v>9</v>
      </c>
      <c r="FU266">
        <v>85</v>
      </c>
      <c r="FV266">
        <v>184</v>
      </c>
      <c r="FW266">
        <v>15</v>
      </c>
      <c r="FX266">
        <v>69</v>
      </c>
      <c r="FY266">
        <v>59</v>
      </c>
      <c r="FZ266">
        <v>18</v>
      </c>
      <c r="GA266">
        <v>7</v>
      </c>
      <c r="GB266">
        <v>10</v>
      </c>
      <c r="GD266">
        <v>7</v>
      </c>
      <c r="GE266">
        <v>1</v>
      </c>
      <c r="GF266">
        <v>11</v>
      </c>
      <c r="GG266">
        <v>27</v>
      </c>
      <c r="GH266">
        <v>45</v>
      </c>
      <c r="GP266">
        <v>2</v>
      </c>
      <c r="GS266">
        <v>2</v>
      </c>
      <c r="GT266">
        <v>1</v>
      </c>
      <c r="GU266">
        <v>14</v>
      </c>
      <c r="GV266">
        <v>1</v>
      </c>
      <c r="HK266">
        <v>78</v>
      </c>
      <c r="HM266">
        <v>4</v>
      </c>
      <c r="HN266">
        <v>9</v>
      </c>
      <c r="HP266">
        <v>1</v>
      </c>
      <c r="HQ266">
        <v>7</v>
      </c>
      <c r="HS266">
        <v>3</v>
      </c>
      <c r="HU266">
        <v>13</v>
      </c>
      <c r="HX266">
        <v>62</v>
      </c>
      <c r="HY266">
        <v>15</v>
      </c>
      <c r="HZ266">
        <v>16</v>
      </c>
      <c r="IA266">
        <v>4</v>
      </c>
      <c r="IB266">
        <v>1</v>
      </c>
      <c r="IC266">
        <v>3</v>
      </c>
      <c r="IM266">
        <v>10</v>
      </c>
      <c r="IZ266">
        <v>12</v>
      </c>
      <c r="JA266">
        <v>42</v>
      </c>
      <c r="JB266">
        <v>39</v>
      </c>
      <c r="JC266">
        <v>108</v>
      </c>
      <c r="JD266">
        <v>15</v>
      </c>
      <c r="JE266">
        <v>44</v>
      </c>
      <c r="JF266">
        <v>53</v>
      </c>
      <c r="JG266">
        <v>722</v>
      </c>
      <c r="JH266">
        <v>11</v>
      </c>
      <c r="JJ266">
        <v>10</v>
      </c>
      <c r="JK266">
        <v>4</v>
      </c>
      <c r="JL266">
        <v>8</v>
      </c>
      <c r="JP266">
        <v>14</v>
      </c>
      <c r="JQ266">
        <v>140</v>
      </c>
      <c r="JS266">
        <v>76</v>
      </c>
      <c r="JT266">
        <v>5</v>
      </c>
      <c r="JV266">
        <v>3</v>
      </c>
      <c r="JZ266">
        <v>9</v>
      </c>
      <c r="KW266">
        <v>43</v>
      </c>
      <c r="KX266">
        <v>65</v>
      </c>
      <c r="KY266">
        <v>7</v>
      </c>
      <c r="LO266">
        <v>74</v>
      </c>
      <c r="LT266">
        <v>108</v>
      </c>
      <c r="LW266">
        <v>183</v>
      </c>
      <c r="LZ266">
        <v>11</v>
      </c>
      <c r="MK266">
        <v>38</v>
      </c>
      <c r="MM266">
        <v>24</v>
      </c>
      <c r="MN266">
        <v>14</v>
      </c>
      <c r="MQ266">
        <v>1</v>
      </c>
      <c r="MZ266">
        <v>288</v>
      </c>
      <c r="NB266">
        <v>1</v>
      </c>
      <c r="NM266">
        <v>4</v>
      </c>
      <c r="NN266">
        <v>9</v>
      </c>
      <c r="NO266">
        <v>25</v>
      </c>
      <c r="NP266">
        <v>76</v>
      </c>
      <c r="NQ266">
        <v>14</v>
      </c>
      <c r="NT266">
        <v>174</v>
      </c>
      <c r="NU266">
        <v>119</v>
      </c>
      <c r="OL266">
        <v>3</v>
      </c>
      <c r="ON266">
        <v>9</v>
      </c>
      <c r="OO266">
        <v>5152</v>
      </c>
      <c r="OU266">
        <v>13</v>
      </c>
      <c r="OV266">
        <v>17</v>
      </c>
      <c r="PI266">
        <v>5182</v>
      </c>
      <c r="PM266" t="str">
        <f>IFERROR(VLOOKUP($A266&amp;"",Key!$A:$C,3,FALSE),"")</f>
        <v>ISIC 22</v>
      </c>
    </row>
    <row r="267" spans="1:429" x14ac:dyDescent="0.25">
      <c r="A267">
        <v>326140</v>
      </c>
      <c r="B267" t="s">
        <v>402</v>
      </c>
      <c r="AA267">
        <v>2</v>
      </c>
      <c r="AB267">
        <v>5</v>
      </c>
      <c r="AC267">
        <v>322</v>
      </c>
      <c r="AD267">
        <v>55</v>
      </c>
      <c r="AE267">
        <v>612</v>
      </c>
      <c r="AG267">
        <v>343</v>
      </c>
      <c r="AH267">
        <v>247</v>
      </c>
      <c r="AI267">
        <v>77</v>
      </c>
      <c r="AJ267">
        <v>113</v>
      </c>
      <c r="AK267">
        <v>388</v>
      </c>
      <c r="AL267">
        <v>45</v>
      </c>
      <c r="AR267">
        <v>0</v>
      </c>
      <c r="BR267">
        <v>2</v>
      </c>
      <c r="BV267">
        <v>2</v>
      </c>
      <c r="BW267">
        <v>7</v>
      </c>
      <c r="CB267">
        <v>4</v>
      </c>
      <c r="CJ267">
        <v>3</v>
      </c>
      <c r="CL267">
        <v>1</v>
      </c>
      <c r="CR267">
        <v>1</v>
      </c>
      <c r="DA267">
        <v>1</v>
      </c>
      <c r="DB267">
        <v>6</v>
      </c>
      <c r="EF267">
        <v>3</v>
      </c>
      <c r="EQ267">
        <v>13</v>
      </c>
      <c r="ER267">
        <v>154</v>
      </c>
      <c r="ES267">
        <v>2</v>
      </c>
      <c r="ET267">
        <v>1</v>
      </c>
      <c r="EU267">
        <v>1</v>
      </c>
      <c r="EX267">
        <v>2</v>
      </c>
      <c r="EY267">
        <v>3</v>
      </c>
      <c r="FC267">
        <v>7</v>
      </c>
      <c r="FD267">
        <v>3</v>
      </c>
      <c r="FX267">
        <v>5</v>
      </c>
      <c r="FY267">
        <v>9</v>
      </c>
      <c r="GH267">
        <v>3</v>
      </c>
      <c r="GM267">
        <v>4</v>
      </c>
      <c r="GO267">
        <v>1</v>
      </c>
      <c r="GP267">
        <v>13</v>
      </c>
      <c r="GR267">
        <v>7</v>
      </c>
      <c r="GS267">
        <v>2</v>
      </c>
      <c r="GT267">
        <v>9</v>
      </c>
      <c r="GU267">
        <v>44</v>
      </c>
      <c r="GV267">
        <v>5</v>
      </c>
      <c r="GY267">
        <v>0</v>
      </c>
      <c r="HB267">
        <v>1</v>
      </c>
      <c r="HD267">
        <v>1</v>
      </c>
      <c r="HG267">
        <v>1</v>
      </c>
      <c r="HR267">
        <v>0</v>
      </c>
      <c r="HS267">
        <v>3</v>
      </c>
      <c r="HW267">
        <v>8</v>
      </c>
      <c r="IG267">
        <v>23</v>
      </c>
      <c r="IL267">
        <v>1</v>
      </c>
      <c r="IO267">
        <v>73</v>
      </c>
      <c r="IP267">
        <v>168</v>
      </c>
      <c r="IQ267">
        <v>75</v>
      </c>
      <c r="IR267">
        <v>123</v>
      </c>
      <c r="IT267">
        <v>6</v>
      </c>
      <c r="IU267">
        <v>11</v>
      </c>
      <c r="IW267">
        <v>173</v>
      </c>
      <c r="IZ267">
        <v>14</v>
      </c>
      <c r="JD267">
        <v>9</v>
      </c>
      <c r="JE267">
        <v>7</v>
      </c>
      <c r="JG267">
        <v>13</v>
      </c>
      <c r="JH267">
        <v>6</v>
      </c>
      <c r="JJ267">
        <v>3</v>
      </c>
      <c r="JK267">
        <v>233</v>
      </c>
      <c r="JL267">
        <v>58</v>
      </c>
      <c r="JM267">
        <v>93</v>
      </c>
      <c r="JN267">
        <v>63</v>
      </c>
      <c r="JO267">
        <v>135</v>
      </c>
      <c r="JP267">
        <v>225</v>
      </c>
      <c r="JQ267">
        <v>667</v>
      </c>
      <c r="JR267">
        <v>69</v>
      </c>
      <c r="JS267">
        <v>535</v>
      </c>
      <c r="JT267">
        <v>47</v>
      </c>
      <c r="JV267">
        <v>42</v>
      </c>
      <c r="JW267">
        <v>126</v>
      </c>
      <c r="JX267">
        <v>57</v>
      </c>
      <c r="JY267">
        <v>25</v>
      </c>
      <c r="JZ267">
        <v>76</v>
      </c>
      <c r="KA267">
        <v>63</v>
      </c>
      <c r="KB267">
        <v>25</v>
      </c>
      <c r="KC267">
        <v>101</v>
      </c>
      <c r="KD267">
        <v>58</v>
      </c>
      <c r="KF267">
        <v>1</v>
      </c>
      <c r="KK267">
        <v>101</v>
      </c>
      <c r="KL267">
        <v>3</v>
      </c>
      <c r="KM267">
        <v>2</v>
      </c>
      <c r="KN267">
        <v>0</v>
      </c>
      <c r="KO267">
        <v>0</v>
      </c>
      <c r="KQ267">
        <v>3</v>
      </c>
      <c r="KR267">
        <v>6</v>
      </c>
      <c r="KS267">
        <v>2</v>
      </c>
      <c r="KV267">
        <v>36</v>
      </c>
      <c r="KW267">
        <v>121</v>
      </c>
      <c r="KX267">
        <v>19</v>
      </c>
      <c r="KZ267">
        <v>6</v>
      </c>
      <c r="LK267">
        <v>1</v>
      </c>
      <c r="LN267">
        <v>1</v>
      </c>
      <c r="LO267">
        <v>4</v>
      </c>
      <c r="LR267">
        <v>1</v>
      </c>
      <c r="LT267">
        <v>301</v>
      </c>
      <c r="LW267">
        <v>346</v>
      </c>
      <c r="LX267">
        <v>17</v>
      </c>
      <c r="LY267">
        <v>2</v>
      </c>
      <c r="LZ267">
        <v>107</v>
      </c>
      <c r="MA267">
        <v>15</v>
      </c>
      <c r="MB267">
        <v>10</v>
      </c>
      <c r="MC267">
        <v>1</v>
      </c>
      <c r="ME267">
        <v>3</v>
      </c>
      <c r="MF267">
        <v>8</v>
      </c>
      <c r="MH267">
        <v>105</v>
      </c>
      <c r="MK267">
        <v>6</v>
      </c>
      <c r="MN267">
        <v>253</v>
      </c>
      <c r="MO267">
        <v>12</v>
      </c>
      <c r="MQ267">
        <v>1</v>
      </c>
      <c r="MS267">
        <v>31</v>
      </c>
      <c r="MT267">
        <v>73</v>
      </c>
      <c r="MV267">
        <v>136</v>
      </c>
      <c r="MW267">
        <v>5</v>
      </c>
      <c r="MX267">
        <v>258</v>
      </c>
      <c r="MY267">
        <v>73</v>
      </c>
      <c r="MZ267">
        <v>196</v>
      </c>
      <c r="NA267">
        <v>66</v>
      </c>
      <c r="NB267">
        <v>10</v>
      </c>
      <c r="NC267">
        <v>8</v>
      </c>
      <c r="NE267">
        <v>1</v>
      </c>
      <c r="NF267">
        <v>2</v>
      </c>
      <c r="NG267">
        <v>5</v>
      </c>
      <c r="NI267">
        <v>7</v>
      </c>
      <c r="NJ267">
        <v>2</v>
      </c>
      <c r="NK267">
        <v>16</v>
      </c>
      <c r="NL267">
        <v>3</v>
      </c>
      <c r="NM267">
        <v>25</v>
      </c>
      <c r="NN267">
        <v>3</v>
      </c>
      <c r="NO267">
        <v>261</v>
      </c>
      <c r="NP267">
        <v>3143</v>
      </c>
      <c r="NQ267">
        <v>84</v>
      </c>
      <c r="NR267">
        <v>0</v>
      </c>
      <c r="NS267">
        <v>4</v>
      </c>
      <c r="NT267">
        <v>6</v>
      </c>
      <c r="NV267">
        <v>10</v>
      </c>
      <c r="NW267">
        <v>0</v>
      </c>
      <c r="NX267">
        <v>0</v>
      </c>
      <c r="OB267">
        <v>19</v>
      </c>
      <c r="OD267">
        <v>1</v>
      </c>
      <c r="OE267">
        <v>3</v>
      </c>
      <c r="OJ267">
        <v>28</v>
      </c>
      <c r="OK267">
        <v>12</v>
      </c>
      <c r="OL267">
        <v>4</v>
      </c>
      <c r="ON267">
        <v>131</v>
      </c>
      <c r="OO267">
        <v>12071</v>
      </c>
      <c r="OP267">
        <v>1721</v>
      </c>
      <c r="OQ267">
        <v>3</v>
      </c>
      <c r="OU267">
        <v>144</v>
      </c>
      <c r="OV267">
        <v>3</v>
      </c>
      <c r="PI267">
        <v>13944</v>
      </c>
      <c r="PM267" t="str">
        <f>IFERROR(VLOOKUP($A267&amp;"",Key!$A:$C,3,FALSE),"")</f>
        <v>ISIC 22</v>
      </c>
    </row>
    <row r="268" spans="1:429" x14ac:dyDescent="0.25">
      <c r="A268">
        <v>326150</v>
      </c>
      <c r="B268" t="s">
        <v>403</v>
      </c>
      <c r="Z268">
        <v>0</v>
      </c>
      <c r="AA268">
        <v>1</v>
      </c>
      <c r="AB268">
        <v>2</v>
      </c>
      <c r="AC268">
        <v>707</v>
      </c>
      <c r="AD268">
        <v>80</v>
      </c>
      <c r="AE268">
        <v>22</v>
      </c>
      <c r="AF268">
        <v>93</v>
      </c>
      <c r="AG268">
        <v>652</v>
      </c>
      <c r="AH268">
        <v>50</v>
      </c>
      <c r="AI268">
        <v>111</v>
      </c>
      <c r="AJ268">
        <v>216</v>
      </c>
      <c r="AK268">
        <v>71</v>
      </c>
      <c r="AL268">
        <v>105</v>
      </c>
      <c r="AP268">
        <v>37</v>
      </c>
      <c r="AR268">
        <v>0</v>
      </c>
      <c r="BV268">
        <v>2</v>
      </c>
      <c r="BW268">
        <v>15</v>
      </c>
      <c r="CB268">
        <v>7</v>
      </c>
      <c r="CJ268">
        <v>5</v>
      </c>
      <c r="CL268">
        <v>1</v>
      </c>
      <c r="CO268">
        <v>0</v>
      </c>
      <c r="DA268">
        <v>1</v>
      </c>
      <c r="DB268">
        <v>7</v>
      </c>
      <c r="DK268">
        <v>0</v>
      </c>
      <c r="DL268">
        <v>1</v>
      </c>
      <c r="DM268">
        <v>12</v>
      </c>
      <c r="DN268">
        <v>0</v>
      </c>
      <c r="DO268">
        <v>0</v>
      </c>
      <c r="DP268">
        <v>1</v>
      </c>
      <c r="DQ268">
        <v>1</v>
      </c>
      <c r="DS268">
        <v>7</v>
      </c>
      <c r="EA268">
        <v>0</v>
      </c>
      <c r="EF268">
        <v>4</v>
      </c>
      <c r="EQ268">
        <v>68</v>
      </c>
      <c r="ER268">
        <v>421</v>
      </c>
      <c r="ES268">
        <v>5</v>
      </c>
      <c r="ET268">
        <v>7</v>
      </c>
      <c r="EU268">
        <v>1</v>
      </c>
      <c r="EX268">
        <v>5</v>
      </c>
      <c r="EY268">
        <v>3</v>
      </c>
      <c r="EZ268">
        <v>1</v>
      </c>
      <c r="FA268">
        <v>968</v>
      </c>
      <c r="FC268">
        <v>8</v>
      </c>
      <c r="FD268">
        <v>3</v>
      </c>
      <c r="FQ268">
        <v>547</v>
      </c>
      <c r="FR268">
        <v>62</v>
      </c>
      <c r="FS268">
        <v>30</v>
      </c>
      <c r="FT268">
        <v>71</v>
      </c>
      <c r="FU268">
        <v>38</v>
      </c>
      <c r="FV268">
        <v>101</v>
      </c>
      <c r="FW268">
        <v>1572</v>
      </c>
      <c r="FX268">
        <v>7</v>
      </c>
      <c r="FY268">
        <v>39</v>
      </c>
      <c r="GA268">
        <v>8</v>
      </c>
      <c r="GH268">
        <v>6</v>
      </c>
      <c r="GP268">
        <v>25</v>
      </c>
      <c r="GR268">
        <v>4</v>
      </c>
      <c r="GT268">
        <v>14</v>
      </c>
      <c r="HO268">
        <v>55</v>
      </c>
      <c r="HR268">
        <v>0</v>
      </c>
      <c r="HS268">
        <v>7</v>
      </c>
      <c r="HW268">
        <v>16</v>
      </c>
      <c r="IP268">
        <v>7</v>
      </c>
      <c r="IQ268">
        <v>3</v>
      </c>
      <c r="JE268">
        <v>194</v>
      </c>
      <c r="JG268">
        <v>160</v>
      </c>
      <c r="JH268">
        <v>10</v>
      </c>
      <c r="JJ268">
        <v>6</v>
      </c>
      <c r="JK268">
        <v>158</v>
      </c>
      <c r="JL268">
        <v>43</v>
      </c>
      <c r="JM268">
        <v>79</v>
      </c>
      <c r="JN268">
        <v>94</v>
      </c>
      <c r="JO268">
        <v>150</v>
      </c>
      <c r="JP268">
        <v>87</v>
      </c>
      <c r="JQ268">
        <v>194</v>
      </c>
      <c r="JR268">
        <v>35</v>
      </c>
      <c r="JS268">
        <v>209</v>
      </c>
      <c r="JT268">
        <v>27</v>
      </c>
      <c r="JV268">
        <v>30</v>
      </c>
      <c r="JW268">
        <v>93</v>
      </c>
      <c r="JX268">
        <v>21</v>
      </c>
      <c r="JY268">
        <v>16</v>
      </c>
      <c r="JZ268">
        <v>29</v>
      </c>
      <c r="KA268">
        <v>6</v>
      </c>
      <c r="KB268">
        <v>19</v>
      </c>
      <c r="KC268">
        <v>54</v>
      </c>
      <c r="KD268">
        <v>52</v>
      </c>
      <c r="KK268">
        <v>32</v>
      </c>
      <c r="KL268">
        <v>9</v>
      </c>
      <c r="KM268">
        <v>4</v>
      </c>
      <c r="KO268">
        <v>1</v>
      </c>
      <c r="KQ268">
        <v>1</v>
      </c>
      <c r="KR268">
        <v>6</v>
      </c>
      <c r="KS268">
        <v>3</v>
      </c>
      <c r="KW268">
        <v>25</v>
      </c>
      <c r="KX268">
        <v>143</v>
      </c>
      <c r="KY268">
        <v>4</v>
      </c>
      <c r="KZ268">
        <v>4</v>
      </c>
      <c r="LK268">
        <v>1</v>
      </c>
      <c r="LO268">
        <v>154</v>
      </c>
      <c r="LT268">
        <v>54</v>
      </c>
      <c r="LV268">
        <v>3</v>
      </c>
      <c r="LW268">
        <v>61</v>
      </c>
      <c r="LX268">
        <v>15</v>
      </c>
      <c r="LZ268">
        <v>122</v>
      </c>
      <c r="MA268">
        <v>104</v>
      </c>
      <c r="MB268">
        <v>10</v>
      </c>
      <c r="ME268">
        <v>4</v>
      </c>
      <c r="MF268">
        <v>8</v>
      </c>
      <c r="MH268">
        <v>56</v>
      </c>
      <c r="MK268">
        <v>11</v>
      </c>
      <c r="MN268">
        <v>131</v>
      </c>
      <c r="MO268">
        <v>20</v>
      </c>
      <c r="MP268">
        <v>0</v>
      </c>
      <c r="MQ268">
        <v>10</v>
      </c>
      <c r="MS268">
        <v>2453</v>
      </c>
      <c r="MT268">
        <v>277</v>
      </c>
      <c r="MU268">
        <v>64</v>
      </c>
      <c r="MV268">
        <v>44</v>
      </c>
      <c r="MW268">
        <v>4</v>
      </c>
      <c r="MX268">
        <v>288</v>
      </c>
      <c r="MY268">
        <v>51</v>
      </c>
      <c r="MZ268">
        <v>342</v>
      </c>
      <c r="NA268">
        <v>694</v>
      </c>
      <c r="NB268">
        <v>64</v>
      </c>
      <c r="NC268">
        <v>7</v>
      </c>
      <c r="ND268">
        <v>3</v>
      </c>
      <c r="NE268">
        <v>19</v>
      </c>
      <c r="NH268">
        <v>3</v>
      </c>
      <c r="NM268">
        <v>14</v>
      </c>
      <c r="NN268">
        <v>41</v>
      </c>
      <c r="NO268">
        <v>441</v>
      </c>
      <c r="NP268">
        <v>1580</v>
      </c>
      <c r="NQ268">
        <v>356</v>
      </c>
      <c r="NS268">
        <v>5</v>
      </c>
      <c r="NT268">
        <v>5</v>
      </c>
      <c r="NU268">
        <v>267</v>
      </c>
      <c r="NV268">
        <v>9</v>
      </c>
      <c r="NX268">
        <v>0</v>
      </c>
      <c r="OB268">
        <v>47</v>
      </c>
      <c r="OD268">
        <v>1</v>
      </c>
      <c r="OE268">
        <v>4</v>
      </c>
      <c r="OK268">
        <v>6</v>
      </c>
      <c r="OL268">
        <v>97</v>
      </c>
      <c r="OO268">
        <v>16258</v>
      </c>
      <c r="OP268">
        <v>1540</v>
      </c>
      <c r="OQ268">
        <v>137</v>
      </c>
      <c r="OS268">
        <v>232</v>
      </c>
      <c r="OU268">
        <v>153</v>
      </c>
      <c r="OV268">
        <v>6</v>
      </c>
      <c r="PI268">
        <v>18325</v>
      </c>
      <c r="PM268" t="str">
        <f>IFERROR(VLOOKUP($A268&amp;"",Key!$A:$C,3,FALSE),"")</f>
        <v>ISIC 22</v>
      </c>
    </row>
    <row r="269" spans="1:429" x14ac:dyDescent="0.25">
      <c r="A269">
        <v>326160</v>
      </c>
      <c r="B269" t="s">
        <v>404</v>
      </c>
      <c r="AC269">
        <v>3</v>
      </c>
      <c r="AX269">
        <v>4</v>
      </c>
      <c r="BW269">
        <v>1</v>
      </c>
      <c r="GM269">
        <v>45</v>
      </c>
      <c r="GO269">
        <v>1</v>
      </c>
      <c r="GP269">
        <v>60</v>
      </c>
      <c r="GS269">
        <v>182</v>
      </c>
      <c r="GT269">
        <v>276</v>
      </c>
      <c r="GU269">
        <v>358</v>
      </c>
      <c r="GV269">
        <v>91</v>
      </c>
      <c r="GY269">
        <v>2</v>
      </c>
      <c r="HB269">
        <v>1331</v>
      </c>
      <c r="HC269">
        <v>1208</v>
      </c>
      <c r="HD269">
        <v>1</v>
      </c>
      <c r="HE269">
        <v>2348</v>
      </c>
      <c r="HF269">
        <v>65</v>
      </c>
      <c r="HG269">
        <v>4393</v>
      </c>
      <c r="HJ269">
        <v>69</v>
      </c>
      <c r="HW269">
        <v>52</v>
      </c>
      <c r="ID269">
        <v>8</v>
      </c>
      <c r="IG269">
        <v>155</v>
      </c>
      <c r="II269">
        <v>4</v>
      </c>
      <c r="IL269">
        <v>17</v>
      </c>
      <c r="IO269">
        <v>2</v>
      </c>
      <c r="IP269">
        <v>112</v>
      </c>
      <c r="IQ269">
        <v>14</v>
      </c>
      <c r="IR269">
        <v>40</v>
      </c>
      <c r="IT269">
        <v>159</v>
      </c>
      <c r="IU269">
        <v>196</v>
      </c>
      <c r="IV269">
        <v>272</v>
      </c>
      <c r="IW269">
        <v>683</v>
      </c>
      <c r="IX269">
        <v>1427</v>
      </c>
      <c r="IZ269">
        <v>171</v>
      </c>
      <c r="JF269">
        <v>26</v>
      </c>
      <c r="JP269">
        <v>11</v>
      </c>
      <c r="JQ269">
        <v>89</v>
      </c>
      <c r="JS269">
        <v>3</v>
      </c>
      <c r="JT269">
        <v>2</v>
      </c>
      <c r="KN269">
        <v>1</v>
      </c>
      <c r="KO269">
        <v>1</v>
      </c>
      <c r="KQ269">
        <v>5</v>
      </c>
      <c r="KR269">
        <v>18</v>
      </c>
      <c r="KS269">
        <v>9</v>
      </c>
      <c r="KZ269">
        <v>10</v>
      </c>
      <c r="LI269">
        <v>96</v>
      </c>
      <c r="LN269">
        <v>4</v>
      </c>
      <c r="LO269">
        <v>16</v>
      </c>
      <c r="LP269">
        <v>12</v>
      </c>
      <c r="LQ269">
        <v>182</v>
      </c>
      <c r="LR269">
        <v>3</v>
      </c>
      <c r="LS269">
        <v>1</v>
      </c>
      <c r="LT269">
        <v>4</v>
      </c>
      <c r="LW269">
        <v>2</v>
      </c>
      <c r="LX269">
        <v>40</v>
      </c>
      <c r="LY269">
        <v>6</v>
      </c>
      <c r="LZ269">
        <v>14</v>
      </c>
      <c r="MA269">
        <v>27</v>
      </c>
      <c r="MB269">
        <v>4</v>
      </c>
      <c r="MC269">
        <v>5</v>
      </c>
      <c r="ME269">
        <v>14</v>
      </c>
      <c r="MG269">
        <v>12</v>
      </c>
      <c r="MH269">
        <v>50</v>
      </c>
      <c r="MI269">
        <v>2</v>
      </c>
      <c r="MJ269">
        <v>1</v>
      </c>
      <c r="MK269">
        <v>19</v>
      </c>
      <c r="MM269">
        <v>2</v>
      </c>
      <c r="MN269">
        <v>43</v>
      </c>
      <c r="MO269">
        <v>27</v>
      </c>
      <c r="MS269">
        <v>25</v>
      </c>
      <c r="MT269">
        <v>14</v>
      </c>
      <c r="MU269">
        <v>1</v>
      </c>
      <c r="MV269">
        <v>66</v>
      </c>
      <c r="MW269">
        <v>1</v>
      </c>
      <c r="MX269">
        <v>5</v>
      </c>
      <c r="MY269">
        <v>0</v>
      </c>
      <c r="MZ269">
        <v>2</v>
      </c>
      <c r="ND269">
        <v>22</v>
      </c>
      <c r="NE269">
        <v>5</v>
      </c>
      <c r="NJ269">
        <v>1</v>
      </c>
      <c r="NN269">
        <v>5</v>
      </c>
      <c r="NO269">
        <v>5</v>
      </c>
      <c r="NP269">
        <v>29</v>
      </c>
      <c r="NQ269">
        <v>2</v>
      </c>
      <c r="NR269">
        <v>1</v>
      </c>
      <c r="NS269">
        <v>7</v>
      </c>
      <c r="NT269">
        <v>13</v>
      </c>
      <c r="NU269">
        <v>8</v>
      </c>
      <c r="NV269">
        <v>26</v>
      </c>
      <c r="NW269">
        <v>0</v>
      </c>
      <c r="NX269">
        <v>1</v>
      </c>
      <c r="NY269">
        <v>2</v>
      </c>
      <c r="OA269">
        <v>0</v>
      </c>
      <c r="OB269">
        <v>4</v>
      </c>
      <c r="OI269">
        <v>0</v>
      </c>
      <c r="OK269">
        <v>88</v>
      </c>
      <c r="OL269">
        <v>3</v>
      </c>
      <c r="ON269">
        <v>1</v>
      </c>
      <c r="OO269">
        <v>14847</v>
      </c>
      <c r="OU269">
        <v>49</v>
      </c>
      <c r="OV269">
        <v>651</v>
      </c>
      <c r="PI269">
        <v>15547</v>
      </c>
      <c r="PM269" t="str">
        <f>IFERROR(VLOOKUP($A269&amp;"",Key!$A:$C,3,FALSE),"")</f>
        <v>ISIC 22</v>
      </c>
    </row>
    <row r="270" spans="1:429" x14ac:dyDescent="0.25">
      <c r="A270">
        <v>326190</v>
      </c>
      <c r="B270" t="s">
        <v>405</v>
      </c>
      <c r="C270">
        <v>32</v>
      </c>
      <c r="D270">
        <v>33</v>
      </c>
      <c r="G270">
        <v>354</v>
      </c>
      <c r="H270">
        <v>31</v>
      </c>
      <c r="M270">
        <v>21</v>
      </c>
      <c r="N270">
        <v>17</v>
      </c>
      <c r="O270">
        <v>43</v>
      </c>
      <c r="P270">
        <v>57</v>
      </c>
      <c r="Q270">
        <v>65</v>
      </c>
      <c r="R270">
        <v>6</v>
      </c>
      <c r="S270">
        <v>50</v>
      </c>
      <c r="T270">
        <v>31</v>
      </c>
      <c r="U270">
        <v>88</v>
      </c>
      <c r="V270">
        <v>24</v>
      </c>
      <c r="W270">
        <v>708</v>
      </c>
      <c r="X270">
        <v>26</v>
      </c>
      <c r="Z270">
        <v>0</v>
      </c>
      <c r="AA270">
        <v>664</v>
      </c>
      <c r="AB270">
        <v>413</v>
      </c>
      <c r="AC270">
        <v>6329</v>
      </c>
      <c r="AD270">
        <v>2250</v>
      </c>
      <c r="AE270">
        <v>2081</v>
      </c>
      <c r="AF270">
        <v>778</v>
      </c>
      <c r="AG270">
        <v>4101</v>
      </c>
      <c r="AH270">
        <v>266</v>
      </c>
      <c r="AI270">
        <v>974</v>
      </c>
      <c r="AJ270">
        <v>817</v>
      </c>
      <c r="AK270">
        <v>6209</v>
      </c>
      <c r="AL270">
        <v>768</v>
      </c>
      <c r="AM270">
        <v>1</v>
      </c>
      <c r="AN270">
        <v>3</v>
      </c>
      <c r="AO270">
        <v>5</v>
      </c>
      <c r="AP270">
        <v>741</v>
      </c>
      <c r="AQ270">
        <v>6</v>
      </c>
      <c r="AR270">
        <v>7</v>
      </c>
      <c r="AS270">
        <v>0</v>
      </c>
      <c r="AT270">
        <v>33</v>
      </c>
      <c r="AU270">
        <v>40</v>
      </c>
      <c r="AV270">
        <v>340</v>
      </c>
      <c r="AX270">
        <v>11</v>
      </c>
      <c r="AY270">
        <v>5</v>
      </c>
      <c r="AZ270">
        <v>0</v>
      </c>
      <c r="BA270">
        <v>4</v>
      </c>
      <c r="BB270">
        <v>27</v>
      </c>
      <c r="BC270">
        <v>80</v>
      </c>
      <c r="BD270">
        <v>44</v>
      </c>
      <c r="BE270">
        <v>0</v>
      </c>
      <c r="BF270">
        <v>0</v>
      </c>
      <c r="BG270">
        <v>1</v>
      </c>
      <c r="BH270">
        <v>14</v>
      </c>
      <c r="BI270">
        <v>0</v>
      </c>
      <c r="BJ270">
        <v>6</v>
      </c>
      <c r="BK270">
        <v>10</v>
      </c>
      <c r="BL270">
        <v>8</v>
      </c>
      <c r="BM270">
        <v>3</v>
      </c>
      <c r="BN270">
        <v>0</v>
      </c>
      <c r="BO270">
        <v>18</v>
      </c>
      <c r="BP270">
        <v>44</v>
      </c>
      <c r="BQ270">
        <v>14</v>
      </c>
      <c r="BR270">
        <v>8</v>
      </c>
      <c r="BS270">
        <v>12</v>
      </c>
      <c r="BT270">
        <v>7</v>
      </c>
      <c r="BU270">
        <v>5</v>
      </c>
      <c r="BV270">
        <v>17</v>
      </c>
      <c r="BW270">
        <v>37</v>
      </c>
      <c r="BX270">
        <v>23</v>
      </c>
      <c r="BY270">
        <v>16</v>
      </c>
      <c r="BZ270">
        <v>32</v>
      </c>
      <c r="CA270">
        <v>201</v>
      </c>
      <c r="CB270">
        <v>50</v>
      </c>
      <c r="CC270">
        <v>5</v>
      </c>
      <c r="CD270">
        <v>0</v>
      </c>
      <c r="CE270">
        <v>135</v>
      </c>
      <c r="CF270">
        <v>17</v>
      </c>
      <c r="CG270">
        <v>408</v>
      </c>
      <c r="CH270">
        <v>95</v>
      </c>
      <c r="CI270">
        <v>220</v>
      </c>
      <c r="CJ270">
        <v>211</v>
      </c>
      <c r="CK270">
        <v>9</v>
      </c>
      <c r="CL270">
        <v>75</v>
      </c>
      <c r="CM270">
        <v>13</v>
      </c>
      <c r="CN270">
        <v>5</v>
      </c>
      <c r="CO270">
        <v>188</v>
      </c>
      <c r="CP270">
        <v>73</v>
      </c>
      <c r="CQ270">
        <v>651</v>
      </c>
      <c r="CR270">
        <v>28</v>
      </c>
      <c r="CS270">
        <v>225</v>
      </c>
      <c r="CT270">
        <v>15</v>
      </c>
      <c r="CU270">
        <v>18</v>
      </c>
      <c r="CV270">
        <v>30</v>
      </c>
      <c r="CW270">
        <v>2</v>
      </c>
      <c r="CX270">
        <v>0</v>
      </c>
      <c r="CY270">
        <v>0</v>
      </c>
      <c r="CZ270">
        <v>1399</v>
      </c>
      <c r="DA270">
        <v>278</v>
      </c>
      <c r="DB270">
        <v>1116</v>
      </c>
      <c r="DC270">
        <v>19</v>
      </c>
      <c r="DD270">
        <v>139</v>
      </c>
      <c r="DE270">
        <v>0</v>
      </c>
      <c r="DG270">
        <v>177</v>
      </c>
      <c r="DH270">
        <v>2</v>
      </c>
      <c r="DI270">
        <v>1</v>
      </c>
      <c r="DJ270">
        <v>1</v>
      </c>
      <c r="DK270">
        <v>62</v>
      </c>
      <c r="DL270">
        <v>2</v>
      </c>
      <c r="DM270">
        <v>45</v>
      </c>
      <c r="DN270">
        <v>54</v>
      </c>
      <c r="DO270">
        <v>4</v>
      </c>
      <c r="DP270">
        <v>41</v>
      </c>
      <c r="DQ270">
        <v>176</v>
      </c>
      <c r="DR270">
        <v>3</v>
      </c>
      <c r="DS270">
        <v>61</v>
      </c>
      <c r="DT270">
        <v>25</v>
      </c>
      <c r="DU270">
        <v>24</v>
      </c>
      <c r="DV270">
        <v>18</v>
      </c>
      <c r="DW270">
        <v>18</v>
      </c>
      <c r="DX270">
        <v>205</v>
      </c>
      <c r="DY270">
        <v>0</v>
      </c>
      <c r="DZ270">
        <v>270</v>
      </c>
      <c r="EA270">
        <v>24</v>
      </c>
      <c r="EB270">
        <v>112</v>
      </c>
      <c r="EC270">
        <v>1</v>
      </c>
      <c r="ED270">
        <v>97</v>
      </c>
      <c r="EE270">
        <v>116</v>
      </c>
      <c r="EF270">
        <v>460</v>
      </c>
      <c r="EG270">
        <v>19</v>
      </c>
      <c r="EH270">
        <v>9</v>
      </c>
      <c r="EI270">
        <v>1</v>
      </c>
      <c r="EJ270">
        <v>9</v>
      </c>
      <c r="EK270">
        <v>261</v>
      </c>
      <c r="EL270">
        <v>24</v>
      </c>
      <c r="EM270">
        <v>2</v>
      </c>
      <c r="EN270">
        <v>10</v>
      </c>
      <c r="EO270">
        <v>0</v>
      </c>
      <c r="EP270">
        <v>6</v>
      </c>
      <c r="EQ270">
        <v>408</v>
      </c>
      <c r="ER270">
        <v>1109</v>
      </c>
      <c r="ES270">
        <v>228</v>
      </c>
      <c r="ET270">
        <v>149</v>
      </c>
      <c r="EU270">
        <v>210</v>
      </c>
      <c r="EV270">
        <v>4</v>
      </c>
      <c r="EW270">
        <v>131</v>
      </c>
      <c r="EX270">
        <v>282</v>
      </c>
      <c r="EY270">
        <v>911</v>
      </c>
      <c r="EZ270">
        <v>810</v>
      </c>
      <c r="FA270">
        <v>381</v>
      </c>
      <c r="FB270">
        <v>1196</v>
      </c>
      <c r="FC270">
        <v>1778</v>
      </c>
      <c r="FD270">
        <v>243</v>
      </c>
      <c r="FE270">
        <v>1846</v>
      </c>
      <c r="FF270">
        <v>2</v>
      </c>
      <c r="FG270">
        <v>913</v>
      </c>
      <c r="FH270">
        <v>32</v>
      </c>
      <c r="FI270">
        <v>0</v>
      </c>
      <c r="FJ270">
        <v>3</v>
      </c>
      <c r="FK270">
        <v>146</v>
      </c>
      <c r="FL270">
        <v>0</v>
      </c>
      <c r="FN270">
        <v>4</v>
      </c>
      <c r="FO270">
        <v>1</v>
      </c>
      <c r="FP270">
        <v>237</v>
      </c>
      <c r="FQ270">
        <v>91</v>
      </c>
      <c r="FR270">
        <v>57</v>
      </c>
      <c r="FS270">
        <v>70</v>
      </c>
      <c r="FT270">
        <v>71</v>
      </c>
      <c r="FU270">
        <v>71</v>
      </c>
      <c r="FV270">
        <v>270</v>
      </c>
      <c r="FW270">
        <v>7</v>
      </c>
      <c r="FX270">
        <v>1002</v>
      </c>
      <c r="FY270">
        <v>314</v>
      </c>
      <c r="FZ270">
        <v>129</v>
      </c>
      <c r="GA270">
        <v>677</v>
      </c>
      <c r="GB270">
        <v>84</v>
      </c>
      <c r="GC270">
        <v>3</v>
      </c>
      <c r="GD270">
        <v>9</v>
      </c>
      <c r="GE270">
        <v>7</v>
      </c>
      <c r="GF270">
        <v>24</v>
      </c>
      <c r="GG270">
        <v>953</v>
      </c>
      <c r="GH270">
        <v>110</v>
      </c>
      <c r="GI270">
        <v>6</v>
      </c>
      <c r="GJ270">
        <v>34</v>
      </c>
      <c r="GK270">
        <v>3</v>
      </c>
      <c r="GL270">
        <v>16</v>
      </c>
      <c r="GM270">
        <v>32</v>
      </c>
      <c r="GN270">
        <v>33</v>
      </c>
      <c r="GO270">
        <v>18</v>
      </c>
      <c r="GP270">
        <v>122</v>
      </c>
      <c r="GQ270">
        <v>34</v>
      </c>
      <c r="GR270">
        <v>26</v>
      </c>
      <c r="GS270">
        <v>82</v>
      </c>
      <c r="GT270">
        <v>81</v>
      </c>
      <c r="GU270">
        <v>493</v>
      </c>
      <c r="GV270">
        <v>45</v>
      </c>
      <c r="GW270">
        <v>426</v>
      </c>
      <c r="GX270">
        <v>139</v>
      </c>
      <c r="GY270">
        <v>10</v>
      </c>
      <c r="GZ270">
        <v>46</v>
      </c>
      <c r="HA270">
        <v>55</v>
      </c>
      <c r="HB270">
        <v>956</v>
      </c>
      <c r="HC270">
        <v>2371</v>
      </c>
      <c r="HD270">
        <v>56</v>
      </c>
      <c r="HE270">
        <v>1079</v>
      </c>
      <c r="HF270">
        <v>787</v>
      </c>
      <c r="HG270">
        <v>675</v>
      </c>
      <c r="HH270">
        <v>13</v>
      </c>
      <c r="HI270">
        <v>1</v>
      </c>
      <c r="HJ270">
        <v>1</v>
      </c>
      <c r="HK270">
        <v>22</v>
      </c>
      <c r="HL270">
        <v>2</v>
      </c>
      <c r="HM270">
        <v>2</v>
      </c>
      <c r="HN270">
        <v>3</v>
      </c>
      <c r="HO270">
        <v>7</v>
      </c>
      <c r="HP270">
        <v>0</v>
      </c>
      <c r="HQ270">
        <v>0</v>
      </c>
      <c r="HR270">
        <v>0</v>
      </c>
      <c r="HS270">
        <v>23</v>
      </c>
      <c r="HU270">
        <v>87</v>
      </c>
      <c r="HV270">
        <v>4</v>
      </c>
      <c r="HW270">
        <v>142</v>
      </c>
      <c r="HX270">
        <v>18</v>
      </c>
      <c r="HY270">
        <v>2</v>
      </c>
      <c r="HZ270">
        <v>18</v>
      </c>
      <c r="IA270">
        <v>5</v>
      </c>
      <c r="IB270">
        <v>534</v>
      </c>
      <c r="IC270">
        <v>0</v>
      </c>
      <c r="ID270">
        <v>59</v>
      </c>
      <c r="IE270">
        <v>8</v>
      </c>
      <c r="IF270">
        <v>1</v>
      </c>
      <c r="IG270">
        <v>193</v>
      </c>
      <c r="IH270">
        <v>0</v>
      </c>
      <c r="II270">
        <v>1</v>
      </c>
      <c r="IJ270">
        <v>8</v>
      </c>
      <c r="IK270">
        <v>38</v>
      </c>
      <c r="IL270">
        <v>74</v>
      </c>
      <c r="IM270">
        <v>911</v>
      </c>
      <c r="IN270">
        <v>10</v>
      </c>
      <c r="IO270">
        <v>46</v>
      </c>
      <c r="IP270">
        <v>479</v>
      </c>
      <c r="IQ270">
        <v>78</v>
      </c>
      <c r="IR270">
        <v>163</v>
      </c>
      <c r="IS270">
        <v>0</v>
      </c>
      <c r="IT270">
        <v>52</v>
      </c>
      <c r="IU270">
        <v>1081</v>
      </c>
      <c r="IV270">
        <v>46</v>
      </c>
      <c r="IW270">
        <v>961</v>
      </c>
      <c r="IX270">
        <v>2197</v>
      </c>
      <c r="IY270">
        <v>0</v>
      </c>
      <c r="IZ270">
        <v>277</v>
      </c>
      <c r="JA270">
        <v>56</v>
      </c>
      <c r="JB270">
        <v>8</v>
      </c>
      <c r="JC270">
        <v>0</v>
      </c>
      <c r="JD270">
        <v>17</v>
      </c>
      <c r="JE270">
        <v>11</v>
      </c>
      <c r="JF270">
        <v>3</v>
      </c>
      <c r="JG270">
        <v>5470</v>
      </c>
      <c r="JH270">
        <v>79</v>
      </c>
      <c r="JI270">
        <v>4</v>
      </c>
      <c r="JJ270">
        <v>169</v>
      </c>
      <c r="JK270">
        <v>4138</v>
      </c>
      <c r="JL270">
        <v>515</v>
      </c>
      <c r="JM270">
        <v>375</v>
      </c>
      <c r="JN270">
        <v>1540</v>
      </c>
      <c r="JO270">
        <v>1301</v>
      </c>
      <c r="JP270">
        <v>712</v>
      </c>
      <c r="JQ270">
        <v>1576</v>
      </c>
      <c r="JR270">
        <v>281</v>
      </c>
      <c r="JS270">
        <v>2672</v>
      </c>
      <c r="JT270">
        <v>314</v>
      </c>
      <c r="JV270">
        <v>1636</v>
      </c>
      <c r="JW270">
        <v>1081</v>
      </c>
      <c r="JX270">
        <v>398</v>
      </c>
      <c r="JY270">
        <v>530</v>
      </c>
      <c r="JZ270">
        <v>315</v>
      </c>
      <c r="KA270">
        <v>831</v>
      </c>
      <c r="KB270">
        <v>327</v>
      </c>
      <c r="KC270">
        <v>585</v>
      </c>
      <c r="KD270">
        <v>592</v>
      </c>
      <c r="KF270">
        <v>4</v>
      </c>
      <c r="KG270">
        <v>0</v>
      </c>
      <c r="KH270">
        <v>644</v>
      </c>
      <c r="KI270">
        <v>32</v>
      </c>
      <c r="KJ270">
        <v>79</v>
      </c>
      <c r="KK270">
        <v>81</v>
      </c>
      <c r="KL270">
        <v>2934</v>
      </c>
      <c r="KM270">
        <v>299</v>
      </c>
      <c r="KN270">
        <v>8</v>
      </c>
      <c r="KO270">
        <v>102</v>
      </c>
      <c r="KP270">
        <v>11</v>
      </c>
      <c r="KQ270">
        <v>67</v>
      </c>
      <c r="KR270">
        <v>68</v>
      </c>
      <c r="KS270">
        <v>46</v>
      </c>
      <c r="KU270">
        <v>1</v>
      </c>
      <c r="KV270">
        <v>267</v>
      </c>
      <c r="KW270">
        <v>880</v>
      </c>
      <c r="KX270">
        <v>1105</v>
      </c>
      <c r="KY270">
        <v>42</v>
      </c>
      <c r="KZ270">
        <v>152</v>
      </c>
      <c r="LA270">
        <v>135</v>
      </c>
      <c r="LC270">
        <v>13</v>
      </c>
      <c r="LD270">
        <v>21</v>
      </c>
      <c r="LE270">
        <v>92</v>
      </c>
      <c r="LF270">
        <v>3</v>
      </c>
      <c r="LH270">
        <v>3</v>
      </c>
      <c r="LI270">
        <v>246</v>
      </c>
      <c r="LJ270">
        <v>0</v>
      </c>
      <c r="LK270">
        <v>7</v>
      </c>
      <c r="LL270">
        <v>5</v>
      </c>
      <c r="LM270">
        <v>39</v>
      </c>
      <c r="LN270">
        <v>293</v>
      </c>
      <c r="LO270">
        <v>172</v>
      </c>
      <c r="LP270">
        <v>42</v>
      </c>
      <c r="LQ270">
        <v>476</v>
      </c>
      <c r="LR270">
        <v>32</v>
      </c>
      <c r="LS270">
        <v>6</v>
      </c>
      <c r="LT270">
        <v>1344</v>
      </c>
      <c r="LU270">
        <v>16</v>
      </c>
      <c r="LV270">
        <v>33</v>
      </c>
      <c r="LW270">
        <v>1581</v>
      </c>
      <c r="LX270">
        <v>154</v>
      </c>
      <c r="LY270">
        <v>32</v>
      </c>
      <c r="LZ270">
        <v>1281</v>
      </c>
      <c r="MA270">
        <v>152</v>
      </c>
      <c r="MB270">
        <v>436</v>
      </c>
      <c r="MC270">
        <v>17</v>
      </c>
      <c r="MD270">
        <v>6</v>
      </c>
      <c r="ME270">
        <v>109</v>
      </c>
      <c r="MF270">
        <v>35</v>
      </c>
      <c r="MG270">
        <v>74</v>
      </c>
      <c r="MH270">
        <v>1065</v>
      </c>
      <c r="MI270">
        <v>17</v>
      </c>
      <c r="MJ270">
        <v>7</v>
      </c>
      <c r="MK270">
        <v>120</v>
      </c>
      <c r="ML270">
        <v>16</v>
      </c>
      <c r="MM270">
        <v>96</v>
      </c>
      <c r="MN270">
        <v>336</v>
      </c>
      <c r="MO270">
        <v>152</v>
      </c>
      <c r="MP270">
        <v>22</v>
      </c>
      <c r="MQ270">
        <v>304</v>
      </c>
      <c r="MR270">
        <v>41</v>
      </c>
      <c r="MS270">
        <v>3147</v>
      </c>
      <c r="MT270">
        <v>390</v>
      </c>
      <c r="MU270">
        <v>102</v>
      </c>
      <c r="MV270">
        <v>366</v>
      </c>
      <c r="MW270">
        <v>112</v>
      </c>
      <c r="MX270">
        <v>1010</v>
      </c>
      <c r="MY270">
        <v>1012</v>
      </c>
      <c r="MZ270">
        <v>2570</v>
      </c>
      <c r="NA270">
        <v>828</v>
      </c>
      <c r="NB270">
        <v>159</v>
      </c>
      <c r="NC270">
        <v>335</v>
      </c>
      <c r="ND270">
        <v>362</v>
      </c>
      <c r="NE270">
        <v>247</v>
      </c>
      <c r="NF270">
        <v>1</v>
      </c>
      <c r="NG270">
        <v>9</v>
      </c>
      <c r="NH270">
        <v>1</v>
      </c>
      <c r="NI270">
        <v>7</v>
      </c>
      <c r="NJ270">
        <v>7</v>
      </c>
      <c r="NK270">
        <v>9</v>
      </c>
      <c r="NL270">
        <v>44</v>
      </c>
      <c r="NM270">
        <v>121</v>
      </c>
      <c r="NN270">
        <v>93</v>
      </c>
      <c r="NO270">
        <v>667</v>
      </c>
      <c r="NP270">
        <v>1399</v>
      </c>
      <c r="NQ270">
        <v>158</v>
      </c>
      <c r="NR270">
        <v>2718</v>
      </c>
      <c r="NS270">
        <v>93</v>
      </c>
      <c r="NT270">
        <v>157</v>
      </c>
      <c r="NU270">
        <v>106</v>
      </c>
      <c r="NV270">
        <v>114</v>
      </c>
      <c r="NW270">
        <v>0</v>
      </c>
      <c r="NX270">
        <v>19</v>
      </c>
      <c r="NY270">
        <v>227</v>
      </c>
      <c r="NZ270">
        <v>79</v>
      </c>
      <c r="OA270">
        <v>33</v>
      </c>
      <c r="OB270">
        <v>151</v>
      </c>
      <c r="OD270">
        <v>2</v>
      </c>
      <c r="OE270">
        <v>149</v>
      </c>
      <c r="OF270">
        <v>0</v>
      </c>
      <c r="OG270">
        <v>1</v>
      </c>
      <c r="OH270">
        <v>30</v>
      </c>
      <c r="OI270">
        <v>1232</v>
      </c>
      <c r="OJ270">
        <v>2773</v>
      </c>
      <c r="OK270">
        <v>294</v>
      </c>
      <c r="OL270">
        <v>271</v>
      </c>
      <c r="OM270">
        <v>42</v>
      </c>
      <c r="ON270">
        <v>1091</v>
      </c>
      <c r="OO270">
        <v>131125</v>
      </c>
      <c r="OP270">
        <v>20451</v>
      </c>
      <c r="OU270">
        <v>1028</v>
      </c>
      <c r="OV270">
        <v>12900</v>
      </c>
      <c r="PI270">
        <v>165504</v>
      </c>
      <c r="PM270" t="str">
        <f>IFERROR(VLOOKUP($A270&amp;"",Key!$A:$C,3,FALSE),"")</f>
        <v>ISIC 22</v>
      </c>
    </row>
    <row r="271" spans="1:429" x14ac:dyDescent="0.25">
      <c r="A271">
        <v>326210</v>
      </c>
      <c r="B271" t="s">
        <v>406</v>
      </c>
      <c r="C271">
        <v>108</v>
      </c>
      <c r="D271">
        <v>380</v>
      </c>
      <c r="E271">
        <v>56</v>
      </c>
      <c r="F271">
        <v>58</v>
      </c>
      <c r="G271">
        <v>64</v>
      </c>
      <c r="H271">
        <v>153</v>
      </c>
      <c r="I271">
        <v>350</v>
      </c>
      <c r="K271">
        <v>12</v>
      </c>
      <c r="L271">
        <v>69</v>
      </c>
      <c r="M271">
        <v>0</v>
      </c>
      <c r="N271">
        <v>1</v>
      </c>
      <c r="O271">
        <v>3</v>
      </c>
      <c r="P271">
        <v>8</v>
      </c>
      <c r="Q271">
        <v>249</v>
      </c>
      <c r="R271">
        <v>68</v>
      </c>
      <c r="S271">
        <v>496</v>
      </c>
      <c r="T271">
        <v>87</v>
      </c>
      <c r="U271">
        <v>29</v>
      </c>
      <c r="V271">
        <v>4</v>
      </c>
      <c r="W271">
        <v>7</v>
      </c>
      <c r="AA271">
        <v>75</v>
      </c>
      <c r="AB271">
        <v>2746</v>
      </c>
      <c r="AC271">
        <v>120</v>
      </c>
      <c r="AD271">
        <v>1587</v>
      </c>
      <c r="AE271">
        <v>368</v>
      </c>
      <c r="AF271">
        <v>5</v>
      </c>
      <c r="AG271">
        <v>434</v>
      </c>
      <c r="AH271">
        <v>4</v>
      </c>
      <c r="AI271">
        <v>24</v>
      </c>
      <c r="AJ271">
        <v>11</v>
      </c>
      <c r="AK271">
        <v>239</v>
      </c>
      <c r="AL271">
        <v>48</v>
      </c>
      <c r="AM271">
        <v>5</v>
      </c>
      <c r="AO271">
        <v>71</v>
      </c>
      <c r="AP271">
        <v>39</v>
      </c>
      <c r="AS271">
        <v>0</v>
      </c>
      <c r="AT271">
        <v>2</v>
      </c>
      <c r="AU271">
        <v>0</v>
      </c>
      <c r="AV271">
        <v>1</v>
      </c>
      <c r="BB271">
        <v>0</v>
      </c>
      <c r="BC271">
        <v>1</v>
      </c>
      <c r="BK271">
        <v>0</v>
      </c>
      <c r="BX271">
        <v>0</v>
      </c>
      <c r="CG271">
        <v>554</v>
      </c>
      <c r="CH271">
        <v>315</v>
      </c>
      <c r="CI271">
        <v>391</v>
      </c>
      <c r="CJ271">
        <v>20</v>
      </c>
      <c r="CQ271">
        <v>0</v>
      </c>
      <c r="DC271">
        <v>68</v>
      </c>
      <c r="EQ271">
        <v>406</v>
      </c>
      <c r="ER271">
        <v>3664</v>
      </c>
      <c r="ES271">
        <v>283</v>
      </c>
      <c r="ET271">
        <v>50</v>
      </c>
      <c r="EU271">
        <v>691</v>
      </c>
      <c r="EV271">
        <v>0</v>
      </c>
      <c r="EW271">
        <v>132</v>
      </c>
      <c r="EX271">
        <v>0</v>
      </c>
      <c r="EZ271">
        <v>1</v>
      </c>
      <c r="FC271">
        <v>1</v>
      </c>
      <c r="FD271">
        <v>0</v>
      </c>
      <c r="FE271">
        <v>0</v>
      </c>
      <c r="FK271">
        <v>1</v>
      </c>
      <c r="FM271">
        <v>81</v>
      </c>
      <c r="FO271">
        <v>807</v>
      </c>
      <c r="FP271">
        <v>1</v>
      </c>
      <c r="FU271">
        <v>0</v>
      </c>
      <c r="FV271">
        <v>0</v>
      </c>
      <c r="GJ271">
        <v>0</v>
      </c>
      <c r="GN271">
        <v>0</v>
      </c>
      <c r="GR271">
        <v>2</v>
      </c>
      <c r="GS271">
        <v>1</v>
      </c>
      <c r="GT271">
        <v>2</v>
      </c>
      <c r="GU271">
        <v>0</v>
      </c>
      <c r="GW271">
        <v>0</v>
      </c>
      <c r="GZ271">
        <v>18</v>
      </c>
      <c r="HA271">
        <v>12</v>
      </c>
      <c r="HD271">
        <v>10</v>
      </c>
      <c r="HE271">
        <v>1</v>
      </c>
      <c r="HG271">
        <v>28</v>
      </c>
      <c r="HH271">
        <v>3</v>
      </c>
      <c r="HJ271">
        <v>4</v>
      </c>
      <c r="HO271">
        <v>0</v>
      </c>
      <c r="HU271">
        <v>1</v>
      </c>
      <c r="HV271">
        <v>1</v>
      </c>
      <c r="HW271">
        <v>1</v>
      </c>
      <c r="IB271">
        <v>1</v>
      </c>
      <c r="IK271">
        <v>0</v>
      </c>
      <c r="IL271">
        <v>0</v>
      </c>
      <c r="IU271">
        <v>0</v>
      </c>
      <c r="JH271">
        <v>254</v>
      </c>
      <c r="JK271">
        <v>2</v>
      </c>
      <c r="JL271">
        <v>1</v>
      </c>
      <c r="JM271">
        <v>1</v>
      </c>
      <c r="JN271">
        <v>13</v>
      </c>
      <c r="JO271">
        <v>38</v>
      </c>
      <c r="JQ271">
        <v>137</v>
      </c>
      <c r="JR271">
        <v>5</v>
      </c>
      <c r="JS271">
        <v>39</v>
      </c>
      <c r="JT271">
        <v>3</v>
      </c>
      <c r="JV271">
        <v>89</v>
      </c>
      <c r="JW271">
        <v>62</v>
      </c>
      <c r="JX271">
        <v>17</v>
      </c>
      <c r="JY271">
        <v>34</v>
      </c>
      <c r="JZ271">
        <v>3</v>
      </c>
      <c r="KA271">
        <v>63</v>
      </c>
      <c r="KB271">
        <v>5</v>
      </c>
      <c r="KC271">
        <v>173</v>
      </c>
      <c r="KD271">
        <v>22</v>
      </c>
      <c r="KE271">
        <v>477</v>
      </c>
      <c r="KF271">
        <v>0</v>
      </c>
      <c r="KH271">
        <v>573</v>
      </c>
      <c r="KI271">
        <v>1</v>
      </c>
      <c r="KK271">
        <v>2</v>
      </c>
      <c r="KL271">
        <v>1</v>
      </c>
      <c r="KM271">
        <v>11</v>
      </c>
      <c r="KN271">
        <v>2</v>
      </c>
      <c r="KQ271">
        <v>10</v>
      </c>
      <c r="KR271">
        <v>1</v>
      </c>
      <c r="KS271">
        <v>5</v>
      </c>
      <c r="KW271">
        <v>17</v>
      </c>
      <c r="KX271">
        <v>102</v>
      </c>
      <c r="KZ271">
        <v>1</v>
      </c>
      <c r="LA271">
        <v>9</v>
      </c>
      <c r="LB271">
        <v>0</v>
      </c>
      <c r="LC271">
        <v>29</v>
      </c>
      <c r="LD271">
        <v>38</v>
      </c>
      <c r="LE271">
        <v>19</v>
      </c>
      <c r="LF271">
        <v>3</v>
      </c>
      <c r="LN271">
        <v>262</v>
      </c>
      <c r="LO271">
        <v>23</v>
      </c>
      <c r="LT271">
        <v>2</v>
      </c>
      <c r="LU271">
        <v>0</v>
      </c>
      <c r="LW271">
        <v>124</v>
      </c>
      <c r="LX271">
        <v>1</v>
      </c>
      <c r="LZ271">
        <v>39</v>
      </c>
      <c r="MA271">
        <v>15</v>
      </c>
      <c r="MB271">
        <v>2</v>
      </c>
      <c r="MD271">
        <v>4</v>
      </c>
      <c r="ME271">
        <v>2</v>
      </c>
      <c r="MF271">
        <v>11</v>
      </c>
      <c r="MG271">
        <v>11</v>
      </c>
      <c r="MH271">
        <v>162</v>
      </c>
      <c r="MI271">
        <v>8</v>
      </c>
      <c r="MJ271">
        <v>2</v>
      </c>
      <c r="MK271">
        <v>30</v>
      </c>
      <c r="ML271">
        <v>0</v>
      </c>
      <c r="MM271">
        <v>45</v>
      </c>
      <c r="MN271">
        <v>30</v>
      </c>
      <c r="MO271">
        <v>119</v>
      </c>
      <c r="MP271">
        <v>5</v>
      </c>
      <c r="MQ271">
        <v>0</v>
      </c>
      <c r="MR271">
        <v>329</v>
      </c>
      <c r="MS271">
        <v>2</v>
      </c>
      <c r="MU271">
        <v>1</v>
      </c>
      <c r="MW271">
        <v>0</v>
      </c>
      <c r="MX271">
        <v>33</v>
      </c>
      <c r="MZ271">
        <v>15</v>
      </c>
      <c r="NA271">
        <v>19</v>
      </c>
      <c r="NC271">
        <v>275</v>
      </c>
      <c r="ND271">
        <v>0</v>
      </c>
      <c r="NE271">
        <v>94</v>
      </c>
      <c r="NK271">
        <v>0</v>
      </c>
      <c r="NL271">
        <v>1</v>
      </c>
      <c r="NM271">
        <v>1</v>
      </c>
      <c r="NN271">
        <v>9</v>
      </c>
      <c r="NO271">
        <v>55</v>
      </c>
      <c r="NP271">
        <v>65</v>
      </c>
      <c r="NQ271">
        <v>13</v>
      </c>
      <c r="NR271">
        <v>33</v>
      </c>
      <c r="NS271">
        <v>0</v>
      </c>
      <c r="NT271">
        <v>349</v>
      </c>
      <c r="NU271">
        <v>4</v>
      </c>
      <c r="NV271">
        <v>1</v>
      </c>
      <c r="NY271">
        <v>12</v>
      </c>
      <c r="NZ271">
        <v>38</v>
      </c>
      <c r="OA271">
        <v>87</v>
      </c>
      <c r="OB271">
        <v>22</v>
      </c>
      <c r="OD271">
        <v>969</v>
      </c>
      <c r="OE271">
        <v>250</v>
      </c>
      <c r="OI271">
        <v>125</v>
      </c>
      <c r="OJ271">
        <v>41</v>
      </c>
      <c r="OK271">
        <v>343</v>
      </c>
      <c r="OL271">
        <v>303</v>
      </c>
      <c r="OM271">
        <v>30</v>
      </c>
      <c r="ON271">
        <v>3</v>
      </c>
      <c r="OO271">
        <v>22219</v>
      </c>
      <c r="OP271">
        <v>37019</v>
      </c>
      <c r="OU271">
        <v>96</v>
      </c>
      <c r="OV271">
        <v>4179</v>
      </c>
      <c r="PI271">
        <v>63512</v>
      </c>
      <c r="PM271" t="str">
        <f>IFERROR(VLOOKUP($A271&amp;"",Key!$A:$C,3,FALSE),"")</f>
        <v>ISIC 22</v>
      </c>
    </row>
    <row r="272" spans="1:429" x14ac:dyDescent="0.25">
      <c r="A272">
        <v>326220</v>
      </c>
      <c r="B272" t="s">
        <v>407</v>
      </c>
      <c r="C272">
        <v>9</v>
      </c>
      <c r="D272">
        <v>37</v>
      </c>
      <c r="E272">
        <v>5</v>
      </c>
      <c r="F272">
        <v>4</v>
      </c>
      <c r="G272">
        <v>3</v>
      </c>
      <c r="H272">
        <v>5</v>
      </c>
      <c r="I272">
        <v>34</v>
      </c>
      <c r="K272">
        <v>0</v>
      </c>
      <c r="L272">
        <v>6</v>
      </c>
      <c r="Q272">
        <v>351</v>
      </c>
      <c r="T272">
        <v>84</v>
      </c>
      <c r="U272">
        <v>20</v>
      </c>
      <c r="X272">
        <v>15</v>
      </c>
      <c r="AC272">
        <v>3</v>
      </c>
      <c r="AX272">
        <v>61</v>
      </c>
      <c r="BK272">
        <v>9</v>
      </c>
      <c r="BV272">
        <v>4</v>
      </c>
      <c r="BW272">
        <v>9</v>
      </c>
      <c r="BX272">
        <v>51</v>
      </c>
      <c r="CB272">
        <v>252</v>
      </c>
      <c r="CF272">
        <v>27</v>
      </c>
      <c r="CG272">
        <v>419</v>
      </c>
      <c r="CH272">
        <v>198</v>
      </c>
      <c r="CI272">
        <v>345</v>
      </c>
      <c r="CJ272">
        <v>46</v>
      </c>
      <c r="CO272">
        <v>1</v>
      </c>
      <c r="CQ272">
        <v>55</v>
      </c>
      <c r="CR272">
        <v>11</v>
      </c>
      <c r="CW272">
        <v>360</v>
      </c>
      <c r="CZ272">
        <v>125</v>
      </c>
      <c r="DA272">
        <v>2</v>
      </c>
      <c r="DB272">
        <v>11</v>
      </c>
      <c r="DC272">
        <v>906</v>
      </c>
      <c r="DG272">
        <v>14</v>
      </c>
      <c r="DR272">
        <v>4</v>
      </c>
      <c r="DS272">
        <v>2</v>
      </c>
      <c r="EE272">
        <v>22</v>
      </c>
      <c r="EF272">
        <v>173</v>
      </c>
      <c r="EQ272">
        <v>152</v>
      </c>
      <c r="ER272">
        <v>974</v>
      </c>
      <c r="ES272">
        <v>83</v>
      </c>
      <c r="ET272">
        <v>328</v>
      </c>
      <c r="EX272">
        <v>39</v>
      </c>
      <c r="EY272">
        <v>56</v>
      </c>
      <c r="EZ272">
        <v>5</v>
      </c>
      <c r="FB272">
        <v>55</v>
      </c>
      <c r="FC272">
        <v>892</v>
      </c>
      <c r="FD272">
        <v>34</v>
      </c>
      <c r="FJ272">
        <v>36</v>
      </c>
      <c r="GP272">
        <v>15</v>
      </c>
      <c r="GT272">
        <v>9</v>
      </c>
      <c r="HS272">
        <v>18</v>
      </c>
      <c r="HU272">
        <v>129</v>
      </c>
      <c r="IB272">
        <v>286</v>
      </c>
      <c r="II272">
        <v>7</v>
      </c>
      <c r="IM272">
        <v>9</v>
      </c>
      <c r="IU272">
        <v>126</v>
      </c>
      <c r="IX272">
        <v>170</v>
      </c>
      <c r="JE272">
        <v>147</v>
      </c>
      <c r="JH272">
        <v>10</v>
      </c>
      <c r="JI272">
        <v>8</v>
      </c>
      <c r="JJ272">
        <v>10</v>
      </c>
      <c r="JV272">
        <v>15</v>
      </c>
      <c r="KI272">
        <v>63</v>
      </c>
      <c r="KO272">
        <v>20</v>
      </c>
      <c r="KW272">
        <v>1</v>
      </c>
      <c r="KX272">
        <v>6</v>
      </c>
      <c r="LA272">
        <v>36</v>
      </c>
      <c r="LK272">
        <v>0</v>
      </c>
      <c r="LM272">
        <v>771</v>
      </c>
      <c r="MA272">
        <v>2</v>
      </c>
      <c r="MM272">
        <v>2</v>
      </c>
      <c r="MT272">
        <v>8</v>
      </c>
      <c r="MZ272">
        <v>31</v>
      </c>
      <c r="NR272">
        <v>84</v>
      </c>
      <c r="NT272">
        <v>128</v>
      </c>
      <c r="NU272">
        <v>8</v>
      </c>
      <c r="OD272">
        <v>48</v>
      </c>
      <c r="OI272">
        <v>326</v>
      </c>
      <c r="OJ272">
        <v>88</v>
      </c>
      <c r="OK272">
        <v>136</v>
      </c>
      <c r="OO272">
        <v>9052</v>
      </c>
      <c r="OP272">
        <v>1389</v>
      </c>
      <c r="OU272">
        <v>98</v>
      </c>
      <c r="OV272">
        <v>2423</v>
      </c>
      <c r="PI272">
        <v>12963</v>
      </c>
      <c r="PM272" t="str">
        <f>IFERROR(VLOOKUP($A272&amp;"",Key!$A:$C,3,FALSE),"")</f>
        <v>ISIC 22</v>
      </c>
    </row>
    <row r="273" spans="1:429" x14ac:dyDescent="0.25">
      <c r="A273">
        <v>326290</v>
      </c>
      <c r="B273" t="s">
        <v>408</v>
      </c>
      <c r="N273">
        <v>10</v>
      </c>
      <c r="Q273">
        <v>69</v>
      </c>
      <c r="T273">
        <v>82</v>
      </c>
      <c r="U273">
        <v>16</v>
      </c>
      <c r="AA273">
        <v>0</v>
      </c>
      <c r="AB273">
        <v>0</v>
      </c>
      <c r="AC273">
        <v>361</v>
      </c>
      <c r="AD273">
        <v>10</v>
      </c>
      <c r="AE273">
        <v>205</v>
      </c>
      <c r="AG273">
        <v>84</v>
      </c>
      <c r="AK273">
        <v>197</v>
      </c>
      <c r="AL273">
        <v>998</v>
      </c>
      <c r="AP273">
        <v>6</v>
      </c>
      <c r="AQ273">
        <v>4</v>
      </c>
      <c r="AR273">
        <v>4</v>
      </c>
      <c r="AS273">
        <v>2</v>
      </c>
      <c r="AU273">
        <v>9</v>
      </c>
      <c r="AV273">
        <v>71</v>
      </c>
      <c r="AW273">
        <v>2</v>
      </c>
      <c r="AX273">
        <v>6</v>
      </c>
      <c r="BA273">
        <v>10</v>
      </c>
      <c r="BB273">
        <v>6</v>
      </c>
      <c r="BL273">
        <v>63</v>
      </c>
      <c r="BV273">
        <v>14</v>
      </c>
      <c r="BW273">
        <v>26</v>
      </c>
      <c r="BX273">
        <v>19</v>
      </c>
      <c r="CB273">
        <v>77</v>
      </c>
      <c r="CF273">
        <v>9</v>
      </c>
      <c r="CG273">
        <v>660</v>
      </c>
      <c r="CH273">
        <v>7</v>
      </c>
      <c r="CI273">
        <v>622</v>
      </c>
      <c r="CJ273">
        <v>8</v>
      </c>
      <c r="CL273">
        <v>35</v>
      </c>
      <c r="CM273">
        <v>2</v>
      </c>
      <c r="CO273">
        <v>50</v>
      </c>
      <c r="CP273">
        <v>2</v>
      </c>
      <c r="CR273">
        <v>2</v>
      </c>
      <c r="CS273">
        <v>2</v>
      </c>
      <c r="CT273">
        <v>6</v>
      </c>
      <c r="CU273">
        <v>5</v>
      </c>
      <c r="CV273">
        <v>4</v>
      </c>
      <c r="CW273">
        <v>31</v>
      </c>
      <c r="CX273">
        <v>1</v>
      </c>
      <c r="CY273">
        <v>3</v>
      </c>
      <c r="CZ273">
        <v>74</v>
      </c>
      <c r="DA273">
        <v>10</v>
      </c>
      <c r="DB273">
        <v>65</v>
      </c>
      <c r="DC273">
        <v>30</v>
      </c>
      <c r="DD273">
        <v>1</v>
      </c>
      <c r="DE273">
        <v>1</v>
      </c>
      <c r="DG273">
        <v>18</v>
      </c>
      <c r="DH273">
        <v>16</v>
      </c>
      <c r="EF273">
        <v>54</v>
      </c>
      <c r="EQ273">
        <v>227</v>
      </c>
      <c r="ER273">
        <v>524</v>
      </c>
      <c r="ES273">
        <v>215</v>
      </c>
      <c r="ET273">
        <v>200</v>
      </c>
      <c r="EU273">
        <v>91</v>
      </c>
      <c r="EV273">
        <v>14</v>
      </c>
      <c r="EW273">
        <v>544</v>
      </c>
      <c r="EX273">
        <v>129</v>
      </c>
      <c r="EY273">
        <v>0</v>
      </c>
      <c r="EZ273">
        <v>220</v>
      </c>
      <c r="FA273">
        <v>264</v>
      </c>
      <c r="FC273">
        <v>1307</v>
      </c>
      <c r="FD273">
        <v>189</v>
      </c>
      <c r="FF273">
        <v>14</v>
      </c>
      <c r="FI273">
        <v>31</v>
      </c>
      <c r="FJ273">
        <v>37</v>
      </c>
      <c r="FK273">
        <v>75</v>
      </c>
      <c r="FL273">
        <v>72</v>
      </c>
      <c r="FO273">
        <v>147</v>
      </c>
      <c r="FQ273">
        <v>26</v>
      </c>
      <c r="FR273">
        <v>1</v>
      </c>
      <c r="FV273">
        <v>176</v>
      </c>
      <c r="FW273">
        <v>199</v>
      </c>
      <c r="FX273">
        <v>40</v>
      </c>
      <c r="FY273">
        <v>240</v>
      </c>
      <c r="GF273">
        <v>5</v>
      </c>
      <c r="GH273">
        <v>26</v>
      </c>
      <c r="GP273">
        <v>43</v>
      </c>
      <c r="GT273">
        <v>25</v>
      </c>
      <c r="GW273">
        <v>4</v>
      </c>
      <c r="HM273">
        <v>52</v>
      </c>
      <c r="HO273">
        <v>43</v>
      </c>
      <c r="HS273">
        <v>31</v>
      </c>
      <c r="IB273">
        <v>193</v>
      </c>
      <c r="IE273">
        <v>3</v>
      </c>
      <c r="IM273">
        <v>43</v>
      </c>
      <c r="IX273">
        <v>148</v>
      </c>
      <c r="JE273">
        <v>20</v>
      </c>
      <c r="JH273">
        <v>664</v>
      </c>
      <c r="JI273">
        <v>316</v>
      </c>
      <c r="JJ273">
        <v>1921</v>
      </c>
      <c r="JL273">
        <v>0</v>
      </c>
      <c r="JM273">
        <v>0</v>
      </c>
      <c r="JN273">
        <v>0</v>
      </c>
      <c r="JO273">
        <v>0</v>
      </c>
      <c r="JV273">
        <v>6</v>
      </c>
      <c r="KE273">
        <v>10</v>
      </c>
      <c r="KI273">
        <v>0</v>
      </c>
      <c r="KO273">
        <v>15</v>
      </c>
      <c r="KW273">
        <v>101</v>
      </c>
      <c r="KX273">
        <v>208</v>
      </c>
      <c r="KY273">
        <v>10</v>
      </c>
      <c r="KZ273">
        <v>1</v>
      </c>
      <c r="LA273">
        <v>29</v>
      </c>
      <c r="LO273">
        <v>6</v>
      </c>
      <c r="LP273">
        <v>0</v>
      </c>
      <c r="LT273">
        <v>176</v>
      </c>
      <c r="LW273">
        <v>412</v>
      </c>
      <c r="LZ273">
        <v>836</v>
      </c>
      <c r="MB273">
        <v>8</v>
      </c>
      <c r="MF273">
        <v>30</v>
      </c>
      <c r="MH273">
        <v>12</v>
      </c>
      <c r="MM273">
        <v>2</v>
      </c>
      <c r="MO273">
        <v>19</v>
      </c>
      <c r="MQ273">
        <v>3</v>
      </c>
      <c r="MT273">
        <v>28</v>
      </c>
      <c r="MU273">
        <v>8</v>
      </c>
      <c r="MV273">
        <v>6</v>
      </c>
      <c r="MW273">
        <v>86</v>
      </c>
      <c r="MX273">
        <v>124</v>
      </c>
      <c r="MY273">
        <v>121</v>
      </c>
      <c r="MZ273">
        <v>442</v>
      </c>
      <c r="NA273">
        <v>121</v>
      </c>
      <c r="NB273">
        <v>14</v>
      </c>
      <c r="NH273">
        <v>1</v>
      </c>
      <c r="NN273">
        <v>15</v>
      </c>
      <c r="NP273">
        <v>31</v>
      </c>
      <c r="NQ273">
        <v>7</v>
      </c>
      <c r="NR273">
        <v>752</v>
      </c>
      <c r="NS273">
        <v>2</v>
      </c>
      <c r="NT273">
        <v>11</v>
      </c>
      <c r="NU273">
        <v>49</v>
      </c>
      <c r="NV273">
        <v>25</v>
      </c>
      <c r="NY273">
        <v>300</v>
      </c>
      <c r="NZ273">
        <v>27</v>
      </c>
      <c r="OB273">
        <v>2</v>
      </c>
      <c r="OD273">
        <v>1099</v>
      </c>
      <c r="OE273">
        <v>404</v>
      </c>
      <c r="OI273">
        <v>9</v>
      </c>
      <c r="OJ273">
        <v>1464</v>
      </c>
      <c r="OK273">
        <v>1484</v>
      </c>
      <c r="OL273">
        <v>48</v>
      </c>
      <c r="OM273">
        <v>2</v>
      </c>
      <c r="ON273">
        <v>142</v>
      </c>
      <c r="OO273">
        <v>21295</v>
      </c>
      <c r="OP273">
        <v>3585</v>
      </c>
      <c r="OQ273">
        <v>423</v>
      </c>
      <c r="OS273">
        <v>59</v>
      </c>
      <c r="OU273">
        <v>231</v>
      </c>
      <c r="OV273">
        <v>2510</v>
      </c>
      <c r="PB273">
        <v>60</v>
      </c>
      <c r="PI273">
        <v>28164</v>
      </c>
      <c r="PM273" t="str">
        <f>IFERROR(VLOOKUP($A273&amp;"",Key!$A:$C,3,FALSE),"")</f>
        <v>ISIC 22</v>
      </c>
    </row>
    <row r="274" spans="1:429" x14ac:dyDescent="0.25">
      <c r="A274">
        <v>423100</v>
      </c>
      <c r="B274" t="s">
        <v>409</v>
      </c>
      <c r="AR274">
        <v>35</v>
      </c>
      <c r="BV274">
        <v>6</v>
      </c>
      <c r="CI274">
        <v>8</v>
      </c>
      <c r="CQ274">
        <v>24</v>
      </c>
      <c r="CZ274">
        <v>38</v>
      </c>
      <c r="DB274">
        <v>39</v>
      </c>
      <c r="EK274">
        <v>25</v>
      </c>
      <c r="EQ274">
        <v>351</v>
      </c>
      <c r="ER274">
        <v>994</v>
      </c>
      <c r="ES274">
        <v>205</v>
      </c>
      <c r="ET274">
        <v>29</v>
      </c>
      <c r="EU274">
        <v>6</v>
      </c>
      <c r="EW274">
        <v>10</v>
      </c>
      <c r="EX274">
        <v>371</v>
      </c>
      <c r="EY274">
        <v>169</v>
      </c>
      <c r="EZ274">
        <v>53</v>
      </c>
      <c r="FA274">
        <v>33</v>
      </c>
      <c r="FB274">
        <v>113</v>
      </c>
      <c r="FC274">
        <v>109</v>
      </c>
      <c r="FD274">
        <v>162</v>
      </c>
      <c r="FM274">
        <v>21</v>
      </c>
      <c r="GH274">
        <v>2</v>
      </c>
      <c r="IZ274">
        <v>8</v>
      </c>
      <c r="JD274">
        <v>9</v>
      </c>
      <c r="JE274">
        <v>9</v>
      </c>
      <c r="JG274">
        <v>127</v>
      </c>
      <c r="JH274">
        <v>1285</v>
      </c>
      <c r="JI274">
        <v>9</v>
      </c>
      <c r="JJ274">
        <v>22</v>
      </c>
      <c r="JK274">
        <v>30</v>
      </c>
      <c r="JL274">
        <v>536</v>
      </c>
      <c r="JM274">
        <v>108</v>
      </c>
      <c r="JN274">
        <v>50</v>
      </c>
      <c r="JO274">
        <v>94</v>
      </c>
      <c r="JP274">
        <v>9</v>
      </c>
      <c r="JQ274">
        <v>39</v>
      </c>
      <c r="JS274">
        <v>132</v>
      </c>
      <c r="JV274">
        <v>46</v>
      </c>
      <c r="KC274">
        <v>109</v>
      </c>
      <c r="KD274">
        <v>1</v>
      </c>
      <c r="LN274">
        <v>57</v>
      </c>
      <c r="OO274">
        <v>5480</v>
      </c>
      <c r="PI274">
        <v>5480</v>
      </c>
      <c r="PM274" t="str">
        <f>IFERROR(VLOOKUP($A274&amp;"",Key!$A:$C,3,FALSE),"")</f>
        <v>ISIC 45T47</v>
      </c>
    </row>
    <row r="275" spans="1:429" x14ac:dyDescent="0.25">
      <c r="A275">
        <v>423400</v>
      </c>
      <c r="B275" t="s">
        <v>410</v>
      </c>
      <c r="AR275">
        <v>7</v>
      </c>
      <c r="CM275">
        <v>1</v>
      </c>
      <c r="CN275">
        <v>8</v>
      </c>
      <c r="CO275">
        <v>50</v>
      </c>
      <c r="DJ275">
        <v>0</v>
      </c>
      <c r="DK275">
        <v>0</v>
      </c>
      <c r="DL275">
        <v>0</v>
      </c>
      <c r="DM275">
        <v>0</v>
      </c>
      <c r="DO275">
        <v>0</v>
      </c>
      <c r="DP275">
        <v>0</v>
      </c>
      <c r="DQ275">
        <v>0</v>
      </c>
      <c r="DR275">
        <v>827</v>
      </c>
      <c r="DS275">
        <v>0</v>
      </c>
      <c r="DV275">
        <v>1</v>
      </c>
      <c r="DX275">
        <v>9</v>
      </c>
      <c r="DY275">
        <v>203</v>
      </c>
      <c r="DZ275">
        <v>10</v>
      </c>
      <c r="EA275">
        <v>10</v>
      </c>
      <c r="ED275">
        <v>0</v>
      </c>
      <c r="EJ275">
        <v>0</v>
      </c>
      <c r="EP275">
        <v>0</v>
      </c>
      <c r="FS275">
        <v>1</v>
      </c>
      <c r="FV275">
        <v>13</v>
      </c>
      <c r="FX275">
        <v>576</v>
      </c>
      <c r="FY275">
        <v>516</v>
      </c>
      <c r="FZ275">
        <v>81</v>
      </c>
      <c r="GA275">
        <v>1</v>
      </c>
      <c r="GB275">
        <v>72</v>
      </c>
      <c r="HR275">
        <v>8</v>
      </c>
      <c r="HU275">
        <v>131</v>
      </c>
      <c r="HW275">
        <v>2</v>
      </c>
      <c r="HY275">
        <v>2</v>
      </c>
      <c r="HZ275">
        <v>0</v>
      </c>
      <c r="IB275">
        <v>24</v>
      </c>
      <c r="IK275">
        <v>2</v>
      </c>
      <c r="IL275">
        <v>12</v>
      </c>
      <c r="IP275">
        <v>28</v>
      </c>
      <c r="IQ275">
        <v>14</v>
      </c>
      <c r="IR275">
        <v>3</v>
      </c>
      <c r="IW275">
        <v>4</v>
      </c>
      <c r="IX275">
        <v>7</v>
      </c>
      <c r="IZ275">
        <v>31</v>
      </c>
      <c r="JA275">
        <v>0</v>
      </c>
      <c r="JD275">
        <v>10</v>
      </c>
      <c r="JE275">
        <v>50</v>
      </c>
      <c r="JF275">
        <v>43</v>
      </c>
      <c r="JG275">
        <v>463</v>
      </c>
      <c r="JJ275">
        <v>17</v>
      </c>
      <c r="JK275">
        <v>340</v>
      </c>
      <c r="JL275">
        <v>738</v>
      </c>
      <c r="JM275">
        <v>675</v>
      </c>
      <c r="JN275">
        <v>330</v>
      </c>
      <c r="JO275">
        <v>699</v>
      </c>
      <c r="JP275">
        <v>102</v>
      </c>
      <c r="JQ275">
        <v>207</v>
      </c>
      <c r="JR275">
        <v>118</v>
      </c>
      <c r="JS275">
        <v>1185</v>
      </c>
      <c r="JV275">
        <v>318</v>
      </c>
      <c r="JW275">
        <v>87</v>
      </c>
      <c r="JY275">
        <v>66</v>
      </c>
      <c r="JZ275">
        <v>14</v>
      </c>
      <c r="KA275">
        <v>19</v>
      </c>
      <c r="KB275">
        <v>28</v>
      </c>
      <c r="KC275">
        <v>569</v>
      </c>
      <c r="KD275">
        <v>74</v>
      </c>
      <c r="KN275">
        <v>0</v>
      </c>
      <c r="KO275">
        <v>1</v>
      </c>
      <c r="KP275">
        <v>28</v>
      </c>
      <c r="KQ275">
        <v>7</v>
      </c>
      <c r="KR275">
        <v>324</v>
      </c>
      <c r="KW275">
        <v>1</v>
      </c>
      <c r="KX275">
        <v>2</v>
      </c>
      <c r="LA275">
        <v>0</v>
      </c>
      <c r="LC275">
        <v>5</v>
      </c>
      <c r="LD275">
        <v>10</v>
      </c>
      <c r="LE275">
        <v>24</v>
      </c>
      <c r="LF275">
        <v>1</v>
      </c>
      <c r="LG275">
        <v>2</v>
      </c>
      <c r="LH275">
        <v>63</v>
      </c>
      <c r="LI275">
        <v>0</v>
      </c>
      <c r="LJ275">
        <v>6</v>
      </c>
      <c r="LN275">
        <v>2</v>
      </c>
      <c r="LT275">
        <v>265</v>
      </c>
      <c r="MG275">
        <v>6</v>
      </c>
      <c r="MI275">
        <v>1</v>
      </c>
      <c r="MJ275">
        <v>1</v>
      </c>
      <c r="ML275">
        <v>1</v>
      </c>
      <c r="MN275">
        <v>0</v>
      </c>
      <c r="NS275">
        <v>0</v>
      </c>
      <c r="OH275">
        <v>5</v>
      </c>
      <c r="OO275">
        <v>9565</v>
      </c>
      <c r="PI275">
        <v>9565</v>
      </c>
      <c r="PM275" t="str">
        <f>IFERROR(VLOOKUP($A275&amp;"",Key!$A:$C,3,FALSE),"")</f>
        <v>ISIC 45T47</v>
      </c>
    </row>
    <row r="276" spans="1:429" x14ac:dyDescent="0.25">
      <c r="A276">
        <v>423600</v>
      </c>
      <c r="B276" t="s">
        <v>411</v>
      </c>
      <c r="AK276">
        <v>2</v>
      </c>
      <c r="AQ276">
        <v>5</v>
      </c>
      <c r="BC276">
        <v>2</v>
      </c>
      <c r="BP276">
        <v>2</v>
      </c>
      <c r="BR276">
        <v>1</v>
      </c>
      <c r="BY276">
        <v>1</v>
      </c>
      <c r="CB276">
        <v>0</v>
      </c>
      <c r="CI276">
        <v>1</v>
      </c>
      <c r="CO276">
        <v>1</v>
      </c>
      <c r="CP276">
        <v>0</v>
      </c>
      <c r="CQ276">
        <v>3</v>
      </c>
      <c r="DB276">
        <v>1</v>
      </c>
      <c r="DC276">
        <v>0</v>
      </c>
      <c r="DK276">
        <v>0</v>
      </c>
      <c r="DL276">
        <v>0</v>
      </c>
      <c r="DM276">
        <v>1</v>
      </c>
      <c r="DN276">
        <v>0</v>
      </c>
      <c r="DO276">
        <v>7</v>
      </c>
      <c r="DP276">
        <v>7</v>
      </c>
      <c r="DQ276">
        <v>21</v>
      </c>
      <c r="DS276">
        <v>6</v>
      </c>
      <c r="EA276">
        <v>34</v>
      </c>
      <c r="EC276">
        <v>74</v>
      </c>
      <c r="ED276">
        <v>256</v>
      </c>
      <c r="EE276">
        <v>19</v>
      </c>
      <c r="EF276">
        <v>19</v>
      </c>
      <c r="EG276">
        <v>49</v>
      </c>
      <c r="EH276">
        <v>80</v>
      </c>
      <c r="EI276">
        <v>222</v>
      </c>
      <c r="EJ276">
        <v>249</v>
      </c>
      <c r="EL276">
        <v>1</v>
      </c>
      <c r="EM276">
        <v>102</v>
      </c>
      <c r="EN276">
        <v>182</v>
      </c>
      <c r="EO276">
        <v>20</v>
      </c>
      <c r="EP276">
        <v>168</v>
      </c>
      <c r="EX276">
        <v>1</v>
      </c>
      <c r="HU276">
        <v>1</v>
      </c>
      <c r="JK276">
        <v>360</v>
      </c>
      <c r="JL276">
        <v>777</v>
      </c>
      <c r="JM276">
        <v>690</v>
      </c>
      <c r="JN276">
        <v>335</v>
      </c>
      <c r="JO276">
        <v>726</v>
      </c>
      <c r="JP276">
        <v>107</v>
      </c>
      <c r="JQ276">
        <v>213</v>
      </c>
      <c r="JR276">
        <v>132</v>
      </c>
      <c r="JS276">
        <v>1247</v>
      </c>
      <c r="JV276">
        <v>327</v>
      </c>
      <c r="JW276">
        <v>93</v>
      </c>
      <c r="JY276">
        <v>96</v>
      </c>
      <c r="JZ276">
        <v>38</v>
      </c>
      <c r="KA276">
        <v>21</v>
      </c>
      <c r="KB276">
        <v>41</v>
      </c>
      <c r="KC276">
        <v>598</v>
      </c>
      <c r="KD276">
        <v>96</v>
      </c>
      <c r="KN276">
        <v>0</v>
      </c>
      <c r="KO276">
        <v>1</v>
      </c>
      <c r="KQ276">
        <v>0</v>
      </c>
      <c r="KR276">
        <v>33</v>
      </c>
      <c r="LA276">
        <v>7</v>
      </c>
      <c r="LD276">
        <v>1</v>
      </c>
      <c r="LT276">
        <v>76</v>
      </c>
      <c r="NS276">
        <v>0</v>
      </c>
      <c r="OO276">
        <v>7554</v>
      </c>
      <c r="PI276">
        <v>7554</v>
      </c>
      <c r="PM276" t="str">
        <f>IFERROR(VLOOKUP($A276&amp;"",Key!$A:$C,3,FALSE),"")</f>
        <v>ISIC 45T47</v>
      </c>
    </row>
    <row r="277" spans="1:429" x14ac:dyDescent="0.25">
      <c r="A277">
        <v>423800</v>
      </c>
      <c r="B277" t="s">
        <v>412</v>
      </c>
      <c r="C277">
        <v>1</v>
      </c>
      <c r="D277">
        <v>7</v>
      </c>
      <c r="F277">
        <v>1</v>
      </c>
      <c r="G277">
        <v>1</v>
      </c>
      <c r="O277">
        <v>1</v>
      </c>
      <c r="X277">
        <v>25</v>
      </c>
      <c r="AB277">
        <v>0</v>
      </c>
      <c r="AP277">
        <v>2</v>
      </c>
      <c r="AR277">
        <v>0</v>
      </c>
      <c r="AX277">
        <v>20</v>
      </c>
      <c r="BC277">
        <v>22</v>
      </c>
      <c r="BD277">
        <v>3</v>
      </c>
      <c r="BO277">
        <v>3</v>
      </c>
      <c r="BP277">
        <v>3</v>
      </c>
      <c r="BQ277">
        <v>2</v>
      </c>
      <c r="BS277">
        <v>8</v>
      </c>
      <c r="BU277">
        <v>1</v>
      </c>
      <c r="BV277">
        <v>6</v>
      </c>
      <c r="BY277">
        <v>2</v>
      </c>
      <c r="CB277">
        <v>111</v>
      </c>
      <c r="CC277">
        <v>13</v>
      </c>
      <c r="CF277">
        <v>12</v>
      </c>
      <c r="CG277">
        <v>13</v>
      </c>
      <c r="CH277">
        <v>5</v>
      </c>
      <c r="CI277">
        <v>79</v>
      </c>
      <c r="CJ277">
        <v>77</v>
      </c>
      <c r="CK277">
        <v>18</v>
      </c>
      <c r="CL277">
        <v>300</v>
      </c>
      <c r="CO277">
        <v>1</v>
      </c>
      <c r="CR277">
        <v>18</v>
      </c>
      <c r="CS277">
        <v>29</v>
      </c>
      <c r="CT277">
        <v>33</v>
      </c>
      <c r="CU277">
        <v>34</v>
      </c>
      <c r="CV277">
        <v>34</v>
      </c>
      <c r="CW277">
        <v>21</v>
      </c>
      <c r="CX277">
        <v>3</v>
      </c>
      <c r="CY277">
        <v>19</v>
      </c>
      <c r="CZ277">
        <v>79</v>
      </c>
      <c r="DA277">
        <v>49</v>
      </c>
      <c r="DB277">
        <v>135</v>
      </c>
      <c r="DC277">
        <v>233</v>
      </c>
      <c r="DE277">
        <v>24</v>
      </c>
      <c r="DF277">
        <v>8</v>
      </c>
      <c r="DG277">
        <v>86</v>
      </c>
      <c r="DH277">
        <v>84</v>
      </c>
      <c r="DM277">
        <v>0</v>
      </c>
      <c r="DO277">
        <v>0</v>
      </c>
      <c r="DS277">
        <v>0</v>
      </c>
      <c r="DU277">
        <v>2</v>
      </c>
      <c r="DV277">
        <v>4</v>
      </c>
      <c r="DW277">
        <v>2</v>
      </c>
      <c r="DZ277">
        <v>9</v>
      </c>
      <c r="EC277">
        <v>0</v>
      </c>
      <c r="ED277">
        <v>4</v>
      </c>
      <c r="EG277">
        <v>0</v>
      </c>
      <c r="EH277">
        <v>2</v>
      </c>
      <c r="EI277">
        <v>3</v>
      </c>
      <c r="EJ277">
        <v>12</v>
      </c>
      <c r="EM277">
        <v>2</v>
      </c>
      <c r="EN277">
        <v>2</v>
      </c>
      <c r="EO277">
        <v>0</v>
      </c>
      <c r="EP277">
        <v>3</v>
      </c>
      <c r="EQ277">
        <v>4</v>
      </c>
      <c r="ER277">
        <v>7</v>
      </c>
      <c r="ES277">
        <v>10</v>
      </c>
      <c r="ET277">
        <v>2</v>
      </c>
      <c r="EW277">
        <v>2</v>
      </c>
      <c r="EY277">
        <v>1</v>
      </c>
      <c r="FA277">
        <v>9</v>
      </c>
      <c r="FE277">
        <v>4</v>
      </c>
      <c r="FF277">
        <v>8</v>
      </c>
      <c r="FG277">
        <v>2</v>
      </c>
      <c r="FJ277">
        <v>5</v>
      </c>
      <c r="FK277">
        <v>0</v>
      </c>
      <c r="FM277">
        <v>0</v>
      </c>
      <c r="GJ277">
        <v>3</v>
      </c>
      <c r="GS277">
        <v>2</v>
      </c>
      <c r="GU277">
        <v>4</v>
      </c>
      <c r="GW277">
        <v>3</v>
      </c>
      <c r="GX277">
        <v>3</v>
      </c>
      <c r="GZ277">
        <v>9</v>
      </c>
      <c r="HG277">
        <v>1</v>
      </c>
      <c r="HQ277">
        <v>8</v>
      </c>
      <c r="HU277">
        <v>1</v>
      </c>
      <c r="HV277">
        <v>2</v>
      </c>
      <c r="HW277">
        <v>12</v>
      </c>
      <c r="HX277">
        <v>3</v>
      </c>
      <c r="HZ277">
        <v>1</v>
      </c>
      <c r="ID277">
        <v>14</v>
      </c>
      <c r="II277">
        <v>2</v>
      </c>
      <c r="IK277">
        <v>2</v>
      </c>
      <c r="IL277">
        <v>18</v>
      </c>
      <c r="IM277">
        <v>14</v>
      </c>
      <c r="IN277">
        <v>6</v>
      </c>
      <c r="IU277">
        <v>2</v>
      </c>
      <c r="IW277">
        <v>12</v>
      </c>
      <c r="IY277">
        <v>4</v>
      </c>
      <c r="IZ277">
        <v>2</v>
      </c>
      <c r="JA277">
        <v>2</v>
      </c>
      <c r="JB277">
        <v>3</v>
      </c>
      <c r="JE277">
        <v>2</v>
      </c>
      <c r="JF277">
        <v>1</v>
      </c>
      <c r="JG277">
        <v>28</v>
      </c>
      <c r="JI277">
        <v>3</v>
      </c>
      <c r="JJ277">
        <v>15</v>
      </c>
      <c r="JK277">
        <v>61</v>
      </c>
      <c r="JL277">
        <v>120</v>
      </c>
      <c r="JM277">
        <v>55</v>
      </c>
      <c r="JN277">
        <v>42</v>
      </c>
      <c r="JO277">
        <v>84</v>
      </c>
      <c r="JP277">
        <v>4</v>
      </c>
      <c r="JQ277">
        <v>17</v>
      </c>
      <c r="JR277">
        <v>12</v>
      </c>
      <c r="JS277">
        <v>98</v>
      </c>
      <c r="JV277">
        <v>45</v>
      </c>
      <c r="JW277">
        <v>10</v>
      </c>
      <c r="JX277">
        <v>4</v>
      </c>
      <c r="KA277">
        <v>1</v>
      </c>
      <c r="KB277">
        <v>6</v>
      </c>
      <c r="KC277">
        <v>114</v>
      </c>
      <c r="KD277">
        <v>4</v>
      </c>
      <c r="KE277">
        <v>93</v>
      </c>
      <c r="KH277">
        <v>88</v>
      </c>
      <c r="LO277">
        <v>128</v>
      </c>
      <c r="MH277">
        <v>7</v>
      </c>
      <c r="NO277">
        <v>5</v>
      </c>
      <c r="NP277">
        <v>34</v>
      </c>
      <c r="OO277">
        <v>2939</v>
      </c>
      <c r="PI277">
        <v>2939</v>
      </c>
      <c r="PM277" t="str">
        <f>IFERROR(VLOOKUP($A277&amp;"",Key!$A:$C,3,FALSE),"")</f>
        <v>ISIC 45T47</v>
      </c>
    </row>
    <row r="278" spans="1:429" x14ac:dyDescent="0.25">
      <c r="A278" t="s">
        <v>597</v>
      </c>
      <c r="B278" t="s">
        <v>413</v>
      </c>
      <c r="M278">
        <v>1</v>
      </c>
      <c r="Q278">
        <v>20</v>
      </c>
      <c r="R278">
        <v>1</v>
      </c>
      <c r="S278">
        <v>1</v>
      </c>
      <c r="T278">
        <v>13</v>
      </c>
      <c r="U278">
        <v>7</v>
      </c>
      <c r="X278">
        <v>46</v>
      </c>
      <c r="AB278">
        <v>0</v>
      </c>
      <c r="AE278">
        <v>7</v>
      </c>
      <c r="AG278">
        <v>62</v>
      </c>
      <c r="AK278">
        <v>6</v>
      </c>
      <c r="AM278">
        <v>145</v>
      </c>
      <c r="AN278">
        <v>23</v>
      </c>
      <c r="AO278">
        <v>21</v>
      </c>
      <c r="AP278">
        <v>7</v>
      </c>
      <c r="AQ278">
        <v>19</v>
      </c>
      <c r="AR278">
        <v>45</v>
      </c>
      <c r="AS278">
        <v>47</v>
      </c>
      <c r="AT278">
        <v>3</v>
      </c>
      <c r="AU278">
        <v>7</v>
      </c>
      <c r="AV278">
        <v>58</v>
      </c>
      <c r="AW278">
        <v>6</v>
      </c>
      <c r="AY278">
        <v>26</v>
      </c>
      <c r="AZ278">
        <v>0</v>
      </c>
      <c r="BA278">
        <v>7</v>
      </c>
      <c r="BB278">
        <v>11</v>
      </c>
      <c r="BC278">
        <v>429</v>
      </c>
      <c r="BD278">
        <v>15</v>
      </c>
      <c r="BF278">
        <v>3</v>
      </c>
      <c r="BG278">
        <v>39</v>
      </c>
      <c r="BH278">
        <v>13</v>
      </c>
      <c r="BI278">
        <v>5</v>
      </c>
      <c r="BJ278">
        <v>9</v>
      </c>
      <c r="BK278">
        <v>7</v>
      </c>
      <c r="BL278">
        <v>3</v>
      </c>
      <c r="BM278">
        <v>1</v>
      </c>
      <c r="BN278">
        <v>1</v>
      </c>
      <c r="BP278">
        <v>60</v>
      </c>
      <c r="BQ278">
        <v>54</v>
      </c>
      <c r="BR278">
        <v>303</v>
      </c>
      <c r="BT278">
        <v>2</v>
      </c>
      <c r="BV278">
        <v>1</v>
      </c>
      <c r="BW278">
        <v>2</v>
      </c>
      <c r="BY278">
        <v>92</v>
      </c>
      <c r="CA278">
        <v>5</v>
      </c>
      <c r="CB278">
        <v>11</v>
      </c>
      <c r="CD278">
        <v>8</v>
      </c>
      <c r="CE278">
        <v>36</v>
      </c>
      <c r="CF278">
        <v>22</v>
      </c>
      <c r="CI278">
        <v>5</v>
      </c>
      <c r="CP278">
        <v>26</v>
      </c>
      <c r="CQ278">
        <v>179</v>
      </c>
      <c r="CR278">
        <v>10</v>
      </c>
      <c r="CZ278">
        <v>2</v>
      </c>
      <c r="DA278">
        <v>7</v>
      </c>
      <c r="DC278">
        <v>8</v>
      </c>
      <c r="DO278">
        <v>0</v>
      </c>
      <c r="EA278">
        <v>1</v>
      </c>
      <c r="EC278">
        <v>5</v>
      </c>
      <c r="ED278">
        <v>11</v>
      </c>
      <c r="EG278">
        <v>3</v>
      </c>
      <c r="EH278">
        <v>8</v>
      </c>
      <c r="EI278">
        <v>1</v>
      </c>
      <c r="EM278">
        <v>1</v>
      </c>
      <c r="EN278">
        <v>5</v>
      </c>
      <c r="EP278">
        <v>1</v>
      </c>
      <c r="ES278">
        <v>9</v>
      </c>
      <c r="FL278">
        <v>8</v>
      </c>
      <c r="FM278">
        <v>10</v>
      </c>
      <c r="FP278">
        <v>7</v>
      </c>
      <c r="FQ278">
        <v>37</v>
      </c>
      <c r="FR278">
        <v>11</v>
      </c>
      <c r="FT278">
        <v>11</v>
      </c>
      <c r="FU278">
        <v>0</v>
      </c>
      <c r="FV278">
        <v>213</v>
      </c>
      <c r="FW278">
        <v>15</v>
      </c>
      <c r="GC278">
        <v>87</v>
      </c>
      <c r="GD278">
        <v>70</v>
      </c>
      <c r="GE278">
        <v>0</v>
      </c>
      <c r="GH278">
        <v>63</v>
      </c>
      <c r="GP278">
        <v>0</v>
      </c>
      <c r="HM278">
        <v>5</v>
      </c>
      <c r="HN278">
        <v>1</v>
      </c>
      <c r="HO278">
        <v>11</v>
      </c>
      <c r="HP278">
        <v>33</v>
      </c>
      <c r="HQ278">
        <v>1</v>
      </c>
      <c r="HU278">
        <v>74</v>
      </c>
      <c r="HX278">
        <v>13</v>
      </c>
      <c r="IA278">
        <v>5</v>
      </c>
      <c r="IF278">
        <v>39</v>
      </c>
      <c r="IL278">
        <v>1</v>
      </c>
      <c r="IM278">
        <v>17</v>
      </c>
      <c r="IP278">
        <v>2</v>
      </c>
      <c r="IU278">
        <v>26</v>
      </c>
      <c r="IX278">
        <v>3</v>
      </c>
      <c r="JB278">
        <v>34</v>
      </c>
      <c r="JD278">
        <v>19</v>
      </c>
      <c r="JE278">
        <v>39</v>
      </c>
      <c r="JG278">
        <v>161</v>
      </c>
      <c r="JJ278">
        <v>6</v>
      </c>
      <c r="JK278">
        <v>55</v>
      </c>
      <c r="JL278">
        <v>158</v>
      </c>
      <c r="JM278">
        <v>225</v>
      </c>
      <c r="JN278">
        <v>126</v>
      </c>
      <c r="JO278">
        <v>176</v>
      </c>
      <c r="JP278">
        <v>19</v>
      </c>
      <c r="JQ278">
        <v>46</v>
      </c>
      <c r="JR278">
        <v>2</v>
      </c>
      <c r="JS278">
        <v>262</v>
      </c>
      <c r="JV278">
        <v>83</v>
      </c>
      <c r="JW278">
        <v>10</v>
      </c>
      <c r="JY278">
        <v>5</v>
      </c>
      <c r="KA278">
        <v>2</v>
      </c>
      <c r="KB278">
        <v>5</v>
      </c>
      <c r="KC278">
        <v>241</v>
      </c>
      <c r="KD278">
        <v>5</v>
      </c>
      <c r="KR278">
        <v>0</v>
      </c>
      <c r="OK278">
        <v>2</v>
      </c>
      <c r="OO278">
        <v>4439</v>
      </c>
      <c r="PI278">
        <v>4439</v>
      </c>
      <c r="PM278" t="str">
        <f>IFERROR(VLOOKUP($A278&amp;"",Key!$A:$C,3,FALSE),"")</f>
        <v>ISIC 45T47</v>
      </c>
    </row>
    <row r="279" spans="1:429" x14ac:dyDescent="0.25">
      <c r="A279">
        <v>424200</v>
      </c>
      <c r="B279" t="s">
        <v>414</v>
      </c>
      <c r="X279">
        <v>12</v>
      </c>
      <c r="CO279">
        <v>4</v>
      </c>
      <c r="DR279">
        <v>2</v>
      </c>
      <c r="DY279">
        <v>1</v>
      </c>
      <c r="EB279">
        <v>0</v>
      </c>
      <c r="EL279">
        <v>0</v>
      </c>
      <c r="FX279">
        <v>1</v>
      </c>
      <c r="FY279">
        <v>18</v>
      </c>
      <c r="GH279">
        <v>2</v>
      </c>
      <c r="GP279">
        <v>5</v>
      </c>
      <c r="GQ279">
        <v>4</v>
      </c>
      <c r="HB279">
        <v>13</v>
      </c>
      <c r="HK279">
        <v>20</v>
      </c>
      <c r="HR279">
        <v>1</v>
      </c>
      <c r="HU279">
        <v>6</v>
      </c>
      <c r="HW279">
        <v>1</v>
      </c>
      <c r="IM279">
        <v>1</v>
      </c>
      <c r="IO279">
        <v>81</v>
      </c>
      <c r="IP279">
        <v>631</v>
      </c>
      <c r="IR279">
        <v>477</v>
      </c>
      <c r="IW279">
        <v>82</v>
      </c>
      <c r="IX279">
        <v>389</v>
      </c>
      <c r="IZ279">
        <v>1</v>
      </c>
      <c r="JD279">
        <v>6</v>
      </c>
      <c r="JE279">
        <v>3</v>
      </c>
      <c r="JF279">
        <v>2</v>
      </c>
      <c r="JG279">
        <v>31</v>
      </c>
      <c r="JJ279">
        <v>1</v>
      </c>
      <c r="JK279">
        <v>1242</v>
      </c>
      <c r="JL279">
        <v>2521</v>
      </c>
      <c r="JM279">
        <v>1910</v>
      </c>
      <c r="JN279">
        <v>840</v>
      </c>
      <c r="JO279">
        <v>1827</v>
      </c>
      <c r="JP279">
        <v>365</v>
      </c>
      <c r="JQ279">
        <v>650</v>
      </c>
      <c r="JR279">
        <v>541</v>
      </c>
      <c r="JS279">
        <v>3393</v>
      </c>
      <c r="JV279">
        <v>818</v>
      </c>
      <c r="JW279">
        <v>219</v>
      </c>
      <c r="JY279">
        <v>249</v>
      </c>
      <c r="JZ279">
        <v>87</v>
      </c>
      <c r="KA279">
        <v>52</v>
      </c>
      <c r="KB279">
        <v>104</v>
      </c>
      <c r="KC279">
        <v>1289</v>
      </c>
      <c r="KD279">
        <v>273</v>
      </c>
      <c r="KN279">
        <v>0</v>
      </c>
      <c r="KO279">
        <v>4</v>
      </c>
      <c r="KQ279">
        <v>1</v>
      </c>
      <c r="KU279">
        <v>0</v>
      </c>
      <c r="LA279">
        <v>32</v>
      </c>
      <c r="NP279">
        <v>0</v>
      </c>
      <c r="NR279">
        <v>5</v>
      </c>
      <c r="NS279">
        <v>1</v>
      </c>
      <c r="NT279">
        <v>0</v>
      </c>
      <c r="OO279">
        <v>18218</v>
      </c>
      <c r="PI279">
        <v>18218</v>
      </c>
      <c r="PM279" t="str">
        <f>IFERROR(VLOOKUP($A279&amp;"",Key!$A:$C,3,FALSE),"")</f>
        <v>ISIC 45T47</v>
      </c>
    </row>
    <row r="280" spans="1:429" x14ac:dyDescent="0.25">
      <c r="A280">
        <v>424400</v>
      </c>
      <c r="B280" t="s">
        <v>415</v>
      </c>
      <c r="D280">
        <v>2</v>
      </c>
      <c r="E280">
        <v>29</v>
      </c>
      <c r="F280">
        <v>51</v>
      </c>
      <c r="I280">
        <v>297</v>
      </c>
      <c r="K280">
        <v>21</v>
      </c>
      <c r="N280">
        <v>0</v>
      </c>
      <c r="O280">
        <v>1</v>
      </c>
      <c r="AP280">
        <v>0</v>
      </c>
      <c r="AR280">
        <v>3</v>
      </c>
      <c r="BV280">
        <v>1</v>
      </c>
      <c r="CF280">
        <v>1</v>
      </c>
      <c r="CO280">
        <v>3</v>
      </c>
      <c r="GH280">
        <v>4</v>
      </c>
      <c r="GI280">
        <v>42</v>
      </c>
      <c r="GK280">
        <v>4</v>
      </c>
      <c r="GL280">
        <v>0</v>
      </c>
      <c r="GM280">
        <v>1</v>
      </c>
      <c r="GP280">
        <v>201</v>
      </c>
      <c r="GQ280">
        <v>340</v>
      </c>
      <c r="GR280">
        <v>5</v>
      </c>
      <c r="GS280">
        <v>379</v>
      </c>
      <c r="GT280">
        <v>205</v>
      </c>
      <c r="GU280">
        <v>87</v>
      </c>
      <c r="GV280">
        <v>63</v>
      </c>
      <c r="GW280">
        <v>49</v>
      </c>
      <c r="GX280">
        <v>87</v>
      </c>
      <c r="GY280">
        <v>29</v>
      </c>
      <c r="GZ280">
        <v>94</v>
      </c>
      <c r="HA280">
        <v>20</v>
      </c>
      <c r="HB280">
        <v>852</v>
      </c>
      <c r="HC280">
        <v>8</v>
      </c>
      <c r="HD280">
        <v>6</v>
      </c>
      <c r="HE280">
        <v>11</v>
      </c>
      <c r="HF280">
        <v>8</v>
      </c>
      <c r="HG280">
        <v>92</v>
      </c>
      <c r="HK280">
        <v>104</v>
      </c>
      <c r="HS280">
        <v>0</v>
      </c>
      <c r="HU280">
        <v>44</v>
      </c>
      <c r="HV280">
        <v>43</v>
      </c>
      <c r="HW280">
        <v>124</v>
      </c>
      <c r="HX280">
        <v>29</v>
      </c>
      <c r="HY280">
        <v>2</v>
      </c>
      <c r="HZ280">
        <v>30</v>
      </c>
      <c r="IA280">
        <v>2</v>
      </c>
      <c r="IK280">
        <v>4</v>
      </c>
      <c r="IL280">
        <v>18</v>
      </c>
      <c r="IO280">
        <v>1</v>
      </c>
      <c r="IP280">
        <v>53</v>
      </c>
      <c r="IR280">
        <v>5</v>
      </c>
      <c r="IT280">
        <v>2</v>
      </c>
      <c r="IW280">
        <v>14</v>
      </c>
      <c r="IX280">
        <v>14</v>
      </c>
      <c r="IZ280">
        <v>2</v>
      </c>
      <c r="JA280">
        <v>61</v>
      </c>
      <c r="JG280">
        <v>13</v>
      </c>
      <c r="JJ280">
        <v>2</v>
      </c>
      <c r="JK280">
        <v>397</v>
      </c>
      <c r="JL280">
        <v>822</v>
      </c>
      <c r="JM280">
        <v>671</v>
      </c>
      <c r="JN280">
        <v>308</v>
      </c>
      <c r="JO280">
        <v>661</v>
      </c>
      <c r="JP280">
        <v>116</v>
      </c>
      <c r="JQ280">
        <v>218</v>
      </c>
      <c r="JR280">
        <v>150</v>
      </c>
      <c r="JS280">
        <v>1164</v>
      </c>
      <c r="JV280">
        <v>279</v>
      </c>
      <c r="JW280">
        <v>64</v>
      </c>
      <c r="JX280">
        <v>22</v>
      </c>
      <c r="JY280">
        <v>70</v>
      </c>
      <c r="JZ280">
        <v>28</v>
      </c>
      <c r="KA280">
        <v>17</v>
      </c>
      <c r="KB280">
        <v>34</v>
      </c>
      <c r="KC280">
        <v>507</v>
      </c>
      <c r="KD280">
        <v>85</v>
      </c>
      <c r="KN280">
        <v>0</v>
      </c>
      <c r="KO280">
        <v>1</v>
      </c>
      <c r="KQ280">
        <v>0</v>
      </c>
      <c r="LA280">
        <v>9</v>
      </c>
      <c r="NS280">
        <v>0</v>
      </c>
      <c r="OK280">
        <v>19</v>
      </c>
      <c r="OO280">
        <v>9212</v>
      </c>
      <c r="PI280">
        <v>9212</v>
      </c>
      <c r="PM280" t="str">
        <f>IFERROR(VLOOKUP($A280&amp;"",Key!$A:$C,3,FALSE),"")</f>
        <v>ISIC 45T47</v>
      </c>
    </row>
    <row r="281" spans="1:429" x14ac:dyDescent="0.25">
      <c r="A281">
        <v>424700</v>
      </c>
      <c r="B281" t="s">
        <v>416</v>
      </c>
      <c r="P281">
        <v>158</v>
      </c>
      <c r="X281">
        <v>67</v>
      </c>
      <c r="CL281">
        <v>1</v>
      </c>
      <c r="ID281">
        <v>61</v>
      </c>
      <c r="IE281">
        <v>3</v>
      </c>
      <c r="IF281">
        <v>1</v>
      </c>
      <c r="IG281">
        <v>1</v>
      </c>
      <c r="IK281">
        <v>1</v>
      </c>
      <c r="IL281">
        <v>6</v>
      </c>
      <c r="IW281">
        <v>2</v>
      </c>
      <c r="IZ281">
        <v>1</v>
      </c>
      <c r="JK281">
        <v>8</v>
      </c>
      <c r="JL281">
        <v>19</v>
      </c>
      <c r="JM281">
        <v>20</v>
      </c>
      <c r="JN281">
        <v>11</v>
      </c>
      <c r="JO281">
        <v>22</v>
      </c>
      <c r="JP281">
        <v>2</v>
      </c>
      <c r="JQ281">
        <v>5</v>
      </c>
      <c r="JS281">
        <v>38</v>
      </c>
      <c r="JV281">
        <v>9</v>
      </c>
      <c r="JW281">
        <v>3</v>
      </c>
      <c r="KC281">
        <v>20</v>
      </c>
      <c r="KD281">
        <v>1</v>
      </c>
      <c r="OO281">
        <v>460</v>
      </c>
      <c r="PI281">
        <v>460</v>
      </c>
      <c r="PM281" t="str">
        <f>IFERROR(VLOOKUP($A281&amp;"",Key!$A:$C,3,FALSE),"")</f>
        <v>ISIC 45T47</v>
      </c>
    </row>
    <row r="282" spans="1:429" x14ac:dyDescent="0.25">
      <c r="A282" t="s">
        <v>598</v>
      </c>
      <c r="B282" t="s">
        <v>417</v>
      </c>
      <c r="C282">
        <v>8</v>
      </c>
      <c r="D282">
        <v>19</v>
      </c>
      <c r="E282">
        <v>8</v>
      </c>
      <c r="F282">
        <v>10</v>
      </c>
      <c r="G282">
        <v>10</v>
      </c>
      <c r="H282">
        <v>12</v>
      </c>
      <c r="I282">
        <v>1</v>
      </c>
      <c r="J282">
        <v>2</v>
      </c>
      <c r="L282">
        <v>2</v>
      </c>
      <c r="M282">
        <v>0</v>
      </c>
      <c r="O282">
        <v>5</v>
      </c>
      <c r="X282">
        <v>1</v>
      </c>
      <c r="AM282">
        <v>1</v>
      </c>
      <c r="AR282">
        <v>1</v>
      </c>
      <c r="AX282">
        <v>0</v>
      </c>
      <c r="BC282">
        <v>97</v>
      </c>
      <c r="BG282">
        <v>2</v>
      </c>
      <c r="BK282">
        <v>1</v>
      </c>
      <c r="BN282">
        <v>0</v>
      </c>
      <c r="BO282">
        <v>2</v>
      </c>
      <c r="BQ282">
        <v>14</v>
      </c>
      <c r="BV282">
        <v>2</v>
      </c>
      <c r="CB282">
        <v>1</v>
      </c>
      <c r="CF282">
        <v>4</v>
      </c>
      <c r="CL282">
        <v>1</v>
      </c>
      <c r="CR282">
        <v>1</v>
      </c>
      <c r="CW282">
        <v>1</v>
      </c>
      <c r="CZ282">
        <v>6</v>
      </c>
      <c r="DA282">
        <v>2</v>
      </c>
      <c r="DB282">
        <v>2</v>
      </c>
      <c r="DC282">
        <v>1</v>
      </c>
      <c r="DG282">
        <v>2</v>
      </c>
      <c r="DK282">
        <v>0</v>
      </c>
      <c r="DO282">
        <v>0</v>
      </c>
      <c r="DP282">
        <v>0</v>
      </c>
      <c r="DQ282">
        <v>0</v>
      </c>
      <c r="DU282">
        <v>0</v>
      </c>
      <c r="DV282">
        <v>0</v>
      </c>
      <c r="DW282">
        <v>0</v>
      </c>
      <c r="ED282">
        <v>2</v>
      </c>
      <c r="EH282">
        <v>1</v>
      </c>
      <c r="EI282">
        <v>2</v>
      </c>
      <c r="EJ282">
        <v>1</v>
      </c>
      <c r="EM282">
        <v>1</v>
      </c>
      <c r="EN282">
        <v>1</v>
      </c>
      <c r="EO282">
        <v>0</v>
      </c>
      <c r="EP282">
        <v>1</v>
      </c>
      <c r="FU282">
        <v>6</v>
      </c>
      <c r="FV282">
        <v>42</v>
      </c>
      <c r="GC282">
        <v>0</v>
      </c>
      <c r="GF282">
        <v>9</v>
      </c>
      <c r="GH282">
        <v>36</v>
      </c>
      <c r="GJ282">
        <v>25</v>
      </c>
      <c r="GP282">
        <v>35</v>
      </c>
      <c r="GQ282">
        <v>1</v>
      </c>
      <c r="GS282">
        <v>1</v>
      </c>
      <c r="GT282">
        <v>1</v>
      </c>
      <c r="HB282">
        <v>20</v>
      </c>
      <c r="HG282">
        <v>1</v>
      </c>
      <c r="HH282">
        <v>9</v>
      </c>
      <c r="HI282">
        <v>71</v>
      </c>
      <c r="HJ282">
        <v>23</v>
      </c>
      <c r="HK282">
        <v>182</v>
      </c>
      <c r="HM282">
        <v>4</v>
      </c>
      <c r="HN282">
        <v>9</v>
      </c>
      <c r="HQ282">
        <v>4</v>
      </c>
      <c r="HR282">
        <v>5</v>
      </c>
      <c r="HS282">
        <v>1</v>
      </c>
      <c r="HU282">
        <v>164</v>
      </c>
      <c r="HV282">
        <v>87</v>
      </c>
      <c r="HW282">
        <v>110</v>
      </c>
      <c r="HX282">
        <v>90</v>
      </c>
      <c r="HY282">
        <v>31</v>
      </c>
      <c r="HZ282">
        <v>32</v>
      </c>
      <c r="IA282">
        <v>5</v>
      </c>
      <c r="IB282">
        <v>114</v>
      </c>
      <c r="IH282">
        <v>71</v>
      </c>
      <c r="II282">
        <v>165</v>
      </c>
      <c r="IJ282">
        <v>31</v>
      </c>
      <c r="IK282">
        <v>263</v>
      </c>
      <c r="IL282">
        <v>977</v>
      </c>
      <c r="IM282">
        <v>103</v>
      </c>
      <c r="IN282">
        <v>11</v>
      </c>
      <c r="IP282">
        <v>10</v>
      </c>
      <c r="IR282">
        <v>1</v>
      </c>
      <c r="IS282">
        <v>12</v>
      </c>
      <c r="IT282">
        <v>109</v>
      </c>
      <c r="IU282">
        <v>168</v>
      </c>
      <c r="IV282">
        <v>22</v>
      </c>
      <c r="IW282">
        <v>388</v>
      </c>
      <c r="IX282">
        <v>2</v>
      </c>
      <c r="IY282">
        <v>1</v>
      </c>
      <c r="IZ282">
        <v>154</v>
      </c>
      <c r="JA282">
        <v>121</v>
      </c>
      <c r="JB282">
        <v>114</v>
      </c>
      <c r="JC282">
        <v>60</v>
      </c>
      <c r="JD282">
        <v>9</v>
      </c>
      <c r="JE282">
        <v>4</v>
      </c>
      <c r="JG282">
        <v>43</v>
      </c>
      <c r="JH282">
        <v>1</v>
      </c>
      <c r="JI282">
        <v>1</v>
      </c>
      <c r="JJ282">
        <v>1</v>
      </c>
      <c r="JK282">
        <v>306</v>
      </c>
      <c r="JL282">
        <v>375</v>
      </c>
      <c r="JM282">
        <v>433</v>
      </c>
      <c r="JN282">
        <v>243</v>
      </c>
      <c r="JO282">
        <v>512</v>
      </c>
      <c r="JP282">
        <v>75</v>
      </c>
      <c r="JQ282">
        <v>105</v>
      </c>
      <c r="JR282">
        <v>80</v>
      </c>
      <c r="JS282">
        <v>740</v>
      </c>
      <c r="JV282">
        <v>245</v>
      </c>
      <c r="JW282">
        <v>63</v>
      </c>
      <c r="JX282">
        <v>0</v>
      </c>
      <c r="JY282">
        <v>61</v>
      </c>
      <c r="JZ282">
        <v>17</v>
      </c>
      <c r="KA282">
        <v>10</v>
      </c>
      <c r="KB282">
        <v>21</v>
      </c>
      <c r="KC282">
        <v>512</v>
      </c>
      <c r="KD282">
        <v>43</v>
      </c>
      <c r="KN282">
        <v>9</v>
      </c>
      <c r="KO282">
        <v>12</v>
      </c>
      <c r="KP282">
        <v>87</v>
      </c>
      <c r="KQ282">
        <v>29</v>
      </c>
      <c r="OI282">
        <v>2</v>
      </c>
      <c r="OK282">
        <v>1</v>
      </c>
      <c r="OO282">
        <v>8166</v>
      </c>
      <c r="PI282">
        <v>8166</v>
      </c>
      <c r="PM282" t="str">
        <f>IFERROR(VLOOKUP($A282&amp;"",Key!$A:$C,3,FALSE),"")</f>
        <v>ISIC 45T47</v>
      </c>
    </row>
    <row r="283" spans="1:429" x14ac:dyDescent="0.25">
      <c r="A283">
        <v>425000</v>
      </c>
      <c r="B283" t="s">
        <v>418</v>
      </c>
      <c r="D283">
        <v>1</v>
      </c>
      <c r="E283">
        <v>4</v>
      </c>
      <c r="F283">
        <v>19</v>
      </c>
      <c r="G283">
        <v>1</v>
      </c>
      <c r="H283">
        <v>8</v>
      </c>
      <c r="I283">
        <v>1001</v>
      </c>
      <c r="J283">
        <v>131</v>
      </c>
      <c r="K283">
        <v>7</v>
      </c>
      <c r="L283">
        <v>171</v>
      </c>
      <c r="O283">
        <v>2</v>
      </c>
      <c r="P283">
        <v>4</v>
      </c>
      <c r="Q283">
        <v>9</v>
      </c>
      <c r="R283">
        <v>1</v>
      </c>
      <c r="S283">
        <v>1</v>
      </c>
      <c r="T283">
        <v>0</v>
      </c>
      <c r="X283">
        <v>30</v>
      </c>
      <c r="Y283">
        <v>1167</v>
      </c>
      <c r="AM283">
        <v>6</v>
      </c>
      <c r="AN283">
        <v>1</v>
      </c>
      <c r="AO283">
        <v>1</v>
      </c>
      <c r="AP283">
        <v>4</v>
      </c>
      <c r="AQ283">
        <v>1</v>
      </c>
      <c r="AR283">
        <v>8</v>
      </c>
      <c r="AS283">
        <v>1</v>
      </c>
      <c r="AT283">
        <v>1</v>
      </c>
      <c r="AU283">
        <v>0</v>
      </c>
      <c r="AV283">
        <v>1</v>
      </c>
      <c r="AW283">
        <v>1</v>
      </c>
      <c r="AX283">
        <v>1</v>
      </c>
      <c r="AY283">
        <v>5</v>
      </c>
      <c r="AZ283">
        <v>0</v>
      </c>
      <c r="BA283">
        <v>1</v>
      </c>
      <c r="BB283">
        <v>1</v>
      </c>
      <c r="BC283">
        <v>100</v>
      </c>
      <c r="BD283">
        <v>5</v>
      </c>
      <c r="BF283">
        <v>0</v>
      </c>
      <c r="BG283">
        <v>25</v>
      </c>
      <c r="BH283">
        <v>2</v>
      </c>
      <c r="BI283">
        <v>2</v>
      </c>
      <c r="BJ283">
        <v>2</v>
      </c>
      <c r="BK283">
        <v>11</v>
      </c>
      <c r="BL283">
        <v>0</v>
      </c>
      <c r="BM283">
        <v>1</v>
      </c>
      <c r="BN283">
        <v>5</v>
      </c>
      <c r="BO283">
        <v>0</v>
      </c>
      <c r="BP283">
        <v>11</v>
      </c>
      <c r="BQ283">
        <v>11</v>
      </c>
      <c r="BR283">
        <v>18</v>
      </c>
      <c r="BS283">
        <v>1</v>
      </c>
      <c r="BT283">
        <v>1</v>
      </c>
      <c r="BU283">
        <v>0</v>
      </c>
      <c r="BV283">
        <v>2</v>
      </c>
      <c r="BW283">
        <v>2</v>
      </c>
      <c r="BY283">
        <v>7</v>
      </c>
      <c r="CA283">
        <v>1</v>
      </c>
      <c r="CB283">
        <v>9</v>
      </c>
      <c r="CC283">
        <v>1</v>
      </c>
      <c r="CD283">
        <v>1</v>
      </c>
      <c r="CE283">
        <v>9</v>
      </c>
      <c r="CF283">
        <v>10</v>
      </c>
      <c r="CG283">
        <v>0</v>
      </c>
      <c r="CI283">
        <v>10</v>
      </c>
      <c r="CJ283">
        <v>2</v>
      </c>
      <c r="CK283">
        <v>1</v>
      </c>
      <c r="CL283">
        <v>18</v>
      </c>
      <c r="CM283">
        <v>0</v>
      </c>
      <c r="CO283">
        <v>2</v>
      </c>
      <c r="CP283">
        <v>3</v>
      </c>
      <c r="CQ283">
        <v>7</v>
      </c>
      <c r="CR283">
        <v>2</v>
      </c>
      <c r="CS283">
        <v>1</v>
      </c>
      <c r="CT283">
        <v>2</v>
      </c>
      <c r="CU283">
        <v>1</v>
      </c>
      <c r="CV283">
        <v>2</v>
      </c>
      <c r="CW283">
        <v>2</v>
      </c>
      <c r="CX283">
        <v>2</v>
      </c>
      <c r="CY283">
        <v>3</v>
      </c>
      <c r="CZ283">
        <v>7</v>
      </c>
      <c r="DA283">
        <v>4</v>
      </c>
      <c r="DB283">
        <v>8</v>
      </c>
      <c r="DC283">
        <v>11</v>
      </c>
      <c r="DE283">
        <v>1</v>
      </c>
      <c r="DF283">
        <v>1</v>
      </c>
      <c r="DG283">
        <v>7</v>
      </c>
      <c r="DH283">
        <v>2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1</v>
      </c>
      <c r="DQ283">
        <v>3</v>
      </c>
      <c r="DR283">
        <v>15</v>
      </c>
      <c r="DS283">
        <v>0</v>
      </c>
      <c r="DU283">
        <v>0</v>
      </c>
      <c r="DV283">
        <v>0</v>
      </c>
      <c r="DW283">
        <v>0</v>
      </c>
      <c r="DY283">
        <v>4</v>
      </c>
      <c r="DZ283">
        <v>1</v>
      </c>
      <c r="EA283">
        <v>10</v>
      </c>
      <c r="EB283">
        <v>0</v>
      </c>
      <c r="EC283">
        <v>2</v>
      </c>
      <c r="ED283">
        <v>80</v>
      </c>
      <c r="EE283">
        <v>3</v>
      </c>
      <c r="EF283">
        <v>0</v>
      </c>
      <c r="EG283">
        <v>8</v>
      </c>
      <c r="EH283">
        <v>6</v>
      </c>
      <c r="EI283">
        <v>13</v>
      </c>
      <c r="EJ283">
        <v>14</v>
      </c>
      <c r="EK283">
        <v>12</v>
      </c>
      <c r="EL283">
        <v>0</v>
      </c>
      <c r="EM283">
        <v>16</v>
      </c>
      <c r="EN283">
        <v>33</v>
      </c>
      <c r="EO283">
        <v>3</v>
      </c>
      <c r="EP283">
        <v>24</v>
      </c>
      <c r="EQ283">
        <v>3</v>
      </c>
      <c r="ER283">
        <v>181</v>
      </c>
      <c r="ES283">
        <v>48</v>
      </c>
      <c r="ET283">
        <v>1</v>
      </c>
      <c r="EU283">
        <v>1</v>
      </c>
      <c r="EV283">
        <v>0</v>
      </c>
      <c r="EW283">
        <v>11</v>
      </c>
      <c r="EX283">
        <v>16</v>
      </c>
      <c r="EY283">
        <v>5</v>
      </c>
      <c r="EZ283">
        <v>3</v>
      </c>
      <c r="FA283">
        <v>3</v>
      </c>
      <c r="FB283">
        <v>4</v>
      </c>
      <c r="FC283">
        <v>4</v>
      </c>
      <c r="FD283">
        <v>4</v>
      </c>
      <c r="FE283">
        <v>0</v>
      </c>
      <c r="FF283">
        <v>0</v>
      </c>
      <c r="FJ283">
        <v>0</v>
      </c>
      <c r="FL283">
        <v>1</v>
      </c>
      <c r="FM283">
        <v>4</v>
      </c>
      <c r="FP283">
        <v>1</v>
      </c>
      <c r="FQ283">
        <v>18</v>
      </c>
      <c r="FR283">
        <v>5</v>
      </c>
      <c r="FS283">
        <v>2</v>
      </c>
      <c r="FT283">
        <v>5</v>
      </c>
      <c r="FU283">
        <v>6</v>
      </c>
      <c r="FV283">
        <v>30</v>
      </c>
      <c r="FW283">
        <v>2</v>
      </c>
      <c r="FX283">
        <v>10</v>
      </c>
      <c r="FY283">
        <v>191</v>
      </c>
      <c r="FZ283">
        <v>0</v>
      </c>
      <c r="GA283">
        <v>0</v>
      </c>
      <c r="GB283">
        <v>0</v>
      </c>
      <c r="GC283">
        <v>1</v>
      </c>
      <c r="GD283">
        <v>8</v>
      </c>
      <c r="GF283">
        <v>0</v>
      </c>
      <c r="GH283">
        <v>12</v>
      </c>
      <c r="GI283">
        <v>1</v>
      </c>
      <c r="GJ283">
        <v>3</v>
      </c>
      <c r="GK283">
        <v>0</v>
      </c>
      <c r="GP283">
        <v>96</v>
      </c>
      <c r="GQ283">
        <v>227</v>
      </c>
      <c r="GR283">
        <v>0</v>
      </c>
      <c r="GS283">
        <v>21</v>
      </c>
      <c r="GT283">
        <v>16</v>
      </c>
      <c r="GU283">
        <v>9</v>
      </c>
      <c r="GV283">
        <v>5</v>
      </c>
      <c r="GW283">
        <v>11</v>
      </c>
      <c r="GX283">
        <v>7</v>
      </c>
      <c r="GY283">
        <v>4</v>
      </c>
      <c r="GZ283">
        <v>10</v>
      </c>
      <c r="HA283">
        <v>176</v>
      </c>
      <c r="HB283">
        <v>113</v>
      </c>
      <c r="HD283">
        <v>0</v>
      </c>
      <c r="HE283">
        <v>1</v>
      </c>
      <c r="HF283">
        <v>1</v>
      </c>
      <c r="HG283">
        <v>0</v>
      </c>
      <c r="HK283">
        <v>4</v>
      </c>
      <c r="HM283">
        <v>4</v>
      </c>
      <c r="HN283">
        <v>11</v>
      </c>
      <c r="HO283">
        <v>2</v>
      </c>
      <c r="HP283">
        <v>7</v>
      </c>
      <c r="HQ283">
        <v>1</v>
      </c>
      <c r="HR283">
        <v>1</v>
      </c>
      <c r="HS283">
        <v>0</v>
      </c>
      <c r="HU283">
        <v>42</v>
      </c>
      <c r="HV283">
        <v>14</v>
      </c>
      <c r="HW283">
        <v>43</v>
      </c>
      <c r="HX283">
        <v>14</v>
      </c>
      <c r="HY283">
        <v>1</v>
      </c>
      <c r="HZ283">
        <v>10</v>
      </c>
      <c r="IA283">
        <v>2</v>
      </c>
      <c r="IB283">
        <v>2</v>
      </c>
      <c r="ID283">
        <v>4</v>
      </c>
      <c r="IF283">
        <v>0</v>
      </c>
      <c r="II283">
        <v>1</v>
      </c>
      <c r="IJ283">
        <v>0</v>
      </c>
      <c r="IK283">
        <v>2</v>
      </c>
      <c r="IL283">
        <v>11</v>
      </c>
      <c r="IM283">
        <v>48</v>
      </c>
      <c r="IO283">
        <v>2</v>
      </c>
      <c r="IP283">
        <v>20</v>
      </c>
      <c r="IR283">
        <v>8</v>
      </c>
      <c r="IS283">
        <v>0</v>
      </c>
      <c r="IT283">
        <v>2</v>
      </c>
      <c r="IU283">
        <v>7</v>
      </c>
      <c r="IW283">
        <v>10</v>
      </c>
      <c r="IX283">
        <v>21</v>
      </c>
      <c r="IY283">
        <v>0</v>
      </c>
      <c r="IZ283">
        <v>6</v>
      </c>
      <c r="JA283">
        <v>20</v>
      </c>
      <c r="JB283">
        <v>20</v>
      </c>
      <c r="JC283">
        <v>2</v>
      </c>
      <c r="JD283">
        <v>2</v>
      </c>
      <c r="JE283">
        <v>4</v>
      </c>
      <c r="JF283">
        <v>1</v>
      </c>
      <c r="JG283">
        <v>58</v>
      </c>
      <c r="JH283">
        <v>1</v>
      </c>
      <c r="JI283">
        <v>1</v>
      </c>
      <c r="JJ283">
        <v>5</v>
      </c>
      <c r="JK283">
        <v>502</v>
      </c>
      <c r="JL283">
        <v>1421</v>
      </c>
      <c r="JM283">
        <v>1299</v>
      </c>
      <c r="JN283">
        <v>677</v>
      </c>
      <c r="JO283">
        <v>1351</v>
      </c>
      <c r="JP283">
        <v>195</v>
      </c>
      <c r="JQ283">
        <v>389</v>
      </c>
      <c r="JR283">
        <v>240</v>
      </c>
      <c r="JS283">
        <v>2278</v>
      </c>
      <c r="JT283">
        <v>13</v>
      </c>
      <c r="JV283">
        <v>325</v>
      </c>
      <c r="JW283">
        <v>180</v>
      </c>
      <c r="JX283">
        <v>0</v>
      </c>
      <c r="JY283">
        <v>216</v>
      </c>
      <c r="JZ283">
        <v>159</v>
      </c>
      <c r="KA283">
        <v>38</v>
      </c>
      <c r="KB283">
        <v>78</v>
      </c>
      <c r="KC283">
        <v>5427</v>
      </c>
      <c r="KD283">
        <v>221</v>
      </c>
      <c r="KE283">
        <v>74</v>
      </c>
      <c r="KH283">
        <v>1</v>
      </c>
      <c r="KJ283">
        <v>5</v>
      </c>
      <c r="KN283">
        <v>8</v>
      </c>
      <c r="KO283">
        <v>13</v>
      </c>
      <c r="KP283">
        <v>66</v>
      </c>
      <c r="KQ283">
        <v>10</v>
      </c>
      <c r="KR283">
        <v>26</v>
      </c>
      <c r="KS283">
        <v>11</v>
      </c>
      <c r="KU283">
        <v>0</v>
      </c>
      <c r="KW283">
        <v>1750</v>
      </c>
      <c r="KX283">
        <v>251</v>
      </c>
      <c r="KY283">
        <v>12</v>
      </c>
      <c r="LA283">
        <v>0</v>
      </c>
      <c r="LN283">
        <v>764</v>
      </c>
      <c r="LO283">
        <v>7971</v>
      </c>
      <c r="LP283">
        <v>1840</v>
      </c>
      <c r="LT283">
        <v>59</v>
      </c>
      <c r="MH283">
        <v>14</v>
      </c>
      <c r="MM283">
        <v>43</v>
      </c>
      <c r="MO283">
        <v>28</v>
      </c>
      <c r="MQ283">
        <v>29</v>
      </c>
      <c r="MS283">
        <v>0</v>
      </c>
      <c r="MU283">
        <v>38</v>
      </c>
      <c r="MV283">
        <v>2</v>
      </c>
      <c r="MW283">
        <v>0</v>
      </c>
      <c r="MX283">
        <v>23</v>
      </c>
      <c r="MY283">
        <v>4</v>
      </c>
      <c r="MZ283">
        <v>24</v>
      </c>
      <c r="NK283">
        <v>33</v>
      </c>
      <c r="NM283">
        <v>12</v>
      </c>
      <c r="NO283">
        <v>1</v>
      </c>
      <c r="NP283">
        <v>2</v>
      </c>
      <c r="NR283">
        <v>2</v>
      </c>
      <c r="NS283">
        <v>10</v>
      </c>
      <c r="NT283">
        <v>40</v>
      </c>
      <c r="NY283">
        <v>0</v>
      </c>
      <c r="OO283">
        <v>33050</v>
      </c>
      <c r="OV283">
        <v>2385</v>
      </c>
      <c r="PI283">
        <v>35435</v>
      </c>
      <c r="PM283" t="str">
        <f>IFERROR(VLOOKUP($A283&amp;"",Key!$A:$C,3,FALSE),"")</f>
        <v>ISIC 45T47</v>
      </c>
    </row>
    <row r="284" spans="1:429" x14ac:dyDescent="0.25">
      <c r="A284" t="s">
        <v>599</v>
      </c>
      <c r="B284" t="s">
        <v>419</v>
      </c>
      <c r="PM284" t="str">
        <f>IFERROR(VLOOKUP($A284&amp;"",Key!$A:$C,3,FALSE),"")</f>
        <v>ISIC 45T47</v>
      </c>
    </row>
    <row r="285" spans="1:429" x14ac:dyDescent="0.25">
      <c r="A285" t="s">
        <v>657</v>
      </c>
      <c r="B285" t="s">
        <v>420</v>
      </c>
      <c r="PM285" t="str">
        <f>IFERROR(VLOOKUP($A285&amp;"",Key!$A:$C,3,FALSE),"")</f>
        <v>ISIC 45T47</v>
      </c>
    </row>
    <row r="286" spans="1:429" x14ac:dyDescent="0.25">
      <c r="A286" t="s">
        <v>658</v>
      </c>
      <c r="B286" t="s">
        <v>421</v>
      </c>
      <c r="PM286" t="str">
        <f>IFERROR(VLOOKUP($A286&amp;"",Key!$A:$C,3,FALSE),"")</f>
        <v>ISIC 45T47</v>
      </c>
    </row>
    <row r="287" spans="1:429" x14ac:dyDescent="0.25">
      <c r="A287" t="s">
        <v>659</v>
      </c>
      <c r="B287" t="s">
        <v>422</v>
      </c>
      <c r="PM287" t="str">
        <f>IFERROR(VLOOKUP($A287&amp;"",Key!$A:$C,3,FALSE),"")</f>
        <v>ISIC 45T47</v>
      </c>
    </row>
    <row r="288" spans="1:429" x14ac:dyDescent="0.25">
      <c r="A288" t="s">
        <v>660</v>
      </c>
      <c r="B288" t="s">
        <v>423</v>
      </c>
      <c r="PM288" t="str">
        <f>IFERROR(VLOOKUP($A288&amp;"",Key!$A:$C,3,FALSE),"")</f>
        <v>ISIC 45T47</v>
      </c>
    </row>
    <row r="289" spans="1:429" x14ac:dyDescent="0.25">
      <c r="A289" t="s">
        <v>661</v>
      </c>
      <c r="B289" t="s">
        <v>424</v>
      </c>
      <c r="PM289" t="str">
        <f>IFERROR(VLOOKUP($A289&amp;"",Key!$A:$C,3,FALSE),"")</f>
        <v>ISIC 45T47</v>
      </c>
    </row>
    <row r="290" spans="1:429" x14ac:dyDescent="0.25">
      <c r="A290" t="s">
        <v>662</v>
      </c>
      <c r="B290" t="s">
        <v>425</v>
      </c>
      <c r="PM290" t="str">
        <f>IFERROR(VLOOKUP($A290&amp;"",Key!$A:$C,3,FALSE),"")</f>
        <v>ISIC 45T47</v>
      </c>
    </row>
    <row r="291" spans="1:429" x14ac:dyDescent="0.25">
      <c r="A291" t="s">
        <v>663</v>
      </c>
      <c r="B291" t="s">
        <v>426</v>
      </c>
      <c r="PM291" t="str">
        <f>IFERROR(VLOOKUP($A291&amp;"",Key!$A:$C,3,FALSE),"")</f>
        <v>ISIC 45T47</v>
      </c>
    </row>
    <row r="292" spans="1:429" x14ac:dyDescent="0.25">
      <c r="A292">
        <v>454000</v>
      </c>
      <c r="B292" t="s">
        <v>427</v>
      </c>
      <c r="JV292">
        <v>338</v>
      </c>
      <c r="JX292">
        <v>401</v>
      </c>
      <c r="KC292">
        <v>158</v>
      </c>
      <c r="KD292">
        <v>140</v>
      </c>
      <c r="NR292">
        <v>0</v>
      </c>
      <c r="OO292">
        <v>1036</v>
      </c>
      <c r="OP292">
        <v>5974</v>
      </c>
      <c r="PI292">
        <v>7010</v>
      </c>
      <c r="PM292" t="str">
        <f>IFERROR(VLOOKUP($A292&amp;"",Key!$A:$C,3,FALSE),"")</f>
        <v>ISIC 45T47</v>
      </c>
    </row>
    <row r="293" spans="1:429" x14ac:dyDescent="0.25">
      <c r="A293" t="s">
        <v>600</v>
      </c>
      <c r="B293" t="s">
        <v>428</v>
      </c>
      <c r="PM293" t="str">
        <f>IFERROR(VLOOKUP($A293&amp;"",Key!$A:$C,3,FALSE),"")</f>
        <v>ISIC 45T47</v>
      </c>
    </row>
    <row r="294" spans="1:429" x14ac:dyDescent="0.25">
      <c r="A294">
        <v>481000</v>
      </c>
      <c r="B294" t="s">
        <v>429</v>
      </c>
      <c r="P294">
        <v>1</v>
      </c>
      <c r="Q294">
        <v>6</v>
      </c>
      <c r="S294">
        <v>0</v>
      </c>
      <c r="T294">
        <v>4</v>
      </c>
      <c r="U294">
        <v>3</v>
      </c>
      <c r="V294">
        <v>11</v>
      </c>
      <c r="W294">
        <v>329</v>
      </c>
      <c r="X294">
        <v>1079</v>
      </c>
      <c r="Y294">
        <v>187</v>
      </c>
      <c r="Z294">
        <v>10</v>
      </c>
      <c r="AC294">
        <v>384</v>
      </c>
      <c r="AD294">
        <v>37</v>
      </c>
      <c r="AM294">
        <v>34</v>
      </c>
      <c r="AN294">
        <v>23</v>
      </c>
      <c r="AO294">
        <v>25</v>
      </c>
      <c r="AP294">
        <v>42</v>
      </c>
      <c r="AQ294">
        <v>5</v>
      </c>
      <c r="AR294">
        <v>47</v>
      </c>
      <c r="AS294">
        <v>7</v>
      </c>
      <c r="AT294">
        <v>105</v>
      </c>
      <c r="AU294">
        <v>5</v>
      </c>
      <c r="AV294">
        <v>33</v>
      </c>
      <c r="AW294">
        <v>4</v>
      </c>
      <c r="AX294">
        <v>3</v>
      </c>
      <c r="AY294">
        <v>13</v>
      </c>
      <c r="AZ294">
        <v>3</v>
      </c>
      <c r="BA294">
        <v>13</v>
      </c>
      <c r="BB294">
        <v>16</v>
      </c>
      <c r="BC294">
        <v>89</v>
      </c>
      <c r="BD294">
        <v>19</v>
      </c>
      <c r="BE294">
        <v>3</v>
      </c>
      <c r="BG294">
        <v>14</v>
      </c>
      <c r="BH294">
        <v>2</v>
      </c>
      <c r="BI294">
        <v>8</v>
      </c>
      <c r="BJ294">
        <v>7</v>
      </c>
      <c r="BK294">
        <v>15</v>
      </c>
      <c r="BL294">
        <v>20</v>
      </c>
      <c r="BM294">
        <v>10</v>
      </c>
      <c r="BN294">
        <v>11</v>
      </c>
      <c r="BO294">
        <v>20</v>
      </c>
      <c r="BP294">
        <v>12</v>
      </c>
      <c r="BQ294">
        <v>91</v>
      </c>
      <c r="BR294">
        <v>53</v>
      </c>
      <c r="BS294">
        <v>6</v>
      </c>
      <c r="BT294">
        <v>11</v>
      </c>
      <c r="BU294">
        <v>8</v>
      </c>
      <c r="BV294">
        <v>14</v>
      </c>
      <c r="BW294">
        <v>15</v>
      </c>
      <c r="BX294">
        <v>86</v>
      </c>
      <c r="BY294">
        <v>57</v>
      </c>
      <c r="BZ294">
        <v>49</v>
      </c>
      <c r="CA294">
        <v>1</v>
      </c>
      <c r="CB294">
        <v>20</v>
      </c>
      <c r="CC294">
        <v>2</v>
      </c>
      <c r="CD294">
        <v>7</v>
      </c>
      <c r="CE294">
        <v>2</v>
      </c>
      <c r="CF294">
        <v>12</v>
      </c>
      <c r="CG294">
        <v>22</v>
      </c>
      <c r="CH294">
        <v>6</v>
      </c>
      <c r="CI294">
        <v>13</v>
      </c>
      <c r="CJ294">
        <v>33</v>
      </c>
      <c r="CK294">
        <v>12</v>
      </c>
      <c r="CL294">
        <v>31</v>
      </c>
      <c r="CM294">
        <v>10</v>
      </c>
      <c r="CO294">
        <v>28</v>
      </c>
      <c r="CP294">
        <v>9</v>
      </c>
      <c r="CQ294">
        <v>29</v>
      </c>
      <c r="CR294">
        <v>3</v>
      </c>
      <c r="CS294">
        <v>4</v>
      </c>
      <c r="CT294">
        <v>13</v>
      </c>
      <c r="CU294">
        <v>9</v>
      </c>
      <c r="CV294">
        <v>7</v>
      </c>
      <c r="CX294">
        <v>1</v>
      </c>
      <c r="CY294">
        <v>5</v>
      </c>
      <c r="CZ294">
        <v>42</v>
      </c>
      <c r="DA294">
        <v>8</v>
      </c>
      <c r="DB294">
        <v>9</v>
      </c>
      <c r="DC294">
        <v>13</v>
      </c>
      <c r="DE294">
        <v>12</v>
      </c>
      <c r="DF294">
        <v>2</v>
      </c>
      <c r="DG294">
        <v>21</v>
      </c>
      <c r="DH294">
        <v>4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33</v>
      </c>
      <c r="DS294">
        <v>2</v>
      </c>
      <c r="DU294">
        <v>4</v>
      </c>
      <c r="DV294">
        <v>1</v>
      </c>
      <c r="DW294">
        <v>4</v>
      </c>
      <c r="DX294">
        <v>11</v>
      </c>
      <c r="DY294">
        <v>1</v>
      </c>
      <c r="DZ294">
        <v>12</v>
      </c>
      <c r="EB294">
        <v>0</v>
      </c>
      <c r="ED294">
        <v>8</v>
      </c>
      <c r="EE294">
        <v>1</v>
      </c>
      <c r="EG294">
        <v>0</v>
      </c>
      <c r="EI294">
        <v>3</v>
      </c>
      <c r="EJ294">
        <v>0</v>
      </c>
      <c r="EK294">
        <v>2</v>
      </c>
      <c r="EL294">
        <v>0</v>
      </c>
      <c r="EM294">
        <v>5</v>
      </c>
      <c r="EN294">
        <v>4</v>
      </c>
      <c r="EP294">
        <v>9</v>
      </c>
      <c r="EQ294">
        <v>13</v>
      </c>
      <c r="ER294">
        <v>17</v>
      </c>
      <c r="ET294">
        <v>14</v>
      </c>
      <c r="EU294">
        <v>3</v>
      </c>
      <c r="EW294">
        <v>16</v>
      </c>
      <c r="EX294">
        <v>19</v>
      </c>
      <c r="EY294">
        <v>11</v>
      </c>
      <c r="EZ294">
        <v>19</v>
      </c>
      <c r="FA294">
        <v>18</v>
      </c>
      <c r="FB294">
        <v>67</v>
      </c>
      <c r="FC294">
        <v>31</v>
      </c>
      <c r="FD294">
        <v>20</v>
      </c>
      <c r="FE294">
        <v>11</v>
      </c>
      <c r="FF294">
        <v>29</v>
      </c>
      <c r="FG294">
        <v>33</v>
      </c>
      <c r="FJ294">
        <v>31</v>
      </c>
      <c r="FK294">
        <v>28</v>
      </c>
      <c r="FL294">
        <v>6</v>
      </c>
      <c r="FM294">
        <v>3</v>
      </c>
      <c r="FP294">
        <v>51</v>
      </c>
      <c r="FQ294">
        <v>9</v>
      </c>
      <c r="FR294">
        <v>5</v>
      </c>
      <c r="FS294">
        <v>14</v>
      </c>
      <c r="FT294">
        <v>8</v>
      </c>
      <c r="FU294">
        <v>10</v>
      </c>
      <c r="FV294">
        <v>47</v>
      </c>
      <c r="FW294">
        <v>13</v>
      </c>
      <c r="FX294">
        <v>23</v>
      </c>
      <c r="FY294">
        <v>73</v>
      </c>
      <c r="FZ294">
        <v>5</v>
      </c>
      <c r="GA294">
        <v>0</v>
      </c>
      <c r="GB294">
        <v>6</v>
      </c>
      <c r="GC294">
        <v>16</v>
      </c>
      <c r="GD294">
        <v>21</v>
      </c>
      <c r="GE294">
        <v>0</v>
      </c>
      <c r="GF294">
        <v>2</v>
      </c>
      <c r="GG294">
        <v>30</v>
      </c>
      <c r="GH294">
        <v>27</v>
      </c>
      <c r="GI294">
        <v>7</v>
      </c>
      <c r="GJ294">
        <v>29</v>
      </c>
      <c r="GK294">
        <v>5</v>
      </c>
      <c r="GL294">
        <v>3</v>
      </c>
      <c r="GM294">
        <v>0</v>
      </c>
      <c r="GN294">
        <v>0</v>
      </c>
      <c r="GO294">
        <v>0</v>
      </c>
      <c r="GP294">
        <v>10</v>
      </c>
      <c r="GQ294">
        <v>3</v>
      </c>
      <c r="GR294">
        <v>10</v>
      </c>
      <c r="GS294">
        <v>7</v>
      </c>
      <c r="GT294">
        <v>3</v>
      </c>
      <c r="GU294">
        <v>37</v>
      </c>
      <c r="GV294">
        <v>2</v>
      </c>
      <c r="GW294">
        <v>45</v>
      </c>
      <c r="GX294">
        <v>53</v>
      </c>
      <c r="GY294">
        <v>6</v>
      </c>
      <c r="GZ294">
        <v>147</v>
      </c>
      <c r="HA294">
        <v>26</v>
      </c>
      <c r="HB294">
        <v>4</v>
      </c>
      <c r="HC294">
        <v>5</v>
      </c>
      <c r="HD294">
        <v>9</v>
      </c>
      <c r="HE294">
        <v>20</v>
      </c>
      <c r="HF294">
        <v>16</v>
      </c>
      <c r="HG294">
        <v>38</v>
      </c>
      <c r="HH294">
        <v>9</v>
      </c>
      <c r="HI294">
        <v>13</v>
      </c>
      <c r="HJ294">
        <v>1</v>
      </c>
      <c r="HK294">
        <v>6</v>
      </c>
      <c r="HL294">
        <v>2</v>
      </c>
      <c r="HM294">
        <v>7</v>
      </c>
      <c r="HN294">
        <v>5</v>
      </c>
      <c r="HO294">
        <v>1</v>
      </c>
      <c r="HP294">
        <v>0</v>
      </c>
      <c r="HQ294">
        <v>8</v>
      </c>
      <c r="HR294">
        <v>2</v>
      </c>
      <c r="HS294">
        <v>1</v>
      </c>
      <c r="HT294">
        <v>7</v>
      </c>
      <c r="HU294">
        <v>14</v>
      </c>
      <c r="HV294">
        <v>16</v>
      </c>
      <c r="HW294">
        <v>111</v>
      </c>
      <c r="HX294">
        <v>11</v>
      </c>
      <c r="HY294">
        <v>7</v>
      </c>
      <c r="HZ294">
        <v>3</v>
      </c>
      <c r="IA294">
        <v>1</v>
      </c>
      <c r="IB294">
        <v>223</v>
      </c>
      <c r="IC294">
        <v>3</v>
      </c>
      <c r="ID294">
        <v>97</v>
      </c>
      <c r="IE294">
        <v>18</v>
      </c>
      <c r="IF294">
        <v>4</v>
      </c>
      <c r="IG294">
        <v>3</v>
      </c>
      <c r="II294">
        <v>2</v>
      </c>
      <c r="IJ294">
        <v>1</v>
      </c>
      <c r="IK294">
        <v>24</v>
      </c>
      <c r="IL294">
        <v>143</v>
      </c>
      <c r="IM294">
        <v>62</v>
      </c>
      <c r="IN294">
        <v>7</v>
      </c>
      <c r="IO294">
        <v>1</v>
      </c>
      <c r="IP294">
        <v>2</v>
      </c>
      <c r="IQ294">
        <v>8</v>
      </c>
      <c r="IR294">
        <v>0</v>
      </c>
      <c r="IS294">
        <v>4</v>
      </c>
      <c r="IT294">
        <v>2</v>
      </c>
      <c r="IU294">
        <v>12</v>
      </c>
      <c r="IV294">
        <v>6</v>
      </c>
      <c r="IW294">
        <v>10</v>
      </c>
      <c r="IY294">
        <v>0</v>
      </c>
      <c r="IZ294">
        <v>16</v>
      </c>
      <c r="JA294">
        <v>85</v>
      </c>
      <c r="JB294">
        <v>8</v>
      </c>
      <c r="JC294">
        <v>1</v>
      </c>
      <c r="JD294">
        <v>84</v>
      </c>
      <c r="JE294">
        <v>13</v>
      </c>
      <c r="JF294">
        <v>5</v>
      </c>
      <c r="JG294">
        <v>206</v>
      </c>
      <c r="JH294">
        <v>14</v>
      </c>
      <c r="JI294">
        <v>6</v>
      </c>
      <c r="JJ294">
        <v>19</v>
      </c>
      <c r="JK294">
        <v>3276</v>
      </c>
      <c r="JL294">
        <v>709</v>
      </c>
      <c r="JM294">
        <v>1079</v>
      </c>
      <c r="JN294">
        <v>1114</v>
      </c>
      <c r="JO294">
        <v>1644</v>
      </c>
      <c r="JP294">
        <v>344</v>
      </c>
      <c r="JQ294">
        <v>637</v>
      </c>
      <c r="JR294">
        <v>31</v>
      </c>
      <c r="JS294">
        <v>1362</v>
      </c>
      <c r="JT294">
        <v>125</v>
      </c>
      <c r="JV294">
        <v>275</v>
      </c>
      <c r="JW294">
        <v>67</v>
      </c>
      <c r="JX294">
        <v>93</v>
      </c>
      <c r="JY294">
        <v>56</v>
      </c>
      <c r="JZ294">
        <v>33</v>
      </c>
      <c r="KA294">
        <v>29</v>
      </c>
      <c r="KB294">
        <v>37</v>
      </c>
      <c r="KC294">
        <v>190</v>
      </c>
      <c r="KD294">
        <v>52</v>
      </c>
      <c r="KE294">
        <v>322</v>
      </c>
      <c r="KF294">
        <v>25</v>
      </c>
      <c r="KG294">
        <v>224</v>
      </c>
      <c r="KH294">
        <v>3552</v>
      </c>
      <c r="KI294">
        <v>48</v>
      </c>
      <c r="KJ294">
        <v>3</v>
      </c>
      <c r="KK294">
        <v>1560</v>
      </c>
      <c r="KL294">
        <v>59</v>
      </c>
      <c r="KM294">
        <v>518</v>
      </c>
      <c r="KN294">
        <v>55</v>
      </c>
      <c r="KO294">
        <v>98</v>
      </c>
      <c r="KP294">
        <v>145</v>
      </c>
      <c r="KQ294">
        <v>35</v>
      </c>
      <c r="KR294">
        <v>310</v>
      </c>
      <c r="KS294">
        <v>164</v>
      </c>
      <c r="KT294">
        <v>53</v>
      </c>
      <c r="KU294">
        <v>9</v>
      </c>
      <c r="KV294">
        <v>24</v>
      </c>
      <c r="KW294">
        <v>164</v>
      </c>
      <c r="KX294">
        <v>454</v>
      </c>
      <c r="KY294">
        <v>225</v>
      </c>
      <c r="KZ294">
        <v>1646</v>
      </c>
      <c r="LA294">
        <v>416</v>
      </c>
      <c r="LB294">
        <v>0</v>
      </c>
      <c r="LC294">
        <v>2988</v>
      </c>
      <c r="LD294">
        <v>4142</v>
      </c>
      <c r="LE294">
        <v>3193</v>
      </c>
      <c r="LF294">
        <v>361</v>
      </c>
      <c r="LH294">
        <v>37</v>
      </c>
      <c r="LI294">
        <v>119</v>
      </c>
      <c r="LJ294">
        <v>804</v>
      </c>
      <c r="LL294">
        <v>18</v>
      </c>
      <c r="LM294">
        <v>14885</v>
      </c>
      <c r="LN294">
        <v>558</v>
      </c>
      <c r="LO294">
        <v>767</v>
      </c>
      <c r="LP294">
        <v>135</v>
      </c>
      <c r="LQ294">
        <v>67</v>
      </c>
      <c r="LR294">
        <v>1266</v>
      </c>
      <c r="LS294">
        <v>429</v>
      </c>
      <c r="LT294">
        <v>3321</v>
      </c>
      <c r="LU294">
        <v>1090</v>
      </c>
      <c r="LV294">
        <v>1342</v>
      </c>
      <c r="LW294">
        <v>1554</v>
      </c>
      <c r="LX294">
        <v>957</v>
      </c>
      <c r="LY294">
        <v>297</v>
      </c>
      <c r="LZ294">
        <v>590</v>
      </c>
      <c r="MA294">
        <v>481</v>
      </c>
      <c r="MB294">
        <v>123</v>
      </c>
      <c r="MC294">
        <v>94</v>
      </c>
      <c r="MD294">
        <v>130</v>
      </c>
      <c r="ME294">
        <v>271</v>
      </c>
      <c r="MF294">
        <v>547</v>
      </c>
      <c r="MG294">
        <v>2827</v>
      </c>
      <c r="MH294">
        <v>927</v>
      </c>
      <c r="MI294">
        <v>226</v>
      </c>
      <c r="MJ294">
        <v>172</v>
      </c>
      <c r="MK294">
        <v>693</v>
      </c>
      <c r="ML294">
        <v>439</v>
      </c>
      <c r="MM294">
        <v>453</v>
      </c>
      <c r="MN294">
        <v>272</v>
      </c>
      <c r="MO294">
        <v>593</v>
      </c>
      <c r="MP294">
        <v>38</v>
      </c>
      <c r="MQ294">
        <v>773</v>
      </c>
      <c r="MR294">
        <v>188</v>
      </c>
      <c r="MS294">
        <v>2081</v>
      </c>
      <c r="MT294">
        <v>259</v>
      </c>
      <c r="MU294">
        <v>201</v>
      </c>
      <c r="MV294">
        <v>258</v>
      </c>
      <c r="MW294">
        <v>64</v>
      </c>
      <c r="MX294">
        <v>214</v>
      </c>
      <c r="MY294">
        <v>87</v>
      </c>
      <c r="MZ294">
        <v>361</v>
      </c>
      <c r="NA294">
        <v>304</v>
      </c>
      <c r="NB294">
        <v>55</v>
      </c>
      <c r="NC294">
        <v>453</v>
      </c>
      <c r="ND294">
        <v>115</v>
      </c>
      <c r="NE294">
        <v>138</v>
      </c>
      <c r="NF294">
        <v>19</v>
      </c>
      <c r="NG294">
        <v>41</v>
      </c>
      <c r="NH294">
        <v>9</v>
      </c>
      <c r="NI294">
        <v>92</v>
      </c>
      <c r="NJ294">
        <v>9</v>
      </c>
      <c r="NK294">
        <v>19</v>
      </c>
      <c r="NL294">
        <v>122</v>
      </c>
      <c r="NM294">
        <v>95</v>
      </c>
      <c r="NN294">
        <v>244</v>
      </c>
      <c r="NO294">
        <v>734</v>
      </c>
      <c r="NP294">
        <v>1054</v>
      </c>
      <c r="NQ294">
        <v>259</v>
      </c>
      <c r="NR294">
        <v>61</v>
      </c>
      <c r="NS294">
        <v>22</v>
      </c>
      <c r="NT294">
        <v>60</v>
      </c>
      <c r="NU294">
        <v>15</v>
      </c>
      <c r="NV294">
        <v>145</v>
      </c>
      <c r="NW294">
        <v>0</v>
      </c>
      <c r="NX294">
        <v>25</v>
      </c>
      <c r="NY294">
        <v>92</v>
      </c>
      <c r="OA294">
        <v>415</v>
      </c>
      <c r="OB294">
        <v>177</v>
      </c>
      <c r="OD294">
        <v>5851</v>
      </c>
      <c r="OE294">
        <v>4138</v>
      </c>
      <c r="OF294">
        <v>308</v>
      </c>
      <c r="OG294">
        <v>11</v>
      </c>
      <c r="OH294">
        <v>61</v>
      </c>
      <c r="OI294">
        <v>952</v>
      </c>
      <c r="OJ294">
        <v>980</v>
      </c>
      <c r="OK294">
        <v>2178</v>
      </c>
      <c r="OL294">
        <v>11</v>
      </c>
      <c r="OM294">
        <v>3</v>
      </c>
      <c r="ON294">
        <v>72</v>
      </c>
      <c r="OO294">
        <v>98387</v>
      </c>
      <c r="OP294">
        <v>129785</v>
      </c>
      <c r="OV294">
        <v>42609</v>
      </c>
      <c r="PI294">
        <v>270780</v>
      </c>
      <c r="PM294" t="str">
        <f>IFERROR(VLOOKUP($A294&amp;"",Key!$A:$C,3,FALSE),"")</f>
        <v>ISIC 51</v>
      </c>
    </row>
    <row r="295" spans="1:429" x14ac:dyDescent="0.25">
      <c r="A295">
        <v>482000</v>
      </c>
      <c r="B295" t="s">
        <v>430</v>
      </c>
      <c r="Y295">
        <v>105</v>
      </c>
      <c r="AC295">
        <v>1</v>
      </c>
      <c r="FY295">
        <v>1</v>
      </c>
      <c r="IB295">
        <v>1</v>
      </c>
      <c r="JK295">
        <v>12</v>
      </c>
      <c r="JL295">
        <v>7</v>
      </c>
      <c r="JM295">
        <v>12</v>
      </c>
      <c r="JN295">
        <v>22</v>
      </c>
      <c r="JO295">
        <v>11</v>
      </c>
      <c r="JP295">
        <v>2</v>
      </c>
      <c r="JQ295">
        <v>18</v>
      </c>
      <c r="JS295">
        <v>25</v>
      </c>
      <c r="JV295">
        <v>6</v>
      </c>
      <c r="JW295">
        <v>7</v>
      </c>
      <c r="JY295">
        <v>9</v>
      </c>
      <c r="KA295">
        <v>13</v>
      </c>
      <c r="KC295">
        <v>14</v>
      </c>
      <c r="KF295">
        <v>27</v>
      </c>
      <c r="KH295">
        <v>4219</v>
      </c>
      <c r="KJ295">
        <v>1</v>
      </c>
      <c r="KK295">
        <v>153</v>
      </c>
      <c r="KL295">
        <v>0</v>
      </c>
      <c r="KM295">
        <v>5</v>
      </c>
      <c r="KW295">
        <v>257</v>
      </c>
      <c r="KX295">
        <v>45</v>
      </c>
      <c r="KY295">
        <v>1</v>
      </c>
      <c r="KZ295">
        <v>1</v>
      </c>
      <c r="LC295">
        <v>6</v>
      </c>
      <c r="LD295">
        <v>7</v>
      </c>
      <c r="LE295">
        <v>5</v>
      </c>
      <c r="LF295">
        <v>1</v>
      </c>
      <c r="LH295">
        <v>135</v>
      </c>
      <c r="LI295">
        <v>0</v>
      </c>
      <c r="LO295">
        <v>9</v>
      </c>
      <c r="LR295">
        <v>31</v>
      </c>
      <c r="LU295">
        <v>16</v>
      </c>
      <c r="LV295">
        <v>29</v>
      </c>
      <c r="LX295">
        <v>142</v>
      </c>
      <c r="LY295">
        <v>7</v>
      </c>
      <c r="LZ295">
        <v>43</v>
      </c>
      <c r="MA295">
        <v>18</v>
      </c>
      <c r="ME295">
        <v>19</v>
      </c>
      <c r="MF295">
        <v>2</v>
      </c>
      <c r="MG295">
        <v>10</v>
      </c>
      <c r="MH295">
        <v>5</v>
      </c>
      <c r="MI295">
        <v>24</v>
      </c>
      <c r="MK295">
        <v>4</v>
      </c>
      <c r="ML295">
        <v>25</v>
      </c>
      <c r="MN295">
        <v>15</v>
      </c>
      <c r="MW295">
        <v>7</v>
      </c>
      <c r="MZ295">
        <v>21</v>
      </c>
      <c r="NR295">
        <v>1</v>
      </c>
      <c r="OB295">
        <v>10</v>
      </c>
      <c r="OD295">
        <v>108</v>
      </c>
      <c r="OE295">
        <v>83</v>
      </c>
      <c r="OF295">
        <v>841</v>
      </c>
      <c r="OI295">
        <v>36</v>
      </c>
      <c r="OJ295">
        <v>4</v>
      </c>
      <c r="OK295">
        <v>212</v>
      </c>
      <c r="OO295">
        <v>6850</v>
      </c>
      <c r="OP295">
        <v>1458</v>
      </c>
      <c r="OV295">
        <v>1358</v>
      </c>
      <c r="PI295">
        <v>9666</v>
      </c>
      <c r="PM295" t="str">
        <f>IFERROR(VLOOKUP($A295&amp;"",Key!$A:$C,3,FALSE),"")</f>
        <v>ISIC 49</v>
      </c>
    </row>
    <row r="296" spans="1:429" x14ac:dyDescent="0.25">
      <c r="A296">
        <v>483000</v>
      </c>
      <c r="B296" t="s">
        <v>431</v>
      </c>
      <c r="Y296">
        <v>10</v>
      </c>
      <c r="AA296">
        <v>3</v>
      </c>
      <c r="AE296">
        <v>1</v>
      </c>
      <c r="AH296">
        <v>2</v>
      </c>
      <c r="AL296">
        <v>2</v>
      </c>
      <c r="IL296">
        <v>3</v>
      </c>
      <c r="JS296">
        <v>16</v>
      </c>
      <c r="JV296">
        <v>6</v>
      </c>
      <c r="KJ296">
        <v>1</v>
      </c>
      <c r="KU296">
        <v>1</v>
      </c>
      <c r="LW296">
        <v>2</v>
      </c>
      <c r="LY296">
        <v>4</v>
      </c>
      <c r="LZ296">
        <v>1066</v>
      </c>
      <c r="MB296">
        <v>4</v>
      </c>
      <c r="MF296">
        <v>85</v>
      </c>
      <c r="MN296">
        <v>5</v>
      </c>
      <c r="MO296">
        <v>5</v>
      </c>
      <c r="MQ296">
        <v>232</v>
      </c>
      <c r="MW296">
        <v>2</v>
      </c>
      <c r="MY296">
        <v>3</v>
      </c>
      <c r="MZ296">
        <v>47</v>
      </c>
      <c r="NC296">
        <v>6</v>
      </c>
      <c r="NG296">
        <v>1</v>
      </c>
      <c r="NR296">
        <v>1</v>
      </c>
      <c r="NT296">
        <v>2</v>
      </c>
      <c r="NV296">
        <v>3</v>
      </c>
      <c r="NY296">
        <v>2</v>
      </c>
      <c r="OD296">
        <v>1191</v>
      </c>
      <c r="OE296">
        <v>118</v>
      </c>
      <c r="OF296">
        <v>887</v>
      </c>
      <c r="OK296">
        <v>118</v>
      </c>
      <c r="OO296">
        <v>3826</v>
      </c>
      <c r="OP296">
        <v>22027</v>
      </c>
      <c r="OV296">
        <v>4858</v>
      </c>
      <c r="PI296">
        <v>30710</v>
      </c>
      <c r="PM296" t="str">
        <f>IFERROR(VLOOKUP($A296&amp;"",Key!$A:$C,3,FALSE),"")</f>
        <v>ISIC 50</v>
      </c>
    </row>
    <row r="297" spans="1:429" x14ac:dyDescent="0.25">
      <c r="A297">
        <v>484000</v>
      </c>
      <c r="B297" t="s">
        <v>432</v>
      </c>
      <c r="C297">
        <v>0</v>
      </c>
      <c r="D297">
        <v>11</v>
      </c>
      <c r="E297">
        <v>6</v>
      </c>
      <c r="F297">
        <v>9</v>
      </c>
      <c r="H297">
        <v>9</v>
      </c>
      <c r="I297">
        <v>13</v>
      </c>
      <c r="K297">
        <v>64</v>
      </c>
      <c r="L297">
        <v>22</v>
      </c>
      <c r="V297">
        <v>39</v>
      </c>
      <c r="W297">
        <v>87</v>
      </c>
      <c r="AM297">
        <v>15</v>
      </c>
      <c r="AN297">
        <v>12</v>
      </c>
      <c r="AO297">
        <v>18</v>
      </c>
      <c r="AP297">
        <v>25</v>
      </c>
      <c r="AR297">
        <v>25</v>
      </c>
      <c r="AS297">
        <v>7</v>
      </c>
      <c r="AT297">
        <v>28</v>
      </c>
      <c r="AU297">
        <v>10</v>
      </c>
      <c r="AV297">
        <v>14</v>
      </c>
      <c r="BC297">
        <v>40</v>
      </c>
      <c r="BG297">
        <v>21</v>
      </c>
      <c r="BK297">
        <v>27</v>
      </c>
      <c r="BM297">
        <v>5</v>
      </c>
      <c r="BN297">
        <v>9</v>
      </c>
      <c r="BO297">
        <v>17</v>
      </c>
      <c r="BP297">
        <v>15</v>
      </c>
      <c r="BQ297">
        <v>40</v>
      </c>
      <c r="BR297">
        <v>42</v>
      </c>
      <c r="BS297">
        <v>5</v>
      </c>
      <c r="BT297">
        <v>5</v>
      </c>
      <c r="BU297">
        <v>7</v>
      </c>
      <c r="BV297">
        <v>13</v>
      </c>
      <c r="BW297">
        <v>10</v>
      </c>
      <c r="BX297">
        <v>42</v>
      </c>
      <c r="BY297">
        <v>32</v>
      </c>
      <c r="BZ297">
        <v>28</v>
      </c>
      <c r="CA297">
        <v>5</v>
      </c>
      <c r="CB297">
        <v>19</v>
      </c>
      <c r="CC297">
        <v>6</v>
      </c>
      <c r="CD297">
        <v>4</v>
      </c>
      <c r="CE297">
        <v>6</v>
      </c>
      <c r="CF297">
        <v>15</v>
      </c>
      <c r="CG297">
        <v>10</v>
      </c>
      <c r="CH297">
        <v>2</v>
      </c>
      <c r="CI297">
        <v>8</v>
      </c>
      <c r="CJ297">
        <v>10</v>
      </c>
      <c r="CK297">
        <v>4</v>
      </c>
      <c r="CL297">
        <v>25</v>
      </c>
      <c r="CM297">
        <v>3</v>
      </c>
      <c r="CN297">
        <v>1</v>
      </c>
      <c r="CO297">
        <v>11</v>
      </c>
      <c r="CP297">
        <v>3</v>
      </c>
      <c r="CQ297">
        <v>17</v>
      </c>
      <c r="CS297">
        <v>7</v>
      </c>
      <c r="CT297">
        <v>8</v>
      </c>
      <c r="CU297">
        <v>5</v>
      </c>
      <c r="CV297">
        <v>4</v>
      </c>
      <c r="CW297">
        <v>5</v>
      </c>
      <c r="CY297">
        <v>2</v>
      </c>
      <c r="CZ297">
        <v>11</v>
      </c>
      <c r="DA297">
        <v>3</v>
      </c>
      <c r="DB297">
        <v>8</v>
      </c>
      <c r="DC297">
        <v>14</v>
      </c>
      <c r="DE297">
        <v>4</v>
      </c>
      <c r="DG297">
        <v>17</v>
      </c>
      <c r="DH297">
        <v>6</v>
      </c>
      <c r="DI297">
        <v>0</v>
      </c>
      <c r="DJ297">
        <v>0</v>
      </c>
      <c r="DK297">
        <v>0</v>
      </c>
      <c r="DL297">
        <v>2</v>
      </c>
      <c r="DM297">
        <v>3</v>
      </c>
      <c r="DN297">
        <v>1</v>
      </c>
      <c r="DO297">
        <v>5</v>
      </c>
      <c r="DP297">
        <v>2</v>
      </c>
      <c r="DQ297">
        <v>4</v>
      </c>
      <c r="DR297">
        <v>7</v>
      </c>
      <c r="DS297">
        <v>13</v>
      </c>
      <c r="DT297">
        <v>1</v>
      </c>
      <c r="DU297">
        <v>2</v>
      </c>
      <c r="DV297">
        <v>1</v>
      </c>
      <c r="DW297">
        <v>27</v>
      </c>
      <c r="DX297">
        <v>4</v>
      </c>
      <c r="DY297">
        <v>1</v>
      </c>
      <c r="DZ297">
        <v>2</v>
      </c>
      <c r="EA297">
        <v>0</v>
      </c>
      <c r="EB297">
        <v>1</v>
      </c>
      <c r="EH297">
        <v>13</v>
      </c>
      <c r="EJ297">
        <v>17</v>
      </c>
      <c r="EP297">
        <v>23</v>
      </c>
      <c r="EQ297">
        <v>3</v>
      </c>
      <c r="ER297">
        <v>16</v>
      </c>
      <c r="EX297">
        <v>14</v>
      </c>
      <c r="EY297">
        <v>10</v>
      </c>
      <c r="EZ297">
        <v>10</v>
      </c>
      <c r="FA297">
        <v>13</v>
      </c>
      <c r="FB297">
        <v>9</v>
      </c>
      <c r="FC297">
        <v>8</v>
      </c>
      <c r="FD297">
        <v>4</v>
      </c>
      <c r="FE297">
        <v>15</v>
      </c>
      <c r="FF297">
        <v>26</v>
      </c>
      <c r="FG297">
        <v>11</v>
      </c>
      <c r="FH297">
        <v>19</v>
      </c>
      <c r="FI297">
        <v>9</v>
      </c>
      <c r="FK297">
        <v>12</v>
      </c>
      <c r="FP297">
        <v>18</v>
      </c>
      <c r="FQ297">
        <v>23</v>
      </c>
      <c r="FR297">
        <v>9</v>
      </c>
      <c r="FS297">
        <v>12</v>
      </c>
      <c r="FT297">
        <v>0</v>
      </c>
      <c r="FU297">
        <v>13</v>
      </c>
      <c r="FX297">
        <v>40</v>
      </c>
      <c r="FY297">
        <v>43</v>
      </c>
      <c r="FZ297">
        <v>8</v>
      </c>
      <c r="GA297">
        <v>5</v>
      </c>
      <c r="GB297">
        <v>16</v>
      </c>
      <c r="GC297">
        <v>10</v>
      </c>
      <c r="GD297">
        <v>18</v>
      </c>
      <c r="GE297">
        <v>1</v>
      </c>
      <c r="GF297">
        <v>5</v>
      </c>
      <c r="GG297">
        <v>23</v>
      </c>
      <c r="GH297">
        <v>36</v>
      </c>
      <c r="GQ297">
        <v>8</v>
      </c>
      <c r="GR297">
        <v>12</v>
      </c>
      <c r="GU297">
        <v>7</v>
      </c>
      <c r="GW297">
        <v>11</v>
      </c>
      <c r="GX297">
        <v>25</v>
      </c>
      <c r="GY297">
        <v>3</v>
      </c>
      <c r="GZ297">
        <v>19</v>
      </c>
      <c r="HA297">
        <v>5</v>
      </c>
      <c r="HF297">
        <v>7</v>
      </c>
      <c r="HG297">
        <v>35</v>
      </c>
      <c r="HI297">
        <v>15</v>
      </c>
      <c r="HL297">
        <v>8</v>
      </c>
      <c r="HM297">
        <v>7</v>
      </c>
      <c r="HN297">
        <v>6</v>
      </c>
      <c r="HP297">
        <v>3</v>
      </c>
      <c r="HQ297">
        <v>7</v>
      </c>
      <c r="HR297">
        <v>6</v>
      </c>
      <c r="HS297">
        <v>0</v>
      </c>
      <c r="HT297">
        <v>4</v>
      </c>
      <c r="HU297">
        <v>41</v>
      </c>
      <c r="HV297">
        <v>22</v>
      </c>
      <c r="HW297">
        <v>82</v>
      </c>
      <c r="HX297">
        <v>26</v>
      </c>
      <c r="HY297">
        <v>10</v>
      </c>
      <c r="HZ297">
        <v>6</v>
      </c>
      <c r="IA297">
        <v>6</v>
      </c>
      <c r="IB297">
        <v>44</v>
      </c>
      <c r="IC297">
        <v>4</v>
      </c>
      <c r="ID297">
        <v>163</v>
      </c>
      <c r="IE297">
        <v>20</v>
      </c>
      <c r="IF297">
        <v>9</v>
      </c>
      <c r="IG297">
        <v>14</v>
      </c>
      <c r="IK297">
        <v>22</v>
      </c>
      <c r="IL297">
        <v>45</v>
      </c>
      <c r="IM297">
        <v>23</v>
      </c>
      <c r="IO297">
        <v>2</v>
      </c>
      <c r="IP297">
        <v>20</v>
      </c>
      <c r="IQ297">
        <v>2</v>
      </c>
      <c r="IR297">
        <v>1</v>
      </c>
      <c r="IU297">
        <v>8</v>
      </c>
      <c r="IW297">
        <v>8</v>
      </c>
      <c r="IX297">
        <v>8</v>
      </c>
      <c r="IZ297">
        <v>14</v>
      </c>
      <c r="JA297">
        <v>28</v>
      </c>
      <c r="JB297">
        <v>9</v>
      </c>
      <c r="JD297">
        <v>7</v>
      </c>
      <c r="JE297">
        <v>7</v>
      </c>
      <c r="JF297">
        <v>8</v>
      </c>
      <c r="JG297">
        <v>102</v>
      </c>
      <c r="JH297">
        <v>16</v>
      </c>
      <c r="JJ297">
        <v>21</v>
      </c>
      <c r="JK297">
        <v>314</v>
      </c>
      <c r="JL297">
        <v>316</v>
      </c>
      <c r="JM297">
        <v>587</v>
      </c>
      <c r="JN297">
        <v>266</v>
      </c>
      <c r="JO297">
        <v>731</v>
      </c>
      <c r="JP297">
        <v>425</v>
      </c>
      <c r="JQ297">
        <v>396</v>
      </c>
      <c r="JR297">
        <v>108</v>
      </c>
      <c r="JS297">
        <v>828</v>
      </c>
      <c r="JT297">
        <v>137</v>
      </c>
      <c r="JV297">
        <v>2058</v>
      </c>
      <c r="JW297">
        <v>1019</v>
      </c>
      <c r="JX297">
        <v>721</v>
      </c>
      <c r="JY297">
        <v>208</v>
      </c>
      <c r="JZ297">
        <v>97</v>
      </c>
      <c r="KA297">
        <v>856</v>
      </c>
      <c r="KB297">
        <v>648</v>
      </c>
      <c r="KC297">
        <v>1978</v>
      </c>
      <c r="KD297">
        <v>604</v>
      </c>
      <c r="KE297">
        <v>876</v>
      </c>
      <c r="KF297">
        <v>128</v>
      </c>
      <c r="KG297">
        <v>77</v>
      </c>
      <c r="KH297">
        <v>10714</v>
      </c>
      <c r="KI297">
        <v>97</v>
      </c>
      <c r="KJ297">
        <v>6</v>
      </c>
      <c r="KK297">
        <v>3341</v>
      </c>
      <c r="KL297">
        <v>125</v>
      </c>
      <c r="KM297">
        <v>1143</v>
      </c>
      <c r="KN297">
        <v>20</v>
      </c>
      <c r="KO297">
        <v>23</v>
      </c>
      <c r="KP297">
        <v>43</v>
      </c>
      <c r="KQ297">
        <v>14</v>
      </c>
      <c r="KR297">
        <v>6</v>
      </c>
      <c r="KS297">
        <v>29</v>
      </c>
      <c r="KT297">
        <v>3</v>
      </c>
      <c r="KX297">
        <v>0</v>
      </c>
      <c r="KY297">
        <v>2</v>
      </c>
      <c r="KZ297">
        <v>135</v>
      </c>
      <c r="LA297">
        <v>77</v>
      </c>
      <c r="LB297">
        <v>0</v>
      </c>
      <c r="LI297">
        <v>6</v>
      </c>
      <c r="LJ297">
        <v>4</v>
      </c>
      <c r="LN297">
        <v>25</v>
      </c>
      <c r="LO297">
        <v>57</v>
      </c>
      <c r="LP297">
        <v>5</v>
      </c>
      <c r="LQ297">
        <v>135</v>
      </c>
      <c r="LR297">
        <v>74</v>
      </c>
      <c r="LS297">
        <v>15</v>
      </c>
      <c r="LT297">
        <v>46</v>
      </c>
      <c r="LU297">
        <v>18</v>
      </c>
      <c r="LV297">
        <v>76</v>
      </c>
      <c r="LW297">
        <v>17</v>
      </c>
      <c r="LX297">
        <v>677</v>
      </c>
      <c r="LY297">
        <v>17</v>
      </c>
      <c r="LZ297">
        <v>139</v>
      </c>
      <c r="MA297">
        <v>67</v>
      </c>
      <c r="MB297">
        <v>6</v>
      </c>
      <c r="MC297">
        <v>1</v>
      </c>
      <c r="MD297">
        <v>1</v>
      </c>
      <c r="ME297">
        <v>33</v>
      </c>
      <c r="MF297">
        <v>5</v>
      </c>
      <c r="MG297">
        <v>37</v>
      </c>
      <c r="MH297">
        <v>2</v>
      </c>
      <c r="MI297">
        <v>27</v>
      </c>
      <c r="MJ297">
        <v>2</v>
      </c>
      <c r="MK297">
        <v>74</v>
      </c>
      <c r="ML297">
        <v>39</v>
      </c>
      <c r="MM297">
        <v>4</v>
      </c>
      <c r="MN297">
        <v>32</v>
      </c>
      <c r="MO297">
        <v>38</v>
      </c>
      <c r="MQ297">
        <v>0</v>
      </c>
      <c r="MR297">
        <v>20</v>
      </c>
      <c r="MS297">
        <v>54</v>
      </c>
      <c r="MT297">
        <v>11</v>
      </c>
      <c r="MU297">
        <v>4</v>
      </c>
      <c r="MV297">
        <v>27</v>
      </c>
      <c r="MW297">
        <v>8</v>
      </c>
      <c r="MX297">
        <v>11</v>
      </c>
      <c r="MY297">
        <v>12</v>
      </c>
      <c r="MZ297">
        <v>201</v>
      </c>
      <c r="NA297">
        <v>7</v>
      </c>
      <c r="NB297">
        <v>13</v>
      </c>
      <c r="NC297">
        <v>47</v>
      </c>
      <c r="NE297">
        <v>34</v>
      </c>
      <c r="NF297">
        <v>3</v>
      </c>
      <c r="NG297">
        <v>1</v>
      </c>
      <c r="NH297">
        <v>1</v>
      </c>
      <c r="NI297">
        <v>1</v>
      </c>
      <c r="NJ297">
        <v>17</v>
      </c>
      <c r="NM297">
        <v>3</v>
      </c>
      <c r="NN297">
        <v>14</v>
      </c>
      <c r="NO297">
        <v>48</v>
      </c>
      <c r="NP297">
        <v>46</v>
      </c>
      <c r="NQ297">
        <v>41</v>
      </c>
      <c r="NR297">
        <v>25</v>
      </c>
      <c r="NS297">
        <v>7</v>
      </c>
      <c r="NT297">
        <v>10</v>
      </c>
      <c r="NU297">
        <v>7</v>
      </c>
      <c r="NV297">
        <v>27</v>
      </c>
      <c r="NW297">
        <v>0</v>
      </c>
      <c r="NX297">
        <v>6</v>
      </c>
      <c r="NY297">
        <v>25</v>
      </c>
      <c r="OA297">
        <v>20</v>
      </c>
      <c r="OB297">
        <v>16</v>
      </c>
      <c r="OD297">
        <v>3910</v>
      </c>
      <c r="OE297">
        <v>69</v>
      </c>
      <c r="OF297">
        <v>962</v>
      </c>
      <c r="OI297">
        <v>121</v>
      </c>
      <c r="OJ297">
        <v>5</v>
      </c>
      <c r="OK297">
        <v>60</v>
      </c>
      <c r="ON297">
        <v>12</v>
      </c>
      <c r="OO297">
        <v>39328</v>
      </c>
      <c r="OP297">
        <v>11700</v>
      </c>
      <c r="OV297">
        <v>1629</v>
      </c>
      <c r="PI297">
        <v>52658</v>
      </c>
      <c r="PM297" t="str">
        <f>IFERROR(VLOOKUP($A297&amp;"",Key!$A:$C,3,FALSE),"")</f>
        <v>ISIC 49</v>
      </c>
    </row>
    <row r="298" spans="1:429" x14ac:dyDescent="0.25">
      <c r="A298">
        <v>485000</v>
      </c>
      <c r="B298" t="s">
        <v>433</v>
      </c>
      <c r="N298">
        <v>1</v>
      </c>
      <c r="P298">
        <v>0</v>
      </c>
      <c r="Q298">
        <v>2</v>
      </c>
      <c r="T298">
        <v>1</v>
      </c>
      <c r="U298">
        <v>0</v>
      </c>
      <c r="V298">
        <v>3</v>
      </c>
      <c r="W298">
        <v>80</v>
      </c>
      <c r="X298">
        <v>157</v>
      </c>
      <c r="Y298">
        <v>619</v>
      </c>
      <c r="Z298">
        <v>1</v>
      </c>
      <c r="AA298">
        <v>6</v>
      </c>
      <c r="AB298">
        <v>1</v>
      </c>
      <c r="AC298">
        <v>98</v>
      </c>
      <c r="AD298">
        <v>12</v>
      </c>
      <c r="AE298">
        <v>60</v>
      </c>
      <c r="AF298">
        <v>12</v>
      </c>
      <c r="AG298">
        <v>88</v>
      </c>
      <c r="AH298">
        <v>7</v>
      </c>
      <c r="AI298">
        <v>20</v>
      </c>
      <c r="AJ298">
        <v>4</v>
      </c>
      <c r="AK298">
        <v>89</v>
      </c>
      <c r="AL298">
        <v>27</v>
      </c>
      <c r="AM298">
        <v>9</v>
      </c>
      <c r="AN298">
        <v>6</v>
      </c>
      <c r="AO298">
        <v>7</v>
      </c>
      <c r="AP298">
        <v>12</v>
      </c>
      <c r="AQ298">
        <v>1</v>
      </c>
      <c r="AR298">
        <v>13</v>
      </c>
      <c r="AS298">
        <v>2</v>
      </c>
      <c r="AT298">
        <v>28</v>
      </c>
      <c r="AU298">
        <v>1</v>
      </c>
      <c r="AV298">
        <v>9</v>
      </c>
      <c r="AW298">
        <v>1</v>
      </c>
      <c r="AX298">
        <v>1</v>
      </c>
      <c r="AY298">
        <v>3</v>
      </c>
      <c r="AZ298">
        <v>1</v>
      </c>
      <c r="BA298">
        <v>4</v>
      </c>
      <c r="BB298">
        <v>4</v>
      </c>
      <c r="BC298">
        <v>24</v>
      </c>
      <c r="BD298">
        <v>5</v>
      </c>
      <c r="BE298">
        <v>1</v>
      </c>
      <c r="BF298">
        <v>0</v>
      </c>
      <c r="BG298">
        <v>4</v>
      </c>
      <c r="BH298">
        <v>1</v>
      </c>
      <c r="BI298">
        <v>2</v>
      </c>
      <c r="BJ298">
        <v>2</v>
      </c>
      <c r="BK298">
        <v>5</v>
      </c>
      <c r="BL298">
        <v>6</v>
      </c>
      <c r="BM298">
        <v>3</v>
      </c>
      <c r="BN298">
        <v>3</v>
      </c>
      <c r="BO298">
        <v>6</v>
      </c>
      <c r="BP298">
        <v>3</v>
      </c>
      <c r="BQ298">
        <v>24</v>
      </c>
      <c r="BR298">
        <v>14</v>
      </c>
      <c r="BS298">
        <v>2</v>
      </c>
      <c r="BT298">
        <v>3</v>
      </c>
      <c r="BU298">
        <v>2</v>
      </c>
      <c r="BV298">
        <v>4</v>
      </c>
      <c r="BW298">
        <v>4</v>
      </c>
      <c r="BX298">
        <v>22</v>
      </c>
      <c r="BY298">
        <v>15</v>
      </c>
      <c r="BZ298">
        <v>13</v>
      </c>
      <c r="CB298">
        <v>6</v>
      </c>
      <c r="CC298">
        <v>0</v>
      </c>
      <c r="CD298">
        <v>2</v>
      </c>
      <c r="CF298">
        <v>3</v>
      </c>
      <c r="CG298">
        <v>6</v>
      </c>
      <c r="CH298">
        <v>1</v>
      </c>
      <c r="CI298">
        <v>4</v>
      </c>
      <c r="CJ298">
        <v>10</v>
      </c>
      <c r="CK298">
        <v>3</v>
      </c>
      <c r="CL298">
        <v>9</v>
      </c>
      <c r="CM298">
        <v>2</v>
      </c>
      <c r="CO298">
        <v>7</v>
      </c>
      <c r="CP298">
        <v>2</v>
      </c>
      <c r="CQ298">
        <v>8</v>
      </c>
      <c r="CR298">
        <v>1</v>
      </c>
      <c r="CS298">
        <v>1</v>
      </c>
      <c r="CT298">
        <v>4</v>
      </c>
      <c r="CU298">
        <v>2</v>
      </c>
      <c r="CV298">
        <v>2</v>
      </c>
      <c r="CX298">
        <v>0</v>
      </c>
      <c r="CY298">
        <v>1</v>
      </c>
      <c r="CZ298">
        <v>12</v>
      </c>
      <c r="DA298">
        <v>2</v>
      </c>
      <c r="DB298">
        <v>2</v>
      </c>
      <c r="DC298">
        <v>4</v>
      </c>
      <c r="DE298">
        <v>3</v>
      </c>
      <c r="DF298">
        <v>0</v>
      </c>
      <c r="DG298">
        <v>6</v>
      </c>
      <c r="DH298">
        <v>1</v>
      </c>
      <c r="DK298">
        <v>0</v>
      </c>
      <c r="DL298">
        <v>0</v>
      </c>
      <c r="DM298">
        <v>0</v>
      </c>
      <c r="DO298">
        <v>0</v>
      </c>
      <c r="DQ298">
        <v>0</v>
      </c>
      <c r="DR298">
        <v>9</v>
      </c>
      <c r="DS298">
        <v>1</v>
      </c>
      <c r="DU298">
        <v>1</v>
      </c>
      <c r="DV298">
        <v>0</v>
      </c>
      <c r="DW298">
        <v>1</v>
      </c>
      <c r="DX298">
        <v>3</v>
      </c>
      <c r="DY298">
        <v>0</v>
      </c>
      <c r="DZ298">
        <v>3</v>
      </c>
      <c r="ED298">
        <v>2</v>
      </c>
      <c r="EE298">
        <v>0</v>
      </c>
      <c r="EI298">
        <v>1</v>
      </c>
      <c r="EM298">
        <v>1</v>
      </c>
      <c r="EN298">
        <v>1</v>
      </c>
      <c r="EP298">
        <v>2</v>
      </c>
      <c r="EQ298">
        <v>4</v>
      </c>
      <c r="ER298">
        <v>3</v>
      </c>
      <c r="ES298">
        <v>0</v>
      </c>
      <c r="ET298">
        <v>4</v>
      </c>
      <c r="EU298">
        <v>1</v>
      </c>
      <c r="EW298">
        <v>4</v>
      </c>
      <c r="EX298">
        <v>5</v>
      </c>
      <c r="EY298">
        <v>4</v>
      </c>
      <c r="EZ298">
        <v>5</v>
      </c>
      <c r="FA298">
        <v>5</v>
      </c>
      <c r="FB298">
        <v>19</v>
      </c>
      <c r="FC298">
        <v>9</v>
      </c>
      <c r="FD298">
        <v>6</v>
      </c>
      <c r="FE298">
        <v>3</v>
      </c>
      <c r="FF298">
        <v>8</v>
      </c>
      <c r="FG298">
        <v>9</v>
      </c>
      <c r="FJ298">
        <v>8</v>
      </c>
      <c r="FK298">
        <v>7</v>
      </c>
      <c r="FL298">
        <v>2</v>
      </c>
      <c r="FM298">
        <v>1</v>
      </c>
      <c r="FP298">
        <v>13</v>
      </c>
      <c r="FQ298">
        <v>3</v>
      </c>
      <c r="FR298">
        <v>1</v>
      </c>
      <c r="FS298">
        <v>4</v>
      </c>
      <c r="FT298">
        <v>2</v>
      </c>
      <c r="FU298">
        <v>3</v>
      </c>
      <c r="FV298">
        <v>13</v>
      </c>
      <c r="FW298">
        <v>3</v>
      </c>
      <c r="FX298">
        <v>6</v>
      </c>
      <c r="FY298">
        <v>33</v>
      </c>
      <c r="FZ298">
        <v>1</v>
      </c>
      <c r="GB298">
        <v>1</v>
      </c>
      <c r="GC298">
        <v>4</v>
      </c>
      <c r="GD298">
        <v>6</v>
      </c>
      <c r="GF298">
        <v>0</v>
      </c>
      <c r="GG298">
        <v>8</v>
      </c>
      <c r="GH298">
        <v>7</v>
      </c>
      <c r="GI298">
        <v>2</v>
      </c>
      <c r="GJ298">
        <v>8</v>
      </c>
      <c r="GK298">
        <v>2</v>
      </c>
      <c r="GL298">
        <v>1</v>
      </c>
      <c r="GP298">
        <v>2</v>
      </c>
      <c r="GQ298">
        <v>1</v>
      </c>
      <c r="GR298">
        <v>2</v>
      </c>
      <c r="GS298">
        <v>2</v>
      </c>
      <c r="GT298">
        <v>1</v>
      </c>
      <c r="GU298">
        <v>10</v>
      </c>
      <c r="GW298">
        <v>12</v>
      </c>
      <c r="GX298">
        <v>14</v>
      </c>
      <c r="GY298">
        <v>2</v>
      </c>
      <c r="GZ298">
        <v>38</v>
      </c>
      <c r="HA298">
        <v>7</v>
      </c>
      <c r="HB298">
        <v>2</v>
      </c>
      <c r="HC298">
        <v>1</v>
      </c>
      <c r="HD298">
        <v>2</v>
      </c>
      <c r="HE298">
        <v>5</v>
      </c>
      <c r="HF298">
        <v>4</v>
      </c>
      <c r="HG298">
        <v>10</v>
      </c>
      <c r="HH298">
        <v>3</v>
      </c>
      <c r="HI298">
        <v>4</v>
      </c>
      <c r="HK298">
        <v>2</v>
      </c>
      <c r="HM298">
        <v>1</v>
      </c>
      <c r="HN298">
        <v>1</v>
      </c>
      <c r="HO298">
        <v>0</v>
      </c>
      <c r="HQ298">
        <v>2</v>
      </c>
      <c r="HR298">
        <v>0</v>
      </c>
      <c r="HS298">
        <v>0</v>
      </c>
      <c r="HT298">
        <v>2</v>
      </c>
      <c r="HU298">
        <v>4</v>
      </c>
      <c r="HV298">
        <v>5</v>
      </c>
      <c r="HW298">
        <v>29</v>
      </c>
      <c r="HX298">
        <v>3</v>
      </c>
      <c r="HY298">
        <v>2</v>
      </c>
      <c r="HZ298">
        <v>1</v>
      </c>
      <c r="IA298">
        <v>0</v>
      </c>
      <c r="IB298">
        <v>57</v>
      </c>
      <c r="IC298">
        <v>1</v>
      </c>
      <c r="ID298">
        <v>25</v>
      </c>
      <c r="IE298">
        <v>5</v>
      </c>
      <c r="IF298">
        <v>1</v>
      </c>
      <c r="IG298">
        <v>1</v>
      </c>
      <c r="IK298">
        <v>6</v>
      </c>
      <c r="IL298">
        <v>39</v>
      </c>
      <c r="IM298">
        <v>17</v>
      </c>
      <c r="IN298">
        <v>2</v>
      </c>
      <c r="IP298">
        <v>3</v>
      </c>
      <c r="IQ298">
        <v>2</v>
      </c>
      <c r="IR298">
        <v>0</v>
      </c>
      <c r="IS298">
        <v>1</v>
      </c>
      <c r="IT298">
        <v>0</v>
      </c>
      <c r="IU298">
        <v>3</v>
      </c>
      <c r="IV298">
        <v>2</v>
      </c>
      <c r="IW298">
        <v>3</v>
      </c>
      <c r="IX298">
        <v>1</v>
      </c>
      <c r="IZ298">
        <v>4</v>
      </c>
      <c r="JA298">
        <v>22</v>
      </c>
      <c r="JB298">
        <v>1</v>
      </c>
      <c r="JD298">
        <v>22</v>
      </c>
      <c r="JE298">
        <v>4</v>
      </c>
      <c r="JF298">
        <v>1</v>
      </c>
      <c r="JG298">
        <v>54</v>
      </c>
      <c r="JH298">
        <v>4</v>
      </c>
      <c r="JI298">
        <v>2</v>
      </c>
      <c r="JJ298">
        <v>5</v>
      </c>
      <c r="JK298">
        <v>144</v>
      </c>
      <c r="JL298">
        <v>130</v>
      </c>
      <c r="JM298">
        <v>130</v>
      </c>
      <c r="JN298">
        <v>102</v>
      </c>
      <c r="JO298">
        <v>174</v>
      </c>
      <c r="JP298">
        <v>25</v>
      </c>
      <c r="JQ298">
        <v>200</v>
      </c>
      <c r="JS298">
        <v>259</v>
      </c>
      <c r="JT298">
        <v>1</v>
      </c>
      <c r="JV298">
        <v>109</v>
      </c>
      <c r="JW298">
        <v>4</v>
      </c>
      <c r="JX298">
        <v>21</v>
      </c>
      <c r="JY298">
        <v>26</v>
      </c>
      <c r="KA298">
        <v>18</v>
      </c>
      <c r="KB298">
        <v>1</v>
      </c>
      <c r="KC298">
        <v>50</v>
      </c>
      <c r="KE298">
        <v>1</v>
      </c>
      <c r="KF298">
        <v>270</v>
      </c>
      <c r="KJ298">
        <v>1</v>
      </c>
      <c r="KK298">
        <v>167</v>
      </c>
      <c r="KM298">
        <v>4</v>
      </c>
      <c r="KN298">
        <v>12</v>
      </c>
      <c r="KO298">
        <v>23</v>
      </c>
      <c r="KP298">
        <v>34</v>
      </c>
      <c r="KQ298">
        <v>7</v>
      </c>
      <c r="KR298">
        <v>117</v>
      </c>
      <c r="KS298">
        <v>40</v>
      </c>
      <c r="KT298">
        <v>14</v>
      </c>
      <c r="KU298">
        <v>2</v>
      </c>
      <c r="KV298">
        <v>6</v>
      </c>
      <c r="KW298">
        <v>52</v>
      </c>
      <c r="KX298">
        <v>468</v>
      </c>
      <c r="KY298">
        <v>63</v>
      </c>
      <c r="KZ298">
        <v>713</v>
      </c>
      <c r="LA298">
        <v>101</v>
      </c>
      <c r="LB298">
        <v>0</v>
      </c>
      <c r="LC298">
        <v>1131</v>
      </c>
      <c r="LD298">
        <v>1610</v>
      </c>
      <c r="LE298">
        <v>865</v>
      </c>
      <c r="LF298">
        <v>145</v>
      </c>
      <c r="LG298">
        <v>797</v>
      </c>
      <c r="LH298">
        <v>344</v>
      </c>
      <c r="LI298">
        <v>49</v>
      </c>
      <c r="LJ298">
        <v>217</v>
      </c>
      <c r="LL298">
        <v>20</v>
      </c>
      <c r="LM298">
        <v>5094</v>
      </c>
      <c r="LN298">
        <v>337</v>
      </c>
      <c r="LO298">
        <v>208</v>
      </c>
      <c r="LP298">
        <v>41</v>
      </c>
      <c r="LR298">
        <v>552</v>
      </c>
      <c r="LS298">
        <v>176</v>
      </c>
      <c r="LT298">
        <v>1338</v>
      </c>
      <c r="LU298">
        <v>338</v>
      </c>
      <c r="LV298">
        <v>445</v>
      </c>
      <c r="LW298">
        <v>586</v>
      </c>
      <c r="LX298">
        <v>1456</v>
      </c>
      <c r="LY298">
        <v>106</v>
      </c>
      <c r="LZ298">
        <v>257</v>
      </c>
      <c r="MA298">
        <v>177</v>
      </c>
      <c r="MB298">
        <v>30</v>
      </c>
      <c r="MC298">
        <v>25</v>
      </c>
      <c r="MD298">
        <v>33</v>
      </c>
      <c r="ME298">
        <v>138</v>
      </c>
      <c r="MF298">
        <v>184</v>
      </c>
      <c r="MG298">
        <v>1144</v>
      </c>
      <c r="MH298">
        <v>116</v>
      </c>
      <c r="MI298">
        <v>313</v>
      </c>
      <c r="MJ298">
        <v>46</v>
      </c>
      <c r="MK298">
        <v>190</v>
      </c>
      <c r="ML298">
        <v>198</v>
      </c>
      <c r="MM298">
        <v>120</v>
      </c>
      <c r="MN298">
        <v>149</v>
      </c>
      <c r="MO298">
        <v>154</v>
      </c>
      <c r="MP298">
        <v>179</v>
      </c>
      <c r="MQ298">
        <v>209</v>
      </c>
      <c r="MR298">
        <v>56</v>
      </c>
      <c r="MS298">
        <v>1217</v>
      </c>
      <c r="MT298">
        <v>67</v>
      </c>
      <c r="MU298">
        <v>52</v>
      </c>
      <c r="MV298">
        <v>69</v>
      </c>
      <c r="MW298">
        <v>16</v>
      </c>
      <c r="MX298">
        <v>58</v>
      </c>
      <c r="MY298">
        <v>26</v>
      </c>
      <c r="MZ298">
        <v>1848</v>
      </c>
      <c r="NA298">
        <v>490</v>
      </c>
      <c r="NB298">
        <v>14</v>
      </c>
      <c r="NC298">
        <v>111</v>
      </c>
      <c r="ND298">
        <v>29</v>
      </c>
      <c r="NE298">
        <v>30</v>
      </c>
      <c r="NF298">
        <v>5</v>
      </c>
      <c r="NG298">
        <v>31</v>
      </c>
      <c r="NH298">
        <v>2</v>
      </c>
      <c r="NI298">
        <v>2113</v>
      </c>
      <c r="NJ298">
        <v>0</v>
      </c>
      <c r="NK298">
        <v>18</v>
      </c>
      <c r="NL298">
        <v>13</v>
      </c>
      <c r="NM298">
        <v>26</v>
      </c>
      <c r="NN298">
        <v>91</v>
      </c>
      <c r="NO298">
        <v>274</v>
      </c>
      <c r="NP298">
        <v>396</v>
      </c>
      <c r="NQ298">
        <v>69</v>
      </c>
      <c r="NR298">
        <v>12</v>
      </c>
      <c r="NS298">
        <v>5</v>
      </c>
      <c r="NT298">
        <v>15</v>
      </c>
      <c r="NU298">
        <v>4</v>
      </c>
      <c r="NV298">
        <v>38</v>
      </c>
      <c r="NW298">
        <v>0</v>
      </c>
      <c r="NX298">
        <v>7</v>
      </c>
      <c r="NY298">
        <v>22</v>
      </c>
      <c r="OA298">
        <v>150</v>
      </c>
      <c r="OB298">
        <v>61</v>
      </c>
      <c r="OD298">
        <v>27</v>
      </c>
      <c r="OE298">
        <v>5</v>
      </c>
      <c r="OG298">
        <v>2</v>
      </c>
      <c r="OH298">
        <v>11</v>
      </c>
      <c r="OI298">
        <v>12568</v>
      </c>
      <c r="OJ298">
        <v>77</v>
      </c>
      <c r="OK298">
        <v>1840</v>
      </c>
      <c r="OL298">
        <v>774</v>
      </c>
      <c r="OM298">
        <v>1</v>
      </c>
      <c r="ON298">
        <v>24</v>
      </c>
      <c r="OO298">
        <v>48152</v>
      </c>
      <c r="OP298">
        <v>47460</v>
      </c>
      <c r="PI298">
        <v>95611</v>
      </c>
      <c r="PM298" t="str">
        <f>IFERROR(VLOOKUP($A298&amp;"",Key!$A:$C,3,FALSE),"")</f>
        <v>ISIC 49</v>
      </c>
    </row>
    <row r="299" spans="1:429" x14ac:dyDescent="0.25">
      <c r="A299">
        <v>486000</v>
      </c>
      <c r="B299" t="s">
        <v>434</v>
      </c>
      <c r="P299">
        <v>280</v>
      </c>
      <c r="OO299">
        <v>280</v>
      </c>
      <c r="OV299">
        <v>256</v>
      </c>
      <c r="PI299">
        <v>536</v>
      </c>
      <c r="PM299" t="str">
        <f>IFERROR(VLOOKUP($A299&amp;"",Key!$A:$C,3,FALSE),"")</f>
        <v>ISIC 49</v>
      </c>
    </row>
    <row r="300" spans="1:429" x14ac:dyDescent="0.25">
      <c r="A300" t="s">
        <v>601</v>
      </c>
      <c r="B300" t="s">
        <v>435</v>
      </c>
      <c r="N300">
        <v>38</v>
      </c>
      <c r="O300">
        <v>44</v>
      </c>
      <c r="P300">
        <v>12</v>
      </c>
      <c r="Q300">
        <v>40</v>
      </c>
      <c r="S300">
        <v>6</v>
      </c>
      <c r="T300">
        <v>377</v>
      </c>
      <c r="W300">
        <v>6</v>
      </c>
      <c r="X300">
        <v>8367</v>
      </c>
      <c r="Y300">
        <v>438</v>
      </c>
      <c r="Z300">
        <v>19</v>
      </c>
      <c r="AM300">
        <v>49</v>
      </c>
      <c r="AN300">
        <v>96</v>
      </c>
      <c r="AO300">
        <v>284</v>
      </c>
      <c r="AP300">
        <v>100</v>
      </c>
      <c r="AQ300">
        <v>20</v>
      </c>
      <c r="AS300">
        <v>16</v>
      </c>
      <c r="AT300">
        <v>177</v>
      </c>
      <c r="AU300">
        <v>277</v>
      </c>
      <c r="AV300">
        <v>31</v>
      </c>
      <c r="AW300">
        <v>7</v>
      </c>
      <c r="AX300">
        <v>3</v>
      </c>
      <c r="AZ300">
        <v>4</v>
      </c>
      <c r="BA300">
        <v>76</v>
      </c>
      <c r="BB300">
        <v>7</v>
      </c>
      <c r="BC300">
        <v>20</v>
      </c>
      <c r="BD300">
        <v>29</v>
      </c>
      <c r="BE300">
        <v>12</v>
      </c>
      <c r="BF300">
        <v>4</v>
      </c>
      <c r="BG300">
        <v>12</v>
      </c>
      <c r="BI300">
        <v>7</v>
      </c>
      <c r="BJ300">
        <v>27</v>
      </c>
      <c r="BK300">
        <v>7</v>
      </c>
      <c r="BN300">
        <v>49</v>
      </c>
      <c r="BX300">
        <v>6</v>
      </c>
      <c r="BZ300">
        <v>20</v>
      </c>
      <c r="CF300">
        <v>4</v>
      </c>
      <c r="CG300">
        <v>6</v>
      </c>
      <c r="CO300">
        <v>12</v>
      </c>
      <c r="EB300">
        <v>0</v>
      </c>
      <c r="EL300">
        <v>0</v>
      </c>
      <c r="EM300">
        <v>3</v>
      </c>
      <c r="FB300">
        <v>8</v>
      </c>
      <c r="FC300">
        <v>2</v>
      </c>
      <c r="FW300">
        <v>323</v>
      </c>
      <c r="FY300">
        <v>20</v>
      </c>
      <c r="GD300">
        <v>109</v>
      </c>
      <c r="GH300">
        <v>41</v>
      </c>
      <c r="GJ300">
        <v>5</v>
      </c>
      <c r="GK300">
        <v>33</v>
      </c>
      <c r="GL300">
        <v>50</v>
      </c>
      <c r="GP300">
        <v>14</v>
      </c>
      <c r="GQ300">
        <v>8</v>
      </c>
      <c r="GR300">
        <v>8</v>
      </c>
      <c r="GT300">
        <v>7</v>
      </c>
      <c r="GX300">
        <v>3</v>
      </c>
      <c r="GY300">
        <v>45</v>
      </c>
      <c r="HA300">
        <v>209</v>
      </c>
      <c r="HG300">
        <v>11</v>
      </c>
      <c r="HH300">
        <v>10</v>
      </c>
      <c r="HI300">
        <v>14</v>
      </c>
      <c r="HO300">
        <v>15</v>
      </c>
      <c r="HQ300">
        <v>27</v>
      </c>
      <c r="HT300">
        <v>16</v>
      </c>
      <c r="HV300">
        <v>36</v>
      </c>
      <c r="HW300">
        <v>225</v>
      </c>
      <c r="HX300">
        <v>26</v>
      </c>
      <c r="IA300">
        <v>92</v>
      </c>
      <c r="IB300">
        <v>346</v>
      </c>
      <c r="ID300">
        <v>626</v>
      </c>
      <c r="IE300">
        <v>120</v>
      </c>
      <c r="IF300">
        <v>29</v>
      </c>
      <c r="IG300">
        <v>40</v>
      </c>
      <c r="IK300">
        <v>5</v>
      </c>
      <c r="IM300">
        <v>89</v>
      </c>
      <c r="IN300">
        <v>31</v>
      </c>
      <c r="IS300">
        <v>11</v>
      </c>
      <c r="IU300">
        <v>6</v>
      </c>
      <c r="IV300">
        <v>8</v>
      </c>
      <c r="IW300">
        <v>4</v>
      </c>
      <c r="IZ300">
        <v>21</v>
      </c>
      <c r="JA300">
        <v>42</v>
      </c>
      <c r="JB300">
        <v>31</v>
      </c>
      <c r="JD300">
        <v>19</v>
      </c>
      <c r="JE300">
        <v>76</v>
      </c>
      <c r="JF300">
        <v>17</v>
      </c>
      <c r="JG300">
        <v>145</v>
      </c>
      <c r="JH300">
        <v>148</v>
      </c>
      <c r="JJ300">
        <v>11</v>
      </c>
      <c r="JK300">
        <v>1822</v>
      </c>
      <c r="JL300">
        <v>1593</v>
      </c>
      <c r="JM300">
        <v>2879</v>
      </c>
      <c r="JN300">
        <v>1641</v>
      </c>
      <c r="JO300">
        <v>3517</v>
      </c>
      <c r="JP300">
        <v>1382</v>
      </c>
      <c r="JQ300">
        <v>1365</v>
      </c>
      <c r="JR300">
        <v>270</v>
      </c>
      <c r="JS300">
        <v>4599</v>
      </c>
      <c r="JT300">
        <v>400</v>
      </c>
      <c r="JV300">
        <v>1099</v>
      </c>
      <c r="JW300">
        <v>437</v>
      </c>
      <c r="JX300">
        <v>160</v>
      </c>
      <c r="JY300">
        <v>742</v>
      </c>
      <c r="JZ300">
        <v>297</v>
      </c>
      <c r="KA300">
        <v>156</v>
      </c>
      <c r="KB300">
        <v>294</v>
      </c>
      <c r="KC300">
        <v>1637</v>
      </c>
      <c r="KD300">
        <v>907</v>
      </c>
      <c r="KE300">
        <v>23545</v>
      </c>
      <c r="KF300">
        <v>1023</v>
      </c>
      <c r="KG300">
        <v>3684</v>
      </c>
      <c r="KH300">
        <v>29523</v>
      </c>
      <c r="KI300">
        <v>453</v>
      </c>
      <c r="KJ300">
        <v>244</v>
      </c>
      <c r="KK300">
        <v>15747</v>
      </c>
      <c r="KL300">
        <v>9414</v>
      </c>
      <c r="KM300">
        <v>4144</v>
      </c>
      <c r="KN300">
        <v>81</v>
      </c>
      <c r="KO300">
        <v>94</v>
      </c>
      <c r="KP300">
        <v>175</v>
      </c>
      <c r="KQ300">
        <v>58</v>
      </c>
      <c r="KR300">
        <v>25</v>
      </c>
      <c r="KS300">
        <v>124</v>
      </c>
      <c r="KT300">
        <v>15</v>
      </c>
      <c r="KU300">
        <v>0</v>
      </c>
      <c r="KV300">
        <v>2</v>
      </c>
      <c r="KW300">
        <v>25</v>
      </c>
      <c r="KX300">
        <v>89</v>
      </c>
      <c r="KY300">
        <v>12</v>
      </c>
      <c r="KZ300">
        <v>563</v>
      </c>
      <c r="LA300">
        <v>325</v>
      </c>
      <c r="LB300">
        <v>0</v>
      </c>
      <c r="LC300">
        <v>11</v>
      </c>
      <c r="LD300">
        <v>12</v>
      </c>
      <c r="LE300">
        <v>9</v>
      </c>
      <c r="LF300">
        <v>2</v>
      </c>
      <c r="LI300">
        <v>1</v>
      </c>
      <c r="LN300">
        <v>102</v>
      </c>
      <c r="LO300">
        <v>539</v>
      </c>
      <c r="LP300">
        <v>34</v>
      </c>
      <c r="LQ300">
        <v>9</v>
      </c>
      <c r="LR300">
        <v>215</v>
      </c>
      <c r="LS300">
        <v>59</v>
      </c>
      <c r="LT300">
        <v>186</v>
      </c>
      <c r="LU300">
        <v>56</v>
      </c>
      <c r="LV300">
        <v>210</v>
      </c>
      <c r="LW300">
        <v>86</v>
      </c>
      <c r="LX300">
        <v>412</v>
      </c>
      <c r="LY300">
        <v>39</v>
      </c>
      <c r="LZ300">
        <v>2599</v>
      </c>
      <c r="MA300">
        <v>257</v>
      </c>
      <c r="MB300">
        <v>33</v>
      </c>
      <c r="MC300">
        <v>21</v>
      </c>
      <c r="MD300">
        <v>44</v>
      </c>
      <c r="ME300">
        <v>92</v>
      </c>
      <c r="MF300">
        <v>607</v>
      </c>
      <c r="MG300">
        <v>116</v>
      </c>
      <c r="MH300">
        <v>28</v>
      </c>
      <c r="MI300">
        <v>22</v>
      </c>
      <c r="MJ300">
        <v>7</v>
      </c>
      <c r="MK300">
        <v>295</v>
      </c>
      <c r="ML300">
        <v>68</v>
      </c>
      <c r="MM300">
        <v>24</v>
      </c>
      <c r="MN300">
        <v>87</v>
      </c>
      <c r="MO300">
        <v>1332</v>
      </c>
      <c r="MQ300">
        <v>0</v>
      </c>
      <c r="MR300">
        <v>90</v>
      </c>
      <c r="MS300">
        <v>216</v>
      </c>
      <c r="MT300">
        <v>40</v>
      </c>
      <c r="MU300">
        <v>30</v>
      </c>
      <c r="MV300">
        <v>109</v>
      </c>
      <c r="MW300">
        <v>34</v>
      </c>
      <c r="MX300">
        <v>40</v>
      </c>
      <c r="MY300">
        <v>29</v>
      </c>
      <c r="MZ300">
        <v>829</v>
      </c>
      <c r="NA300">
        <v>28</v>
      </c>
      <c r="NB300">
        <v>60</v>
      </c>
      <c r="NC300">
        <v>194</v>
      </c>
      <c r="ND300">
        <v>4</v>
      </c>
      <c r="NE300">
        <v>143</v>
      </c>
      <c r="NF300">
        <v>17</v>
      </c>
      <c r="NG300">
        <v>30</v>
      </c>
      <c r="NH300">
        <v>7</v>
      </c>
      <c r="NI300">
        <v>15</v>
      </c>
      <c r="NJ300">
        <v>142</v>
      </c>
      <c r="NK300">
        <v>24</v>
      </c>
      <c r="NL300">
        <v>295</v>
      </c>
      <c r="NM300">
        <v>185</v>
      </c>
      <c r="NN300">
        <v>46</v>
      </c>
      <c r="NO300">
        <v>90</v>
      </c>
      <c r="NP300">
        <v>108</v>
      </c>
      <c r="NQ300">
        <v>7</v>
      </c>
      <c r="NR300">
        <v>54</v>
      </c>
      <c r="NS300">
        <v>12</v>
      </c>
      <c r="NT300">
        <v>14</v>
      </c>
      <c r="NU300">
        <v>3</v>
      </c>
      <c r="NV300">
        <v>47</v>
      </c>
      <c r="NW300">
        <v>0</v>
      </c>
      <c r="NX300">
        <v>8</v>
      </c>
      <c r="NY300">
        <v>87</v>
      </c>
      <c r="NZ300">
        <v>5</v>
      </c>
      <c r="OA300">
        <v>82</v>
      </c>
      <c r="OB300">
        <v>52</v>
      </c>
      <c r="OD300">
        <v>3</v>
      </c>
      <c r="OE300">
        <v>239</v>
      </c>
      <c r="OF300">
        <v>854</v>
      </c>
      <c r="OG300">
        <v>243</v>
      </c>
      <c r="OI300">
        <v>51</v>
      </c>
      <c r="OJ300">
        <v>15</v>
      </c>
      <c r="OK300">
        <v>235</v>
      </c>
      <c r="OL300">
        <v>61</v>
      </c>
      <c r="ON300">
        <v>2721</v>
      </c>
      <c r="OO300">
        <v>143680</v>
      </c>
      <c r="OP300">
        <v>11399</v>
      </c>
      <c r="OV300">
        <v>685</v>
      </c>
      <c r="PI300">
        <v>155764</v>
      </c>
      <c r="PM300" t="str">
        <f>IFERROR(VLOOKUP($A300&amp;"",Key!$A:$C,3,FALSE),"")</f>
        <v>ISIC 52</v>
      </c>
    </row>
    <row r="301" spans="1:429" x14ac:dyDescent="0.25">
      <c r="A301">
        <v>492000</v>
      </c>
      <c r="B301" t="s">
        <v>436</v>
      </c>
      <c r="X301">
        <v>34</v>
      </c>
      <c r="EB301">
        <v>0</v>
      </c>
      <c r="EL301">
        <v>0</v>
      </c>
      <c r="IB301">
        <v>25</v>
      </c>
      <c r="JD301">
        <v>1</v>
      </c>
      <c r="JK301">
        <v>2360</v>
      </c>
      <c r="JL301">
        <v>3672</v>
      </c>
      <c r="JM301">
        <v>6272</v>
      </c>
      <c r="JN301">
        <v>3666</v>
      </c>
      <c r="JO301">
        <v>7175</v>
      </c>
      <c r="JP301">
        <v>3610</v>
      </c>
      <c r="JQ301">
        <v>3456</v>
      </c>
      <c r="JR301">
        <v>679</v>
      </c>
      <c r="JS301">
        <v>7925</v>
      </c>
      <c r="JT301">
        <v>818</v>
      </c>
      <c r="JV301">
        <v>1124</v>
      </c>
      <c r="JW301">
        <v>1086</v>
      </c>
      <c r="JX301">
        <v>360</v>
      </c>
      <c r="JY301">
        <v>658</v>
      </c>
      <c r="JZ301">
        <v>622</v>
      </c>
      <c r="KA301">
        <v>345</v>
      </c>
      <c r="KB301">
        <v>725</v>
      </c>
      <c r="KC301">
        <v>4143</v>
      </c>
      <c r="KD301">
        <v>1173</v>
      </c>
      <c r="KE301">
        <v>1</v>
      </c>
      <c r="KF301">
        <v>1</v>
      </c>
      <c r="KG301">
        <v>564</v>
      </c>
      <c r="KH301">
        <v>15114</v>
      </c>
      <c r="KI301">
        <v>381</v>
      </c>
      <c r="KJ301">
        <v>14</v>
      </c>
      <c r="KK301">
        <v>231</v>
      </c>
      <c r="KL301">
        <v>1234</v>
      </c>
      <c r="KM301">
        <v>1444</v>
      </c>
      <c r="KN301">
        <v>206</v>
      </c>
      <c r="KO301">
        <v>240</v>
      </c>
      <c r="KP301">
        <v>448</v>
      </c>
      <c r="KQ301">
        <v>149</v>
      </c>
      <c r="KR301">
        <v>64</v>
      </c>
      <c r="KS301">
        <v>319</v>
      </c>
      <c r="KT301">
        <v>39</v>
      </c>
      <c r="KU301">
        <v>0</v>
      </c>
      <c r="KW301">
        <v>3</v>
      </c>
      <c r="KY301">
        <v>23</v>
      </c>
      <c r="KZ301">
        <v>1387</v>
      </c>
      <c r="LA301">
        <v>845</v>
      </c>
      <c r="LB301">
        <v>0</v>
      </c>
      <c r="LC301">
        <v>430</v>
      </c>
      <c r="LD301">
        <v>470</v>
      </c>
      <c r="LE301">
        <v>2879</v>
      </c>
      <c r="LF301">
        <v>427</v>
      </c>
      <c r="LH301">
        <v>8</v>
      </c>
      <c r="LI301">
        <v>59</v>
      </c>
      <c r="LN301">
        <v>263</v>
      </c>
      <c r="LO301">
        <v>642</v>
      </c>
      <c r="LP301">
        <v>84</v>
      </c>
      <c r="LQ301">
        <v>1569</v>
      </c>
      <c r="LR301">
        <v>532</v>
      </c>
      <c r="LS301">
        <v>149</v>
      </c>
      <c r="LT301">
        <v>465</v>
      </c>
      <c r="LU301">
        <v>58</v>
      </c>
      <c r="LV301">
        <v>543</v>
      </c>
      <c r="LW301">
        <v>223</v>
      </c>
      <c r="LX301">
        <v>1469</v>
      </c>
      <c r="LY301">
        <v>102</v>
      </c>
      <c r="LZ301">
        <v>286</v>
      </c>
      <c r="MA301">
        <v>636</v>
      </c>
      <c r="MB301">
        <v>92</v>
      </c>
      <c r="MC301">
        <v>54</v>
      </c>
      <c r="MD301">
        <v>38</v>
      </c>
      <c r="ME301">
        <v>157</v>
      </c>
      <c r="MF301">
        <v>6</v>
      </c>
      <c r="MG301">
        <v>295</v>
      </c>
      <c r="MH301">
        <v>52</v>
      </c>
      <c r="MI301">
        <v>54</v>
      </c>
      <c r="MJ301">
        <v>18</v>
      </c>
      <c r="MK301">
        <v>757</v>
      </c>
      <c r="ML301">
        <v>171</v>
      </c>
      <c r="MM301">
        <v>62</v>
      </c>
      <c r="MN301">
        <v>220</v>
      </c>
      <c r="MO301">
        <v>243</v>
      </c>
      <c r="MP301">
        <v>10</v>
      </c>
      <c r="MQ301">
        <v>28</v>
      </c>
      <c r="MR301">
        <v>240</v>
      </c>
      <c r="MS301">
        <v>549</v>
      </c>
      <c r="MT301">
        <v>102</v>
      </c>
      <c r="MU301">
        <v>77</v>
      </c>
      <c r="MV301">
        <v>231</v>
      </c>
      <c r="MW301">
        <v>86</v>
      </c>
      <c r="MX301">
        <v>82</v>
      </c>
      <c r="MY301">
        <v>74</v>
      </c>
      <c r="MZ301">
        <v>2113</v>
      </c>
      <c r="NA301">
        <v>71</v>
      </c>
      <c r="NB301">
        <v>153</v>
      </c>
      <c r="NC301">
        <v>522</v>
      </c>
      <c r="ND301">
        <v>11</v>
      </c>
      <c r="NE301">
        <v>480</v>
      </c>
      <c r="NF301">
        <v>44</v>
      </c>
      <c r="NG301">
        <v>13</v>
      </c>
      <c r="NH301">
        <v>20</v>
      </c>
      <c r="NI301">
        <v>43</v>
      </c>
      <c r="NJ301">
        <v>179</v>
      </c>
      <c r="NK301">
        <v>7</v>
      </c>
      <c r="NL301">
        <v>13</v>
      </c>
      <c r="NM301">
        <v>39</v>
      </c>
      <c r="NN301">
        <v>52</v>
      </c>
      <c r="NO301">
        <v>228</v>
      </c>
      <c r="NP301">
        <v>274</v>
      </c>
      <c r="NQ301">
        <v>19</v>
      </c>
      <c r="NR301">
        <v>47</v>
      </c>
      <c r="NS301">
        <v>32</v>
      </c>
      <c r="NT301">
        <v>37</v>
      </c>
      <c r="NU301">
        <v>10</v>
      </c>
      <c r="NV301">
        <v>121</v>
      </c>
      <c r="NW301">
        <v>0</v>
      </c>
      <c r="NX301">
        <v>20</v>
      </c>
      <c r="NY301">
        <v>197</v>
      </c>
      <c r="NZ301">
        <v>122</v>
      </c>
      <c r="OA301">
        <v>231</v>
      </c>
      <c r="OB301">
        <v>144</v>
      </c>
      <c r="OD301">
        <v>3</v>
      </c>
      <c r="OF301">
        <v>11</v>
      </c>
      <c r="OH301">
        <v>6</v>
      </c>
      <c r="OI301">
        <v>86</v>
      </c>
      <c r="OJ301">
        <v>39</v>
      </c>
      <c r="OK301">
        <v>244</v>
      </c>
      <c r="ON301">
        <v>211</v>
      </c>
      <c r="OO301">
        <v>93464</v>
      </c>
      <c r="OP301">
        <v>6456</v>
      </c>
      <c r="OV301">
        <v>9411</v>
      </c>
      <c r="PI301">
        <v>109331</v>
      </c>
      <c r="PM301" t="str">
        <f>IFERROR(VLOOKUP($A301&amp;"",Key!$A:$C,3,FALSE),"")</f>
        <v>ISIC 53</v>
      </c>
    </row>
    <row r="302" spans="1:429" x14ac:dyDescent="0.25">
      <c r="A302">
        <v>493000</v>
      </c>
      <c r="B302" t="s">
        <v>437</v>
      </c>
      <c r="C302">
        <v>164</v>
      </c>
      <c r="D302">
        <v>54</v>
      </c>
      <c r="E302">
        <v>70</v>
      </c>
      <c r="F302">
        <v>82</v>
      </c>
      <c r="G302">
        <v>29</v>
      </c>
      <c r="H302">
        <v>96</v>
      </c>
      <c r="I302">
        <v>18</v>
      </c>
      <c r="J302">
        <v>27</v>
      </c>
      <c r="K302">
        <v>83</v>
      </c>
      <c r="L302">
        <v>118</v>
      </c>
      <c r="P302">
        <v>4</v>
      </c>
      <c r="Q302">
        <v>12</v>
      </c>
      <c r="S302">
        <v>2</v>
      </c>
      <c r="T302">
        <v>110</v>
      </c>
      <c r="X302">
        <v>663</v>
      </c>
      <c r="Y302">
        <v>65</v>
      </c>
      <c r="Z302">
        <v>45</v>
      </c>
      <c r="AM302">
        <v>188</v>
      </c>
      <c r="AN302">
        <v>229</v>
      </c>
      <c r="AO302">
        <v>235</v>
      </c>
      <c r="AP302">
        <v>318</v>
      </c>
      <c r="AQ302">
        <v>179</v>
      </c>
      <c r="AR302">
        <v>469</v>
      </c>
      <c r="AS302">
        <v>92</v>
      </c>
      <c r="AT302">
        <v>356</v>
      </c>
      <c r="AU302">
        <v>130</v>
      </c>
      <c r="AV302">
        <v>178</v>
      </c>
      <c r="AW302">
        <v>74</v>
      </c>
      <c r="AX302">
        <v>55</v>
      </c>
      <c r="AY302">
        <v>62</v>
      </c>
      <c r="AZ302">
        <v>28</v>
      </c>
      <c r="BA302">
        <v>80</v>
      </c>
      <c r="BB302">
        <v>35</v>
      </c>
      <c r="BC302">
        <v>14</v>
      </c>
      <c r="BD302">
        <v>8</v>
      </c>
      <c r="BE302">
        <v>2</v>
      </c>
      <c r="BF302">
        <v>5</v>
      </c>
      <c r="BG302">
        <v>7</v>
      </c>
      <c r="BH302">
        <v>4</v>
      </c>
      <c r="BI302">
        <v>5</v>
      </c>
      <c r="BJ302">
        <v>4</v>
      </c>
      <c r="BK302">
        <v>9</v>
      </c>
      <c r="BL302">
        <v>13</v>
      </c>
      <c r="BM302">
        <v>8</v>
      </c>
      <c r="BN302">
        <v>15</v>
      </c>
      <c r="BO302">
        <v>30</v>
      </c>
      <c r="BP302">
        <v>26</v>
      </c>
      <c r="BQ302">
        <v>72</v>
      </c>
      <c r="BR302">
        <v>75</v>
      </c>
      <c r="BS302">
        <v>8</v>
      </c>
      <c r="BT302">
        <v>10</v>
      </c>
      <c r="BU302">
        <v>12</v>
      </c>
      <c r="BV302">
        <v>23</v>
      </c>
      <c r="BW302">
        <v>18</v>
      </c>
      <c r="BX302">
        <v>76</v>
      </c>
      <c r="BY302">
        <v>58</v>
      </c>
      <c r="BZ302">
        <v>50</v>
      </c>
      <c r="CA302">
        <v>9</v>
      </c>
      <c r="CB302">
        <v>36</v>
      </c>
      <c r="CC302">
        <v>10</v>
      </c>
      <c r="CD302">
        <v>7</v>
      </c>
      <c r="CE302">
        <v>13</v>
      </c>
      <c r="CF302">
        <v>28</v>
      </c>
      <c r="CG302">
        <v>29</v>
      </c>
      <c r="CH302">
        <v>6</v>
      </c>
      <c r="CI302">
        <v>19</v>
      </c>
      <c r="CJ302">
        <v>27</v>
      </c>
      <c r="CK302">
        <v>11</v>
      </c>
      <c r="CL302">
        <v>61</v>
      </c>
      <c r="CM302">
        <v>8</v>
      </c>
      <c r="CN302">
        <v>2</v>
      </c>
      <c r="CO302">
        <v>37</v>
      </c>
      <c r="CP302">
        <v>7</v>
      </c>
      <c r="CQ302">
        <v>45</v>
      </c>
      <c r="CR302">
        <v>8</v>
      </c>
      <c r="CS302">
        <v>18</v>
      </c>
      <c r="CT302">
        <v>20</v>
      </c>
      <c r="CU302">
        <v>12</v>
      </c>
      <c r="CV302">
        <v>19</v>
      </c>
      <c r="CW302">
        <v>11</v>
      </c>
      <c r="CX302">
        <v>4</v>
      </c>
      <c r="CY302">
        <v>5</v>
      </c>
      <c r="CZ302">
        <v>29</v>
      </c>
      <c r="DA302">
        <v>8</v>
      </c>
      <c r="DB302">
        <v>21</v>
      </c>
      <c r="DC302">
        <v>35</v>
      </c>
      <c r="DD302">
        <v>4</v>
      </c>
      <c r="DE302">
        <v>9</v>
      </c>
      <c r="DF302">
        <v>4</v>
      </c>
      <c r="DG302">
        <v>42</v>
      </c>
      <c r="DH302">
        <v>15</v>
      </c>
      <c r="DI302">
        <v>0</v>
      </c>
      <c r="DJ302">
        <v>1</v>
      </c>
      <c r="DK302">
        <v>2</v>
      </c>
      <c r="DL302">
        <v>14</v>
      </c>
      <c r="DM302">
        <v>21</v>
      </c>
      <c r="DN302">
        <v>5</v>
      </c>
      <c r="DO302">
        <v>38</v>
      </c>
      <c r="DP302">
        <v>14</v>
      </c>
      <c r="DQ302">
        <v>31</v>
      </c>
      <c r="DR302">
        <v>53</v>
      </c>
      <c r="DS302">
        <v>95</v>
      </c>
      <c r="DT302">
        <v>5</v>
      </c>
      <c r="DU302">
        <v>14</v>
      </c>
      <c r="DV302">
        <v>8</v>
      </c>
      <c r="DW302">
        <v>189</v>
      </c>
      <c r="DX302">
        <v>26</v>
      </c>
      <c r="DY302">
        <v>10</v>
      </c>
      <c r="DZ302">
        <v>17</v>
      </c>
      <c r="EA302">
        <v>3</v>
      </c>
      <c r="EB302">
        <v>4</v>
      </c>
      <c r="EC302">
        <v>1</v>
      </c>
      <c r="ED302">
        <v>8</v>
      </c>
      <c r="EE302">
        <v>2</v>
      </c>
      <c r="EF302">
        <v>11</v>
      </c>
      <c r="EG302">
        <v>3</v>
      </c>
      <c r="EH302">
        <v>7</v>
      </c>
      <c r="EI302">
        <v>7</v>
      </c>
      <c r="EJ302">
        <v>9</v>
      </c>
      <c r="EK302">
        <v>3</v>
      </c>
      <c r="EL302">
        <v>0</v>
      </c>
      <c r="EM302">
        <v>9</v>
      </c>
      <c r="EN302">
        <v>3</v>
      </c>
      <c r="EO302">
        <v>1</v>
      </c>
      <c r="EP302">
        <v>14</v>
      </c>
      <c r="EQ302">
        <v>2</v>
      </c>
      <c r="ER302">
        <v>13</v>
      </c>
      <c r="ES302">
        <v>3</v>
      </c>
      <c r="ET302">
        <v>3</v>
      </c>
      <c r="EV302">
        <v>0</v>
      </c>
      <c r="EW302">
        <v>4</v>
      </c>
      <c r="EX302">
        <v>11</v>
      </c>
      <c r="EY302">
        <v>8</v>
      </c>
      <c r="EZ302">
        <v>8</v>
      </c>
      <c r="FA302">
        <v>10</v>
      </c>
      <c r="FB302">
        <v>7</v>
      </c>
      <c r="FC302">
        <v>6</v>
      </c>
      <c r="FD302">
        <v>6</v>
      </c>
      <c r="FE302">
        <v>19</v>
      </c>
      <c r="FF302">
        <v>32</v>
      </c>
      <c r="FG302">
        <v>13</v>
      </c>
      <c r="FH302">
        <v>23</v>
      </c>
      <c r="FI302">
        <v>14</v>
      </c>
      <c r="FJ302">
        <v>7</v>
      </c>
      <c r="FK302">
        <v>14</v>
      </c>
      <c r="FL302">
        <v>5</v>
      </c>
      <c r="FM302">
        <v>4</v>
      </c>
      <c r="FN302">
        <v>1</v>
      </c>
      <c r="FO302">
        <v>2</v>
      </c>
      <c r="FP302">
        <v>16</v>
      </c>
      <c r="FQ302">
        <v>20</v>
      </c>
      <c r="FR302">
        <v>7</v>
      </c>
      <c r="FS302">
        <v>11</v>
      </c>
      <c r="FT302">
        <v>0</v>
      </c>
      <c r="FU302">
        <v>11</v>
      </c>
      <c r="FV302">
        <v>26</v>
      </c>
      <c r="FW302">
        <v>13</v>
      </c>
      <c r="FX302">
        <v>82</v>
      </c>
      <c r="FY302">
        <v>86</v>
      </c>
      <c r="FZ302">
        <v>17</v>
      </c>
      <c r="GA302">
        <v>9</v>
      </c>
      <c r="GB302">
        <v>33</v>
      </c>
      <c r="GC302">
        <v>19</v>
      </c>
      <c r="GD302">
        <v>36</v>
      </c>
      <c r="GE302">
        <v>2</v>
      </c>
      <c r="GF302">
        <v>10</v>
      </c>
      <c r="GG302">
        <v>47</v>
      </c>
      <c r="GH302">
        <v>85</v>
      </c>
      <c r="GI302">
        <v>42</v>
      </c>
      <c r="GJ302">
        <v>47</v>
      </c>
      <c r="GK302">
        <v>102</v>
      </c>
      <c r="GL302">
        <v>30</v>
      </c>
      <c r="GM302">
        <v>15</v>
      </c>
      <c r="GP302">
        <v>159</v>
      </c>
      <c r="GQ302">
        <v>110</v>
      </c>
      <c r="GR302">
        <v>161</v>
      </c>
      <c r="GS302">
        <v>71</v>
      </c>
      <c r="GT302">
        <v>35</v>
      </c>
      <c r="GU302">
        <v>91</v>
      </c>
      <c r="GV302">
        <v>23</v>
      </c>
      <c r="GW302">
        <v>146</v>
      </c>
      <c r="GX302">
        <v>315</v>
      </c>
      <c r="GY302">
        <v>44</v>
      </c>
      <c r="GZ302">
        <v>251</v>
      </c>
      <c r="HA302">
        <v>118</v>
      </c>
      <c r="HB302">
        <v>99</v>
      </c>
      <c r="HC302">
        <v>20</v>
      </c>
      <c r="HD302">
        <v>50</v>
      </c>
      <c r="HE302">
        <v>52</v>
      </c>
      <c r="HF302">
        <v>92</v>
      </c>
      <c r="HG302">
        <v>463</v>
      </c>
      <c r="HH302">
        <v>278</v>
      </c>
      <c r="HI302">
        <v>193</v>
      </c>
      <c r="HJ302">
        <v>68</v>
      </c>
      <c r="HL302">
        <v>95</v>
      </c>
      <c r="HM302">
        <v>283</v>
      </c>
      <c r="HN302">
        <v>100</v>
      </c>
      <c r="HO302">
        <v>52</v>
      </c>
      <c r="HP302">
        <v>42</v>
      </c>
      <c r="HQ302">
        <v>115</v>
      </c>
      <c r="HR302">
        <v>82</v>
      </c>
      <c r="HS302">
        <v>5</v>
      </c>
      <c r="HT302">
        <v>55</v>
      </c>
      <c r="HU302">
        <v>536</v>
      </c>
      <c r="HV302">
        <v>280</v>
      </c>
      <c r="HW302">
        <v>1054</v>
      </c>
      <c r="HX302">
        <v>310</v>
      </c>
      <c r="HY302">
        <v>121</v>
      </c>
      <c r="HZ302">
        <v>83</v>
      </c>
      <c r="IA302">
        <v>82</v>
      </c>
      <c r="IB302">
        <v>699</v>
      </c>
      <c r="IC302">
        <v>47</v>
      </c>
      <c r="ID302">
        <v>587</v>
      </c>
      <c r="IE302">
        <v>74</v>
      </c>
      <c r="IF302">
        <v>39</v>
      </c>
      <c r="IG302">
        <v>108</v>
      </c>
      <c r="IH302">
        <v>86</v>
      </c>
      <c r="II302">
        <v>109</v>
      </c>
      <c r="IJ302">
        <v>70</v>
      </c>
      <c r="IK302">
        <v>283</v>
      </c>
      <c r="IL302">
        <v>593</v>
      </c>
      <c r="IM302">
        <v>292</v>
      </c>
      <c r="IN302">
        <v>84</v>
      </c>
      <c r="IO302">
        <v>25</v>
      </c>
      <c r="IP302">
        <v>264</v>
      </c>
      <c r="IQ302">
        <v>29</v>
      </c>
      <c r="IR302">
        <v>14</v>
      </c>
      <c r="IS302">
        <v>54</v>
      </c>
      <c r="IT302">
        <v>25</v>
      </c>
      <c r="IU302">
        <v>100</v>
      </c>
      <c r="IV302">
        <v>53</v>
      </c>
      <c r="IW302">
        <v>110</v>
      </c>
      <c r="IX302">
        <v>101</v>
      </c>
      <c r="IY302">
        <v>29</v>
      </c>
      <c r="IZ302">
        <v>238</v>
      </c>
      <c r="JA302">
        <v>367</v>
      </c>
      <c r="JB302">
        <v>195</v>
      </c>
      <c r="JC302">
        <v>49</v>
      </c>
      <c r="JD302">
        <v>100</v>
      </c>
      <c r="JE302">
        <v>94</v>
      </c>
      <c r="JF302">
        <v>101</v>
      </c>
      <c r="JG302">
        <v>1314</v>
      </c>
      <c r="JH302">
        <v>213</v>
      </c>
      <c r="JI302">
        <v>58</v>
      </c>
      <c r="JJ302">
        <v>266</v>
      </c>
      <c r="JK302">
        <v>1884</v>
      </c>
      <c r="JL302">
        <v>2941</v>
      </c>
      <c r="JM302">
        <v>4595</v>
      </c>
      <c r="JN302">
        <v>1830</v>
      </c>
      <c r="JO302">
        <v>4086</v>
      </c>
      <c r="JP302">
        <v>2460</v>
      </c>
      <c r="JQ302">
        <v>2241</v>
      </c>
      <c r="JR302">
        <v>919</v>
      </c>
      <c r="JS302">
        <v>4236</v>
      </c>
      <c r="JT302">
        <v>1279</v>
      </c>
      <c r="JV302">
        <v>7813</v>
      </c>
      <c r="JW302">
        <v>5744</v>
      </c>
      <c r="JX302">
        <v>4171</v>
      </c>
      <c r="JY302">
        <v>970</v>
      </c>
      <c r="JZ302">
        <v>379</v>
      </c>
      <c r="KA302">
        <v>4259</v>
      </c>
      <c r="KB302">
        <v>3334</v>
      </c>
      <c r="KC302">
        <v>9383</v>
      </c>
      <c r="KD302">
        <v>3009</v>
      </c>
      <c r="KE302">
        <v>72</v>
      </c>
      <c r="KF302">
        <v>1</v>
      </c>
      <c r="KG302">
        <v>736</v>
      </c>
      <c r="KH302">
        <v>5383</v>
      </c>
      <c r="KI302">
        <v>199</v>
      </c>
      <c r="KJ302">
        <v>47</v>
      </c>
      <c r="KK302">
        <v>379</v>
      </c>
      <c r="KL302">
        <v>513</v>
      </c>
      <c r="KM302">
        <v>6810</v>
      </c>
      <c r="KN302">
        <v>87</v>
      </c>
      <c r="KO302">
        <v>93</v>
      </c>
      <c r="KP302">
        <v>189</v>
      </c>
      <c r="KQ302">
        <v>56</v>
      </c>
      <c r="KR302">
        <v>86</v>
      </c>
      <c r="KS302">
        <v>125</v>
      </c>
      <c r="KT302">
        <v>13</v>
      </c>
      <c r="KU302">
        <v>73</v>
      </c>
      <c r="KV302">
        <v>66</v>
      </c>
      <c r="KW302">
        <v>168</v>
      </c>
      <c r="KX302">
        <v>40</v>
      </c>
      <c r="KY302">
        <v>20</v>
      </c>
      <c r="KZ302">
        <v>738</v>
      </c>
      <c r="LA302">
        <v>308</v>
      </c>
      <c r="LB302">
        <v>1</v>
      </c>
      <c r="LI302">
        <v>19</v>
      </c>
      <c r="LL302">
        <v>2</v>
      </c>
      <c r="LM302">
        <v>142</v>
      </c>
      <c r="LN302">
        <v>101</v>
      </c>
      <c r="LO302">
        <v>231</v>
      </c>
      <c r="LP302">
        <v>81</v>
      </c>
      <c r="LQ302">
        <v>131</v>
      </c>
      <c r="LR302">
        <v>215</v>
      </c>
      <c r="LS302">
        <v>61</v>
      </c>
      <c r="LT302">
        <v>176</v>
      </c>
      <c r="LU302">
        <v>23</v>
      </c>
      <c r="LV302">
        <v>193</v>
      </c>
      <c r="LW302">
        <v>98</v>
      </c>
      <c r="LX302">
        <v>264</v>
      </c>
      <c r="LY302">
        <v>35</v>
      </c>
      <c r="LZ302">
        <v>146</v>
      </c>
      <c r="MA302">
        <v>192</v>
      </c>
      <c r="MB302">
        <v>28</v>
      </c>
      <c r="MC302">
        <v>15</v>
      </c>
      <c r="MD302">
        <v>5</v>
      </c>
      <c r="ME302">
        <v>50</v>
      </c>
      <c r="MF302">
        <v>10</v>
      </c>
      <c r="MG302">
        <v>7908</v>
      </c>
      <c r="MH302">
        <v>1237</v>
      </c>
      <c r="MI302">
        <v>438</v>
      </c>
      <c r="MJ302">
        <v>193</v>
      </c>
      <c r="MK302">
        <v>1001</v>
      </c>
      <c r="ML302">
        <v>358</v>
      </c>
      <c r="MM302">
        <v>553</v>
      </c>
      <c r="MN302">
        <v>279</v>
      </c>
      <c r="MO302">
        <v>263</v>
      </c>
      <c r="MP302">
        <v>20</v>
      </c>
      <c r="MQ302">
        <v>113</v>
      </c>
      <c r="MR302">
        <v>77</v>
      </c>
      <c r="MS302">
        <v>198</v>
      </c>
      <c r="MT302">
        <v>84</v>
      </c>
      <c r="MU302">
        <v>54</v>
      </c>
      <c r="MV302">
        <v>157</v>
      </c>
      <c r="MW302">
        <v>42</v>
      </c>
      <c r="MX302">
        <v>65</v>
      </c>
      <c r="MY302">
        <v>38</v>
      </c>
      <c r="MZ302">
        <v>1064</v>
      </c>
      <c r="NA302">
        <v>88</v>
      </c>
      <c r="NB302">
        <v>87</v>
      </c>
      <c r="NC302">
        <v>184</v>
      </c>
      <c r="ND302">
        <v>53</v>
      </c>
      <c r="NE302">
        <v>127</v>
      </c>
      <c r="NF302">
        <v>40</v>
      </c>
      <c r="NG302">
        <v>9</v>
      </c>
      <c r="NH302">
        <v>31</v>
      </c>
      <c r="NI302">
        <v>23</v>
      </c>
      <c r="NJ302">
        <v>97</v>
      </c>
      <c r="NK302">
        <v>12</v>
      </c>
      <c r="NL302">
        <v>21</v>
      </c>
      <c r="NM302">
        <v>58</v>
      </c>
      <c r="NN302">
        <v>572</v>
      </c>
      <c r="NO302">
        <v>346</v>
      </c>
      <c r="NP302">
        <v>291</v>
      </c>
      <c r="NQ302">
        <v>331</v>
      </c>
      <c r="NR302">
        <v>115</v>
      </c>
      <c r="NS302">
        <v>30</v>
      </c>
      <c r="NT302">
        <v>43</v>
      </c>
      <c r="NU302">
        <v>42</v>
      </c>
      <c r="NV302">
        <v>112</v>
      </c>
      <c r="NW302">
        <v>2</v>
      </c>
      <c r="NX302">
        <v>28</v>
      </c>
      <c r="NY302">
        <v>104</v>
      </c>
      <c r="OA302">
        <v>76</v>
      </c>
      <c r="OB302">
        <v>64</v>
      </c>
      <c r="OD302">
        <v>305</v>
      </c>
      <c r="OE302">
        <v>1288</v>
      </c>
      <c r="OI302">
        <v>1174</v>
      </c>
      <c r="OJ302">
        <v>1409</v>
      </c>
      <c r="OK302">
        <v>2707</v>
      </c>
      <c r="OL302">
        <v>34</v>
      </c>
      <c r="ON302">
        <v>69</v>
      </c>
      <c r="OO302">
        <v>128203</v>
      </c>
      <c r="OP302">
        <v>251</v>
      </c>
      <c r="OV302">
        <v>166</v>
      </c>
      <c r="PI302">
        <v>128619</v>
      </c>
      <c r="PM302" t="str">
        <f>IFERROR(VLOOKUP($A302&amp;"",Key!$A:$C,3,FALSE),"")</f>
        <v>ISIC 52</v>
      </c>
    </row>
    <row r="303" spans="1:429" x14ac:dyDescent="0.25">
      <c r="A303">
        <v>511110</v>
      </c>
      <c r="B303" t="s">
        <v>438</v>
      </c>
      <c r="X303">
        <v>2</v>
      </c>
      <c r="JW303">
        <v>52</v>
      </c>
      <c r="JY303">
        <v>157</v>
      </c>
      <c r="KA303">
        <v>45</v>
      </c>
      <c r="KN303">
        <v>43</v>
      </c>
      <c r="LB303">
        <v>0</v>
      </c>
      <c r="LX303">
        <v>7</v>
      </c>
      <c r="MF303">
        <v>56</v>
      </c>
      <c r="MR303">
        <v>30</v>
      </c>
      <c r="NC303">
        <v>30</v>
      </c>
      <c r="NE303">
        <v>50</v>
      </c>
      <c r="OE303">
        <v>14</v>
      </c>
      <c r="OK303">
        <v>5</v>
      </c>
      <c r="OO303">
        <v>491</v>
      </c>
      <c r="OP303">
        <v>17764</v>
      </c>
      <c r="OU303">
        <v>-377</v>
      </c>
      <c r="OV303">
        <v>480</v>
      </c>
      <c r="PI303">
        <v>18358</v>
      </c>
      <c r="PM303" t="str">
        <f>IFERROR(VLOOKUP($A303&amp;"",Key!$A:$C,3,FALSE),"")</f>
        <v>ISIC 58T60</v>
      </c>
    </row>
    <row r="304" spans="1:429" x14ac:dyDescent="0.25">
      <c r="A304">
        <v>511120</v>
      </c>
      <c r="B304" t="s">
        <v>439</v>
      </c>
      <c r="C304">
        <v>2</v>
      </c>
      <c r="D304">
        <v>4</v>
      </c>
      <c r="I304">
        <v>8</v>
      </c>
      <c r="K304">
        <v>3</v>
      </c>
      <c r="P304">
        <v>0</v>
      </c>
      <c r="X304">
        <v>3</v>
      </c>
      <c r="Y304">
        <v>1</v>
      </c>
      <c r="AT304">
        <v>1</v>
      </c>
      <c r="AV304">
        <v>1</v>
      </c>
      <c r="BC304">
        <v>1</v>
      </c>
      <c r="BR304">
        <v>2</v>
      </c>
      <c r="BX304">
        <v>1</v>
      </c>
      <c r="CF304">
        <v>0</v>
      </c>
      <c r="CI304">
        <v>1</v>
      </c>
      <c r="DK304">
        <v>0</v>
      </c>
      <c r="DM304">
        <v>0</v>
      </c>
      <c r="DS304">
        <v>0</v>
      </c>
      <c r="DU304">
        <v>0</v>
      </c>
      <c r="EH304">
        <v>0</v>
      </c>
      <c r="EJ304">
        <v>1</v>
      </c>
      <c r="EN304">
        <v>1</v>
      </c>
      <c r="EP304">
        <v>0</v>
      </c>
      <c r="EZ304">
        <v>1</v>
      </c>
      <c r="FC304">
        <v>1</v>
      </c>
      <c r="FE304">
        <v>0</v>
      </c>
      <c r="FG304">
        <v>1</v>
      </c>
      <c r="FK304">
        <v>0</v>
      </c>
      <c r="FX304">
        <v>0</v>
      </c>
      <c r="FY304">
        <v>1</v>
      </c>
      <c r="GD304">
        <v>0</v>
      </c>
      <c r="GH304">
        <v>3</v>
      </c>
      <c r="GZ304">
        <v>1</v>
      </c>
      <c r="HG304">
        <v>1</v>
      </c>
      <c r="IB304">
        <v>4</v>
      </c>
      <c r="IM304">
        <v>1</v>
      </c>
      <c r="IX304">
        <v>3</v>
      </c>
      <c r="IZ304">
        <v>1</v>
      </c>
      <c r="JJ304">
        <v>1</v>
      </c>
      <c r="JK304">
        <v>12</v>
      </c>
      <c r="JM304">
        <v>11</v>
      </c>
      <c r="JN304">
        <v>7</v>
      </c>
      <c r="JO304">
        <v>61</v>
      </c>
      <c r="JQ304">
        <v>22</v>
      </c>
      <c r="JR304">
        <v>4</v>
      </c>
      <c r="JS304">
        <v>17</v>
      </c>
      <c r="JT304">
        <v>49</v>
      </c>
      <c r="JV304">
        <v>3</v>
      </c>
      <c r="JW304">
        <v>25</v>
      </c>
      <c r="JY304">
        <v>13</v>
      </c>
      <c r="JZ304">
        <v>18</v>
      </c>
      <c r="KA304">
        <v>56</v>
      </c>
      <c r="KB304">
        <v>3</v>
      </c>
      <c r="KC304">
        <v>35</v>
      </c>
      <c r="KD304">
        <v>2</v>
      </c>
      <c r="KE304">
        <v>3</v>
      </c>
      <c r="KF304">
        <v>1</v>
      </c>
      <c r="KH304">
        <v>10</v>
      </c>
      <c r="KK304">
        <v>64</v>
      </c>
      <c r="KL304">
        <v>3</v>
      </c>
      <c r="KM304">
        <v>20</v>
      </c>
      <c r="KN304">
        <v>7</v>
      </c>
      <c r="KO304">
        <v>1863</v>
      </c>
      <c r="KP304">
        <v>6</v>
      </c>
      <c r="KQ304">
        <v>3</v>
      </c>
      <c r="KR304">
        <v>10</v>
      </c>
      <c r="KS304">
        <v>6</v>
      </c>
      <c r="KW304">
        <v>7</v>
      </c>
      <c r="KX304">
        <v>38</v>
      </c>
      <c r="KY304">
        <v>1</v>
      </c>
      <c r="KZ304">
        <v>18</v>
      </c>
      <c r="LA304">
        <v>6</v>
      </c>
      <c r="LB304">
        <v>2</v>
      </c>
      <c r="LC304">
        <v>31</v>
      </c>
      <c r="LD304">
        <v>86</v>
      </c>
      <c r="LE304">
        <v>83</v>
      </c>
      <c r="LF304">
        <v>8</v>
      </c>
      <c r="LG304">
        <v>21</v>
      </c>
      <c r="LH304">
        <v>32</v>
      </c>
      <c r="LI304">
        <v>0</v>
      </c>
      <c r="LJ304">
        <v>24</v>
      </c>
      <c r="LM304">
        <v>178</v>
      </c>
      <c r="LN304">
        <v>22</v>
      </c>
      <c r="LO304">
        <v>7</v>
      </c>
      <c r="LQ304">
        <v>73</v>
      </c>
      <c r="LR304">
        <v>27</v>
      </c>
      <c r="LS304">
        <v>15</v>
      </c>
      <c r="LT304">
        <v>32</v>
      </c>
      <c r="LU304">
        <v>10</v>
      </c>
      <c r="LV304">
        <v>85</v>
      </c>
      <c r="LW304">
        <v>35</v>
      </c>
      <c r="LX304">
        <v>147</v>
      </c>
      <c r="LY304">
        <v>24</v>
      </c>
      <c r="LZ304">
        <v>208</v>
      </c>
      <c r="MA304">
        <v>9</v>
      </c>
      <c r="MD304">
        <v>12</v>
      </c>
      <c r="ME304">
        <v>3</v>
      </c>
      <c r="MF304">
        <v>185</v>
      </c>
      <c r="MG304">
        <v>29</v>
      </c>
      <c r="MH304">
        <v>14</v>
      </c>
      <c r="MI304">
        <v>8</v>
      </c>
      <c r="MJ304">
        <v>5</v>
      </c>
      <c r="MK304">
        <v>14</v>
      </c>
      <c r="ML304">
        <v>8</v>
      </c>
      <c r="MM304">
        <v>3</v>
      </c>
      <c r="MN304">
        <v>11</v>
      </c>
      <c r="MO304">
        <v>2</v>
      </c>
      <c r="MP304">
        <v>3</v>
      </c>
      <c r="MQ304">
        <v>8</v>
      </c>
      <c r="MR304">
        <v>63</v>
      </c>
      <c r="MS304">
        <v>81</v>
      </c>
      <c r="MT304">
        <v>9</v>
      </c>
      <c r="MU304">
        <v>3</v>
      </c>
      <c r="MV304">
        <v>12</v>
      </c>
      <c r="MW304">
        <v>4</v>
      </c>
      <c r="MX304">
        <v>8</v>
      </c>
      <c r="MY304">
        <v>3</v>
      </c>
      <c r="MZ304">
        <v>70</v>
      </c>
      <c r="NA304">
        <v>28</v>
      </c>
      <c r="NB304">
        <v>2</v>
      </c>
      <c r="NC304">
        <v>599</v>
      </c>
      <c r="ND304">
        <v>1</v>
      </c>
      <c r="NE304">
        <v>334</v>
      </c>
      <c r="NI304">
        <v>1</v>
      </c>
      <c r="NK304">
        <v>1</v>
      </c>
      <c r="NL304">
        <v>5</v>
      </c>
      <c r="NM304">
        <v>7</v>
      </c>
      <c r="NN304">
        <v>31</v>
      </c>
      <c r="NO304">
        <v>30</v>
      </c>
      <c r="NP304">
        <v>40</v>
      </c>
      <c r="NQ304">
        <v>8</v>
      </c>
      <c r="NR304">
        <v>3</v>
      </c>
      <c r="NT304">
        <v>3</v>
      </c>
      <c r="NV304">
        <v>14</v>
      </c>
      <c r="NX304">
        <v>11</v>
      </c>
      <c r="NY304">
        <v>40</v>
      </c>
      <c r="NZ304">
        <v>7</v>
      </c>
      <c r="OA304">
        <v>37</v>
      </c>
      <c r="OB304">
        <v>3</v>
      </c>
      <c r="OE304">
        <v>31</v>
      </c>
      <c r="OI304">
        <v>50</v>
      </c>
      <c r="OJ304">
        <v>16</v>
      </c>
      <c r="OK304">
        <v>12</v>
      </c>
      <c r="OO304">
        <v>5488</v>
      </c>
      <c r="OP304">
        <v>11101</v>
      </c>
      <c r="OR304">
        <v>124</v>
      </c>
      <c r="OU304">
        <v>58</v>
      </c>
      <c r="OV304">
        <v>1236</v>
      </c>
      <c r="PI304">
        <v>18007</v>
      </c>
      <c r="PM304" t="str">
        <f>IFERROR(VLOOKUP($A304&amp;"",Key!$A:$C,3,FALSE),"")</f>
        <v>ISIC 58T60</v>
      </c>
    </row>
    <row r="305" spans="1:429" x14ac:dyDescent="0.25">
      <c r="A305">
        <v>511130</v>
      </c>
      <c r="B305" t="s">
        <v>440</v>
      </c>
      <c r="X305">
        <v>2</v>
      </c>
      <c r="EQ305">
        <v>1</v>
      </c>
      <c r="ER305">
        <v>7</v>
      </c>
      <c r="IB305">
        <v>21</v>
      </c>
      <c r="JL305">
        <v>6</v>
      </c>
      <c r="JM305">
        <v>7</v>
      </c>
      <c r="JN305">
        <v>10</v>
      </c>
      <c r="JO305">
        <v>32</v>
      </c>
      <c r="JQ305">
        <v>14</v>
      </c>
      <c r="JS305">
        <v>4</v>
      </c>
      <c r="JT305">
        <v>22</v>
      </c>
      <c r="JW305">
        <v>3</v>
      </c>
      <c r="JX305">
        <v>4</v>
      </c>
      <c r="JZ305">
        <v>4</v>
      </c>
      <c r="KA305">
        <v>3</v>
      </c>
      <c r="KB305">
        <v>1</v>
      </c>
      <c r="KD305">
        <v>4</v>
      </c>
      <c r="KF305">
        <v>1</v>
      </c>
      <c r="KH305">
        <v>12</v>
      </c>
      <c r="KK305">
        <v>480</v>
      </c>
      <c r="KL305">
        <v>3</v>
      </c>
      <c r="KM305">
        <v>16</v>
      </c>
      <c r="KP305">
        <v>1045</v>
      </c>
      <c r="KR305">
        <v>7</v>
      </c>
      <c r="KW305">
        <v>5</v>
      </c>
      <c r="KX305">
        <v>25</v>
      </c>
      <c r="KZ305">
        <v>14</v>
      </c>
      <c r="LB305">
        <v>5</v>
      </c>
      <c r="LC305">
        <v>25</v>
      </c>
      <c r="LD305">
        <v>25</v>
      </c>
      <c r="LE305">
        <v>17</v>
      </c>
      <c r="LF305">
        <v>4</v>
      </c>
      <c r="LM305">
        <v>292</v>
      </c>
      <c r="LN305">
        <v>18</v>
      </c>
      <c r="LO305">
        <v>11</v>
      </c>
      <c r="LR305">
        <v>417</v>
      </c>
      <c r="LS305">
        <v>12</v>
      </c>
      <c r="LT305">
        <v>13</v>
      </c>
      <c r="LU305">
        <v>2</v>
      </c>
      <c r="LV305">
        <v>77</v>
      </c>
      <c r="LW305">
        <v>23</v>
      </c>
      <c r="LZ305">
        <v>84</v>
      </c>
      <c r="MA305">
        <v>5</v>
      </c>
      <c r="MD305">
        <v>17</v>
      </c>
      <c r="MF305">
        <v>72</v>
      </c>
      <c r="MH305">
        <v>5</v>
      </c>
      <c r="MI305">
        <v>6</v>
      </c>
      <c r="MJ305">
        <v>3</v>
      </c>
      <c r="MK305">
        <v>11</v>
      </c>
      <c r="ML305">
        <v>0</v>
      </c>
      <c r="MN305">
        <v>8</v>
      </c>
      <c r="MP305">
        <v>3</v>
      </c>
      <c r="MQ305">
        <v>3</v>
      </c>
      <c r="MR305">
        <v>232</v>
      </c>
      <c r="MS305">
        <v>184</v>
      </c>
      <c r="MT305">
        <v>6</v>
      </c>
      <c r="MU305">
        <v>8</v>
      </c>
      <c r="MV305">
        <v>1369</v>
      </c>
      <c r="MX305">
        <v>19</v>
      </c>
      <c r="MY305">
        <v>6</v>
      </c>
      <c r="MZ305">
        <v>79</v>
      </c>
      <c r="NA305">
        <v>12</v>
      </c>
      <c r="NC305">
        <v>216</v>
      </c>
      <c r="ND305">
        <v>0</v>
      </c>
      <c r="NE305">
        <v>131</v>
      </c>
      <c r="NN305">
        <v>22</v>
      </c>
      <c r="NP305">
        <v>13</v>
      </c>
      <c r="NR305">
        <v>3</v>
      </c>
      <c r="NX305">
        <v>6</v>
      </c>
      <c r="NY305">
        <v>34</v>
      </c>
      <c r="NZ305">
        <v>44</v>
      </c>
      <c r="OA305">
        <v>30</v>
      </c>
      <c r="OB305">
        <v>8</v>
      </c>
      <c r="OE305">
        <v>656</v>
      </c>
      <c r="OH305">
        <v>4</v>
      </c>
      <c r="OI305">
        <v>5164</v>
      </c>
      <c r="OJ305">
        <v>72</v>
      </c>
      <c r="OK305">
        <v>112</v>
      </c>
      <c r="OO305">
        <v>11338</v>
      </c>
      <c r="OP305">
        <v>26230</v>
      </c>
      <c r="OR305">
        <v>9627</v>
      </c>
      <c r="OU305">
        <v>-46</v>
      </c>
      <c r="OV305">
        <v>2598</v>
      </c>
      <c r="PI305">
        <v>49747</v>
      </c>
      <c r="PM305" t="str">
        <f>IFERROR(VLOOKUP($A305&amp;"",Key!$A:$C,3,FALSE),"")</f>
        <v>ISIC 58T60</v>
      </c>
    </row>
    <row r="306" spans="1:429" x14ac:dyDescent="0.25">
      <c r="A306" t="s">
        <v>602</v>
      </c>
      <c r="B306" t="s">
        <v>441</v>
      </c>
      <c r="Y306">
        <v>6</v>
      </c>
      <c r="JK306">
        <v>108</v>
      </c>
      <c r="JL306">
        <v>91</v>
      </c>
      <c r="JM306">
        <v>62</v>
      </c>
      <c r="JN306">
        <v>34</v>
      </c>
      <c r="JO306">
        <v>50</v>
      </c>
      <c r="JP306">
        <v>52</v>
      </c>
      <c r="JQ306">
        <v>31</v>
      </c>
      <c r="JS306">
        <v>36</v>
      </c>
      <c r="JT306">
        <v>13</v>
      </c>
      <c r="JV306">
        <v>10</v>
      </c>
      <c r="JW306">
        <v>5</v>
      </c>
      <c r="JX306">
        <v>7</v>
      </c>
      <c r="JZ306">
        <v>2</v>
      </c>
      <c r="KA306">
        <v>3</v>
      </c>
      <c r="KC306">
        <v>127</v>
      </c>
      <c r="KD306">
        <v>1</v>
      </c>
      <c r="KH306">
        <v>5</v>
      </c>
      <c r="KK306">
        <v>42</v>
      </c>
      <c r="KN306">
        <v>14</v>
      </c>
      <c r="KO306">
        <v>7</v>
      </c>
      <c r="KP306">
        <v>27</v>
      </c>
      <c r="KQ306">
        <v>530</v>
      </c>
      <c r="KS306">
        <v>7</v>
      </c>
      <c r="KT306">
        <v>3</v>
      </c>
      <c r="KZ306">
        <v>9</v>
      </c>
      <c r="LA306">
        <v>229</v>
      </c>
      <c r="LB306">
        <v>0</v>
      </c>
      <c r="LD306">
        <v>5</v>
      </c>
      <c r="LE306">
        <v>107</v>
      </c>
      <c r="LF306">
        <v>21</v>
      </c>
      <c r="LG306">
        <v>28</v>
      </c>
      <c r="LH306">
        <v>93</v>
      </c>
      <c r="LI306">
        <v>3</v>
      </c>
      <c r="LQ306">
        <v>710</v>
      </c>
      <c r="LR306">
        <v>41</v>
      </c>
      <c r="LS306">
        <v>4</v>
      </c>
      <c r="LU306">
        <v>11</v>
      </c>
      <c r="LV306">
        <v>24</v>
      </c>
      <c r="LW306">
        <v>14</v>
      </c>
      <c r="LX306">
        <v>148</v>
      </c>
      <c r="LY306">
        <v>10</v>
      </c>
      <c r="LZ306">
        <v>26</v>
      </c>
      <c r="MA306">
        <v>54</v>
      </c>
      <c r="MB306">
        <v>9</v>
      </c>
      <c r="MC306">
        <v>1</v>
      </c>
      <c r="ME306">
        <v>13</v>
      </c>
      <c r="MF306">
        <v>122</v>
      </c>
      <c r="MG306">
        <v>12</v>
      </c>
      <c r="MI306">
        <v>17</v>
      </c>
      <c r="MK306">
        <v>58</v>
      </c>
      <c r="ML306">
        <v>22</v>
      </c>
      <c r="MN306">
        <v>45</v>
      </c>
      <c r="MO306">
        <v>0</v>
      </c>
      <c r="MP306">
        <v>15</v>
      </c>
      <c r="MQ306">
        <v>0</v>
      </c>
      <c r="MR306">
        <v>47</v>
      </c>
      <c r="MS306">
        <v>26</v>
      </c>
      <c r="MT306">
        <v>6</v>
      </c>
      <c r="MU306">
        <v>3</v>
      </c>
      <c r="MV306">
        <v>62</v>
      </c>
      <c r="MW306">
        <v>0</v>
      </c>
      <c r="MX306">
        <v>10</v>
      </c>
      <c r="MY306">
        <v>18</v>
      </c>
      <c r="MZ306">
        <v>92</v>
      </c>
      <c r="NA306">
        <v>3</v>
      </c>
      <c r="NC306">
        <v>90</v>
      </c>
      <c r="NE306">
        <v>31</v>
      </c>
      <c r="NG306">
        <v>0</v>
      </c>
      <c r="NI306">
        <v>1</v>
      </c>
      <c r="NJ306">
        <v>13</v>
      </c>
      <c r="NM306">
        <v>3</v>
      </c>
      <c r="NN306">
        <v>2</v>
      </c>
      <c r="NO306">
        <v>7</v>
      </c>
      <c r="NP306">
        <v>21</v>
      </c>
      <c r="NR306">
        <v>2</v>
      </c>
      <c r="NS306">
        <v>0</v>
      </c>
      <c r="NV306">
        <v>3</v>
      </c>
      <c r="NY306">
        <v>178</v>
      </c>
      <c r="NZ306">
        <v>17</v>
      </c>
      <c r="OA306">
        <v>21</v>
      </c>
      <c r="OB306">
        <v>21</v>
      </c>
      <c r="OD306">
        <v>58</v>
      </c>
      <c r="OE306">
        <v>219</v>
      </c>
      <c r="OH306">
        <v>35</v>
      </c>
      <c r="OI306">
        <v>380</v>
      </c>
      <c r="OJ306">
        <v>134</v>
      </c>
      <c r="OK306">
        <v>132</v>
      </c>
      <c r="ON306">
        <v>3</v>
      </c>
      <c r="OO306">
        <v>4762</v>
      </c>
      <c r="OP306">
        <v>14288</v>
      </c>
      <c r="OR306">
        <v>372</v>
      </c>
      <c r="OU306">
        <v>19</v>
      </c>
      <c r="OV306">
        <v>339</v>
      </c>
      <c r="PI306">
        <v>19779</v>
      </c>
      <c r="PM306" t="str">
        <f>IFERROR(VLOOKUP($A306&amp;"",Key!$A:$C,3,FALSE),"")</f>
        <v>ISIC 58T60</v>
      </c>
    </row>
    <row r="307" spans="1:429" x14ac:dyDescent="0.25">
      <c r="A307">
        <v>511200</v>
      </c>
      <c r="B307" t="s">
        <v>442</v>
      </c>
      <c r="D307">
        <v>17</v>
      </c>
      <c r="E307">
        <v>10</v>
      </c>
      <c r="F307">
        <v>9</v>
      </c>
      <c r="G307">
        <v>5</v>
      </c>
      <c r="H307">
        <v>5</v>
      </c>
      <c r="I307">
        <v>4</v>
      </c>
      <c r="J307">
        <v>3</v>
      </c>
      <c r="K307">
        <v>6</v>
      </c>
      <c r="L307">
        <v>2</v>
      </c>
      <c r="M307">
        <v>0</v>
      </c>
      <c r="P307">
        <v>14</v>
      </c>
      <c r="Q307">
        <v>0</v>
      </c>
      <c r="S307">
        <v>0</v>
      </c>
      <c r="U307">
        <v>1</v>
      </c>
      <c r="V307">
        <v>3</v>
      </c>
      <c r="W307">
        <v>5</v>
      </c>
      <c r="X307">
        <v>143</v>
      </c>
      <c r="Y307">
        <v>114</v>
      </c>
      <c r="AA307">
        <v>12</v>
      </c>
      <c r="AB307">
        <v>42</v>
      </c>
      <c r="AC307">
        <v>114</v>
      </c>
      <c r="AD307">
        <v>27</v>
      </c>
      <c r="AE307">
        <v>44</v>
      </c>
      <c r="AF307">
        <v>29</v>
      </c>
      <c r="AG307">
        <v>178</v>
      </c>
      <c r="AH307">
        <v>39</v>
      </c>
      <c r="AI307">
        <v>32</v>
      </c>
      <c r="AJ307">
        <v>49</v>
      </c>
      <c r="AK307">
        <v>91</v>
      </c>
      <c r="AL307">
        <v>58</v>
      </c>
      <c r="AM307">
        <v>2</v>
      </c>
      <c r="AN307">
        <v>5</v>
      </c>
      <c r="AO307">
        <v>2</v>
      </c>
      <c r="AP307">
        <v>6</v>
      </c>
      <c r="BC307">
        <v>4</v>
      </c>
      <c r="BD307">
        <v>2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3</v>
      </c>
      <c r="BN307">
        <v>4</v>
      </c>
      <c r="BO307">
        <v>2</v>
      </c>
      <c r="BP307">
        <v>7</v>
      </c>
      <c r="BQ307">
        <v>5</v>
      </c>
      <c r="BR307">
        <v>4</v>
      </c>
      <c r="BS307">
        <v>3</v>
      </c>
      <c r="BT307">
        <v>2</v>
      </c>
      <c r="BU307">
        <v>0</v>
      </c>
      <c r="BV307">
        <v>3</v>
      </c>
      <c r="BW307">
        <v>2</v>
      </c>
      <c r="BX307">
        <v>4</v>
      </c>
      <c r="BY307">
        <v>4</v>
      </c>
      <c r="BZ307">
        <v>1</v>
      </c>
      <c r="CA307">
        <v>2</v>
      </c>
      <c r="CB307">
        <v>3</v>
      </c>
      <c r="CC307">
        <v>1</v>
      </c>
      <c r="CD307">
        <v>1</v>
      </c>
      <c r="CE307">
        <v>14</v>
      </c>
      <c r="CF307">
        <v>1</v>
      </c>
      <c r="CG307">
        <v>2</v>
      </c>
      <c r="CH307">
        <v>0</v>
      </c>
      <c r="CI307">
        <v>4</v>
      </c>
      <c r="CJ307">
        <v>2</v>
      </c>
      <c r="CK307">
        <v>0</v>
      </c>
      <c r="CL307">
        <v>5</v>
      </c>
      <c r="CO307">
        <v>6</v>
      </c>
      <c r="CQ307">
        <v>5</v>
      </c>
      <c r="CW307">
        <v>3</v>
      </c>
      <c r="CZ307">
        <v>2</v>
      </c>
      <c r="DA307">
        <v>0</v>
      </c>
      <c r="DB307">
        <v>3</v>
      </c>
      <c r="DC307">
        <v>3</v>
      </c>
      <c r="DG307">
        <v>4</v>
      </c>
      <c r="DH307">
        <v>3</v>
      </c>
      <c r="DI307">
        <v>7</v>
      </c>
      <c r="DJ307">
        <v>11</v>
      </c>
      <c r="DK307">
        <v>19</v>
      </c>
      <c r="DL307">
        <v>0</v>
      </c>
      <c r="DM307">
        <v>3</v>
      </c>
      <c r="DN307">
        <v>0</v>
      </c>
      <c r="DO307">
        <v>1</v>
      </c>
      <c r="DP307">
        <v>1</v>
      </c>
      <c r="DQ307">
        <v>1</v>
      </c>
      <c r="DR307">
        <v>8</v>
      </c>
      <c r="DS307">
        <v>5</v>
      </c>
      <c r="DT307">
        <v>0</v>
      </c>
      <c r="DU307">
        <v>1</v>
      </c>
      <c r="DV307">
        <v>0</v>
      </c>
      <c r="DW307">
        <v>1</v>
      </c>
      <c r="DX307">
        <v>3</v>
      </c>
      <c r="DY307">
        <v>1</v>
      </c>
      <c r="DZ307">
        <v>2</v>
      </c>
      <c r="EA307">
        <v>0</v>
      </c>
      <c r="EB307">
        <v>0</v>
      </c>
      <c r="EY307">
        <v>1</v>
      </c>
      <c r="EZ307">
        <v>2</v>
      </c>
      <c r="FC307">
        <v>3</v>
      </c>
      <c r="FE307">
        <v>186</v>
      </c>
      <c r="FF307">
        <v>34</v>
      </c>
      <c r="FG307">
        <v>11</v>
      </c>
      <c r="FH307">
        <v>15</v>
      </c>
      <c r="FI307">
        <v>1</v>
      </c>
      <c r="FJ307">
        <v>2</v>
      </c>
      <c r="FK307">
        <v>7</v>
      </c>
      <c r="FP307">
        <v>2</v>
      </c>
      <c r="FQ307">
        <v>2</v>
      </c>
      <c r="FS307">
        <v>1</v>
      </c>
      <c r="FV307">
        <v>5</v>
      </c>
      <c r="FW307">
        <v>1</v>
      </c>
      <c r="FX307">
        <v>5</v>
      </c>
      <c r="FY307">
        <v>8</v>
      </c>
      <c r="GA307">
        <v>1</v>
      </c>
      <c r="GC307">
        <v>1</v>
      </c>
      <c r="GD307">
        <v>2</v>
      </c>
      <c r="GH307">
        <v>5</v>
      </c>
      <c r="GP307">
        <v>0</v>
      </c>
      <c r="GQ307">
        <v>1</v>
      </c>
      <c r="GR307">
        <v>2</v>
      </c>
      <c r="GV307">
        <v>0</v>
      </c>
      <c r="GX307">
        <v>1</v>
      </c>
      <c r="GZ307">
        <v>2</v>
      </c>
      <c r="HA307">
        <v>1</v>
      </c>
      <c r="HR307">
        <v>0</v>
      </c>
      <c r="HU307">
        <v>3</v>
      </c>
      <c r="HW307">
        <v>4</v>
      </c>
      <c r="HX307">
        <v>1</v>
      </c>
      <c r="IB307">
        <v>26</v>
      </c>
      <c r="ID307">
        <v>5</v>
      </c>
      <c r="IL307">
        <v>6</v>
      </c>
      <c r="IM307">
        <v>4</v>
      </c>
      <c r="IP307">
        <v>22</v>
      </c>
      <c r="IR307">
        <v>3</v>
      </c>
      <c r="IW307">
        <v>1</v>
      </c>
      <c r="IX307">
        <v>2</v>
      </c>
      <c r="IZ307">
        <v>1</v>
      </c>
      <c r="JG307">
        <v>7</v>
      </c>
      <c r="JK307">
        <v>103</v>
      </c>
      <c r="JL307">
        <v>478</v>
      </c>
      <c r="JM307">
        <v>677</v>
      </c>
      <c r="JN307">
        <v>408</v>
      </c>
      <c r="JO307">
        <v>583</v>
      </c>
      <c r="JP307">
        <v>58</v>
      </c>
      <c r="JQ307">
        <v>122</v>
      </c>
      <c r="JR307">
        <v>33</v>
      </c>
      <c r="JS307">
        <v>240</v>
      </c>
      <c r="JT307">
        <v>17</v>
      </c>
      <c r="JV307">
        <v>428</v>
      </c>
      <c r="JW307">
        <v>35</v>
      </c>
      <c r="JX307">
        <v>208</v>
      </c>
      <c r="JY307">
        <v>77</v>
      </c>
      <c r="JZ307">
        <v>48</v>
      </c>
      <c r="KA307">
        <v>39</v>
      </c>
      <c r="KB307">
        <v>36</v>
      </c>
      <c r="KC307">
        <v>189</v>
      </c>
      <c r="KD307">
        <v>84</v>
      </c>
      <c r="KE307">
        <v>14</v>
      </c>
      <c r="KF307">
        <v>55</v>
      </c>
      <c r="KH307">
        <v>11</v>
      </c>
      <c r="KI307">
        <v>8</v>
      </c>
      <c r="KK307">
        <v>17</v>
      </c>
      <c r="KM307">
        <v>98</v>
      </c>
      <c r="KN307">
        <v>36</v>
      </c>
      <c r="KO307">
        <v>36</v>
      </c>
      <c r="KP307">
        <v>77</v>
      </c>
      <c r="KQ307">
        <v>19</v>
      </c>
      <c r="KR307">
        <v>43780</v>
      </c>
      <c r="KS307">
        <v>22</v>
      </c>
      <c r="KT307">
        <v>0</v>
      </c>
      <c r="KU307">
        <v>10</v>
      </c>
      <c r="KV307">
        <v>19</v>
      </c>
      <c r="KW307">
        <v>174</v>
      </c>
      <c r="KX307">
        <v>287</v>
      </c>
      <c r="KY307">
        <v>123</v>
      </c>
      <c r="KZ307">
        <v>1234</v>
      </c>
      <c r="LA307">
        <v>472</v>
      </c>
      <c r="LB307">
        <v>0</v>
      </c>
      <c r="LC307">
        <v>415</v>
      </c>
      <c r="LD307">
        <v>519</v>
      </c>
      <c r="LE307">
        <v>406</v>
      </c>
      <c r="LF307">
        <v>368</v>
      </c>
      <c r="LG307">
        <v>276</v>
      </c>
      <c r="LH307">
        <v>57</v>
      </c>
      <c r="LI307">
        <v>119</v>
      </c>
      <c r="LJ307">
        <v>75</v>
      </c>
      <c r="LL307">
        <v>0</v>
      </c>
      <c r="LM307">
        <v>407</v>
      </c>
      <c r="LN307">
        <v>13</v>
      </c>
      <c r="LO307">
        <v>21</v>
      </c>
      <c r="LP307">
        <v>3</v>
      </c>
      <c r="LQ307">
        <v>6</v>
      </c>
      <c r="LR307">
        <v>942</v>
      </c>
      <c r="LS307">
        <v>119</v>
      </c>
      <c r="LT307">
        <v>704</v>
      </c>
      <c r="LU307">
        <v>138</v>
      </c>
      <c r="LV307">
        <v>84</v>
      </c>
      <c r="LW307">
        <v>1842</v>
      </c>
      <c r="LX307">
        <v>269</v>
      </c>
      <c r="LY307">
        <v>657</v>
      </c>
      <c r="LZ307">
        <v>1175</v>
      </c>
      <c r="MA307">
        <v>64</v>
      </c>
      <c r="MB307">
        <v>11</v>
      </c>
      <c r="MC307">
        <v>27</v>
      </c>
      <c r="MD307">
        <v>4</v>
      </c>
      <c r="ME307">
        <v>206</v>
      </c>
      <c r="MF307">
        <v>225</v>
      </c>
      <c r="MG307">
        <v>887</v>
      </c>
      <c r="MH307">
        <v>217</v>
      </c>
      <c r="MI307">
        <v>89</v>
      </c>
      <c r="MJ307">
        <v>95</v>
      </c>
      <c r="MK307">
        <v>205</v>
      </c>
      <c r="ML307">
        <v>180</v>
      </c>
      <c r="MM307">
        <v>127</v>
      </c>
      <c r="MN307">
        <v>97</v>
      </c>
      <c r="MO307">
        <v>17</v>
      </c>
      <c r="MP307">
        <v>20</v>
      </c>
      <c r="MQ307">
        <v>86</v>
      </c>
      <c r="MR307">
        <v>282</v>
      </c>
      <c r="MS307">
        <v>189</v>
      </c>
      <c r="MT307">
        <v>18</v>
      </c>
      <c r="MU307">
        <v>14</v>
      </c>
      <c r="MV307">
        <v>55</v>
      </c>
      <c r="MW307">
        <v>4</v>
      </c>
      <c r="MX307">
        <v>13</v>
      </c>
      <c r="MY307">
        <v>10</v>
      </c>
      <c r="MZ307">
        <v>1070</v>
      </c>
      <c r="NA307">
        <v>62</v>
      </c>
      <c r="NB307">
        <v>8</v>
      </c>
      <c r="NC307">
        <v>177</v>
      </c>
      <c r="ND307">
        <v>19</v>
      </c>
      <c r="NE307">
        <v>59</v>
      </c>
      <c r="NG307">
        <v>4</v>
      </c>
      <c r="NH307">
        <v>4</v>
      </c>
      <c r="NI307">
        <v>12</v>
      </c>
      <c r="NJ307">
        <v>9</v>
      </c>
      <c r="NK307">
        <v>8</v>
      </c>
      <c r="NL307">
        <v>19</v>
      </c>
      <c r="NM307">
        <v>20</v>
      </c>
      <c r="NN307">
        <v>82</v>
      </c>
      <c r="NO307">
        <v>25</v>
      </c>
      <c r="NP307">
        <v>24</v>
      </c>
      <c r="NR307">
        <v>37</v>
      </c>
      <c r="NS307">
        <v>10</v>
      </c>
      <c r="NT307">
        <v>18</v>
      </c>
      <c r="NV307">
        <v>28</v>
      </c>
      <c r="NW307">
        <v>0</v>
      </c>
      <c r="NX307">
        <v>6</v>
      </c>
      <c r="NY307">
        <v>23</v>
      </c>
      <c r="NZ307">
        <v>39</v>
      </c>
      <c r="OA307">
        <v>36</v>
      </c>
      <c r="OB307">
        <v>52</v>
      </c>
      <c r="OD307">
        <v>0</v>
      </c>
      <c r="OE307">
        <v>373</v>
      </c>
      <c r="OF307">
        <v>3</v>
      </c>
      <c r="OI307">
        <v>716</v>
      </c>
      <c r="OJ307">
        <v>779</v>
      </c>
      <c r="OK307">
        <v>1378</v>
      </c>
      <c r="OL307">
        <v>10</v>
      </c>
      <c r="ON307">
        <v>252</v>
      </c>
      <c r="OO307">
        <v>69119</v>
      </c>
      <c r="OP307">
        <v>79659</v>
      </c>
      <c r="OR307">
        <v>114869</v>
      </c>
      <c r="OU307">
        <v>175</v>
      </c>
      <c r="OV307">
        <v>40953</v>
      </c>
      <c r="OY307">
        <v>4058</v>
      </c>
      <c r="PC307">
        <v>5266</v>
      </c>
      <c r="PG307">
        <v>10584</v>
      </c>
      <c r="PI307">
        <v>324683</v>
      </c>
      <c r="PM307" t="str">
        <f>IFERROR(VLOOKUP($A307&amp;"",Key!$A:$C,3,FALSE),"")</f>
        <v>ISIC 58T60</v>
      </c>
    </row>
    <row r="308" spans="1:429" x14ac:dyDescent="0.25">
      <c r="A308">
        <v>512100</v>
      </c>
      <c r="B308" t="s">
        <v>443</v>
      </c>
      <c r="JK308">
        <v>7</v>
      </c>
      <c r="JO308">
        <v>71</v>
      </c>
      <c r="JQ308">
        <v>0</v>
      </c>
      <c r="JV308">
        <v>9</v>
      </c>
      <c r="KA308">
        <v>2</v>
      </c>
      <c r="KC308">
        <v>23</v>
      </c>
      <c r="KD308">
        <v>0</v>
      </c>
      <c r="KE308">
        <v>8</v>
      </c>
      <c r="KH308">
        <v>1</v>
      </c>
      <c r="KJ308">
        <v>16</v>
      </c>
      <c r="KK308">
        <v>11</v>
      </c>
      <c r="KQ308">
        <v>0</v>
      </c>
      <c r="KR308">
        <v>98</v>
      </c>
      <c r="KS308">
        <v>20345</v>
      </c>
      <c r="KU308">
        <v>173</v>
      </c>
      <c r="KV308">
        <v>9613</v>
      </c>
      <c r="KW308">
        <v>30224</v>
      </c>
      <c r="KX308">
        <v>19</v>
      </c>
      <c r="KZ308">
        <v>161</v>
      </c>
      <c r="LC308">
        <v>15</v>
      </c>
      <c r="LD308">
        <v>15</v>
      </c>
      <c r="LE308">
        <v>18</v>
      </c>
      <c r="LF308">
        <v>3</v>
      </c>
      <c r="LM308">
        <v>60</v>
      </c>
      <c r="LO308">
        <v>4</v>
      </c>
      <c r="LP308">
        <v>347</v>
      </c>
      <c r="LR308">
        <v>8</v>
      </c>
      <c r="LS308">
        <v>8</v>
      </c>
      <c r="LT308">
        <v>25</v>
      </c>
      <c r="LU308">
        <v>5</v>
      </c>
      <c r="LV308">
        <v>4</v>
      </c>
      <c r="LW308">
        <v>3</v>
      </c>
      <c r="LX308">
        <v>19</v>
      </c>
      <c r="LY308">
        <v>1</v>
      </c>
      <c r="LZ308">
        <v>6</v>
      </c>
      <c r="MA308">
        <v>351</v>
      </c>
      <c r="MC308">
        <v>3</v>
      </c>
      <c r="ME308">
        <v>170</v>
      </c>
      <c r="MH308">
        <v>15</v>
      </c>
      <c r="MI308">
        <v>2</v>
      </c>
      <c r="MK308">
        <v>3</v>
      </c>
      <c r="ML308">
        <v>6</v>
      </c>
      <c r="MM308">
        <v>2</v>
      </c>
      <c r="MN308">
        <v>15</v>
      </c>
      <c r="MQ308">
        <v>2</v>
      </c>
      <c r="MR308">
        <v>73</v>
      </c>
      <c r="MS308">
        <v>21</v>
      </c>
      <c r="MT308">
        <v>4</v>
      </c>
      <c r="MU308">
        <v>3</v>
      </c>
      <c r="MV308">
        <v>5</v>
      </c>
      <c r="MX308">
        <v>2</v>
      </c>
      <c r="MY308">
        <v>1</v>
      </c>
      <c r="MZ308">
        <v>9</v>
      </c>
      <c r="NA308">
        <v>478</v>
      </c>
      <c r="NB308">
        <v>1</v>
      </c>
      <c r="NC308">
        <v>731</v>
      </c>
      <c r="ND308">
        <v>61</v>
      </c>
      <c r="NE308">
        <v>79</v>
      </c>
      <c r="NF308">
        <v>1</v>
      </c>
      <c r="NG308">
        <v>0</v>
      </c>
      <c r="NI308">
        <v>1</v>
      </c>
      <c r="NK308">
        <v>1</v>
      </c>
      <c r="NL308">
        <v>2</v>
      </c>
      <c r="NM308">
        <v>15</v>
      </c>
      <c r="NN308">
        <v>17</v>
      </c>
      <c r="NO308">
        <v>82</v>
      </c>
      <c r="NP308">
        <v>225</v>
      </c>
      <c r="NQ308">
        <v>45</v>
      </c>
      <c r="NR308">
        <v>1</v>
      </c>
      <c r="NT308">
        <v>2</v>
      </c>
      <c r="NV308">
        <v>9</v>
      </c>
      <c r="NX308">
        <v>2</v>
      </c>
      <c r="NY308">
        <v>28</v>
      </c>
      <c r="NZ308">
        <v>14</v>
      </c>
      <c r="OA308">
        <v>25</v>
      </c>
      <c r="OB308">
        <v>4</v>
      </c>
      <c r="OD308">
        <v>0</v>
      </c>
      <c r="OE308">
        <v>5</v>
      </c>
      <c r="OI308">
        <v>12</v>
      </c>
      <c r="OJ308">
        <v>6</v>
      </c>
      <c r="OK308">
        <v>98</v>
      </c>
      <c r="OO308">
        <v>63952</v>
      </c>
      <c r="OP308">
        <v>25944</v>
      </c>
      <c r="OR308">
        <v>34944</v>
      </c>
      <c r="OU308">
        <v>131</v>
      </c>
      <c r="OV308">
        <v>20775</v>
      </c>
      <c r="PI308">
        <v>145745</v>
      </c>
      <c r="PM308" t="str">
        <f>IFERROR(VLOOKUP($A308&amp;"",Key!$A:$C,3,FALSE),"")</f>
        <v>ISIC 58T60</v>
      </c>
    </row>
    <row r="309" spans="1:429" x14ac:dyDescent="0.25">
      <c r="A309">
        <v>512200</v>
      </c>
      <c r="B309" t="s">
        <v>444</v>
      </c>
      <c r="JQ309">
        <v>0</v>
      </c>
      <c r="JV309">
        <v>255</v>
      </c>
      <c r="JW309">
        <v>230</v>
      </c>
      <c r="KC309">
        <v>7</v>
      </c>
      <c r="KD309">
        <v>1</v>
      </c>
      <c r="KR309">
        <v>0</v>
      </c>
      <c r="KS309">
        <v>1477</v>
      </c>
      <c r="KT309">
        <v>1517</v>
      </c>
      <c r="KU309">
        <v>14</v>
      </c>
      <c r="KV309">
        <v>257</v>
      </c>
      <c r="KW309">
        <v>1218</v>
      </c>
      <c r="KZ309">
        <v>9</v>
      </c>
      <c r="MA309">
        <v>2051</v>
      </c>
      <c r="MF309">
        <v>286</v>
      </c>
      <c r="MP309">
        <v>21</v>
      </c>
      <c r="MQ309">
        <v>126</v>
      </c>
      <c r="MR309">
        <v>143</v>
      </c>
      <c r="NH309">
        <v>281</v>
      </c>
      <c r="NI309">
        <v>12</v>
      </c>
      <c r="NM309">
        <v>19</v>
      </c>
      <c r="NN309">
        <v>423</v>
      </c>
      <c r="NO309">
        <v>551</v>
      </c>
      <c r="NP309">
        <v>1704</v>
      </c>
      <c r="NQ309">
        <v>429</v>
      </c>
      <c r="NZ309">
        <v>321</v>
      </c>
      <c r="OB309">
        <v>35</v>
      </c>
      <c r="OD309">
        <v>17</v>
      </c>
      <c r="OE309">
        <v>904</v>
      </c>
      <c r="OH309">
        <v>76</v>
      </c>
      <c r="OI309">
        <v>142</v>
      </c>
      <c r="OJ309">
        <v>28</v>
      </c>
      <c r="OK309">
        <v>56</v>
      </c>
      <c r="OO309">
        <v>12611</v>
      </c>
      <c r="OP309">
        <v>3501</v>
      </c>
      <c r="OR309">
        <v>3597</v>
      </c>
      <c r="OU309">
        <v>-93</v>
      </c>
      <c r="OV309">
        <v>2895</v>
      </c>
      <c r="PI309">
        <v>22511</v>
      </c>
      <c r="PM309" t="str">
        <f>IFERROR(VLOOKUP($A309&amp;"",Key!$A:$C,3,FALSE),"")</f>
        <v>ISIC 58T60</v>
      </c>
    </row>
    <row r="310" spans="1:429" x14ac:dyDescent="0.25">
      <c r="A310">
        <v>515100</v>
      </c>
      <c r="B310" t="s">
        <v>445</v>
      </c>
      <c r="P310">
        <v>114</v>
      </c>
      <c r="Q310">
        <v>3</v>
      </c>
      <c r="R310">
        <v>2</v>
      </c>
      <c r="S310">
        <v>2</v>
      </c>
      <c r="T310">
        <v>0</v>
      </c>
      <c r="JQ310">
        <v>0</v>
      </c>
      <c r="KO310">
        <v>0</v>
      </c>
      <c r="KR310">
        <v>1</v>
      </c>
      <c r="KU310">
        <v>35897</v>
      </c>
      <c r="KV310">
        <v>4948</v>
      </c>
      <c r="KW310">
        <v>30</v>
      </c>
      <c r="KZ310">
        <v>6049</v>
      </c>
      <c r="MA310">
        <v>214</v>
      </c>
      <c r="ME310">
        <v>37</v>
      </c>
      <c r="NN310">
        <v>2771</v>
      </c>
      <c r="OD310">
        <v>692</v>
      </c>
      <c r="OE310">
        <v>325</v>
      </c>
      <c r="OH310">
        <v>218</v>
      </c>
      <c r="OI310">
        <v>3453</v>
      </c>
      <c r="OK310">
        <v>2316</v>
      </c>
      <c r="OO310">
        <v>57073</v>
      </c>
      <c r="OP310">
        <v>11653</v>
      </c>
      <c r="OR310">
        <v>12966</v>
      </c>
      <c r="OV310">
        <v>19</v>
      </c>
      <c r="PI310">
        <v>81710</v>
      </c>
      <c r="PM310" t="str">
        <f>IFERROR(VLOOKUP($A310&amp;"",Key!$A:$C,3,FALSE),"")</f>
        <v>ISIC 58T60</v>
      </c>
    </row>
    <row r="311" spans="1:429" x14ac:dyDescent="0.25">
      <c r="A311">
        <v>515200</v>
      </c>
      <c r="B311" t="s">
        <v>446</v>
      </c>
      <c r="KD311">
        <v>0</v>
      </c>
      <c r="KR311">
        <v>0</v>
      </c>
      <c r="KV311">
        <v>891</v>
      </c>
      <c r="KW311">
        <v>4026</v>
      </c>
      <c r="KZ311">
        <v>31</v>
      </c>
      <c r="OO311">
        <v>4948</v>
      </c>
      <c r="OR311">
        <v>17552</v>
      </c>
      <c r="PI311">
        <v>22500</v>
      </c>
      <c r="PM311" t="str">
        <f>IFERROR(VLOOKUP($A311&amp;"",Key!$A:$C,3,FALSE),"")</f>
        <v>ISIC 58T60</v>
      </c>
    </row>
    <row r="312" spans="1:429" x14ac:dyDescent="0.25">
      <c r="A312">
        <v>517110</v>
      </c>
      <c r="B312" t="s">
        <v>447</v>
      </c>
      <c r="C312">
        <v>41</v>
      </c>
      <c r="D312">
        <v>50</v>
      </c>
      <c r="E312">
        <v>7</v>
      </c>
      <c r="F312">
        <v>29</v>
      </c>
      <c r="G312">
        <v>42</v>
      </c>
      <c r="H312">
        <v>59</v>
      </c>
      <c r="I312">
        <v>115</v>
      </c>
      <c r="J312">
        <v>80</v>
      </c>
      <c r="K312">
        <v>101</v>
      </c>
      <c r="L312">
        <v>31</v>
      </c>
      <c r="M312">
        <v>3</v>
      </c>
      <c r="N312">
        <v>1</v>
      </c>
      <c r="O312">
        <v>9</v>
      </c>
      <c r="P312">
        <v>118</v>
      </c>
      <c r="Q312">
        <v>16</v>
      </c>
      <c r="R312">
        <v>1</v>
      </c>
      <c r="S312">
        <v>10</v>
      </c>
      <c r="T312">
        <v>34</v>
      </c>
      <c r="U312">
        <v>22</v>
      </c>
      <c r="V312">
        <v>103</v>
      </c>
      <c r="W312">
        <v>315</v>
      </c>
      <c r="X312">
        <v>922</v>
      </c>
      <c r="Y312">
        <v>63</v>
      </c>
      <c r="Z312">
        <v>88</v>
      </c>
      <c r="AA312">
        <v>45</v>
      </c>
      <c r="AB312">
        <v>100</v>
      </c>
      <c r="AC312">
        <v>444</v>
      </c>
      <c r="AD312">
        <v>194</v>
      </c>
      <c r="AE312">
        <v>237</v>
      </c>
      <c r="AF312">
        <v>93</v>
      </c>
      <c r="AG312">
        <v>567</v>
      </c>
      <c r="AH312">
        <v>84</v>
      </c>
      <c r="AI312">
        <v>150</v>
      </c>
      <c r="AJ312">
        <v>146</v>
      </c>
      <c r="AK312">
        <v>385</v>
      </c>
      <c r="AL312">
        <v>162</v>
      </c>
      <c r="AM312">
        <v>85</v>
      </c>
      <c r="AN312">
        <v>38</v>
      </c>
      <c r="AO312">
        <v>47</v>
      </c>
      <c r="AP312">
        <v>72</v>
      </c>
      <c r="AQ312">
        <v>46</v>
      </c>
      <c r="AR312">
        <v>145</v>
      </c>
      <c r="AS312">
        <v>30</v>
      </c>
      <c r="AT312">
        <v>108</v>
      </c>
      <c r="AU312">
        <v>17</v>
      </c>
      <c r="AV312">
        <v>27</v>
      </c>
      <c r="AW312">
        <v>30</v>
      </c>
      <c r="AX312">
        <v>28</v>
      </c>
      <c r="AY312">
        <v>35</v>
      </c>
      <c r="AZ312">
        <v>35</v>
      </c>
      <c r="BA312">
        <v>29</v>
      </c>
      <c r="BB312">
        <v>44</v>
      </c>
      <c r="BC312">
        <v>73</v>
      </c>
      <c r="BD312">
        <v>15</v>
      </c>
      <c r="BE312">
        <v>6</v>
      </c>
      <c r="BF312">
        <v>2</v>
      </c>
      <c r="BG312">
        <v>11</v>
      </c>
      <c r="BH312">
        <v>5</v>
      </c>
      <c r="BI312">
        <v>6</v>
      </c>
      <c r="BJ312">
        <v>7</v>
      </c>
      <c r="BK312">
        <v>11</v>
      </c>
      <c r="BL312">
        <v>30</v>
      </c>
      <c r="BM312">
        <v>15</v>
      </c>
      <c r="BN312">
        <v>17</v>
      </c>
      <c r="BO312">
        <v>23</v>
      </c>
      <c r="BP312">
        <v>34</v>
      </c>
      <c r="BQ312">
        <v>107</v>
      </c>
      <c r="BR312">
        <v>97</v>
      </c>
      <c r="BS312">
        <v>17</v>
      </c>
      <c r="BT312">
        <v>18</v>
      </c>
      <c r="BU312">
        <v>7</v>
      </c>
      <c r="BV312">
        <v>31</v>
      </c>
      <c r="BW312">
        <v>23</v>
      </c>
      <c r="BX312">
        <v>107</v>
      </c>
      <c r="BY312">
        <v>79</v>
      </c>
      <c r="BZ312">
        <v>56</v>
      </c>
      <c r="CA312">
        <v>25</v>
      </c>
      <c r="CB312">
        <v>50</v>
      </c>
      <c r="CC312">
        <v>4</v>
      </c>
      <c r="CD312">
        <v>9</v>
      </c>
      <c r="CE312">
        <v>22</v>
      </c>
      <c r="CF312">
        <v>29</v>
      </c>
      <c r="CG312">
        <v>44</v>
      </c>
      <c r="CH312">
        <v>8</v>
      </c>
      <c r="CI312">
        <v>61</v>
      </c>
      <c r="CJ312">
        <v>30</v>
      </c>
      <c r="CK312">
        <v>8</v>
      </c>
      <c r="CL312">
        <v>86</v>
      </c>
      <c r="CM312">
        <v>14</v>
      </c>
      <c r="CN312">
        <v>5</v>
      </c>
      <c r="CO312">
        <v>88</v>
      </c>
      <c r="CP312">
        <v>15</v>
      </c>
      <c r="CQ312">
        <v>60</v>
      </c>
      <c r="CR312">
        <v>17</v>
      </c>
      <c r="CS312">
        <v>46</v>
      </c>
      <c r="CT312">
        <v>25</v>
      </c>
      <c r="CU312">
        <v>24</v>
      </c>
      <c r="CV312">
        <v>35</v>
      </c>
      <c r="CW312">
        <v>27</v>
      </c>
      <c r="CX312">
        <v>7</v>
      </c>
      <c r="CY312">
        <v>13</v>
      </c>
      <c r="CZ312">
        <v>38</v>
      </c>
      <c r="DA312">
        <v>21</v>
      </c>
      <c r="DB312">
        <v>34</v>
      </c>
      <c r="DC312">
        <v>52</v>
      </c>
      <c r="DD312">
        <v>9</v>
      </c>
      <c r="DE312">
        <v>19</v>
      </c>
      <c r="DF312">
        <v>8</v>
      </c>
      <c r="DG312">
        <v>47</v>
      </c>
      <c r="DH312">
        <v>40</v>
      </c>
      <c r="DI312">
        <v>0</v>
      </c>
      <c r="DJ312">
        <v>1</v>
      </c>
      <c r="DK312">
        <v>5</v>
      </c>
      <c r="DL312">
        <v>0</v>
      </c>
      <c r="DM312">
        <v>55</v>
      </c>
      <c r="DN312">
        <v>1</v>
      </c>
      <c r="DO312">
        <v>20</v>
      </c>
      <c r="DP312">
        <v>0</v>
      </c>
      <c r="DQ312">
        <v>12</v>
      </c>
      <c r="DR312">
        <v>58</v>
      </c>
      <c r="DS312">
        <v>88</v>
      </c>
      <c r="DT312">
        <v>1</v>
      </c>
      <c r="DU312">
        <v>2</v>
      </c>
      <c r="DV312">
        <v>1</v>
      </c>
      <c r="DW312">
        <v>5</v>
      </c>
      <c r="DX312">
        <v>7</v>
      </c>
      <c r="DY312">
        <v>1</v>
      </c>
      <c r="DZ312">
        <v>9</v>
      </c>
      <c r="EA312">
        <v>0</v>
      </c>
      <c r="EB312">
        <v>0</v>
      </c>
      <c r="EC312">
        <v>3</v>
      </c>
      <c r="ED312">
        <v>8</v>
      </c>
      <c r="EE312">
        <v>0</v>
      </c>
      <c r="EF312">
        <v>3</v>
      </c>
      <c r="EG312">
        <v>0</v>
      </c>
      <c r="EH312">
        <v>3</v>
      </c>
      <c r="EI312">
        <v>10</v>
      </c>
      <c r="EJ312">
        <v>11</v>
      </c>
      <c r="EK312">
        <v>2</v>
      </c>
      <c r="EL312">
        <v>0</v>
      </c>
      <c r="EM312">
        <v>4</v>
      </c>
      <c r="EN312">
        <v>5</v>
      </c>
      <c r="EO312">
        <v>0</v>
      </c>
      <c r="EP312">
        <v>26</v>
      </c>
      <c r="EQ312">
        <v>1</v>
      </c>
      <c r="ER312">
        <v>1</v>
      </c>
      <c r="ES312">
        <v>1</v>
      </c>
      <c r="ET312">
        <v>8</v>
      </c>
      <c r="EU312">
        <v>2</v>
      </c>
      <c r="EV312">
        <v>0</v>
      </c>
      <c r="EW312">
        <v>4</v>
      </c>
      <c r="EX312">
        <v>4</v>
      </c>
      <c r="EY312">
        <v>7</v>
      </c>
      <c r="EZ312">
        <v>28</v>
      </c>
      <c r="FA312">
        <v>11</v>
      </c>
      <c r="FB312">
        <v>21</v>
      </c>
      <c r="FC312">
        <v>55</v>
      </c>
      <c r="FD312">
        <v>5</v>
      </c>
      <c r="FE312">
        <v>305</v>
      </c>
      <c r="FF312">
        <v>133</v>
      </c>
      <c r="FG312">
        <v>45</v>
      </c>
      <c r="FH312">
        <v>25</v>
      </c>
      <c r="FI312">
        <v>13</v>
      </c>
      <c r="FJ312">
        <v>25</v>
      </c>
      <c r="FK312">
        <v>41</v>
      </c>
      <c r="FL312">
        <v>5</v>
      </c>
      <c r="FM312">
        <v>3</v>
      </c>
      <c r="FN312">
        <v>7</v>
      </c>
      <c r="FO312">
        <v>2</v>
      </c>
      <c r="FP312">
        <v>28</v>
      </c>
      <c r="FQ312">
        <v>7</v>
      </c>
      <c r="FR312">
        <v>2</v>
      </c>
      <c r="FS312">
        <v>5</v>
      </c>
      <c r="FT312">
        <v>4</v>
      </c>
      <c r="FU312">
        <v>5</v>
      </c>
      <c r="FV312">
        <v>42</v>
      </c>
      <c r="FW312">
        <v>9</v>
      </c>
      <c r="FX312">
        <v>43</v>
      </c>
      <c r="FY312">
        <v>50</v>
      </c>
      <c r="FZ312">
        <v>20</v>
      </c>
      <c r="GA312">
        <v>7</v>
      </c>
      <c r="GB312">
        <v>34</v>
      </c>
      <c r="GC312">
        <v>25</v>
      </c>
      <c r="GD312">
        <v>24</v>
      </c>
      <c r="GE312">
        <v>3</v>
      </c>
      <c r="GF312">
        <v>10</v>
      </c>
      <c r="GG312">
        <v>46</v>
      </c>
      <c r="GH312">
        <v>51</v>
      </c>
      <c r="GI312">
        <v>8</v>
      </c>
      <c r="GJ312">
        <v>6</v>
      </c>
      <c r="GK312">
        <v>4</v>
      </c>
      <c r="GL312">
        <v>2</v>
      </c>
      <c r="GM312">
        <v>3</v>
      </c>
      <c r="GN312">
        <v>3</v>
      </c>
      <c r="GO312">
        <v>3</v>
      </c>
      <c r="GP312">
        <v>20</v>
      </c>
      <c r="GQ312">
        <v>7</v>
      </c>
      <c r="GR312">
        <v>22</v>
      </c>
      <c r="GS312">
        <v>6</v>
      </c>
      <c r="GT312">
        <v>10</v>
      </c>
      <c r="GU312">
        <v>42</v>
      </c>
      <c r="GV312">
        <v>5</v>
      </c>
      <c r="GW312">
        <v>47</v>
      </c>
      <c r="GX312">
        <v>64</v>
      </c>
      <c r="GY312">
        <v>14</v>
      </c>
      <c r="GZ312">
        <v>140</v>
      </c>
      <c r="HA312">
        <v>12</v>
      </c>
      <c r="HB312">
        <v>14</v>
      </c>
      <c r="HC312">
        <v>4</v>
      </c>
      <c r="HD312">
        <v>16</v>
      </c>
      <c r="HE312">
        <v>25</v>
      </c>
      <c r="HF312">
        <v>25</v>
      </c>
      <c r="HG312">
        <v>30</v>
      </c>
      <c r="HH312">
        <v>6</v>
      </c>
      <c r="HI312">
        <v>19</v>
      </c>
      <c r="HJ312">
        <v>10</v>
      </c>
      <c r="HK312">
        <v>7</v>
      </c>
      <c r="HL312">
        <v>1</v>
      </c>
      <c r="HM312">
        <v>7</v>
      </c>
      <c r="HN312">
        <v>4</v>
      </c>
      <c r="HO312">
        <v>3</v>
      </c>
      <c r="HP312">
        <v>5</v>
      </c>
      <c r="HQ312">
        <v>10</v>
      </c>
      <c r="HR312">
        <v>3</v>
      </c>
      <c r="HS312">
        <v>4</v>
      </c>
      <c r="HT312">
        <v>3</v>
      </c>
      <c r="HU312">
        <v>8</v>
      </c>
      <c r="HV312">
        <v>8</v>
      </c>
      <c r="HW312">
        <v>144</v>
      </c>
      <c r="HX312">
        <v>14</v>
      </c>
      <c r="HY312">
        <v>7</v>
      </c>
      <c r="HZ312">
        <v>4</v>
      </c>
      <c r="IA312">
        <v>4</v>
      </c>
      <c r="IB312">
        <v>320</v>
      </c>
      <c r="IC312">
        <v>10</v>
      </c>
      <c r="ID312">
        <v>41</v>
      </c>
      <c r="IE312">
        <v>6</v>
      </c>
      <c r="IF312">
        <v>6</v>
      </c>
      <c r="IG312">
        <v>2</v>
      </c>
      <c r="IH312">
        <v>3</v>
      </c>
      <c r="II312">
        <v>13</v>
      </c>
      <c r="IJ312">
        <v>3</v>
      </c>
      <c r="IK312">
        <v>20</v>
      </c>
      <c r="IL312">
        <v>51</v>
      </c>
      <c r="IM312">
        <v>14</v>
      </c>
      <c r="IN312">
        <v>4</v>
      </c>
      <c r="IO312">
        <v>20</v>
      </c>
      <c r="IP312">
        <v>71</v>
      </c>
      <c r="IQ312">
        <v>8</v>
      </c>
      <c r="IR312">
        <v>33</v>
      </c>
      <c r="IS312">
        <v>17</v>
      </c>
      <c r="IT312">
        <v>6</v>
      </c>
      <c r="IU312">
        <v>17</v>
      </c>
      <c r="IV312">
        <v>11</v>
      </c>
      <c r="IW312">
        <v>8</v>
      </c>
      <c r="IX312">
        <v>9</v>
      </c>
      <c r="IY312">
        <v>2</v>
      </c>
      <c r="IZ312">
        <v>45</v>
      </c>
      <c r="JA312">
        <v>36</v>
      </c>
      <c r="JB312">
        <v>28</v>
      </c>
      <c r="JC312">
        <v>10</v>
      </c>
      <c r="JD312">
        <v>10</v>
      </c>
      <c r="JE312">
        <v>11</v>
      </c>
      <c r="JF312">
        <v>11</v>
      </c>
      <c r="JG312">
        <v>109</v>
      </c>
      <c r="JH312">
        <v>16</v>
      </c>
      <c r="JI312">
        <v>9</v>
      </c>
      <c r="JJ312">
        <v>20</v>
      </c>
      <c r="JK312">
        <v>289</v>
      </c>
      <c r="JL312">
        <v>439</v>
      </c>
      <c r="JM312">
        <v>679</v>
      </c>
      <c r="JN312">
        <v>566</v>
      </c>
      <c r="JO312">
        <v>860</v>
      </c>
      <c r="JP312">
        <v>461</v>
      </c>
      <c r="JQ312">
        <v>519</v>
      </c>
      <c r="JR312">
        <v>85</v>
      </c>
      <c r="JS312">
        <v>967</v>
      </c>
      <c r="JT312">
        <v>116</v>
      </c>
      <c r="JV312">
        <v>950</v>
      </c>
      <c r="JW312">
        <v>304</v>
      </c>
      <c r="JX312">
        <v>243</v>
      </c>
      <c r="JY312">
        <v>459</v>
      </c>
      <c r="JZ312">
        <v>407</v>
      </c>
      <c r="KA312">
        <v>434</v>
      </c>
      <c r="KB312">
        <v>378</v>
      </c>
      <c r="KC312">
        <v>619</v>
      </c>
      <c r="KD312">
        <v>574</v>
      </c>
      <c r="KE312">
        <v>305</v>
      </c>
      <c r="KF312">
        <v>0</v>
      </c>
      <c r="KG312">
        <v>60</v>
      </c>
      <c r="KH312">
        <v>429</v>
      </c>
      <c r="KI312">
        <v>625</v>
      </c>
      <c r="KJ312">
        <v>81</v>
      </c>
      <c r="KK312">
        <v>441</v>
      </c>
      <c r="KL312">
        <v>133</v>
      </c>
      <c r="KM312">
        <v>283</v>
      </c>
      <c r="KN312">
        <v>88</v>
      </c>
      <c r="KO312">
        <v>91</v>
      </c>
      <c r="KP312">
        <v>188</v>
      </c>
      <c r="KQ312">
        <v>40</v>
      </c>
      <c r="KR312">
        <v>640</v>
      </c>
      <c r="KS312">
        <v>352</v>
      </c>
      <c r="KT312">
        <v>106</v>
      </c>
      <c r="KU312">
        <v>242</v>
      </c>
      <c r="KV312">
        <v>140</v>
      </c>
      <c r="KW312">
        <v>22720</v>
      </c>
      <c r="KX312">
        <v>15390</v>
      </c>
      <c r="KY312">
        <v>6867</v>
      </c>
      <c r="KZ312">
        <v>1456</v>
      </c>
      <c r="LA312">
        <v>3369</v>
      </c>
      <c r="LB312">
        <v>5</v>
      </c>
      <c r="LC312">
        <v>1405</v>
      </c>
      <c r="LD312">
        <v>2439</v>
      </c>
      <c r="LE312">
        <v>951</v>
      </c>
      <c r="LF312">
        <v>931</v>
      </c>
      <c r="LG312">
        <v>124</v>
      </c>
      <c r="LH312">
        <v>1611</v>
      </c>
      <c r="LI312">
        <v>331</v>
      </c>
      <c r="LJ312">
        <v>615</v>
      </c>
      <c r="LL312">
        <v>38</v>
      </c>
      <c r="LM312">
        <v>3007</v>
      </c>
      <c r="LN312">
        <v>163</v>
      </c>
      <c r="LO312">
        <v>485</v>
      </c>
      <c r="LP312">
        <v>59</v>
      </c>
      <c r="LQ312">
        <v>50</v>
      </c>
      <c r="LR312">
        <v>1423</v>
      </c>
      <c r="LS312">
        <v>347</v>
      </c>
      <c r="LT312">
        <v>662</v>
      </c>
      <c r="LU312">
        <v>122</v>
      </c>
      <c r="LV312">
        <v>327</v>
      </c>
      <c r="LW312">
        <v>914</v>
      </c>
      <c r="LX312">
        <v>606</v>
      </c>
      <c r="LY312">
        <v>244</v>
      </c>
      <c r="LZ312">
        <v>347</v>
      </c>
      <c r="MA312">
        <v>410</v>
      </c>
      <c r="MB312">
        <v>114</v>
      </c>
      <c r="MC312">
        <v>44</v>
      </c>
      <c r="MD312">
        <v>81</v>
      </c>
      <c r="ME312">
        <v>484</v>
      </c>
      <c r="MF312">
        <v>809</v>
      </c>
      <c r="MG312">
        <v>882</v>
      </c>
      <c r="MH312">
        <v>1089</v>
      </c>
      <c r="MI312">
        <v>364</v>
      </c>
      <c r="MJ312">
        <v>160</v>
      </c>
      <c r="MK312">
        <v>648</v>
      </c>
      <c r="ML312">
        <v>371</v>
      </c>
      <c r="MM312">
        <v>398</v>
      </c>
      <c r="MN312">
        <v>213</v>
      </c>
      <c r="MO312">
        <v>332</v>
      </c>
      <c r="MP312">
        <v>39</v>
      </c>
      <c r="MQ312">
        <v>431</v>
      </c>
      <c r="MR312">
        <v>526</v>
      </c>
      <c r="MS312">
        <v>772</v>
      </c>
      <c r="MT312">
        <v>136</v>
      </c>
      <c r="MU312">
        <v>370</v>
      </c>
      <c r="MV312">
        <v>862</v>
      </c>
      <c r="MW312">
        <v>102</v>
      </c>
      <c r="MX312">
        <v>230</v>
      </c>
      <c r="MY312">
        <v>112</v>
      </c>
      <c r="MZ312">
        <v>1033</v>
      </c>
      <c r="NA312">
        <v>359</v>
      </c>
      <c r="NB312">
        <v>198</v>
      </c>
      <c r="NC312">
        <v>180</v>
      </c>
      <c r="ND312">
        <v>215</v>
      </c>
      <c r="NE312">
        <v>41</v>
      </c>
      <c r="NF312">
        <v>56</v>
      </c>
      <c r="NG312">
        <v>58</v>
      </c>
      <c r="NH312">
        <v>113</v>
      </c>
      <c r="NI312">
        <v>86</v>
      </c>
      <c r="NJ312">
        <v>51</v>
      </c>
      <c r="NK312">
        <v>44</v>
      </c>
      <c r="NL312">
        <v>99</v>
      </c>
      <c r="NM312">
        <v>323</v>
      </c>
      <c r="NN312">
        <v>591</v>
      </c>
      <c r="NO312">
        <v>1002</v>
      </c>
      <c r="NP312">
        <v>1109</v>
      </c>
      <c r="NQ312">
        <v>248</v>
      </c>
      <c r="NR312">
        <v>260</v>
      </c>
      <c r="NS312">
        <v>106</v>
      </c>
      <c r="NT312">
        <v>124</v>
      </c>
      <c r="NU312">
        <v>105</v>
      </c>
      <c r="NV312">
        <v>333</v>
      </c>
      <c r="NW312">
        <v>14</v>
      </c>
      <c r="NX312">
        <v>49</v>
      </c>
      <c r="NY312">
        <v>404</v>
      </c>
      <c r="NZ312">
        <v>164</v>
      </c>
      <c r="OA312">
        <v>247</v>
      </c>
      <c r="OB312">
        <v>291</v>
      </c>
      <c r="OD312">
        <v>868</v>
      </c>
      <c r="OE312">
        <v>1196</v>
      </c>
      <c r="OF312">
        <v>1246</v>
      </c>
      <c r="OG312">
        <v>52</v>
      </c>
      <c r="OH312">
        <v>274</v>
      </c>
      <c r="OI312">
        <v>14004</v>
      </c>
      <c r="OJ312">
        <v>15473</v>
      </c>
      <c r="OK312">
        <v>8669</v>
      </c>
      <c r="OL312">
        <v>97</v>
      </c>
      <c r="OM312">
        <v>83</v>
      </c>
      <c r="ON312">
        <v>568</v>
      </c>
      <c r="OO312">
        <v>151832</v>
      </c>
      <c r="OP312">
        <v>201552</v>
      </c>
      <c r="OQ312">
        <v>7351</v>
      </c>
      <c r="OV312">
        <v>7503</v>
      </c>
      <c r="PI312">
        <v>368238</v>
      </c>
      <c r="PM312" t="str">
        <f>IFERROR(VLOOKUP($A312&amp;"",Key!$A:$C,3,FALSE),"")</f>
        <v>ISIC 61</v>
      </c>
    </row>
    <row r="313" spans="1:429" x14ac:dyDescent="0.25">
      <c r="A313">
        <v>517210</v>
      </c>
      <c r="B313" t="s">
        <v>448</v>
      </c>
      <c r="C313">
        <v>32</v>
      </c>
      <c r="D313">
        <v>52</v>
      </c>
      <c r="E313">
        <v>10</v>
      </c>
      <c r="F313">
        <v>14</v>
      </c>
      <c r="G313">
        <v>15</v>
      </c>
      <c r="H313">
        <v>9</v>
      </c>
      <c r="I313">
        <v>86</v>
      </c>
      <c r="J313">
        <v>4</v>
      </c>
      <c r="K313">
        <v>31</v>
      </c>
      <c r="L313">
        <v>21</v>
      </c>
      <c r="M313">
        <v>1</v>
      </c>
      <c r="P313">
        <v>69</v>
      </c>
      <c r="Q313">
        <v>6</v>
      </c>
      <c r="R313">
        <v>7</v>
      </c>
      <c r="S313">
        <v>3</v>
      </c>
      <c r="T313">
        <v>13</v>
      </c>
      <c r="U313">
        <v>13</v>
      </c>
      <c r="V313">
        <v>17</v>
      </c>
      <c r="W313">
        <v>112</v>
      </c>
      <c r="X313">
        <v>473</v>
      </c>
      <c r="Y313">
        <v>75</v>
      </c>
      <c r="Z313">
        <v>17</v>
      </c>
      <c r="AA313">
        <v>38</v>
      </c>
      <c r="AB313">
        <v>93</v>
      </c>
      <c r="AC313">
        <v>459</v>
      </c>
      <c r="AD313">
        <v>146</v>
      </c>
      <c r="AE313">
        <v>301</v>
      </c>
      <c r="AF313">
        <v>171</v>
      </c>
      <c r="AG313">
        <v>622</v>
      </c>
      <c r="AH313">
        <v>91</v>
      </c>
      <c r="AI313">
        <v>181</v>
      </c>
      <c r="AJ313">
        <v>135</v>
      </c>
      <c r="AK313">
        <v>368</v>
      </c>
      <c r="AL313">
        <v>236</v>
      </c>
      <c r="AM313">
        <v>22</v>
      </c>
      <c r="AN313">
        <v>10</v>
      </c>
      <c r="AO313">
        <v>19</v>
      </c>
      <c r="AP313">
        <v>21</v>
      </c>
      <c r="AQ313">
        <v>4</v>
      </c>
      <c r="AR313">
        <v>23</v>
      </c>
      <c r="AS313">
        <v>3</v>
      </c>
      <c r="AT313">
        <v>48</v>
      </c>
      <c r="AU313">
        <v>4</v>
      </c>
      <c r="AV313">
        <v>16</v>
      </c>
      <c r="AW313">
        <v>0</v>
      </c>
      <c r="AX313">
        <v>1</v>
      </c>
      <c r="AY313">
        <v>7</v>
      </c>
      <c r="AZ313">
        <v>1</v>
      </c>
      <c r="BA313">
        <v>4</v>
      </c>
      <c r="BB313">
        <v>5</v>
      </c>
      <c r="BC313">
        <v>34</v>
      </c>
      <c r="BD313">
        <v>9</v>
      </c>
      <c r="BE313">
        <v>1</v>
      </c>
      <c r="BF313">
        <v>0</v>
      </c>
      <c r="BG313">
        <v>7</v>
      </c>
      <c r="BH313">
        <v>1</v>
      </c>
      <c r="BI313">
        <v>3</v>
      </c>
      <c r="BJ313">
        <v>4</v>
      </c>
      <c r="BK313">
        <v>7</v>
      </c>
      <c r="BL313">
        <v>11</v>
      </c>
      <c r="BM313">
        <v>4</v>
      </c>
      <c r="BN313">
        <v>4</v>
      </c>
      <c r="BO313">
        <v>12</v>
      </c>
      <c r="BP313">
        <v>9</v>
      </c>
      <c r="BQ313">
        <v>48</v>
      </c>
      <c r="BR313">
        <v>41</v>
      </c>
      <c r="BS313">
        <v>3</v>
      </c>
      <c r="BT313">
        <v>4</v>
      </c>
      <c r="BU313">
        <v>3</v>
      </c>
      <c r="BV313">
        <v>8</v>
      </c>
      <c r="BW313">
        <v>7</v>
      </c>
      <c r="BX313">
        <v>55</v>
      </c>
      <c r="BY313">
        <v>33</v>
      </c>
      <c r="BZ313">
        <v>28</v>
      </c>
      <c r="CA313">
        <v>2</v>
      </c>
      <c r="CB313">
        <v>18</v>
      </c>
      <c r="CC313">
        <v>2</v>
      </c>
      <c r="CD313">
        <v>4</v>
      </c>
      <c r="CE313">
        <v>3</v>
      </c>
      <c r="CF313">
        <v>11</v>
      </c>
      <c r="CG313">
        <v>4</v>
      </c>
      <c r="CH313">
        <v>0</v>
      </c>
      <c r="CI313">
        <v>4</v>
      </c>
      <c r="CJ313">
        <v>13</v>
      </c>
      <c r="CK313">
        <v>0</v>
      </c>
      <c r="CL313">
        <v>26</v>
      </c>
      <c r="CM313">
        <v>6</v>
      </c>
      <c r="CN313">
        <v>3</v>
      </c>
      <c r="CO313">
        <v>26</v>
      </c>
      <c r="CP313">
        <v>3</v>
      </c>
      <c r="CQ313">
        <v>8</v>
      </c>
      <c r="CR313">
        <v>3</v>
      </c>
      <c r="CS313">
        <v>13</v>
      </c>
      <c r="CT313">
        <v>9</v>
      </c>
      <c r="CU313">
        <v>5</v>
      </c>
      <c r="CV313">
        <v>12</v>
      </c>
      <c r="CW313">
        <v>4</v>
      </c>
      <c r="CX313">
        <v>1</v>
      </c>
      <c r="CY313">
        <v>2</v>
      </c>
      <c r="CZ313">
        <v>1</v>
      </c>
      <c r="DA313">
        <v>2</v>
      </c>
      <c r="DB313">
        <v>10</v>
      </c>
      <c r="DC313">
        <v>16</v>
      </c>
      <c r="DD313">
        <v>0</v>
      </c>
      <c r="DE313">
        <v>4</v>
      </c>
      <c r="DF313">
        <v>2</v>
      </c>
      <c r="DG313">
        <v>13</v>
      </c>
      <c r="DH313">
        <v>7</v>
      </c>
      <c r="DI313">
        <v>0</v>
      </c>
      <c r="DJ313">
        <v>0</v>
      </c>
      <c r="DK313">
        <v>2</v>
      </c>
      <c r="DL313">
        <v>0</v>
      </c>
      <c r="DM313">
        <v>21</v>
      </c>
      <c r="DN313">
        <v>0</v>
      </c>
      <c r="DO313">
        <v>7</v>
      </c>
      <c r="DP313">
        <v>0</v>
      </c>
      <c r="DQ313">
        <v>2</v>
      </c>
      <c r="DR313">
        <v>18</v>
      </c>
      <c r="DS313">
        <v>5</v>
      </c>
      <c r="DT313">
        <v>0</v>
      </c>
      <c r="DU313">
        <v>2</v>
      </c>
      <c r="DV313">
        <v>0</v>
      </c>
      <c r="DW313">
        <v>3</v>
      </c>
      <c r="DX313">
        <v>5</v>
      </c>
      <c r="DY313">
        <v>1</v>
      </c>
      <c r="DZ313">
        <v>6</v>
      </c>
      <c r="EA313">
        <v>0</v>
      </c>
      <c r="EB313">
        <v>0</v>
      </c>
      <c r="EC313">
        <v>0</v>
      </c>
      <c r="ED313">
        <v>12</v>
      </c>
      <c r="EE313">
        <v>0</v>
      </c>
      <c r="EF313">
        <v>0</v>
      </c>
      <c r="EG313">
        <v>0</v>
      </c>
      <c r="EH313">
        <v>4</v>
      </c>
      <c r="EI313">
        <v>14</v>
      </c>
      <c r="EJ313">
        <v>4</v>
      </c>
      <c r="EK313">
        <v>3</v>
      </c>
      <c r="EL313">
        <v>0</v>
      </c>
      <c r="EM313">
        <v>6</v>
      </c>
      <c r="EN313">
        <v>7</v>
      </c>
      <c r="EO313">
        <v>0</v>
      </c>
      <c r="EP313">
        <v>10</v>
      </c>
      <c r="EQ313">
        <v>4</v>
      </c>
      <c r="ER313">
        <v>6</v>
      </c>
      <c r="ES313">
        <v>1</v>
      </c>
      <c r="ET313">
        <v>12</v>
      </c>
      <c r="EU313">
        <v>4</v>
      </c>
      <c r="EV313">
        <v>0</v>
      </c>
      <c r="EW313">
        <v>8</v>
      </c>
      <c r="EX313">
        <v>10</v>
      </c>
      <c r="EY313">
        <v>11</v>
      </c>
      <c r="EZ313">
        <v>10</v>
      </c>
      <c r="FA313">
        <v>16</v>
      </c>
      <c r="FB313">
        <v>27</v>
      </c>
      <c r="FC313">
        <v>22</v>
      </c>
      <c r="FD313">
        <v>13</v>
      </c>
      <c r="FE313">
        <v>80</v>
      </c>
      <c r="FF313">
        <v>43</v>
      </c>
      <c r="FG313">
        <v>24</v>
      </c>
      <c r="FH313">
        <v>11</v>
      </c>
      <c r="FI313">
        <v>19</v>
      </c>
      <c r="FJ313">
        <v>16</v>
      </c>
      <c r="FK313">
        <v>18</v>
      </c>
      <c r="FL313">
        <v>8</v>
      </c>
      <c r="FM313">
        <v>4</v>
      </c>
      <c r="FN313">
        <v>0</v>
      </c>
      <c r="FO313">
        <v>2</v>
      </c>
      <c r="FP313">
        <v>25</v>
      </c>
      <c r="FQ313">
        <v>11</v>
      </c>
      <c r="FR313">
        <v>4</v>
      </c>
      <c r="FS313">
        <v>9</v>
      </c>
      <c r="FT313">
        <v>6</v>
      </c>
      <c r="FU313">
        <v>9</v>
      </c>
      <c r="FV313">
        <v>33</v>
      </c>
      <c r="FW313">
        <v>14</v>
      </c>
      <c r="FX313">
        <v>16</v>
      </c>
      <c r="FY313">
        <v>24</v>
      </c>
      <c r="FZ313">
        <v>4</v>
      </c>
      <c r="GA313">
        <v>1</v>
      </c>
      <c r="GB313">
        <v>11</v>
      </c>
      <c r="GC313">
        <v>5</v>
      </c>
      <c r="GD313">
        <v>10</v>
      </c>
      <c r="GE313">
        <v>0</v>
      </c>
      <c r="GF313">
        <v>1</v>
      </c>
      <c r="GG313">
        <v>18</v>
      </c>
      <c r="GH313">
        <v>14</v>
      </c>
      <c r="GI313">
        <v>8</v>
      </c>
      <c r="GJ313">
        <v>10</v>
      </c>
      <c r="GK313">
        <v>4</v>
      </c>
      <c r="GL313">
        <v>1</v>
      </c>
      <c r="GN313">
        <v>0</v>
      </c>
      <c r="GO313">
        <v>2</v>
      </c>
      <c r="GP313">
        <v>16</v>
      </c>
      <c r="GQ313">
        <v>6</v>
      </c>
      <c r="GR313">
        <v>10</v>
      </c>
      <c r="GS313">
        <v>5</v>
      </c>
      <c r="GT313">
        <v>5</v>
      </c>
      <c r="GU313">
        <v>17</v>
      </c>
      <c r="GV313">
        <v>3</v>
      </c>
      <c r="GW313">
        <v>19</v>
      </c>
      <c r="GX313">
        <v>29</v>
      </c>
      <c r="GY313">
        <v>7</v>
      </c>
      <c r="GZ313">
        <v>62</v>
      </c>
      <c r="HA313">
        <v>15</v>
      </c>
      <c r="HB313">
        <v>13</v>
      </c>
      <c r="HC313">
        <v>4</v>
      </c>
      <c r="HD313">
        <v>19</v>
      </c>
      <c r="HE313">
        <v>12</v>
      </c>
      <c r="HF313">
        <v>13</v>
      </c>
      <c r="HG313">
        <v>19</v>
      </c>
      <c r="HH313">
        <v>7</v>
      </c>
      <c r="HI313">
        <v>21</v>
      </c>
      <c r="HJ313">
        <v>10</v>
      </c>
      <c r="HK313">
        <v>9</v>
      </c>
      <c r="HL313">
        <v>1</v>
      </c>
      <c r="HM313">
        <v>5</v>
      </c>
      <c r="HN313">
        <v>3</v>
      </c>
      <c r="HO313">
        <v>2</v>
      </c>
      <c r="HP313">
        <v>4</v>
      </c>
      <c r="HQ313">
        <v>9</v>
      </c>
      <c r="HR313">
        <v>2</v>
      </c>
      <c r="HS313">
        <v>2</v>
      </c>
      <c r="HT313">
        <v>2</v>
      </c>
      <c r="HU313">
        <v>6</v>
      </c>
      <c r="HV313">
        <v>7</v>
      </c>
      <c r="HW313">
        <v>58</v>
      </c>
      <c r="HX313">
        <v>9</v>
      </c>
      <c r="HY313">
        <v>3</v>
      </c>
      <c r="HZ313">
        <v>2</v>
      </c>
      <c r="IA313">
        <v>2</v>
      </c>
      <c r="IB313">
        <v>154</v>
      </c>
      <c r="IC313">
        <v>5</v>
      </c>
      <c r="ID313">
        <v>15</v>
      </c>
      <c r="IE313">
        <v>4</v>
      </c>
      <c r="IF313">
        <v>2</v>
      </c>
      <c r="IG313">
        <v>2</v>
      </c>
      <c r="IH313">
        <v>0</v>
      </c>
      <c r="II313">
        <v>4</v>
      </c>
      <c r="IJ313">
        <v>1</v>
      </c>
      <c r="IK313">
        <v>8</v>
      </c>
      <c r="IL313">
        <v>23</v>
      </c>
      <c r="IM313">
        <v>5</v>
      </c>
      <c r="IN313">
        <v>1</v>
      </c>
      <c r="IO313">
        <v>2</v>
      </c>
      <c r="IP313">
        <v>27</v>
      </c>
      <c r="IQ313">
        <v>3</v>
      </c>
      <c r="IR313">
        <v>9</v>
      </c>
      <c r="IS313">
        <v>3</v>
      </c>
      <c r="IT313">
        <v>1</v>
      </c>
      <c r="IU313">
        <v>5</v>
      </c>
      <c r="IV313">
        <v>3</v>
      </c>
      <c r="IW313">
        <v>6</v>
      </c>
      <c r="IX313">
        <v>6</v>
      </c>
      <c r="IY313">
        <v>1</v>
      </c>
      <c r="IZ313">
        <v>19</v>
      </c>
      <c r="JA313">
        <v>11</v>
      </c>
      <c r="JB313">
        <v>9</v>
      </c>
      <c r="JC313">
        <v>3</v>
      </c>
      <c r="JD313">
        <v>3</v>
      </c>
      <c r="JE313">
        <v>5</v>
      </c>
      <c r="JF313">
        <v>3</v>
      </c>
      <c r="JG313">
        <v>50</v>
      </c>
      <c r="JH313">
        <v>1</v>
      </c>
      <c r="JI313">
        <v>3</v>
      </c>
      <c r="JJ313">
        <v>8</v>
      </c>
      <c r="JK313">
        <v>410</v>
      </c>
      <c r="JL313">
        <v>686</v>
      </c>
      <c r="JM313">
        <v>957</v>
      </c>
      <c r="JN313">
        <v>857</v>
      </c>
      <c r="JO313">
        <v>993</v>
      </c>
      <c r="JP313">
        <v>425</v>
      </c>
      <c r="JQ313">
        <v>490</v>
      </c>
      <c r="JR313">
        <v>85</v>
      </c>
      <c r="JS313">
        <v>975</v>
      </c>
      <c r="JT313">
        <v>166</v>
      </c>
      <c r="JV313">
        <v>995</v>
      </c>
      <c r="JW313">
        <v>425</v>
      </c>
      <c r="JX313">
        <v>213</v>
      </c>
      <c r="JY313">
        <v>421</v>
      </c>
      <c r="JZ313">
        <v>400</v>
      </c>
      <c r="KA313">
        <v>406</v>
      </c>
      <c r="KB313">
        <v>364</v>
      </c>
      <c r="KC313">
        <v>782</v>
      </c>
      <c r="KD313">
        <v>588</v>
      </c>
      <c r="KE313">
        <v>294</v>
      </c>
      <c r="KF313">
        <v>15</v>
      </c>
      <c r="KG313">
        <v>27</v>
      </c>
      <c r="KH313">
        <v>605</v>
      </c>
      <c r="KI313">
        <v>186</v>
      </c>
      <c r="KJ313">
        <v>1</v>
      </c>
      <c r="KK313">
        <v>359</v>
      </c>
      <c r="KL313">
        <v>47</v>
      </c>
      <c r="KM313">
        <v>166</v>
      </c>
      <c r="KN313">
        <v>56</v>
      </c>
      <c r="KO313">
        <v>63</v>
      </c>
      <c r="KP313">
        <v>162</v>
      </c>
      <c r="KQ313">
        <v>34</v>
      </c>
      <c r="KR313">
        <v>789</v>
      </c>
      <c r="KS313">
        <v>118</v>
      </c>
      <c r="KT313">
        <v>16</v>
      </c>
      <c r="KU313">
        <v>70</v>
      </c>
      <c r="KV313">
        <v>61</v>
      </c>
      <c r="KW313">
        <v>101</v>
      </c>
      <c r="KX313">
        <v>7065</v>
      </c>
      <c r="KY313">
        <v>876</v>
      </c>
      <c r="KZ313">
        <v>1558</v>
      </c>
      <c r="LA313">
        <v>298</v>
      </c>
      <c r="LB313">
        <v>4</v>
      </c>
      <c r="LC313">
        <v>1359</v>
      </c>
      <c r="LD313">
        <v>6418</v>
      </c>
      <c r="LE313">
        <v>943</v>
      </c>
      <c r="LF313">
        <v>757</v>
      </c>
      <c r="LH313">
        <v>158</v>
      </c>
      <c r="LI313">
        <v>404</v>
      </c>
      <c r="LJ313">
        <v>315</v>
      </c>
      <c r="LL313">
        <v>7</v>
      </c>
      <c r="LM313">
        <v>3050</v>
      </c>
      <c r="LN313">
        <v>144</v>
      </c>
      <c r="LO313">
        <v>387</v>
      </c>
      <c r="LP313">
        <v>57</v>
      </c>
      <c r="LQ313">
        <v>67</v>
      </c>
      <c r="LR313">
        <v>1619</v>
      </c>
      <c r="LS313">
        <v>233</v>
      </c>
      <c r="LT313">
        <v>847</v>
      </c>
      <c r="LU313">
        <v>122</v>
      </c>
      <c r="LV313">
        <v>345</v>
      </c>
      <c r="LW313">
        <v>1093</v>
      </c>
      <c r="LX313">
        <v>1086</v>
      </c>
      <c r="LY313">
        <v>258</v>
      </c>
      <c r="LZ313">
        <v>471</v>
      </c>
      <c r="MA313">
        <v>338</v>
      </c>
      <c r="MB313">
        <v>118</v>
      </c>
      <c r="MC313">
        <v>53</v>
      </c>
      <c r="MD313">
        <v>99</v>
      </c>
      <c r="ME313">
        <v>371</v>
      </c>
      <c r="MF313">
        <v>936</v>
      </c>
      <c r="MG313">
        <v>1851</v>
      </c>
      <c r="MH313">
        <v>1285</v>
      </c>
      <c r="MI313">
        <v>276</v>
      </c>
      <c r="MJ313">
        <v>203</v>
      </c>
      <c r="MK313">
        <v>973</v>
      </c>
      <c r="ML313">
        <v>559</v>
      </c>
      <c r="MM313">
        <v>607</v>
      </c>
      <c r="MN313">
        <v>231</v>
      </c>
      <c r="MO313">
        <v>300</v>
      </c>
      <c r="MP313">
        <v>75</v>
      </c>
      <c r="MQ313">
        <v>709</v>
      </c>
      <c r="MR313">
        <v>454</v>
      </c>
      <c r="MS313">
        <v>1346</v>
      </c>
      <c r="MT313">
        <v>236</v>
      </c>
      <c r="MU313">
        <v>451</v>
      </c>
      <c r="MV313">
        <v>266</v>
      </c>
      <c r="MW313">
        <v>100</v>
      </c>
      <c r="MX313">
        <v>279</v>
      </c>
      <c r="MY313">
        <v>117</v>
      </c>
      <c r="MZ313">
        <v>923</v>
      </c>
      <c r="NA313">
        <v>452</v>
      </c>
      <c r="NB313">
        <v>140</v>
      </c>
      <c r="NC313">
        <v>213</v>
      </c>
      <c r="ND313">
        <v>171</v>
      </c>
      <c r="NE313">
        <v>103</v>
      </c>
      <c r="NF313">
        <v>30</v>
      </c>
      <c r="NG313">
        <v>43</v>
      </c>
      <c r="NH313">
        <v>88</v>
      </c>
      <c r="NI313">
        <v>97</v>
      </c>
      <c r="NJ313">
        <v>22</v>
      </c>
      <c r="NK313">
        <v>35</v>
      </c>
      <c r="NL313">
        <v>295</v>
      </c>
      <c r="NM313">
        <v>218</v>
      </c>
      <c r="NN313">
        <v>538</v>
      </c>
      <c r="NO313">
        <v>870</v>
      </c>
      <c r="NP313">
        <v>1096</v>
      </c>
      <c r="NQ313">
        <v>188</v>
      </c>
      <c r="NR313">
        <v>328</v>
      </c>
      <c r="NS313">
        <v>9</v>
      </c>
      <c r="NT313">
        <v>22</v>
      </c>
      <c r="NU313">
        <v>134</v>
      </c>
      <c r="NV313">
        <v>460</v>
      </c>
      <c r="NW313">
        <v>19</v>
      </c>
      <c r="NX313">
        <v>44</v>
      </c>
      <c r="NY313">
        <v>393</v>
      </c>
      <c r="NZ313">
        <v>83</v>
      </c>
      <c r="OA313">
        <v>304</v>
      </c>
      <c r="OB313">
        <v>299</v>
      </c>
      <c r="OD313">
        <v>4223</v>
      </c>
      <c r="OE313">
        <v>5296</v>
      </c>
      <c r="OF313">
        <v>88</v>
      </c>
      <c r="OG313">
        <v>2</v>
      </c>
      <c r="OH313">
        <v>34</v>
      </c>
      <c r="OI313">
        <v>3233</v>
      </c>
      <c r="OJ313">
        <v>2579</v>
      </c>
      <c r="OK313">
        <v>14963</v>
      </c>
      <c r="OL313">
        <v>22</v>
      </c>
      <c r="OM313">
        <v>20</v>
      </c>
      <c r="ON313">
        <v>160</v>
      </c>
      <c r="OO313">
        <v>100487</v>
      </c>
      <c r="OP313">
        <v>122323</v>
      </c>
      <c r="OV313">
        <v>4702</v>
      </c>
      <c r="PI313">
        <v>227512</v>
      </c>
      <c r="PM313" t="str">
        <f>IFERROR(VLOOKUP($A313&amp;"",Key!$A:$C,3,FALSE),"")</f>
        <v>ISIC 61</v>
      </c>
    </row>
    <row r="314" spans="1:429" x14ac:dyDescent="0.25">
      <c r="A314" t="s">
        <v>603</v>
      </c>
      <c r="B314" t="s">
        <v>449</v>
      </c>
      <c r="C314">
        <v>7</v>
      </c>
      <c r="D314">
        <v>7</v>
      </c>
      <c r="E314">
        <v>3</v>
      </c>
      <c r="F314">
        <v>5</v>
      </c>
      <c r="G314">
        <v>8</v>
      </c>
      <c r="H314">
        <v>34</v>
      </c>
      <c r="I314">
        <v>24</v>
      </c>
      <c r="J314">
        <v>17</v>
      </c>
      <c r="K314">
        <v>20</v>
      </c>
      <c r="L314">
        <v>2</v>
      </c>
      <c r="M314">
        <v>0</v>
      </c>
      <c r="N314">
        <v>1</v>
      </c>
      <c r="O314">
        <v>2</v>
      </c>
      <c r="P314">
        <v>15</v>
      </c>
      <c r="Q314">
        <v>0</v>
      </c>
      <c r="R314">
        <v>0</v>
      </c>
      <c r="S314">
        <v>2</v>
      </c>
      <c r="T314">
        <v>2</v>
      </c>
      <c r="U314">
        <v>9</v>
      </c>
      <c r="V314">
        <v>6</v>
      </c>
      <c r="W314">
        <v>37</v>
      </c>
      <c r="X314">
        <v>240</v>
      </c>
      <c r="Y314">
        <v>19</v>
      </c>
      <c r="Z314">
        <v>12</v>
      </c>
      <c r="AA314">
        <v>12</v>
      </c>
      <c r="AB314">
        <v>22</v>
      </c>
      <c r="AC314">
        <v>119</v>
      </c>
      <c r="AD314">
        <v>32</v>
      </c>
      <c r="AE314">
        <v>56</v>
      </c>
      <c r="AF314">
        <v>15</v>
      </c>
      <c r="AG314">
        <v>139</v>
      </c>
      <c r="AH314">
        <v>25</v>
      </c>
      <c r="AI314">
        <v>31</v>
      </c>
      <c r="AJ314">
        <v>23</v>
      </c>
      <c r="AK314">
        <v>91</v>
      </c>
      <c r="AL314">
        <v>30</v>
      </c>
      <c r="AN314">
        <v>2</v>
      </c>
      <c r="AO314">
        <v>11</v>
      </c>
      <c r="AQ314">
        <v>13</v>
      </c>
      <c r="AR314">
        <v>27</v>
      </c>
      <c r="AS314">
        <v>6</v>
      </c>
      <c r="AT314">
        <v>18</v>
      </c>
      <c r="AU314">
        <v>9</v>
      </c>
      <c r="AV314">
        <v>12</v>
      </c>
      <c r="AW314">
        <v>6</v>
      </c>
      <c r="AX314">
        <v>4</v>
      </c>
      <c r="AY314">
        <v>10</v>
      </c>
      <c r="AZ314">
        <v>4</v>
      </c>
      <c r="BA314">
        <v>4</v>
      </c>
      <c r="BB314">
        <v>7</v>
      </c>
      <c r="BC314">
        <v>0</v>
      </c>
      <c r="BD314">
        <v>7</v>
      </c>
      <c r="BG314">
        <v>7</v>
      </c>
      <c r="BH314">
        <v>3</v>
      </c>
      <c r="BI314">
        <v>4</v>
      </c>
      <c r="BJ314">
        <v>4</v>
      </c>
      <c r="BK314">
        <v>5</v>
      </c>
      <c r="BM314">
        <v>2</v>
      </c>
      <c r="BN314">
        <v>3</v>
      </c>
      <c r="BO314">
        <v>8</v>
      </c>
      <c r="BP314">
        <v>4</v>
      </c>
      <c r="BQ314">
        <v>5</v>
      </c>
      <c r="BR314">
        <v>5</v>
      </c>
      <c r="BS314">
        <v>2</v>
      </c>
      <c r="BT314">
        <v>2</v>
      </c>
      <c r="BU314">
        <v>2</v>
      </c>
      <c r="BV314">
        <v>3</v>
      </c>
      <c r="BW314">
        <v>2</v>
      </c>
      <c r="BX314">
        <v>7</v>
      </c>
      <c r="BY314">
        <v>14</v>
      </c>
      <c r="BZ314">
        <v>16</v>
      </c>
      <c r="CA314">
        <v>7</v>
      </c>
      <c r="CB314">
        <v>9</v>
      </c>
      <c r="CC314">
        <v>1</v>
      </c>
      <c r="CD314">
        <v>1</v>
      </c>
      <c r="CE314">
        <v>5</v>
      </c>
      <c r="CF314">
        <v>7</v>
      </c>
      <c r="CI314">
        <v>7</v>
      </c>
      <c r="CJ314">
        <v>9</v>
      </c>
      <c r="CL314">
        <v>15</v>
      </c>
      <c r="CO314">
        <v>10</v>
      </c>
      <c r="CQ314">
        <v>11</v>
      </c>
      <c r="CW314">
        <v>3</v>
      </c>
      <c r="CZ314">
        <v>6</v>
      </c>
      <c r="DB314">
        <v>4</v>
      </c>
      <c r="DC314">
        <v>13</v>
      </c>
      <c r="DE314">
        <v>6</v>
      </c>
      <c r="DG314">
        <v>8</v>
      </c>
      <c r="DI314">
        <v>0</v>
      </c>
      <c r="DJ314">
        <v>0</v>
      </c>
      <c r="DK314">
        <v>2</v>
      </c>
      <c r="DL314">
        <v>0</v>
      </c>
      <c r="DM314">
        <v>9</v>
      </c>
      <c r="DN314">
        <v>0</v>
      </c>
      <c r="DO314">
        <v>2</v>
      </c>
      <c r="DP314">
        <v>0</v>
      </c>
      <c r="DQ314">
        <v>3</v>
      </c>
      <c r="DR314">
        <v>4</v>
      </c>
      <c r="DS314">
        <v>3</v>
      </c>
      <c r="DT314">
        <v>0</v>
      </c>
      <c r="DU314">
        <v>0</v>
      </c>
      <c r="DV314">
        <v>0</v>
      </c>
      <c r="DW314">
        <v>2</v>
      </c>
      <c r="DX314">
        <v>2</v>
      </c>
      <c r="DY314">
        <v>0</v>
      </c>
      <c r="DZ314">
        <v>1</v>
      </c>
      <c r="EA314">
        <v>0</v>
      </c>
      <c r="EB314">
        <v>0</v>
      </c>
      <c r="EC314">
        <v>1</v>
      </c>
      <c r="EF314">
        <v>1</v>
      </c>
      <c r="EJ314">
        <v>3</v>
      </c>
      <c r="EM314">
        <v>7</v>
      </c>
      <c r="EN314">
        <v>5</v>
      </c>
      <c r="EQ314">
        <v>5</v>
      </c>
      <c r="ER314">
        <v>23</v>
      </c>
      <c r="ES314">
        <v>4</v>
      </c>
      <c r="ET314">
        <v>9</v>
      </c>
      <c r="EV314">
        <v>0</v>
      </c>
      <c r="EW314">
        <v>6</v>
      </c>
      <c r="EX314">
        <v>25</v>
      </c>
      <c r="EY314">
        <v>15</v>
      </c>
      <c r="EZ314">
        <v>19</v>
      </c>
      <c r="FA314">
        <v>29</v>
      </c>
      <c r="FB314">
        <v>27</v>
      </c>
      <c r="FC314">
        <v>0</v>
      </c>
      <c r="FD314">
        <v>20</v>
      </c>
      <c r="FE314">
        <v>17</v>
      </c>
      <c r="FF314">
        <v>8</v>
      </c>
      <c r="FG314">
        <v>0</v>
      </c>
      <c r="FH314">
        <v>20</v>
      </c>
      <c r="FJ314">
        <v>10</v>
      </c>
      <c r="FK314">
        <v>0</v>
      </c>
      <c r="FX314">
        <v>13</v>
      </c>
      <c r="FY314">
        <v>4</v>
      </c>
      <c r="GD314">
        <v>6</v>
      </c>
      <c r="GG314">
        <v>7</v>
      </c>
      <c r="GH314">
        <v>5</v>
      </c>
      <c r="GI314">
        <v>14</v>
      </c>
      <c r="GJ314">
        <v>14</v>
      </c>
      <c r="GK314">
        <v>8</v>
      </c>
      <c r="GL314">
        <v>3</v>
      </c>
      <c r="GM314">
        <v>1</v>
      </c>
      <c r="GN314">
        <v>3</v>
      </c>
      <c r="GO314">
        <v>2</v>
      </c>
      <c r="GP314">
        <v>10</v>
      </c>
      <c r="GQ314">
        <v>17</v>
      </c>
      <c r="GR314">
        <v>15</v>
      </c>
      <c r="GS314">
        <v>19</v>
      </c>
      <c r="GT314">
        <v>14</v>
      </c>
      <c r="GU314">
        <v>20</v>
      </c>
      <c r="GV314">
        <v>2</v>
      </c>
      <c r="GW314">
        <v>2</v>
      </c>
      <c r="GX314">
        <v>3</v>
      </c>
      <c r="GY314">
        <v>3</v>
      </c>
      <c r="GZ314">
        <v>7</v>
      </c>
      <c r="HA314">
        <v>18</v>
      </c>
      <c r="HB314">
        <v>35</v>
      </c>
      <c r="HC314">
        <v>2</v>
      </c>
      <c r="HD314">
        <v>2</v>
      </c>
      <c r="HE314">
        <v>12</v>
      </c>
      <c r="HF314">
        <v>11</v>
      </c>
      <c r="HG314">
        <v>34</v>
      </c>
      <c r="HH314">
        <v>35</v>
      </c>
      <c r="HI314">
        <v>16</v>
      </c>
      <c r="HJ314">
        <v>3</v>
      </c>
      <c r="HK314">
        <v>53</v>
      </c>
      <c r="HL314">
        <v>3</v>
      </c>
      <c r="HM314">
        <v>7</v>
      </c>
      <c r="HN314">
        <v>4</v>
      </c>
      <c r="HO314">
        <v>3</v>
      </c>
      <c r="HP314">
        <v>3</v>
      </c>
      <c r="HQ314">
        <v>8</v>
      </c>
      <c r="HR314">
        <v>1</v>
      </c>
      <c r="HS314">
        <v>1</v>
      </c>
      <c r="HT314">
        <v>3</v>
      </c>
      <c r="HU314">
        <v>7</v>
      </c>
      <c r="HV314">
        <v>8</v>
      </c>
      <c r="HW314">
        <v>20</v>
      </c>
      <c r="HX314">
        <v>10</v>
      </c>
      <c r="HY314">
        <v>4</v>
      </c>
      <c r="HZ314">
        <v>3</v>
      </c>
      <c r="IA314">
        <v>4</v>
      </c>
      <c r="IB314">
        <v>25</v>
      </c>
      <c r="IC314">
        <v>4</v>
      </c>
      <c r="ID314">
        <v>2</v>
      </c>
      <c r="IE314">
        <v>24</v>
      </c>
      <c r="IF314">
        <v>7</v>
      </c>
      <c r="IG314">
        <v>12</v>
      </c>
      <c r="IH314">
        <v>8</v>
      </c>
      <c r="II314">
        <v>17</v>
      </c>
      <c r="IJ314">
        <v>1</v>
      </c>
      <c r="IK314">
        <v>10</v>
      </c>
      <c r="IL314">
        <v>6</v>
      </c>
      <c r="IM314">
        <v>32</v>
      </c>
      <c r="IN314">
        <v>4</v>
      </c>
      <c r="IO314">
        <v>3</v>
      </c>
      <c r="IP314">
        <v>7</v>
      </c>
      <c r="IQ314">
        <v>3</v>
      </c>
      <c r="IR314">
        <v>5</v>
      </c>
      <c r="IS314">
        <v>4</v>
      </c>
      <c r="IT314">
        <v>2</v>
      </c>
      <c r="IU314">
        <v>10</v>
      </c>
      <c r="IV314">
        <v>4</v>
      </c>
      <c r="IW314">
        <v>18</v>
      </c>
      <c r="IX314">
        <v>11</v>
      </c>
      <c r="IY314">
        <v>1</v>
      </c>
      <c r="IZ314">
        <v>28</v>
      </c>
      <c r="JA314">
        <v>16</v>
      </c>
      <c r="JB314">
        <v>10</v>
      </c>
      <c r="JC314">
        <v>4</v>
      </c>
      <c r="JD314">
        <v>3</v>
      </c>
      <c r="JE314">
        <v>3</v>
      </c>
      <c r="JF314">
        <v>5</v>
      </c>
      <c r="JG314">
        <v>14</v>
      </c>
      <c r="JH314">
        <v>4</v>
      </c>
      <c r="JI314">
        <v>3</v>
      </c>
      <c r="JJ314">
        <v>9</v>
      </c>
      <c r="JK314">
        <v>82</v>
      </c>
      <c r="JL314">
        <v>242</v>
      </c>
      <c r="JM314">
        <v>237</v>
      </c>
      <c r="JN314">
        <v>164</v>
      </c>
      <c r="JO314">
        <v>169</v>
      </c>
      <c r="JP314">
        <v>72</v>
      </c>
      <c r="JQ314">
        <v>78</v>
      </c>
      <c r="JR314">
        <v>13</v>
      </c>
      <c r="JS314">
        <v>163</v>
      </c>
      <c r="JT314">
        <v>32</v>
      </c>
      <c r="JV314">
        <v>180</v>
      </c>
      <c r="JW314">
        <v>63</v>
      </c>
      <c r="JX314">
        <v>41</v>
      </c>
      <c r="JY314">
        <v>59</v>
      </c>
      <c r="JZ314">
        <v>57</v>
      </c>
      <c r="KA314">
        <v>62</v>
      </c>
      <c r="KB314">
        <v>39</v>
      </c>
      <c r="KC314">
        <v>160</v>
      </c>
      <c r="KD314">
        <v>20</v>
      </c>
      <c r="KE314">
        <v>72</v>
      </c>
      <c r="KF314">
        <v>88</v>
      </c>
      <c r="KG314">
        <v>4</v>
      </c>
      <c r="KH314">
        <v>122</v>
      </c>
      <c r="KI314">
        <v>48</v>
      </c>
      <c r="KJ314">
        <v>18</v>
      </c>
      <c r="KK314">
        <v>131</v>
      </c>
      <c r="KL314">
        <v>1</v>
      </c>
      <c r="KM314">
        <v>41</v>
      </c>
      <c r="KN314">
        <v>5</v>
      </c>
      <c r="KO314">
        <v>6</v>
      </c>
      <c r="KP314">
        <v>25</v>
      </c>
      <c r="KQ314">
        <v>3</v>
      </c>
      <c r="KR314">
        <v>291</v>
      </c>
      <c r="KS314">
        <v>26</v>
      </c>
      <c r="KT314">
        <v>10</v>
      </c>
      <c r="KU314">
        <v>26</v>
      </c>
      <c r="KV314">
        <v>16</v>
      </c>
      <c r="KW314">
        <v>97</v>
      </c>
      <c r="KX314">
        <v>1185</v>
      </c>
      <c r="KY314">
        <v>552</v>
      </c>
      <c r="KZ314">
        <v>326</v>
      </c>
      <c r="LA314">
        <v>694</v>
      </c>
      <c r="LB314">
        <v>2</v>
      </c>
      <c r="LC314">
        <v>303</v>
      </c>
      <c r="LD314">
        <v>772</v>
      </c>
      <c r="LE314">
        <v>277</v>
      </c>
      <c r="LF314">
        <v>278</v>
      </c>
      <c r="LG314">
        <v>52</v>
      </c>
      <c r="LH314">
        <v>3</v>
      </c>
      <c r="LI314">
        <v>56</v>
      </c>
      <c r="LJ314">
        <v>35</v>
      </c>
      <c r="LL314">
        <v>9</v>
      </c>
      <c r="LM314">
        <v>745</v>
      </c>
      <c r="LN314">
        <v>15</v>
      </c>
      <c r="LO314">
        <v>134</v>
      </c>
      <c r="LP314">
        <v>74</v>
      </c>
      <c r="LQ314">
        <v>2</v>
      </c>
      <c r="LR314">
        <v>285</v>
      </c>
      <c r="LS314">
        <v>85</v>
      </c>
      <c r="LT314">
        <v>232</v>
      </c>
      <c r="LU314">
        <v>40</v>
      </c>
      <c r="LV314">
        <v>78</v>
      </c>
      <c r="LW314">
        <v>209</v>
      </c>
      <c r="LX314">
        <v>157</v>
      </c>
      <c r="LY314">
        <v>51</v>
      </c>
      <c r="LZ314">
        <v>76</v>
      </c>
      <c r="MA314">
        <v>68</v>
      </c>
      <c r="MB314">
        <v>2</v>
      </c>
      <c r="MC314">
        <v>1</v>
      </c>
      <c r="MD314">
        <v>14</v>
      </c>
      <c r="ME314">
        <v>32</v>
      </c>
      <c r="MF314">
        <v>229</v>
      </c>
      <c r="MG314">
        <v>291</v>
      </c>
      <c r="MH314">
        <v>257</v>
      </c>
      <c r="MI314">
        <v>54</v>
      </c>
      <c r="MJ314">
        <v>143</v>
      </c>
      <c r="MK314">
        <v>111</v>
      </c>
      <c r="ML314">
        <v>111</v>
      </c>
      <c r="MM314">
        <v>56</v>
      </c>
      <c r="MN314">
        <v>17</v>
      </c>
      <c r="MO314">
        <v>379</v>
      </c>
      <c r="MP314">
        <v>8</v>
      </c>
      <c r="MQ314">
        <v>73</v>
      </c>
      <c r="MR314">
        <v>84</v>
      </c>
      <c r="MS314">
        <v>223</v>
      </c>
      <c r="MT314">
        <v>42</v>
      </c>
      <c r="MU314">
        <v>48</v>
      </c>
      <c r="MV314">
        <v>169</v>
      </c>
      <c r="MW314">
        <v>10</v>
      </c>
      <c r="MX314">
        <v>42</v>
      </c>
      <c r="MY314">
        <v>11</v>
      </c>
      <c r="MZ314">
        <v>334</v>
      </c>
      <c r="NA314">
        <v>77</v>
      </c>
      <c r="NB314">
        <v>4</v>
      </c>
      <c r="NC314">
        <v>28</v>
      </c>
      <c r="ND314">
        <v>12</v>
      </c>
      <c r="NE314">
        <v>5</v>
      </c>
      <c r="NF314">
        <v>0</v>
      </c>
      <c r="NG314">
        <v>2</v>
      </c>
      <c r="NH314">
        <v>1</v>
      </c>
      <c r="NI314">
        <v>12</v>
      </c>
      <c r="NJ314">
        <v>1</v>
      </c>
      <c r="NK314">
        <v>1</v>
      </c>
      <c r="NL314">
        <v>28</v>
      </c>
      <c r="NM314">
        <v>24</v>
      </c>
      <c r="NN314">
        <v>99</v>
      </c>
      <c r="NO314">
        <v>105</v>
      </c>
      <c r="NP314">
        <v>122</v>
      </c>
      <c r="NQ314">
        <v>7</v>
      </c>
      <c r="NR314">
        <v>55</v>
      </c>
      <c r="NS314">
        <v>32</v>
      </c>
      <c r="NT314">
        <v>42</v>
      </c>
      <c r="NU314">
        <v>3</v>
      </c>
      <c r="NV314">
        <v>47</v>
      </c>
      <c r="NW314">
        <v>1</v>
      </c>
      <c r="NX314">
        <v>8</v>
      </c>
      <c r="NY314">
        <v>22</v>
      </c>
      <c r="NZ314">
        <v>88</v>
      </c>
      <c r="OA314">
        <v>24</v>
      </c>
      <c r="OB314">
        <v>58</v>
      </c>
      <c r="OD314">
        <v>195</v>
      </c>
      <c r="OE314">
        <v>260</v>
      </c>
      <c r="OF314">
        <v>34</v>
      </c>
      <c r="OG314">
        <v>24</v>
      </c>
      <c r="OH314">
        <v>135</v>
      </c>
      <c r="OI314">
        <v>608</v>
      </c>
      <c r="OJ314">
        <v>291</v>
      </c>
      <c r="OK314">
        <v>1266</v>
      </c>
      <c r="OL314">
        <v>447</v>
      </c>
      <c r="OM314">
        <v>18</v>
      </c>
      <c r="ON314">
        <v>261</v>
      </c>
      <c r="OO314">
        <v>19476</v>
      </c>
      <c r="OP314">
        <v>13485</v>
      </c>
      <c r="OV314">
        <v>727</v>
      </c>
      <c r="PI314">
        <v>33689</v>
      </c>
      <c r="PM314" t="str">
        <f>IFERROR(VLOOKUP($A314&amp;"",Key!$A:$C,3,FALSE),"")</f>
        <v>ISIC 61</v>
      </c>
    </row>
    <row r="315" spans="1:429" x14ac:dyDescent="0.25">
      <c r="A315">
        <v>518200</v>
      </c>
      <c r="B315" t="s">
        <v>450</v>
      </c>
      <c r="O315">
        <v>0</v>
      </c>
      <c r="P315">
        <v>35</v>
      </c>
      <c r="Q315">
        <v>1</v>
      </c>
      <c r="S315">
        <v>4</v>
      </c>
      <c r="T315">
        <v>2</v>
      </c>
      <c r="U315">
        <v>2</v>
      </c>
      <c r="V315">
        <v>3</v>
      </c>
      <c r="W315">
        <v>9</v>
      </c>
      <c r="X315">
        <v>4379</v>
      </c>
      <c r="Y315">
        <v>169</v>
      </c>
      <c r="Z315">
        <v>0</v>
      </c>
      <c r="AA315">
        <v>24</v>
      </c>
      <c r="AB315">
        <v>6</v>
      </c>
      <c r="AC315">
        <v>406</v>
      </c>
      <c r="AD315">
        <v>156</v>
      </c>
      <c r="AE315">
        <v>113</v>
      </c>
      <c r="AF315">
        <v>5</v>
      </c>
      <c r="AG315">
        <v>340</v>
      </c>
      <c r="AH315">
        <v>76</v>
      </c>
      <c r="AI315">
        <v>141</v>
      </c>
      <c r="AJ315">
        <v>82</v>
      </c>
      <c r="AK315">
        <v>231</v>
      </c>
      <c r="AL315">
        <v>102</v>
      </c>
      <c r="AM315">
        <v>129</v>
      </c>
      <c r="AN315">
        <v>75</v>
      </c>
      <c r="AO315">
        <v>86</v>
      </c>
      <c r="AP315">
        <v>123</v>
      </c>
      <c r="AQ315">
        <v>30</v>
      </c>
      <c r="AR315">
        <v>173</v>
      </c>
      <c r="AS315">
        <v>29</v>
      </c>
      <c r="AT315">
        <v>291</v>
      </c>
      <c r="AU315">
        <v>19</v>
      </c>
      <c r="AV315">
        <v>95</v>
      </c>
      <c r="AW315">
        <v>12</v>
      </c>
      <c r="AX315">
        <v>13</v>
      </c>
      <c r="AY315">
        <v>36</v>
      </c>
      <c r="AZ315">
        <v>12</v>
      </c>
      <c r="BA315">
        <v>47</v>
      </c>
      <c r="BB315">
        <v>44</v>
      </c>
      <c r="BC315">
        <v>154</v>
      </c>
      <c r="BD315">
        <v>78</v>
      </c>
      <c r="BE315">
        <v>6</v>
      </c>
      <c r="BF315">
        <v>1</v>
      </c>
      <c r="BG315">
        <v>47</v>
      </c>
      <c r="BH315">
        <v>11</v>
      </c>
      <c r="BI315">
        <v>36</v>
      </c>
      <c r="BJ315">
        <v>29</v>
      </c>
      <c r="BK315">
        <v>64</v>
      </c>
      <c r="BL315">
        <v>87</v>
      </c>
      <c r="BM315">
        <v>32</v>
      </c>
      <c r="BN315">
        <v>40</v>
      </c>
      <c r="BO315">
        <v>69</v>
      </c>
      <c r="BP315">
        <v>48</v>
      </c>
      <c r="BQ315">
        <v>307</v>
      </c>
      <c r="BR315">
        <v>178</v>
      </c>
      <c r="BS315">
        <v>26</v>
      </c>
      <c r="BT315">
        <v>36</v>
      </c>
      <c r="BU315">
        <v>30</v>
      </c>
      <c r="BV315">
        <v>51</v>
      </c>
      <c r="BW315">
        <v>52</v>
      </c>
      <c r="BX315">
        <v>40</v>
      </c>
      <c r="BY315">
        <v>194</v>
      </c>
      <c r="BZ315">
        <v>141</v>
      </c>
      <c r="CA315">
        <v>20</v>
      </c>
      <c r="CB315">
        <v>87</v>
      </c>
      <c r="CC315">
        <v>14</v>
      </c>
      <c r="CD315">
        <v>24</v>
      </c>
      <c r="CE315">
        <v>26</v>
      </c>
      <c r="CF315">
        <v>47</v>
      </c>
      <c r="CG315">
        <v>86</v>
      </c>
      <c r="CH315">
        <v>38</v>
      </c>
      <c r="CI315">
        <v>150</v>
      </c>
      <c r="CJ315">
        <v>29</v>
      </c>
      <c r="CK315">
        <v>50</v>
      </c>
      <c r="CL315">
        <v>160</v>
      </c>
      <c r="CM315">
        <v>39</v>
      </c>
      <c r="CN315">
        <v>6</v>
      </c>
      <c r="CO315">
        <v>157</v>
      </c>
      <c r="CP315">
        <v>37</v>
      </c>
      <c r="CQ315">
        <v>98</v>
      </c>
      <c r="CR315">
        <v>22</v>
      </c>
      <c r="CS315">
        <v>32</v>
      </c>
      <c r="CT315">
        <v>43</v>
      </c>
      <c r="CU315">
        <v>45</v>
      </c>
      <c r="CV315">
        <v>44</v>
      </c>
      <c r="CW315">
        <v>29</v>
      </c>
      <c r="CX315">
        <v>4</v>
      </c>
      <c r="CY315">
        <v>22</v>
      </c>
      <c r="CZ315">
        <v>130</v>
      </c>
      <c r="DA315">
        <v>41</v>
      </c>
      <c r="DB315">
        <v>73</v>
      </c>
      <c r="DC315">
        <v>89</v>
      </c>
      <c r="DD315">
        <v>11</v>
      </c>
      <c r="DE315">
        <v>45</v>
      </c>
      <c r="DF315">
        <v>10</v>
      </c>
      <c r="DG315">
        <v>112</v>
      </c>
      <c r="DH315">
        <v>44</v>
      </c>
      <c r="DI315">
        <v>0</v>
      </c>
      <c r="DJ315">
        <v>1</v>
      </c>
      <c r="DK315">
        <v>2</v>
      </c>
      <c r="DL315">
        <v>1</v>
      </c>
      <c r="DM315">
        <v>20</v>
      </c>
      <c r="DN315">
        <v>1</v>
      </c>
      <c r="DO315">
        <v>11</v>
      </c>
      <c r="DP315">
        <v>5</v>
      </c>
      <c r="DQ315">
        <v>6</v>
      </c>
      <c r="DR315">
        <v>55</v>
      </c>
      <c r="DS315">
        <v>41</v>
      </c>
      <c r="DT315">
        <v>1</v>
      </c>
      <c r="DU315">
        <v>9</v>
      </c>
      <c r="DV315">
        <v>1</v>
      </c>
      <c r="DW315">
        <v>24</v>
      </c>
      <c r="DX315">
        <v>20</v>
      </c>
      <c r="DY315">
        <v>2</v>
      </c>
      <c r="DZ315">
        <v>16</v>
      </c>
      <c r="EA315">
        <v>1</v>
      </c>
      <c r="EB315">
        <v>1</v>
      </c>
      <c r="EC315">
        <v>6</v>
      </c>
      <c r="ED315">
        <v>54</v>
      </c>
      <c r="EE315">
        <v>15</v>
      </c>
      <c r="EF315">
        <v>17</v>
      </c>
      <c r="EG315">
        <v>3</v>
      </c>
      <c r="EH315">
        <v>13</v>
      </c>
      <c r="EI315">
        <v>23</v>
      </c>
      <c r="EJ315">
        <v>36</v>
      </c>
      <c r="EK315">
        <v>18</v>
      </c>
      <c r="EL315">
        <v>2</v>
      </c>
      <c r="EM315">
        <v>27</v>
      </c>
      <c r="EN315">
        <v>27</v>
      </c>
      <c r="EO315">
        <v>23</v>
      </c>
      <c r="EP315">
        <v>58</v>
      </c>
      <c r="EQ315">
        <v>7</v>
      </c>
      <c r="ER315">
        <v>22</v>
      </c>
      <c r="ES315">
        <v>0</v>
      </c>
      <c r="ET315">
        <v>33</v>
      </c>
      <c r="EU315">
        <v>11</v>
      </c>
      <c r="EV315">
        <v>0</v>
      </c>
      <c r="EW315">
        <v>47</v>
      </c>
      <c r="EX315">
        <v>43</v>
      </c>
      <c r="EY315">
        <v>32</v>
      </c>
      <c r="EZ315">
        <v>51</v>
      </c>
      <c r="FA315">
        <v>51</v>
      </c>
      <c r="FB315">
        <v>40</v>
      </c>
      <c r="FC315">
        <v>75</v>
      </c>
      <c r="FD315">
        <v>69</v>
      </c>
      <c r="FE315">
        <v>1275</v>
      </c>
      <c r="FF315">
        <v>284</v>
      </c>
      <c r="FG315">
        <v>126</v>
      </c>
      <c r="FH315">
        <v>113</v>
      </c>
      <c r="FI315">
        <v>14</v>
      </c>
      <c r="FJ315">
        <v>63</v>
      </c>
      <c r="FK315">
        <v>132</v>
      </c>
      <c r="FL315">
        <v>22</v>
      </c>
      <c r="FM315">
        <v>10</v>
      </c>
      <c r="FN315">
        <v>1</v>
      </c>
      <c r="FO315">
        <v>0</v>
      </c>
      <c r="FP315">
        <v>144</v>
      </c>
      <c r="FQ315">
        <v>48</v>
      </c>
      <c r="FR315">
        <v>15</v>
      </c>
      <c r="FS315">
        <v>45</v>
      </c>
      <c r="FT315">
        <v>26</v>
      </c>
      <c r="FU315">
        <v>39</v>
      </c>
      <c r="FV315">
        <v>155</v>
      </c>
      <c r="FW315">
        <v>34</v>
      </c>
      <c r="FX315">
        <v>98</v>
      </c>
      <c r="FY315">
        <v>174</v>
      </c>
      <c r="FZ315">
        <v>19</v>
      </c>
      <c r="GA315">
        <v>12</v>
      </c>
      <c r="GB315">
        <v>31</v>
      </c>
      <c r="GC315">
        <v>34</v>
      </c>
      <c r="GD315">
        <v>47</v>
      </c>
      <c r="GE315">
        <v>3</v>
      </c>
      <c r="GF315">
        <v>8</v>
      </c>
      <c r="GG315">
        <v>97</v>
      </c>
      <c r="GH315">
        <v>116</v>
      </c>
      <c r="GI315">
        <v>27</v>
      </c>
      <c r="GJ315">
        <v>24</v>
      </c>
      <c r="GK315">
        <v>20</v>
      </c>
      <c r="GL315">
        <v>12</v>
      </c>
      <c r="GN315">
        <v>1</v>
      </c>
      <c r="GO315">
        <v>4</v>
      </c>
      <c r="GP315">
        <v>39</v>
      </c>
      <c r="GQ315">
        <v>26</v>
      </c>
      <c r="GR315">
        <v>50</v>
      </c>
      <c r="GS315">
        <v>32</v>
      </c>
      <c r="GT315">
        <v>15</v>
      </c>
      <c r="GU315">
        <v>106</v>
      </c>
      <c r="GV315">
        <v>9</v>
      </c>
      <c r="GW315">
        <v>138</v>
      </c>
      <c r="GX315">
        <v>128</v>
      </c>
      <c r="GY315">
        <v>21</v>
      </c>
      <c r="GZ315">
        <v>215</v>
      </c>
      <c r="HA315">
        <v>89</v>
      </c>
      <c r="HB315">
        <v>22</v>
      </c>
      <c r="HC315">
        <v>18</v>
      </c>
      <c r="HD315">
        <v>4</v>
      </c>
      <c r="HE315">
        <v>71</v>
      </c>
      <c r="HF315">
        <v>64</v>
      </c>
      <c r="HG315">
        <v>76</v>
      </c>
      <c r="HH315">
        <v>26</v>
      </c>
      <c r="HI315">
        <v>35</v>
      </c>
      <c r="HJ315">
        <v>20</v>
      </c>
      <c r="HK315">
        <v>14</v>
      </c>
      <c r="HL315">
        <v>10</v>
      </c>
      <c r="HM315">
        <v>21</v>
      </c>
      <c r="HN315">
        <v>22</v>
      </c>
      <c r="HO315">
        <v>6</v>
      </c>
      <c r="HP315">
        <v>4</v>
      </c>
      <c r="HQ315">
        <v>28</v>
      </c>
      <c r="HR315">
        <v>9</v>
      </c>
      <c r="HS315">
        <v>3</v>
      </c>
      <c r="HT315">
        <v>2</v>
      </c>
      <c r="HU315">
        <v>72</v>
      </c>
      <c r="HV315">
        <v>68</v>
      </c>
      <c r="HW315">
        <v>387</v>
      </c>
      <c r="HX315">
        <v>54</v>
      </c>
      <c r="HY315">
        <v>26</v>
      </c>
      <c r="HZ315">
        <v>20</v>
      </c>
      <c r="IA315">
        <v>7</v>
      </c>
      <c r="IB315">
        <v>273</v>
      </c>
      <c r="IC315">
        <v>10</v>
      </c>
      <c r="ID315">
        <v>81</v>
      </c>
      <c r="IE315">
        <v>51</v>
      </c>
      <c r="IF315">
        <v>15</v>
      </c>
      <c r="IG315">
        <v>17</v>
      </c>
      <c r="IH315">
        <v>2</v>
      </c>
      <c r="II315">
        <v>5</v>
      </c>
      <c r="IJ315">
        <v>5</v>
      </c>
      <c r="IK315">
        <v>71</v>
      </c>
      <c r="IL315">
        <v>92</v>
      </c>
      <c r="IM315">
        <v>25</v>
      </c>
      <c r="IN315">
        <v>25</v>
      </c>
      <c r="IO315">
        <v>6</v>
      </c>
      <c r="IP315">
        <v>153</v>
      </c>
      <c r="IQ315">
        <v>34</v>
      </c>
      <c r="IR315">
        <v>21</v>
      </c>
      <c r="IS315">
        <v>12</v>
      </c>
      <c r="IT315">
        <v>1</v>
      </c>
      <c r="IU315">
        <v>21</v>
      </c>
      <c r="IV315">
        <v>16</v>
      </c>
      <c r="IW315">
        <v>24</v>
      </c>
      <c r="IX315">
        <v>18</v>
      </c>
      <c r="IY315">
        <v>2</v>
      </c>
      <c r="IZ315">
        <v>50</v>
      </c>
      <c r="JA315">
        <v>102</v>
      </c>
      <c r="JB315">
        <v>28</v>
      </c>
      <c r="JC315">
        <v>7</v>
      </c>
      <c r="JD315">
        <v>51</v>
      </c>
      <c r="JE315">
        <v>21</v>
      </c>
      <c r="JF315">
        <v>13</v>
      </c>
      <c r="JG315">
        <v>137</v>
      </c>
      <c r="JH315">
        <v>27</v>
      </c>
      <c r="JI315">
        <v>13</v>
      </c>
      <c r="JJ315">
        <v>35</v>
      </c>
      <c r="JK315">
        <v>22</v>
      </c>
      <c r="JL315">
        <v>389</v>
      </c>
      <c r="JM315">
        <v>551</v>
      </c>
      <c r="JN315">
        <v>421</v>
      </c>
      <c r="JO315">
        <v>581</v>
      </c>
      <c r="JP315">
        <v>239</v>
      </c>
      <c r="JQ315">
        <v>352</v>
      </c>
      <c r="JR315">
        <v>81</v>
      </c>
      <c r="JS315">
        <v>695</v>
      </c>
      <c r="JT315">
        <v>134</v>
      </c>
      <c r="JV315">
        <v>4010</v>
      </c>
      <c r="JW315">
        <v>1092</v>
      </c>
      <c r="JX315">
        <v>596</v>
      </c>
      <c r="JY315">
        <v>959</v>
      </c>
      <c r="JZ315">
        <v>670</v>
      </c>
      <c r="KA315">
        <v>1320</v>
      </c>
      <c r="KB315">
        <v>703</v>
      </c>
      <c r="KC315">
        <v>2751</v>
      </c>
      <c r="KD315">
        <v>1001</v>
      </c>
      <c r="KE315">
        <v>601</v>
      </c>
      <c r="KF315">
        <v>0</v>
      </c>
      <c r="KH315">
        <v>108</v>
      </c>
      <c r="KI315">
        <v>112</v>
      </c>
      <c r="KJ315">
        <v>20</v>
      </c>
      <c r="KK315">
        <v>490</v>
      </c>
      <c r="KL315">
        <v>306</v>
      </c>
      <c r="KM315">
        <v>173</v>
      </c>
      <c r="KN315">
        <v>105</v>
      </c>
      <c r="KO315">
        <v>65</v>
      </c>
      <c r="KP315">
        <v>142</v>
      </c>
      <c r="KQ315">
        <v>100</v>
      </c>
      <c r="KR315">
        <v>1535</v>
      </c>
      <c r="KS315">
        <v>76</v>
      </c>
      <c r="KT315">
        <v>0</v>
      </c>
      <c r="KU315">
        <v>71</v>
      </c>
      <c r="KV315">
        <v>137</v>
      </c>
      <c r="KW315">
        <v>1121</v>
      </c>
      <c r="KX315">
        <v>2174</v>
      </c>
      <c r="KY315">
        <v>120</v>
      </c>
      <c r="KZ315">
        <v>2492</v>
      </c>
      <c r="LA315">
        <v>1025</v>
      </c>
      <c r="LB315">
        <v>1</v>
      </c>
      <c r="LC315">
        <v>23869</v>
      </c>
      <c r="LD315">
        <v>9085</v>
      </c>
      <c r="LE315">
        <v>2205</v>
      </c>
      <c r="LF315">
        <v>1799</v>
      </c>
      <c r="LG315">
        <v>149</v>
      </c>
      <c r="LH315">
        <v>615</v>
      </c>
      <c r="LI315">
        <v>378</v>
      </c>
      <c r="LJ315">
        <v>2448</v>
      </c>
      <c r="LL315">
        <v>1</v>
      </c>
      <c r="LM315">
        <v>1021</v>
      </c>
      <c r="LN315">
        <v>75</v>
      </c>
      <c r="LO315">
        <v>130</v>
      </c>
      <c r="LP315">
        <v>47</v>
      </c>
      <c r="LQ315">
        <v>13</v>
      </c>
      <c r="LR315">
        <v>3057</v>
      </c>
      <c r="LS315">
        <v>384</v>
      </c>
      <c r="LT315">
        <v>2256</v>
      </c>
      <c r="LU315">
        <v>179</v>
      </c>
      <c r="LV315">
        <v>498</v>
      </c>
      <c r="LW315">
        <v>1666</v>
      </c>
      <c r="LX315">
        <v>1894</v>
      </c>
      <c r="LY315">
        <v>123</v>
      </c>
      <c r="LZ315">
        <v>2257</v>
      </c>
      <c r="MA315">
        <v>406</v>
      </c>
      <c r="MB315">
        <v>63</v>
      </c>
      <c r="MC315">
        <v>14</v>
      </c>
      <c r="MD315">
        <v>43</v>
      </c>
      <c r="ME315">
        <v>510</v>
      </c>
      <c r="MF315">
        <v>746</v>
      </c>
      <c r="MG315">
        <v>11350</v>
      </c>
      <c r="MH315">
        <v>1669</v>
      </c>
      <c r="MI315">
        <v>840</v>
      </c>
      <c r="MJ315">
        <v>573</v>
      </c>
      <c r="MK315">
        <v>1411</v>
      </c>
      <c r="ML315">
        <v>4480</v>
      </c>
      <c r="MM315">
        <v>1593</v>
      </c>
      <c r="MN315">
        <v>477</v>
      </c>
      <c r="MO315">
        <v>1058</v>
      </c>
      <c r="MQ315">
        <v>176</v>
      </c>
      <c r="MR315">
        <v>366</v>
      </c>
      <c r="MS315">
        <v>494</v>
      </c>
      <c r="MT315">
        <v>27</v>
      </c>
      <c r="MU315">
        <v>32</v>
      </c>
      <c r="MV315">
        <v>257</v>
      </c>
      <c r="MW315">
        <v>14</v>
      </c>
      <c r="MX315">
        <v>33</v>
      </c>
      <c r="MY315">
        <v>6</v>
      </c>
      <c r="MZ315">
        <v>1898</v>
      </c>
      <c r="NA315">
        <v>93</v>
      </c>
      <c r="NB315">
        <v>38</v>
      </c>
      <c r="NC315">
        <v>112</v>
      </c>
      <c r="ND315">
        <v>57</v>
      </c>
      <c r="NE315">
        <v>195</v>
      </c>
      <c r="NF315">
        <v>33</v>
      </c>
      <c r="NG315">
        <v>114</v>
      </c>
      <c r="NH315">
        <v>25</v>
      </c>
      <c r="NI315">
        <v>321</v>
      </c>
      <c r="NJ315">
        <v>25</v>
      </c>
      <c r="NK315">
        <v>85</v>
      </c>
      <c r="NL315">
        <v>191</v>
      </c>
      <c r="NM315">
        <v>274</v>
      </c>
      <c r="NN315">
        <v>594</v>
      </c>
      <c r="NO315">
        <v>1193</v>
      </c>
      <c r="NP315">
        <v>4402</v>
      </c>
      <c r="NQ315">
        <v>319</v>
      </c>
      <c r="NR315">
        <v>270</v>
      </c>
      <c r="NS315">
        <v>75</v>
      </c>
      <c r="NT315">
        <v>46</v>
      </c>
      <c r="NU315">
        <v>62</v>
      </c>
      <c r="NV315">
        <v>507</v>
      </c>
      <c r="NW315">
        <v>0</v>
      </c>
      <c r="NX315">
        <v>25</v>
      </c>
      <c r="NY315">
        <v>219</v>
      </c>
      <c r="NZ315">
        <v>447</v>
      </c>
      <c r="OA315">
        <v>1729</v>
      </c>
      <c r="OB315">
        <v>460</v>
      </c>
      <c r="OD315">
        <v>1303</v>
      </c>
      <c r="OE315">
        <v>3730</v>
      </c>
      <c r="OF315">
        <v>2</v>
      </c>
      <c r="OG315">
        <v>37</v>
      </c>
      <c r="OH315">
        <v>355</v>
      </c>
      <c r="OI315">
        <v>1260</v>
      </c>
      <c r="OJ315">
        <v>7845</v>
      </c>
      <c r="OK315">
        <v>14163</v>
      </c>
      <c r="OL315">
        <v>34</v>
      </c>
      <c r="OM315">
        <v>23</v>
      </c>
      <c r="ON315">
        <v>1616</v>
      </c>
      <c r="OO315">
        <v>171347</v>
      </c>
      <c r="OP315">
        <v>31753</v>
      </c>
      <c r="OR315">
        <v>35440</v>
      </c>
      <c r="OV315">
        <v>1370</v>
      </c>
      <c r="OY315">
        <v>1781</v>
      </c>
      <c r="PC315">
        <v>2310</v>
      </c>
      <c r="PG315">
        <v>4545</v>
      </c>
      <c r="PI315">
        <v>248546</v>
      </c>
      <c r="PM315" t="str">
        <f>IFERROR(VLOOKUP($A315&amp;"",Key!$A:$C,3,FALSE),"")</f>
        <v>ISIC 62T63</v>
      </c>
    </row>
    <row r="316" spans="1:429" x14ac:dyDescent="0.25">
      <c r="A316">
        <v>519130</v>
      </c>
      <c r="B316" t="s">
        <v>451</v>
      </c>
      <c r="Z316">
        <v>0</v>
      </c>
      <c r="JL316">
        <v>1</v>
      </c>
      <c r="JQ316">
        <v>0</v>
      </c>
      <c r="JS316">
        <v>2</v>
      </c>
      <c r="JV316">
        <v>497</v>
      </c>
      <c r="JW316">
        <v>242</v>
      </c>
      <c r="JX316">
        <v>619</v>
      </c>
      <c r="JY316">
        <v>65</v>
      </c>
      <c r="JZ316">
        <v>87</v>
      </c>
      <c r="KA316">
        <v>182</v>
      </c>
      <c r="KB316">
        <v>77</v>
      </c>
      <c r="KC316">
        <v>171</v>
      </c>
      <c r="KD316">
        <v>134</v>
      </c>
      <c r="KE316">
        <v>3</v>
      </c>
      <c r="KH316">
        <v>6</v>
      </c>
      <c r="KK316">
        <v>29</v>
      </c>
      <c r="KN316">
        <v>31</v>
      </c>
      <c r="KO316">
        <v>33</v>
      </c>
      <c r="KP316">
        <v>234</v>
      </c>
      <c r="KQ316">
        <v>28</v>
      </c>
      <c r="KR316">
        <v>133</v>
      </c>
      <c r="KS316">
        <v>30</v>
      </c>
      <c r="KT316">
        <v>3</v>
      </c>
      <c r="KW316">
        <v>96</v>
      </c>
      <c r="KX316">
        <v>389</v>
      </c>
      <c r="KY316">
        <v>50</v>
      </c>
      <c r="KZ316">
        <v>361</v>
      </c>
      <c r="LA316">
        <v>7664</v>
      </c>
      <c r="LB316">
        <v>0</v>
      </c>
      <c r="LG316">
        <v>196</v>
      </c>
      <c r="LH316">
        <v>1012</v>
      </c>
      <c r="LI316">
        <v>29</v>
      </c>
      <c r="LJ316">
        <v>809</v>
      </c>
      <c r="LL316">
        <v>3</v>
      </c>
      <c r="LM316">
        <v>50</v>
      </c>
      <c r="LN316">
        <v>58</v>
      </c>
      <c r="LO316">
        <v>62</v>
      </c>
      <c r="LP316">
        <v>33</v>
      </c>
      <c r="LQ316">
        <v>272</v>
      </c>
      <c r="LR316">
        <v>1188</v>
      </c>
      <c r="LS316">
        <v>55</v>
      </c>
      <c r="LT316">
        <v>168</v>
      </c>
      <c r="LU316">
        <v>153</v>
      </c>
      <c r="LV316">
        <v>382</v>
      </c>
      <c r="LW316">
        <v>448</v>
      </c>
      <c r="LX316">
        <v>1934</v>
      </c>
      <c r="LY316">
        <v>431</v>
      </c>
      <c r="LZ316">
        <v>285</v>
      </c>
      <c r="MA316">
        <v>534</v>
      </c>
      <c r="MB316">
        <v>72</v>
      </c>
      <c r="MC316">
        <v>99</v>
      </c>
      <c r="MD316">
        <v>26</v>
      </c>
      <c r="ME316">
        <v>2087</v>
      </c>
      <c r="MF316">
        <v>602</v>
      </c>
      <c r="MG316">
        <v>1011</v>
      </c>
      <c r="MH316">
        <v>393</v>
      </c>
      <c r="MI316">
        <v>592</v>
      </c>
      <c r="MJ316">
        <v>64</v>
      </c>
      <c r="MK316">
        <v>1579</v>
      </c>
      <c r="ML316">
        <v>630</v>
      </c>
      <c r="MM316">
        <v>378</v>
      </c>
      <c r="MN316">
        <v>1054</v>
      </c>
      <c r="MO316">
        <v>202</v>
      </c>
      <c r="MP316">
        <v>211</v>
      </c>
      <c r="MQ316">
        <v>474</v>
      </c>
      <c r="MR316">
        <v>3395</v>
      </c>
      <c r="MS316">
        <v>549</v>
      </c>
      <c r="MT316">
        <v>57</v>
      </c>
      <c r="MU316">
        <v>27</v>
      </c>
      <c r="MV316">
        <v>16</v>
      </c>
      <c r="MW316">
        <v>16</v>
      </c>
      <c r="MX316">
        <v>40</v>
      </c>
      <c r="MY316">
        <v>15</v>
      </c>
      <c r="MZ316">
        <v>775</v>
      </c>
      <c r="NA316">
        <v>119</v>
      </c>
      <c r="NB316">
        <v>21</v>
      </c>
      <c r="NC316">
        <v>294</v>
      </c>
      <c r="ND316">
        <v>14</v>
      </c>
      <c r="NE316">
        <v>107</v>
      </c>
      <c r="NF316">
        <v>18</v>
      </c>
      <c r="NG316">
        <v>118</v>
      </c>
      <c r="NH316">
        <v>31</v>
      </c>
      <c r="NI316">
        <v>163</v>
      </c>
      <c r="NJ316">
        <v>19</v>
      </c>
      <c r="NK316">
        <v>11</v>
      </c>
      <c r="NL316">
        <v>99</v>
      </c>
      <c r="NM316">
        <v>479</v>
      </c>
      <c r="NN316">
        <v>263</v>
      </c>
      <c r="NO316">
        <v>884</v>
      </c>
      <c r="NP316">
        <v>1014</v>
      </c>
      <c r="NQ316">
        <v>204</v>
      </c>
      <c r="NR316">
        <v>48</v>
      </c>
      <c r="NS316">
        <v>25</v>
      </c>
      <c r="NT316">
        <v>46</v>
      </c>
      <c r="NU316">
        <v>8</v>
      </c>
      <c r="NV316">
        <v>10</v>
      </c>
      <c r="NW316">
        <v>0</v>
      </c>
      <c r="NX316">
        <v>41</v>
      </c>
      <c r="NY316">
        <v>3423</v>
      </c>
      <c r="NZ316">
        <v>115</v>
      </c>
      <c r="OA316">
        <v>54</v>
      </c>
      <c r="OB316">
        <v>117</v>
      </c>
      <c r="OD316">
        <v>0</v>
      </c>
      <c r="OI316">
        <v>378</v>
      </c>
      <c r="OJ316">
        <v>141</v>
      </c>
      <c r="OK316">
        <v>679</v>
      </c>
      <c r="OL316">
        <v>31</v>
      </c>
      <c r="OM316">
        <v>87</v>
      </c>
      <c r="ON316">
        <v>747</v>
      </c>
      <c r="OO316">
        <v>43440</v>
      </c>
      <c r="OP316">
        <v>10416</v>
      </c>
      <c r="OV316">
        <v>3877</v>
      </c>
      <c r="PI316">
        <v>57732</v>
      </c>
      <c r="PM316" t="str">
        <f>IFERROR(VLOOKUP($A316&amp;"",Key!$A:$C,3,FALSE),"")</f>
        <v>ISIC 62T63</v>
      </c>
    </row>
    <row r="317" spans="1:429" x14ac:dyDescent="0.25">
      <c r="A317" t="s">
        <v>604</v>
      </c>
      <c r="B317" t="s">
        <v>452</v>
      </c>
      <c r="P317">
        <v>1</v>
      </c>
      <c r="V317">
        <v>2</v>
      </c>
      <c r="W317">
        <v>11</v>
      </c>
      <c r="X317">
        <v>97</v>
      </c>
      <c r="Y317">
        <v>3</v>
      </c>
      <c r="AC317">
        <v>1</v>
      </c>
      <c r="AL317">
        <v>3</v>
      </c>
      <c r="JK317">
        <v>5</v>
      </c>
      <c r="JL317">
        <v>20</v>
      </c>
      <c r="JM317">
        <v>11</v>
      </c>
      <c r="JN317">
        <v>5</v>
      </c>
      <c r="JO317">
        <v>10</v>
      </c>
      <c r="JP317">
        <v>4</v>
      </c>
      <c r="JQ317">
        <v>3</v>
      </c>
      <c r="JS317">
        <v>12</v>
      </c>
      <c r="JT317">
        <v>2</v>
      </c>
      <c r="JV317">
        <v>20</v>
      </c>
      <c r="JW317">
        <v>4</v>
      </c>
      <c r="JX317">
        <v>3</v>
      </c>
      <c r="JY317">
        <v>8</v>
      </c>
      <c r="JZ317">
        <v>4</v>
      </c>
      <c r="KA317">
        <v>8</v>
      </c>
      <c r="KB317">
        <v>4</v>
      </c>
      <c r="KC317">
        <v>22</v>
      </c>
      <c r="KD317">
        <v>3</v>
      </c>
      <c r="KE317">
        <v>1</v>
      </c>
      <c r="KH317">
        <v>7</v>
      </c>
      <c r="KK317">
        <v>28</v>
      </c>
      <c r="KM317">
        <v>3</v>
      </c>
      <c r="KN317">
        <v>1239</v>
      </c>
      <c r="KO317">
        <v>115</v>
      </c>
      <c r="KP317">
        <v>2</v>
      </c>
      <c r="KR317">
        <v>45</v>
      </c>
      <c r="KS317">
        <v>1</v>
      </c>
      <c r="KU317">
        <v>4</v>
      </c>
      <c r="KY317">
        <v>19</v>
      </c>
      <c r="KZ317">
        <v>39</v>
      </c>
      <c r="LA317">
        <v>133</v>
      </c>
      <c r="LB317">
        <v>0</v>
      </c>
      <c r="LC317">
        <v>123</v>
      </c>
      <c r="LD317">
        <v>46</v>
      </c>
      <c r="LE317">
        <v>103</v>
      </c>
      <c r="LF317">
        <v>23</v>
      </c>
      <c r="LG317">
        <v>5</v>
      </c>
      <c r="LI317">
        <v>7</v>
      </c>
      <c r="LM317">
        <v>149</v>
      </c>
      <c r="LN317">
        <v>1</v>
      </c>
      <c r="LO317">
        <v>11</v>
      </c>
      <c r="LP317">
        <v>1</v>
      </c>
      <c r="LQ317">
        <v>28</v>
      </c>
      <c r="LR317">
        <v>15</v>
      </c>
      <c r="LS317">
        <v>7</v>
      </c>
      <c r="LT317">
        <v>8</v>
      </c>
      <c r="LU317">
        <v>3</v>
      </c>
      <c r="LV317">
        <v>3</v>
      </c>
      <c r="LW317">
        <v>53</v>
      </c>
      <c r="LX317">
        <v>150</v>
      </c>
      <c r="LY317">
        <v>5</v>
      </c>
      <c r="LZ317">
        <v>216</v>
      </c>
      <c r="MA317">
        <v>3</v>
      </c>
      <c r="ME317">
        <v>6</v>
      </c>
      <c r="MF317">
        <v>5</v>
      </c>
      <c r="MG317">
        <v>17</v>
      </c>
      <c r="MH317">
        <v>2</v>
      </c>
      <c r="MI317">
        <v>4</v>
      </c>
      <c r="MJ317">
        <v>1</v>
      </c>
      <c r="MK317">
        <v>10</v>
      </c>
      <c r="ML317">
        <v>8</v>
      </c>
      <c r="MM317">
        <v>2</v>
      </c>
      <c r="MN317">
        <v>3</v>
      </c>
      <c r="MO317">
        <v>0</v>
      </c>
      <c r="MQ317">
        <v>1</v>
      </c>
      <c r="MS317">
        <v>8</v>
      </c>
      <c r="MT317">
        <v>2</v>
      </c>
      <c r="MU317">
        <v>3</v>
      </c>
      <c r="MV317">
        <v>2</v>
      </c>
      <c r="MW317">
        <v>0</v>
      </c>
      <c r="MX317">
        <v>2</v>
      </c>
      <c r="MY317">
        <v>1</v>
      </c>
      <c r="MZ317">
        <v>11</v>
      </c>
      <c r="NA317">
        <v>2</v>
      </c>
      <c r="NC317">
        <v>1</v>
      </c>
      <c r="ND317">
        <v>1</v>
      </c>
      <c r="NE317">
        <v>0</v>
      </c>
      <c r="NH317">
        <v>2</v>
      </c>
      <c r="NI317">
        <v>3</v>
      </c>
      <c r="NL317">
        <v>41</v>
      </c>
      <c r="NM317">
        <v>1</v>
      </c>
      <c r="NN317">
        <v>7</v>
      </c>
      <c r="NO317">
        <v>4</v>
      </c>
      <c r="NP317">
        <v>4</v>
      </c>
      <c r="NQ317">
        <v>1</v>
      </c>
      <c r="NR317">
        <v>4</v>
      </c>
      <c r="NS317">
        <v>7</v>
      </c>
      <c r="NT317">
        <v>7</v>
      </c>
      <c r="NU317">
        <v>2</v>
      </c>
      <c r="NV317">
        <v>2</v>
      </c>
      <c r="NW317">
        <v>0</v>
      </c>
      <c r="NX317">
        <v>2</v>
      </c>
      <c r="NZ317">
        <v>63</v>
      </c>
      <c r="OA317">
        <v>83</v>
      </c>
      <c r="OB317">
        <v>38</v>
      </c>
      <c r="OD317">
        <v>284</v>
      </c>
      <c r="OE317">
        <v>7</v>
      </c>
      <c r="OF317">
        <v>1</v>
      </c>
      <c r="OG317">
        <v>21</v>
      </c>
      <c r="OH317">
        <v>111</v>
      </c>
      <c r="OI317">
        <v>361</v>
      </c>
      <c r="OJ317">
        <v>249</v>
      </c>
      <c r="OK317">
        <v>955</v>
      </c>
      <c r="ON317">
        <v>12</v>
      </c>
      <c r="OO317">
        <v>5231</v>
      </c>
      <c r="OP317">
        <v>4546</v>
      </c>
      <c r="OV317">
        <v>829</v>
      </c>
      <c r="PI317">
        <v>10606</v>
      </c>
      <c r="PM317" t="str">
        <f>IFERROR(VLOOKUP($A317&amp;"",Key!$A:$C,3,FALSE),"")</f>
        <v>ISIC 62T63</v>
      </c>
    </row>
    <row r="318" spans="1:429" x14ac:dyDescent="0.25">
      <c r="A318" t="s">
        <v>605</v>
      </c>
      <c r="B318" t="s">
        <v>453</v>
      </c>
      <c r="C318">
        <v>16</v>
      </c>
      <c r="D318">
        <v>16</v>
      </c>
      <c r="E318">
        <v>11</v>
      </c>
      <c r="F318">
        <v>11</v>
      </c>
      <c r="G318">
        <v>2</v>
      </c>
      <c r="H318">
        <v>53</v>
      </c>
      <c r="I318">
        <v>8</v>
      </c>
      <c r="J318">
        <v>5</v>
      </c>
      <c r="K318">
        <v>19</v>
      </c>
      <c r="L318">
        <v>27</v>
      </c>
      <c r="M318">
        <v>0</v>
      </c>
      <c r="N318">
        <v>8</v>
      </c>
      <c r="O318">
        <v>12</v>
      </c>
      <c r="P318">
        <v>167</v>
      </c>
      <c r="Q318">
        <v>63</v>
      </c>
      <c r="R318">
        <v>3</v>
      </c>
      <c r="S318">
        <v>13</v>
      </c>
      <c r="T318">
        <v>33</v>
      </c>
      <c r="U318">
        <v>50</v>
      </c>
      <c r="V318">
        <v>93</v>
      </c>
      <c r="W318">
        <v>148</v>
      </c>
      <c r="X318">
        <v>569</v>
      </c>
      <c r="Y318">
        <v>94</v>
      </c>
      <c r="Z318">
        <v>14</v>
      </c>
      <c r="AA318">
        <v>15</v>
      </c>
      <c r="AB318">
        <v>1</v>
      </c>
      <c r="AC318">
        <v>111</v>
      </c>
      <c r="AD318">
        <v>102</v>
      </c>
      <c r="AE318">
        <v>89</v>
      </c>
      <c r="AF318">
        <v>34</v>
      </c>
      <c r="AG318">
        <v>204</v>
      </c>
      <c r="AH318">
        <v>15</v>
      </c>
      <c r="AI318">
        <v>38</v>
      </c>
      <c r="AJ318">
        <v>5</v>
      </c>
      <c r="AK318">
        <v>159</v>
      </c>
      <c r="AL318">
        <v>49</v>
      </c>
      <c r="AM318">
        <v>40</v>
      </c>
      <c r="AN318">
        <v>17</v>
      </c>
      <c r="AO318">
        <v>12</v>
      </c>
      <c r="AP318">
        <v>33</v>
      </c>
      <c r="AQ318">
        <v>36</v>
      </c>
      <c r="AR318">
        <v>58</v>
      </c>
      <c r="AS318">
        <v>10</v>
      </c>
      <c r="AT318">
        <v>42</v>
      </c>
      <c r="AU318">
        <v>3</v>
      </c>
      <c r="AV318">
        <v>15</v>
      </c>
      <c r="AW318">
        <v>8</v>
      </c>
      <c r="AX318">
        <v>7</v>
      </c>
      <c r="AY318">
        <v>7</v>
      </c>
      <c r="AZ318">
        <v>1</v>
      </c>
      <c r="BA318">
        <v>6</v>
      </c>
      <c r="BB318">
        <v>13</v>
      </c>
      <c r="BC318">
        <v>52</v>
      </c>
      <c r="BD318">
        <v>23</v>
      </c>
      <c r="BE318">
        <v>6</v>
      </c>
      <c r="BF318">
        <v>16</v>
      </c>
      <c r="BG318">
        <v>20</v>
      </c>
      <c r="BH318">
        <v>19</v>
      </c>
      <c r="BI318">
        <v>5</v>
      </c>
      <c r="BJ318">
        <v>17</v>
      </c>
      <c r="BK318">
        <v>11</v>
      </c>
      <c r="BL318">
        <v>36</v>
      </c>
      <c r="BM318">
        <v>8</v>
      </c>
      <c r="BN318">
        <v>7</v>
      </c>
      <c r="BO318">
        <v>13</v>
      </c>
      <c r="BP318">
        <v>22</v>
      </c>
      <c r="BQ318">
        <v>40</v>
      </c>
      <c r="BR318">
        <v>23</v>
      </c>
      <c r="BS318">
        <v>12</v>
      </c>
      <c r="BT318">
        <v>21</v>
      </c>
      <c r="BU318">
        <v>6</v>
      </c>
      <c r="BV318">
        <v>8</v>
      </c>
      <c r="BW318">
        <v>12</v>
      </c>
      <c r="BX318">
        <v>26</v>
      </c>
      <c r="BY318">
        <v>33</v>
      </c>
      <c r="BZ318">
        <v>14</v>
      </c>
      <c r="CB318">
        <v>30</v>
      </c>
      <c r="CC318">
        <v>4</v>
      </c>
      <c r="CD318">
        <v>7</v>
      </c>
      <c r="CE318">
        <v>34</v>
      </c>
      <c r="CF318">
        <v>9</v>
      </c>
      <c r="CG318">
        <v>19</v>
      </c>
      <c r="CH318">
        <v>7</v>
      </c>
      <c r="CI318">
        <v>17</v>
      </c>
      <c r="CJ318">
        <v>6</v>
      </c>
      <c r="CK318">
        <v>5</v>
      </c>
      <c r="CL318">
        <v>29</v>
      </c>
      <c r="CM318">
        <v>9</v>
      </c>
      <c r="CN318">
        <v>1</v>
      </c>
      <c r="CO318">
        <v>21</v>
      </c>
      <c r="CP318">
        <v>10</v>
      </c>
      <c r="CQ318">
        <v>10</v>
      </c>
      <c r="CR318">
        <v>9</v>
      </c>
      <c r="CS318">
        <v>8</v>
      </c>
      <c r="CT318">
        <v>9</v>
      </c>
      <c r="CU318">
        <v>17</v>
      </c>
      <c r="CV318">
        <v>13</v>
      </c>
      <c r="CW318">
        <v>15</v>
      </c>
      <c r="CX318">
        <v>9</v>
      </c>
      <c r="CY318">
        <v>2</v>
      </c>
      <c r="CZ318">
        <v>38</v>
      </c>
      <c r="DA318">
        <v>7</v>
      </c>
      <c r="DB318">
        <v>31</v>
      </c>
      <c r="DC318">
        <v>15</v>
      </c>
      <c r="DD318">
        <v>2</v>
      </c>
      <c r="DE318">
        <v>19</v>
      </c>
      <c r="DF318">
        <v>7</v>
      </c>
      <c r="DG318">
        <v>13</v>
      </c>
      <c r="DH318">
        <v>8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1</v>
      </c>
      <c r="DQ318">
        <v>11</v>
      </c>
      <c r="DR318">
        <v>13</v>
      </c>
      <c r="DS318">
        <v>0</v>
      </c>
      <c r="DU318">
        <v>2</v>
      </c>
      <c r="DV318">
        <v>2</v>
      </c>
      <c r="DW318">
        <v>1</v>
      </c>
      <c r="DX318">
        <v>5</v>
      </c>
      <c r="DY318">
        <v>5</v>
      </c>
      <c r="DZ318">
        <v>7</v>
      </c>
      <c r="EA318">
        <v>21</v>
      </c>
      <c r="EB318">
        <v>0</v>
      </c>
      <c r="EC318">
        <v>2</v>
      </c>
      <c r="ED318">
        <v>12</v>
      </c>
      <c r="EE318">
        <v>9</v>
      </c>
      <c r="EF318">
        <v>29</v>
      </c>
      <c r="EG318">
        <v>7</v>
      </c>
      <c r="EH318">
        <v>6</v>
      </c>
      <c r="EI318">
        <v>30</v>
      </c>
      <c r="EJ318">
        <v>1</v>
      </c>
      <c r="EK318">
        <v>3</v>
      </c>
      <c r="EL318">
        <v>0</v>
      </c>
      <c r="EM318">
        <v>7</v>
      </c>
      <c r="EN318">
        <v>13</v>
      </c>
      <c r="EO318">
        <v>3</v>
      </c>
      <c r="EP318">
        <v>9</v>
      </c>
      <c r="EQ318">
        <v>8</v>
      </c>
      <c r="ER318">
        <v>90</v>
      </c>
      <c r="ES318">
        <v>35</v>
      </c>
      <c r="ET318">
        <v>20</v>
      </c>
      <c r="EU318">
        <v>21</v>
      </c>
      <c r="EV318">
        <v>0</v>
      </c>
      <c r="EW318">
        <v>17</v>
      </c>
      <c r="EX318">
        <v>24</v>
      </c>
      <c r="EY318">
        <v>10</v>
      </c>
      <c r="EZ318">
        <v>34</v>
      </c>
      <c r="FA318">
        <v>44</v>
      </c>
      <c r="FB318">
        <v>19</v>
      </c>
      <c r="FC318">
        <v>32</v>
      </c>
      <c r="FD318">
        <v>29</v>
      </c>
      <c r="FE318">
        <v>13</v>
      </c>
      <c r="FF318">
        <v>17</v>
      </c>
      <c r="FG318">
        <v>28</v>
      </c>
      <c r="FI318">
        <v>0</v>
      </c>
      <c r="FJ318">
        <v>23</v>
      </c>
      <c r="FK318">
        <v>30</v>
      </c>
      <c r="FL318">
        <v>7</v>
      </c>
      <c r="FM318">
        <v>2</v>
      </c>
      <c r="FO318">
        <v>2</v>
      </c>
      <c r="FP318">
        <v>22</v>
      </c>
      <c r="FQ318">
        <v>18</v>
      </c>
      <c r="FR318">
        <v>6</v>
      </c>
      <c r="FS318">
        <v>24</v>
      </c>
      <c r="FT318">
        <v>12</v>
      </c>
      <c r="FU318">
        <v>11</v>
      </c>
      <c r="FV318">
        <v>50</v>
      </c>
      <c r="FW318">
        <v>12</v>
      </c>
      <c r="FX318">
        <v>14</v>
      </c>
      <c r="FY318">
        <v>22</v>
      </c>
      <c r="FZ318">
        <v>3</v>
      </c>
      <c r="GA318">
        <v>38</v>
      </c>
      <c r="GB318">
        <v>8</v>
      </c>
      <c r="GC318">
        <v>12</v>
      </c>
      <c r="GD318">
        <v>8</v>
      </c>
      <c r="GE318">
        <v>1</v>
      </c>
      <c r="GF318">
        <v>4</v>
      </c>
      <c r="GG318">
        <v>19</v>
      </c>
      <c r="GH318">
        <v>35</v>
      </c>
      <c r="GI318">
        <v>29</v>
      </c>
      <c r="GJ318">
        <v>15</v>
      </c>
      <c r="GK318">
        <v>16</v>
      </c>
      <c r="GL318">
        <v>4</v>
      </c>
      <c r="GM318">
        <v>6</v>
      </c>
      <c r="GN318">
        <v>1</v>
      </c>
      <c r="GO318">
        <v>5</v>
      </c>
      <c r="GP318">
        <v>123</v>
      </c>
      <c r="GQ318">
        <v>15</v>
      </c>
      <c r="GR318">
        <v>9</v>
      </c>
      <c r="GS318">
        <v>6</v>
      </c>
      <c r="GT318">
        <v>17</v>
      </c>
      <c r="GU318">
        <v>38</v>
      </c>
      <c r="GV318">
        <v>13</v>
      </c>
      <c r="GW318">
        <v>31</v>
      </c>
      <c r="GX318">
        <v>28</v>
      </c>
      <c r="GY318">
        <v>10</v>
      </c>
      <c r="GZ318">
        <v>85</v>
      </c>
      <c r="HA318">
        <v>24</v>
      </c>
      <c r="HB318">
        <v>54</v>
      </c>
      <c r="HC318">
        <v>11</v>
      </c>
      <c r="HD318">
        <v>34</v>
      </c>
      <c r="HE318">
        <v>23</v>
      </c>
      <c r="HF318">
        <v>28</v>
      </c>
      <c r="HG318">
        <v>23</v>
      </c>
      <c r="HH318">
        <v>51</v>
      </c>
      <c r="HI318">
        <v>50</v>
      </c>
      <c r="HJ318">
        <v>28</v>
      </c>
      <c r="HK318">
        <v>33</v>
      </c>
      <c r="HL318">
        <v>2</v>
      </c>
      <c r="HM318">
        <v>14</v>
      </c>
      <c r="HN318">
        <v>10</v>
      </c>
      <c r="HO318">
        <v>3</v>
      </c>
      <c r="HP318">
        <v>3</v>
      </c>
      <c r="HQ318">
        <v>11</v>
      </c>
      <c r="HR318">
        <v>6</v>
      </c>
      <c r="HS318">
        <v>3</v>
      </c>
      <c r="HT318">
        <v>6</v>
      </c>
      <c r="HU318">
        <v>14</v>
      </c>
      <c r="HV318">
        <v>15</v>
      </c>
      <c r="HW318">
        <v>67</v>
      </c>
      <c r="HX318">
        <v>19</v>
      </c>
      <c r="HY318">
        <v>12</v>
      </c>
      <c r="HZ318">
        <v>13</v>
      </c>
      <c r="IA318">
        <v>2</v>
      </c>
      <c r="IB318">
        <v>137</v>
      </c>
      <c r="IC318">
        <v>1</v>
      </c>
      <c r="ID318">
        <v>99</v>
      </c>
      <c r="IE318">
        <v>15</v>
      </c>
      <c r="IF318">
        <v>11</v>
      </c>
      <c r="IG318">
        <v>16</v>
      </c>
      <c r="II318">
        <v>20</v>
      </c>
      <c r="IJ318">
        <v>3</v>
      </c>
      <c r="IK318">
        <v>22</v>
      </c>
      <c r="IL318">
        <v>37</v>
      </c>
      <c r="IM318">
        <v>42</v>
      </c>
      <c r="IN318">
        <v>20</v>
      </c>
      <c r="IO318">
        <v>31</v>
      </c>
      <c r="IP318">
        <v>14</v>
      </c>
      <c r="IQ318">
        <v>17</v>
      </c>
      <c r="IR318">
        <v>32</v>
      </c>
      <c r="IS318">
        <v>17</v>
      </c>
      <c r="IT318">
        <v>15</v>
      </c>
      <c r="IU318">
        <v>12</v>
      </c>
      <c r="IV318">
        <v>13</v>
      </c>
      <c r="IW318">
        <v>19</v>
      </c>
      <c r="IX318">
        <v>29</v>
      </c>
      <c r="IY318">
        <v>11</v>
      </c>
      <c r="IZ318">
        <v>31</v>
      </c>
      <c r="JA318">
        <v>44</v>
      </c>
      <c r="JB318">
        <v>15</v>
      </c>
      <c r="JC318">
        <v>5</v>
      </c>
      <c r="JD318">
        <v>22</v>
      </c>
      <c r="JE318">
        <v>13</v>
      </c>
      <c r="JF318">
        <v>7</v>
      </c>
      <c r="JG318">
        <v>114</v>
      </c>
      <c r="JH318">
        <v>14</v>
      </c>
      <c r="JI318">
        <v>4</v>
      </c>
      <c r="JJ318">
        <v>19</v>
      </c>
      <c r="JK318">
        <v>2273</v>
      </c>
      <c r="JL318">
        <v>2665</v>
      </c>
      <c r="JM318">
        <v>3774</v>
      </c>
      <c r="JN318">
        <v>3328</v>
      </c>
      <c r="JO318">
        <v>5079</v>
      </c>
      <c r="JP318">
        <v>478</v>
      </c>
      <c r="JQ318">
        <v>2464</v>
      </c>
      <c r="JR318">
        <v>703</v>
      </c>
      <c r="JS318">
        <v>3853</v>
      </c>
      <c r="JT318">
        <v>410</v>
      </c>
      <c r="JV318">
        <v>1600</v>
      </c>
      <c r="JW318">
        <v>1533</v>
      </c>
      <c r="JX318">
        <v>1660</v>
      </c>
      <c r="JY318">
        <v>539</v>
      </c>
      <c r="JZ318">
        <v>921</v>
      </c>
      <c r="KA318">
        <v>1471</v>
      </c>
      <c r="KB318">
        <v>1282</v>
      </c>
      <c r="KC318">
        <v>1238</v>
      </c>
      <c r="KD318">
        <v>1540</v>
      </c>
      <c r="KE318">
        <v>171</v>
      </c>
      <c r="KF318">
        <v>5211</v>
      </c>
      <c r="KG318">
        <v>199</v>
      </c>
      <c r="KH318">
        <v>177</v>
      </c>
      <c r="KI318">
        <v>2911</v>
      </c>
      <c r="KJ318">
        <v>6</v>
      </c>
      <c r="KK318">
        <v>393</v>
      </c>
      <c r="KL318">
        <v>27</v>
      </c>
      <c r="KM318">
        <v>112</v>
      </c>
      <c r="KN318">
        <v>13</v>
      </c>
      <c r="KO318">
        <v>14</v>
      </c>
      <c r="KP318">
        <v>33</v>
      </c>
      <c r="KQ318">
        <v>7</v>
      </c>
      <c r="KR318">
        <v>57</v>
      </c>
      <c r="KS318">
        <v>134</v>
      </c>
      <c r="KT318">
        <v>15</v>
      </c>
      <c r="KU318">
        <v>0</v>
      </c>
      <c r="KV318">
        <v>0</v>
      </c>
      <c r="KW318">
        <v>28</v>
      </c>
      <c r="KX318">
        <v>137</v>
      </c>
      <c r="KY318">
        <v>206</v>
      </c>
      <c r="KZ318">
        <v>127</v>
      </c>
      <c r="LA318">
        <v>59</v>
      </c>
      <c r="LB318">
        <v>0</v>
      </c>
      <c r="LC318">
        <v>20299</v>
      </c>
      <c r="LD318">
        <v>23862</v>
      </c>
      <c r="LE318">
        <v>10361</v>
      </c>
      <c r="LF318">
        <v>12652</v>
      </c>
      <c r="LH318">
        <v>6</v>
      </c>
      <c r="LJ318">
        <v>331</v>
      </c>
      <c r="LK318">
        <v>72720</v>
      </c>
      <c r="LL318">
        <v>2255</v>
      </c>
      <c r="LM318">
        <v>11226</v>
      </c>
      <c r="LN318">
        <v>950</v>
      </c>
      <c r="LO318">
        <v>516</v>
      </c>
      <c r="LP318">
        <v>237</v>
      </c>
      <c r="LQ318">
        <v>5223</v>
      </c>
      <c r="LR318">
        <v>926</v>
      </c>
      <c r="LS318">
        <v>88</v>
      </c>
      <c r="LT318">
        <v>193</v>
      </c>
      <c r="LU318">
        <v>424</v>
      </c>
      <c r="LV318">
        <v>1492</v>
      </c>
      <c r="LW318">
        <v>177</v>
      </c>
      <c r="LX318">
        <v>1065</v>
      </c>
      <c r="LY318">
        <v>277</v>
      </c>
      <c r="LZ318">
        <v>120</v>
      </c>
      <c r="MA318">
        <v>532</v>
      </c>
      <c r="MB318">
        <v>18</v>
      </c>
      <c r="MC318">
        <v>9</v>
      </c>
      <c r="MD318">
        <v>17</v>
      </c>
      <c r="ME318">
        <v>588</v>
      </c>
      <c r="MF318">
        <v>15539</v>
      </c>
      <c r="MG318">
        <v>426</v>
      </c>
      <c r="MH318">
        <v>197</v>
      </c>
      <c r="MI318">
        <v>761</v>
      </c>
      <c r="MJ318">
        <v>26</v>
      </c>
      <c r="MK318">
        <v>249</v>
      </c>
      <c r="ML318">
        <v>712</v>
      </c>
      <c r="MM318">
        <v>38</v>
      </c>
      <c r="MN318">
        <v>391</v>
      </c>
      <c r="MO318">
        <v>22</v>
      </c>
      <c r="MP318">
        <v>36</v>
      </c>
      <c r="MQ318">
        <v>913</v>
      </c>
      <c r="MR318">
        <v>262</v>
      </c>
      <c r="MS318">
        <v>665</v>
      </c>
      <c r="MT318">
        <v>86</v>
      </c>
      <c r="MU318">
        <v>41</v>
      </c>
      <c r="MV318">
        <v>384</v>
      </c>
      <c r="MW318">
        <v>14</v>
      </c>
      <c r="MX318">
        <v>61</v>
      </c>
      <c r="MY318">
        <v>51</v>
      </c>
      <c r="MZ318">
        <v>1391</v>
      </c>
      <c r="NA318">
        <v>180</v>
      </c>
      <c r="NB318">
        <v>123</v>
      </c>
      <c r="NC318">
        <v>185</v>
      </c>
      <c r="ND318">
        <v>8</v>
      </c>
      <c r="NE318">
        <v>102</v>
      </c>
      <c r="NF318">
        <v>18</v>
      </c>
      <c r="NG318">
        <v>56</v>
      </c>
      <c r="NH318">
        <v>1</v>
      </c>
      <c r="NI318">
        <v>98</v>
      </c>
      <c r="NJ318">
        <v>37</v>
      </c>
      <c r="NK318">
        <v>21</v>
      </c>
      <c r="NL318">
        <v>506</v>
      </c>
      <c r="NM318">
        <v>285</v>
      </c>
      <c r="NN318">
        <v>2505</v>
      </c>
      <c r="NO318">
        <v>1113</v>
      </c>
      <c r="NP318">
        <v>1480</v>
      </c>
      <c r="NQ318">
        <v>1542</v>
      </c>
      <c r="NR318">
        <v>231</v>
      </c>
      <c r="NS318">
        <v>4</v>
      </c>
      <c r="NT318">
        <v>108</v>
      </c>
      <c r="NU318">
        <v>15</v>
      </c>
      <c r="NV318">
        <v>262</v>
      </c>
      <c r="NW318">
        <v>0</v>
      </c>
      <c r="NX318">
        <v>81</v>
      </c>
      <c r="NY318">
        <v>142</v>
      </c>
      <c r="NZ318">
        <v>1663</v>
      </c>
      <c r="OA318">
        <v>1568</v>
      </c>
      <c r="OB318">
        <v>6334</v>
      </c>
      <c r="OD318">
        <v>0</v>
      </c>
      <c r="OF318">
        <v>181</v>
      </c>
      <c r="OG318">
        <v>110</v>
      </c>
      <c r="OH318">
        <v>430</v>
      </c>
      <c r="OI318">
        <v>1650</v>
      </c>
      <c r="OJ318">
        <v>1424</v>
      </c>
      <c r="OK318">
        <v>7598</v>
      </c>
      <c r="OL318">
        <v>0</v>
      </c>
      <c r="OM318">
        <v>17</v>
      </c>
      <c r="ON318">
        <v>2927</v>
      </c>
      <c r="OO318">
        <v>275096</v>
      </c>
      <c r="OP318">
        <v>42387</v>
      </c>
      <c r="OV318">
        <v>29227</v>
      </c>
      <c r="PI318">
        <v>346710</v>
      </c>
      <c r="PM318" t="str">
        <f>IFERROR(VLOOKUP($A318&amp;"",Key!$A:$C,3,FALSE),"")</f>
        <v>ISIC 64T66</v>
      </c>
    </row>
    <row r="319" spans="1:429" x14ac:dyDescent="0.25">
      <c r="A319" t="s">
        <v>606</v>
      </c>
      <c r="B319" t="s">
        <v>454</v>
      </c>
      <c r="C319">
        <v>263</v>
      </c>
      <c r="D319">
        <v>198</v>
      </c>
      <c r="E319">
        <v>170</v>
      </c>
      <c r="F319">
        <v>294</v>
      </c>
      <c r="G319">
        <v>182</v>
      </c>
      <c r="H319">
        <v>279</v>
      </c>
      <c r="I319">
        <v>308</v>
      </c>
      <c r="J319">
        <v>510</v>
      </c>
      <c r="K319">
        <v>249</v>
      </c>
      <c r="L319">
        <v>218</v>
      </c>
      <c r="M319">
        <v>79</v>
      </c>
      <c r="N319">
        <v>47</v>
      </c>
      <c r="O319">
        <v>129</v>
      </c>
      <c r="P319">
        <v>1370</v>
      </c>
      <c r="Q319">
        <v>237</v>
      </c>
      <c r="R319">
        <v>57</v>
      </c>
      <c r="S319">
        <v>77</v>
      </c>
      <c r="T319">
        <v>147</v>
      </c>
      <c r="U319">
        <v>142</v>
      </c>
      <c r="V319">
        <v>153</v>
      </c>
      <c r="W319">
        <v>377</v>
      </c>
      <c r="X319">
        <v>7021</v>
      </c>
      <c r="Y319">
        <v>3368</v>
      </c>
      <c r="Z319">
        <v>213</v>
      </c>
      <c r="AA319">
        <v>90</v>
      </c>
      <c r="AB319">
        <v>198</v>
      </c>
      <c r="AC319">
        <v>936</v>
      </c>
      <c r="AD319">
        <v>276</v>
      </c>
      <c r="AE319">
        <v>429</v>
      </c>
      <c r="AF319">
        <v>571</v>
      </c>
      <c r="AG319">
        <v>1508</v>
      </c>
      <c r="AH319">
        <v>156</v>
      </c>
      <c r="AI319">
        <v>344</v>
      </c>
      <c r="AJ319">
        <v>655</v>
      </c>
      <c r="AK319">
        <v>1020</v>
      </c>
      <c r="AL319">
        <v>599</v>
      </c>
      <c r="AM319">
        <v>137</v>
      </c>
      <c r="AN319">
        <v>92</v>
      </c>
      <c r="AO319">
        <v>94</v>
      </c>
      <c r="AP319">
        <v>109</v>
      </c>
      <c r="AQ319">
        <v>55</v>
      </c>
      <c r="AR319">
        <v>159</v>
      </c>
      <c r="AS319">
        <v>32</v>
      </c>
      <c r="AT319">
        <v>162</v>
      </c>
      <c r="AU319">
        <v>27</v>
      </c>
      <c r="AV319">
        <v>57</v>
      </c>
      <c r="AW319">
        <v>32</v>
      </c>
      <c r="AX319">
        <v>20</v>
      </c>
      <c r="AY319">
        <v>22</v>
      </c>
      <c r="AZ319">
        <v>15</v>
      </c>
      <c r="BA319">
        <v>27</v>
      </c>
      <c r="BB319">
        <v>21</v>
      </c>
      <c r="BC319">
        <v>261</v>
      </c>
      <c r="BD319">
        <v>82</v>
      </c>
      <c r="BE319">
        <v>23</v>
      </c>
      <c r="BF319">
        <v>14</v>
      </c>
      <c r="BG319">
        <v>94</v>
      </c>
      <c r="BH319">
        <v>41</v>
      </c>
      <c r="BI319">
        <v>75</v>
      </c>
      <c r="BJ319">
        <v>45</v>
      </c>
      <c r="BK319">
        <v>53</v>
      </c>
      <c r="BL319">
        <v>62</v>
      </c>
      <c r="BM319">
        <v>34</v>
      </c>
      <c r="BN319">
        <v>59</v>
      </c>
      <c r="BO319">
        <v>48</v>
      </c>
      <c r="BP319">
        <v>49</v>
      </c>
      <c r="BQ319">
        <v>221</v>
      </c>
      <c r="BR319">
        <v>186</v>
      </c>
      <c r="BS319">
        <v>33</v>
      </c>
      <c r="BT319">
        <v>38</v>
      </c>
      <c r="BU319">
        <v>50</v>
      </c>
      <c r="BV319">
        <v>42</v>
      </c>
      <c r="BW319">
        <v>39</v>
      </c>
      <c r="BX319">
        <v>189</v>
      </c>
      <c r="BY319">
        <v>159</v>
      </c>
      <c r="BZ319">
        <v>117</v>
      </c>
      <c r="CA319">
        <v>27</v>
      </c>
      <c r="CB319">
        <v>116</v>
      </c>
      <c r="CC319">
        <v>26</v>
      </c>
      <c r="CD319">
        <v>28</v>
      </c>
      <c r="CE319">
        <v>61</v>
      </c>
      <c r="CF319">
        <v>61</v>
      </c>
      <c r="CG319">
        <v>113</v>
      </c>
      <c r="CH319">
        <v>21</v>
      </c>
      <c r="CI319">
        <v>120</v>
      </c>
      <c r="CJ319">
        <v>76</v>
      </c>
      <c r="CK319">
        <v>18</v>
      </c>
      <c r="CL319">
        <v>138</v>
      </c>
      <c r="CM319">
        <v>23</v>
      </c>
      <c r="CN319">
        <v>6</v>
      </c>
      <c r="CO319">
        <v>96</v>
      </c>
      <c r="CP319">
        <v>21</v>
      </c>
      <c r="CQ319">
        <v>155</v>
      </c>
      <c r="CR319">
        <v>34</v>
      </c>
      <c r="CS319">
        <v>34</v>
      </c>
      <c r="CT319">
        <v>30</v>
      </c>
      <c r="CU319">
        <v>40</v>
      </c>
      <c r="CV319">
        <v>48</v>
      </c>
      <c r="CW319">
        <v>59</v>
      </c>
      <c r="CX319">
        <v>16</v>
      </c>
      <c r="CY319">
        <v>21</v>
      </c>
      <c r="CZ319">
        <v>160</v>
      </c>
      <c r="DA319">
        <v>41</v>
      </c>
      <c r="DB319">
        <v>87</v>
      </c>
      <c r="DC319">
        <v>131</v>
      </c>
      <c r="DD319">
        <v>15</v>
      </c>
      <c r="DE319">
        <v>35</v>
      </c>
      <c r="DF319">
        <v>13</v>
      </c>
      <c r="DG319">
        <v>110</v>
      </c>
      <c r="DH319">
        <v>55</v>
      </c>
      <c r="DI319">
        <v>125</v>
      </c>
      <c r="DJ319">
        <v>14</v>
      </c>
      <c r="DK319">
        <v>65</v>
      </c>
      <c r="DL319">
        <v>27</v>
      </c>
      <c r="DM319">
        <v>102</v>
      </c>
      <c r="DN319">
        <v>22</v>
      </c>
      <c r="DO319">
        <v>182</v>
      </c>
      <c r="DP319">
        <v>45</v>
      </c>
      <c r="DQ319">
        <v>109</v>
      </c>
      <c r="DR319">
        <v>199</v>
      </c>
      <c r="DS319">
        <v>154</v>
      </c>
      <c r="DT319">
        <v>8</v>
      </c>
      <c r="DU319">
        <v>29</v>
      </c>
      <c r="DV319">
        <v>25</v>
      </c>
      <c r="DW319">
        <v>45</v>
      </c>
      <c r="DX319">
        <v>59</v>
      </c>
      <c r="DY319">
        <v>31</v>
      </c>
      <c r="DZ319">
        <v>49</v>
      </c>
      <c r="EA319">
        <v>19</v>
      </c>
      <c r="EB319">
        <v>6</v>
      </c>
      <c r="EC319">
        <v>5</v>
      </c>
      <c r="ED319">
        <v>77</v>
      </c>
      <c r="EE319">
        <v>20</v>
      </c>
      <c r="EF319">
        <v>92</v>
      </c>
      <c r="EG319">
        <v>19</v>
      </c>
      <c r="EH319">
        <v>49</v>
      </c>
      <c r="EI319">
        <v>100</v>
      </c>
      <c r="EJ319">
        <v>49</v>
      </c>
      <c r="EK319">
        <v>38</v>
      </c>
      <c r="EL319">
        <v>3</v>
      </c>
      <c r="EM319">
        <v>47</v>
      </c>
      <c r="EN319">
        <v>71</v>
      </c>
      <c r="EO319">
        <v>12</v>
      </c>
      <c r="EP319">
        <v>70</v>
      </c>
      <c r="EQ319">
        <v>76</v>
      </c>
      <c r="ER319">
        <v>626</v>
      </c>
      <c r="ES319">
        <v>54</v>
      </c>
      <c r="ET319">
        <v>46</v>
      </c>
      <c r="EU319">
        <v>31</v>
      </c>
      <c r="EV319">
        <v>2</v>
      </c>
      <c r="EW319">
        <v>57</v>
      </c>
      <c r="EX319">
        <v>122</v>
      </c>
      <c r="EY319">
        <v>59</v>
      </c>
      <c r="EZ319">
        <v>114</v>
      </c>
      <c r="FA319">
        <v>181</v>
      </c>
      <c r="FB319">
        <v>95</v>
      </c>
      <c r="FC319">
        <v>146</v>
      </c>
      <c r="FD319">
        <v>68</v>
      </c>
      <c r="FE319">
        <v>489</v>
      </c>
      <c r="FF319">
        <v>341</v>
      </c>
      <c r="FG319">
        <v>86</v>
      </c>
      <c r="FH319">
        <v>81</v>
      </c>
      <c r="FI319">
        <v>75</v>
      </c>
      <c r="FJ319">
        <v>53</v>
      </c>
      <c r="FK319">
        <v>77</v>
      </c>
      <c r="FL319">
        <v>26</v>
      </c>
      <c r="FM319">
        <v>29</v>
      </c>
      <c r="FN319">
        <v>19</v>
      </c>
      <c r="FO319">
        <v>20</v>
      </c>
      <c r="FP319">
        <v>66</v>
      </c>
      <c r="FQ319">
        <v>63</v>
      </c>
      <c r="FR319">
        <v>14</v>
      </c>
      <c r="FS319">
        <v>27</v>
      </c>
      <c r="FT319">
        <v>19</v>
      </c>
      <c r="FU319">
        <v>32</v>
      </c>
      <c r="FV319">
        <v>100</v>
      </c>
      <c r="FW319">
        <v>59</v>
      </c>
      <c r="FX319">
        <v>346</v>
      </c>
      <c r="FY319">
        <v>305</v>
      </c>
      <c r="FZ319">
        <v>57</v>
      </c>
      <c r="GA319">
        <v>55</v>
      </c>
      <c r="GB319">
        <v>57</v>
      </c>
      <c r="GC319">
        <v>71</v>
      </c>
      <c r="GD319">
        <v>96</v>
      </c>
      <c r="GE319">
        <v>4</v>
      </c>
      <c r="GF319">
        <v>29</v>
      </c>
      <c r="GG319">
        <v>143</v>
      </c>
      <c r="GH319">
        <v>241</v>
      </c>
      <c r="GI319">
        <v>86</v>
      </c>
      <c r="GJ319">
        <v>83</v>
      </c>
      <c r="GK319">
        <v>48</v>
      </c>
      <c r="GL319">
        <v>18</v>
      </c>
      <c r="GM319">
        <v>13</v>
      </c>
      <c r="GN319">
        <v>27</v>
      </c>
      <c r="GO319">
        <v>27</v>
      </c>
      <c r="GP319">
        <v>158</v>
      </c>
      <c r="GQ319">
        <v>87</v>
      </c>
      <c r="GR319">
        <v>99</v>
      </c>
      <c r="GS319">
        <v>115</v>
      </c>
      <c r="GT319">
        <v>75</v>
      </c>
      <c r="GU319">
        <v>146</v>
      </c>
      <c r="GV319">
        <v>30</v>
      </c>
      <c r="GW319">
        <v>152</v>
      </c>
      <c r="GX319">
        <v>349</v>
      </c>
      <c r="GY319">
        <v>43</v>
      </c>
      <c r="GZ319">
        <v>187</v>
      </c>
      <c r="HA319">
        <v>97</v>
      </c>
      <c r="HB319">
        <v>165</v>
      </c>
      <c r="HC319">
        <v>39</v>
      </c>
      <c r="HD319">
        <v>66</v>
      </c>
      <c r="HE319">
        <v>68</v>
      </c>
      <c r="HF319">
        <v>82</v>
      </c>
      <c r="HG319">
        <v>107</v>
      </c>
      <c r="HH319">
        <v>101</v>
      </c>
      <c r="HI319">
        <v>60</v>
      </c>
      <c r="HJ319">
        <v>64</v>
      </c>
      <c r="HK319">
        <v>367</v>
      </c>
      <c r="HL319">
        <v>24</v>
      </c>
      <c r="HM319">
        <v>66</v>
      </c>
      <c r="HN319">
        <v>34</v>
      </c>
      <c r="HO319">
        <v>39</v>
      </c>
      <c r="HP319">
        <v>17</v>
      </c>
      <c r="HQ319">
        <v>41</v>
      </c>
      <c r="HR319">
        <v>102</v>
      </c>
      <c r="HS319">
        <v>32</v>
      </c>
      <c r="HT319">
        <v>29</v>
      </c>
      <c r="HU319">
        <v>163</v>
      </c>
      <c r="HV319">
        <v>138</v>
      </c>
      <c r="HW319">
        <v>425</v>
      </c>
      <c r="HX319">
        <v>106</v>
      </c>
      <c r="HY319">
        <v>30</v>
      </c>
      <c r="HZ319">
        <v>55</v>
      </c>
      <c r="IA319">
        <v>23</v>
      </c>
      <c r="IB319">
        <v>611</v>
      </c>
      <c r="IC319">
        <v>22</v>
      </c>
      <c r="ID319">
        <v>1083</v>
      </c>
      <c r="IE319">
        <v>45</v>
      </c>
      <c r="IF319">
        <v>28</v>
      </c>
      <c r="IG319">
        <v>47</v>
      </c>
      <c r="IH319">
        <v>312</v>
      </c>
      <c r="II319">
        <v>76</v>
      </c>
      <c r="IJ319">
        <v>33</v>
      </c>
      <c r="IK319">
        <v>179</v>
      </c>
      <c r="IL319">
        <v>656</v>
      </c>
      <c r="IM319">
        <v>490</v>
      </c>
      <c r="IN319">
        <v>73</v>
      </c>
      <c r="IO319">
        <v>78</v>
      </c>
      <c r="IP319">
        <v>824</v>
      </c>
      <c r="IQ319">
        <v>65</v>
      </c>
      <c r="IR319">
        <v>139</v>
      </c>
      <c r="IS319">
        <v>92</v>
      </c>
      <c r="IT319">
        <v>69</v>
      </c>
      <c r="IU319">
        <v>133</v>
      </c>
      <c r="IV319">
        <v>73</v>
      </c>
      <c r="IW319">
        <v>211</v>
      </c>
      <c r="IX319">
        <v>229</v>
      </c>
      <c r="IY319">
        <v>21</v>
      </c>
      <c r="IZ319">
        <v>229</v>
      </c>
      <c r="JA319">
        <v>241</v>
      </c>
      <c r="JB319">
        <v>118</v>
      </c>
      <c r="JC319">
        <v>23</v>
      </c>
      <c r="JD319">
        <v>56</v>
      </c>
      <c r="JE319">
        <v>64</v>
      </c>
      <c r="JF319">
        <v>59</v>
      </c>
      <c r="JG319">
        <v>609</v>
      </c>
      <c r="JH319">
        <v>102</v>
      </c>
      <c r="JI319">
        <v>27</v>
      </c>
      <c r="JJ319">
        <v>114</v>
      </c>
      <c r="JK319">
        <v>1597</v>
      </c>
      <c r="JL319">
        <v>2210</v>
      </c>
      <c r="JM319">
        <v>1996</v>
      </c>
      <c r="JN319">
        <v>1485</v>
      </c>
      <c r="JO319">
        <v>2084</v>
      </c>
      <c r="JP319">
        <v>1240</v>
      </c>
      <c r="JQ319">
        <v>1488</v>
      </c>
      <c r="JR319">
        <v>1147</v>
      </c>
      <c r="JS319">
        <v>2409</v>
      </c>
      <c r="JT319">
        <v>1094</v>
      </c>
      <c r="JU319">
        <v>0</v>
      </c>
      <c r="JV319">
        <v>4343</v>
      </c>
      <c r="JW319">
        <v>1305</v>
      </c>
      <c r="JX319">
        <v>1647</v>
      </c>
      <c r="JY319">
        <v>739</v>
      </c>
      <c r="JZ319">
        <v>458</v>
      </c>
      <c r="KA319">
        <v>689</v>
      </c>
      <c r="KB319">
        <v>509</v>
      </c>
      <c r="KC319">
        <v>1294</v>
      </c>
      <c r="KD319">
        <v>904</v>
      </c>
      <c r="KE319">
        <v>1010</v>
      </c>
      <c r="KF319">
        <v>1303</v>
      </c>
      <c r="KG319">
        <v>865</v>
      </c>
      <c r="KH319">
        <v>1786</v>
      </c>
      <c r="KI319">
        <v>1900</v>
      </c>
      <c r="KJ319">
        <v>852</v>
      </c>
      <c r="KK319">
        <v>1073</v>
      </c>
      <c r="KL319">
        <v>480</v>
      </c>
      <c r="KM319">
        <v>251</v>
      </c>
      <c r="KN319">
        <v>371</v>
      </c>
      <c r="KO319">
        <v>308</v>
      </c>
      <c r="KP319">
        <v>553</v>
      </c>
      <c r="KQ319">
        <v>137</v>
      </c>
      <c r="KR319">
        <v>3430</v>
      </c>
      <c r="KS319">
        <v>2093</v>
      </c>
      <c r="KT319">
        <v>192</v>
      </c>
      <c r="KU319">
        <v>1048</v>
      </c>
      <c r="KV319">
        <v>3655</v>
      </c>
      <c r="KW319">
        <v>6720</v>
      </c>
      <c r="KX319">
        <v>4976</v>
      </c>
      <c r="KY319">
        <v>939</v>
      </c>
      <c r="KZ319">
        <v>1498</v>
      </c>
      <c r="LA319">
        <v>1411</v>
      </c>
      <c r="LB319">
        <v>31</v>
      </c>
      <c r="LC319">
        <v>21290</v>
      </c>
      <c r="LD319">
        <v>34451</v>
      </c>
      <c r="LE319">
        <v>20424</v>
      </c>
      <c r="LF319">
        <v>6021</v>
      </c>
      <c r="LG319">
        <v>114</v>
      </c>
      <c r="LH319">
        <v>915</v>
      </c>
      <c r="LI319">
        <v>198</v>
      </c>
      <c r="LJ319">
        <v>3842</v>
      </c>
      <c r="LK319">
        <v>26085</v>
      </c>
      <c r="LL319">
        <v>1136</v>
      </c>
      <c r="LM319">
        <v>70435</v>
      </c>
      <c r="LN319">
        <v>697</v>
      </c>
      <c r="LO319">
        <v>837</v>
      </c>
      <c r="LP319">
        <v>278</v>
      </c>
      <c r="LQ319">
        <v>5116</v>
      </c>
      <c r="LR319">
        <v>1623</v>
      </c>
      <c r="LS319">
        <v>736</v>
      </c>
      <c r="LT319">
        <v>2910</v>
      </c>
      <c r="LU319">
        <v>421</v>
      </c>
      <c r="LV319">
        <v>1228</v>
      </c>
      <c r="LW319">
        <v>2430</v>
      </c>
      <c r="LX319">
        <v>2529</v>
      </c>
      <c r="LY319">
        <v>514</v>
      </c>
      <c r="LZ319">
        <v>2085</v>
      </c>
      <c r="MA319">
        <v>772</v>
      </c>
      <c r="MB319">
        <v>220</v>
      </c>
      <c r="MC319">
        <v>94</v>
      </c>
      <c r="MD319">
        <v>259</v>
      </c>
      <c r="ME319">
        <v>683</v>
      </c>
      <c r="MF319">
        <v>9851</v>
      </c>
      <c r="MG319">
        <v>3664</v>
      </c>
      <c r="MH319">
        <v>878</v>
      </c>
      <c r="MI319">
        <v>400</v>
      </c>
      <c r="MJ319">
        <v>160</v>
      </c>
      <c r="MK319">
        <v>531</v>
      </c>
      <c r="ML319">
        <v>395</v>
      </c>
      <c r="MM319">
        <v>259</v>
      </c>
      <c r="MN319">
        <v>279</v>
      </c>
      <c r="MO319">
        <v>1046</v>
      </c>
      <c r="MP319">
        <v>52</v>
      </c>
      <c r="MQ319">
        <v>261</v>
      </c>
      <c r="MR319">
        <v>845</v>
      </c>
      <c r="MS319">
        <v>2214</v>
      </c>
      <c r="MT319">
        <v>247</v>
      </c>
      <c r="MU319">
        <v>118</v>
      </c>
      <c r="MV319">
        <v>1224</v>
      </c>
      <c r="MW319">
        <v>89</v>
      </c>
      <c r="MX319">
        <v>231</v>
      </c>
      <c r="MY319">
        <v>148</v>
      </c>
      <c r="MZ319">
        <v>4189</v>
      </c>
      <c r="NA319">
        <v>563</v>
      </c>
      <c r="NB319">
        <v>207</v>
      </c>
      <c r="NC319">
        <v>526</v>
      </c>
      <c r="ND319">
        <v>262</v>
      </c>
      <c r="NE319">
        <v>308</v>
      </c>
      <c r="NF319">
        <v>112</v>
      </c>
      <c r="NG319">
        <v>143</v>
      </c>
      <c r="NH319">
        <v>194</v>
      </c>
      <c r="NI319">
        <v>236</v>
      </c>
      <c r="NJ319">
        <v>79</v>
      </c>
      <c r="NK319">
        <v>135</v>
      </c>
      <c r="NL319">
        <v>477</v>
      </c>
      <c r="NM319">
        <v>458</v>
      </c>
      <c r="NN319">
        <v>4314</v>
      </c>
      <c r="NO319">
        <v>1368</v>
      </c>
      <c r="NP319">
        <v>1441</v>
      </c>
      <c r="NQ319">
        <v>486</v>
      </c>
      <c r="NR319">
        <v>331</v>
      </c>
      <c r="NS319">
        <v>61</v>
      </c>
      <c r="NT319">
        <v>181</v>
      </c>
      <c r="NU319">
        <v>78</v>
      </c>
      <c r="NV319">
        <v>353</v>
      </c>
      <c r="NW319">
        <v>2941</v>
      </c>
      <c r="NX319">
        <v>95</v>
      </c>
      <c r="NY319">
        <v>276</v>
      </c>
      <c r="NZ319">
        <v>281</v>
      </c>
      <c r="OA319">
        <v>117</v>
      </c>
      <c r="OB319">
        <v>2049</v>
      </c>
      <c r="OC319">
        <v>0</v>
      </c>
      <c r="OE319">
        <v>2172</v>
      </c>
      <c r="OF319">
        <v>21</v>
      </c>
      <c r="OG319">
        <v>669</v>
      </c>
      <c r="OH319">
        <v>23</v>
      </c>
      <c r="OK319">
        <v>4623</v>
      </c>
      <c r="OL319">
        <v>10</v>
      </c>
      <c r="OM319">
        <v>49</v>
      </c>
      <c r="ON319">
        <v>308</v>
      </c>
      <c r="OO319">
        <v>373110</v>
      </c>
      <c r="OP319">
        <v>236363</v>
      </c>
      <c r="OV319">
        <v>30778</v>
      </c>
      <c r="PI319">
        <v>640251</v>
      </c>
      <c r="PM319" t="str">
        <f>IFERROR(VLOOKUP($A319&amp;"",Key!$A:$C,3,FALSE),"")</f>
        <v>ISIC 64T66</v>
      </c>
    </row>
    <row r="320" spans="1:429" x14ac:dyDescent="0.25">
      <c r="A320">
        <v>523900</v>
      </c>
      <c r="B320" t="s">
        <v>455</v>
      </c>
      <c r="C320">
        <v>4</v>
      </c>
      <c r="D320">
        <v>6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1</v>
      </c>
      <c r="K320">
        <v>3</v>
      </c>
      <c r="L320">
        <v>2</v>
      </c>
      <c r="M320">
        <v>0</v>
      </c>
      <c r="N320">
        <v>0</v>
      </c>
      <c r="O320">
        <v>1</v>
      </c>
      <c r="P320">
        <v>1507</v>
      </c>
      <c r="Q320">
        <v>928</v>
      </c>
      <c r="R320">
        <v>18</v>
      </c>
      <c r="S320">
        <v>88</v>
      </c>
      <c r="T320">
        <v>143</v>
      </c>
      <c r="U320">
        <v>161</v>
      </c>
      <c r="V320">
        <v>335</v>
      </c>
      <c r="W320">
        <v>5596</v>
      </c>
      <c r="X320">
        <v>50</v>
      </c>
      <c r="Y320">
        <v>17</v>
      </c>
      <c r="Z320">
        <v>1</v>
      </c>
      <c r="AA320">
        <v>2</v>
      </c>
      <c r="AB320">
        <v>0</v>
      </c>
      <c r="AC320">
        <v>14</v>
      </c>
      <c r="AD320">
        <v>3</v>
      </c>
      <c r="AE320">
        <v>10</v>
      </c>
      <c r="AF320">
        <v>3</v>
      </c>
      <c r="AG320">
        <v>10</v>
      </c>
      <c r="AH320">
        <v>5</v>
      </c>
      <c r="AI320">
        <v>8</v>
      </c>
      <c r="AJ320">
        <v>1</v>
      </c>
      <c r="AK320">
        <v>12</v>
      </c>
      <c r="AL320">
        <v>8</v>
      </c>
      <c r="AM320">
        <v>3</v>
      </c>
      <c r="AN320">
        <v>1</v>
      </c>
      <c r="AO320">
        <v>1</v>
      </c>
      <c r="AP320">
        <v>1</v>
      </c>
      <c r="AQ320">
        <v>0</v>
      </c>
      <c r="AR320">
        <v>3</v>
      </c>
      <c r="AS320">
        <v>0</v>
      </c>
      <c r="AT320">
        <v>3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4</v>
      </c>
      <c r="BD320">
        <v>1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0</v>
      </c>
      <c r="BN320">
        <v>0</v>
      </c>
      <c r="BO320">
        <v>0</v>
      </c>
      <c r="BP320">
        <v>1</v>
      </c>
      <c r="BQ320">
        <v>2</v>
      </c>
      <c r="BR320">
        <v>2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2</v>
      </c>
      <c r="BY320">
        <v>2</v>
      </c>
      <c r="BZ320">
        <v>1</v>
      </c>
      <c r="CB320">
        <v>1</v>
      </c>
      <c r="CC320">
        <v>0</v>
      </c>
      <c r="CD320">
        <v>0</v>
      </c>
      <c r="CF320">
        <v>1</v>
      </c>
      <c r="CG320">
        <v>1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O320">
        <v>1</v>
      </c>
      <c r="CP320">
        <v>0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Y320">
        <v>0</v>
      </c>
      <c r="CZ320">
        <v>1</v>
      </c>
      <c r="DA320">
        <v>0</v>
      </c>
      <c r="DB320">
        <v>1</v>
      </c>
      <c r="DC320">
        <v>1</v>
      </c>
      <c r="DE320">
        <v>0</v>
      </c>
      <c r="DG320">
        <v>1</v>
      </c>
      <c r="DH320">
        <v>0</v>
      </c>
      <c r="DM320">
        <v>0</v>
      </c>
      <c r="DO320">
        <v>0</v>
      </c>
      <c r="DR320">
        <v>0</v>
      </c>
      <c r="DS320">
        <v>0</v>
      </c>
      <c r="DU320">
        <v>0</v>
      </c>
      <c r="DW320">
        <v>0</v>
      </c>
      <c r="DX320">
        <v>0</v>
      </c>
      <c r="DZ320">
        <v>0</v>
      </c>
      <c r="ED320">
        <v>0</v>
      </c>
      <c r="EM320">
        <v>0</v>
      </c>
      <c r="EN320">
        <v>0</v>
      </c>
      <c r="EP320">
        <v>0</v>
      </c>
      <c r="EQ320">
        <v>0</v>
      </c>
      <c r="ET320">
        <v>1</v>
      </c>
      <c r="EU320">
        <v>0</v>
      </c>
      <c r="EW320">
        <v>1</v>
      </c>
      <c r="EX320">
        <v>1</v>
      </c>
      <c r="EY320">
        <v>1</v>
      </c>
      <c r="EZ320">
        <v>1</v>
      </c>
      <c r="FA320">
        <v>1</v>
      </c>
      <c r="FB320">
        <v>1</v>
      </c>
      <c r="FC320">
        <v>1</v>
      </c>
      <c r="FD320">
        <v>1</v>
      </c>
      <c r="FE320">
        <v>0</v>
      </c>
      <c r="FF320">
        <v>1</v>
      </c>
      <c r="FG320">
        <v>1</v>
      </c>
      <c r="FJ320">
        <v>1</v>
      </c>
      <c r="FK320">
        <v>1</v>
      </c>
      <c r="FL320">
        <v>0</v>
      </c>
      <c r="FM320">
        <v>0</v>
      </c>
      <c r="FP320">
        <v>1</v>
      </c>
      <c r="FQ320">
        <v>1</v>
      </c>
      <c r="FR320">
        <v>0</v>
      </c>
      <c r="FS320">
        <v>0</v>
      </c>
      <c r="FT320">
        <v>0</v>
      </c>
      <c r="FU320">
        <v>0</v>
      </c>
      <c r="FV320">
        <v>2</v>
      </c>
      <c r="FW320">
        <v>0</v>
      </c>
      <c r="FX320">
        <v>1</v>
      </c>
      <c r="FY320">
        <v>1</v>
      </c>
      <c r="FZ320">
        <v>0</v>
      </c>
      <c r="GB320">
        <v>0</v>
      </c>
      <c r="GC320">
        <v>1</v>
      </c>
      <c r="GD320">
        <v>0</v>
      </c>
      <c r="GG320">
        <v>1</v>
      </c>
      <c r="GH320">
        <v>1</v>
      </c>
      <c r="GI320">
        <v>1</v>
      </c>
      <c r="GJ320">
        <v>1</v>
      </c>
      <c r="GK320">
        <v>1</v>
      </c>
      <c r="GL320">
        <v>0</v>
      </c>
      <c r="GM320">
        <v>0</v>
      </c>
      <c r="GO320">
        <v>0</v>
      </c>
      <c r="GP320">
        <v>1</v>
      </c>
      <c r="GQ320">
        <v>1</v>
      </c>
      <c r="GR320">
        <v>1</v>
      </c>
      <c r="GS320">
        <v>0</v>
      </c>
      <c r="GT320">
        <v>0</v>
      </c>
      <c r="GU320">
        <v>2</v>
      </c>
      <c r="GW320">
        <v>2</v>
      </c>
      <c r="GX320">
        <v>2</v>
      </c>
      <c r="GY320">
        <v>0</v>
      </c>
      <c r="GZ320">
        <v>4</v>
      </c>
      <c r="HA320">
        <v>1</v>
      </c>
      <c r="HB320">
        <v>0</v>
      </c>
      <c r="HC320">
        <v>1</v>
      </c>
      <c r="HE320">
        <v>1</v>
      </c>
      <c r="HF320">
        <v>1</v>
      </c>
      <c r="HG320">
        <v>1</v>
      </c>
      <c r="HH320">
        <v>1</v>
      </c>
      <c r="HI320">
        <v>0</v>
      </c>
      <c r="HK320">
        <v>0</v>
      </c>
      <c r="HL320">
        <v>0</v>
      </c>
      <c r="HM320">
        <v>1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1</v>
      </c>
      <c r="HV320">
        <v>1</v>
      </c>
      <c r="HW320">
        <v>4</v>
      </c>
      <c r="HX320">
        <v>1</v>
      </c>
      <c r="HY320">
        <v>0</v>
      </c>
      <c r="HZ320">
        <v>0</v>
      </c>
      <c r="IA320">
        <v>0</v>
      </c>
      <c r="IB320">
        <v>5</v>
      </c>
      <c r="ID320">
        <v>8</v>
      </c>
      <c r="IE320">
        <v>1</v>
      </c>
      <c r="IF320">
        <v>0</v>
      </c>
      <c r="IG320">
        <v>0</v>
      </c>
      <c r="IK320">
        <v>1</v>
      </c>
      <c r="IL320">
        <v>2</v>
      </c>
      <c r="IM320">
        <v>2</v>
      </c>
      <c r="IN320">
        <v>0</v>
      </c>
      <c r="IQ320">
        <v>1</v>
      </c>
      <c r="IS320">
        <v>0</v>
      </c>
      <c r="IU320">
        <v>0</v>
      </c>
      <c r="IV320">
        <v>0</v>
      </c>
      <c r="IW320">
        <v>0</v>
      </c>
      <c r="IZ320">
        <v>0</v>
      </c>
      <c r="JA320">
        <v>3</v>
      </c>
      <c r="JB320">
        <v>1</v>
      </c>
      <c r="JE320">
        <v>1</v>
      </c>
      <c r="JF320">
        <v>0</v>
      </c>
      <c r="JG320">
        <v>9</v>
      </c>
      <c r="JH320">
        <v>1</v>
      </c>
      <c r="JI320">
        <v>0</v>
      </c>
      <c r="JJ320">
        <v>1</v>
      </c>
      <c r="JK320">
        <v>79</v>
      </c>
      <c r="JL320">
        <v>93</v>
      </c>
      <c r="JM320">
        <v>89</v>
      </c>
      <c r="JN320">
        <v>67</v>
      </c>
      <c r="JO320">
        <v>71</v>
      </c>
      <c r="JP320">
        <v>5</v>
      </c>
      <c r="JQ320">
        <v>30</v>
      </c>
      <c r="JR320">
        <v>2</v>
      </c>
      <c r="JS320">
        <v>64</v>
      </c>
      <c r="JT320">
        <v>5</v>
      </c>
      <c r="JV320">
        <v>7</v>
      </c>
      <c r="JW320">
        <v>15</v>
      </c>
      <c r="JX320">
        <v>18</v>
      </c>
      <c r="JY320">
        <v>6</v>
      </c>
      <c r="JZ320">
        <v>7</v>
      </c>
      <c r="KA320">
        <v>14</v>
      </c>
      <c r="KB320">
        <v>6</v>
      </c>
      <c r="KC320">
        <v>15</v>
      </c>
      <c r="KD320">
        <v>9</v>
      </c>
      <c r="KE320">
        <v>149</v>
      </c>
      <c r="KF320">
        <v>200</v>
      </c>
      <c r="KH320">
        <v>43</v>
      </c>
      <c r="KI320">
        <v>57</v>
      </c>
      <c r="KJ320">
        <v>1</v>
      </c>
      <c r="KK320">
        <v>12</v>
      </c>
      <c r="KL320">
        <v>2</v>
      </c>
      <c r="KM320">
        <v>2</v>
      </c>
      <c r="KN320">
        <v>2</v>
      </c>
      <c r="KO320">
        <v>2</v>
      </c>
      <c r="KP320">
        <v>5</v>
      </c>
      <c r="KQ320">
        <v>1</v>
      </c>
      <c r="KR320">
        <v>6</v>
      </c>
      <c r="KS320">
        <v>5</v>
      </c>
      <c r="KT320">
        <v>0</v>
      </c>
      <c r="KV320">
        <v>0</v>
      </c>
      <c r="KW320">
        <v>5</v>
      </c>
      <c r="KX320">
        <v>21</v>
      </c>
      <c r="KY320">
        <v>1</v>
      </c>
      <c r="KZ320">
        <v>12</v>
      </c>
      <c r="LA320">
        <v>3</v>
      </c>
      <c r="LB320">
        <v>0</v>
      </c>
      <c r="LC320">
        <v>12970</v>
      </c>
      <c r="LD320">
        <v>11425</v>
      </c>
      <c r="LE320">
        <v>5275</v>
      </c>
      <c r="LF320">
        <v>3074</v>
      </c>
      <c r="LG320">
        <v>2</v>
      </c>
      <c r="LH320">
        <v>15</v>
      </c>
      <c r="LI320">
        <v>4</v>
      </c>
      <c r="LJ320">
        <v>78077</v>
      </c>
      <c r="LL320">
        <v>2</v>
      </c>
      <c r="LM320">
        <v>945</v>
      </c>
      <c r="LN320">
        <v>11</v>
      </c>
      <c r="LO320">
        <v>7</v>
      </c>
      <c r="LP320">
        <v>2</v>
      </c>
      <c r="LQ320">
        <v>1577</v>
      </c>
      <c r="LR320">
        <v>40</v>
      </c>
      <c r="LS320">
        <v>8</v>
      </c>
      <c r="LT320">
        <v>85</v>
      </c>
      <c r="LU320">
        <v>10</v>
      </c>
      <c r="LV320">
        <v>237</v>
      </c>
      <c r="LW320">
        <v>41</v>
      </c>
      <c r="LX320">
        <v>19</v>
      </c>
      <c r="LY320">
        <v>9</v>
      </c>
      <c r="LZ320">
        <v>187</v>
      </c>
      <c r="MA320">
        <v>13</v>
      </c>
      <c r="MB320">
        <v>3</v>
      </c>
      <c r="MC320">
        <v>1</v>
      </c>
      <c r="MD320">
        <v>2</v>
      </c>
      <c r="ME320">
        <v>14</v>
      </c>
      <c r="MF320">
        <v>292</v>
      </c>
      <c r="MG320">
        <v>41</v>
      </c>
      <c r="MH320">
        <v>9</v>
      </c>
      <c r="MI320">
        <v>8</v>
      </c>
      <c r="MJ320">
        <v>3</v>
      </c>
      <c r="MK320">
        <v>9</v>
      </c>
      <c r="ML320">
        <v>10</v>
      </c>
      <c r="MM320">
        <v>4</v>
      </c>
      <c r="MN320">
        <v>7</v>
      </c>
      <c r="MO320">
        <v>7</v>
      </c>
      <c r="MP320">
        <v>3</v>
      </c>
      <c r="MQ320">
        <v>5</v>
      </c>
      <c r="MR320">
        <v>8</v>
      </c>
      <c r="MS320">
        <v>80</v>
      </c>
      <c r="MT320">
        <v>10</v>
      </c>
      <c r="MU320">
        <v>7</v>
      </c>
      <c r="MV320">
        <v>15</v>
      </c>
      <c r="MW320">
        <v>2</v>
      </c>
      <c r="MX320">
        <v>38</v>
      </c>
      <c r="MY320">
        <v>19</v>
      </c>
      <c r="MZ320">
        <v>5051</v>
      </c>
      <c r="NA320">
        <v>26</v>
      </c>
      <c r="NB320">
        <v>9</v>
      </c>
      <c r="NC320">
        <v>412</v>
      </c>
      <c r="ND320">
        <v>91</v>
      </c>
      <c r="NE320">
        <v>828</v>
      </c>
      <c r="NF320">
        <v>3</v>
      </c>
      <c r="NG320">
        <v>1</v>
      </c>
      <c r="NH320">
        <v>0</v>
      </c>
      <c r="NI320">
        <v>2</v>
      </c>
      <c r="NJ320">
        <v>5</v>
      </c>
      <c r="NK320">
        <v>1</v>
      </c>
      <c r="NL320">
        <v>1</v>
      </c>
      <c r="NM320">
        <v>9</v>
      </c>
      <c r="NN320">
        <v>16</v>
      </c>
      <c r="NO320">
        <v>101</v>
      </c>
      <c r="NP320">
        <v>54</v>
      </c>
      <c r="NQ320">
        <v>8</v>
      </c>
      <c r="NR320">
        <v>3</v>
      </c>
      <c r="NS320">
        <v>2</v>
      </c>
      <c r="NT320">
        <v>4</v>
      </c>
      <c r="NU320">
        <v>1</v>
      </c>
      <c r="NV320">
        <v>12</v>
      </c>
      <c r="NX320">
        <v>3</v>
      </c>
      <c r="NY320">
        <v>4</v>
      </c>
      <c r="NZ320">
        <v>1277</v>
      </c>
      <c r="OA320">
        <v>522</v>
      </c>
      <c r="OB320">
        <v>166</v>
      </c>
      <c r="OD320">
        <v>0</v>
      </c>
      <c r="OE320">
        <v>4</v>
      </c>
      <c r="OF320">
        <v>2</v>
      </c>
      <c r="OI320">
        <v>1</v>
      </c>
      <c r="OJ320">
        <v>0</v>
      </c>
      <c r="OK320">
        <v>17172</v>
      </c>
      <c r="ON320">
        <v>2173</v>
      </c>
      <c r="OO320">
        <v>152813</v>
      </c>
      <c r="OP320">
        <v>177895</v>
      </c>
      <c r="OV320">
        <v>58535</v>
      </c>
      <c r="PI320">
        <v>389244</v>
      </c>
      <c r="PM320" t="str">
        <f>IFERROR(VLOOKUP($A320&amp;"",Key!$A:$C,3,FALSE),"")</f>
        <v>ISIC 64T66</v>
      </c>
    </row>
    <row r="321" spans="1:429" x14ac:dyDescent="0.25">
      <c r="A321" t="s">
        <v>607</v>
      </c>
      <c r="B321" t="s">
        <v>456</v>
      </c>
      <c r="C321">
        <v>0</v>
      </c>
      <c r="D321">
        <v>37</v>
      </c>
      <c r="E321">
        <v>4</v>
      </c>
      <c r="F321">
        <v>4</v>
      </c>
      <c r="H321">
        <v>20</v>
      </c>
      <c r="I321">
        <v>4</v>
      </c>
      <c r="J321">
        <v>137</v>
      </c>
      <c r="K321">
        <v>3</v>
      </c>
      <c r="L321">
        <v>1</v>
      </c>
      <c r="M321">
        <v>0</v>
      </c>
      <c r="N321">
        <v>6</v>
      </c>
      <c r="O321">
        <v>7</v>
      </c>
      <c r="P321">
        <v>24</v>
      </c>
      <c r="Q321">
        <v>15</v>
      </c>
      <c r="R321">
        <v>1</v>
      </c>
      <c r="S321">
        <v>1</v>
      </c>
      <c r="T321">
        <v>1</v>
      </c>
      <c r="U321">
        <v>2</v>
      </c>
      <c r="V321">
        <v>12</v>
      </c>
      <c r="W321">
        <v>26</v>
      </c>
      <c r="X321">
        <v>432</v>
      </c>
      <c r="Y321">
        <v>123</v>
      </c>
      <c r="Z321">
        <v>4</v>
      </c>
      <c r="AA321">
        <v>17</v>
      </c>
      <c r="AB321">
        <v>2</v>
      </c>
      <c r="AC321">
        <v>125</v>
      </c>
      <c r="AD321">
        <v>67</v>
      </c>
      <c r="AE321">
        <v>130</v>
      </c>
      <c r="AF321">
        <v>20</v>
      </c>
      <c r="AG321">
        <v>220</v>
      </c>
      <c r="AH321">
        <v>18</v>
      </c>
      <c r="AI321">
        <v>66</v>
      </c>
      <c r="AJ321">
        <v>14</v>
      </c>
      <c r="AK321">
        <v>304</v>
      </c>
      <c r="AL321">
        <v>101</v>
      </c>
      <c r="AM321">
        <v>1</v>
      </c>
      <c r="AN321">
        <v>0</v>
      </c>
      <c r="AO321">
        <v>0</v>
      </c>
      <c r="AP321">
        <v>7</v>
      </c>
      <c r="AQ321">
        <v>0</v>
      </c>
      <c r="AR321">
        <v>9</v>
      </c>
      <c r="AS321">
        <v>1</v>
      </c>
      <c r="AT321">
        <v>12</v>
      </c>
      <c r="AU321">
        <v>0</v>
      </c>
      <c r="AV321">
        <v>5</v>
      </c>
      <c r="AW321">
        <v>2</v>
      </c>
      <c r="AX321">
        <v>1</v>
      </c>
      <c r="AY321">
        <v>1</v>
      </c>
      <c r="AZ321">
        <v>0</v>
      </c>
      <c r="BA321">
        <v>2</v>
      </c>
      <c r="BB321">
        <v>1</v>
      </c>
      <c r="BC321">
        <v>384</v>
      </c>
      <c r="BD321">
        <v>117</v>
      </c>
      <c r="BE321">
        <v>27</v>
      </c>
      <c r="BF321">
        <v>17</v>
      </c>
      <c r="BG321">
        <v>129</v>
      </c>
      <c r="BH321">
        <v>20</v>
      </c>
      <c r="BI321">
        <v>46</v>
      </c>
      <c r="BJ321">
        <v>77</v>
      </c>
      <c r="BK321">
        <v>100</v>
      </c>
      <c r="BL321">
        <v>117</v>
      </c>
      <c r="BM321">
        <v>21</v>
      </c>
      <c r="BN321">
        <v>37</v>
      </c>
      <c r="BO321">
        <v>32</v>
      </c>
      <c r="BP321">
        <v>60</v>
      </c>
      <c r="BQ321">
        <v>251</v>
      </c>
      <c r="BR321">
        <v>190</v>
      </c>
      <c r="BS321">
        <v>38</v>
      </c>
      <c r="BT321">
        <v>45</v>
      </c>
      <c r="BU321">
        <v>35</v>
      </c>
      <c r="BV321">
        <v>44</v>
      </c>
      <c r="BW321">
        <v>57</v>
      </c>
      <c r="BX321">
        <v>172</v>
      </c>
      <c r="BY321">
        <v>193</v>
      </c>
      <c r="BZ321">
        <v>104</v>
      </c>
      <c r="CA321">
        <v>7</v>
      </c>
      <c r="CB321">
        <v>135</v>
      </c>
      <c r="CC321">
        <v>14</v>
      </c>
      <c r="CD321">
        <v>28</v>
      </c>
      <c r="CE321">
        <v>24</v>
      </c>
      <c r="CF321">
        <v>61</v>
      </c>
      <c r="CG321">
        <v>96</v>
      </c>
      <c r="CH321">
        <v>48</v>
      </c>
      <c r="CI321">
        <v>45</v>
      </c>
      <c r="CJ321">
        <v>44</v>
      </c>
      <c r="CK321">
        <v>40</v>
      </c>
      <c r="CL321">
        <v>150</v>
      </c>
      <c r="CM321">
        <v>20</v>
      </c>
      <c r="CN321">
        <v>3</v>
      </c>
      <c r="CO321">
        <v>126</v>
      </c>
      <c r="CP321">
        <v>28</v>
      </c>
      <c r="CQ321">
        <v>90</v>
      </c>
      <c r="CR321">
        <v>19</v>
      </c>
      <c r="CS321">
        <v>26</v>
      </c>
      <c r="CT321">
        <v>35</v>
      </c>
      <c r="CU321">
        <v>41</v>
      </c>
      <c r="CV321">
        <v>39</v>
      </c>
      <c r="CW321">
        <v>34</v>
      </c>
      <c r="CX321">
        <v>5</v>
      </c>
      <c r="CY321">
        <v>16</v>
      </c>
      <c r="CZ321">
        <v>128</v>
      </c>
      <c r="DA321">
        <v>36</v>
      </c>
      <c r="DB321">
        <v>90</v>
      </c>
      <c r="DC321">
        <v>105</v>
      </c>
      <c r="DD321">
        <v>4</v>
      </c>
      <c r="DE321">
        <v>31</v>
      </c>
      <c r="DF321">
        <v>9</v>
      </c>
      <c r="DG321">
        <v>88</v>
      </c>
      <c r="DH321">
        <v>38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7</v>
      </c>
      <c r="DR321">
        <v>55</v>
      </c>
      <c r="DS321">
        <v>4</v>
      </c>
      <c r="DU321">
        <v>5</v>
      </c>
      <c r="DV321">
        <v>2</v>
      </c>
      <c r="DW321">
        <v>10</v>
      </c>
      <c r="DX321">
        <v>15</v>
      </c>
      <c r="DY321">
        <v>13</v>
      </c>
      <c r="DZ321">
        <v>17</v>
      </c>
      <c r="EA321">
        <v>1</v>
      </c>
      <c r="EB321">
        <v>0</v>
      </c>
      <c r="EC321">
        <v>5</v>
      </c>
      <c r="ED321">
        <v>54</v>
      </c>
      <c r="EE321">
        <v>6</v>
      </c>
      <c r="EF321">
        <v>13</v>
      </c>
      <c r="EG321">
        <v>7</v>
      </c>
      <c r="EH321">
        <v>5</v>
      </c>
      <c r="EI321">
        <v>23</v>
      </c>
      <c r="EJ321">
        <v>6</v>
      </c>
      <c r="EK321">
        <v>17</v>
      </c>
      <c r="EL321">
        <v>3</v>
      </c>
      <c r="EM321">
        <v>26</v>
      </c>
      <c r="EN321">
        <v>42</v>
      </c>
      <c r="EO321">
        <v>4</v>
      </c>
      <c r="EP321">
        <v>50</v>
      </c>
      <c r="EQ321">
        <v>21</v>
      </c>
      <c r="ER321">
        <v>68</v>
      </c>
      <c r="ES321">
        <v>49</v>
      </c>
      <c r="ET321">
        <v>75</v>
      </c>
      <c r="EU321">
        <v>68</v>
      </c>
      <c r="EV321">
        <v>1</v>
      </c>
      <c r="EW321">
        <v>89</v>
      </c>
      <c r="EX321">
        <v>65</v>
      </c>
      <c r="EY321">
        <v>113</v>
      </c>
      <c r="EZ321">
        <v>160</v>
      </c>
      <c r="FA321">
        <v>183</v>
      </c>
      <c r="FB321">
        <v>79</v>
      </c>
      <c r="FC321">
        <v>144</v>
      </c>
      <c r="FD321">
        <v>120</v>
      </c>
      <c r="FE321">
        <v>71</v>
      </c>
      <c r="FF321">
        <v>96</v>
      </c>
      <c r="FG321">
        <v>99</v>
      </c>
      <c r="FH321">
        <v>3</v>
      </c>
      <c r="FI321">
        <v>30</v>
      </c>
      <c r="FJ321">
        <v>124</v>
      </c>
      <c r="FK321">
        <v>75</v>
      </c>
      <c r="FL321">
        <v>41</v>
      </c>
      <c r="FM321">
        <v>22</v>
      </c>
      <c r="FO321">
        <v>6</v>
      </c>
      <c r="FP321">
        <v>71</v>
      </c>
      <c r="FQ321">
        <v>79</v>
      </c>
      <c r="FR321">
        <v>19</v>
      </c>
      <c r="FS321">
        <v>43</v>
      </c>
      <c r="FT321">
        <v>38</v>
      </c>
      <c r="FU321">
        <v>31</v>
      </c>
      <c r="FV321">
        <v>240</v>
      </c>
      <c r="FW321">
        <v>34</v>
      </c>
      <c r="FX321">
        <v>114</v>
      </c>
      <c r="FY321">
        <v>159</v>
      </c>
      <c r="FZ321">
        <v>22</v>
      </c>
      <c r="GA321">
        <v>30</v>
      </c>
      <c r="GB321">
        <v>26</v>
      </c>
      <c r="GC321">
        <v>55</v>
      </c>
      <c r="GD321">
        <v>48</v>
      </c>
      <c r="GE321">
        <v>3</v>
      </c>
      <c r="GF321">
        <v>13</v>
      </c>
      <c r="GG321">
        <v>63</v>
      </c>
      <c r="GH321">
        <v>162</v>
      </c>
      <c r="GI321">
        <v>1</v>
      </c>
      <c r="GJ321">
        <v>1</v>
      </c>
      <c r="GK321">
        <v>1</v>
      </c>
      <c r="GL321">
        <v>1</v>
      </c>
      <c r="GO321">
        <v>0</v>
      </c>
      <c r="GP321">
        <v>2</v>
      </c>
      <c r="GQ321">
        <v>1</v>
      </c>
      <c r="GR321">
        <v>1</v>
      </c>
      <c r="GS321">
        <v>1</v>
      </c>
      <c r="GT321">
        <v>2</v>
      </c>
      <c r="GU321">
        <v>7</v>
      </c>
      <c r="GV321">
        <v>1</v>
      </c>
      <c r="GW321">
        <v>9</v>
      </c>
      <c r="GX321">
        <v>4</v>
      </c>
      <c r="GY321">
        <v>1</v>
      </c>
      <c r="GZ321">
        <v>18</v>
      </c>
      <c r="HA321">
        <v>2</v>
      </c>
      <c r="HB321">
        <v>0</v>
      </c>
      <c r="HC321">
        <v>0</v>
      </c>
      <c r="HE321">
        <v>1</v>
      </c>
      <c r="HF321">
        <v>2</v>
      </c>
      <c r="HG321">
        <v>4</v>
      </c>
      <c r="HH321">
        <v>2</v>
      </c>
      <c r="HI321">
        <v>1</v>
      </c>
      <c r="HK321">
        <v>0</v>
      </c>
      <c r="HL321">
        <v>0</v>
      </c>
      <c r="HM321">
        <v>1</v>
      </c>
      <c r="HN321">
        <v>0</v>
      </c>
      <c r="HO321">
        <v>0</v>
      </c>
      <c r="HQ321">
        <v>1</v>
      </c>
      <c r="HR321">
        <v>0</v>
      </c>
      <c r="HS321">
        <v>0</v>
      </c>
      <c r="HU321">
        <v>0</v>
      </c>
      <c r="HV321">
        <v>1</v>
      </c>
      <c r="HW321">
        <v>2</v>
      </c>
      <c r="HX321">
        <v>0</v>
      </c>
      <c r="HY321">
        <v>0</v>
      </c>
      <c r="HZ321">
        <v>0</v>
      </c>
      <c r="IB321">
        <v>18</v>
      </c>
      <c r="ID321">
        <v>6</v>
      </c>
      <c r="IE321">
        <v>5</v>
      </c>
      <c r="IF321">
        <v>2</v>
      </c>
      <c r="IG321">
        <v>1</v>
      </c>
      <c r="IK321">
        <v>2</v>
      </c>
      <c r="IL321">
        <v>1</v>
      </c>
      <c r="IM321">
        <v>7</v>
      </c>
      <c r="IQ321">
        <v>1</v>
      </c>
      <c r="IS321">
        <v>1</v>
      </c>
      <c r="IT321">
        <v>0</v>
      </c>
      <c r="IU321">
        <v>1</v>
      </c>
      <c r="IV321">
        <v>1</v>
      </c>
      <c r="IZ321">
        <v>1</v>
      </c>
      <c r="JA321">
        <v>11</v>
      </c>
      <c r="JB321">
        <v>3</v>
      </c>
      <c r="JC321">
        <v>1</v>
      </c>
      <c r="JD321">
        <v>0</v>
      </c>
      <c r="JE321">
        <v>3</v>
      </c>
      <c r="JF321">
        <v>0</v>
      </c>
      <c r="JG321">
        <v>21</v>
      </c>
      <c r="JH321">
        <v>1</v>
      </c>
      <c r="JI321">
        <v>1</v>
      </c>
      <c r="JJ321">
        <v>2</v>
      </c>
      <c r="JK321">
        <v>429</v>
      </c>
      <c r="JL321">
        <v>244</v>
      </c>
      <c r="JM321">
        <v>394</v>
      </c>
      <c r="JN321">
        <v>52</v>
      </c>
      <c r="JO321">
        <v>286</v>
      </c>
      <c r="JP321">
        <v>12</v>
      </c>
      <c r="JQ321">
        <v>255</v>
      </c>
      <c r="JR321">
        <v>4</v>
      </c>
      <c r="JS321">
        <v>366</v>
      </c>
      <c r="JT321">
        <v>8</v>
      </c>
      <c r="JV321">
        <v>78</v>
      </c>
      <c r="JW321">
        <v>183</v>
      </c>
      <c r="JX321">
        <v>418</v>
      </c>
      <c r="JY321">
        <v>42</v>
      </c>
      <c r="JZ321">
        <v>64</v>
      </c>
      <c r="KA321">
        <v>139</v>
      </c>
      <c r="KB321">
        <v>90</v>
      </c>
      <c r="KC321">
        <v>68</v>
      </c>
      <c r="KD321">
        <v>89</v>
      </c>
      <c r="KE321">
        <v>1414</v>
      </c>
      <c r="KF321">
        <v>141</v>
      </c>
      <c r="KG321">
        <v>733</v>
      </c>
      <c r="KH321">
        <v>265</v>
      </c>
      <c r="KI321">
        <v>1469</v>
      </c>
      <c r="KJ321">
        <v>39</v>
      </c>
      <c r="KK321">
        <v>1107</v>
      </c>
      <c r="KL321">
        <v>11</v>
      </c>
      <c r="KM321">
        <v>23</v>
      </c>
      <c r="KN321">
        <v>15</v>
      </c>
      <c r="KO321">
        <v>18</v>
      </c>
      <c r="KP321">
        <v>199</v>
      </c>
      <c r="KQ321">
        <v>6</v>
      </c>
      <c r="KR321">
        <v>58</v>
      </c>
      <c r="KS321">
        <v>26</v>
      </c>
      <c r="KT321">
        <v>209</v>
      </c>
      <c r="KU321">
        <v>0</v>
      </c>
      <c r="KV321">
        <v>55</v>
      </c>
      <c r="KW321">
        <v>24</v>
      </c>
      <c r="KX321">
        <v>67</v>
      </c>
      <c r="KY321">
        <v>2</v>
      </c>
      <c r="KZ321">
        <v>69</v>
      </c>
      <c r="LA321">
        <v>10</v>
      </c>
      <c r="LB321">
        <v>0</v>
      </c>
      <c r="LC321">
        <v>4212</v>
      </c>
      <c r="LD321">
        <v>8139</v>
      </c>
      <c r="LE321">
        <v>13850</v>
      </c>
      <c r="LF321">
        <v>4842</v>
      </c>
      <c r="LG321">
        <v>2510</v>
      </c>
      <c r="LI321">
        <v>18</v>
      </c>
      <c r="LJ321">
        <v>18628</v>
      </c>
      <c r="LK321">
        <v>1</v>
      </c>
      <c r="LL321">
        <v>0</v>
      </c>
      <c r="LM321">
        <v>5071</v>
      </c>
      <c r="LN321">
        <v>73</v>
      </c>
      <c r="LO321">
        <v>119</v>
      </c>
      <c r="LP321">
        <v>8</v>
      </c>
      <c r="LQ321">
        <v>75</v>
      </c>
      <c r="LR321">
        <v>466</v>
      </c>
      <c r="LS321">
        <v>91</v>
      </c>
      <c r="LT321">
        <v>144</v>
      </c>
      <c r="LU321">
        <v>117</v>
      </c>
      <c r="LV321">
        <v>380</v>
      </c>
      <c r="LW321">
        <v>125</v>
      </c>
      <c r="LX321">
        <v>337</v>
      </c>
      <c r="LY321">
        <v>83</v>
      </c>
      <c r="LZ321">
        <v>28</v>
      </c>
      <c r="MA321">
        <v>118</v>
      </c>
      <c r="MB321">
        <v>8</v>
      </c>
      <c r="MC321">
        <v>4</v>
      </c>
      <c r="MD321">
        <v>7</v>
      </c>
      <c r="ME321">
        <v>202</v>
      </c>
      <c r="MF321">
        <v>6764</v>
      </c>
      <c r="MG321">
        <v>91</v>
      </c>
      <c r="MH321">
        <v>143</v>
      </c>
      <c r="MI321">
        <v>171</v>
      </c>
      <c r="MJ321">
        <v>30</v>
      </c>
      <c r="MK321">
        <v>80</v>
      </c>
      <c r="ML321">
        <v>155</v>
      </c>
      <c r="MM321">
        <v>36</v>
      </c>
      <c r="MN321">
        <v>94</v>
      </c>
      <c r="MO321">
        <v>23</v>
      </c>
      <c r="MP321">
        <v>21</v>
      </c>
      <c r="MQ321">
        <v>825</v>
      </c>
      <c r="MR321">
        <v>125</v>
      </c>
      <c r="MS321">
        <v>398</v>
      </c>
      <c r="MT321">
        <v>94</v>
      </c>
      <c r="MU321">
        <v>60</v>
      </c>
      <c r="MV321">
        <v>154</v>
      </c>
      <c r="MW321">
        <v>24</v>
      </c>
      <c r="MX321">
        <v>69</v>
      </c>
      <c r="MY321">
        <v>47</v>
      </c>
      <c r="MZ321">
        <v>883</v>
      </c>
      <c r="NA321">
        <v>195</v>
      </c>
      <c r="NB321">
        <v>31</v>
      </c>
      <c r="NC321">
        <v>148</v>
      </c>
      <c r="ND321">
        <v>3</v>
      </c>
      <c r="NE321">
        <v>17</v>
      </c>
      <c r="NF321">
        <v>1</v>
      </c>
      <c r="NG321">
        <v>9</v>
      </c>
      <c r="NI321">
        <v>687</v>
      </c>
      <c r="NK321">
        <v>5</v>
      </c>
      <c r="NL321">
        <v>21</v>
      </c>
      <c r="NM321">
        <v>26</v>
      </c>
      <c r="NN321">
        <v>3526</v>
      </c>
      <c r="NO321">
        <v>403</v>
      </c>
      <c r="NP321">
        <v>383</v>
      </c>
      <c r="NQ321">
        <v>2980</v>
      </c>
      <c r="NR321">
        <v>14</v>
      </c>
      <c r="NS321">
        <v>4</v>
      </c>
      <c r="NT321">
        <v>20</v>
      </c>
      <c r="NU321">
        <v>3</v>
      </c>
      <c r="NV321">
        <v>4</v>
      </c>
      <c r="NW321">
        <v>0</v>
      </c>
      <c r="NX321">
        <v>10</v>
      </c>
      <c r="NY321">
        <v>15</v>
      </c>
      <c r="NZ321">
        <v>1501</v>
      </c>
      <c r="OA321">
        <v>19</v>
      </c>
      <c r="OB321">
        <v>342</v>
      </c>
      <c r="OD321">
        <v>0</v>
      </c>
      <c r="OE321">
        <v>0</v>
      </c>
      <c r="OF321">
        <v>1</v>
      </c>
      <c r="OG321">
        <v>10</v>
      </c>
      <c r="OH321">
        <v>0</v>
      </c>
      <c r="OI321">
        <v>2347</v>
      </c>
      <c r="OK321">
        <v>486</v>
      </c>
      <c r="OL321">
        <v>4</v>
      </c>
      <c r="ON321">
        <v>162</v>
      </c>
      <c r="OO321">
        <v>102108</v>
      </c>
      <c r="OP321">
        <v>47331</v>
      </c>
      <c r="OV321">
        <v>13343</v>
      </c>
      <c r="PI321">
        <v>162782</v>
      </c>
      <c r="PM321" t="str">
        <f>IFERROR(VLOOKUP($A321&amp;"",Key!$A:$C,3,FALSE),"")</f>
        <v>ISIC 64T66</v>
      </c>
    </row>
    <row r="322" spans="1:429" x14ac:dyDescent="0.25">
      <c r="A322">
        <v>524113</v>
      </c>
      <c r="B322" t="s">
        <v>457</v>
      </c>
      <c r="OP322">
        <v>90314</v>
      </c>
      <c r="PI322">
        <v>90314</v>
      </c>
      <c r="PM322" t="str">
        <f>IFERROR(VLOOKUP($A322&amp;"",Key!$A:$C,3,FALSE),"")</f>
        <v>ISIC 64T66</v>
      </c>
    </row>
    <row r="323" spans="1:429" x14ac:dyDescent="0.25">
      <c r="A323" t="s">
        <v>608</v>
      </c>
      <c r="B323" t="s">
        <v>458</v>
      </c>
      <c r="C323">
        <v>183</v>
      </c>
      <c r="D323">
        <v>278</v>
      </c>
      <c r="E323">
        <v>275</v>
      </c>
      <c r="F323">
        <v>441</v>
      </c>
      <c r="G323">
        <v>297</v>
      </c>
      <c r="H323">
        <v>1022</v>
      </c>
      <c r="I323">
        <v>314</v>
      </c>
      <c r="J323">
        <v>62</v>
      </c>
      <c r="K323">
        <v>247</v>
      </c>
      <c r="L323">
        <v>264</v>
      </c>
      <c r="M323">
        <v>0</v>
      </c>
      <c r="N323">
        <v>445</v>
      </c>
      <c r="O323">
        <v>135</v>
      </c>
      <c r="P323">
        <v>1698</v>
      </c>
      <c r="Q323">
        <v>27</v>
      </c>
      <c r="R323">
        <v>49</v>
      </c>
      <c r="S323">
        <v>30</v>
      </c>
      <c r="T323">
        <v>11</v>
      </c>
      <c r="U323">
        <v>227</v>
      </c>
      <c r="V323">
        <v>824</v>
      </c>
      <c r="W323">
        <v>2322</v>
      </c>
      <c r="X323">
        <v>732</v>
      </c>
      <c r="Y323">
        <v>74</v>
      </c>
      <c r="Z323">
        <v>53</v>
      </c>
      <c r="AA323">
        <v>1</v>
      </c>
      <c r="AB323">
        <v>19</v>
      </c>
      <c r="AC323">
        <v>289</v>
      </c>
      <c r="AD323">
        <v>13</v>
      </c>
      <c r="AE323">
        <v>13</v>
      </c>
      <c r="AF323">
        <v>8</v>
      </c>
      <c r="AG323">
        <v>18</v>
      </c>
      <c r="AH323">
        <v>6</v>
      </c>
      <c r="AI323">
        <v>3</v>
      </c>
      <c r="AJ323">
        <v>5</v>
      </c>
      <c r="AK323">
        <v>18</v>
      </c>
      <c r="AL323">
        <v>10</v>
      </c>
      <c r="AM323">
        <v>2</v>
      </c>
      <c r="AN323">
        <v>4</v>
      </c>
      <c r="AO323">
        <v>1</v>
      </c>
      <c r="AP323">
        <v>20</v>
      </c>
      <c r="AQ323">
        <v>53</v>
      </c>
      <c r="AR323">
        <v>67</v>
      </c>
      <c r="AS323">
        <v>22</v>
      </c>
      <c r="AT323">
        <v>50</v>
      </c>
      <c r="AU323">
        <v>6</v>
      </c>
      <c r="AV323">
        <v>15</v>
      </c>
      <c r="AW323">
        <v>17</v>
      </c>
      <c r="AX323">
        <v>13</v>
      </c>
      <c r="AY323">
        <v>15</v>
      </c>
      <c r="AZ323">
        <v>4</v>
      </c>
      <c r="BA323">
        <v>18</v>
      </c>
      <c r="BB323">
        <v>21</v>
      </c>
      <c r="BC323">
        <v>12</v>
      </c>
      <c r="BD323">
        <v>25</v>
      </c>
      <c r="BE323">
        <v>10</v>
      </c>
      <c r="BF323">
        <v>22</v>
      </c>
      <c r="BG323">
        <v>23</v>
      </c>
      <c r="BH323">
        <v>16</v>
      </c>
      <c r="BI323">
        <v>3</v>
      </c>
      <c r="BJ323">
        <v>15</v>
      </c>
      <c r="BK323">
        <v>2</v>
      </c>
      <c r="BL323">
        <v>42</v>
      </c>
      <c r="BM323">
        <v>6</v>
      </c>
      <c r="BN323">
        <v>9</v>
      </c>
      <c r="BO323">
        <v>13</v>
      </c>
      <c r="BP323">
        <v>12</v>
      </c>
      <c r="BQ323">
        <v>4</v>
      </c>
      <c r="BR323">
        <v>9</v>
      </c>
      <c r="BS323">
        <v>18</v>
      </c>
      <c r="BT323">
        <v>11</v>
      </c>
      <c r="BU323">
        <v>15</v>
      </c>
      <c r="BV323">
        <v>8</v>
      </c>
      <c r="BW323">
        <v>13</v>
      </c>
      <c r="BX323">
        <v>10</v>
      </c>
      <c r="BY323">
        <v>33</v>
      </c>
      <c r="BZ323">
        <v>10</v>
      </c>
      <c r="CA323">
        <v>1</v>
      </c>
      <c r="CB323">
        <v>14</v>
      </c>
      <c r="CC323">
        <v>5</v>
      </c>
      <c r="CD323">
        <v>8</v>
      </c>
      <c r="CE323">
        <v>61</v>
      </c>
      <c r="CF323">
        <v>16</v>
      </c>
      <c r="CG323">
        <v>18</v>
      </c>
      <c r="CH323">
        <v>4</v>
      </c>
      <c r="CI323">
        <v>30</v>
      </c>
      <c r="CJ323">
        <v>7</v>
      </c>
      <c r="CK323">
        <v>3</v>
      </c>
      <c r="CL323">
        <v>13</v>
      </c>
      <c r="CM323">
        <v>14</v>
      </c>
      <c r="CN323">
        <v>7</v>
      </c>
      <c r="CO323">
        <v>21</v>
      </c>
      <c r="CP323">
        <v>2</v>
      </c>
      <c r="CQ323">
        <v>12</v>
      </c>
      <c r="CR323">
        <v>13</v>
      </c>
      <c r="CS323">
        <v>2</v>
      </c>
      <c r="CT323">
        <v>2</v>
      </c>
      <c r="CU323">
        <v>21</v>
      </c>
      <c r="CV323">
        <v>27</v>
      </c>
      <c r="CW323">
        <v>28</v>
      </c>
      <c r="CX323">
        <v>15</v>
      </c>
      <c r="CY323">
        <v>12</v>
      </c>
      <c r="CZ323">
        <v>44</v>
      </c>
      <c r="DA323">
        <v>18</v>
      </c>
      <c r="DB323">
        <v>37</v>
      </c>
      <c r="DC323">
        <v>11</v>
      </c>
      <c r="DD323">
        <v>21</v>
      </c>
      <c r="DE323">
        <v>15</v>
      </c>
      <c r="DF323">
        <v>15</v>
      </c>
      <c r="DG323">
        <v>15</v>
      </c>
      <c r="DH323">
        <v>9</v>
      </c>
      <c r="DI323">
        <v>0</v>
      </c>
      <c r="DK323">
        <v>2</v>
      </c>
      <c r="DL323">
        <v>0</v>
      </c>
      <c r="DM323">
        <v>0</v>
      </c>
      <c r="DN323">
        <v>0</v>
      </c>
      <c r="DO323">
        <v>1</v>
      </c>
      <c r="DP323">
        <v>4</v>
      </c>
      <c r="DQ323">
        <v>18</v>
      </c>
      <c r="DR323">
        <v>19</v>
      </c>
      <c r="DS323">
        <v>0</v>
      </c>
      <c r="DT323">
        <v>1</v>
      </c>
      <c r="DU323">
        <v>4</v>
      </c>
      <c r="DV323">
        <v>7</v>
      </c>
      <c r="DW323">
        <v>0</v>
      </c>
      <c r="DX323">
        <v>7</v>
      </c>
      <c r="DY323">
        <v>8</v>
      </c>
      <c r="DZ323">
        <v>12</v>
      </c>
      <c r="EA323">
        <v>31</v>
      </c>
      <c r="EB323">
        <v>1</v>
      </c>
      <c r="EC323">
        <v>5</v>
      </c>
      <c r="ED323">
        <v>16</v>
      </c>
      <c r="EE323">
        <v>13</v>
      </c>
      <c r="EF323">
        <v>49</v>
      </c>
      <c r="EG323">
        <v>12</v>
      </c>
      <c r="EH323">
        <v>9</v>
      </c>
      <c r="EI323">
        <v>67</v>
      </c>
      <c r="EJ323">
        <v>24</v>
      </c>
      <c r="EK323">
        <v>8</v>
      </c>
      <c r="EL323">
        <v>1</v>
      </c>
      <c r="EM323">
        <v>32</v>
      </c>
      <c r="EN323">
        <v>22</v>
      </c>
      <c r="EO323">
        <v>6</v>
      </c>
      <c r="EP323">
        <v>12</v>
      </c>
      <c r="EQ323">
        <v>51</v>
      </c>
      <c r="ER323">
        <v>168</v>
      </c>
      <c r="ES323">
        <v>38</v>
      </c>
      <c r="ET323">
        <v>28</v>
      </c>
      <c r="EU323">
        <v>29</v>
      </c>
      <c r="EV323">
        <v>0</v>
      </c>
      <c r="EW323">
        <v>20</v>
      </c>
      <c r="EX323">
        <v>46</v>
      </c>
      <c r="EY323">
        <v>13</v>
      </c>
      <c r="EZ323">
        <v>42</v>
      </c>
      <c r="FA323">
        <v>62</v>
      </c>
      <c r="FB323">
        <v>27</v>
      </c>
      <c r="FC323">
        <v>35</v>
      </c>
      <c r="FD323">
        <v>72</v>
      </c>
      <c r="FE323">
        <v>8</v>
      </c>
      <c r="FF323">
        <v>19</v>
      </c>
      <c r="FG323">
        <v>43</v>
      </c>
      <c r="FH323">
        <v>53</v>
      </c>
      <c r="FI323">
        <v>116</v>
      </c>
      <c r="FJ323">
        <v>21</v>
      </c>
      <c r="FK323">
        <v>282</v>
      </c>
      <c r="FL323">
        <v>442</v>
      </c>
      <c r="FM323">
        <v>1</v>
      </c>
      <c r="FO323">
        <v>11</v>
      </c>
      <c r="FP323">
        <v>2</v>
      </c>
      <c r="FQ323">
        <v>21</v>
      </c>
      <c r="FR323">
        <v>11</v>
      </c>
      <c r="FS323">
        <v>15</v>
      </c>
      <c r="FT323">
        <v>18</v>
      </c>
      <c r="FU323">
        <v>1</v>
      </c>
      <c r="FV323">
        <v>55</v>
      </c>
      <c r="FW323">
        <v>20</v>
      </c>
      <c r="FX323">
        <v>9</v>
      </c>
      <c r="FY323">
        <v>12</v>
      </c>
      <c r="FZ323">
        <v>2</v>
      </c>
      <c r="GA323">
        <v>54</v>
      </c>
      <c r="GB323">
        <v>12</v>
      </c>
      <c r="GC323">
        <v>25</v>
      </c>
      <c r="GD323">
        <v>7</v>
      </c>
      <c r="GE323">
        <v>1</v>
      </c>
      <c r="GF323">
        <v>10</v>
      </c>
      <c r="GG323">
        <v>4</v>
      </c>
      <c r="GH323">
        <v>48</v>
      </c>
      <c r="GI323">
        <v>41</v>
      </c>
      <c r="GJ323">
        <v>17</v>
      </c>
      <c r="GK323">
        <v>19</v>
      </c>
      <c r="GL323">
        <v>6</v>
      </c>
      <c r="GM323">
        <v>10</v>
      </c>
      <c r="GO323">
        <v>12</v>
      </c>
      <c r="GP323">
        <v>214</v>
      </c>
      <c r="GQ323">
        <v>16</v>
      </c>
      <c r="GR323">
        <v>29</v>
      </c>
      <c r="GS323">
        <v>8</v>
      </c>
      <c r="GT323">
        <v>25</v>
      </c>
      <c r="GU323">
        <v>26</v>
      </c>
      <c r="GV323">
        <v>23</v>
      </c>
      <c r="GW323">
        <v>17</v>
      </c>
      <c r="GX323">
        <v>6</v>
      </c>
      <c r="GY323">
        <v>9</v>
      </c>
      <c r="GZ323">
        <v>32</v>
      </c>
      <c r="HA323">
        <v>30</v>
      </c>
      <c r="HB323">
        <v>89</v>
      </c>
      <c r="HC323">
        <v>11</v>
      </c>
      <c r="HD323">
        <v>63</v>
      </c>
      <c r="HE323">
        <v>26</v>
      </c>
      <c r="HF323">
        <v>27</v>
      </c>
      <c r="HG323">
        <v>14</v>
      </c>
      <c r="HH323">
        <v>90</v>
      </c>
      <c r="HI323">
        <v>86</v>
      </c>
      <c r="HJ323">
        <v>51</v>
      </c>
      <c r="HK323">
        <v>70</v>
      </c>
      <c r="HL323">
        <v>2</v>
      </c>
      <c r="HM323">
        <v>23</v>
      </c>
      <c r="HN323">
        <v>13</v>
      </c>
      <c r="HO323">
        <v>2</v>
      </c>
      <c r="HP323">
        <v>9</v>
      </c>
      <c r="HQ323">
        <v>20</v>
      </c>
      <c r="HR323">
        <v>10</v>
      </c>
      <c r="HS323">
        <v>6</v>
      </c>
      <c r="HT323">
        <v>4</v>
      </c>
      <c r="HU323">
        <v>7</v>
      </c>
      <c r="HV323">
        <v>5</v>
      </c>
      <c r="HW323">
        <v>4</v>
      </c>
      <c r="HX323">
        <v>20</v>
      </c>
      <c r="HY323">
        <v>11</v>
      </c>
      <c r="HZ323">
        <v>16</v>
      </c>
      <c r="IA323">
        <v>4</v>
      </c>
      <c r="IB323">
        <v>58</v>
      </c>
      <c r="IC323">
        <v>5</v>
      </c>
      <c r="ID323">
        <v>3</v>
      </c>
      <c r="IE323">
        <v>10</v>
      </c>
      <c r="IF323">
        <v>15</v>
      </c>
      <c r="IG323">
        <v>62</v>
      </c>
      <c r="IH323">
        <v>51</v>
      </c>
      <c r="II323">
        <v>39</v>
      </c>
      <c r="IJ323">
        <v>19</v>
      </c>
      <c r="IK323">
        <v>27</v>
      </c>
      <c r="IL323">
        <v>36</v>
      </c>
      <c r="IM323">
        <v>43</v>
      </c>
      <c r="IN323">
        <v>40</v>
      </c>
      <c r="IO323">
        <v>46</v>
      </c>
      <c r="IP323">
        <v>27</v>
      </c>
      <c r="IQ323">
        <v>20</v>
      </c>
      <c r="IR323">
        <v>46</v>
      </c>
      <c r="IS323">
        <v>44</v>
      </c>
      <c r="IT323">
        <v>47</v>
      </c>
      <c r="IU323">
        <v>19</v>
      </c>
      <c r="IV323">
        <v>29</v>
      </c>
      <c r="IW323">
        <v>46</v>
      </c>
      <c r="IX323">
        <v>70</v>
      </c>
      <c r="IY323">
        <v>16</v>
      </c>
      <c r="IZ323">
        <v>54</v>
      </c>
      <c r="JA323">
        <v>53</v>
      </c>
      <c r="JB323">
        <v>9</v>
      </c>
      <c r="JC323">
        <v>4</v>
      </c>
      <c r="JD323">
        <v>28</v>
      </c>
      <c r="JE323">
        <v>12</v>
      </c>
      <c r="JF323">
        <v>11</v>
      </c>
      <c r="JG323">
        <v>18</v>
      </c>
      <c r="JH323">
        <v>25</v>
      </c>
      <c r="JI323">
        <v>13</v>
      </c>
      <c r="JJ323">
        <v>20</v>
      </c>
      <c r="JK323">
        <v>4382</v>
      </c>
      <c r="JL323">
        <v>5036</v>
      </c>
      <c r="JM323">
        <v>5428</v>
      </c>
      <c r="JN323">
        <v>3866</v>
      </c>
      <c r="JO323">
        <v>4440</v>
      </c>
      <c r="JP323">
        <v>5824</v>
      </c>
      <c r="JQ323">
        <v>3373</v>
      </c>
      <c r="JR323">
        <v>2570</v>
      </c>
      <c r="JS323">
        <v>4376</v>
      </c>
      <c r="JT323">
        <v>2021</v>
      </c>
      <c r="JV323">
        <v>2961</v>
      </c>
      <c r="JW323">
        <v>1016</v>
      </c>
      <c r="JX323">
        <v>1301</v>
      </c>
      <c r="JY323">
        <v>764</v>
      </c>
      <c r="JZ323">
        <v>427</v>
      </c>
      <c r="KA323">
        <v>1104</v>
      </c>
      <c r="KB323">
        <v>296</v>
      </c>
      <c r="KC323">
        <v>1219</v>
      </c>
      <c r="KD323">
        <v>762</v>
      </c>
      <c r="KE323">
        <v>612</v>
      </c>
      <c r="KF323">
        <v>11</v>
      </c>
      <c r="KG323">
        <v>766</v>
      </c>
      <c r="KH323">
        <v>13080</v>
      </c>
      <c r="KI323">
        <v>1536</v>
      </c>
      <c r="KJ323">
        <v>206</v>
      </c>
      <c r="KK323">
        <v>1249</v>
      </c>
      <c r="KL323">
        <v>442</v>
      </c>
      <c r="KM323">
        <v>1582</v>
      </c>
      <c r="KN323">
        <v>101</v>
      </c>
      <c r="KO323">
        <v>54</v>
      </c>
      <c r="KP323">
        <v>88</v>
      </c>
      <c r="KQ323">
        <v>16</v>
      </c>
      <c r="KR323">
        <v>209</v>
      </c>
      <c r="KS323">
        <v>512</v>
      </c>
      <c r="KT323">
        <v>32</v>
      </c>
      <c r="KU323">
        <v>2</v>
      </c>
      <c r="KV323">
        <v>0</v>
      </c>
      <c r="KW323">
        <v>166</v>
      </c>
      <c r="KX323">
        <v>48</v>
      </c>
      <c r="KY323">
        <v>606</v>
      </c>
      <c r="KZ323">
        <v>387</v>
      </c>
      <c r="LA323">
        <v>358</v>
      </c>
      <c r="LB323">
        <v>0</v>
      </c>
      <c r="LC323">
        <v>1731</v>
      </c>
      <c r="LD323">
        <v>642</v>
      </c>
      <c r="LE323">
        <v>6137</v>
      </c>
      <c r="LF323">
        <v>1261</v>
      </c>
      <c r="LG323">
        <v>5182</v>
      </c>
      <c r="LH323">
        <v>45267</v>
      </c>
      <c r="LI323">
        <v>408</v>
      </c>
      <c r="LJ323">
        <v>382</v>
      </c>
      <c r="LK323">
        <v>7200</v>
      </c>
      <c r="LL323">
        <v>164</v>
      </c>
      <c r="LM323">
        <v>56005</v>
      </c>
      <c r="LN323">
        <v>2063</v>
      </c>
      <c r="LO323">
        <v>1165</v>
      </c>
      <c r="LP323">
        <v>427</v>
      </c>
      <c r="LQ323">
        <v>3664</v>
      </c>
      <c r="LR323">
        <v>3544</v>
      </c>
      <c r="LS323">
        <v>668</v>
      </c>
      <c r="LT323">
        <v>1235</v>
      </c>
      <c r="LU323">
        <v>360</v>
      </c>
      <c r="LV323">
        <v>2384</v>
      </c>
      <c r="LW323">
        <v>2997</v>
      </c>
      <c r="LX323">
        <v>999</v>
      </c>
      <c r="LY323">
        <v>589</v>
      </c>
      <c r="LZ323">
        <v>893</v>
      </c>
      <c r="MA323">
        <v>362</v>
      </c>
      <c r="MB323">
        <v>113</v>
      </c>
      <c r="MC323">
        <v>94</v>
      </c>
      <c r="ME323">
        <v>625</v>
      </c>
      <c r="MF323">
        <v>166</v>
      </c>
      <c r="MG323">
        <v>1082</v>
      </c>
      <c r="MH323">
        <v>2440</v>
      </c>
      <c r="MI323">
        <v>348</v>
      </c>
      <c r="MJ323">
        <v>188</v>
      </c>
      <c r="MK323">
        <v>315</v>
      </c>
      <c r="ML323">
        <v>358</v>
      </c>
      <c r="MM323">
        <v>585</v>
      </c>
      <c r="MN323">
        <v>450</v>
      </c>
      <c r="MO323">
        <v>1215</v>
      </c>
      <c r="MP323">
        <v>54</v>
      </c>
      <c r="MQ323">
        <v>92</v>
      </c>
      <c r="MR323">
        <v>700</v>
      </c>
      <c r="MS323">
        <v>8348</v>
      </c>
      <c r="MT323">
        <v>407</v>
      </c>
      <c r="MU323">
        <v>710</v>
      </c>
      <c r="MV323">
        <v>904</v>
      </c>
      <c r="MW323">
        <v>234</v>
      </c>
      <c r="MX323">
        <v>664</v>
      </c>
      <c r="MY323">
        <v>830</v>
      </c>
      <c r="MZ323">
        <v>13707</v>
      </c>
      <c r="NA323">
        <v>2551</v>
      </c>
      <c r="NB323">
        <v>484</v>
      </c>
      <c r="NC323">
        <v>6069</v>
      </c>
      <c r="ND323">
        <v>365</v>
      </c>
      <c r="NE323">
        <v>2754</v>
      </c>
      <c r="NF323">
        <v>129</v>
      </c>
      <c r="NG323">
        <v>133</v>
      </c>
      <c r="NH323">
        <v>92</v>
      </c>
      <c r="NI323">
        <v>244</v>
      </c>
      <c r="NJ323">
        <v>1184</v>
      </c>
      <c r="NK323">
        <v>102</v>
      </c>
      <c r="NL323">
        <v>239</v>
      </c>
      <c r="NM323">
        <v>879</v>
      </c>
      <c r="NN323">
        <v>1364</v>
      </c>
      <c r="NO323">
        <v>2801</v>
      </c>
      <c r="NP323">
        <v>3034</v>
      </c>
      <c r="NQ323">
        <v>707</v>
      </c>
      <c r="NR323">
        <v>439</v>
      </c>
      <c r="NS323">
        <v>54</v>
      </c>
      <c r="NT323">
        <v>181</v>
      </c>
      <c r="NU323">
        <v>66</v>
      </c>
      <c r="NV323">
        <v>680</v>
      </c>
      <c r="NW323">
        <v>9</v>
      </c>
      <c r="NX323">
        <v>86</v>
      </c>
      <c r="NY323">
        <v>463</v>
      </c>
      <c r="NZ323">
        <v>6</v>
      </c>
      <c r="OA323">
        <v>512</v>
      </c>
      <c r="OB323">
        <v>965</v>
      </c>
      <c r="OD323">
        <v>0</v>
      </c>
      <c r="OE323">
        <v>807</v>
      </c>
      <c r="OF323">
        <v>2</v>
      </c>
      <c r="OG323">
        <v>37</v>
      </c>
      <c r="OH323">
        <v>99</v>
      </c>
      <c r="OI323">
        <v>802</v>
      </c>
      <c r="OJ323">
        <v>1884</v>
      </c>
      <c r="OK323">
        <v>513</v>
      </c>
      <c r="OL323">
        <v>61</v>
      </c>
      <c r="OM323">
        <v>42</v>
      </c>
      <c r="ON323">
        <v>3014</v>
      </c>
      <c r="OO323">
        <v>303702</v>
      </c>
      <c r="OP323">
        <v>308251</v>
      </c>
      <c r="OS323">
        <v>5033</v>
      </c>
      <c r="OV323">
        <v>19554</v>
      </c>
      <c r="PI323">
        <v>636540</v>
      </c>
      <c r="PM323" t="str">
        <f>IFERROR(VLOOKUP($A323&amp;"",Key!$A:$C,3,FALSE),"")</f>
        <v>ISIC 64T66</v>
      </c>
    </row>
    <row r="324" spans="1:429" x14ac:dyDescent="0.25">
      <c r="A324">
        <v>524200</v>
      </c>
      <c r="B324" t="s">
        <v>459</v>
      </c>
      <c r="C324">
        <v>72</v>
      </c>
      <c r="D324">
        <v>70</v>
      </c>
      <c r="E324">
        <v>50</v>
      </c>
      <c r="F324">
        <v>92</v>
      </c>
      <c r="G324">
        <v>32</v>
      </c>
      <c r="H324">
        <v>278</v>
      </c>
      <c r="I324">
        <v>46</v>
      </c>
      <c r="J324">
        <v>25</v>
      </c>
      <c r="K324">
        <v>79</v>
      </c>
      <c r="L324">
        <v>123</v>
      </c>
      <c r="M324">
        <v>5</v>
      </c>
      <c r="N324">
        <v>10</v>
      </c>
      <c r="O324">
        <v>57</v>
      </c>
      <c r="P324">
        <v>88</v>
      </c>
      <c r="Q324">
        <v>74</v>
      </c>
      <c r="R324">
        <v>71</v>
      </c>
      <c r="S324">
        <v>76</v>
      </c>
      <c r="T324">
        <v>31</v>
      </c>
      <c r="U324">
        <v>204</v>
      </c>
      <c r="V324">
        <v>45</v>
      </c>
      <c r="W324">
        <v>197</v>
      </c>
      <c r="X324">
        <v>1143</v>
      </c>
      <c r="Y324">
        <v>114</v>
      </c>
      <c r="Z324">
        <v>139</v>
      </c>
      <c r="AC324">
        <v>50</v>
      </c>
      <c r="AD324">
        <v>39</v>
      </c>
      <c r="AM324">
        <v>34</v>
      </c>
      <c r="AN324">
        <v>54</v>
      </c>
      <c r="AO324">
        <v>14</v>
      </c>
      <c r="AP324">
        <v>70</v>
      </c>
      <c r="AQ324">
        <v>135</v>
      </c>
      <c r="AR324">
        <v>180</v>
      </c>
      <c r="AS324">
        <v>41</v>
      </c>
      <c r="AT324">
        <v>52</v>
      </c>
      <c r="AU324">
        <v>12</v>
      </c>
      <c r="AV324">
        <v>43</v>
      </c>
      <c r="AW324">
        <v>28</v>
      </c>
      <c r="AX324">
        <v>30</v>
      </c>
      <c r="AY324">
        <v>34</v>
      </c>
      <c r="AZ324">
        <v>12</v>
      </c>
      <c r="BA324">
        <v>52</v>
      </c>
      <c r="BB324">
        <v>60</v>
      </c>
      <c r="BC324">
        <v>33</v>
      </c>
      <c r="BD324">
        <v>75</v>
      </c>
      <c r="BE324">
        <v>24</v>
      </c>
      <c r="BF324">
        <v>51</v>
      </c>
      <c r="BG324">
        <v>55</v>
      </c>
      <c r="BH324">
        <v>47</v>
      </c>
      <c r="BI324">
        <v>26</v>
      </c>
      <c r="BJ324">
        <v>33</v>
      </c>
      <c r="BK324">
        <v>32</v>
      </c>
      <c r="BL324">
        <v>121</v>
      </c>
      <c r="BM324">
        <v>34</v>
      </c>
      <c r="BN324">
        <v>39</v>
      </c>
      <c r="BO324">
        <v>24</v>
      </c>
      <c r="BP324">
        <v>34</v>
      </c>
      <c r="BQ324">
        <v>36</v>
      </c>
      <c r="BR324">
        <v>24</v>
      </c>
      <c r="BS324">
        <v>54</v>
      </c>
      <c r="BT324">
        <v>30</v>
      </c>
      <c r="BU324">
        <v>17</v>
      </c>
      <c r="BV324">
        <v>23</v>
      </c>
      <c r="BW324">
        <v>40</v>
      </c>
      <c r="BX324">
        <v>31</v>
      </c>
      <c r="BY324">
        <v>89</v>
      </c>
      <c r="BZ324">
        <v>30</v>
      </c>
      <c r="CA324">
        <v>20</v>
      </c>
      <c r="CB324">
        <v>45</v>
      </c>
      <c r="CC324">
        <v>16</v>
      </c>
      <c r="CD324">
        <v>25</v>
      </c>
      <c r="CE324">
        <v>138</v>
      </c>
      <c r="CF324">
        <v>23</v>
      </c>
      <c r="CG324">
        <v>36</v>
      </c>
      <c r="CH324">
        <v>63</v>
      </c>
      <c r="CI324">
        <v>58</v>
      </c>
      <c r="CJ324">
        <v>13</v>
      </c>
      <c r="CK324">
        <v>35</v>
      </c>
      <c r="CL324">
        <v>56</v>
      </c>
      <c r="CM324">
        <v>43</v>
      </c>
      <c r="CN324">
        <v>6</v>
      </c>
      <c r="CO324">
        <v>72</v>
      </c>
      <c r="CP324">
        <v>21</v>
      </c>
      <c r="CQ324">
        <v>26</v>
      </c>
      <c r="CR324">
        <v>44</v>
      </c>
      <c r="CS324">
        <v>40</v>
      </c>
      <c r="CT324">
        <v>38</v>
      </c>
      <c r="CU324">
        <v>57</v>
      </c>
      <c r="CV324">
        <v>75</v>
      </c>
      <c r="CW324">
        <v>64</v>
      </c>
      <c r="CX324">
        <v>34</v>
      </c>
      <c r="CY324">
        <v>24</v>
      </c>
      <c r="CZ324">
        <v>166</v>
      </c>
      <c r="DA324">
        <v>29</v>
      </c>
      <c r="DB324">
        <v>110</v>
      </c>
      <c r="DC324">
        <v>29</v>
      </c>
      <c r="DD324">
        <v>45</v>
      </c>
      <c r="DE324">
        <v>51</v>
      </c>
      <c r="DF324">
        <v>33</v>
      </c>
      <c r="DG324">
        <v>33</v>
      </c>
      <c r="DH324">
        <v>26</v>
      </c>
      <c r="DK324">
        <v>4</v>
      </c>
      <c r="DL324">
        <v>0</v>
      </c>
      <c r="DM324">
        <v>0</v>
      </c>
      <c r="DN324">
        <v>0</v>
      </c>
      <c r="DO324">
        <v>1</v>
      </c>
      <c r="DP324">
        <v>4</v>
      </c>
      <c r="DQ324">
        <v>48</v>
      </c>
      <c r="DR324">
        <v>59</v>
      </c>
      <c r="DS324">
        <v>3</v>
      </c>
      <c r="DU324">
        <v>7</v>
      </c>
      <c r="DV324">
        <v>13</v>
      </c>
      <c r="DW324">
        <v>4</v>
      </c>
      <c r="DX324">
        <v>20</v>
      </c>
      <c r="DY324">
        <v>25</v>
      </c>
      <c r="DZ324">
        <v>37</v>
      </c>
      <c r="EA324">
        <v>69</v>
      </c>
      <c r="EB324">
        <v>2</v>
      </c>
      <c r="EC324">
        <v>12</v>
      </c>
      <c r="ED324">
        <v>45</v>
      </c>
      <c r="EE324">
        <v>44</v>
      </c>
      <c r="EF324">
        <v>148</v>
      </c>
      <c r="EG324">
        <v>26</v>
      </c>
      <c r="EH324">
        <v>23</v>
      </c>
      <c r="EI324">
        <v>169</v>
      </c>
      <c r="EJ324">
        <v>24</v>
      </c>
      <c r="EK324">
        <v>36</v>
      </c>
      <c r="EL324">
        <v>8</v>
      </c>
      <c r="EM324">
        <v>28</v>
      </c>
      <c r="EN324">
        <v>54</v>
      </c>
      <c r="EO324">
        <v>13</v>
      </c>
      <c r="EP324">
        <v>29</v>
      </c>
      <c r="EQ324">
        <v>27</v>
      </c>
      <c r="ER324">
        <v>388</v>
      </c>
      <c r="ES324">
        <v>109</v>
      </c>
      <c r="ET324">
        <v>84</v>
      </c>
      <c r="EU324">
        <v>87</v>
      </c>
      <c r="EV324">
        <v>2</v>
      </c>
      <c r="EW324">
        <v>63</v>
      </c>
      <c r="EX324">
        <v>104</v>
      </c>
      <c r="EY324">
        <v>38</v>
      </c>
      <c r="EZ324">
        <v>127</v>
      </c>
      <c r="FA324">
        <v>186</v>
      </c>
      <c r="FB324">
        <v>74</v>
      </c>
      <c r="FC324">
        <v>88</v>
      </c>
      <c r="FD324">
        <v>115</v>
      </c>
      <c r="FE324">
        <v>22</v>
      </c>
      <c r="FF324">
        <v>52</v>
      </c>
      <c r="FG324">
        <v>117</v>
      </c>
      <c r="FI324">
        <v>0</v>
      </c>
      <c r="FJ324">
        <v>58</v>
      </c>
      <c r="FK324">
        <v>17</v>
      </c>
      <c r="FL324">
        <v>27</v>
      </c>
      <c r="FM324">
        <v>18</v>
      </c>
      <c r="FO324">
        <v>33</v>
      </c>
      <c r="FP324">
        <v>26</v>
      </c>
      <c r="FQ324">
        <v>66</v>
      </c>
      <c r="FR324">
        <v>30</v>
      </c>
      <c r="FS324">
        <v>48</v>
      </c>
      <c r="FT324">
        <v>46</v>
      </c>
      <c r="FU324">
        <v>28</v>
      </c>
      <c r="FV324">
        <v>147</v>
      </c>
      <c r="FW324">
        <v>57</v>
      </c>
      <c r="FX324">
        <v>28</v>
      </c>
      <c r="FY324">
        <v>32</v>
      </c>
      <c r="FZ324">
        <v>23</v>
      </c>
      <c r="GA324">
        <v>122</v>
      </c>
      <c r="GB324">
        <v>36</v>
      </c>
      <c r="GC324">
        <v>44</v>
      </c>
      <c r="GD324">
        <v>21</v>
      </c>
      <c r="GE324">
        <v>4</v>
      </c>
      <c r="GF324">
        <v>23</v>
      </c>
      <c r="GG324">
        <v>36</v>
      </c>
      <c r="GH324">
        <v>132</v>
      </c>
      <c r="GI324">
        <v>92</v>
      </c>
      <c r="GJ324">
        <v>51</v>
      </c>
      <c r="GK324">
        <v>53</v>
      </c>
      <c r="GL324">
        <v>18</v>
      </c>
      <c r="GM324">
        <v>24</v>
      </c>
      <c r="GO324">
        <v>25</v>
      </c>
      <c r="GP324">
        <v>465</v>
      </c>
      <c r="GQ324">
        <v>50</v>
      </c>
      <c r="GR324">
        <v>23</v>
      </c>
      <c r="GS324">
        <v>23</v>
      </c>
      <c r="GT324">
        <v>73</v>
      </c>
      <c r="GU324">
        <v>77</v>
      </c>
      <c r="GV324">
        <v>71</v>
      </c>
      <c r="GW324">
        <v>50</v>
      </c>
      <c r="GX324">
        <v>18</v>
      </c>
      <c r="GY324">
        <v>27</v>
      </c>
      <c r="GZ324">
        <v>95</v>
      </c>
      <c r="HA324">
        <v>91</v>
      </c>
      <c r="HB324">
        <v>201</v>
      </c>
      <c r="HC324">
        <v>33</v>
      </c>
      <c r="HD324">
        <v>139</v>
      </c>
      <c r="HE324">
        <v>81</v>
      </c>
      <c r="HF324">
        <v>58</v>
      </c>
      <c r="HG324">
        <v>41</v>
      </c>
      <c r="HH324">
        <v>265</v>
      </c>
      <c r="HI324">
        <v>254</v>
      </c>
      <c r="HJ324">
        <v>116</v>
      </c>
      <c r="HK324">
        <v>139</v>
      </c>
      <c r="HL324">
        <v>4</v>
      </c>
      <c r="HM324">
        <v>86</v>
      </c>
      <c r="HN324">
        <v>51</v>
      </c>
      <c r="HO324">
        <v>13</v>
      </c>
      <c r="HP324">
        <v>21</v>
      </c>
      <c r="HQ324">
        <v>52</v>
      </c>
      <c r="HR324">
        <v>31</v>
      </c>
      <c r="HS324">
        <v>14</v>
      </c>
      <c r="HT324">
        <v>44</v>
      </c>
      <c r="HU324">
        <v>19</v>
      </c>
      <c r="HV324">
        <v>53</v>
      </c>
      <c r="HW324">
        <v>36</v>
      </c>
      <c r="HX324">
        <v>58</v>
      </c>
      <c r="HY324">
        <v>31</v>
      </c>
      <c r="HZ324">
        <v>45</v>
      </c>
      <c r="IA324">
        <v>10</v>
      </c>
      <c r="IB324">
        <v>24</v>
      </c>
      <c r="IC324">
        <v>9</v>
      </c>
      <c r="ID324">
        <v>26</v>
      </c>
      <c r="IE324">
        <v>64</v>
      </c>
      <c r="IF324">
        <v>39</v>
      </c>
      <c r="IG324">
        <v>151</v>
      </c>
      <c r="II324">
        <v>115</v>
      </c>
      <c r="IJ324">
        <v>43</v>
      </c>
      <c r="IK324">
        <v>77</v>
      </c>
      <c r="IL324">
        <v>103</v>
      </c>
      <c r="IM324">
        <v>123</v>
      </c>
      <c r="IN324">
        <v>117</v>
      </c>
      <c r="IO324">
        <v>104</v>
      </c>
      <c r="IP324">
        <v>60</v>
      </c>
      <c r="IQ324">
        <v>59</v>
      </c>
      <c r="IR324">
        <v>130</v>
      </c>
      <c r="IS324">
        <v>79</v>
      </c>
      <c r="IT324">
        <v>79</v>
      </c>
      <c r="IU324">
        <v>56</v>
      </c>
      <c r="IV324">
        <v>67</v>
      </c>
      <c r="IW324">
        <v>98</v>
      </c>
      <c r="IX324">
        <v>159</v>
      </c>
      <c r="IY324">
        <v>47</v>
      </c>
      <c r="IZ324">
        <v>200</v>
      </c>
      <c r="JA324">
        <v>151</v>
      </c>
      <c r="JB324">
        <v>102</v>
      </c>
      <c r="JC324">
        <v>62</v>
      </c>
      <c r="JD324">
        <v>80</v>
      </c>
      <c r="JE324">
        <v>35</v>
      </c>
      <c r="JF324">
        <v>24</v>
      </c>
      <c r="JG324">
        <v>51</v>
      </c>
      <c r="JH324">
        <v>36</v>
      </c>
      <c r="JI324">
        <v>31</v>
      </c>
      <c r="JJ324">
        <v>57</v>
      </c>
      <c r="JK324">
        <v>122</v>
      </c>
      <c r="JL324">
        <v>200</v>
      </c>
      <c r="JM324">
        <v>258</v>
      </c>
      <c r="JN324">
        <v>209</v>
      </c>
      <c r="JO324">
        <v>661</v>
      </c>
      <c r="JP324">
        <v>300</v>
      </c>
      <c r="JQ324">
        <v>199</v>
      </c>
      <c r="JR324">
        <v>802</v>
      </c>
      <c r="JS324">
        <v>804</v>
      </c>
      <c r="JT324">
        <v>327</v>
      </c>
      <c r="JV324">
        <v>1137</v>
      </c>
      <c r="JW324">
        <v>484</v>
      </c>
      <c r="JX324">
        <v>403</v>
      </c>
      <c r="JY324">
        <v>575</v>
      </c>
      <c r="JZ324">
        <v>612</v>
      </c>
      <c r="KA324">
        <v>156</v>
      </c>
      <c r="KB324">
        <v>649</v>
      </c>
      <c r="KC324">
        <v>714</v>
      </c>
      <c r="KD324">
        <v>1407</v>
      </c>
      <c r="KE324">
        <v>68</v>
      </c>
      <c r="KF324">
        <v>30</v>
      </c>
      <c r="KG324">
        <v>94</v>
      </c>
      <c r="KH324">
        <v>39</v>
      </c>
      <c r="KI324">
        <v>4543</v>
      </c>
      <c r="KJ324">
        <v>26</v>
      </c>
      <c r="KK324">
        <v>1939</v>
      </c>
      <c r="KL324">
        <v>50</v>
      </c>
      <c r="KM324">
        <v>1045</v>
      </c>
      <c r="KN324">
        <v>20</v>
      </c>
      <c r="KO324">
        <v>13</v>
      </c>
      <c r="KP324">
        <v>60</v>
      </c>
      <c r="KQ324">
        <v>44</v>
      </c>
      <c r="KS324">
        <v>567</v>
      </c>
      <c r="KT324">
        <v>139</v>
      </c>
      <c r="KU324">
        <v>8</v>
      </c>
      <c r="KX324">
        <v>108</v>
      </c>
      <c r="KY324">
        <v>1264</v>
      </c>
      <c r="KZ324">
        <v>125</v>
      </c>
      <c r="LA324">
        <v>124</v>
      </c>
      <c r="LB324">
        <v>2</v>
      </c>
      <c r="LC324">
        <v>2616</v>
      </c>
      <c r="LD324">
        <v>119</v>
      </c>
      <c r="LE324">
        <v>2288</v>
      </c>
      <c r="LF324">
        <v>23</v>
      </c>
      <c r="LG324">
        <v>11342</v>
      </c>
      <c r="LH324">
        <v>146788</v>
      </c>
      <c r="LI324">
        <v>134293</v>
      </c>
      <c r="LJ324">
        <v>12700</v>
      </c>
      <c r="LL324">
        <v>5</v>
      </c>
      <c r="LM324">
        <v>436</v>
      </c>
      <c r="LN324">
        <v>110</v>
      </c>
      <c r="LO324">
        <v>286</v>
      </c>
      <c r="LP324">
        <v>466</v>
      </c>
      <c r="LQ324">
        <v>434</v>
      </c>
      <c r="LR324">
        <v>188</v>
      </c>
      <c r="LS324">
        <v>139</v>
      </c>
      <c r="LT324">
        <v>234</v>
      </c>
      <c r="LU324">
        <v>102</v>
      </c>
      <c r="LV324">
        <v>338</v>
      </c>
      <c r="LW324">
        <v>200</v>
      </c>
      <c r="LX324">
        <v>476</v>
      </c>
      <c r="LY324">
        <v>235</v>
      </c>
      <c r="LZ324">
        <v>280</v>
      </c>
      <c r="MA324">
        <v>119</v>
      </c>
      <c r="MB324">
        <v>340</v>
      </c>
      <c r="MC324">
        <v>199</v>
      </c>
      <c r="MD324">
        <v>18</v>
      </c>
      <c r="ME324">
        <v>140</v>
      </c>
      <c r="MF324">
        <v>193</v>
      </c>
      <c r="MG324">
        <v>52</v>
      </c>
      <c r="MH324">
        <v>298</v>
      </c>
      <c r="MI324">
        <v>67</v>
      </c>
      <c r="MJ324">
        <v>46</v>
      </c>
      <c r="MK324">
        <v>639</v>
      </c>
      <c r="ML324">
        <v>69</v>
      </c>
      <c r="MM324">
        <v>207</v>
      </c>
      <c r="MN324">
        <v>270</v>
      </c>
      <c r="MO324">
        <v>141</v>
      </c>
      <c r="MP324">
        <v>42</v>
      </c>
      <c r="MQ324">
        <v>57</v>
      </c>
      <c r="MR324">
        <v>1542</v>
      </c>
      <c r="MS324">
        <v>67</v>
      </c>
      <c r="MT324">
        <v>39</v>
      </c>
      <c r="MU324">
        <v>137</v>
      </c>
      <c r="MV324">
        <v>118</v>
      </c>
      <c r="MW324">
        <v>42</v>
      </c>
      <c r="MX324">
        <v>77</v>
      </c>
      <c r="MY324">
        <v>258</v>
      </c>
      <c r="MZ324">
        <v>57</v>
      </c>
      <c r="NA324">
        <v>68</v>
      </c>
      <c r="NB324">
        <v>44</v>
      </c>
      <c r="NC324">
        <v>350</v>
      </c>
      <c r="ND324">
        <v>57</v>
      </c>
      <c r="NE324">
        <v>357</v>
      </c>
      <c r="NF324">
        <v>85</v>
      </c>
      <c r="NG324">
        <v>88</v>
      </c>
      <c r="NH324">
        <v>36</v>
      </c>
      <c r="NI324">
        <v>259</v>
      </c>
      <c r="NJ324">
        <v>137</v>
      </c>
      <c r="NK324">
        <v>31</v>
      </c>
      <c r="NL324">
        <v>147</v>
      </c>
      <c r="NM324">
        <v>113</v>
      </c>
      <c r="NN324">
        <v>170</v>
      </c>
      <c r="NO324">
        <v>77</v>
      </c>
      <c r="NP324">
        <v>118</v>
      </c>
      <c r="NQ324">
        <v>9</v>
      </c>
      <c r="NR324">
        <v>58</v>
      </c>
      <c r="NS324">
        <v>30</v>
      </c>
      <c r="NT324">
        <v>59</v>
      </c>
      <c r="NV324">
        <v>168</v>
      </c>
      <c r="NW324">
        <v>0</v>
      </c>
      <c r="NX324">
        <v>92</v>
      </c>
      <c r="NY324">
        <v>146</v>
      </c>
      <c r="NZ324">
        <v>29</v>
      </c>
      <c r="OA324">
        <v>66</v>
      </c>
      <c r="OB324">
        <v>196</v>
      </c>
      <c r="OG324">
        <v>0</v>
      </c>
      <c r="OH324">
        <v>3337</v>
      </c>
      <c r="OI324">
        <v>0</v>
      </c>
      <c r="OJ324">
        <v>181</v>
      </c>
      <c r="ON324">
        <v>7763</v>
      </c>
      <c r="OO324">
        <v>370207</v>
      </c>
      <c r="PI324">
        <v>370207</v>
      </c>
      <c r="PM324" t="str">
        <f>IFERROR(VLOOKUP($A324&amp;"",Key!$A:$C,3,FALSE),"")</f>
        <v>ISIC 64T66</v>
      </c>
    </row>
    <row r="325" spans="1:429" x14ac:dyDescent="0.25">
      <c r="A325">
        <v>525000</v>
      </c>
      <c r="B325" t="s">
        <v>460</v>
      </c>
      <c r="LG325">
        <v>685</v>
      </c>
      <c r="LI325">
        <v>4074</v>
      </c>
      <c r="LJ325">
        <v>10344</v>
      </c>
      <c r="MF325">
        <v>94</v>
      </c>
      <c r="OE325">
        <v>99</v>
      </c>
      <c r="OK325">
        <v>672</v>
      </c>
      <c r="OO325">
        <v>15967</v>
      </c>
      <c r="OP325">
        <v>170526</v>
      </c>
      <c r="PI325">
        <v>186494</v>
      </c>
      <c r="PM325" t="str">
        <f>IFERROR(VLOOKUP($A325&amp;"",Key!$A:$C,3,FALSE),"")</f>
        <v>ISIC 64T66</v>
      </c>
    </row>
    <row r="326" spans="1:429" x14ac:dyDescent="0.25">
      <c r="A326" t="s">
        <v>609</v>
      </c>
      <c r="B326" t="s">
        <v>461</v>
      </c>
      <c r="OP326">
        <v>1553178</v>
      </c>
      <c r="PI326">
        <v>1553178</v>
      </c>
      <c r="PM326" t="str">
        <f>IFERROR(VLOOKUP($A326&amp;"",Key!$A:$C,3,FALSE),"")</f>
        <v>ISIC 68</v>
      </c>
    </row>
    <row r="327" spans="1:429" x14ac:dyDescent="0.25">
      <c r="A327" t="s">
        <v>610</v>
      </c>
      <c r="B327" t="s">
        <v>462</v>
      </c>
      <c r="OP327">
        <v>467675</v>
      </c>
      <c r="PI327">
        <v>467675</v>
      </c>
      <c r="PM327" t="str">
        <f>IFERROR(VLOOKUP($A327&amp;"",Key!$A:$C,3,FALSE),"")</f>
        <v>ISIC 68</v>
      </c>
    </row>
    <row r="328" spans="1:429" x14ac:dyDescent="0.25">
      <c r="A328" t="s">
        <v>611</v>
      </c>
      <c r="B328" t="s">
        <v>463</v>
      </c>
      <c r="C328">
        <v>543</v>
      </c>
      <c r="D328">
        <v>2115</v>
      </c>
      <c r="E328">
        <v>211</v>
      </c>
      <c r="F328">
        <v>131</v>
      </c>
      <c r="G328">
        <v>89</v>
      </c>
      <c r="H328">
        <v>581</v>
      </c>
      <c r="I328">
        <v>728</v>
      </c>
      <c r="J328">
        <v>472</v>
      </c>
      <c r="K328">
        <v>38</v>
      </c>
      <c r="L328">
        <v>119</v>
      </c>
      <c r="M328">
        <v>13</v>
      </c>
      <c r="N328">
        <v>4</v>
      </c>
      <c r="O328">
        <v>3</v>
      </c>
      <c r="P328">
        <v>965</v>
      </c>
      <c r="Q328">
        <v>11</v>
      </c>
      <c r="R328">
        <v>1</v>
      </c>
      <c r="S328">
        <v>19</v>
      </c>
      <c r="T328">
        <v>54</v>
      </c>
      <c r="U328">
        <v>75</v>
      </c>
      <c r="V328">
        <v>189</v>
      </c>
      <c r="W328">
        <v>557</v>
      </c>
      <c r="X328">
        <v>5832</v>
      </c>
      <c r="Y328">
        <v>1430</v>
      </c>
      <c r="Z328">
        <v>221</v>
      </c>
      <c r="AA328">
        <v>223</v>
      </c>
      <c r="AB328">
        <v>552</v>
      </c>
      <c r="AC328">
        <v>1828</v>
      </c>
      <c r="AD328">
        <v>999</v>
      </c>
      <c r="AE328">
        <v>1305</v>
      </c>
      <c r="AF328">
        <v>499</v>
      </c>
      <c r="AG328">
        <v>4085</v>
      </c>
      <c r="AH328">
        <v>407</v>
      </c>
      <c r="AI328">
        <v>731</v>
      </c>
      <c r="AJ328">
        <v>444</v>
      </c>
      <c r="AK328">
        <v>1400</v>
      </c>
      <c r="AL328">
        <v>808</v>
      </c>
      <c r="AM328">
        <v>58</v>
      </c>
      <c r="AN328">
        <v>88</v>
      </c>
      <c r="AO328">
        <v>191</v>
      </c>
      <c r="AP328">
        <v>255</v>
      </c>
      <c r="AQ328">
        <v>69</v>
      </c>
      <c r="AR328">
        <v>298</v>
      </c>
      <c r="AS328">
        <v>22</v>
      </c>
      <c r="AT328">
        <v>179</v>
      </c>
      <c r="AU328">
        <v>52</v>
      </c>
      <c r="AV328">
        <v>126</v>
      </c>
      <c r="AW328">
        <v>13</v>
      </c>
      <c r="AX328">
        <v>20</v>
      </c>
      <c r="AY328">
        <v>90</v>
      </c>
      <c r="AZ328">
        <v>15</v>
      </c>
      <c r="BA328">
        <v>31</v>
      </c>
      <c r="BB328">
        <v>40</v>
      </c>
      <c r="BC328">
        <v>44</v>
      </c>
      <c r="BD328">
        <v>101</v>
      </c>
      <c r="BE328">
        <v>10</v>
      </c>
      <c r="BF328">
        <v>13</v>
      </c>
      <c r="BG328">
        <v>56</v>
      </c>
      <c r="BH328">
        <v>18</v>
      </c>
      <c r="BI328">
        <v>29</v>
      </c>
      <c r="BJ328">
        <v>36</v>
      </c>
      <c r="BK328">
        <v>46</v>
      </c>
      <c r="BL328">
        <v>83</v>
      </c>
      <c r="BM328">
        <v>64</v>
      </c>
      <c r="BN328">
        <v>77</v>
      </c>
      <c r="BO328">
        <v>169</v>
      </c>
      <c r="BP328">
        <v>93</v>
      </c>
      <c r="BQ328">
        <v>582</v>
      </c>
      <c r="BR328">
        <v>669</v>
      </c>
      <c r="BS328">
        <v>50</v>
      </c>
      <c r="BT328">
        <v>76</v>
      </c>
      <c r="BU328">
        <v>68</v>
      </c>
      <c r="BV328">
        <v>67</v>
      </c>
      <c r="BW328">
        <v>124</v>
      </c>
      <c r="BX328">
        <v>836</v>
      </c>
      <c r="BY328">
        <v>562</v>
      </c>
      <c r="BZ328">
        <v>426</v>
      </c>
      <c r="CA328">
        <v>42</v>
      </c>
      <c r="CB328">
        <v>145</v>
      </c>
      <c r="CC328">
        <v>20</v>
      </c>
      <c r="CD328">
        <v>73</v>
      </c>
      <c r="CE328">
        <v>73</v>
      </c>
      <c r="CF328">
        <v>212</v>
      </c>
      <c r="CG328">
        <v>49</v>
      </c>
      <c r="CH328">
        <v>9</v>
      </c>
      <c r="CI328">
        <v>36</v>
      </c>
      <c r="CJ328">
        <v>63</v>
      </c>
      <c r="CK328">
        <v>70</v>
      </c>
      <c r="CL328">
        <v>259</v>
      </c>
      <c r="CM328">
        <v>31</v>
      </c>
      <c r="CN328">
        <v>36</v>
      </c>
      <c r="CO328">
        <v>85</v>
      </c>
      <c r="CP328">
        <v>53</v>
      </c>
      <c r="CQ328">
        <v>156</v>
      </c>
      <c r="CR328">
        <v>59</v>
      </c>
      <c r="CS328">
        <v>118</v>
      </c>
      <c r="CT328">
        <v>100</v>
      </c>
      <c r="CU328">
        <v>78</v>
      </c>
      <c r="CV328">
        <v>111</v>
      </c>
      <c r="CW328">
        <v>92</v>
      </c>
      <c r="CX328">
        <v>17</v>
      </c>
      <c r="CY328">
        <v>24</v>
      </c>
      <c r="CZ328">
        <v>49</v>
      </c>
      <c r="DA328">
        <v>56</v>
      </c>
      <c r="DB328">
        <v>114</v>
      </c>
      <c r="DC328">
        <v>142</v>
      </c>
      <c r="DD328">
        <v>4</v>
      </c>
      <c r="DE328">
        <v>59</v>
      </c>
      <c r="DF328">
        <v>27</v>
      </c>
      <c r="DG328">
        <v>181</v>
      </c>
      <c r="DH328">
        <v>47</v>
      </c>
      <c r="DI328">
        <v>1255</v>
      </c>
      <c r="DJ328">
        <v>74</v>
      </c>
      <c r="DK328">
        <v>132</v>
      </c>
      <c r="DL328">
        <v>158</v>
      </c>
      <c r="DM328">
        <v>251</v>
      </c>
      <c r="DN328">
        <v>72</v>
      </c>
      <c r="DO328">
        <v>781</v>
      </c>
      <c r="DP328">
        <v>104</v>
      </c>
      <c r="DQ328">
        <v>269</v>
      </c>
      <c r="DR328">
        <v>82</v>
      </c>
      <c r="DS328">
        <v>170</v>
      </c>
      <c r="DT328">
        <v>16</v>
      </c>
      <c r="DU328">
        <v>62</v>
      </c>
      <c r="DV328">
        <v>44</v>
      </c>
      <c r="DW328">
        <v>77</v>
      </c>
      <c r="DX328">
        <v>38</v>
      </c>
      <c r="DY328">
        <v>16</v>
      </c>
      <c r="DZ328">
        <v>74</v>
      </c>
      <c r="EA328">
        <v>13</v>
      </c>
      <c r="EB328">
        <v>4</v>
      </c>
      <c r="EC328">
        <v>3</v>
      </c>
      <c r="ED328">
        <v>168</v>
      </c>
      <c r="EE328">
        <v>16</v>
      </c>
      <c r="EF328">
        <v>48</v>
      </c>
      <c r="EG328">
        <v>18</v>
      </c>
      <c r="EH328">
        <v>35</v>
      </c>
      <c r="EI328">
        <v>61</v>
      </c>
      <c r="EJ328">
        <v>50</v>
      </c>
      <c r="EK328">
        <v>66</v>
      </c>
      <c r="EL328">
        <v>4</v>
      </c>
      <c r="EM328">
        <v>32</v>
      </c>
      <c r="EN328">
        <v>18</v>
      </c>
      <c r="EO328">
        <v>4</v>
      </c>
      <c r="EP328">
        <v>115</v>
      </c>
      <c r="EQ328">
        <v>152</v>
      </c>
      <c r="ER328">
        <v>82</v>
      </c>
      <c r="ES328">
        <v>29</v>
      </c>
      <c r="ET328">
        <v>88</v>
      </c>
      <c r="EU328">
        <v>30</v>
      </c>
      <c r="EV328">
        <v>10</v>
      </c>
      <c r="EW328">
        <v>31</v>
      </c>
      <c r="EX328">
        <v>256</v>
      </c>
      <c r="EY328">
        <v>208</v>
      </c>
      <c r="EZ328">
        <v>87</v>
      </c>
      <c r="FA328">
        <v>73</v>
      </c>
      <c r="FB328">
        <v>102</v>
      </c>
      <c r="FC328">
        <v>511</v>
      </c>
      <c r="FD328">
        <v>79</v>
      </c>
      <c r="FE328">
        <v>506</v>
      </c>
      <c r="FF328">
        <v>207</v>
      </c>
      <c r="FG328">
        <v>205</v>
      </c>
      <c r="FH328">
        <v>176</v>
      </c>
      <c r="FI328">
        <v>106</v>
      </c>
      <c r="FJ328">
        <v>47</v>
      </c>
      <c r="FK328">
        <v>163</v>
      </c>
      <c r="FL328">
        <v>80</v>
      </c>
      <c r="FM328">
        <v>23</v>
      </c>
      <c r="FN328">
        <v>73</v>
      </c>
      <c r="FO328">
        <v>26</v>
      </c>
      <c r="FP328">
        <v>222</v>
      </c>
      <c r="FQ328">
        <v>147</v>
      </c>
      <c r="FR328">
        <v>68</v>
      </c>
      <c r="FS328">
        <v>88</v>
      </c>
      <c r="FT328">
        <v>68</v>
      </c>
      <c r="FU328">
        <v>104</v>
      </c>
      <c r="FV328">
        <v>293</v>
      </c>
      <c r="FW328">
        <v>103</v>
      </c>
      <c r="FX328">
        <v>240</v>
      </c>
      <c r="FY328">
        <v>175</v>
      </c>
      <c r="FZ328">
        <v>28</v>
      </c>
      <c r="GA328">
        <v>35</v>
      </c>
      <c r="GB328">
        <v>44</v>
      </c>
      <c r="GC328">
        <v>142</v>
      </c>
      <c r="GD328">
        <v>160</v>
      </c>
      <c r="GE328">
        <v>16</v>
      </c>
      <c r="GF328">
        <v>29</v>
      </c>
      <c r="GG328">
        <v>363</v>
      </c>
      <c r="GH328">
        <v>277</v>
      </c>
      <c r="GI328">
        <v>49</v>
      </c>
      <c r="GJ328">
        <v>62</v>
      </c>
      <c r="GK328">
        <v>41</v>
      </c>
      <c r="GL328">
        <v>23</v>
      </c>
      <c r="GM328">
        <v>8</v>
      </c>
      <c r="GN328">
        <v>5</v>
      </c>
      <c r="GO328">
        <v>5</v>
      </c>
      <c r="GP328">
        <v>437</v>
      </c>
      <c r="GQ328">
        <v>143</v>
      </c>
      <c r="GR328">
        <v>155</v>
      </c>
      <c r="GS328">
        <v>73</v>
      </c>
      <c r="GT328">
        <v>51</v>
      </c>
      <c r="GU328">
        <v>76</v>
      </c>
      <c r="GV328">
        <v>31</v>
      </c>
      <c r="GW328">
        <v>41</v>
      </c>
      <c r="GX328">
        <v>160</v>
      </c>
      <c r="GY328">
        <v>53</v>
      </c>
      <c r="GZ328">
        <v>651</v>
      </c>
      <c r="HA328">
        <v>379</v>
      </c>
      <c r="HB328">
        <v>184</v>
      </c>
      <c r="HC328">
        <v>86</v>
      </c>
      <c r="HD328">
        <v>55</v>
      </c>
      <c r="HE328">
        <v>145</v>
      </c>
      <c r="HF328">
        <v>188</v>
      </c>
      <c r="HG328">
        <v>313</v>
      </c>
      <c r="HH328">
        <v>353</v>
      </c>
      <c r="HI328">
        <v>228</v>
      </c>
      <c r="HJ328">
        <v>105</v>
      </c>
      <c r="HK328">
        <v>129</v>
      </c>
      <c r="HL328">
        <v>18</v>
      </c>
      <c r="HM328">
        <v>70</v>
      </c>
      <c r="HN328">
        <v>73</v>
      </c>
      <c r="HO328">
        <v>49</v>
      </c>
      <c r="HP328">
        <v>85</v>
      </c>
      <c r="HQ328">
        <v>150</v>
      </c>
      <c r="HR328">
        <v>102</v>
      </c>
      <c r="HS328">
        <v>22</v>
      </c>
      <c r="HT328">
        <v>2</v>
      </c>
      <c r="HU328">
        <v>74</v>
      </c>
      <c r="HV328">
        <v>50</v>
      </c>
      <c r="HW328">
        <v>944</v>
      </c>
      <c r="HX328">
        <v>201</v>
      </c>
      <c r="HY328">
        <v>66</v>
      </c>
      <c r="HZ328">
        <v>75</v>
      </c>
      <c r="IA328">
        <v>83</v>
      </c>
      <c r="IB328">
        <v>1645</v>
      </c>
      <c r="IC328">
        <v>98</v>
      </c>
      <c r="ID328">
        <v>8</v>
      </c>
      <c r="IE328">
        <v>89</v>
      </c>
      <c r="IF328">
        <v>29</v>
      </c>
      <c r="IG328">
        <v>15</v>
      </c>
      <c r="IH328">
        <v>22</v>
      </c>
      <c r="II328">
        <v>14</v>
      </c>
      <c r="IJ328">
        <v>29</v>
      </c>
      <c r="IK328">
        <v>157</v>
      </c>
      <c r="IL328">
        <v>143</v>
      </c>
      <c r="IM328">
        <v>97</v>
      </c>
      <c r="IN328">
        <v>27</v>
      </c>
      <c r="IO328">
        <v>240</v>
      </c>
      <c r="IP328">
        <v>1856</v>
      </c>
      <c r="IQ328">
        <v>203</v>
      </c>
      <c r="IR328">
        <v>274</v>
      </c>
      <c r="IS328">
        <v>59</v>
      </c>
      <c r="IT328">
        <v>22</v>
      </c>
      <c r="IU328">
        <v>43</v>
      </c>
      <c r="IV328">
        <v>65</v>
      </c>
      <c r="IW328">
        <v>205</v>
      </c>
      <c r="IX328">
        <v>319</v>
      </c>
      <c r="IY328">
        <v>19</v>
      </c>
      <c r="IZ328">
        <v>173</v>
      </c>
      <c r="JA328">
        <v>243</v>
      </c>
      <c r="JB328">
        <v>139</v>
      </c>
      <c r="JC328">
        <v>40</v>
      </c>
      <c r="JD328">
        <v>120</v>
      </c>
      <c r="JE328">
        <v>115</v>
      </c>
      <c r="JF328">
        <v>229</v>
      </c>
      <c r="JG328">
        <v>1271</v>
      </c>
      <c r="JH328">
        <v>37</v>
      </c>
      <c r="JI328">
        <v>29</v>
      </c>
      <c r="JJ328">
        <v>135</v>
      </c>
      <c r="JK328">
        <v>7238</v>
      </c>
      <c r="JL328">
        <v>5325</v>
      </c>
      <c r="JM328">
        <v>9458</v>
      </c>
      <c r="JN328">
        <v>8234</v>
      </c>
      <c r="JO328">
        <v>14646</v>
      </c>
      <c r="JP328">
        <v>5306</v>
      </c>
      <c r="JQ328">
        <v>5960</v>
      </c>
      <c r="JR328">
        <v>1559</v>
      </c>
      <c r="JS328">
        <v>14194</v>
      </c>
      <c r="JT328">
        <v>2411</v>
      </c>
      <c r="JV328">
        <v>17886</v>
      </c>
      <c r="JW328">
        <v>21785</v>
      </c>
      <c r="JX328">
        <v>15886</v>
      </c>
      <c r="JY328">
        <v>8192</v>
      </c>
      <c r="JZ328">
        <v>15696</v>
      </c>
      <c r="KA328">
        <v>8785</v>
      </c>
      <c r="KB328">
        <v>24772</v>
      </c>
      <c r="KC328">
        <v>10992</v>
      </c>
      <c r="KD328">
        <v>24974</v>
      </c>
      <c r="KE328">
        <v>222</v>
      </c>
      <c r="KF328">
        <v>150</v>
      </c>
      <c r="KG328">
        <v>784</v>
      </c>
      <c r="KH328">
        <v>6001</v>
      </c>
      <c r="KI328">
        <v>1932</v>
      </c>
      <c r="KJ328">
        <v>162</v>
      </c>
      <c r="KK328">
        <v>4906</v>
      </c>
      <c r="KL328">
        <v>1856</v>
      </c>
      <c r="KM328">
        <v>8687</v>
      </c>
      <c r="KN328">
        <v>221</v>
      </c>
      <c r="KO328">
        <v>552</v>
      </c>
      <c r="KP328">
        <v>993</v>
      </c>
      <c r="KQ328">
        <v>213</v>
      </c>
      <c r="KR328">
        <v>4964</v>
      </c>
      <c r="KS328">
        <v>3297</v>
      </c>
      <c r="KT328">
        <v>243</v>
      </c>
      <c r="KU328">
        <v>666</v>
      </c>
      <c r="KV328">
        <v>845</v>
      </c>
      <c r="KW328">
        <v>3690</v>
      </c>
      <c r="KX328">
        <v>13221</v>
      </c>
      <c r="KY328">
        <v>2646</v>
      </c>
      <c r="KZ328">
        <v>5450</v>
      </c>
      <c r="LA328">
        <v>3195</v>
      </c>
      <c r="LB328">
        <v>97</v>
      </c>
      <c r="LC328">
        <v>7817</v>
      </c>
      <c r="LD328">
        <v>19112</v>
      </c>
      <c r="LE328">
        <v>16823</v>
      </c>
      <c r="LF328">
        <v>5139</v>
      </c>
      <c r="LG328">
        <v>1011</v>
      </c>
      <c r="LH328">
        <v>14943</v>
      </c>
      <c r="LI328">
        <v>4586</v>
      </c>
      <c r="LJ328">
        <v>692</v>
      </c>
      <c r="LK328">
        <v>10984</v>
      </c>
      <c r="LL328">
        <v>97</v>
      </c>
      <c r="LM328">
        <v>171613</v>
      </c>
      <c r="LN328">
        <v>3529</v>
      </c>
      <c r="LO328">
        <v>1853</v>
      </c>
      <c r="LP328">
        <v>1553</v>
      </c>
      <c r="LQ328">
        <v>1768</v>
      </c>
      <c r="LR328">
        <v>22404</v>
      </c>
      <c r="LS328">
        <v>3290</v>
      </c>
      <c r="LT328">
        <v>4180</v>
      </c>
      <c r="LU328">
        <v>990</v>
      </c>
      <c r="LV328">
        <v>7294</v>
      </c>
      <c r="LW328">
        <v>10207</v>
      </c>
      <c r="LX328">
        <v>8799</v>
      </c>
      <c r="LY328">
        <v>1428</v>
      </c>
      <c r="LZ328">
        <v>14487</v>
      </c>
      <c r="MA328">
        <v>4842</v>
      </c>
      <c r="MB328">
        <v>1173</v>
      </c>
      <c r="MC328">
        <v>1040</v>
      </c>
      <c r="MD328">
        <v>1038</v>
      </c>
      <c r="ME328">
        <v>4073</v>
      </c>
      <c r="MF328">
        <v>32165</v>
      </c>
      <c r="MG328">
        <v>10537</v>
      </c>
      <c r="MH328">
        <v>7619</v>
      </c>
      <c r="MI328">
        <v>2455</v>
      </c>
      <c r="MJ328">
        <v>779</v>
      </c>
      <c r="MK328">
        <v>3584</v>
      </c>
      <c r="ML328">
        <v>2013</v>
      </c>
      <c r="MM328">
        <v>1739</v>
      </c>
      <c r="MN328">
        <v>1685</v>
      </c>
      <c r="MO328">
        <v>2510</v>
      </c>
      <c r="MP328">
        <v>2556</v>
      </c>
      <c r="MQ328">
        <v>26009</v>
      </c>
      <c r="MR328">
        <v>3522</v>
      </c>
      <c r="MS328">
        <v>23279</v>
      </c>
      <c r="MT328">
        <v>5644</v>
      </c>
      <c r="MU328">
        <v>7180</v>
      </c>
      <c r="MV328">
        <v>7980</v>
      </c>
      <c r="MW328">
        <v>932</v>
      </c>
      <c r="MX328">
        <v>3959</v>
      </c>
      <c r="MY328">
        <v>1319</v>
      </c>
      <c r="MZ328">
        <v>62547</v>
      </c>
      <c r="NA328">
        <v>20839</v>
      </c>
      <c r="NB328">
        <v>6391</v>
      </c>
      <c r="NC328">
        <v>6707</v>
      </c>
      <c r="ND328">
        <v>9214</v>
      </c>
      <c r="NE328">
        <v>2945</v>
      </c>
      <c r="NF328">
        <v>3064</v>
      </c>
      <c r="NG328">
        <v>487</v>
      </c>
      <c r="NH328">
        <v>818</v>
      </c>
      <c r="NI328">
        <v>4571</v>
      </c>
      <c r="NJ328">
        <v>2594</v>
      </c>
      <c r="NK328">
        <v>782</v>
      </c>
      <c r="NL328">
        <v>578</v>
      </c>
      <c r="NM328">
        <v>15057</v>
      </c>
      <c r="NN328">
        <v>2388</v>
      </c>
      <c r="NO328">
        <v>18485</v>
      </c>
      <c r="NP328">
        <v>26683</v>
      </c>
      <c r="NQ328">
        <v>3719</v>
      </c>
      <c r="NR328">
        <v>5217</v>
      </c>
      <c r="NS328">
        <v>529</v>
      </c>
      <c r="NT328">
        <v>1045</v>
      </c>
      <c r="NU328">
        <v>1300</v>
      </c>
      <c r="NV328">
        <v>11045</v>
      </c>
      <c r="NW328">
        <v>430</v>
      </c>
      <c r="NX328">
        <v>1559</v>
      </c>
      <c r="NY328">
        <v>10480</v>
      </c>
      <c r="NZ328">
        <v>16067</v>
      </c>
      <c r="OA328">
        <v>1507</v>
      </c>
      <c r="OB328">
        <v>2140</v>
      </c>
      <c r="OD328">
        <v>224</v>
      </c>
      <c r="OE328">
        <v>9970</v>
      </c>
      <c r="OF328">
        <v>417</v>
      </c>
      <c r="OG328">
        <v>6</v>
      </c>
      <c r="OH328">
        <v>70</v>
      </c>
      <c r="OI328">
        <v>13177</v>
      </c>
      <c r="OJ328">
        <v>1035</v>
      </c>
      <c r="OK328">
        <v>8839</v>
      </c>
      <c r="OL328">
        <v>55</v>
      </c>
      <c r="OM328">
        <v>701</v>
      </c>
      <c r="ON328">
        <v>1857</v>
      </c>
      <c r="OO328">
        <v>1119061</v>
      </c>
      <c r="OP328">
        <v>5861</v>
      </c>
      <c r="OS328">
        <v>129878</v>
      </c>
      <c r="OT328">
        <v>33104</v>
      </c>
      <c r="OV328">
        <v>3274</v>
      </c>
      <c r="PI328">
        <v>1291178</v>
      </c>
      <c r="PM328" t="str">
        <f>IFERROR(VLOOKUP($A328&amp;"",Key!$A:$C,3,FALSE),"")</f>
        <v>ISIC 68</v>
      </c>
    </row>
    <row r="329" spans="1:429" x14ac:dyDescent="0.25">
      <c r="A329">
        <v>532100</v>
      </c>
      <c r="B329" t="s">
        <v>464</v>
      </c>
      <c r="C329">
        <v>98</v>
      </c>
      <c r="D329">
        <v>108</v>
      </c>
      <c r="E329">
        <v>132</v>
      </c>
      <c r="F329">
        <v>86</v>
      </c>
      <c r="G329">
        <v>4</v>
      </c>
      <c r="H329">
        <v>116</v>
      </c>
      <c r="I329">
        <v>175</v>
      </c>
      <c r="J329">
        <v>109</v>
      </c>
      <c r="K329">
        <v>57</v>
      </c>
      <c r="L329">
        <v>36</v>
      </c>
      <c r="M329">
        <v>0</v>
      </c>
      <c r="O329">
        <v>1</v>
      </c>
      <c r="P329">
        <v>16</v>
      </c>
      <c r="Q329">
        <v>5</v>
      </c>
      <c r="R329">
        <v>0</v>
      </c>
      <c r="S329">
        <v>1</v>
      </c>
      <c r="T329">
        <v>3</v>
      </c>
      <c r="U329">
        <v>6</v>
      </c>
      <c r="V329">
        <v>10</v>
      </c>
      <c r="W329">
        <v>68</v>
      </c>
      <c r="X329">
        <v>492</v>
      </c>
      <c r="Y329">
        <v>53</v>
      </c>
      <c r="Z329">
        <v>21</v>
      </c>
      <c r="AA329">
        <v>4</v>
      </c>
      <c r="AB329">
        <v>11</v>
      </c>
      <c r="AC329">
        <v>48</v>
      </c>
      <c r="AD329">
        <v>13</v>
      </c>
      <c r="AE329">
        <v>26</v>
      </c>
      <c r="AF329">
        <v>18</v>
      </c>
      <c r="AG329">
        <v>30</v>
      </c>
      <c r="AH329">
        <v>11</v>
      </c>
      <c r="AI329">
        <v>20</v>
      </c>
      <c r="AJ329">
        <v>14</v>
      </c>
      <c r="AK329">
        <v>23</v>
      </c>
      <c r="AL329">
        <v>59</v>
      </c>
      <c r="AM329">
        <v>19</v>
      </c>
      <c r="AN329">
        <v>22</v>
      </c>
      <c r="AO329">
        <v>14</v>
      </c>
      <c r="AP329">
        <v>21</v>
      </c>
      <c r="AQ329">
        <v>5</v>
      </c>
      <c r="AR329">
        <v>21</v>
      </c>
      <c r="AS329">
        <v>18</v>
      </c>
      <c r="AT329">
        <v>47</v>
      </c>
      <c r="AU329">
        <v>11</v>
      </c>
      <c r="AV329">
        <v>24</v>
      </c>
      <c r="AW329">
        <v>14</v>
      </c>
      <c r="AX329">
        <v>1</v>
      </c>
      <c r="AY329">
        <v>4</v>
      </c>
      <c r="AZ329">
        <v>6</v>
      </c>
      <c r="BA329">
        <v>5</v>
      </c>
      <c r="BB329">
        <v>12</v>
      </c>
      <c r="BC329">
        <v>55</v>
      </c>
      <c r="BD329">
        <v>12</v>
      </c>
      <c r="BE329">
        <v>5</v>
      </c>
      <c r="BF329">
        <v>2</v>
      </c>
      <c r="BG329">
        <v>17</v>
      </c>
      <c r="BH329">
        <v>10</v>
      </c>
      <c r="BI329">
        <v>5</v>
      </c>
      <c r="BJ329">
        <v>7</v>
      </c>
      <c r="BK329">
        <v>8</v>
      </c>
      <c r="BL329">
        <v>10</v>
      </c>
      <c r="BM329">
        <v>7</v>
      </c>
      <c r="BN329">
        <v>6</v>
      </c>
      <c r="BO329">
        <v>7</v>
      </c>
      <c r="BP329">
        <v>8</v>
      </c>
      <c r="BQ329">
        <v>56</v>
      </c>
      <c r="BR329">
        <v>39</v>
      </c>
      <c r="BS329">
        <v>4</v>
      </c>
      <c r="BT329">
        <v>7</v>
      </c>
      <c r="BU329">
        <v>5</v>
      </c>
      <c r="BV329">
        <v>6</v>
      </c>
      <c r="BW329">
        <v>6</v>
      </c>
      <c r="BX329">
        <v>44</v>
      </c>
      <c r="BY329">
        <v>46</v>
      </c>
      <c r="BZ329">
        <v>23</v>
      </c>
      <c r="CA329">
        <v>7</v>
      </c>
      <c r="CB329">
        <v>12</v>
      </c>
      <c r="CC329">
        <v>4</v>
      </c>
      <c r="CD329">
        <v>4</v>
      </c>
      <c r="CE329">
        <v>7</v>
      </c>
      <c r="CF329">
        <v>9</v>
      </c>
      <c r="CG329">
        <v>9</v>
      </c>
      <c r="CH329">
        <v>1</v>
      </c>
      <c r="CI329">
        <v>12</v>
      </c>
      <c r="CJ329">
        <v>11</v>
      </c>
      <c r="CK329">
        <v>0</v>
      </c>
      <c r="CL329">
        <v>17</v>
      </c>
      <c r="CM329">
        <v>1</v>
      </c>
      <c r="CN329">
        <v>0</v>
      </c>
      <c r="CO329">
        <v>9</v>
      </c>
      <c r="CP329">
        <v>1</v>
      </c>
      <c r="CQ329">
        <v>12</v>
      </c>
      <c r="CR329">
        <v>2</v>
      </c>
      <c r="CS329">
        <v>6</v>
      </c>
      <c r="CT329">
        <v>7</v>
      </c>
      <c r="CU329">
        <v>4</v>
      </c>
      <c r="CV329">
        <v>7</v>
      </c>
      <c r="CW329">
        <v>6</v>
      </c>
      <c r="CX329">
        <v>1</v>
      </c>
      <c r="CY329">
        <v>1</v>
      </c>
      <c r="CZ329">
        <v>6</v>
      </c>
      <c r="DA329">
        <v>2</v>
      </c>
      <c r="DB329">
        <v>9</v>
      </c>
      <c r="DC329">
        <v>20</v>
      </c>
      <c r="DD329">
        <v>1</v>
      </c>
      <c r="DE329">
        <v>2</v>
      </c>
      <c r="DF329">
        <v>1</v>
      </c>
      <c r="DG329">
        <v>8</v>
      </c>
      <c r="DH329">
        <v>8</v>
      </c>
      <c r="DI329">
        <v>0</v>
      </c>
      <c r="DJ329">
        <v>0</v>
      </c>
      <c r="DK329">
        <v>1</v>
      </c>
      <c r="DL329">
        <v>0</v>
      </c>
      <c r="DM329">
        <v>2</v>
      </c>
      <c r="DN329">
        <v>0</v>
      </c>
      <c r="DO329">
        <v>6</v>
      </c>
      <c r="DP329">
        <v>2</v>
      </c>
      <c r="DQ329">
        <v>1</v>
      </c>
      <c r="DR329">
        <v>10</v>
      </c>
      <c r="DS329">
        <v>8</v>
      </c>
      <c r="DT329">
        <v>0</v>
      </c>
      <c r="DU329">
        <v>0</v>
      </c>
      <c r="DV329">
        <v>0</v>
      </c>
      <c r="DW329">
        <v>0</v>
      </c>
      <c r="DX329">
        <v>3</v>
      </c>
      <c r="DY329">
        <v>0</v>
      </c>
      <c r="DZ329">
        <v>0</v>
      </c>
      <c r="EA329">
        <v>0</v>
      </c>
      <c r="EB329">
        <v>1</v>
      </c>
      <c r="EC329">
        <v>0</v>
      </c>
      <c r="ED329">
        <v>4</v>
      </c>
      <c r="EE329">
        <v>0</v>
      </c>
      <c r="EF329">
        <v>7</v>
      </c>
      <c r="EG329">
        <v>0</v>
      </c>
      <c r="EH329">
        <v>4</v>
      </c>
      <c r="EI329">
        <v>4</v>
      </c>
      <c r="EJ329">
        <v>3</v>
      </c>
      <c r="EK329">
        <v>2</v>
      </c>
      <c r="EL329">
        <v>0</v>
      </c>
      <c r="EM329">
        <v>2</v>
      </c>
      <c r="EN329">
        <v>3</v>
      </c>
      <c r="EO329">
        <v>0</v>
      </c>
      <c r="EP329">
        <v>4</v>
      </c>
      <c r="EQ329">
        <v>1</v>
      </c>
      <c r="ER329">
        <v>5</v>
      </c>
      <c r="ES329">
        <v>1</v>
      </c>
      <c r="ET329">
        <v>6</v>
      </c>
      <c r="EU329">
        <v>2</v>
      </c>
      <c r="EV329">
        <v>3933</v>
      </c>
      <c r="EW329">
        <v>3</v>
      </c>
      <c r="EX329">
        <v>17</v>
      </c>
      <c r="EY329">
        <v>10</v>
      </c>
      <c r="EZ329">
        <v>11</v>
      </c>
      <c r="FA329">
        <v>30</v>
      </c>
      <c r="FB329">
        <v>24</v>
      </c>
      <c r="FC329">
        <v>26</v>
      </c>
      <c r="FD329">
        <v>9</v>
      </c>
      <c r="FE329">
        <v>38</v>
      </c>
      <c r="FF329">
        <v>25</v>
      </c>
      <c r="FG329">
        <v>18</v>
      </c>
      <c r="FH329">
        <v>14</v>
      </c>
      <c r="FI329">
        <v>50</v>
      </c>
      <c r="FJ329">
        <v>4</v>
      </c>
      <c r="FK329">
        <v>28</v>
      </c>
      <c r="FL329">
        <v>9</v>
      </c>
      <c r="FM329">
        <v>2</v>
      </c>
      <c r="FN329">
        <v>3</v>
      </c>
      <c r="FO329">
        <v>4</v>
      </c>
      <c r="FP329">
        <v>9</v>
      </c>
      <c r="FQ329">
        <v>19</v>
      </c>
      <c r="FR329">
        <v>2</v>
      </c>
      <c r="FS329">
        <v>4</v>
      </c>
      <c r="FT329">
        <v>3</v>
      </c>
      <c r="FU329">
        <v>5</v>
      </c>
      <c r="FV329">
        <v>13</v>
      </c>
      <c r="FW329">
        <v>9</v>
      </c>
      <c r="FX329">
        <v>9</v>
      </c>
      <c r="FY329">
        <v>8</v>
      </c>
      <c r="FZ329">
        <v>2</v>
      </c>
      <c r="GA329">
        <v>0</v>
      </c>
      <c r="GB329">
        <v>3</v>
      </c>
      <c r="GC329">
        <v>2</v>
      </c>
      <c r="GD329">
        <v>3</v>
      </c>
      <c r="GE329">
        <v>0</v>
      </c>
      <c r="GF329">
        <v>0</v>
      </c>
      <c r="GG329">
        <v>10</v>
      </c>
      <c r="GH329">
        <v>7</v>
      </c>
      <c r="GI329">
        <v>9</v>
      </c>
      <c r="GJ329">
        <v>10</v>
      </c>
      <c r="GK329">
        <v>10</v>
      </c>
      <c r="GL329">
        <v>5</v>
      </c>
      <c r="GM329">
        <v>2</v>
      </c>
      <c r="GN329">
        <v>3</v>
      </c>
      <c r="GO329">
        <v>1</v>
      </c>
      <c r="GP329">
        <v>30</v>
      </c>
      <c r="GQ329">
        <v>22</v>
      </c>
      <c r="GR329">
        <v>41</v>
      </c>
      <c r="GS329">
        <v>17</v>
      </c>
      <c r="GT329">
        <v>14</v>
      </c>
      <c r="GU329">
        <v>36</v>
      </c>
      <c r="GV329">
        <v>3</v>
      </c>
      <c r="GW329">
        <v>20</v>
      </c>
      <c r="GX329">
        <v>40</v>
      </c>
      <c r="GY329">
        <v>6</v>
      </c>
      <c r="GZ329">
        <v>56</v>
      </c>
      <c r="HA329">
        <v>35</v>
      </c>
      <c r="HB329">
        <v>26</v>
      </c>
      <c r="HC329">
        <v>6</v>
      </c>
      <c r="HD329">
        <v>5</v>
      </c>
      <c r="HE329">
        <v>13</v>
      </c>
      <c r="HF329">
        <v>31</v>
      </c>
      <c r="HG329">
        <v>24</v>
      </c>
      <c r="HH329">
        <v>20</v>
      </c>
      <c r="HI329">
        <v>16</v>
      </c>
      <c r="HJ329">
        <v>9</v>
      </c>
      <c r="HK329">
        <v>11</v>
      </c>
      <c r="HL329">
        <v>1</v>
      </c>
      <c r="HM329">
        <v>3</v>
      </c>
      <c r="HN329">
        <v>1</v>
      </c>
      <c r="HO329">
        <v>2</v>
      </c>
      <c r="HP329">
        <v>2</v>
      </c>
      <c r="HQ329">
        <v>2</v>
      </c>
      <c r="HR329">
        <v>520</v>
      </c>
      <c r="HS329">
        <v>1017</v>
      </c>
      <c r="HT329">
        <v>7</v>
      </c>
      <c r="HU329">
        <v>35</v>
      </c>
      <c r="HV329">
        <v>30</v>
      </c>
      <c r="HW329">
        <v>79</v>
      </c>
      <c r="HX329">
        <v>11</v>
      </c>
      <c r="HY329">
        <v>3</v>
      </c>
      <c r="HZ329">
        <v>3</v>
      </c>
      <c r="IA329">
        <v>2</v>
      </c>
      <c r="IB329">
        <v>121</v>
      </c>
      <c r="IC329">
        <v>3</v>
      </c>
      <c r="ID329">
        <v>215</v>
      </c>
      <c r="IE329">
        <v>42</v>
      </c>
      <c r="IF329">
        <v>11</v>
      </c>
      <c r="IG329">
        <v>15</v>
      </c>
      <c r="IH329">
        <v>27</v>
      </c>
      <c r="II329">
        <v>18</v>
      </c>
      <c r="IJ329">
        <v>2</v>
      </c>
      <c r="IK329">
        <v>44</v>
      </c>
      <c r="IL329">
        <v>122</v>
      </c>
      <c r="IM329">
        <v>75</v>
      </c>
      <c r="IN329">
        <v>5</v>
      </c>
      <c r="IO329">
        <v>7</v>
      </c>
      <c r="IP329">
        <v>25</v>
      </c>
      <c r="IQ329">
        <v>1</v>
      </c>
      <c r="IR329">
        <v>7</v>
      </c>
      <c r="IS329">
        <v>17</v>
      </c>
      <c r="IT329">
        <v>15</v>
      </c>
      <c r="IU329">
        <v>7</v>
      </c>
      <c r="IV329">
        <v>6</v>
      </c>
      <c r="IW329">
        <v>17</v>
      </c>
      <c r="IX329">
        <v>12</v>
      </c>
      <c r="IY329">
        <v>1</v>
      </c>
      <c r="IZ329">
        <v>23</v>
      </c>
      <c r="JA329">
        <v>20</v>
      </c>
      <c r="JB329">
        <v>14</v>
      </c>
      <c r="JC329">
        <v>2</v>
      </c>
      <c r="JD329">
        <v>7</v>
      </c>
      <c r="JE329">
        <v>9</v>
      </c>
      <c r="JF329">
        <v>6</v>
      </c>
      <c r="JG329">
        <v>83</v>
      </c>
      <c r="JH329">
        <v>10</v>
      </c>
      <c r="JI329">
        <v>2</v>
      </c>
      <c r="JJ329">
        <v>14</v>
      </c>
      <c r="JK329">
        <v>394</v>
      </c>
      <c r="JL329">
        <v>299</v>
      </c>
      <c r="JM329">
        <v>256</v>
      </c>
      <c r="JN329">
        <v>585</v>
      </c>
      <c r="JO329">
        <v>1211</v>
      </c>
      <c r="JP329">
        <v>93</v>
      </c>
      <c r="JQ329">
        <v>766</v>
      </c>
      <c r="JR329">
        <v>328</v>
      </c>
      <c r="JS329">
        <v>1758</v>
      </c>
      <c r="JT329">
        <v>149</v>
      </c>
      <c r="JV329">
        <v>343</v>
      </c>
      <c r="JW329">
        <v>196</v>
      </c>
      <c r="JX329">
        <v>267</v>
      </c>
      <c r="JY329">
        <v>430</v>
      </c>
      <c r="JZ329">
        <v>273</v>
      </c>
      <c r="KA329">
        <v>205</v>
      </c>
      <c r="KB329">
        <v>95</v>
      </c>
      <c r="KC329">
        <v>291</v>
      </c>
      <c r="KD329">
        <v>186</v>
      </c>
      <c r="KE329">
        <v>1</v>
      </c>
      <c r="KF329">
        <v>1</v>
      </c>
      <c r="KG329">
        <v>688</v>
      </c>
      <c r="KH329">
        <v>2949</v>
      </c>
      <c r="KI329">
        <v>644</v>
      </c>
      <c r="KJ329">
        <v>17</v>
      </c>
      <c r="KK329">
        <v>638</v>
      </c>
      <c r="KL329">
        <v>69</v>
      </c>
      <c r="KM329">
        <v>2989</v>
      </c>
      <c r="KN329">
        <v>21</v>
      </c>
      <c r="KO329">
        <v>28</v>
      </c>
      <c r="KP329">
        <v>36</v>
      </c>
      <c r="KQ329">
        <v>2</v>
      </c>
      <c r="KR329">
        <v>140</v>
      </c>
      <c r="KS329">
        <v>92</v>
      </c>
      <c r="KT329">
        <v>0</v>
      </c>
      <c r="KU329">
        <v>3</v>
      </c>
      <c r="KV329">
        <v>6</v>
      </c>
      <c r="KW329">
        <v>1766</v>
      </c>
      <c r="KX329">
        <v>1149</v>
      </c>
      <c r="KY329">
        <v>30</v>
      </c>
      <c r="KZ329">
        <v>513</v>
      </c>
      <c r="LA329">
        <v>18</v>
      </c>
      <c r="LB329">
        <v>0</v>
      </c>
      <c r="LC329">
        <v>660</v>
      </c>
      <c r="LD329">
        <v>1292</v>
      </c>
      <c r="LE329">
        <v>691</v>
      </c>
      <c r="LF329">
        <v>133</v>
      </c>
      <c r="LG329">
        <v>1</v>
      </c>
      <c r="LH329">
        <v>74</v>
      </c>
      <c r="LI329">
        <v>186</v>
      </c>
      <c r="LJ329">
        <v>26</v>
      </c>
      <c r="LK329">
        <v>3975</v>
      </c>
      <c r="LL329">
        <v>460</v>
      </c>
      <c r="LM329">
        <v>453</v>
      </c>
      <c r="LN329">
        <v>837</v>
      </c>
      <c r="LO329">
        <v>2106</v>
      </c>
      <c r="LP329">
        <v>186</v>
      </c>
      <c r="LQ329">
        <v>1603</v>
      </c>
      <c r="LR329">
        <v>666</v>
      </c>
      <c r="LS329">
        <v>84</v>
      </c>
      <c r="LT329">
        <v>107</v>
      </c>
      <c r="LU329">
        <v>97</v>
      </c>
      <c r="LV329">
        <v>273</v>
      </c>
      <c r="LW329">
        <v>827</v>
      </c>
      <c r="LX329">
        <v>218</v>
      </c>
      <c r="LY329">
        <v>63</v>
      </c>
      <c r="LZ329">
        <v>759</v>
      </c>
      <c r="MA329">
        <v>66</v>
      </c>
      <c r="MB329">
        <v>52</v>
      </c>
      <c r="MC329">
        <v>23</v>
      </c>
      <c r="MD329">
        <v>31</v>
      </c>
      <c r="ME329">
        <v>184</v>
      </c>
      <c r="MF329">
        <v>1133</v>
      </c>
      <c r="MG329">
        <v>329</v>
      </c>
      <c r="MH329">
        <v>1038</v>
      </c>
      <c r="MI329">
        <v>89</v>
      </c>
      <c r="MJ329">
        <v>140</v>
      </c>
      <c r="MK329">
        <v>186</v>
      </c>
      <c r="ML329">
        <v>100</v>
      </c>
      <c r="MM329">
        <v>318</v>
      </c>
      <c r="MN329">
        <v>303</v>
      </c>
      <c r="MO329">
        <v>1257</v>
      </c>
      <c r="MP329">
        <v>29</v>
      </c>
      <c r="MQ329">
        <v>46</v>
      </c>
      <c r="MR329">
        <v>30</v>
      </c>
      <c r="MS329">
        <v>752</v>
      </c>
      <c r="MT329">
        <v>19</v>
      </c>
      <c r="MU329">
        <v>36</v>
      </c>
      <c r="MV329">
        <v>217</v>
      </c>
      <c r="MW329">
        <v>181</v>
      </c>
      <c r="MX329">
        <v>82</v>
      </c>
      <c r="MY329">
        <v>155</v>
      </c>
      <c r="MZ329">
        <v>1801</v>
      </c>
      <c r="NA329">
        <v>239</v>
      </c>
      <c r="NB329">
        <v>57</v>
      </c>
      <c r="NC329">
        <v>72</v>
      </c>
      <c r="ND329">
        <v>83</v>
      </c>
      <c r="NE329">
        <v>57</v>
      </c>
      <c r="NF329">
        <v>157</v>
      </c>
      <c r="NG329">
        <v>114</v>
      </c>
      <c r="NH329">
        <v>127</v>
      </c>
      <c r="NI329">
        <v>152</v>
      </c>
      <c r="NJ329">
        <v>44</v>
      </c>
      <c r="NK329">
        <v>53</v>
      </c>
      <c r="NL329">
        <v>146</v>
      </c>
      <c r="NM329">
        <v>281</v>
      </c>
      <c r="NN329">
        <v>469</v>
      </c>
      <c r="NO329">
        <v>187</v>
      </c>
      <c r="NP329">
        <v>180</v>
      </c>
      <c r="NQ329">
        <v>78</v>
      </c>
      <c r="NR329">
        <v>193</v>
      </c>
      <c r="NS329">
        <v>47</v>
      </c>
      <c r="NT329">
        <v>224</v>
      </c>
      <c r="NU329">
        <v>57</v>
      </c>
      <c r="NV329">
        <v>337</v>
      </c>
      <c r="NW329">
        <v>8</v>
      </c>
      <c r="NX329">
        <v>71</v>
      </c>
      <c r="NY329">
        <v>260</v>
      </c>
      <c r="NZ329">
        <v>15</v>
      </c>
      <c r="OA329">
        <v>34</v>
      </c>
      <c r="OB329">
        <v>140</v>
      </c>
      <c r="OD329">
        <v>217</v>
      </c>
      <c r="OE329">
        <v>146</v>
      </c>
      <c r="OF329">
        <v>0</v>
      </c>
      <c r="OG329">
        <v>17</v>
      </c>
      <c r="OH329">
        <v>93</v>
      </c>
      <c r="OI329">
        <v>57</v>
      </c>
      <c r="OJ329">
        <v>72</v>
      </c>
      <c r="OK329">
        <v>404</v>
      </c>
      <c r="OM329">
        <v>5</v>
      </c>
      <c r="ON329">
        <v>129</v>
      </c>
      <c r="OO329">
        <v>59731</v>
      </c>
      <c r="OP329">
        <v>78600</v>
      </c>
      <c r="OV329">
        <v>2192</v>
      </c>
      <c r="PI329">
        <v>140524</v>
      </c>
      <c r="PM329" t="str">
        <f>IFERROR(VLOOKUP($A329&amp;"",Key!$A:$C,3,FALSE),"")</f>
        <v>ISIC 68</v>
      </c>
    </row>
    <row r="330" spans="1:429" x14ac:dyDescent="0.25">
      <c r="A330">
        <v>532400</v>
      </c>
      <c r="B330" t="s">
        <v>465</v>
      </c>
      <c r="C330">
        <v>106</v>
      </c>
      <c r="D330">
        <v>631</v>
      </c>
      <c r="E330">
        <v>140</v>
      </c>
      <c r="F330">
        <v>93</v>
      </c>
      <c r="G330">
        <v>132</v>
      </c>
      <c r="H330">
        <v>253</v>
      </c>
      <c r="I330">
        <v>183</v>
      </c>
      <c r="J330">
        <v>112</v>
      </c>
      <c r="K330">
        <v>58</v>
      </c>
      <c r="L330">
        <v>36</v>
      </c>
      <c r="M330">
        <v>25</v>
      </c>
      <c r="O330">
        <v>74</v>
      </c>
      <c r="P330">
        <v>2245</v>
      </c>
      <c r="Q330">
        <v>698</v>
      </c>
      <c r="R330">
        <v>57</v>
      </c>
      <c r="S330">
        <v>146</v>
      </c>
      <c r="T330">
        <v>475</v>
      </c>
      <c r="U330">
        <v>482</v>
      </c>
      <c r="V330">
        <v>1277</v>
      </c>
      <c r="W330">
        <v>2287</v>
      </c>
      <c r="X330">
        <v>1397</v>
      </c>
      <c r="Y330">
        <v>265</v>
      </c>
      <c r="Z330">
        <v>18</v>
      </c>
      <c r="AA330">
        <v>332</v>
      </c>
      <c r="AB330">
        <v>922</v>
      </c>
      <c r="AC330">
        <v>4600</v>
      </c>
      <c r="AD330">
        <v>1031</v>
      </c>
      <c r="AE330">
        <v>1905</v>
      </c>
      <c r="AF330">
        <v>705</v>
      </c>
      <c r="AG330">
        <v>3642</v>
      </c>
      <c r="AH330">
        <v>962</v>
      </c>
      <c r="AI330">
        <v>1839</v>
      </c>
      <c r="AJ330">
        <v>1709</v>
      </c>
      <c r="AK330">
        <v>1662</v>
      </c>
      <c r="AL330">
        <v>3591</v>
      </c>
      <c r="AM330">
        <v>29</v>
      </c>
      <c r="AN330">
        <v>21</v>
      </c>
      <c r="AO330">
        <v>22</v>
      </c>
      <c r="AP330">
        <v>26</v>
      </c>
      <c r="AQ330">
        <v>10</v>
      </c>
      <c r="AR330">
        <v>38</v>
      </c>
      <c r="AS330">
        <v>28</v>
      </c>
      <c r="AT330">
        <v>71</v>
      </c>
      <c r="AU330">
        <v>17</v>
      </c>
      <c r="AV330">
        <v>36</v>
      </c>
      <c r="AW330">
        <v>22</v>
      </c>
      <c r="AX330">
        <v>3</v>
      </c>
      <c r="AY330">
        <v>7</v>
      </c>
      <c r="AZ330">
        <v>10</v>
      </c>
      <c r="BA330">
        <v>8</v>
      </c>
      <c r="BB330">
        <v>18</v>
      </c>
      <c r="BC330">
        <v>82</v>
      </c>
      <c r="BD330">
        <v>19</v>
      </c>
      <c r="BE330">
        <v>4</v>
      </c>
      <c r="BF330">
        <v>4</v>
      </c>
      <c r="BG330">
        <v>27</v>
      </c>
      <c r="BH330">
        <v>15</v>
      </c>
      <c r="BI330">
        <v>8</v>
      </c>
      <c r="BJ330">
        <v>12</v>
      </c>
      <c r="BK330">
        <v>12</v>
      </c>
      <c r="BL330">
        <v>14</v>
      </c>
      <c r="BM330">
        <v>10</v>
      </c>
      <c r="BN330">
        <v>10</v>
      </c>
      <c r="BO330">
        <v>10</v>
      </c>
      <c r="BP330">
        <v>15</v>
      </c>
      <c r="BQ330">
        <v>84</v>
      </c>
      <c r="BR330">
        <v>59</v>
      </c>
      <c r="BS330">
        <v>7</v>
      </c>
      <c r="BT330">
        <v>11</v>
      </c>
      <c r="BU330">
        <v>7</v>
      </c>
      <c r="BV330">
        <v>9</v>
      </c>
      <c r="BW330">
        <v>7</v>
      </c>
      <c r="BX330">
        <v>66</v>
      </c>
      <c r="BY330">
        <v>69</v>
      </c>
      <c r="BZ330">
        <v>35</v>
      </c>
      <c r="CA330">
        <v>8</v>
      </c>
      <c r="CB330">
        <v>19</v>
      </c>
      <c r="CC330">
        <v>6</v>
      </c>
      <c r="CD330">
        <v>6</v>
      </c>
      <c r="CE330">
        <v>14</v>
      </c>
      <c r="CF330">
        <v>13</v>
      </c>
      <c r="CG330">
        <v>13</v>
      </c>
      <c r="CH330">
        <v>3</v>
      </c>
      <c r="CI330">
        <v>18</v>
      </c>
      <c r="CJ330">
        <v>17</v>
      </c>
      <c r="CK330">
        <v>1</v>
      </c>
      <c r="CL330">
        <v>29</v>
      </c>
      <c r="CM330">
        <v>4</v>
      </c>
      <c r="CN330">
        <v>1</v>
      </c>
      <c r="CO330">
        <v>16</v>
      </c>
      <c r="CP330">
        <v>3</v>
      </c>
      <c r="CQ330">
        <v>19</v>
      </c>
      <c r="CR330">
        <v>6</v>
      </c>
      <c r="CS330">
        <v>10</v>
      </c>
      <c r="CT330">
        <v>11</v>
      </c>
      <c r="CU330">
        <v>7</v>
      </c>
      <c r="CV330">
        <v>15</v>
      </c>
      <c r="CW330">
        <v>9</v>
      </c>
      <c r="CX330">
        <v>3</v>
      </c>
      <c r="CY330">
        <v>4</v>
      </c>
      <c r="CZ330">
        <v>9</v>
      </c>
      <c r="DA330">
        <v>6</v>
      </c>
      <c r="DB330">
        <v>16</v>
      </c>
      <c r="DC330">
        <v>30</v>
      </c>
      <c r="DD330">
        <v>2</v>
      </c>
      <c r="DE330">
        <v>4</v>
      </c>
      <c r="DF330">
        <v>2</v>
      </c>
      <c r="DG330">
        <v>13</v>
      </c>
      <c r="DH330">
        <v>13</v>
      </c>
      <c r="DI330">
        <v>0</v>
      </c>
      <c r="DJ330">
        <v>0</v>
      </c>
      <c r="DK330">
        <v>1</v>
      </c>
      <c r="DL330">
        <v>0</v>
      </c>
      <c r="DM330">
        <v>4</v>
      </c>
      <c r="DN330">
        <v>0</v>
      </c>
      <c r="DO330">
        <v>9</v>
      </c>
      <c r="DP330">
        <v>3</v>
      </c>
      <c r="DQ330">
        <v>2</v>
      </c>
      <c r="DR330">
        <v>15</v>
      </c>
      <c r="DS330">
        <v>12</v>
      </c>
      <c r="DT330">
        <v>0</v>
      </c>
      <c r="DU330">
        <v>1</v>
      </c>
      <c r="DV330">
        <v>0</v>
      </c>
      <c r="DW330">
        <v>0</v>
      </c>
      <c r="DX330">
        <v>5</v>
      </c>
      <c r="DY330">
        <v>0</v>
      </c>
      <c r="DZ330">
        <v>1</v>
      </c>
      <c r="EA330">
        <v>0</v>
      </c>
      <c r="EB330">
        <v>0</v>
      </c>
      <c r="EC330">
        <v>1</v>
      </c>
      <c r="ED330">
        <v>6</v>
      </c>
      <c r="EE330">
        <v>0</v>
      </c>
      <c r="EF330">
        <v>19</v>
      </c>
      <c r="EG330">
        <v>1</v>
      </c>
      <c r="EH330">
        <v>7</v>
      </c>
      <c r="EI330">
        <v>8</v>
      </c>
      <c r="EJ330">
        <v>5</v>
      </c>
      <c r="EK330">
        <v>3</v>
      </c>
      <c r="EL330">
        <v>0</v>
      </c>
      <c r="EM330">
        <v>3</v>
      </c>
      <c r="EN330">
        <v>5</v>
      </c>
      <c r="EO330">
        <v>0</v>
      </c>
      <c r="EP330">
        <v>11</v>
      </c>
      <c r="EQ330">
        <v>2</v>
      </c>
      <c r="ER330">
        <v>8</v>
      </c>
      <c r="ES330">
        <v>4</v>
      </c>
      <c r="ET330">
        <v>10</v>
      </c>
      <c r="EU330">
        <v>6</v>
      </c>
      <c r="EW330">
        <v>5</v>
      </c>
      <c r="EX330">
        <v>26</v>
      </c>
      <c r="EY330">
        <v>16</v>
      </c>
      <c r="EZ330">
        <v>16</v>
      </c>
      <c r="FA330">
        <v>48</v>
      </c>
      <c r="FB330">
        <v>35</v>
      </c>
      <c r="FC330">
        <v>40</v>
      </c>
      <c r="FD330">
        <v>17</v>
      </c>
      <c r="FE330">
        <v>57</v>
      </c>
      <c r="FF330">
        <v>38</v>
      </c>
      <c r="FG330">
        <v>28</v>
      </c>
      <c r="FH330">
        <v>21</v>
      </c>
      <c r="FI330">
        <v>114</v>
      </c>
      <c r="FJ330">
        <v>10</v>
      </c>
      <c r="FK330">
        <v>42</v>
      </c>
      <c r="FL330">
        <v>14</v>
      </c>
      <c r="FM330">
        <v>5</v>
      </c>
      <c r="FN330">
        <v>9</v>
      </c>
      <c r="FO330">
        <v>10</v>
      </c>
      <c r="FP330">
        <v>14</v>
      </c>
      <c r="FQ330">
        <v>45</v>
      </c>
      <c r="FR330">
        <v>3</v>
      </c>
      <c r="FS330">
        <v>5</v>
      </c>
      <c r="FT330">
        <v>5</v>
      </c>
      <c r="FU330">
        <v>8</v>
      </c>
      <c r="FV330">
        <v>21</v>
      </c>
      <c r="FW330">
        <v>13</v>
      </c>
      <c r="FX330">
        <v>15</v>
      </c>
      <c r="FY330">
        <v>12</v>
      </c>
      <c r="FZ330">
        <v>5</v>
      </c>
      <c r="GA330">
        <v>1</v>
      </c>
      <c r="GB330">
        <v>5</v>
      </c>
      <c r="GC330">
        <v>6</v>
      </c>
      <c r="GD330">
        <v>5</v>
      </c>
      <c r="GE330">
        <v>0</v>
      </c>
      <c r="GF330">
        <v>3</v>
      </c>
      <c r="GG330">
        <v>15</v>
      </c>
      <c r="GH330">
        <v>14</v>
      </c>
      <c r="GI330">
        <v>14</v>
      </c>
      <c r="GJ330">
        <v>16</v>
      </c>
      <c r="GK330">
        <v>16</v>
      </c>
      <c r="GL330">
        <v>7</v>
      </c>
      <c r="GM330">
        <v>4</v>
      </c>
      <c r="GN330">
        <v>4</v>
      </c>
      <c r="GO330">
        <v>4</v>
      </c>
      <c r="GP330">
        <v>69</v>
      </c>
      <c r="GQ330">
        <v>34</v>
      </c>
      <c r="GR330">
        <v>64</v>
      </c>
      <c r="GS330">
        <v>27</v>
      </c>
      <c r="GT330">
        <v>22</v>
      </c>
      <c r="GU330">
        <v>56</v>
      </c>
      <c r="GV330">
        <v>9</v>
      </c>
      <c r="GW330">
        <v>30</v>
      </c>
      <c r="GX330">
        <v>63</v>
      </c>
      <c r="GY330">
        <v>10</v>
      </c>
      <c r="GZ330">
        <v>86</v>
      </c>
      <c r="HA330">
        <v>58</v>
      </c>
      <c r="HB330">
        <v>41</v>
      </c>
      <c r="HC330">
        <v>10</v>
      </c>
      <c r="HD330">
        <v>13</v>
      </c>
      <c r="HE330">
        <v>20</v>
      </c>
      <c r="HF330">
        <v>35</v>
      </c>
      <c r="HG330">
        <v>37</v>
      </c>
      <c r="HH330">
        <v>34</v>
      </c>
      <c r="HI330">
        <v>26</v>
      </c>
      <c r="HJ330">
        <v>24</v>
      </c>
      <c r="HK330">
        <v>33</v>
      </c>
      <c r="HL330">
        <v>2</v>
      </c>
      <c r="HM330">
        <v>9</v>
      </c>
      <c r="HN330">
        <v>4</v>
      </c>
      <c r="HO330">
        <v>3</v>
      </c>
      <c r="HP330">
        <v>5</v>
      </c>
      <c r="HQ330">
        <v>8</v>
      </c>
      <c r="HR330">
        <v>1</v>
      </c>
      <c r="HS330">
        <v>1</v>
      </c>
      <c r="HT330">
        <v>17</v>
      </c>
      <c r="HU330">
        <v>53</v>
      </c>
      <c r="HV330">
        <v>45</v>
      </c>
      <c r="HW330">
        <v>118</v>
      </c>
      <c r="HX330">
        <v>17</v>
      </c>
      <c r="HY330">
        <v>5</v>
      </c>
      <c r="HZ330">
        <v>8</v>
      </c>
      <c r="IA330">
        <v>6</v>
      </c>
      <c r="IB330">
        <v>180</v>
      </c>
      <c r="IC330">
        <v>7</v>
      </c>
      <c r="ID330">
        <v>323</v>
      </c>
      <c r="IE330">
        <v>63</v>
      </c>
      <c r="IF330">
        <v>17</v>
      </c>
      <c r="IG330">
        <v>28</v>
      </c>
      <c r="IH330">
        <v>42</v>
      </c>
      <c r="II330">
        <v>28</v>
      </c>
      <c r="IJ330">
        <v>3</v>
      </c>
      <c r="IK330">
        <v>68</v>
      </c>
      <c r="IL330">
        <v>181</v>
      </c>
      <c r="IM330">
        <v>113</v>
      </c>
      <c r="IN330">
        <v>12</v>
      </c>
      <c r="IO330">
        <v>12</v>
      </c>
      <c r="IP330">
        <v>39</v>
      </c>
      <c r="IQ330">
        <v>3</v>
      </c>
      <c r="IR330">
        <v>11</v>
      </c>
      <c r="IS330">
        <v>32</v>
      </c>
      <c r="IT330">
        <v>22</v>
      </c>
      <c r="IU330">
        <v>11</v>
      </c>
      <c r="IV330">
        <v>10</v>
      </c>
      <c r="IW330">
        <v>27</v>
      </c>
      <c r="IX330">
        <v>19</v>
      </c>
      <c r="IY330">
        <v>2</v>
      </c>
      <c r="IZ330">
        <v>39</v>
      </c>
      <c r="JA330">
        <v>34</v>
      </c>
      <c r="JB330">
        <v>23</v>
      </c>
      <c r="JC330">
        <v>6</v>
      </c>
      <c r="JD330">
        <v>10</v>
      </c>
      <c r="JE330">
        <v>14</v>
      </c>
      <c r="JF330">
        <v>10</v>
      </c>
      <c r="JG330">
        <v>123</v>
      </c>
      <c r="JH330">
        <v>16</v>
      </c>
      <c r="JI330">
        <v>6</v>
      </c>
      <c r="JJ330">
        <v>21</v>
      </c>
      <c r="JK330">
        <v>232</v>
      </c>
      <c r="JL330">
        <v>170</v>
      </c>
      <c r="JM330">
        <v>146</v>
      </c>
      <c r="JN330">
        <v>283</v>
      </c>
      <c r="JO330">
        <v>707</v>
      </c>
      <c r="JP330">
        <v>54</v>
      </c>
      <c r="JQ330">
        <v>445</v>
      </c>
      <c r="JR330">
        <v>191</v>
      </c>
      <c r="JS330">
        <v>1026</v>
      </c>
      <c r="JT330">
        <v>81</v>
      </c>
      <c r="JV330">
        <v>251</v>
      </c>
      <c r="JW330">
        <v>119</v>
      </c>
      <c r="JX330">
        <v>115</v>
      </c>
      <c r="JY330">
        <v>214</v>
      </c>
      <c r="JZ330">
        <v>156</v>
      </c>
      <c r="KA330">
        <v>116</v>
      </c>
      <c r="KB330">
        <v>55</v>
      </c>
      <c r="KC330">
        <v>172</v>
      </c>
      <c r="KD330">
        <v>114</v>
      </c>
      <c r="KE330">
        <v>12293</v>
      </c>
      <c r="KF330">
        <v>5841</v>
      </c>
      <c r="KG330">
        <v>5720</v>
      </c>
      <c r="KH330">
        <v>3414</v>
      </c>
      <c r="KI330">
        <v>276</v>
      </c>
      <c r="KJ330">
        <v>35</v>
      </c>
      <c r="KK330">
        <v>1852</v>
      </c>
      <c r="KL330">
        <v>142</v>
      </c>
      <c r="KM330">
        <v>2378</v>
      </c>
      <c r="KN330">
        <v>13</v>
      </c>
      <c r="KO330">
        <v>17</v>
      </c>
      <c r="KP330">
        <v>22</v>
      </c>
      <c r="KQ330">
        <v>2</v>
      </c>
      <c r="KR330">
        <v>83</v>
      </c>
      <c r="KS330">
        <v>694</v>
      </c>
      <c r="KT330">
        <v>0</v>
      </c>
      <c r="KU330">
        <v>703</v>
      </c>
      <c r="KV330">
        <v>1402</v>
      </c>
      <c r="KW330">
        <v>1226</v>
      </c>
      <c r="KX330">
        <v>769</v>
      </c>
      <c r="KY330">
        <v>24</v>
      </c>
      <c r="KZ330">
        <v>409</v>
      </c>
      <c r="LA330">
        <v>2992</v>
      </c>
      <c r="LB330">
        <v>0</v>
      </c>
      <c r="LC330">
        <v>398</v>
      </c>
      <c r="LD330">
        <v>792</v>
      </c>
      <c r="LE330">
        <v>416</v>
      </c>
      <c r="LF330">
        <v>80</v>
      </c>
      <c r="LH330">
        <v>1946</v>
      </c>
      <c r="LI330">
        <v>112</v>
      </c>
      <c r="LJ330">
        <v>15</v>
      </c>
      <c r="LM330">
        <v>289</v>
      </c>
      <c r="LN330">
        <v>505</v>
      </c>
      <c r="LO330">
        <v>1296</v>
      </c>
      <c r="LP330">
        <v>4</v>
      </c>
      <c r="LQ330">
        <v>35</v>
      </c>
      <c r="LR330">
        <v>398</v>
      </c>
      <c r="LS330">
        <v>48</v>
      </c>
      <c r="LT330">
        <v>49</v>
      </c>
      <c r="LU330">
        <v>56</v>
      </c>
      <c r="LV330">
        <v>166</v>
      </c>
      <c r="LW330">
        <v>491</v>
      </c>
      <c r="LX330">
        <v>131</v>
      </c>
      <c r="LY330">
        <v>39</v>
      </c>
      <c r="LZ330">
        <v>449</v>
      </c>
      <c r="MA330">
        <v>2049</v>
      </c>
      <c r="MB330">
        <v>32</v>
      </c>
      <c r="MC330">
        <v>14</v>
      </c>
      <c r="MD330">
        <v>19</v>
      </c>
      <c r="ME330">
        <v>111</v>
      </c>
      <c r="MF330">
        <v>681</v>
      </c>
      <c r="MG330">
        <v>173</v>
      </c>
      <c r="MH330">
        <v>629</v>
      </c>
      <c r="MI330">
        <v>53</v>
      </c>
      <c r="MJ330">
        <v>83</v>
      </c>
      <c r="MK330">
        <v>113</v>
      </c>
      <c r="ML330">
        <v>59</v>
      </c>
      <c r="MM330">
        <v>191</v>
      </c>
      <c r="MN330">
        <v>183</v>
      </c>
      <c r="MO330">
        <v>759</v>
      </c>
      <c r="MP330">
        <v>7</v>
      </c>
      <c r="MQ330">
        <v>22</v>
      </c>
      <c r="MR330">
        <v>25</v>
      </c>
      <c r="MS330">
        <v>667</v>
      </c>
      <c r="MT330">
        <v>17</v>
      </c>
      <c r="MU330">
        <v>32</v>
      </c>
      <c r="MV330">
        <v>195</v>
      </c>
      <c r="MW330">
        <v>161</v>
      </c>
      <c r="MX330">
        <v>151</v>
      </c>
      <c r="MY330">
        <v>141</v>
      </c>
      <c r="MZ330">
        <v>1785</v>
      </c>
      <c r="NA330">
        <v>214</v>
      </c>
      <c r="NB330">
        <v>55</v>
      </c>
      <c r="NC330">
        <v>67</v>
      </c>
      <c r="ND330">
        <v>69</v>
      </c>
      <c r="NE330">
        <v>38</v>
      </c>
      <c r="NF330">
        <v>95</v>
      </c>
      <c r="NG330">
        <v>69</v>
      </c>
      <c r="NH330">
        <v>77</v>
      </c>
      <c r="NI330">
        <v>90</v>
      </c>
      <c r="NJ330">
        <v>26</v>
      </c>
      <c r="NK330">
        <v>31</v>
      </c>
      <c r="NL330">
        <v>1107</v>
      </c>
      <c r="NM330">
        <v>168</v>
      </c>
      <c r="NN330">
        <v>292</v>
      </c>
      <c r="NO330">
        <v>116</v>
      </c>
      <c r="NP330">
        <v>103</v>
      </c>
      <c r="NQ330">
        <v>87</v>
      </c>
      <c r="NR330">
        <v>119</v>
      </c>
      <c r="NS330">
        <v>28</v>
      </c>
      <c r="NT330">
        <v>137</v>
      </c>
      <c r="NU330">
        <v>35</v>
      </c>
      <c r="NV330">
        <v>210</v>
      </c>
      <c r="NW330">
        <v>5</v>
      </c>
      <c r="NX330">
        <v>43</v>
      </c>
      <c r="NY330">
        <v>156</v>
      </c>
      <c r="NZ330">
        <v>1</v>
      </c>
      <c r="OA330">
        <v>17</v>
      </c>
      <c r="OB330">
        <v>85</v>
      </c>
      <c r="OD330">
        <v>1</v>
      </c>
      <c r="OE330">
        <v>5</v>
      </c>
      <c r="OF330">
        <v>0</v>
      </c>
      <c r="OG330">
        <v>10</v>
      </c>
      <c r="OH330">
        <v>72</v>
      </c>
      <c r="OI330">
        <v>32</v>
      </c>
      <c r="OJ330">
        <v>2866</v>
      </c>
      <c r="OK330">
        <v>174</v>
      </c>
      <c r="OM330">
        <v>3</v>
      </c>
      <c r="ON330">
        <v>134</v>
      </c>
      <c r="OO330">
        <v>106880</v>
      </c>
      <c r="OP330">
        <v>441</v>
      </c>
      <c r="OV330">
        <v>3883</v>
      </c>
      <c r="PI330">
        <v>111204</v>
      </c>
      <c r="PM330" t="str">
        <f>IFERROR(VLOOKUP($A330&amp;"",Key!$A:$C,3,FALSE),"")</f>
        <v>ISIC 68</v>
      </c>
    </row>
    <row r="331" spans="1:429" x14ac:dyDescent="0.25">
      <c r="A331" t="s">
        <v>612</v>
      </c>
      <c r="B331" t="s">
        <v>466</v>
      </c>
      <c r="AC331">
        <v>5</v>
      </c>
      <c r="AD331">
        <v>0</v>
      </c>
      <c r="AM331">
        <v>3</v>
      </c>
      <c r="AN331">
        <v>2</v>
      </c>
      <c r="AO331">
        <v>3</v>
      </c>
      <c r="AP331">
        <v>3</v>
      </c>
      <c r="AQ331">
        <v>2</v>
      </c>
      <c r="AR331">
        <v>6</v>
      </c>
      <c r="AS331">
        <v>3</v>
      </c>
      <c r="AT331">
        <v>8</v>
      </c>
      <c r="AU331">
        <v>2</v>
      </c>
      <c r="AV331">
        <v>4</v>
      </c>
      <c r="AW331">
        <v>2</v>
      </c>
      <c r="AX331">
        <v>2</v>
      </c>
      <c r="AY331">
        <v>1</v>
      </c>
      <c r="AZ331">
        <v>1</v>
      </c>
      <c r="BA331">
        <v>1</v>
      </c>
      <c r="BB331">
        <v>2</v>
      </c>
      <c r="BC331">
        <v>9</v>
      </c>
      <c r="BD331">
        <v>2</v>
      </c>
      <c r="BE331">
        <v>0</v>
      </c>
      <c r="BF331">
        <v>0</v>
      </c>
      <c r="BG331">
        <v>3</v>
      </c>
      <c r="BH331">
        <v>2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10</v>
      </c>
      <c r="BR331">
        <v>7</v>
      </c>
      <c r="BS331">
        <v>1</v>
      </c>
      <c r="BT331">
        <v>1</v>
      </c>
      <c r="BU331">
        <v>1</v>
      </c>
      <c r="BW331">
        <v>1</v>
      </c>
      <c r="BX331">
        <v>7</v>
      </c>
      <c r="BY331">
        <v>8</v>
      </c>
      <c r="BZ331">
        <v>4</v>
      </c>
      <c r="CB331">
        <v>2</v>
      </c>
      <c r="CC331">
        <v>1</v>
      </c>
      <c r="CD331">
        <v>1</v>
      </c>
      <c r="CE331">
        <v>1</v>
      </c>
      <c r="CF331">
        <v>2</v>
      </c>
      <c r="CG331">
        <v>1</v>
      </c>
      <c r="CH331">
        <v>0</v>
      </c>
      <c r="CI331">
        <v>2</v>
      </c>
      <c r="CJ331">
        <v>2</v>
      </c>
      <c r="CL331">
        <v>3</v>
      </c>
      <c r="CO331">
        <v>1</v>
      </c>
      <c r="CQ331">
        <v>2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0</v>
      </c>
      <c r="CY331">
        <v>0</v>
      </c>
      <c r="CZ331">
        <v>1</v>
      </c>
      <c r="DA331">
        <v>1</v>
      </c>
      <c r="DB331">
        <v>1</v>
      </c>
      <c r="DC331">
        <v>4</v>
      </c>
      <c r="DD331">
        <v>0</v>
      </c>
      <c r="DE331">
        <v>0</v>
      </c>
      <c r="DG331">
        <v>1</v>
      </c>
      <c r="DH331">
        <v>1</v>
      </c>
      <c r="DK331">
        <v>0</v>
      </c>
      <c r="DM331">
        <v>0</v>
      </c>
      <c r="DO331">
        <v>1</v>
      </c>
      <c r="DP331">
        <v>0</v>
      </c>
      <c r="DQ331">
        <v>0</v>
      </c>
      <c r="DR331">
        <v>2</v>
      </c>
      <c r="DS331">
        <v>1</v>
      </c>
      <c r="DU331">
        <v>0</v>
      </c>
      <c r="DV331">
        <v>0</v>
      </c>
      <c r="DW331">
        <v>0</v>
      </c>
      <c r="DX331">
        <v>1</v>
      </c>
      <c r="DZ331">
        <v>0</v>
      </c>
      <c r="ED331">
        <v>1</v>
      </c>
      <c r="EG331">
        <v>0</v>
      </c>
      <c r="EH331">
        <v>1</v>
      </c>
      <c r="EI331">
        <v>1</v>
      </c>
      <c r="EJ331">
        <v>1</v>
      </c>
      <c r="EK331">
        <v>0</v>
      </c>
      <c r="EM331">
        <v>0</v>
      </c>
      <c r="EN331">
        <v>0</v>
      </c>
      <c r="EP331">
        <v>1</v>
      </c>
      <c r="EQ331">
        <v>0</v>
      </c>
      <c r="ER331">
        <v>1</v>
      </c>
      <c r="ES331">
        <v>0</v>
      </c>
      <c r="ET331">
        <v>1</v>
      </c>
      <c r="EU331">
        <v>1</v>
      </c>
      <c r="EW331">
        <v>1</v>
      </c>
      <c r="EX331">
        <v>3</v>
      </c>
      <c r="EY331">
        <v>2</v>
      </c>
      <c r="EZ331">
        <v>2</v>
      </c>
      <c r="FA331">
        <v>5</v>
      </c>
      <c r="FB331">
        <v>4</v>
      </c>
      <c r="FC331">
        <v>4</v>
      </c>
      <c r="FD331">
        <v>2</v>
      </c>
      <c r="FE331">
        <v>6</v>
      </c>
      <c r="FF331">
        <v>4</v>
      </c>
      <c r="FG331">
        <v>3</v>
      </c>
      <c r="FH331">
        <v>2</v>
      </c>
      <c r="FI331">
        <v>11</v>
      </c>
      <c r="FJ331">
        <v>1</v>
      </c>
      <c r="FK331">
        <v>5</v>
      </c>
      <c r="FL331">
        <v>2</v>
      </c>
      <c r="FP331">
        <v>2</v>
      </c>
      <c r="FQ331">
        <v>5</v>
      </c>
      <c r="FR331">
        <v>0</v>
      </c>
      <c r="FS331">
        <v>1</v>
      </c>
      <c r="FU331">
        <v>1</v>
      </c>
      <c r="FV331">
        <v>2</v>
      </c>
      <c r="FW331">
        <v>1</v>
      </c>
      <c r="FX331">
        <v>2</v>
      </c>
      <c r="FY331">
        <v>1</v>
      </c>
      <c r="GB331">
        <v>1</v>
      </c>
      <c r="GC331">
        <v>1</v>
      </c>
      <c r="GD331">
        <v>1</v>
      </c>
      <c r="GG331">
        <v>2</v>
      </c>
      <c r="GH331">
        <v>1</v>
      </c>
      <c r="GI331">
        <v>2</v>
      </c>
      <c r="GJ331">
        <v>2</v>
      </c>
      <c r="GK331">
        <v>2</v>
      </c>
      <c r="GL331">
        <v>1</v>
      </c>
      <c r="GM331">
        <v>0</v>
      </c>
      <c r="GN331">
        <v>0</v>
      </c>
      <c r="GP331">
        <v>7</v>
      </c>
      <c r="GQ331">
        <v>4</v>
      </c>
      <c r="GR331">
        <v>7</v>
      </c>
      <c r="GS331">
        <v>3</v>
      </c>
      <c r="GT331">
        <v>2</v>
      </c>
      <c r="GU331">
        <v>6</v>
      </c>
      <c r="GV331">
        <v>1</v>
      </c>
      <c r="GW331">
        <v>3</v>
      </c>
      <c r="GX331">
        <v>7</v>
      </c>
      <c r="GY331">
        <v>1</v>
      </c>
      <c r="GZ331">
        <v>9</v>
      </c>
      <c r="HA331">
        <v>6</v>
      </c>
      <c r="HB331">
        <v>5</v>
      </c>
      <c r="HC331">
        <v>1</v>
      </c>
      <c r="HD331">
        <v>2</v>
      </c>
      <c r="HE331">
        <v>2</v>
      </c>
      <c r="HF331">
        <v>4</v>
      </c>
      <c r="HG331">
        <v>4</v>
      </c>
      <c r="HH331">
        <v>3</v>
      </c>
      <c r="HI331">
        <v>3</v>
      </c>
      <c r="HK331">
        <v>3</v>
      </c>
      <c r="HM331">
        <v>1</v>
      </c>
      <c r="HO331">
        <v>0</v>
      </c>
      <c r="HQ331">
        <v>0</v>
      </c>
      <c r="HR331">
        <v>0</v>
      </c>
      <c r="HT331">
        <v>2</v>
      </c>
      <c r="HU331">
        <v>6</v>
      </c>
      <c r="HV331">
        <v>5</v>
      </c>
      <c r="HW331">
        <v>13</v>
      </c>
      <c r="HX331">
        <v>2</v>
      </c>
      <c r="HY331">
        <v>0</v>
      </c>
      <c r="HZ331">
        <v>1</v>
      </c>
      <c r="IA331">
        <v>1</v>
      </c>
      <c r="IB331">
        <v>20</v>
      </c>
      <c r="IC331">
        <v>1</v>
      </c>
      <c r="ID331">
        <v>36</v>
      </c>
      <c r="IE331">
        <v>7</v>
      </c>
      <c r="IF331">
        <v>2</v>
      </c>
      <c r="IG331">
        <v>2</v>
      </c>
      <c r="IH331">
        <v>5</v>
      </c>
      <c r="II331">
        <v>3</v>
      </c>
      <c r="IJ331">
        <v>0</v>
      </c>
      <c r="IK331">
        <v>7</v>
      </c>
      <c r="IL331">
        <v>20</v>
      </c>
      <c r="IM331">
        <v>13</v>
      </c>
      <c r="IN331">
        <v>1</v>
      </c>
      <c r="IO331">
        <v>1</v>
      </c>
      <c r="IP331">
        <v>4</v>
      </c>
      <c r="IQ331">
        <v>0</v>
      </c>
      <c r="IR331">
        <v>1</v>
      </c>
      <c r="IS331">
        <v>3</v>
      </c>
      <c r="IT331">
        <v>2</v>
      </c>
      <c r="IU331">
        <v>1</v>
      </c>
      <c r="IV331">
        <v>1</v>
      </c>
      <c r="IW331">
        <v>3</v>
      </c>
      <c r="IX331">
        <v>2</v>
      </c>
      <c r="IY331">
        <v>0</v>
      </c>
      <c r="IZ331">
        <v>4</v>
      </c>
      <c r="JA331">
        <v>4</v>
      </c>
      <c r="JB331">
        <v>2</v>
      </c>
      <c r="JD331">
        <v>1</v>
      </c>
      <c r="JE331">
        <v>1</v>
      </c>
      <c r="JF331">
        <v>1</v>
      </c>
      <c r="JG331">
        <v>14</v>
      </c>
      <c r="JH331">
        <v>2</v>
      </c>
      <c r="JI331">
        <v>1</v>
      </c>
      <c r="JJ331">
        <v>2</v>
      </c>
      <c r="JK331">
        <v>34</v>
      </c>
      <c r="JL331">
        <v>26</v>
      </c>
      <c r="JM331">
        <v>22</v>
      </c>
      <c r="JN331">
        <v>43</v>
      </c>
      <c r="JO331">
        <v>101</v>
      </c>
      <c r="JP331">
        <v>8</v>
      </c>
      <c r="JQ331">
        <v>64</v>
      </c>
      <c r="JR331">
        <v>28</v>
      </c>
      <c r="JS331">
        <v>149</v>
      </c>
      <c r="JT331">
        <v>13</v>
      </c>
      <c r="JV331">
        <v>36</v>
      </c>
      <c r="JW331">
        <v>16</v>
      </c>
      <c r="JX331">
        <v>50</v>
      </c>
      <c r="JY331">
        <v>32</v>
      </c>
      <c r="JZ331">
        <v>23</v>
      </c>
      <c r="KA331">
        <v>17</v>
      </c>
      <c r="KB331">
        <v>8</v>
      </c>
      <c r="KC331">
        <v>24</v>
      </c>
      <c r="KD331">
        <v>15</v>
      </c>
      <c r="KE331">
        <v>0</v>
      </c>
      <c r="KF331">
        <v>9</v>
      </c>
      <c r="KH331">
        <v>1558</v>
      </c>
      <c r="KJ331">
        <v>6</v>
      </c>
      <c r="KK331">
        <v>225</v>
      </c>
      <c r="KL331">
        <v>530</v>
      </c>
      <c r="KM331">
        <v>439</v>
      </c>
      <c r="KN331">
        <v>2</v>
      </c>
      <c r="KO331">
        <v>2</v>
      </c>
      <c r="KP331">
        <v>3</v>
      </c>
      <c r="KQ331">
        <v>0</v>
      </c>
      <c r="KR331">
        <v>11</v>
      </c>
      <c r="KS331">
        <v>81</v>
      </c>
      <c r="KT331">
        <v>0</v>
      </c>
      <c r="KU331">
        <v>2</v>
      </c>
      <c r="KV331">
        <v>6</v>
      </c>
      <c r="KW331">
        <v>177</v>
      </c>
      <c r="KX331">
        <v>105</v>
      </c>
      <c r="KY331">
        <v>2</v>
      </c>
      <c r="KZ331">
        <v>40</v>
      </c>
      <c r="LA331">
        <v>1</v>
      </c>
      <c r="LC331">
        <v>55</v>
      </c>
      <c r="LD331">
        <v>109</v>
      </c>
      <c r="LE331">
        <v>58</v>
      </c>
      <c r="LF331">
        <v>11</v>
      </c>
      <c r="LH331">
        <v>273</v>
      </c>
      <c r="LI331">
        <v>16</v>
      </c>
      <c r="LL331">
        <v>0</v>
      </c>
      <c r="LM331">
        <v>37</v>
      </c>
      <c r="LN331">
        <v>70</v>
      </c>
      <c r="LO331">
        <v>177</v>
      </c>
      <c r="LP331">
        <v>16</v>
      </c>
      <c r="LQ331">
        <v>135</v>
      </c>
      <c r="LR331">
        <v>147</v>
      </c>
      <c r="LS331">
        <v>7</v>
      </c>
      <c r="LT331">
        <v>7</v>
      </c>
      <c r="LU331">
        <v>42</v>
      </c>
      <c r="LV331">
        <v>88</v>
      </c>
      <c r="LW331">
        <v>72</v>
      </c>
      <c r="LX331">
        <v>86</v>
      </c>
      <c r="LY331">
        <v>24</v>
      </c>
      <c r="LZ331">
        <v>64</v>
      </c>
      <c r="MA331">
        <v>43</v>
      </c>
      <c r="MB331">
        <v>4</v>
      </c>
      <c r="MC331">
        <v>2</v>
      </c>
      <c r="MD331">
        <v>3</v>
      </c>
      <c r="ME331">
        <v>62</v>
      </c>
      <c r="MF331">
        <v>1133</v>
      </c>
      <c r="MG331">
        <v>48</v>
      </c>
      <c r="MH331">
        <v>1469</v>
      </c>
      <c r="MI331">
        <v>62</v>
      </c>
      <c r="MJ331">
        <v>12</v>
      </c>
      <c r="MK331">
        <v>27</v>
      </c>
      <c r="ML331">
        <v>65</v>
      </c>
      <c r="MM331">
        <v>27</v>
      </c>
      <c r="MN331">
        <v>79</v>
      </c>
      <c r="MO331">
        <v>104</v>
      </c>
      <c r="MP331">
        <v>393</v>
      </c>
      <c r="MQ331">
        <v>584</v>
      </c>
      <c r="MR331">
        <v>2</v>
      </c>
      <c r="MS331">
        <v>63</v>
      </c>
      <c r="MT331">
        <v>2</v>
      </c>
      <c r="MU331">
        <v>3</v>
      </c>
      <c r="MV331">
        <v>16</v>
      </c>
      <c r="MW331">
        <v>15</v>
      </c>
      <c r="MX331">
        <v>7</v>
      </c>
      <c r="MY331">
        <v>13</v>
      </c>
      <c r="MZ331">
        <v>148</v>
      </c>
      <c r="NA331">
        <v>20</v>
      </c>
      <c r="NB331">
        <v>5</v>
      </c>
      <c r="NC331">
        <v>6</v>
      </c>
      <c r="ND331">
        <v>6</v>
      </c>
      <c r="NE331">
        <v>3</v>
      </c>
      <c r="NF331">
        <v>19</v>
      </c>
      <c r="NG331">
        <v>8</v>
      </c>
      <c r="NH331">
        <v>11</v>
      </c>
      <c r="NI331">
        <v>13</v>
      </c>
      <c r="NJ331">
        <v>4</v>
      </c>
      <c r="NK331">
        <v>4</v>
      </c>
      <c r="NL331">
        <v>12</v>
      </c>
      <c r="NM331">
        <v>24</v>
      </c>
      <c r="NN331">
        <v>39</v>
      </c>
      <c r="NO331">
        <v>15</v>
      </c>
      <c r="NP331">
        <v>14</v>
      </c>
      <c r="NQ331">
        <v>6</v>
      </c>
      <c r="NR331">
        <v>17</v>
      </c>
      <c r="NS331">
        <v>4</v>
      </c>
      <c r="NT331">
        <v>19</v>
      </c>
      <c r="NU331">
        <v>5</v>
      </c>
      <c r="NV331">
        <v>29</v>
      </c>
      <c r="NW331">
        <v>0</v>
      </c>
      <c r="NX331">
        <v>6</v>
      </c>
      <c r="NY331">
        <v>22</v>
      </c>
      <c r="OA331">
        <v>2</v>
      </c>
      <c r="OB331">
        <v>12</v>
      </c>
      <c r="OI331">
        <v>778</v>
      </c>
      <c r="OJ331">
        <v>1153</v>
      </c>
      <c r="OK331">
        <v>175</v>
      </c>
      <c r="ON331">
        <v>26</v>
      </c>
      <c r="OO331">
        <v>12770</v>
      </c>
      <c r="OP331">
        <v>18051</v>
      </c>
      <c r="OV331">
        <v>920</v>
      </c>
      <c r="PI331">
        <v>31741</v>
      </c>
      <c r="PM331" t="str">
        <f>IFERROR(VLOOKUP($A331&amp;"",Key!$A:$C,3,FALSE),"")</f>
        <v>ISIC 68</v>
      </c>
    </row>
    <row r="332" spans="1:429" x14ac:dyDescent="0.25">
      <c r="A332">
        <v>533000</v>
      </c>
      <c r="B332" t="s">
        <v>467</v>
      </c>
      <c r="C332">
        <v>4</v>
      </c>
      <c r="D332">
        <v>23</v>
      </c>
      <c r="E332">
        <v>14</v>
      </c>
      <c r="F332">
        <v>12</v>
      </c>
      <c r="G332">
        <v>6</v>
      </c>
      <c r="H332">
        <v>8</v>
      </c>
      <c r="O332">
        <v>8</v>
      </c>
      <c r="P332">
        <v>85</v>
      </c>
      <c r="Q332">
        <v>216</v>
      </c>
      <c r="R332">
        <v>11</v>
      </c>
      <c r="S332">
        <v>7</v>
      </c>
      <c r="T332">
        <v>17</v>
      </c>
      <c r="U332">
        <v>28</v>
      </c>
      <c r="V332">
        <v>77</v>
      </c>
      <c r="W332">
        <v>610</v>
      </c>
      <c r="X332">
        <v>536</v>
      </c>
      <c r="Y332">
        <v>27</v>
      </c>
      <c r="Z332">
        <v>19</v>
      </c>
      <c r="AA332">
        <v>5</v>
      </c>
      <c r="AB332">
        <v>1</v>
      </c>
      <c r="AC332">
        <v>81</v>
      </c>
      <c r="AD332">
        <v>51</v>
      </c>
      <c r="AE332">
        <v>41</v>
      </c>
      <c r="AF332">
        <v>16</v>
      </c>
      <c r="AG332">
        <v>107</v>
      </c>
      <c r="AH332">
        <v>51</v>
      </c>
      <c r="AI332">
        <v>25</v>
      </c>
      <c r="AJ332">
        <v>91</v>
      </c>
      <c r="AK332">
        <v>73</v>
      </c>
      <c r="AL332">
        <v>81</v>
      </c>
      <c r="AM332">
        <v>6</v>
      </c>
      <c r="AN332">
        <v>2</v>
      </c>
      <c r="AO332">
        <v>14</v>
      </c>
      <c r="AP332">
        <v>10</v>
      </c>
      <c r="AQ332">
        <v>7</v>
      </c>
      <c r="AR332">
        <v>51</v>
      </c>
      <c r="AS332">
        <v>10</v>
      </c>
      <c r="AT332">
        <v>72</v>
      </c>
      <c r="AU332">
        <v>3</v>
      </c>
      <c r="AV332">
        <v>27</v>
      </c>
      <c r="AW332">
        <v>2</v>
      </c>
      <c r="AX332">
        <v>3</v>
      </c>
      <c r="AY332">
        <v>7</v>
      </c>
      <c r="AZ332">
        <v>2</v>
      </c>
      <c r="BA332">
        <v>10</v>
      </c>
      <c r="BB332">
        <v>9</v>
      </c>
      <c r="BC332">
        <v>73</v>
      </c>
      <c r="BD332">
        <v>21</v>
      </c>
      <c r="BE332">
        <v>5</v>
      </c>
      <c r="BF332">
        <v>2</v>
      </c>
      <c r="BG332">
        <v>22</v>
      </c>
      <c r="BH332">
        <v>3</v>
      </c>
      <c r="BI332">
        <v>13</v>
      </c>
      <c r="BJ332">
        <v>13</v>
      </c>
      <c r="BK332">
        <v>19</v>
      </c>
      <c r="BL332">
        <v>25</v>
      </c>
      <c r="BM332">
        <v>10</v>
      </c>
      <c r="BN332">
        <v>16</v>
      </c>
      <c r="BO332">
        <v>28</v>
      </c>
      <c r="BP332">
        <v>31</v>
      </c>
      <c r="BQ332">
        <v>134</v>
      </c>
      <c r="BR332">
        <v>87</v>
      </c>
      <c r="BS332">
        <v>17</v>
      </c>
      <c r="BT332">
        <v>20</v>
      </c>
      <c r="BU332">
        <v>17</v>
      </c>
      <c r="BV332">
        <v>20</v>
      </c>
      <c r="BW332">
        <v>26</v>
      </c>
      <c r="BX332">
        <v>79</v>
      </c>
      <c r="BY332">
        <v>89</v>
      </c>
      <c r="BZ332">
        <v>51</v>
      </c>
      <c r="CA332">
        <v>3</v>
      </c>
      <c r="CB332">
        <v>55</v>
      </c>
      <c r="CC332">
        <v>6</v>
      </c>
      <c r="CD332">
        <v>12</v>
      </c>
      <c r="CE332">
        <v>9</v>
      </c>
      <c r="CF332">
        <v>28</v>
      </c>
      <c r="CG332">
        <v>48</v>
      </c>
      <c r="CH332">
        <v>23</v>
      </c>
      <c r="CI332">
        <v>20</v>
      </c>
      <c r="CJ332">
        <v>18</v>
      </c>
      <c r="CK332">
        <v>19</v>
      </c>
      <c r="CL332">
        <v>65</v>
      </c>
      <c r="CM332">
        <v>10</v>
      </c>
      <c r="CN332">
        <v>3</v>
      </c>
      <c r="CO332">
        <v>79</v>
      </c>
      <c r="CP332">
        <v>15</v>
      </c>
      <c r="CQ332">
        <v>50</v>
      </c>
      <c r="CR332">
        <v>9</v>
      </c>
      <c r="CS332">
        <v>13</v>
      </c>
      <c r="CT332">
        <v>16</v>
      </c>
      <c r="CU332">
        <v>15</v>
      </c>
      <c r="CV332">
        <v>18</v>
      </c>
      <c r="CW332">
        <v>19</v>
      </c>
      <c r="CX332">
        <v>2</v>
      </c>
      <c r="CY332">
        <v>8</v>
      </c>
      <c r="CZ332">
        <v>65</v>
      </c>
      <c r="DA332">
        <v>18</v>
      </c>
      <c r="DB332">
        <v>42</v>
      </c>
      <c r="DC332">
        <v>48</v>
      </c>
      <c r="DD332">
        <v>6</v>
      </c>
      <c r="DE332">
        <v>15</v>
      </c>
      <c r="DF332">
        <v>3</v>
      </c>
      <c r="DG332">
        <v>44</v>
      </c>
      <c r="DH332">
        <v>16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1</v>
      </c>
      <c r="DQ332">
        <v>14</v>
      </c>
      <c r="DR332">
        <v>213</v>
      </c>
      <c r="DS332">
        <v>15</v>
      </c>
      <c r="DU332">
        <v>16</v>
      </c>
      <c r="DV332">
        <v>6</v>
      </c>
      <c r="DW332">
        <v>26</v>
      </c>
      <c r="DX332">
        <v>55</v>
      </c>
      <c r="DY332">
        <v>9</v>
      </c>
      <c r="DZ332">
        <v>63</v>
      </c>
      <c r="EB332">
        <v>1</v>
      </c>
      <c r="EC332">
        <v>3</v>
      </c>
      <c r="ED332">
        <v>52</v>
      </c>
      <c r="EE332">
        <v>3</v>
      </c>
      <c r="EF332">
        <v>9</v>
      </c>
      <c r="EG332">
        <v>5</v>
      </c>
      <c r="EH332">
        <v>1</v>
      </c>
      <c r="EI332">
        <v>20</v>
      </c>
      <c r="EJ332">
        <v>0</v>
      </c>
      <c r="EK332">
        <v>16</v>
      </c>
      <c r="EL332">
        <v>3</v>
      </c>
      <c r="EM332">
        <v>19</v>
      </c>
      <c r="EN332">
        <v>35</v>
      </c>
      <c r="EO332">
        <v>2</v>
      </c>
      <c r="EP332">
        <v>52</v>
      </c>
      <c r="EQ332">
        <v>13</v>
      </c>
      <c r="ER332">
        <v>52</v>
      </c>
      <c r="ES332">
        <v>18</v>
      </c>
      <c r="ET332">
        <v>54</v>
      </c>
      <c r="EU332">
        <v>35</v>
      </c>
      <c r="EV332">
        <v>1</v>
      </c>
      <c r="EW332">
        <v>76</v>
      </c>
      <c r="EX332">
        <v>39</v>
      </c>
      <c r="EY332">
        <v>79</v>
      </c>
      <c r="EZ332">
        <v>125</v>
      </c>
      <c r="FA332">
        <v>141</v>
      </c>
      <c r="FB332">
        <v>58</v>
      </c>
      <c r="FC332">
        <v>103</v>
      </c>
      <c r="FD332">
        <v>86</v>
      </c>
      <c r="FE332">
        <v>56</v>
      </c>
      <c r="FF332">
        <v>69</v>
      </c>
      <c r="FG332">
        <v>73</v>
      </c>
      <c r="FH332">
        <v>2</v>
      </c>
      <c r="FI332">
        <v>15</v>
      </c>
      <c r="FJ332">
        <v>84</v>
      </c>
      <c r="FK332">
        <v>92</v>
      </c>
      <c r="FL332">
        <v>34</v>
      </c>
      <c r="FM332">
        <v>19</v>
      </c>
      <c r="FO332">
        <v>5</v>
      </c>
      <c r="FP332">
        <v>12</v>
      </c>
      <c r="FQ332">
        <v>3</v>
      </c>
      <c r="FR332">
        <v>2</v>
      </c>
      <c r="FS332">
        <v>7</v>
      </c>
      <c r="FT332">
        <v>1</v>
      </c>
      <c r="FU332">
        <v>1</v>
      </c>
      <c r="FV332">
        <v>10</v>
      </c>
      <c r="FW332">
        <v>4</v>
      </c>
      <c r="FX332">
        <v>85</v>
      </c>
      <c r="FY332">
        <v>133</v>
      </c>
      <c r="FZ332">
        <v>16</v>
      </c>
      <c r="GA332">
        <v>17</v>
      </c>
      <c r="GB332">
        <v>18</v>
      </c>
      <c r="GC332">
        <v>43</v>
      </c>
      <c r="GD332">
        <v>37</v>
      </c>
      <c r="GE332">
        <v>2</v>
      </c>
      <c r="GF332">
        <v>7</v>
      </c>
      <c r="GG332">
        <v>46</v>
      </c>
      <c r="GH332">
        <v>122</v>
      </c>
      <c r="GI332">
        <v>25</v>
      </c>
      <c r="GJ332">
        <v>13</v>
      </c>
      <c r="GK332">
        <v>14</v>
      </c>
      <c r="GL332">
        <v>3</v>
      </c>
      <c r="GM332">
        <v>3</v>
      </c>
      <c r="GN332">
        <v>1</v>
      </c>
      <c r="GO332">
        <v>3</v>
      </c>
      <c r="GP332">
        <v>22</v>
      </c>
      <c r="GQ332">
        <v>14</v>
      </c>
      <c r="GR332">
        <v>21</v>
      </c>
      <c r="GS332">
        <v>11</v>
      </c>
      <c r="GT332">
        <v>12</v>
      </c>
      <c r="GU332">
        <v>48</v>
      </c>
      <c r="GV332">
        <v>6</v>
      </c>
      <c r="GW332">
        <v>56</v>
      </c>
      <c r="GX332">
        <v>43</v>
      </c>
      <c r="GY332">
        <v>12</v>
      </c>
      <c r="GZ332">
        <v>123</v>
      </c>
      <c r="HA332">
        <v>26</v>
      </c>
      <c r="HB332">
        <v>17</v>
      </c>
      <c r="HC332">
        <v>8</v>
      </c>
      <c r="HE332">
        <v>26</v>
      </c>
      <c r="HF332">
        <v>30</v>
      </c>
      <c r="HG332">
        <v>280</v>
      </c>
      <c r="HH332">
        <v>167</v>
      </c>
      <c r="HI332">
        <v>151</v>
      </c>
      <c r="HK332">
        <v>48</v>
      </c>
      <c r="HL332">
        <v>4</v>
      </c>
      <c r="HM332">
        <v>13</v>
      </c>
      <c r="HN332">
        <v>8</v>
      </c>
      <c r="HR332">
        <v>11</v>
      </c>
      <c r="HS332">
        <v>2</v>
      </c>
      <c r="HT332">
        <v>16</v>
      </c>
      <c r="HU332">
        <v>27</v>
      </c>
      <c r="HV332">
        <v>42</v>
      </c>
      <c r="HW332">
        <v>141</v>
      </c>
      <c r="HX332">
        <v>28</v>
      </c>
      <c r="HY332">
        <v>11</v>
      </c>
      <c r="HZ332">
        <v>24</v>
      </c>
      <c r="IA332">
        <v>2</v>
      </c>
      <c r="IB332">
        <v>121</v>
      </c>
      <c r="IC332">
        <v>1</v>
      </c>
      <c r="ID332">
        <v>160</v>
      </c>
      <c r="IE332">
        <v>25</v>
      </c>
      <c r="IF332">
        <v>8</v>
      </c>
      <c r="IG332">
        <v>5</v>
      </c>
      <c r="IH332">
        <v>40</v>
      </c>
      <c r="II332">
        <v>31</v>
      </c>
      <c r="IJ332">
        <v>31</v>
      </c>
      <c r="IK332">
        <v>174</v>
      </c>
      <c r="IL332">
        <v>487</v>
      </c>
      <c r="IM332">
        <v>459</v>
      </c>
      <c r="IN332">
        <v>88</v>
      </c>
      <c r="IP332">
        <v>35</v>
      </c>
      <c r="IQ332">
        <v>149</v>
      </c>
      <c r="IR332">
        <v>21</v>
      </c>
      <c r="IS332">
        <v>60</v>
      </c>
      <c r="IT332">
        <v>14</v>
      </c>
      <c r="IU332">
        <v>95</v>
      </c>
      <c r="IV332">
        <v>73</v>
      </c>
      <c r="IW332">
        <v>70</v>
      </c>
      <c r="IY332">
        <v>13</v>
      </c>
      <c r="IZ332">
        <v>151</v>
      </c>
      <c r="JA332">
        <v>44</v>
      </c>
      <c r="JB332">
        <v>19</v>
      </c>
      <c r="JC332">
        <v>3</v>
      </c>
      <c r="JD332">
        <v>3</v>
      </c>
      <c r="JE332">
        <v>10</v>
      </c>
      <c r="JF332">
        <v>7</v>
      </c>
      <c r="JG332">
        <v>219</v>
      </c>
      <c r="JH332">
        <v>8</v>
      </c>
      <c r="JI332">
        <v>5</v>
      </c>
      <c r="JJ332">
        <v>16</v>
      </c>
      <c r="JK332">
        <v>1634</v>
      </c>
      <c r="JL332">
        <v>1154</v>
      </c>
      <c r="JM332">
        <v>1612</v>
      </c>
      <c r="JN332">
        <v>821</v>
      </c>
      <c r="JO332">
        <v>1476</v>
      </c>
      <c r="JP332">
        <v>707</v>
      </c>
      <c r="JQ332">
        <v>1847</v>
      </c>
      <c r="JR332">
        <v>113</v>
      </c>
      <c r="JS332">
        <v>3635</v>
      </c>
      <c r="JT332">
        <v>1</v>
      </c>
      <c r="JV332">
        <v>296</v>
      </c>
      <c r="JW332">
        <v>640</v>
      </c>
      <c r="JX332">
        <v>2228</v>
      </c>
      <c r="JY332">
        <v>1652</v>
      </c>
      <c r="JZ332">
        <v>193</v>
      </c>
      <c r="KA332">
        <v>255</v>
      </c>
      <c r="KB332">
        <v>361</v>
      </c>
      <c r="KC332">
        <v>634</v>
      </c>
      <c r="KD332">
        <v>346</v>
      </c>
      <c r="KE332">
        <v>280</v>
      </c>
      <c r="KF332">
        <v>29</v>
      </c>
      <c r="KG332">
        <v>3</v>
      </c>
      <c r="KH332">
        <v>842</v>
      </c>
      <c r="KI332">
        <v>0</v>
      </c>
      <c r="KK332">
        <v>50</v>
      </c>
      <c r="KM332">
        <v>60</v>
      </c>
      <c r="KN332">
        <v>95</v>
      </c>
      <c r="KO332">
        <v>396</v>
      </c>
      <c r="KP332">
        <v>361</v>
      </c>
      <c r="KQ332">
        <v>64</v>
      </c>
      <c r="KR332">
        <v>433</v>
      </c>
      <c r="KS332">
        <v>4</v>
      </c>
      <c r="KT332">
        <v>59</v>
      </c>
      <c r="KU332">
        <v>594</v>
      </c>
      <c r="KV332">
        <v>95</v>
      </c>
      <c r="KW332">
        <v>244</v>
      </c>
      <c r="KX332">
        <v>635</v>
      </c>
      <c r="KY332">
        <v>539</v>
      </c>
      <c r="KZ332">
        <v>2941</v>
      </c>
      <c r="LA332">
        <v>174</v>
      </c>
      <c r="LB332">
        <v>0</v>
      </c>
      <c r="LC332">
        <v>682</v>
      </c>
      <c r="LD332">
        <v>555</v>
      </c>
      <c r="LE332">
        <v>3181</v>
      </c>
      <c r="LF332">
        <v>75</v>
      </c>
      <c r="LG332">
        <v>14</v>
      </c>
      <c r="LH332">
        <v>989</v>
      </c>
      <c r="LI332">
        <v>42</v>
      </c>
      <c r="LM332">
        <v>1345</v>
      </c>
      <c r="LN332">
        <v>74</v>
      </c>
      <c r="LO332">
        <v>260</v>
      </c>
      <c r="LP332">
        <v>163</v>
      </c>
      <c r="LQ332">
        <v>2209</v>
      </c>
      <c r="LR332">
        <v>810</v>
      </c>
      <c r="LS332">
        <v>669</v>
      </c>
      <c r="LT332">
        <v>1094</v>
      </c>
      <c r="LU332">
        <v>491</v>
      </c>
      <c r="LV332">
        <v>879</v>
      </c>
      <c r="LW332">
        <v>734</v>
      </c>
      <c r="LX332">
        <v>2905</v>
      </c>
      <c r="LY332">
        <v>196</v>
      </c>
      <c r="LZ332">
        <v>1389</v>
      </c>
      <c r="MA332">
        <v>509</v>
      </c>
      <c r="MB332">
        <v>67</v>
      </c>
      <c r="MC332">
        <v>25</v>
      </c>
      <c r="MD332">
        <v>24</v>
      </c>
      <c r="ME332">
        <v>685</v>
      </c>
      <c r="MF332">
        <v>12661</v>
      </c>
      <c r="MG332">
        <v>765</v>
      </c>
      <c r="MH332">
        <v>191</v>
      </c>
      <c r="MI332">
        <v>102</v>
      </c>
      <c r="MJ332">
        <v>175</v>
      </c>
      <c r="MK332">
        <v>206</v>
      </c>
      <c r="ML332">
        <v>418</v>
      </c>
      <c r="MM332">
        <v>131</v>
      </c>
      <c r="MN332">
        <v>116</v>
      </c>
      <c r="MO332">
        <v>280</v>
      </c>
      <c r="MP332">
        <v>16</v>
      </c>
      <c r="MQ332">
        <v>432</v>
      </c>
      <c r="MR332">
        <v>79</v>
      </c>
      <c r="MS332">
        <v>695</v>
      </c>
      <c r="MT332">
        <v>44</v>
      </c>
      <c r="MU332">
        <v>108</v>
      </c>
      <c r="MV332">
        <v>72</v>
      </c>
      <c r="MW332">
        <v>13</v>
      </c>
      <c r="MX332">
        <v>32</v>
      </c>
      <c r="MY332">
        <v>19</v>
      </c>
      <c r="MZ332">
        <v>247</v>
      </c>
      <c r="NB332">
        <v>1</v>
      </c>
      <c r="NC332">
        <v>82</v>
      </c>
      <c r="ND332">
        <v>14</v>
      </c>
      <c r="NE332">
        <v>55</v>
      </c>
      <c r="NF332">
        <v>1</v>
      </c>
      <c r="NG332">
        <v>76</v>
      </c>
      <c r="NI332">
        <v>601</v>
      </c>
      <c r="NJ332">
        <v>1</v>
      </c>
      <c r="NK332">
        <v>5</v>
      </c>
      <c r="NL332">
        <v>98</v>
      </c>
      <c r="NM332">
        <v>87</v>
      </c>
      <c r="NN332">
        <v>984</v>
      </c>
      <c r="NO332">
        <v>2578</v>
      </c>
      <c r="NP332">
        <v>3732</v>
      </c>
      <c r="NQ332">
        <v>398</v>
      </c>
      <c r="NR332">
        <v>21</v>
      </c>
      <c r="NS332">
        <v>2</v>
      </c>
      <c r="NT332">
        <v>4</v>
      </c>
      <c r="NV332">
        <v>116</v>
      </c>
      <c r="NX332">
        <v>6</v>
      </c>
      <c r="NY332">
        <v>12</v>
      </c>
      <c r="NZ332">
        <v>1</v>
      </c>
      <c r="OA332">
        <v>1</v>
      </c>
      <c r="OB332">
        <v>14</v>
      </c>
      <c r="OD332">
        <v>0</v>
      </c>
      <c r="OE332">
        <v>97</v>
      </c>
      <c r="OF332">
        <v>9</v>
      </c>
      <c r="OH332">
        <v>15</v>
      </c>
      <c r="OI332">
        <v>663</v>
      </c>
      <c r="OJ332">
        <v>4</v>
      </c>
      <c r="OK332">
        <v>11</v>
      </c>
      <c r="ON332">
        <v>251</v>
      </c>
      <c r="OO332">
        <v>85211</v>
      </c>
      <c r="OV332">
        <v>73049</v>
      </c>
      <c r="PI332">
        <v>158260</v>
      </c>
      <c r="PM332" t="str">
        <f>IFERROR(VLOOKUP($A332&amp;"",Key!$A:$C,3,FALSE),"")</f>
        <v>ISIC 68</v>
      </c>
    </row>
    <row r="333" spans="1:429" x14ac:dyDescent="0.25">
      <c r="A333">
        <v>541100</v>
      </c>
      <c r="B333" t="s">
        <v>468</v>
      </c>
      <c r="C333">
        <v>18</v>
      </c>
      <c r="D333">
        <v>79</v>
      </c>
      <c r="E333">
        <v>34</v>
      </c>
      <c r="F333">
        <v>30</v>
      </c>
      <c r="G333">
        <v>6</v>
      </c>
      <c r="H333">
        <v>30</v>
      </c>
      <c r="I333">
        <v>43</v>
      </c>
      <c r="J333">
        <v>30</v>
      </c>
      <c r="K333">
        <v>77</v>
      </c>
      <c r="L333">
        <v>34</v>
      </c>
      <c r="M333">
        <v>1</v>
      </c>
      <c r="N333">
        <v>1</v>
      </c>
      <c r="O333">
        <v>101</v>
      </c>
      <c r="P333">
        <v>582</v>
      </c>
      <c r="Q333">
        <v>122</v>
      </c>
      <c r="R333">
        <v>22</v>
      </c>
      <c r="S333">
        <v>144</v>
      </c>
      <c r="T333">
        <v>60</v>
      </c>
      <c r="U333">
        <v>98</v>
      </c>
      <c r="V333">
        <v>245</v>
      </c>
      <c r="W333">
        <v>162</v>
      </c>
      <c r="X333">
        <v>6652</v>
      </c>
      <c r="Y333">
        <v>783</v>
      </c>
      <c r="Z333">
        <v>94</v>
      </c>
      <c r="AA333">
        <v>103</v>
      </c>
      <c r="AB333">
        <v>73</v>
      </c>
      <c r="AC333">
        <v>899</v>
      </c>
      <c r="AD333">
        <v>250</v>
      </c>
      <c r="AE333">
        <v>553</v>
      </c>
      <c r="AF333">
        <v>260</v>
      </c>
      <c r="AG333">
        <v>1094</v>
      </c>
      <c r="AH333">
        <v>472</v>
      </c>
      <c r="AI333">
        <v>397</v>
      </c>
      <c r="AJ333">
        <v>211</v>
      </c>
      <c r="AK333">
        <v>696</v>
      </c>
      <c r="AL333">
        <v>682</v>
      </c>
      <c r="AM333">
        <v>130</v>
      </c>
      <c r="AN333">
        <v>23</v>
      </c>
      <c r="AO333">
        <v>119</v>
      </c>
      <c r="AP333">
        <v>75</v>
      </c>
      <c r="AQ333">
        <v>33</v>
      </c>
      <c r="AR333">
        <v>117</v>
      </c>
      <c r="AS333">
        <v>7</v>
      </c>
      <c r="AT333">
        <v>161</v>
      </c>
      <c r="AU333">
        <v>7</v>
      </c>
      <c r="AV333">
        <v>91</v>
      </c>
      <c r="AW333">
        <v>3</v>
      </c>
      <c r="AX333">
        <v>5</v>
      </c>
      <c r="AY333">
        <v>10</v>
      </c>
      <c r="AZ333">
        <v>3</v>
      </c>
      <c r="BA333">
        <v>7</v>
      </c>
      <c r="BB333">
        <v>7</v>
      </c>
      <c r="BC333">
        <v>205</v>
      </c>
      <c r="BD333">
        <v>21</v>
      </c>
      <c r="BE333">
        <v>3</v>
      </c>
      <c r="BF333">
        <v>2</v>
      </c>
      <c r="BG333">
        <v>20</v>
      </c>
      <c r="BH333">
        <v>9</v>
      </c>
      <c r="BI333">
        <v>11</v>
      </c>
      <c r="BJ333">
        <v>10</v>
      </c>
      <c r="BK333">
        <v>117</v>
      </c>
      <c r="BL333">
        <v>18</v>
      </c>
      <c r="BM333">
        <v>21</v>
      </c>
      <c r="BN333">
        <v>35</v>
      </c>
      <c r="BO333">
        <v>83</v>
      </c>
      <c r="BP333">
        <v>72</v>
      </c>
      <c r="BQ333">
        <v>245</v>
      </c>
      <c r="BR333">
        <v>210</v>
      </c>
      <c r="BS333">
        <v>26</v>
      </c>
      <c r="BT333">
        <v>35</v>
      </c>
      <c r="BU333">
        <v>35</v>
      </c>
      <c r="BV333">
        <v>64</v>
      </c>
      <c r="BW333">
        <v>50</v>
      </c>
      <c r="BX333">
        <v>233</v>
      </c>
      <c r="BY333">
        <v>165</v>
      </c>
      <c r="BZ333">
        <v>147</v>
      </c>
      <c r="CA333">
        <v>25</v>
      </c>
      <c r="CB333">
        <v>149</v>
      </c>
      <c r="CC333">
        <v>27</v>
      </c>
      <c r="CD333">
        <v>21</v>
      </c>
      <c r="CE333">
        <v>20</v>
      </c>
      <c r="CF333">
        <v>81</v>
      </c>
      <c r="CG333">
        <v>80</v>
      </c>
      <c r="CH333">
        <v>9</v>
      </c>
      <c r="CI333">
        <v>67</v>
      </c>
      <c r="CJ333">
        <v>36</v>
      </c>
      <c r="CK333">
        <v>104</v>
      </c>
      <c r="CL333">
        <v>174</v>
      </c>
      <c r="CM333">
        <v>45</v>
      </c>
      <c r="CN333">
        <v>35</v>
      </c>
      <c r="CO333">
        <v>131</v>
      </c>
      <c r="CP333">
        <v>14</v>
      </c>
      <c r="CQ333">
        <v>128</v>
      </c>
      <c r="CR333">
        <v>18</v>
      </c>
      <c r="CS333">
        <v>40</v>
      </c>
      <c r="CT333">
        <v>54</v>
      </c>
      <c r="CU333">
        <v>41</v>
      </c>
      <c r="CV333">
        <v>74</v>
      </c>
      <c r="CW333">
        <v>50</v>
      </c>
      <c r="CX333">
        <v>7</v>
      </c>
      <c r="CY333">
        <v>19</v>
      </c>
      <c r="CZ333">
        <v>105</v>
      </c>
      <c r="DA333">
        <v>13</v>
      </c>
      <c r="DB333">
        <v>72</v>
      </c>
      <c r="DC333">
        <v>116</v>
      </c>
      <c r="DD333">
        <v>6</v>
      </c>
      <c r="DE333">
        <v>36</v>
      </c>
      <c r="DF333">
        <v>8</v>
      </c>
      <c r="DG333">
        <v>125</v>
      </c>
      <c r="DH333">
        <v>44</v>
      </c>
      <c r="DI333">
        <v>1276</v>
      </c>
      <c r="DJ333">
        <v>76</v>
      </c>
      <c r="DK333">
        <v>135</v>
      </c>
      <c r="DL333">
        <v>169</v>
      </c>
      <c r="DM333">
        <v>269</v>
      </c>
      <c r="DN333">
        <v>77</v>
      </c>
      <c r="DO333">
        <v>819</v>
      </c>
      <c r="DP333">
        <v>115</v>
      </c>
      <c r="DQ333">
        <v>289</v>
      </c>
      <c r="DR333">
        <v>137</v>
      </c>
      <c r="DS333">
        <v>233</v>
      </c>
      <c r="DT333">
        <v>21</v>
      </c>
      <c r="DU333">
        <v>71</v>
      </c>
      <c r="DV333">
        <v>56</v>
      </c>
      <c r="DW333">
        <v>189</v>
      </c>
      <c r="DX333">
        <v>65</v>
      </c>
      <c r="DY333">
        <v>23</v>
      </c>
      <c r="DZ333">
        <v>91</v>
      </c>
      <c r="EA333">
        <v>14</v>
      </c>
      <c r="EB333">
        <v>6</v>
      </c>
      <c r="EC333">
        <v>2</v>
      </c>
      <c r="ED333">
        <v>41</v>
      </c>
      <c r="EE333">
        <v>15</v>
      </c>
      <c r="EF333">
        <v>30</v>
      </c>
      <c r="EG333">
        <v>14</v>
      </c>
      <c r="EH333">
        <v>20</v>
      </c>
      <c r="EI333">
        <v>27</v>
      </c>
      <c r="EJ333">
        <v>37</v>
      </c>
      <c r="EK333">
        <v>10</v>
      </c>
      <c r="EL333">
        <v>4</v>
      </c>
      <c r="EM333">
        <v>13</v>
      </c>
      <c r="EN333">
        <v>18</v>
      </c>
      <c r="EO333">
        <v>3</v>
      </c>
      <c r="EP333">
        <v>45</v>
      </c>
      <c r="EQ333">
        <v>166</v>
      </c>
      <c r="ER333">
        <v>280</v>
      </c>
      <c r="ES333">
        <v>29</v>
      </c>
      <c r="ET333">
        <v>41</v>
      </c>
      <c r="EU333">
        <v>23</v>
      </c>
      <c r="EV333">
        <v>10</v>
      </c>
      <c r="EW333">
        <v>33</v>
      </c>
      <c r="EX333">
        <v>265</v>
      </c>
      <c r="EY333">
        <v>229</v>
      </c>
      <c r="EZ333">
        <v>143</v>
      </c>
      <c r="FA333">
        <v>77</v>
      </c>
      <c r="FB333">
        <v>132</v>
      </c>
      <c r="FC333">
        <v>557</v>
      </c>
      <c r="FD333">
        <v>91</v>
      </c>
      <c r="FE333">
        <v>565</v>
      </c>
      <c r="FF333">
        <v>323</v>
      </c>
      <c r="FG333">
        <v>209</v>
      </c>
      <c r="FH333">
        <v>256</v>
      </c>
      <c r="FI333">
        <v>118</v>
      </c>
      <c r="FJ333">
        <v>58</v>
      </c>
      <c r="FK333">
        <v>95</v>
      </c>
      <c r="FL333">
        <v>23</v>
      </c>
      <c r="FM333">
        <v>29</v>
      </c>
      <c r="FN333">
        <v>72</v>
      </c>
      <c r="FO333">
        <v>27</v>
      </c>
      <c r="FP333">
        <v>96</v>
      </c>
      <c r="FQ333">
        <v>22</v>
      </c>
      <c r="FR333">
        <v>43</v>
      </c>
      <c r="FS333">
        <v>11</v>
      </c>
      <c r="FT333">
        <v>7</v>
      </c>
      <c r="FU333">
        <v>24</v>
      </c>
      <c r="FV333">
        <v>80</v>
      </c>
      <c r="FW333">
        <v>14</v>
      </c>
      <c r="FX333">
        <v>438</v>
      </c>
      <c r="FY333">
        <v>446</v>
      </c>
      <c r="FZ333">
        <v>31</v>
      </c>
      <c r="GA333">
        <v>34</v>
      </c>
      <c r="GB333">
        <v>105</v>
      </c>
      <c r="GC333">
        <v>67</v>
      </c>
      <c r="GD333">
        <v>119</v>
      </c>
      <c r="GE333">
        <v>21</v>
      </c>
      <c r="GF333">
        <v>12</v>
      </c>
      <c r="GG333">
        <v>117</v>
      </c>
      <c r="GH333">
        <v>199</v>
      </c>
      <c r="GI333">
        <v>16</v>
      </c>
      <c r="GJ333">
        <v>19</v>
      </c>
      <c r="GK333">
        <v>15</v>
      </c>
      <c r="GL333">
        <v>9</v>
      </c>
      <c r="GM333">
        <v>3</v>
      </c>
      <c r="GN333">
        <v>3</v>
      </c>
      <c r="GO333">
        <v>5</v>
      </c>
      <c r="GP333">
        <v>90</v>
      </c>
      <c r="GQ333">
        <v>26</v>
      </c>
      <c r="GR333">
        <v>100</v>
      </c>
      <c r="GS333">
        <v>23</v>
      </c>
      <c r="GT333">
        <v>34</v>
      </c>
      <c r="GU333">
        <v>76</v>
      </c>
      <c r="GV333">
        <v>6</v>
      </c>
      <c r="GW333">
        <v>120</v>
      </c>
      <c r="GX333">
        <v>158</v>
      </c>
      <c r="GY333">
        <v>18</v>
      </c>
      <c r="GZ333">
        <v>158</v>
      </c>
      <c r="HA333">
        <v>42</v>
      </c>
      <c r="HB333">
        <v>21</v>
      </c>
      <c r="HC333">
        <v>15</v>
      </c>
      <c r="HD333">
        <v>23</v>
      </c>
      <c r="HE333">
        <v>32</v>
      </c>
      <c r="HF333">
        <v>50</v>
      </c>
      <c r="HG333">
        <v>42</v>
      </c>
      <c r="HH333">
        <v>14</v>
      </c>
      <c r="HI333">
        <v>38</v>
      </c>
      <c r="HJ333">
        <v>14</v>
      </c>
      <c r="HK333">
        <v>63</v>
      </c>
      <c r="HL333">
        <v>6</v>
      </c>
      <c r="HM333">
        <v>21</v>
      </c>
      <c r="HN333">
        <v>48</v>
      </c>
      <c r="HO333">
        <v>13</v>
      </c>
      <c r="HP333">
        <v>20</v>
      </c>
      <c r="HQ333">
        <v>16</v>
      </c>
      <c r="HR333">
        <v>63</v>
      </c>
      <c r="HS333">
        <v>5</v>
      </c>
      <c r="HT333">
        <v>11</v>
      </c>
      <c r="HU333">
        <v>204</v>
      </c>
      <c r="HV333">
        <v>150</v>
      </c>
      <c r="HW333">
        <v>83</v>
      </c>
      <c r="HX333">
        <v>134</v>
      </c>
      <c r="HY333">
        <v>47</v>
      </c>
      <c r="HZ333">
        <v>48</v>
      </c>
      <c r="IA333">
        <v>48</v>
      </c>
      <c r="IB333">
        <v>302</v>
      </c>
      <c r="IC333">
        <v>17</v>
      </c>
      <c r="ID333">
        <v>384</v>
      </c>
      <c r="IE333">
        <v>36</v>
      </c>
      <c r="IF333">
        <v>42</v>
      </c>
      <c r="IG333">
        <v>33</v>
      </c>
      <c r="IH333">
        <v>27</v>
      </c>
      <c r="II333">
        <v>14</v>
      </c>
      <c r="IJ333">
        <v>31</v>
      </c>
      <c r="IK333">
        <v>224</v>
      </c>
      <c r="IL333">
        <v>380</v>
      </c>
      <c r="IM333">
        <v>138</v>
      </c>
      <c r="IN333">
        <v>32</v>
      </c>
      <c r="IO333">
        <v>243</v>
      </c>
      <c r="IP333">
        <v>2074</v>
      </c>
      <c r="IQ333">
        <v>215</v>
      </c>
      <c r="IR333">
        <v>277</v>
      </c>
      <c r="IS333">
        <v>36</v>
      </c>
      <c r="IT333">
        <v>20</v>
      </c>
      <c r="IU333">
        <v>54</v>
      </c>
      <c r="IV333">
        <v>15</v>
      </c>
      <c r="IW333">
        <v>81</v>
      </c>
      <c r="IX333">
        <v>146</v>
      </c>
      <c r="IY333">
        <v>4</v>
      </c>
      <c r="IZ333">
        <v>120</v>
      </c>
      <c r="JA333">
        <v>89</v>
      </c>
      <c r="JB333">
        <v>15</v>
      </c>
      <c r="JC333">
        <v>5</v>
      </c>
      <c r="JD333">
        <v>12</v>
      </c>
      <c r="JE333">
        <v>12</v>
      </c>
      <c r="JF333">
        <v>13</v>
      </c>
      <c r="JG333">
        <v>716</v>
      </c>
      <c r="JH333">
        <v>82</v>
      </c>
      <c r="JI333">
        <v>7</v>
      </c>
      <c r="JJ333">
        <v>115</v>
      </c>
      <c r="JK333">
        <v>575</v>
      </c>
      <c r="JL333">
        <v>2496</v>
      </c>
      <c r="JM333">
        <v>3599</v>
      </c>
      <c r="JN333">
        <v>1647</v>
      </c>
      <c r="JO333">
        <v>2257</v>
      </c>
      <c r="JP333">
        <v>1649</v>
      </c>
      <c r="JQ333">
        <v>1389</v>
      </c>
      <c r="JR333">
        <v>391</v>
      </c>
      <c r="JS333">
        <v>2956</v>
      </c>
      <c r="JT333">
        <v>317</v>
      </c>
      <c r="JV333">
        <v>668</v>
      </c>
      <c r="JW333">
        <v>674</v>
      </c>
      <c r="JX333">
        <v>679</v>
      </c>
      <c r="JY333">
        <v>386</v>
      </c>
      <c r="JZ333">
        <v>573</v>
      </c>
      <c r="KA333">
        <v>361</v>
      </c>
      <c r="KB333">
        <v>313</v>
      </c>
      <c r="KC333">
        <v>2131</v>
      </c>
      <c r="KD333">
        <v>547</v>
      </c>
      <c r="KE333">
        <v>612</v>
      </c>
      <c r="KF333">
        <v>907</v>
      </c>
      <c r="KG333">
        <v>153</v>
      </c>
      <c r="KH333">
        <v>217</v>
      </c>
      <c r="KI333">
        <v>204</v>
      </c>
      <c r="KJ333">
        <v>48</v>
      </c>
      <c r="KK333">
        <v>439</v>
      </c>
      <c r="KL333">
        <v>200</v>
      </c>
      <c r="KM333">
        <v>328</v>
      </c>
      <c r="KN333">
        <v>169</v>
      </c>
      <c r="KO333">
        <v>193</v>
      </c>
      <c r="KP333">
        <v>318</v>
      </c>
      <c r="KQ333">
        <v>43</v>
      </c>
      <c r="KR333">
        <v>3961</v>
      </c>
      <c r="KS333">
        <v>435</v>
      </c>
      <c r="KT333">
        <v>141</v>
      </c>
      <c r="KU333">
        <v>297</v>
      </c>
      <c r="KV333">
        <v>353</v>
      </c>
      <c r="KW333">
        <v>1288</v>
      </c>
      <c r="KX333">
        <v>1407</v>
      </c>
      <c r="KY333">
        <v>365</v>
      </c>
      <c r="KZ333">
        <v>2083</v>
      </c>
      <c r="LA333">
        <v>2525</v>
      </c>
      <c r="LB333">
        <v>97</v>
      </c>
      <c r="LC333">
        <v>4260</v>
      </c>
      <c r="LD333">
        <v>2315</v>
      </c>
      <c r="LE333">
        <v>7855</v>
      </c>
      <c r="LF333">
        <v>2682</v>
      </c>
      <c r="LG333">
        <v>2209</v>
      </c>
      <c r="LH333">
        <v>9242</v>
      </c>
      <c r="LI333">
        <v>1666</v>
      </c>
      <c r="LJ333">
        <v>2781</v>
      </c>
      <c r="LK333">
        <v>1983</v>
      </c>
      <c r="LL333">
        <v>3</v>
      </c>
      <c r="LM333">
        <v>13358</v>
      </c>
      <c r="LN333">
        <v>284</v>
      </c>
      <c r="LO333">
        <v>225</v>
      </c>
      <c r="LP333">
        <v>68</v>
      </c>
      <c r="LQ333">
        <v>188</v>
      </c>
      <c r="LR333">
        <v>2930</v>
      </c>
      <c r="LS333">
        <v>1470</v>
      </c>
      <c r="LT333">
        <v>2029</v>
      </c>
      <c r="LU333">
        <v>483</v>
      </c>
      <c r="LV333">
        <v>922</v>
      </c>
      <c r="LW333">
        <v>1928</v>
      </c>
      <c r="LX333">
        <v>2844</v>
      </c>
      <c r="LY333">
        <v>359</v>
      </c>
      <c r="LZ333">
        <v>7662</v>
      </c>
      <c r="MA333">
        <v>295</v>
      </c>
      <c r="MB333">
        <v>181</v>
      </c>
      <c r="MC333">
        <v>24</v>
      </c>
      <c r="MD333">
        <v>140</v>
      </c>
      <c r="ME333">
        <v>659</v>
      </c>
      <c r="MF333">
        <v>10566</v>
      </c>
      <c r="MG333">
        <v>3721</v>
      </c>
      <c r="MH333">
        <v>1672</v>
      </c>
      <c r="MI333">
        <v>750</v>
      </c>
      <c r="MJ333">
        <v>162</v>
      </c>
      <c r="MK333">
        <v>1123</v>
      </c>
      <c r="ML333">
        <v>470</v>
      </c>
      <c r="MM333">
        <v>389</v>
      </c>
      <c r="MN333">
        <v>289</v>
      </c>
      <c r="MO333">
        <v>487</v>
      </c>
      <c r="MP333">
        <v>11</v>
      </c>
      <c r="MQ333">
        <v>107</v>
      </c>
      <c r="MR333">
        <v>326</v>
      </c>
      <c r="MS333">
        <v>2411</v>
      </c>
      <c r="MT333">
        <v>376</v>
      </c>
      <c r="MU333">
        <v>635</v>
      </c>
      <c r="MV333">
        <v>534</v>
      </c>
      <c r="MW333">
        <v>182</v>
      </c>
      <c r="MX333">
        <v>343</v>
      </c>
      <c r="MY333">
        <v>1336</v>
      </c>
      <c r="MZ333">
        <v>15327</v>
      </c>
      <c r="NA333">
        <v>1317</v>
      </c>
      <c r="NB333">
        <v>311</v>
      </c>
      <c r="NC333">
        <v>177</v>
      </c>
      <c r="ND333">
        <v>210</v>
      </c>
      <c r="NE333">
        <v>183</v>
      </c>
      <c r="NF333">
        <v>240</v>
      </c>
      <c r="NG333">
        <v>163</v>
      </c>
      <c r="NH333">
        <v>966</v>
      </c>
      <c r="NI333">
        <v>700</v>
      </c>
      <c r="NJ333">
        <v>165</v>
      </c>
      <c r="NK333">
        <v>89</v>
      </c>
      <c r="NL333">
        <v>1002</v>
      </c>
      <c r="NM333">
        <v>476</v>
      </c>
      <c r="NN333">
        <v>1280</v>
      </c>
      <c r="NO333">
        <v>981</v>
      </c>
      <c r="NP333">
        <v>959</v>
      </c>
      <c r="NQ333">
        <v>251</v>
      </c>
      <c r="NR333">
        <v>408</v>
      </c>
      <c r="NS333">
        <v>222</v>
      </c>
      <c r="NT333">
        <v>184</v>
      </c>
      <c r="NU333">
        <v>155</v>
      </c>
      <c r="NV333">
        <v>532</v>
      </c>
      <c r="NW333">
        <v>9</v>
      </c>
      <c r="NX333">
        <v>121</v>
      </c>
      <c r="NY333">
        <v>481</v>
      </c>
      <c r="NZ333">
        <v>358</v>
      </c>
      <c r="OA333">
        <v>430</v>
      </c>
      <c r="OB333">
        <v>1564</v>
      </c>
      <c r="OD333">
        <v>0</v>
      </c>
      <c r="OE333">
        <v>115</v>
      </c>
      <c r="OF333">
        <v>76</v>
      </c>
      <c r="OI333">
        <v>1858</v>
      </c>
      <c r="OJ333">
        <v>2432</v>
      </c>
      <c r="OK333">
        <v>7141</v>
      </c>
      <c r="OL333">
        <v>6</v>
      </c>
      <c r="ON333">
        <v>1187</v>
      </c>
      <c r="OO333">
        <v>217452</v>
      </c>
      <c r="OP333">
        <v>104093</v>
      </c>
      <c r="OS333">
        <v>22342</v>
      </c>
      <c r="OV333">
        <v>14209</v>
      </c>
      <c r="PI333">
        <v>358096</v>
      </c>
      <c r="PM333" t="str">
        <f>IFERROR(VLOOKUP($A333&amp;"",Key!$A:$C,3,FALSE),"")</f>
        <v>ISIC 69T75</v>
      </c>
    </row>
    <row r="334" spans="1:429" x14ac:dyDescent="0.25">
      <c r="A334">
        <v>541511</v>
      </c>
      <c r="B334" t="s">
        <v>469</v>
      </c>
      <c r="P334">
        <v>2220</v>
      </c>
      <c r="R334">
        <v>497</v>
      </c>
      <c r="BP334">
        <v>22</v>
      </c>
      <c r="BX334">
        <v>614</v>
      </c>
      <c r="CE334">
        <v>167</v>
      </c>
      <c r="CF334">
        <v>22</v>
      </c>
      <c r="CK334">
        <v>167</v>
      </c>
      <c r="CL334">
        <v>597</v>
      </c>
      <c r="CM334">
        <v>57</v>
      </c>
      <c r="CO334">
        <v>32</v>
      </c>
      <c r="CS334">
        <v>19</v>
      </c>
      <c r="CT334">
        <v>108</v>
      </c>
      <c r="CU334">
        <v>174</v>
      </c>
      <c r="CV334">
        <v>131</v>
      </c>
      <c r="DG334">
        <v>145</v>
      </c>
      <c r="DH334">
        <v>119</v>
      </c>
      <c r="DI334">
        <v>0</v>
      </c>
      <c r="DJ334">
        <v>0</v>
      </c>
      <c r="DK334">
        <v>1</v>
      </c>
      <c r="DL334">
        <v>1</v>
      </c>
      <c r="DM334">
        <v>1</v>
      </c>
      <c r="DN334">
        <v>0</v>
      </c>
      <c r="DO334">
        <v>3</v>
      </c>
      <c r="DP334">
        <v>2</v>
      </c>
      <c r="DQ334">
        <v>9</v>
      </c>
      <c r="DR334">
        <v>10</v>
      </c>
      <c r="DS334">
        <v>58</v>
      </c>
      <c r="DT334">
        <v>3</v>
      </c>
      <c r="DU334">
        <v>30</v>
      </c>
      <c r="DV334">
        <v>19</v>
      </c>
      <c r="DW334">
        <v>33</v>
      </c>
      <c r="DX334">
        <v>88</v>
      </c>
      <c r="DY334">
        <v>3</v>
      </c>
      <c r="DZ334">
        <v>92</v>
      </c>
      <c r="EA334">
        <v>6</v>
      </c>
      <c r="EB334">
        <v>2</v>
      </c>
      <c r="EG334">
        <v>2</v>
      </c>
      <c r="EX334">
        <v>174</v>
      </c>
      <c r="EY334">
        <v>12</v>
      </c>
      <c r="FE334">
        <v>99</v>
      </c>
      <c r="FF334">
        <v>258</v>
      </c>
      <c r="FG334">
        <v>265</v>
      </c>
      <c r="FX334">
        <v>1</v>
      </c>
      <c r="FY334">
        <v>16</v>
      </c>
      <c r="HK334">
        <v>86</v>
      </c>
      <c r="IC334">
        <v>139</v>
      </c>
      <c r="IG334">
        <v>452</v>
      </c>
      <c r="IZ334">
        <v>161</v>
      </c>
      <c r="KN334">
        <v>708</v>
      </c>
      <c r="KO334">
        <v>789</v>
      </c>
      <c r="KP334">
        <v>2777</v>
      </c>
      <c r="KQ334">
        <v>1</v>
      </c>
      <c r="KT334">
        <v>20</v>
      </c>
      <c r="LA334">
        <v>787</v>
      </c>
      <c r="OO334">
        <v>12200</v>
      </c>
      <c r="OR334">
        <v>224926</v>
      </c>
      <c r="OV334">
        <v>11016</v>
      </c>
      <c r="OY334">
        <v>7374</v>
      </c>
      <c r="PC334">
        <v>21084</v>
      </c>
      <c r="PG334">
        <v>8235</v>
      </c>
      <c r="PI334">
        <v>284835</v>
      </c>
      <c r="PM334" t="str">
        <f>IFERROR(VLOOKUP($A334&amp;"",Key!$A:$C,3,FALSE),"")</f>
        <v>ISIC 62T63</v>
      </c>
    </row>
    <row r="335" spans="1:429" x14ac:dyDescent="0.25">
      <c r="A335">
        <v>541512</v>
      </c>
      <c r="B335" t="s">
        <v>470</v>
      </c>
      <c r="C335">
        <v>1</v>
      </c>
      <c r="D335">
        <v>84</v>
      </c>
      <c r="E335">
        <v>51</v>
      </c>
      <c r="F335">
        <v>47</v>
      </c>
      <c r="G335">
        <v>23</v>
      </c>
      <c r="H335">
        <v>29</v>
      </c>
      <c r="I335">
        <v>19</v>
      </c>
      <c r="J335">
        <v>12</v>
      </c>
      <c r="K335">
        <v>27</v>
      </c>
      <c r="L335">
        <v>12</v>
      </c>
      <c r="M335">
        <v>2</v>
      </c>
      <c r="N335">
        <v>2</v>
      </c>
      <c r="O335">
        <v>22</v>
      </c>
      <c r="P335">
        <v>232</v>
      </c>
      <c r="Q335">
        <v>7</v>
      </c>
      <c r="R335">
        <v>17</v>
      </c>
      <c r="S335">
        <v>17</v>
      </c>
      <c r="T335">
        <v>8</v>
      </c>
      <c r="U335">
        <v>8</v>
      </c>
      <c r="V335">
        <v>33</v>
      </c>
      <c r="W335">
        <v>67</v>
      </c>
      <c r="X335">
        <v>1080</v>
      </c>
      <c r="Y335">
        <v>413</v>
      </c>
      <c r="Z335">
        <v>71</v>
      </c>
      <c r="AA335">
        <v>68</v>
      </c>
      <c r="AB335">
        <v>236</v>
      </c>
      <c r="AC335">
        <v>506</v>
      </c>
      <c r="AD335">
        <v>123</v>
      </c>
      <c r="AE335">
        <v>272</v>
      </c>
      <c r="AF335">
        <v>146</v>
      </c>
      <c r="AG335">
        <v>420</v>
      </c>
      <c r="AH335">
        <v>216</v>
      </c>
      <c r="AI335">
        <v>203</v>
      </c>
      <c r="AJ335">
        <v>180</v>
      </c>
      <c r="AK335">
        <v>392</v>
      </c>
      <c r="AL335">
        <v>332</v>
      </c>
      <c r="AM335">
        <v>81</v>
      </c>
      <c r="AN335">
        <v>35</v>
      </c>
      <c r="AO335">
        <v>33</v>
      </c>
      <c r="AP335">
        <v>51</v>
      </c>
      <c r="AQ335">
        <v>14</v>
      </c>
      <c r="AR335">
        <v>82</v>
      </c>
      <c r="AS335">
        <v>16</v>
      </c>
      <c r="AT335">
        <v>89</v>
      </c>
      <c r="AU335">
        <v>7</v>
      </c>
      <c r="AV335">
        <v>42</v>
      </c>
      <c r="AW335">
        <v>6</v>
      </c>
      <c r="AX335">
        <v>7</v>
      </c>
      <c r="AY335">
        <v>15</v>
      </c>
      <c r="AZ335">
        <v>5</v>
      </c>
      <c r="BA335">
        <v>14</v>
      </c>
      <c r="BB335">
        <v>14</v>
      </c>
      <c r="BC335">
        <v>104</v>
      </c>
      <c r="BD335">
        <v>29</v>
      </c>
      <c r="BE335">
        <v>6</v>
      </c>
      <c r="BF335">
        <v>1</v>
      </c>
      <c r="BG335">
        <v>27</v>
      </c>
      <c r="BH335">
        <v>4</v>
      </c>
      <c r="BI335">
        <v>19</v>
      </c>
      <c r="BJ335">
        <v>16</v>
      </c>
      <c r="BK335">
        <v>23</v>
      </c>
      <c r="BL335">
        <v>31</v>
      </c>
      <c r="BM335">
        <v>10</v>
      </c>
      <c r="BN335">
        <v>14</v>
      </c>
      <c r="BO335">
        <v>18</v>
      </c>
      <c r="BP335">
        <v>25</v>
      </c>
      <c r="BQ335">
        <v>99</v>
      </c>
      <c r="BR335">
        <v>70</v>
      </c>
      <c r="BS335">
        <v>14</v>
      </c>
      <c r="BT335">
        <v>13</v>
      </c>
      <c r="BU335">
        <v>9</v>
      </c>
      <c r="BV335">
        <v>18</v>
      </c>
      <c r="BW335">
        <v>20</v>
      </c>
      <c r="BX335">
        <v>71</v>
      </c>
      <c r="BY335">
        <v>88</v>
      </c>
      <c r="BZ335">
        <v>40</v>
      </c>
      <c r="CA335">
        <v>5</v>
      </c>
      <c r="CB335">
        <v>58</v>
      </c>
      <c r="CC335">
        <v>11</v>
      </c>
      <c r="CD335">
        <v>10</v>
      </c>
      <c r="CE335">
        <v>85</v>
      </c>
      <c r="CF335">
        <v>26</v>
      </c>
      <c r="CG335">
        <v>42</v>
      </c>
      <c r="CH335">
        <v>12</v>
      </c>
      <c r="CI335">
        <v>47</v>
      </c>
      <c r="CJ335">
        <v>20</v>
      </c>
      <c r="CK335">
        <v>13</v>
      </c>
      <c r="CL335">
        <v>73</v>
      </c>
      <c r="CM335">
        <v>17</v>
      </c>
      <c r="CN335">
        <v>2</v>
      </c>
      <c r="CO335">
        <v>90</v>
      </c>
      <c r="CP335">
        <v>15</v>
      </c>
      <c r="CQ335">
        <v>59</v>
      </c>
      <c r="CR335">
        <v>12</v>
      </c>
      <c r="CS335">
        <v>18</v>
      </c>
      <c r="CT335">
        <v>25</v>
      </c>
      <c r="CU335">
        <v>19</v>
      </c>
      <c r="CV335">
        <v>26</v>
      </c>
      <c r="CW335">
        <v>41</v>
      </c>
      <c r="CX335">
        <v>2</v>
      </c>
      <c r="CY335">
        <v>10</v>
      </c>
      <c r="CZ335">
        <v>57</v>
      </c>
      <c r="DA335">
        <v>15</v>
      </c>
      <c r="DB335">
        <v>46</v>
      </c>
      <c r="DC335">
        <v>42</v>
      </c>
      <c r="DD335">
        <v>6</v>
      </c>
      <c r="DE335">
        <v>16</v>
      </c>
      <c r="DF335">
        <v>9</v>
      </c>
      <c r="DG335">
        <v>51</v>
      </c>
      <c r="DH335">
        <v>40</v>
      </c>
      <c r="DI335">
        <v>0</v>
      </c>
      <c r="DJ335">
        <v>1</v>
      </c>
      <c r="DK335">
        <v>1</v>
      </c>
      <c r="DL335">
        <v>1</v>
      </c>
      <c r="DM335">
        <v>33</v>
      </c>
      <c r="DN335">
        <v>0</v>
      </c>
      <c r="DO335">
        <v>15</v>
      </c>
      <c r="DP335">
        <v>7</v>
      </c>
      <c r="DQ335">
        <v>4</v>
      </c>
      <c r="DR335">
        <v>81</v>
      </c>
      <c r="DS335">
        <v>59</v>
      </c>
      <c r="DT335">
        <v>0</v>
      </c>
      <c r="DU335">
        <v>9</v>
      </c>
      <c r="DV335">
        <v>1</v>
      </c>
      <c r="DW335">
        <v>4</v>
      </c>
      <c r="DX335">
        <v>11</v>
      </c>
      <c r="DY335">
        <v>5</v>
      </c>
      <c r="DZ335">
        <v>11</v>
      </c>
      <c r="EA335">
        <v>0</v>
      </c>
      <c r="EB335">
        <v>0</v>
      </c>
      <c r="ED335">
        <v>18</v>
      </c>
      <c r="EE335">
        <v>0</v>
      </c>
      <c r="EF335">
        <v>1</v>
      </c>
      <c r="EG335">
        <v>0</v>
      </c>
      <c r="EH335">
        <v>5</v>
      </c>
      <c r="EI335">
        <v>15</v>
      </c>
      <c r="EJ335">
        <v>7</v>
      </c>
      <c r="EK335">
        <v>7</v>
      </c>
      <c r="EL335">
        <v>0</v>
      </c>
      <c r="EM335">
        <v>11</v>
      </c>
      <c r="EN335">
        <v>10</v>
      </c>
      <c r="EP335">
        <v>20</v>
      </c>
      <c r="EQ335">
        <v>13</v>
      </c>
      <c r="ER335">
        <v>40</v>
      </c>
      <c r="ES335">
        <v>8</v>
      </c>
      <c r="ET335">
        <v>32</v>
      </c>
      <c r="EU335">
        <v>13</v>
      </c>
      <c r="EV335">
        <v>0</v>
      </c>
      <c r="EW335">
        <v>25</v>
      </c>
      <c r="EX335">
        <v>33</v>
      </c>
      <c r="EY335">
        <v>35</v>
      </c>
      <c r="EZ335">
        <v>62</v>
      </c>
      <c r="FA335">
        <v>51</v>
      </c>
      <c r="FB335">
        <v>36</v>
      </c>
      <c r="FC335">
        <v>51</v>
      </c>
      <c r="FD335">
        <v>46</v>
      </c>
      <c r="FE335">
        <v>2163</v>
      </c>
      <c r="FF335">
        <v>417</v>
      </c>
      <c r="FG335">
        <v>143</v>
      </c>
      <c r="FH335">
        <v>179</v>
      </c>
      <c r="FI335">
        <v>26</v>
      </c>
      <c r="FJ335">
        <v>52</v>
      </c>
      <c r="FK335">
        <v>91</v>
      </c>
      <c r="FL335">
        <v>23</v>
      </c>
      <c r="FM335">
        <v>8</v>
      </c>
      <c r="FN335">
        <v>7</v>
      </c>
      <c r="FO335">
        <v>7</v>
      </c>
      <c r="FP335">
        <v>41</v>
      </c>
      <c r="FQ335">
        <v>34</v>
      </c>
      <c r="FR335">
        <v>8</v>
      </c>
      <c r="FS335">
        <v>20</v>
      </c>
      <c r="FT335">
        <v>18</v>
      </c>
      <c r="FU335">
        <v>19</v>
      </c>
      <c r="FV335">
        <v>105</v>
      </c>
      <c r="FW335">
        <v>28</v>
      </c>
      <c r="FX335">
        <v>66</v>
      </c>
      <c r="FY335">
        <v>98</v>
      </c>
      <c r="FZ335">
        <v>16</v>
      </c>
      <c r="GA335">
        <v>18</v>
      </c>
      <c r="GB335">
        <v>22</v>
      </c>
      <c r="GC335">
        <v>30</v>
      </c>
      <c r="GD335">
        <v>31</v>
      </c>
      <c r="GE335">
        <v>4</v>
      </c>
      <c r="GF335">
        <v>7</v>
      </c>
      <c r="GG335">
        <v>50</v>
      </c>
      <c r="GH335">
        <v>97</v>
      </c>
      <c r="GI335">
        <v>30</v>
      </c>
      <c r="GJ335">
        <v>18</v>
      </c>
      <c r="GK335">
        <v>16</v>
      </c>
      <c r="GL335">
        <v>8</v>
      </c>
      <c r="GM335">
        <v>4</v>
      </c>
      <c r="GN335">
        <v>2</v>
      </c>
      <c r="GO335">
        <v>7</v>
      </c>
      <c r="GP335">
        <v>50</v>
      </c>
      <c r="GQ335">
        <v>27</v>
      </c>
      <c r="GR335">
        <v>42</v>
      </c>
      <c r="GS335">
        <v>46</v>
      </c>
      <c r="GT335">
        <v>22</v>
      </c>
      <c r="GU335">
        <v>57</v>
      </c>
      <c r="GV335">
        <v>7</v>
      </c>
      <c r="GW335">
        <v>61</v>
      </c>
      <c r="GX335">
        <v>55</v>
      </c>
      <c r="GY335">
        <v>18</v>
      </c>
      <c r="GZ335">
        <v>147</v>
      </c>
      <c r="HA335">
        <v>33</v>
      </c>
      <c r="HB335">
        <v>27</v>
      </c>
      <c r="HC335">
        <v>12</v>
      </c>
      <c r="HD335">
        <v>26</v>
      </c>
      <c r="HE335">
        <v>40</v>
      </c>
      <c r="HF335">
        <v>37</v>
      </c>
      <c r="HG335">
        <v>52</v>
      </c>
      <c r="HH335">
        <v>32</v>
      </c>
      <c r="HI335">
        <v>27</v>
      </c>
      <c r="HK335">
        <v>61</v>
      </c>
      <c r="HL335">
        <v>8</v>
      </c>
      <c r="HM335">
        <v>22</v>
      </c>
      <c r="HN335">
        <v>14</v>
      </c>
      <c r="HO335">
        <v>8</v>
      </c>
      <c r="HP335">
        <v>9</v>
      </c>
      <c r="HQ335">
        <v>20</v>
      </c>
      <c r="HR335">
        <v>4</v>
      </c>
      <c r="HS335">
        <v>3</v>
      </c>
      <c r="HT335">
        <v>16</v>
      </c>
      <c r="HU335">
        <v>48</v>
      </c>
      <c r="HV335">
        <v>33</v>
      </c>
      <c r="HW335">
        <v>127</v>
      </c>
      <c r="HX335">
        <v>29</v>
      </c>
      <c r="HY335">
        <v>12</v>
      </c>
      <c r="HZ335">
        <v>17</v>
      </c>
      <c r="IA335">
        <v>9</v>
      </c>
      <c r="IB335">
        <v>293</v>
      </c>
      <c r="IC335">
        <v>8</v>
      </c>
      <c r="ID335">
        <v>63</v>
      </c>
      <c r="IE335">
        <v>13</v>
      </c>
      <c r="IF335">
        <v>7</v>
      </c>
      <c r="IG335">
        <v>8</v>
      </c>
      <c r="IH335">
        <v>5</v>
      </c>
      <c r="II335">
        <v>25</v>
      </c>
      <c r="IJ335">
        <v>8</v>
      </c>
      <c r="IK335">
        <v>11</v>
      </c>
      <c r="IL335">
        <v>49</v>
      </c>
      <c r="IM335">
        <v>24</v>
      </c>
      <c r="IN335">
        <v>7</v>
      </c>
      <c r="IO335">
        <v>10</v>
      </c>
      <c r="IP335">
        <v>61</v>
      </c>
      <c r="IQ335">
        <v>15</v>
      </c>
      <c r="IR335">
        <v>35</v>
      </c>
      <c r="IS335">
        <v>5</v>
      </c>
      <c r="IT335">
        <v>2</v>
      </c>
      <c r="IU335">
        <v>17</v>
      </c>
      <c r="IV335">
        <v>8</v>
      </c>
      <c r="IW335">
        <v>19</v>
      </c>
      <c r="IX335">
        <v>25</v>
      </c>
      <c r="IY335">
        <v>1</v>
      </c>
      <c r="IZ335">
        <v>16</v>
      </c>
      <c r="JA335">
        <v>76</v>
      </c>
      <c r="JB335">
        <v>39</v>
      </c>
      <c r="JC335">
        <v>14</v>
      </c>
      <c r="JD335">
        <v>4</v>
      </c>
      <c r="JE335">
        <v>23</v>
      </c>
      <c r="JF335">
        <v>16</v>
      </c>
      <c r="JG335">
        <v>293</v>
      </c>
      <c r="JH335">
        <v>19</v>
      </c>
      <c r="JI335">
        <v>16</v>
      </c>
      <c r="JJ335">
        <v>40</v>
      </c>
      <c r="JK335">
        <v>794</v>
      </c>
      <c r="JL335">
        <v>1754</v>
      </c>
      <c r="JM335">
        <v>2379</v>
      </c>
      <c r="JN335">
        <v>1332</v>
      </c>
      <c r="JO335">
        <v>2168</v>
      </c>
      <c r="JP335">
        <v>545</v>
      </c>
      <c r="JQ335">
        <v>1153</v>
      </c>
      <c r="JR335">
        <v>316</v>
      </c>
      <c r="JS335">
        <v>2282</v>
      </c>
      <c r="JT335">
        <v>155</v>
      </c>
      <c r="JV335">
        <v>3307</v>
      </c>
      <c r="JW335">
        <v>707</v>
      </c>
      <c r="JX335">
        <v>1081</v>
      </c>
      <c r="JY335">
        <v>604</v>
      </c>
      <c r="JZ335">
        <v>584</v>
      </c>
      <c r="KA335">
        <v>713</v>
      </c>
      <c r="KB335">
        <v>436</v>
      </c>
      <c r="KC335">
        <v>1282</v>
      </c>
      <c r="KD335">
        <v>674</v>
      </c>
      <c r="KE335">
        <v>331</v>
      </c>
      <c r="KF335">
        <v>1091</v>
      </c>
      <c r="KG335">
        <v>13</v>
      </c>
      <c r="KH335">
        <v>426</v>
      </c>
      <c r="KI335">
        <v>134</v>
      </c>
      <c r="KJ335">
        <v>4</v>
      </c>
      <c r="KK335">
        <v>104</v>
      </c>
      <c r="KM335">
        <v>238</v>
      </c>
      <c r="KN335">
        <v>190</v>
      </c>
      <c r="KO335">
        <v>140</v>
      </c>
      <c r="KP335">
        <v>367</v>
      </c>
      <c r="KQ335">
        <v>65</v>
      </c>
      <c r="KR335">
        <v>2614</v>
      </c>
      <c r="KS335">
        <v>262</v>
      </c>
      <c r="KT335">
        <v>16</v>
      </c>
      <c r="KU335">
        <v>88</v>
      </c>
      <c r="KV335">
        <v>139</v>
      </c>
      <c r="KW335">
        <v>1208</v>
      </c>
      <c r="KX335">
        <v>1823</v>
      </c>
      <c r="KY335">
        <v>172</v>
      </c>
      <c r="KZ335">
        <v>3807</v>
      </c>
      <c r="LA335">
        <v>1698</v>
      </c>
      <c r="LB335">
        <v>1</v>
      </c>
      <c r="LC335">
        <v>1832</v>
      </c>
      <c r="LD335">
        <v>2921</v>
      </c>
      <c r="LE335">
        <v>3442</v>
      </c>
      <c r="LF335">
        <v>3972</v>
      </c>
      <c r="LG335">
        <v>1044</v>
      </c>
      <c r="LH335">
        <v>3205</v>
      </c>
      <c r="LI335">
        <v>1013</v>
      </c>
      <c r="LJ335">
        <v>1264</v>
      </c>
      <c r="LK335">
        <v>725</v>
      </c>
      <c r="LL335">
        <v>1</v>
      </c>
      <c r="LM335">
        <v>2803</v>
      </c>
      <c r="LN335">
        <v>96</v>
      </c>
      <c r="LO335">
        <v>153</v>
      </c>
      <c r="LP335">
        <v>58</v>
      </c>
      <c r="LQ335">
        <v>18</v>
      </c>
      <c r="LR335">
        <v>2329</v>
      </c>
      <c r="LS335">
        <v>514</v>
      </c>
      <c r="LT335">
        <v>2224</v>
      </c>
      <c r="LU335">
        <v>590</v>
      </c>
      <c r="LV335">
        <v>671</v>
      </c>
      <c r="LW335">
        <v>333</v>
      </c>
      <c r="LX335">
        <v>1254</v>
      </c>
      <c r="LY335">
        <v>516</v>
      </c>
      <c r="LZ335">
        <v>1404</v>
      </c>
      <c r="MA335">
        <v>546</v>
      </c>
      <c r="MB335">
        <v>78</v>
      </c>
      <c r="MC335">
        <v>24</v>
      </c>
      <c r="MD335">
        <v>18</v>
      </c>
      <c r="ME335">
        <v>685</v>
      </c>
      <c r="MF335">
        <v>1809</v>
      </c>
      <c r="MG335">
        <v>2869</v>
      </c>
      <c r="MH335">
        <v>667</v>
      </c>
      <c r="MI335">
        <v>545</v>
      </c>
      <c r="MJ335">
        <v>1372</v>
      </c>
      <c r="MK335">
        <v>1960</v>
      </c>
      <c r="ML335">
        <v>1184</v>
      </c>
      <c r="MM335">
        <v>944</v>
      </c>
      <c r="MN335">
        <v>754</v>
      </c>
      <c r="MO335">
        <v>357</v>
      </c>
      <c r="MP335">
        <v>27</v>
      </c>
      <c r="MQ335">
        <v>27</v>
      </c>
      <c r="MR335">
        <v>536</v>
      </c>
      <c r="MS335">
        <v>1281</v>
      </c>
      <c r="MT335">
        <v>192</v>
      </c>
      <c r="MU335">
        <v>158</v>
      </c>
      <c r="MV335">
        <v>593</v>
      </c>
      <c r="MW335">
        <v>34</v>
      </c>
      <c r="MX335">
        <v>146</v>
      </c>
      <c r="MY335">
        <v>107</v>
      </c>
      <c r="MZ335">
        <v>2663</v>
      </c>
      <c r="NA335">
        <v>459</v>
      </c>
      <c r="NB335">
        <v>106</v>
      </c>
      <c r="NC335">
        <v>289</v>
      </c>
      <c r="ND335">
        <v>147</v>
      </c>
      <c r="NE335">
        <v>372</v>
      </c>
      <c r="NF335">
        <v>31</v>
      </c>
      <c r="NG335">
        <v>50</v>
      </c>
      <c r="NH335">
        <v>48</v>
      </c>
      <c r="NI335">
        <v>111</v>
      </c>
      <c r="NJ335">
        <v>48</v>
      </c>
      <c r="NK335">
        <v>80</v>
      </c>
      <c r="NL335">
        <v>420</v>
      </c>
      <c r="NM335">
        <v>222</v>
      </c>
      <c r="NN335">
        <v>785</v>
      </c>
      <c r="NO335">
        <v>936</v>
      </c>
      <c r="NP335">
        <v>2199</v>
      </c>
      <c r="NQ335">
        <v>283</v>
      </c>
      <c r="NR335">
        <v>394</v>
      </c>
      <c r="NS335">
        <v>122</v>
      </c>
      <c r="NT335">
        <v>216</v>
      </c>
      <c r="NU335">
        <v>80</v>
      </c>
      <c r="NV335">
        <v>236</v>
      </c>
      <c r="NW335">
        <v>5</v>
      </c>
      <c r="NX335">
        <v>96</v>
      </c>
      <c r="NY335">
        <v>300</v>
      </c>
      <c r="NZ335">
        <v>264</v>
      </c>
      <c r="OA335">
        <v>214</v>
      </c>
      <c r="OB335">
        <v>556</v>
      </c>
      <c r="OD335">
        <v>2427</v>
      </c>
      <c r="OE335">
        <v>11139</v>
      </c>
      <c r="OF335">
        <v>27</v>
      </c>
      <c r="OI335">
        <v>4527</v>
      </c>
      <c r="OJ335">
        <v>5685</v>
      </c>
      <c r="OK335">
        <v>14264</v>
      </c>
      <c r="OL335">
        <v>56</v>
      </c>
      <c r="OM335">
        <v>6</v>
      </c>
      <c r="ON335">
        <v>4354</v>
      </c>
      <c r="OO335">
        <v>155614</v>
      </c>
      <c r="OQ335">
        <v>37753</v>
      </c>
      <c r="OV335">
        <v>11216</v>
      </c>
      <c r="OX335">
        <v>3669</v>
      </c>
      <c r="PF335">
        <v>2338</v>
      </c>
      <c r="PI335">
        <v>210591</v>
      </c>
      <c r="PM335" t="str">
        <f>IFERROR(VLOOKUP($A335&amp;"",Key!$A:$C,3,FALSE),"")</f>
        <v>ISIC 62T63</v>
      </c>
    </row>
    <row r="336" spans="1:429" x14ac:dyDescent="0.25">
      <c r="A336" t="s">
        <v>613</v>
      </c>
      <c r="B336" t="s">
        <v>471</v>
      </c>
      <c r="C336">
        <v>1</v>
      </c>
      <c r="D336">
        <v>48</v>
      </c>
      <c r="E336">
        <v>29</v>
      </c>
      <c r="F336">
        <v>27</v>
      </c>
      <c r="G336">
        <v>13</v>
      </c>
      <c r="H336">
        <v>16</v>
      </c>
      <c r="I336">
        <v>12</v>
      </c>
      <c r="J336">
        <v>7</v>
      </c>
      <c r="K336">
        <v>16</v>
      </c>
      <c r="L336">
        <v>7</v>
      </c>
      <c r="M336">
        <v>1</v>
      </c>
      <c r="N336">
        <v>1</v>
      </c>
      <c r="O336">
        <v>6</v>
      </c>
      <c r="P336">
        <v>31</v>
      </c>
      <c r="Q336">
        <v>1</v>
      </c>
      <c r="R336">
        <v>0</v>
      </c>
      <c r="S336">
        <v>3</v>
      </c>
      <c r="T336">
        <v>1</v>
      </c>
      <c r="U336">
        <v>2</v>
      </c>
      <c r="V336">
        <v>4</v>
      </c>
      <c r="W336">
        <v>9</v>
      </c>
      <c r="X336">
        <v>572</v>
      </c>
      <c r="Y336">
        <v>306</v>
      </c>
      <c r="Z336">
        <v>24</v>
      </c>
      <c r="AA336">
        <v>41</v>
      </c>
      <c r="AB336">
        <v>127</v>
      </c>
      <c r="AC336">
        <v>291</v>
      </c>
      <c r="AD336">
        <v>71</v>
      </c>
      <c r="AE336">
        <v>158</v>
      </c>
      <c r="AF336">
        <v>111</v>
      </c>
      <c r="AG336">
        <v>235</v>
      </c>
      <c r="AH336">
        <v>115</v>
      </c>
      <c r="AI336">
        <v>105</v>
      </c>
      <c r="AJ336">
        <v>106</v>
      </c>
      <c r="AK336">
        <v>257</v>
      </c>
      <c r="AL336">
        <v>198</v>
      </c>
      <c r="AM336">
        <v>9</v>
      </c>
      <c r="AN336">
        <v>2</v>
      </c>
      <c r="AO336">
        <v>3</v>
      </c>
      <c r="AP336">
        <v>3</v>
      </c>
      <c r="AQ336">
        <v>1</v>
      </c>
      <c r="AR336">
        <v>6</v>
      </c>
      <c r="AS336">
        <v>1</v>
      </c>
      <c r="AT336">
        <v>10</v>
      </c>
      <c r="AU336">
        <v>1</v>
      </c>
      <c r="AV336">
        <v>3</v>
      </c>
      <c r="AW336">
        <v>0</v>
      </c>
      <c r="AX336">
        <v>0</v>
      </c>
      <c r="AY336">
        <v>1</v>
      </c>
      <c r="AZ336">
        <v>0</v>
      </c>
      <c r="BA336">
        <v>1</v>
      </c>
      <c r="BB336">
        <v>1</v>
      </c>
      <c r="BC336">
        <v>11</v>
      </c>
      <c r="BD336">
        <v>2</v>
      </c>
      <c r="BE336">
        <v>1</v>
      </c>
      <c r="BG336">
        <v>2</v>
      </c>
      <c r="BH336">
        <v>0</v>
      </c>
      <c r="BI336">
        <v>1</v>
      </c>
      <c r="BJ336">
        <v>1</v>
      </c>
      <c r="BK336">
        <v>2</v>
      </c>
      <c r="BL336">
        <v>3</v>
      </c>
      <c r="BM336">
        <v>1</v>
      </c>
      <c r="BN336">
        <v>1</v>
      </c>
      <c r="BO336">
        <v>1</v>
      </c>
      <c r="BP336">
        <v>1</v>
      </c>
      <c r="BQ336">
        <v>10</v>
      </c>
      <c r="BR336">
        <v>7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7</v>
      </c>
      <c r="BY336">
        <v>8</v>
      </c>
      <c r="BZ336">
        <v>4</v>
      </c>
      <c r="CB336">
        <v>5</v>
      </c>
      <c r="CC336">
        <v>0</v>
      </c>
      <c r="CD336">
        <v>1</v>
      </c>
      <c r="CE336">
        <v>8</v>
      </c>
      <c r="CF336">
        <v>2</v>
      </c>
      <c r="CG336">
        <v>4</v>
      </c>
      <c r="CH336">
        <v>1</v>
      </c>
      <c r="CI336">
        <v>4</v>
      </c>
      <c r="CJ336">
        <v>2</v>
      </c>
      <c r="CK336">
        <v>1</v>
      </c>
      <c r="CL336">
        <v>7</v>
      </c>
      <c r="CM336">
        <v>0</v>
      </c>
      <c r="CN336">
        <v>0</v>
      </c>
      <c r="CO336">
        <v>8</v>
      </c>
      <c r="CP336">
        <v>1</v>
      </c>
      <c r="CQ336">
        <v>6</v>
      </c>
      <c r="CR336">
        <v>1</v>
      </c>
      <c r="CS336">
        <v>1</v>
      </c>
      <c r="CT336">
        <v>1</v>
      </c>
      <c r="CU336">
        <v>2</v>
      </c>
      <c r="CV336">
        <v>1</v>
      </c>
      <c r="CW336">
        <v>3</v>
      </c>
      <c r="CX336">
        <v>0</v>
      </c>
      <c r="CY336">
        <v>0</v>
      </c>
      <c r="CZ336">
        <v>6</v>
      </c>
      <c r="DA336">
        <v>2</v>
      </c>
      <c r="DB336">
        <v>4</v>
      </c>
      <c r="DC336">
        <v>5</v>
      </c>
      <c r="DD336">
        <v>0</v>
      </c>
      <c r="DE336">
        <v>1</v>
      </c>
      <c r="DF336">
        <v>0</v>
      </c>
      <c r="DG336">
        <v>5</v>
      </c>
      <c r="DH336">
        <v>3</v>
      </c>
      <c r="DI336">
        <v>0</v>
      </c>
      <c r="DJ336">
        <v>0</v>
      </c>
      <c r="DK336">
        <v>0</v>
      </c>
      <c r="DL336">
        <v>0</v>
      </c>
      <c r="DM336">
        <v>2</v>
      </c>
      <c r="DN336">
        <v>0</v>
      </c>
      <c r="DO336">
        <v>1</v>
      </c>
      <c r="DP336">
        <v>0</v>
      </c>
      <c r="DQ336">
        <v>1</v>
      </c>
      <c r="DR336">
        <v>7</v>
      </c>
      <c r="DS336">
        <v>4</v>
      </c>
      <c r="DT336">
        <v>0</v>
      </c>
      <c r="DU336">
        <v>1</v>
      </c>
      <c r="DV336">
        <v>0</v>
      </c>
      <c r="DW336">
        <v>1</v>
      </c>
      <c r="DX336">
        <v>2</v>
      </c>
      <c r="DY336">
        <v>1</v>
      </c>
      <c r="DZ336">
        <v>1</v>
      </c>
      <c r="EA336">
        <v>0</v>
      </c>
      <c r="EB336">
        <v>0</v>
      </c>
      <c r="ED336">
        <v>1</v>
      </c>
      <c r="EI336">
        <v>0</v>
      </c>
      <c r="EJ336">
        <v>1</v>
      </c>
      <c r="EK336">
        <v>0</v>
      </c>
      <c r="EL336">
        <v>0</v>
      </c>
      <c r="EM336">
        <v>0</v>
      </c>
      <c r="EN336">
        <v>1</v>
      </c>
      <c r="EP336">
        <v>2</v>
      </c>
      <c r="EQ336">
        <v>1</v>
      </c>
      <c r="ER336">
        <v>2</v>
      </c>
      <c r="ET336">
        <v>2</v>
      </c>
      <c r="EU336">
        <v>1</v>
      </c>
      <c r="EW336">
        <v>3</v>
      </c>
      <c r="EX336">
        <v>1</v>
      </c>
      <c r="EY336">
        <v>3</v>
      </c>
      <c r="EZ336">
        <v>6</v>
      </c>
      <c r="FA336">
        <v>4</v>
      </c>
      <c r="FB336">
        <v>2</v>
      </c>
      <c r="FC336">
        <v>5</v>
      </c>
      <c r="FD336">
        <v>4</v>
      </c>
      <c r="FE336">
        <v>149</v>
      </c>
      <c r="FF336">
        <v>29</v>
      </c>
      <c r="FG336">
        <v>11</v>
      </c>
      <c r="FH336">
        <v>12</v>
      </c>
      <c r="FI336">
        <v>1</v>
      </c>
      <c r="FJ336">
        <v>5</v>
      </c>
      <c r="FK336">
        <v>7</v>
      </c>
      <c r="FL336">
        <v>1</v>
      </c>
      <c r="FM336">
        <v>1</v>
      </c>
      <c r="FP336">
        <v>4</v>
      </c>
      <c r="FQ336">
        <v>3</v>
      </c>
      <c r="FR336">
        <v>0</v>
      </c>
      <c r="FS336">
        <v>2</v>
      </c>
      <c r="FT336">
        <v>1</v>
      </c>
      <c r="FU336">
        <v>1</v>
      </c>
      <c r="FV336">
        <v>9</v>
      </c>
      <c r="FW336">
        <v>1</v>
      </c>
      <c r="FX336">
        <v>7</v>
      </c>
      <c r="FY336">
        <v>10</v>
      </c>
      <c r="FZ336">
        <v>1</v>
      </c>
      <c r="GA336">
        <v>1</v>
      </c>
      <c r="GB336">
        <v>1</v>
      </c>
      <c r="GC336">
        <v>2</v>
      </c>
      <c r="GD336">
        <v>3</v>
      </c>
      <c r="GE336">
        <v>0</v>
      </c>
      <c r="GF336">
        <v>0</v>
      </c>
      <c r="GG336">
        <v>3</v>
      </c>
      <c r="GH336">
        <v>9</v>
      </c>
      <c r="GI336">
        <v>2</v>
      </c>
      <c r="GJ336">
        <v>1</v>
      </c>
      <c r="GK336">
        <v>1</v>
      </c>
      <c r="GL336">
        <v>0</v>
      </c>
      <c r="GM336">
        <v>0</v>
      </c>
      <c r="GO336">
        <v>0</v>
      </c>
      <c r="GP336">
        <v>2</v>
      </c>
      <c r="GQ336">
        <v>2</v>
      </c>
      <c r="GR336">
        <v>4</v>
      </c>
      <c r="GS336">
        <v>1</v>
      </c>
      <c r="GT336">
        <v>1</v>
      </c>
      <c r="GU336">
        <v>6</v>
      </c>
      <c r="GV336">
        <v>1</v>
      </c>
      <c r="GW336">
        <v>7</v>
      </c>
      <c r="GX336">
        <v>6</v>
      </c>
      <c r="GY336">
        <v>1</v>
      </c>
      <c r="GZ336">
        <v>16</v>
      </c>
      <c r="HA336">
        <v>2</v>
      </c>
      <c r="HB336">
        <v>1</v>
      </c>
      <c r="HC336">
        <v>1</v>
      </c>
      <c r="HE336">
        <v>3</v>
      </c>
      <c r="HF336">
        <v>3</v>
      </c>
      <c r="HG336">
        <v>3</v>
      </c>
      <c r="HH336">
        <v>2</v>
      </c>
      <c r="HI336">
        <v>2</v>
      </c>
      <c r="HK336">
        <v>0</v>
      </c>
      <c r="HL336">
        <v>0</v>
      </c>
      <c r="HM336">
        <v>1</v>
      </c>
      <c r="HN336">
        <v>1</v>
      </c>
      <c r="HO336">
        <v>1</v>
      </c>
      <c r="HP336">
        <v>0</v>
      </c>
      <c r="HQ336">
        <v>1</v>
      </c>
      <c r="HR336">
        <v>0</v>
      </c>
      <c r="HS336">
        <v>0</v>
      </c>
      <c r="HT336">
        <v>1</v>
      </c>
      <c r="HU336">
        <v>4</v>
      </c>
      <c r="HV336">
        <v>3</v>
      </c>
      <c r="HW336">
        <v>13</v>
      </c>
      <c r="HX336">
        <v>3</v>
      </c>
      <c r="HY336">
        <v>1</v>
      </c>
      <c r="HZ336">
        <v>1</v>
      </c>
      <c r="IA336">
        <v>0</v>
      </c>
      <c r="IB336">
        <v>30</v>
      </c>
      <c r="ID336">
        <v>4</v>
      </c>
      <c r="IE336">
        <v>3</v>
      </c>
      <c r="IF336">
        <v>1</v>
      </c>
      <c r="IG336">
        <v>0</v>
      </c>
      <c r="IJ336">
        <v>0</v>
      </c>
      <c r="IK336">
        <v>2</v>
      </c>
      <c r="IL336">
        <v>3</v>
      </c>
      <c r="IM336">
        <v>2</v>
      </c>
      <c r="IN336">
        <v>0</v>
      </c>
      <c r="IO336">
        <v>0</v>
      </c>
      <c r="IP336">
        <v>4</v>
      </c>
      <c r="IQ336">
        <v>2</v>
      </c>
      <c r="IR336">
        <v>2</v>
      </c>
      <c r="IS336">
        <v>0</v>
      </c>
      <c r="IU336">
        <v>1</v>
      </c>
      <c r="IV336">
        <v>1</v>
      </c>
      <c r="IW336">
        <v>1</v>
      </c>
      <c r="IX336">
        <v>2</v>
      </c>
      <c r="IY336">
        <v>0</v>
      </c>
      <c r="IZ336">
        <v>1</v>
      </c>
      <c r="JA336">
        <v>3</v>
      </c>
      <c r="JB336">
        <v>3</v>
      </c>
      <c r="JE336">
        <v>1</v>
      </c>
      <c r="JF336">
        <v>1</v>
      </c>
      <c r="JG336">
        <v>5</v>
      </c>
      <c r="JH336">
        <v>1</v>
      </c>
      <c r="JI336">
        <v>1</v>
      </c>
      <c r="JJ336">
        <v>3</v>
      </c>
      <c r="JK336">
        <v>233</v>
      </c>
      <c r="JL336">
        <v>1137</v>
      </c>
      <c r="JM336">
        <v>1623</v>
      </c>
      <c r="JN336">
        <v>943</v>
      </c>
      <c r="JO336">
        <v>1387</v>
      </c>
      <c r="JP336">
        <v>169</v>
      </c>
      <c r="JQ336">
        <v>377</v>
      </c>
      <c r="JR336">
        <v>107</v>
      </c>
      <c r="JS336">
        <v>751</v>
      </c>
      <c r="JT336">
        <v>42</v>
      </c>
      <c r="JV336">
        <v>1181</v>
      </c>
      <c r="JW336">
        <v>150</v>
      </c>
      <c r="JX336">
        <v>590</v>
      </c>
      <c r="JY336">
        <v>213</v>
      </c>
      <c r="JZ336">
        <v>147</v>
      </c>
      <c r="KA336">
        <v>143</v>
      </c>
      <c r="KB336">
        <v>120</v>
      </c>
      <c r="KC336">
        <v>477</v>
      </c>
      <c r="KD336">
        <v>248</v>
      </c>
      <c r="KE336">
        <v>90</v>
      </c>
      <c r="KF336">
        <v>130</v>
      </c>
      <c r="KG336">
        <v>3</v>
      </c>
      <c r="KH336">
        <v>146</v>
      </c>
      <c r="KI336">
        <v>34</v>
      </c>
      <c r="KJ336">
        <v>1</v>
      </c>
      <c r="KK336">
        <v>122</v>
      </c>
      <c r="KM336">
        <v>63</v>
      </c>
      <c r="KN336">
        <v>111</v>
      </c>
      <c r="KO336">
        <v>98</v>
      </c>
      <c r="KP336">
        <v>233</v>
      </c>
      <c r="KQ336">
        <v>49</v>
      </c>
      <c r="KR336">
        <v>747</v>
      </c>
      <c r="KS336">
        <v>77</v>
      </c>
      <c r="KT336">
        <v>5</v>
      </c>
      <c r="KU336">
        <v>24</v>
      </c>
      <c r="KV336">
        <v>43</v>
      </c>
      <c r="KW336">
        <v>399</v>
      </c>
      <c r="KX336">
        <v>702</v>
      </c>
      <c r="KY336">
        <v>252</v>
      </c>
      <c r="KZ336">
        <v>2495</v>
      </c>
      <c r="LA336">
        <v>1015</v>
      </c>
      <c r="LB336">
        <v>1</v>
      </c>
      <c r="LC336">
        <v>1113</v>
      </c>
      <c r="LD336">
        <v>8322</v>
      </c>
      <c r="LE336">
        <v>910</v>
      </c>
      <c r="LF336">
        <v>884</v>
      </c>
      <c r="LG336">
        <v>711</v>
      </c>
      <c r="LH336">
        <v>676</v>
      </c>
      <c r="LI336">
        <v>268</v>
      </c>
      <c r="LJ336">
        <v>373</v>
      </c>
      <c r="LK336">
        <v>149</v>
      </c>
      <c r="LL336">
        <v>0</v>
      </c>
      <c r="LM336">
        <v>834</v>
      </c>
      <c r="LN336">
        <v>25</v>
      </c>
      <c r="LO336">
        <v>49</v>
      </c>
      <c r="LP336">
        <v>20</v>
      </c>
      <c r="LQ336">
        <v>5</v>
      </c>
      <c r="LR336">
        <v>2013</v>
      </c>
      <c r="LS336">
        <v>607</v>
      </c>
      <c r="LT336">
        <v>1796</v>
      </c>
      <c r="LU336">
        <v>217</v>
      </c>
      <c r="LV336">
        <v>177</v>
      </c>
      <c r="LW336">
        <v>344</v>
      </c>
      <c r="LX336">
        <v>1550</v>
      </c>
      <c r="LY336">
        <v>162</v>
      </c>
      <c r="LZ336">
        <v>1282</v>
      </c>
      <c r="MA336">
        <v>144</v>
      </c>
      <c r="MB336">
        <v>32</v>
      </c>
      <c r="MC336">
        <v>14</v>
      </c>
      <c r="MD336">
        <v>9</v>
      </c>
      <c r="ME336">
        <v>287</v>
      </c>
      <c r="MF336">
        <v>359</v>
      </c>
      <c r="MG336">
        <v>1968</v>
      </c>
      <c r="MH336">
        <v>504</v>
      </c>
      <c r="MI336">
        <v>210</v>
      </c>
      <c r="MJ336">
        <v>251</v>
      </c>
      <c r="MK336">
        <v>475</v>
      </c>
      <c r="ML336">
        <v>416</v>
      </c>
      <c r="MM336">
        <v>311</v>
      </c>
      <c r="MN336">
        <v>223</v>
      </c>
      <c r="MO336">
        <v>90</v>
      </c>
      <c r="MP336">
        <v>42</v>
      </c>
      <c r="MQ336">
        <v>173</v>
      </c>
      <c r="MR336">
        <v>719</v>
      </c>
      <c r="MS336">
        <v>830</v>
      </c>
      <c r="MT336">
        <v>66</v>
      </c>
      <c r="MU336">
        <v>54</v>
      </c>
      <c r="MV336">
        <v>168</v>
      </c>
      <c r="MW336">
        <v>11</v>
      </c>
      <c r="MX336">
        <v>51</v>
      </c>
      <c r="MY336">
        <v>39</v>
      </c>
      <c r="MZ336">
        <v>1690</v>
      </c>
      <c r="NA336">
        <v>237</v>
      </c>
      <c r="NB336">
        <v>36</v>
      </c>
      <c r="NC336">
        <v>156</v>
      </c>
      <c r="ND336">
        <v>56</v>
      </c>
      <c r="NE336">
        <v>169</v>
      </c>
      <c r="NF336">
        <v>10</v>
      </c>
      <c r="NG336">
        <v>15</v>
      </c>
      <c r="NH336">
        <v>11</v>
      </c>
      <c r="NI336">
        <v>40</v>
      </c>
      <c r="NJ336">
        <v>21</v>
      </c>
      <c r="NK336">
        <v>21</v>
      </c>
      <c r="NL336">
        <v>129</v>
      </c>
      <c r="NM336">
        <v>57</v>
      </c>
      <c r="NN336">
        <v>205</v>
      </c>
      <c r="NO336">
        <v>152</v>
      </c>
      <c r="NP336">
        <v>415</v>
      </c>
      <c r="NQ336">
        <v>52</v>
      </c>
      <c r="NR336">
        <v>106</v>
      </c>
      <c r="NS336">
        <v>34</v>
      </c>
      <c r="NT336">
        <v>56</v>
      </c>
      <c r="NU336">
        <v>23</v>
      </c>
      <c r="NV336">
        <v>92</v>
      </c>
      <c r="NW336">
        <v>2</v>
      </c>
      <c r="NX336">
        <v>25</v>
      </c>
      <c r="NY336">
        <v>77</v>
      </c>
      <c r="NZ336">
        <v>109</v>
      </c>
      <c r="OA336">
        <v>92</v>
      </c>
      <c r="OB336">
        <v>121</v>
      </c>
      <c r="OD336">
        <v>1551</v>
      </c>
      <c r="OE336">
        <v>220</v>
      </c>
      <c r="OF336">
        <v>3</v>
      </c>
      <c r="OG336">
        <v>24</v>
      </c>
      <c r="OH336">
        <v>50</v>
      </c>
      <c r="OI336">
        <v>426</v>
      </c>
      <c r="OJ336">
        <v>1053</v>
      </c>
      <c r="OK336">
        <v>1240</v>
      </c>
      <c r="OL336">
        <v>13</v>
      </c>
      <c r="OM336">
        <v>15</v>
      </c>
      <c r="ON336">
        <v>335</v>
      </c>
      <c r="OO336">
        <v>59606</v>
      </c>
      <c r="OV336">
        <v>8269</v>
      </c>
      <c r="PI336">
        <v>67875</v>
      </c>
      <c r="PM336" t="str">
        <f>IFERROR(VLOOKUP($A336&amp;"",Key!$A:$C,3,FALSE),"")</f>
        <v>ISIC 62T63</v>
      </c>
    </row>
    <row r="337" spans="1:429" x14ac:dyDescent="0.25">
      <c r="A337">
        <v>541200</v>
      </c>
      <c r="B337" t="s">
        <v>472</v>
      </c>
      <c r="C337">
        <v>124</v>
      </c>
      <c r="D337">
        <v>190</v>
      </c>
      <c r="E337">
        <v>85</v>
      </c>
      <c r="F337">
        <v>82</v>
      </c>
      <c r="G337">
        <v>60</v>
      </c>
      <c r="H337">
        <v>89</v>
      </c>
      <c r="I337">
        <v>372</v>
      </c>
      <c r="J337">
        <v>73</v>
      </c>
      <c r="K337">
        <v>168</v>
      </c>
      <c r="L337">
        <v>66</v>
      </c>
      <c r="M337">
        <v>2</v>
      </c>
      <c r="N337">
        <v>18</v>
      </c>
      <c r="O337">
        <v>56</v>
      </c>
      <c r="P337">
        <v>239</v>
      </c>
      <c r="Q337">
        <v>90</v>
      </c>
      <c r="R337">
        <v>9</v>
      </c>
      <c r="S337">
        <v>53</v>
      </c>
      <c r="T337">
        <v>60</v>
      </c>
      <c r="U337">
        <v>77</v>
      </c>
      <c r="V337">
        <v>27</v>
      </c>
      <c r="W337">
        <v>52</v>
      </c>
      <c r="X337">
        <v>2065</v>
      </c>
      <c r="Y337">
        <v>1224</v>
      </c>
      <c r="Z337">
        <v>283</v>
      </c>
      <c r="AA337">
        <v>60</v>
      </c>
      <c r="AB337">
        <v>61</v>
      </c>
      <c r="AC337">
        <v>620</v>
      </c>
      <c r="AD337">
        <v>175</v>
      </c>
      <c r="AE337">
        <v>366</v>
      </c>
      <c r="AF337">
        <v>136</v>
      </c>
      <c r="AG337">
        <v>565</v>
      </c>
      <c r="AH337">
        <v>270</v>
      </c>
      <c r="AI337">
        <v>224</v>
      </c>
      <c r="AJ337">
        <v>115</v>
      </c>
      <c r="AK337">
        <v>488</v>
      </c>
      <c r="AL337">
        <v>430</v>
      </c>
      <c r="AM337">
        <v>101</v>
      </c>
      <c r="AN337">
        <v>41</v>
      </c>
      <c r="AO337">
        <v>56</v>
      </c>
      <c r="AP337">
        <v>69</v>
      </c>
      <c r="AQ337">
        <v>18</v>
      </c>
      <c r="AR337">
        <v>77</v>
      </c>
      <c r="AS337">
        <v>11</v>
      </c>
      <c r="AT337">
        <v>88</v>
      </c>
      <c r="AU337">
        <v>11</v>
      </c>
      <c r="AV337">
        <v>47</v>
      </c>
      <c r="AW337">
        <v>6</v>
      </c>
      <c r="AX337">
        <v>7</v>
      </c>
      <c r="AY337">
        <v>13</v>
      </c>
      <c r="AZ337">
        <v>2</v>
      </c>
      <c r="BA337">
        <v>12</v>
      </c>
      <c r="BB337">
        <v>8</v>
      </c>
      <c r="BC337">
        <v>78</v>
      </c>
      <c r="BD337">
        <v>29</v>
      </c>
      <c r="BE337">
        <v>4</v>
      </c>
      <c r="BF337">
        <v>1</v>
      </c>
      <c r="BG337">
        <v>26</v>
      </c>
      <c r="BH337">
        <v>3</v>
      </c>
      <c r="BI337">
        <v>11</v>
      </c>
      <c r="BJ337">
        <v>17</v>
      </c>
      <c r="BK337">
        <v>28</v>
      </c>
      <c r="BL337">
        <v>19</v>
      </c>
      <c r="BM337">
        <v>8</v>
      </c>
      <c r="BN337">
        <v>14</v>
      </c>
      <c r="BO337">
        <v>26</v>
      </c>
      <c r="BP337">
        <v>27</v>
      </c>
      <c r="BQ337">
        <v>87</v>
      </c>
      <c r="BR337">
        <v>74</v>
      </c>
      <c r="BS337">
        <v>10</v>
      </c>
      <c r="BT337">
        <v>12</v>
      </c>
      <c r="BU337">
        <v>10</v>
      </c>
      <c r="BV337">
        <v>17</v>
      </c>
      <c r="BW337">
        <v>17</v>
      </c>
      <c r="BX337">
        <v>79</v>
      </c>
      <c r="BY337">
        <v>74</v>
      </c>
      <c r="BZ337">
        <v>60</v>
      </c>
      <c r="CA337">
        <v>12</v>
      </c>
      <c r="CB337">
        <v>33</v>
      </c>
      <c r="CC337">
        <v>8</v>
      </c>
      <c r="CD337">
        <v>8</v>
      </c>
      <c r="CE337">
        <v>12</v>
      </c>
      <c r="CF337">
        <v>25</v>
      </c>
      <c r="CG337">
        <v>29</v>
      </c>
      <c r="CH337">
        <v>10</v>
      </c>
      <c r="CI337">
        <v>12</v>
      </c>
      <c r="CJ337">
        <v>12</v>
      </c>
      <c r="CK337">
        <v>12</v>
      </c>
      <c r="CL337">
        <v>58</v>
      </c>
      <c r="CM337">
        <v>8</v>
      </c>
      <c r="CN337">
        <v>9</v>
      </c>
      <c r="CO337">
        <v>30</v>
      </c>
      <c r="CP337">
        <v>11</v>
      </c>
      <c r="CQ337">
        <v>32</v>
      </c>
      <c r="CR337">
        <v>9</v>
      </c>
      <c r="CS337">
        <v>9</v>
      </c>
      <c r="CT337">
        <v>25</v>
      </c>
      <c r="CU337">
        <v>11</v>
      </c>
      <c r="CV337">
        <v>15</v>
      </c>
      <c r="CW337">
        <v>8</v>
      </c>
      <c r="CX337">
        <v>2</v>
      </c>
      <c r="CY337">
        <v>11</v>
      </c>
      <c r="CZ337">
        <v>27</v>
      </c>
      <c r="DA337">
        <v>8</v>
      </c>
      <c r="DB337">
        <v>20</v>
      </c>
      <c r="DC337">
        <v>35</v>
      </c>
      <c r="DD337">
        <v>23</v>
      </c>
      <c r="DE337">
        <v>18</v>
      </c>
      <c r="DF337">
        <v>4</v>
      </c>
      <c r="DG337">
        <v>39</v>
      </c>
      <c r="DH337">
        <v>9</v>
      </c>
      <c r="DI337">
        <v>0</v>
      </c>
      <c r="DJ337">
        <v>0</v>
      </c>
      <c r="DK337">
        <v>0</v>
      </c>
      <c r="DL337">
        <v>2</v>
      </c>
      <c r="DM337">
        <v>3</v>
      </c>
      <c r="DN337">
        <v>1</v>
      </c>
      <c r="DO337">
        <v>4</v>
      </c>
      <c r="DP337">
        <v>4</v>
      </c>
      <c r="DQ337">
        <v>9</v>
      </c>
      <c r="DR337">
        <v>23</v>
      </c>
      <c r="DS337">
        <v>9</v>
      </c>
      <c r="DT337">
        <v>4</v>
      </c>
      <c r="DU337">
        <v>3</v>
      </c>
      <c r="DV337">
        <v>4</v>
      </c>
      <c r="DW337">
        <v>16</v>
      </c>
      <c r="DX337">
        <v>6</v>
      </c>
      <c r="DY337">
        <v>3</v>
      </c>
      <c r="DZ337">
        <v>5</v>
      </c>
      <c r="EA337">
        <v>9</v>
      </c>
      <c r="EB337">
        <v>1</v>
      </c>
      <c r="EC337">
        <v>1</v>
      </c>
      <c r="ED337">
        <v>27</v>
      </c>
      <c r="EE337">
        <v>0</v>
      </c>
      <c r="EF337">
        <v>48</v>
      </c>
      <c r="EG337">
        <v>1</v>
      </c>
      <c r="EH337">
        <v>9</v>
      </c>
      <c r="EI337">
        <v>15</v>
      </c>
      <c r="EJ337">
        <v>15</v>
      </c>
      <c r="EK337">
        <v>6</v>
      </c>
      <c r="EL337">
        <v>0</v>
      </c>
      <c r="EM337">
        <v>13</v>
      </c>
      <c r="EN337">
        <v>7</v>
      </c>
      <c r="EO337">
        <v>3</v>
      </c>
      <c r="EP337">
        <v>34</v>
      </c>
      <c r="EQ337">
        <v>4</v>
      </c>
      <c r="ER337">
        <v>20</v>
      </c>
      <c r="ES337">
        <v>3</v>
      </c>
      <c r="ET337">
        <v>17</v>
      </c>
      <c r="EU337">
        <v>9</v>
      </c>
      <c r="EV337">
        <v>1</v>
      </c>
      <c r="EW337">
        <v>18</v>
      </c>
      <c r="EX337">
        <v>15</v>
      </c>
      <c r="EY337">
        <v>26</v>
      </c>
      <c r="EZ337">
        <v>33</v>
      </c>
      <c r="FA337">
        <v>34</v>
      </c>
      <c r="FB337">
        <v>26</v>
      </c>
      <c r="FC337">
        <v>29</v>
      </c>
      <c r="FD337">
        <v>23</v>
      </c>
      <c r="FE337">
        <v>21</v>
      </c>
      <c r="FF337">
        <v>29</v>
      </c>
      <c r="FG337">
        <v>22</v>
      </c>
      <c r="FH337">
        <v>17</v>
      </c>
      <c r="FI337">
        <v>215</v>
      </c>
      <c r="FJ337">
        <v>41</v>
      </c>
      <c r="FK337">
        <v>26</v>
      </c>
      <c r="FL337">
        <v>16</v>
      </c>
      <c r="FM337">
        <v>4</v>
      </c>
      <c r="FN337">
        <v>3</v>
      </c>
      <c r="FO337">
        <v>4</v>
      </c>
      <c r="FP337">
        <v>73</v>
      </c>
      <c r="FQ337">
        <v>42</v>
      </c>
      <c r="FR337">
        <v>14</v>
      </c>
      <c r="FS337">
        <v>24</v>
      </c>
      <c r="FT337">
        <v>9</v>
      </c>
      <c r="FU337">
        <v>26</v>
      </c>
      <c r="FV337">
        <v>81</v>
      </c>
      <c r="FW337">
        <v>16</v>
      </c>
      <c r="FX337">
        <v>47</v>
      </c>
      <c r="FY337">
        <v>78</v>
      </c>
      <c r="FZ337">
        <v>13</v>
      </c>
      <c r="GA337">
        <v>4</v>
      </c>
      <c r="GB337">
        <v>15</v>
      </c>
      <c r="GC337">
        <v>16</v>
      </c>
      <c r="GD337">
        <v>26</v>
      </c>
      <c r="GE337">
        <v>1</v>
      </c>
      <c r="GF337">
        <v>4</v>
      </c>
      <c r="GG337">
        <v>52</v>
      </c>
      <c r="GH337">
        <v>56</v>
      </c>
      <c r="GI337">
        <v>14</v>
      </c>
      <c r="GJ337">
        <v>17</v>
      </c>
      <c r="GK337">
        <v>15</v>
      </c>
      <c r="GL337">
        <v>3</v>
      </c>
      <c r="GM337">
        <v>3</v>
      </c>
      <c r="GN337">
        <v>1</v>
      </c>
      <c r="GO337">
        <v>7</v>
      </c>
      <c r="GP337">
        <v>66</v>
      </c>
      <c r="GQ337">
        <v>24</v>
      </c>
      <c r="GR337">
        <v>48</v>
      </c>
      <c r="GS337">
        <v>13</v>
      </c>
      <c r="GT337">
        <v>12</v>
      </c>
      <c r="GU337">
        <v>66</v>
      </c>
      <c r="GV337">
        <v>21</v>
      </c>
      <c r="GW337">
        <v>67</v>
      </c>
      <c r="GX337">
        <v>63</v>
      </c>
      <c r="GY337">
        <v>16</v>
      </c>
      <c r="GZ337">
        <v>156</v>
      </c>
      <c r="HA337">
        <v>33</v>
      </c>
      <c r="HB337">
        <v>11</v>
      </c>
      <c r="HC337">
        <v>13</v>
      </c>
      <c r="HD337">
        <v>4</v>
      </c>
      <c r="HE337">
        <v>27</v>
      </c>
      <c r="HF337">
        <v>45</v>
      </c>
      <c r="HG337">
        <v>53</v>
      </c>
      <c r="HH337">
        <v>90</v>
      </c>
      <c r="HI337">
        <v>53</v>
      </c>
      <c r="HJ337">
        <v>29</v>
      </c>
      <c r="HK337">
        <v>3</v>
      </c>
      <c r="HL337">
        <v>10</v>
      </c>
      <c r="HM337">
        <v>26</v>
      </c>
      <c r="HN337">
        <v>15</v>
      </c>
      <c r="HO337">
        <v>9</v>
      </c>
      <c r="HP337">
        <v>7</v>
      </c>
      <c r="HQ337">
        <v>18</v>
      </c>
      <c r="HR337">
        <v>6</v>
      </c>
      <c r="HS337">
        <v>1</v>
      </c>
      <c r="HT337">
        <v>15</v>
      </c>
      <c r="HU337">
        <v>43</v>
      </c>
      <c r="HV337">
        <v>34</v>
      </c>
      <c r="HW337">
        <v>151</v>
      </c>
      <c r="HX337">
        <v>33</v>
      </c>
      <c r="HY337">
        <v>15</v>
      </c>
      <c r="HZ337">
        <v>16</v>
      </c>
      <c r="IA337">
        <v>10</v>
      </c>
      <c r="IB337">
        <v>165</v>
      </c>
      <c r="IC337">
        <v>3</v>
      </c>
      <c r="ID337">
        <v>303</v>
      </c>
      <c r="IE337">
        <v>39</v>
      </c>
      <c r="IF337">
        <v>32</v>
      </c>
      <c r="IG337">
        <v>28</v>
      </c>
      <c r="IH337">
        <v>7</v>
      </c>
      <c r="II337">
        <v>22</v>
      </c>
      <c r="IJ337">
        <v>3</v>
      </c>
      <c r="IK337">
        <v>22</v>
      </c>
      <c r="IL337">
        <v>67</v>
      </c>
      <c r="IM337">
        <v>49</v>
      </c>
      <c r="IN337">
        <v>12</v>
      </c>
      <c r="IO337">
        <v>2</v>
      </c>
      <c r="IP337">
        <v>24</v>
      </c>
      <c r="IQ337">
        <v>4</v>
      </c>
      <c r="IR337">
        <v>2</v>
      </c>
      <c r="IS337">
        <v>26</v>
      </c>
      <c r="IT337">
        <v>28</v>
      </c>
      <c r="IU337">
        <v>16</v>
      </c>
      <c r="IV337">
        <v>8</v>
      </c>
      <c r="IW337">
        <v>31</v>
      </c>
      <c r="IX337">
        <v>27</v>
      </c>
      <c r="IY337">
        <v>3</v>
      </c>
      <c r="IZ337">
        <v>76</v>
      </c>
      <c r="JA337">
        <v>58</v>
      </c>
      <c r="JB337">
        <v>33</v>
      </c>
      <c r="JC337">
        <v>6</v>
      </c>
      <c r="JD337">
        <v>17</v>
      </c>
      <c r="JE337">
        <v>19</v>
      </c>
      <c r="JF337">
        <v>17</v>
      </c>
      <c r="JG337">
        <v>191</v>
      </c>
      <c r="JH337">
        <v>32</v>
      </c>
      <c r="JI337">
        <v>8</v>
      </c>
      <c r="JJ337">
        <v>31</v>
      </c>
      <c r="JK337">
        <v>488</v>
      </c>
      <c r="JL337">
        <v>1946</v>
      </c>
      <c r="JM337">
        <v>3343</v>
      </c>
      <c r="JN337">
        <v>2871</v>
      </c>
      <c r="JO337">
        <v>2927</v>
      </c>
      <c r="JP337">
        <v>875</v>
      </c>
      <c r="JQ337">
        <v>1666</v>
      </c>
      <c r="JR337">
        <v>350</v>
      </c>
      <c r="JS337">
        <v>3159</v>
      </c>
      <c r="JT337">
        <v>394</v>
      </c>
      <c r="JV337">
        <v>2872</v>
      </c>
      <c r="JW337">
        <v>1646</v>
      </c>
      <c r="JX337">
        <v>769</v>
      </c>
      <c r="JY337">
        <v>669</v>
      </c>
      <c r="JZ337">
        <v>716</v>
      </c>
      <c r="KA337">
        <v>842</v>
      </c>
      <c r="KB337">
        <v>503</v>
      </c>
      <c r="KC337">
        <v>1059</v>
      </c>
      <c r="KD337">
        <v>1091</v>
      </c>
      <c r="KE337">
        <v>242</v>
      </c>
      <c r="KF337">
        <v>431</v>
      </c>
      <c r="KG337">
        <v>106</v>
      </c>
      <c r="KH337">
        <v>1301</v>
      </c>
      <c r="KI337">
        <v>250</v>
      </c>
      <c r="KJ337">
        <v>12</v>
      </c>
      <c r="KK337">
        <v>546</v>
      </c>
      <c r="KL337">
        <v>72</v>
      </c>
      <c r="KM337">
        <v>437</v>
      </c>
      <c r="KN337">
        <v>113</v>
      </c>
      <c r="KO337">
        <v>196</v>
      </c>
      <c r="KP337">
        <v>319</v>
      </c>
      <c r="KQ337">
        <v>47</v>
      </c>
      <c r="KR337">
        <v>1039</v>
      </c>
      <c r="KS337">
        <v>323</v>
      </c>
      <c r="KT337">
        <v>106</v>
      </c>
      <c r="KU337">
        <v>178</v>
      </c>
      <c r="KV337">
        <v>335</v>
      </c>
      <c r="KW337">
        <v>1261</v>
      </c>
      <c r="KX337">
        <v>2694</v>
      </c>
      <c r="KY337">
        <v>360</v>
      </c>
      <c r="KZ337">
        <v>467</v>
      </c>
      <c r="LA337">
        <v>1051</v>
      </c>
      <c r="LB337">
        <v>1</v>
      </c>
      <c r="LC337">
        <v>1547</v>
      </c>
      <c r="LD337">
        <v>2216</v>
      </c>
      <c r="LE337">
        <v>4852</v>
      </c>
      <c r="LF337">
        <v>995</v>
      </c>
      <c r="LG337">
        <v>1794</v>
      </c>
      <c r="LH337">
        <v>6529</v>
      </c>
      <c r="LI337">
        <v>2220</v>
      </c>
      <c r="LJ337">
        <v>2169</v>
      </c>
      <c r="LK337">
        <v>367</v>
      </c>
      <c r="LL337">
        <v>1</v>
      </c>
      <c r="LM337">
        <v>5689</v>
      </c>
      <c r="LN337">
        <v>299</v>
      </c>
      <c r="LO337">
        <v>331</v>
      </c>
      <c r="LP337">
        <v>154</v>
      </c>
      <c r="LQ337">
        <v>213</v>
      </c>
      <c r="LR337">
        <v>2280</v>
      </c>
      <c r="LS337">
        <v>832</v>
      </c>
      <c r="LT337">
        <v>1471</v>
      </c>
      <c r="LU337">
        <v>232</v>
      </c>
      <c r="LV337">
        <v>4793</v>
      </c>
      <c r="LW337">
        <v>1974</v>
      </c>
      <c r="LX337">
        <v>2229</v>
      </c>
      <c r="LY337">
        <v>493</v>
      </c>
      <c r="LZ337">
        <v>2273</v>
      </c>
      <c r="MA337">
        <v>283</v>
      </c>
      <c r="MB337">
        <v>422</v>
      </c>
      <c r="MC337">
        <v>105</v>
      </c>
      <c r="MD337">
        <v>382</v>
      </c>
      <c r="ME337">
        <v>745</v>
      </c>
      <c r="MF337">
        <v>5727</v>
      </c>
      <c r="MG337">
        <v>3845</v>
      </c>
      <c r="MH337">
        <v>809</v>
      </c>
      <c r="MI337">
        <v>1649</v>
      </c>
      <c r="MJ337">
        <v>176</v>
      </c>
      <c r="MK337">
        <v>920</v>
      </c>
      <c r="ML337">
        <v>562</v>
      </c>
      <c r="MM337">
        <v>438</v>
      </c>
      <c r="MN337">
        <v>432</v>
      </c>
      <c r="MO337">
        <v>452</v>
      </c>
      <c r="MP337">
        <v>24</v>
      </c>
      <c r="MQ337">
        <v>141</v>
      </c>
      <c r="MR337">
        <v>461</v>
      </c>
      <c r="MS337">
        <v>3341</v>
      </c>
      <c r="MT337">
        <v>531</v>
      </c>
      <c r="MU337">
        <v>659</v>
      </c>
      <c r="MV337">
        <v>568</v>
      </c>
      <c r="MW337">
        <v>196</v>
      </c>
      <c r="MX337">
        <v>466</v>
      </c>
      <c r="MY337">
        <v>312</v>
      </c>
      <c r="MZ337">
        <v>8209</v>
      </c>
      <c r="NA337">
        <v>1633</v>
      </c>
      <c r="NB337">
        <v>524</v>
      </c>
      <c r="NC337">
        <v>334</v>
      </c>
      <c r="ND337">
        <v>451</v>
      </c>
      <c r="NE337">
        <v>309</v>
      </c>
      <c r="NF337">
        <v>365</v>
      </c>
      <c r="NG337">
        <v>117</v>
      </c>
      <c r="NH337">
        <v>933</v>
      </c>
      <c r="NI337">
        <v>365</v>
      </c>
      <c r="NJ337">
        <v>151</v>
      </c>
      <c r="NK337">
        <v>61</v>
      </c>
      <c r="NL337">
        <v>742</v>
      </c>
      <c r="NM337">
        <v>632</v>
      </c>
      <c r="NN337">
        <v>1159</v>
      </c>
      <c r="NO337">
        <v>1367</v>
      </c>
      <c r="NP337">
        <v>1069</v>
      </c>
      <c r="NQ337">
        <v>356</v>
      </c>
      <c r="NR337">
        <v>902</v>
      </c>
      <c r="NS337">
        <v>282</v>
      </c>
      <c r="NT337">
        <v>684</v>
      </c>
      <c r="NU337">
        <v>525</v>
      </c>
      <c r="NV337">
        <v>1539</v>
      </c>
      <c r="NW337">
        <v>14</v>
      </c>
      <c r="NX337">
        <v>115</v>
      </c>
      <c r="NY337">
        <v>627</v>
      </c>
      <c r="NZ337">
        <v>206</v>
      </c>
      <c r="OA337">
        <v>621</v>
      </c>
      <c r="OB337">
        <v>899</v>
      </c>
      <c r="OD337">
        <v>0</v>
      </c>
      <c r="OE337">
        <v>9</v>
      </c>
      <c r="OF337">
        <v>28</v>
      </c>
      <c r="OG337">
        <v>178</v>
      </c>
      <c r="OH337">
        <v>38</v>
      </c>
      <c r="OI337">
        <v>1798</v>
      </c>
      <c r="OJ337">
        <v>3195</v>
      </c>
      <c r="OK337">
        <v>4122</v>
      </c>
      <c r="OL337">
        <v>87</v>
      </c>
      <c r="OM337">
        <v>125</v>
      </c>
      <c r="ON337">
        <v>1711</v>
      </c>
      <c r="OO337">
        <v>161458</v>
      </c>
      <c r="OP337">
        <v>17900</v>
      </c>
      <c r="OV337">
        <v>2679</v>
      </c>
      <c r="PI337">
        <v>182037</v>
      </c>
      <c r="PM337" t="str">
        <f>IFERROR(VLOOKUP($A337&amp;"",Key!$A:$C,3,FALSE),"")</f>
        <v>ISIC 69T75</v>
      </c>
    </row>
    <row r="338" spans="1:429" x14ac:dyDescent="0.25">
      <c r="A338">
        <v>541300</v>
      </c>
      <c r="B338" t="s">
        <v>473</v>
      </c>
      <c r="C338">
        <v>3</v>
      </c>
      <c r="H338">
        <v>3</v>
      </c>
      <c r="L338">
        <v>2</v>
      </c>
      <c r="M338">
        <v>10</v>
      </c>
      <c r="N338">
        <v>4</v>
      </c>
      <c r="O338">
        <v>407</v>
      </c>
      <c r="P338">
        <v>1115</v>
      </c>
      <c r="Q338">
        <v>556</v>
      </c>
      <c r="R338">
        <v>40</v>
      </c>
      <c r="S338">
        <v>28</v>
      </c>
      <c r="T338">
        <v>232</v>
      </c>
      <c r="U338">
        <v>244</v>
      </c>
      <c r="V338">
        <v>160</v>
      </c>
      <c r="W338">
        <v>1118</v>
      </c>
      <c r="X338">
        <v>1136</v>
      </c>
      <c r="Y338">
        <v>1020</v>
      </c>
      <c r="Z338">
        <v>579</v>
      </c>
      <c r="AA338">
        <v>457</v>
      </c>
      <c r="AB338">
        <v>1273</v>
      </c>
      <c r="AC338">
        <v>4655</v>
      </c>
      <c r="AD338">
        <v>1845</v>
      </c>
      <c r="AE338">
        <v>3896</v>
      </c>
      <c r="AF338">
        <v>1383</v>
      </c>
      <c r="AG338">
        <v>8453</v>
      </c>
      <c r="AH338">
        <v>732</v>
      </c>
      <c r="AI338">
        <v>2331</v>
      </c>
      <c r="AJ338">
        <v>2453</v>
      </c>
      <c r="AK338">
        <v>5801</v>
      </c>
      <c r="AL338">
        <v>3151</v>
      </c>
      <c r="AM338">
        <v>99</v>
      </c>
      <c r="AN338">
        <v>118</v>
      </c>
      <c r="AO338">
        <v>72</v>
      </c>
      <c r="AP338">
        <v>187</v>
      </c>
      <c r="AQ338">
        <v>47</v>
      </c>
      <c r="AR338">
        <v>118</v>
      </c>
      <c r="AS338">
        <v>62</v>
      </c>
      <c r="AT338">
        <v>119</v>
      </c>
      <c r="AU338">
        <v>8</v>
      </c>
      <c r="AV338">
        <v>78</v>
      </c>
      <c r="AW338">
        <v>16</v>
      </c>
      <c r="AX338">
        <v>8</v>
      </c>
      <c r="AY338">
        <v>24</v>
      </c>
      <c r="AZ338">
        <v>16</v>
      </c>
      <c r="BA338">
        <v>23</v>
      </c>
      <c r="BB338">
        <v>67</v>
      </c>
      <c r="BC338">
        <v>481</v>
      </c>
      <c r="BD338">
        <v>60</v>
      </c>
      <c r="BE338">
        <v>6</v>
      </c>
      <c r="BF338">
        <v>1</v>
      </c>
      <c r="BG338">
        <v>44</v>
      </c>
      <c r="BH338">
        <v>29</v>
      </c>
      <c r="BI338">
        <v>22</v>
      </c>
      <c r="BJ338">
        <v>24</v>
      </c>
      <c r="BK338">
        <v>41</v>
      </c>
      <c r="BL338">
        <v>55</v>
      </c>
      <c r="BM338">
        <v>14</v>
      </c>
      <c r="BN338">
        <v>36</v>
      </c>
      <c r="BO338">
        <v>15</v>
      </c>
      <c r="BP338">
        <v>60</v>
      </c>
      <c r="BQ338">
        <v>204</v>
      </c>
      <c r="BR338">
        <v>221</v>
      </c>
      <c r="BS338">
        <v>20</v>
      </c>
      <c r="BT338">
        <v>37</v>
      </c>
      <c r="BU338">
        <v>20</v>
      </c>
      <c r="BV338">
        <v>36</v>
      </c>
      <c r="BW338">
        <v>30</v>
      </c>
      <c r="BX338">
        <v>111</v>
      </c>
      <c r="BY338">
        <v>93</v>
      </c>
      <c r="BZ338">
        <v>38</v>
      </c>
      <c r="CA338">
        <v>5</v>
      </c>
      <c r="CB338">
        <v>82</v>
      </c>
      <c r="CC338">
        <v>7</v>
      </c>
      <c r="CD338">
        <v>14</v>
      </c>
      <c r="CE338">
        <v>30</v>
      </c>
      <c r="CF338">
        <v>41</v>
      </c>
      <c r="CG338">
        <v>144</v>
      </c>
      <c r="CH338">
        <v>34</v>
      </c>
      <c r="CI338">
        <v>62</v>
      </c>
      <c r="CJ338">
        <v>52</v>
      </c>
      <c r="CK338">
        <v>40</v>
      </c>
      <c r="CL338">
        <v>93</v>
      </c>
      <c r="CM338">
        <v>27</v>
      </c>
      <c r="CN338">
        <v>17</v>
      </c>
      <c r="CO338">
        <v>78</v>
      </c>
      <c r="CP338">
        <v>20</v>
      </c>
      <c r="CQ338">
        <v>33</v>
      </c>
      <c r="CR338">
        <v>9</v>
      </c>
      <c r="CS338">
        <v>12</v>
      </c>
      <c r="CT338">
        <v>16</v>
      </c>
      <c r="CU338">
        <v>22</v>
      </c>
      <c r="CV338">
        <v>30</v>
      </c>
      <c r="CW338">
        <v>37</v>
      </c>
      <c r="CX338">
        <v>6</v>
      </c>
      <c r="CY338">
        <v>21</v>
      </c>
      <c r="CZ338">
        <v>61</v>
      </c>
      <c r="DA338">
        <v>20</v>
      </c>
      <c r="DB338">
        <v>27</v>
      </c>
      <c r="DC338">
        <v>78</v>
      </c>
      <c r="DD338">
        <v>3</v>
      </c>
      <c r="DE338">
        <v>18</v>
      </c>
      <c r="DF338">
        <v>10</v>
      </c>
      <c r="DG338">
        <v>56</v>
      </c>
      <c r="DH338">
        <v>34</v>
      </c>
      <c r="DI338">
        <v>542</v>
      </c>
      <c r="DJ338">
        <v>32</v>
      </c>
      <c r="DK338">
        <v>57</v>
      </c>
      <c r="DL338">
        <v>68</v>
      </c>
      <c r="DM338">
        <v>108</v>
      </c>
      <c r="DN338">
        <v>31</v>
      </c>
      <c r="DO338">
        <v>338</v>
      </c>
      <c r="DP338">
        <v>45</v>
      </c>
      <c r="DQ338">
        <v>117</v>
      </c>
      <c r="DR338">
        <v>108</v>
      </c>
      <c r="DS338">
        <v>84</v>
      </c>
      <c r="DT338">
        <v>7</v>
      </c>
      <c r="DU338">
        <v>33</v>
      </c>
      <c r="DV338">
        <v>21</v>
      </c>
      <c r="DW338">
        <v>43</v>
      </c>
      <c r="DX338">
        <v>36</v>
      </c>
      <c r="DY338">
        <v>11</v>
      </c>
      <c r="DZ338">
        <v>57</v>
      </c>
      <c r="EA338">
        <v>4</v>
      </c>
      <c r="EB338">
        <v>2</v>
      </c>
      <c r="EC338">
        <v>2</v>
      </c>
      <c r="ED338">
        <v>60</v>
      </c>
      <c r="EE338">
        <v>9</v>
      </c>
      <c r="EF338">
        <v>11</v>
      </c>
      <c r="EG338">
        <v>8</v>
      </c>
      <c r="EH338">
        <v>7</v>
      </c>
      <c r="EI338">
        <v>18</v>
      </c>
      <c r="EJ338">
        <v>11</v>
      </c>
      <c r="EK338">
        <v>20</v>
      </c>
      <c r="EL338">
        <v>3</v>
      </c>
      <c r="EM338">
        <v>23</v>
      </c>
      <c r="EN338">
        <v>35</v>
      </c>
      <c r="EO338">
        <v>2</v>
      </c>
      <c r="EP338">
        <v>68</v>
      </c>
      <c r="EQ338">
        <v>66</v>
      </c>
      <c r="ER338">
        <v>110</v>
      </c>
      <c r="ES338">
        <v>22</v>
      </c>
      <c r="ET338">
        <v>93</v>
      </c>
      <c r="EU338">
        <v>21</v>
      </c>
      <c r="EV338">
        <v>5</v>
      </c>
      <c r="EW338">
        <v>131</v>
      </c>
      <c r="EX338">
        <v>131</v>
      </c>
      <c r="EY338">
        <v>134</v>
      </c>
      <c r="EZ338">
        <v>123</v>
      </c>
      <c r="FA338">
        <v>59</v>
      </c>
      <c r="FB338">
        <v>68</v>
      </c>
      <c r="FC338">
        <v>253</v>
      </c>
      <c r="FD338">
        <v>99</v>
      </c>
      <c r="FE338">
        <v>61</v>
      </c>
      <c r="FF338">
        <v>173</v>
      </c>
      <c r="FG338">
        <v>206</v>
      </c>
      <c r="FH338">
        <v>90</v>
      </c>
      <c r="FI338">
        <v>41</v>
      </c>
      <c r="FJ338">
        <v>160</v>
      </c>
      <c r="FK338">
        <v>498</v>
      </c>
      <c r="FL338">
        <v>14</v>
      </c>
      <c r="FM338">
        <v>55</v>
      </c>
      <c r="FN338">
        <v>32</v>
      </c>
      <c r="FO338">
        <v>15</v>
      </c>
      <c r="FP338">
        <v>42</v>
      </c>
      <c r="FQ338">
        <v>20</v>
      </c>
      <c r="FR338">
        <v>9</v>
      </c>
      <c r="FS338">
        <v>19</v>
      </c>
      <c r="FT338">
        <v>33</v>
      </c>
      <c r="FU338">
        <v>19</v>
      </c>
      <c r="FV338">
        <v>78</v>
      </c>
      <c r="FW338">
        <v>26</v>
      </c>
      <c r="FX338">
        <v>147</v>
      </c>
      <c r="FY338">
        <v>138</v>
      </c>
      <c r="FZ338">
        <v>43</v>
      </c>
      <c r="GA338">
        <v>23</v>
      </c>
      <c r="GB338">
        <v>27</v>
      </c>
      <c r="GC338">
        <v>41</v>
      </c>
      <c r="GD338">
        <v>23</v>
      </c>
      <c r="GE338">
        <v>8</v>
      </c>
      <c r="GF338">
        <v>19</v>
      </c>
      <c r="GG338">
        <v>41</v>
      </c>
      <c r="GH338">
        <v>125</v>
      </c>
      <c r="GI338">
        <v>105</v>
      </c>
      <c r="GJ338">
        <v>89</v>
      </c>
      <c r="GK338">
        <v>54</v>
      </c>
      <c r="GL338">
        <v>10</v>
      </c>
      <c r="GM338">
        <v>10</v>
      </c>
      <c r="GN338">
        <v>5</v>
      </c>
      <c r="GO338">
        <v>14</v>
      </c>
      <c r="GP338">
        <v>94</v>
      </c>
      <c r="GQ338">
        <v>43</v>
      </c>
      <c r="GR338">
        <v>55</v>
      </c>
      <c r="GS338">
        <v>78</v>
      </c>
      <c r="GT338">
        <v>77</v>
      </c>
      <c r="GU338">
        <v>76</v>
      </c>
      <c r="GV338">
        <v>36</v>
      </c>
      <c r="GW338">
        <v>47</v>
      </c>
      <c r="GX338">
        <v>132</v>
      </c>
      <c r="GY338">
        <v>85</v>
      </c>
      <c r="GZ338">
        <v>203</v>
      </c>
      <c r="HA338">
        <v>80</v>
      </c>
      <c r="HB338">
        <v>85</v>
      </c>
      <c r="HC338">
        <v>60</v>
      </c>
      <c r="HD338">
        <v>3</v>
      </c>
      <c r="HE338">
        <v>131</v>
      </c>
      <c r="HF338">
        <v>93</v>
      </c>
      <c r="HG338">
        <v>103</v>
      </c>
      <c r="HH338">
        <v>13</v>
      </c>
      <c r="HI338">
        <v>67</v>
      </c>
      <c r="HJ338">
        <v>1</v>
      </c>
      <c r="HK338">
        <v>27</v>
      </c>
      <c r="HL338">
        <v>6</v>
      </c>
      <c r="HM338">
        <v>52</v>
      </c>
      <c r="HN338">
        <v>26</v>
      </c>
      <c r="HO338">
        <v>5</v>
      </c>
      <c r="HP338">
        <v>11</v>
      </c>
      <c r="HQ338">
        <v>24</v>
      </c>
      <c r="HR338">
        <v>32</v>
      </c>
      <c r="HS338">
        <v>8</v>
      </c>
      <c r="HT338">
        <v>35</v>
      </c>
      <c r="HU338">
        <v>165</v>
      </c>
      <c r="HV338">
        <v>225</v>
      </c>
      <c r="HW338">
        <v>362</v>
      </c>
      <c r="HX338">
        <v>69</v>
      </c>
      <c r="HY338">
        <v>23</v>
      </c>
      <c r="HZ338">
        <v>25</v>
      </c>
      <c r="IA338">
        <v>9</v>
      </c>
      <c r="IB338">
        <v>569</v>
      </c>
      <c r="IC338">
        <v>14</v>
      </c>
      <c r="ID338">
        <v>417</v>
      </c>
      <c r="IE338">
        <v>54</v>
      </c>
      <c r="IF338">
        <v>18</v>
      </c>
      <c r="IG338">
        <v>20</v>
      </c>
      <c r="IH338">
        <v>52</v>
      </c>
      <c r="II338">
        <v>34</v>
      </c>
      <c r="IJ338">
        <v>42</v>
      </c>
      <c r="IK338">
        <v>165</v>
      </c>
      <c r="IL338">
        <v>560</v>
      </c>
      <c r="IM338">
        <v>217</v>
      </c>
      <c r="IN338">
        <v>85</v>
      </c>
      <c r="IO338">
        <v>103</v>
      </c>
      <c r="IP338">
        <v>807</v>
      </c>
      <c r="IQ338">
        <v>108</v>
      </c>
      <c r="IR338">
        <v>120</v>
      </c>
      <c r="IS338">
        <v>38</v>
      </c>
      <c r="IT338">
        <v>22</v>
      </c>
      <c r="IU338">
        <v>23</v>
      </c>
      <c r="IV338">
        <v>62</v>
      </c>
      <c r="IW338">
        <v>52</v>
      </c>
      <c r="IX338">
        <v>65</v>
      </c>
      <c r="IY338">
        <v>8</v>
      </c>
      <c r="IZ338">
        <v>64</v>
      </c>
      <c r="JA338">
        <v>144</v>
      </c>
      <c r="JB338">
        <v>70</v>
      </c>
      <c r="JC338">
        <v>19</v>
      </c>
      <c r="JD338">
        <v>27</v>
      </c>
      <c r="JE338">
        <v>41</v>
      </c>
      <c r="JF338">
        <v>56</v>
      </c>
      <c r="JG338">
        <v>457</v>
      </c>
      <c r="JH338">
        <v>31</v>
      </c>
      <c r="JI338">
        <v>42</v>
      </c>
      <c r="JJ338">
        <v>100</v>
      </c>
      <c r="JK338">
        <v>0</v>
      </c>
      <c r="JL338">
        <v>382</v>
      </c>
      <c r="JM338">
        <v>600</v>
      </c>
      <c r="JN338">
        <v>1362</v>
      </c>
      <c r="JO338">
        <v>934</v>
      </c>
      <c r="JP338">
        <v>6866</v>
      </c>
      <c r="JQ338">
        <v>960</v>
      </c>
      <c r="JR338">
        <v>145</v>
      </c>
      <c r="JS338">
        <v>1250</v>
      </c>
      <c r="JT338">
        <v>67</v>
      </c>
      <c r="JV338">
        <v>314</v>
      </c>
      <c r="JW338">
        <v>167</v>
      </c>
      <c r="JX338">
        <v>501</v>
      </c>
      <c r="JY338">
        <v>225</v>
      </c>
      <c r="JZ338">
        <v>148</v>
      </c>
      <c r="KA338">
        <v>125</v>
      </c>
      <c r="KB338">
        <v>187</v>
      </c>
      <c r="KC338">
        <v>585</v>
      </c>
      <c r="KD338">
        <v>240</v>
      </c>
      <c r="KE338">
        <v>279</v>
      </c>
      <c r="KF338">
        <v>1239</v>
      </c>
      <c r="KG338">
        <v>2</v>
      </c>
      <c r="KH338">
        <v>230</v>
      </c>
      <c r="KI338">
        <v>35</v>
      </c>
      <c r="KJ338">
        <v>177</v>
      </c>
      <c r="KK338">
        <v>209</v>
      </c>
      <c r="KL338">
        <v>3</v>
      </c>
      <c r="KM338">
        <v>299</v>
      </c>
      <c r="KN338">
        <v>13</v>
      </c>
      <c r="KO338">
        <v>43</v>
      </c>
      <c r="KP338">
        <v>65</v>
      </c>
      <c r="KQ338">
        <v>14</v>
      </c>
      <c r="KR338">
        <v>730</v>
      </c>
      <c r="KS338">
        <v>159</v>
      </c>
      <c r="KT338">
        <v>11</v>
      </c>
      <c r="KU338">
        <v>52</v>
      </c>
      <c r="KV338">
        <v>38</v>
      </c>
      <c r="KW338">
        <v>1640</v>
      </c>
      <c r="KX338">
        <v>9708</v>
      </c>
      <c r="KY338">
        <v>413</v>
      </c>
      <c r="KZ338">
        <v>767</v>
      </c>
      <c r="LA338">
        <v>334</v>
      </c>
      <c r="LB338">
        <v>20</v>
      </c>
      <c r="LC338">
        <v>96</v>
      </c>
      <c r="LD338">
        <v>19</v>
      </c>
      <c r="LE338">
        <v>12</v>
      </c>
      <c r="LF338">
        <v>1089</v>
      </c>
      <c r="LG338">
        <v>3</v>
      </c>
      <c r="LH338">
        <v>235</v>
      </c>
      <c r="LI338">
        <v>241</v>
      </c>
      <c r="LJ338">
        <v>1383</v>
      </c>
      <c r="LK338">
        <v>2336</v>
      </c>
      <c r="LL338">
        <v>4</v>
      </c>
      <c r="LM338">
        <v>30588</v>
      </c>
      <c r="LN338">
        <v>69</v>
      </c>
      <c r="LO338">
        <v>211</v>
      </c>
      <c r="LP338">
        <v>8</v>
      </c>
      <c r="LQ338">
        <v>1063</v>
      </c>
      <c r="LR338">
        <v>498</v>
      </c>
      <c r="LS338">
        <v>697</v>
      </c>
      <c r="LT338">
        <v>9201</v>
      </c>
      <c r="LU338">
        <v>132</v>
      </c>
      <c r="LV338">
        <v>373</v>
      </c>
      <c r="LW338">
        <v>16150</v>
      </c>
      <c r="LX338">
        <v>1095</v>
      </c>
      <c r="LY338">
        <v>3886</v>
      </c>
      <c r="LZ338">
        <v>7298</v>
      </c>
      <c r="MA338">
        <v>57</v>
      </c>
      <c r="MB338">
        <v>229</v>
      </c>
      <c r="MC338">
        <v>40</v>
      </c>
      <c r="MD338">
        <v>160</v>
      </c>
      <c r="ME338">
        <v>132</v>
      </c>
      <c r="MF338">
        <v>3338</v>
      </c>
      <c r="MG338">
        <v>603</v>
      </c>
      <c r="MH338">
        <v>1581</v>
      </c>
      <c r="MI338">
        <v>424</v>
      </c>
      <c r="MJ338">
        <v>960</v>
      </c>
      <c r="MK338">
        <v>289</v>
      </c>
      <c r="ML338">
        <v>464</v>
      </c>
      <c r="MM338">
        <v>523</v>
      </c>
      <c r="MN338">
        <v>253</v>
      </c>
      <c r="MO338">
        <v>747</v>
      </c>
      <c r="MP338">
        <v>56</v>
      </c>
      <c r="MQ338">
        <v>976</v>
      </c>
      <c r="MR338">
        <v>120</v>
      </c>
      <c r="MS338">
        <v>1142</v>
      </c>
      <c r="MT338">
        <v>39</v>
      </c>
      <c r="MU338">
        <v>273</v>
      </c>
      <c r="MV338">
        <v>157</v>
      </c>
      <c r="MW338">
        <v>206</v>
      </c>
      <c r="MX338">
        <v>65</v>
      </c>
      <c r="MY338">
        <v>60</v>
      </c>
      <c r="MZ338">
        <v>1434</v>
      </c>
      <c r="NA338">
        <v>419</v>
      </c>
      <c r="NB338">
        <v>20</v>
      </c>
      <c r="NC338">
        <v>366</v>
      </c>
      <c r="ND338">
        <v>38</v>
      </c>
      <c r="NE338">
        <v>141</v>
      </c>
      <c r="NF338">
        <v>24</v>
      </c>
      <c r="NG338">
        <v>26</v>
      </c>
      <c r="NH338">
        <v>2</v>
      </c>
      <c r="NI338">
        <v>36</v>
      </c>
      <c r="NJ338">
        <v>16</v>
      </c>
      <c r="NK338">
        <v>64</v>
      </c>
      <c r="NL338">
        <v>132</v>
      </c>
      <c r="NM338">
        <v>399</v>
      </c>
      <c r="NN338">
        <v>428</v>
      </c>
      <c r="NO338">
        <v>268</v>
      </c>
      <c r="NP338">
        <v>817</v>
      </c>
      <c r="NQ338">
        <v>204</v>
      </c>
      <c r="NR338">
        <v>20</v>
      </c>
      <c r="NS338">
        <v>1</v>
      </c>
      <c r="NT338">
        <v>30</v>
      </c>
      <c r="NU338">
        <v>2</v>
      </c>
      <c r="NV338">
        <v>66</v>
      </c>
      <c r="NW338">
        <v>0</v>
      </c>
      <c r="NX338">
        <v>16</v>
      </c>
      <c r="NY338">
        <v>126</v>
      </c>
      <c r="NZ338">
        <v>320</v>
      </c>
      <c r="OA338">
        <v>132</v>
      </c>
      <c r="OB338">
        <v>107</v>
      </c>
      <c r="OD338">
        <v>34647</v>
      </c>
      <c r="OE338">
        <v>3637</v>
      </c>
      <c r="OF338">
        <v>9</v>
      </c>
      <c r="OG338">
        <v>520</v>
      </c>
      <c r="OH338">
        <v>54</v>
      </c>
      <c r="OI338">
        <v>5346</v>
      </c>
      <c r="OJ338">
        <v>2845</v>
      </c>
      <c r="OK338">
        <v>19266</v>
      </c>
      <c r="OL338">
        <v>1960</v>
      </c>
      <c r="OM338">
        <v>681</v>
      </c>
      <c r="ON338">
        <v>10656</v>
      </c>
      <c r="OO338">
        <v>266697</v>
      </c>
      <c r="OQ338">
        <v>51774</v>
      </c>
      <c r="OS338">
        <v>3058</v>
      </c>
      <c r="OV338">
        <v>33253</v>
      </c>
      <c r="PI338">
        <v>354782</v>
      </c>
      <c r="PM338" t="str">
        <f>IFERROR(VLOOKUP($A338&amp;"",Key!$A:$C,3,FALSE),"")</f>
        <v>ISIC 69T75</v>
      </c>
    </row>
    <row r="339" spans="1:429" x14ac:dyDescent="0.25">
      <c r="A339">
        <v>541610</v>
      </c>
      <c r="B339" t="s">
        <v>474</v>
      </c>
      <c r="C339">
        <v>0</v>
      </c>
      <c r="H339">
        <v>0</v>
      </c>
      <c r="N339">
        <v>1</v>
      </c>
      <c r="O339">
        <v>1</v>
      </c>
      <c r="P339">
        <v>95</v>
      </c>
      <c r="Q339">
        <v>18</v>
      </c>
      <c r="R339">
        <v>2</v>
      </c>
      <c r="S339">
        <v>3</v>
      </c>
      <c r="T339">
        <v>3</v>
      </c>
      <c r="U339">
        <v>3</v>
      </c>
      <c r="V339">
        <v>35</v>
      </c>
      <c r="W339">
        <v>66</v>
      </c>
      <c r="X339">
        <v>194</v>
      </c>
      <c r="Y339">
        <v>157</v>
      </c>
      <c r="Z339">
        <v>53</v>
      </c>
      <c r="AA339">
        <v>40</v>
      </c>
      <c r="AB339">
        <v>153</v>
      </c>
      <c r="AC339">
        <v>94</v>
      </c>
      <c r="AD339">
        <v>199</v>
      </c>
      <c r="AE339">
        <v>101</v>
      </c>
      <c r="AF339">
        <v>176</v>
      </c>
      <c r="AG339">
        <v>184</v>
      </c>
      <c r="AH339">
        <v>48</v>
      </c>
      <c r="AI339">
        <v>60</v>
      </c>
      <c r="AJ339">
        <v>43</v>
      </c>
      <c r="AK339">
        <v>145</v>
      </c>
      <c r="AL339">
        <v>71</v>
      </c>
      <c r="AM339">
        <v>29</v>
      </c>
      <c r="AN339">
        <v>18</v>
      </c>
      <c r="AO339">
        <v>20</v>
      </c>
      <c r="AP339">
        <v>17</v>
      </c>
      <c r="AQ339">
        <v>11</v>
      </c>
      <c r="AR339">
        <v>15</v>
      </c>
      <c r="AS339">
        <v>3</v>
      </c>
      <c r="AT339">
        <v>15</v>
      </c>
      <c r="AU339">
        <v>6</v>
      </c>
      <c r="AV339">
        <v>13</v>
      </c>
      <c r="AW339">
        <v>3</v>
      </c>
      <c r="AX339">
        <v>4</v>
      </c>
      <c r="AY339">
        <v>3</v>
      </c>
      <c r="AZ339">
        <v>1</v>
      </c>
      <c r="BA339">
        <v>2</v>
      </c>
      <c r="BB339">
        <v>2</v>
      </c>
      <c r="BC339">
        <v>15</v>
      </c>
      <c r="BD339">
        <v>12</v>
      </c>
      <c r="BE339">
        <v>2</v>
      </c>
      <c r="BF339">
        <v>2</v>
      </c>
      <c r="BG339">
        <v>12</v>
      </c>
      <c r="BH339">
        <v>18</v>
      </c>
      <c r="BI339">
        <v>5</v>
      </c>
      <c r="BJ339">
        <v>6</v>
      </c>
      <c r="BK339">
        <v>3</v>
      </c>
      <c r="BL339">
        <v>7</v>
      </c>
      <c r="BM339">
        <v>2</v>
      </c>
      <c r="BN339">
        <v>5</v>
      </c>
      <c r="BO339">
        <v>10</v>
      </c>
      <c r="BP339">
        <v>15</v>
      </c>
      <c r="BQ339">
        <v>28</v>
      </c>
      <c r="BR339">
        <v>16</v>
      </c>
      <c r="BS339">
        <v>4</v>
      </c>
      <c r="BT339">
        <v>7</v>
      </c>
      <c r="BU339">
        <v>3</v>
      </c>
      <c r="BV339">
        <v>7</v>
      </c>
      <c r="BW339">
        <v>5</v>
      </c>
      <c r="BX339">
        <v>23</v>
      </c>
      <c r="BY339">
        <v>15</v>
      </c>
      <c r="BZ339">
        <v>24</v>
      </c>
      <c r="CA339">
        <v>5</v>
      </c>
      <c r="CB339">
        <v>40</v>
      </c>
      <c r="CC339">
        <v>4</v>
      </c>
      <c r="CD339">
        <v>4</v>
      </c>
      <c r="CE339">
        <v>14</v>
      </c>
      <c r="CF339">
        <v>9</v>
      </c>
      <c r="CG339">
        <v>20</v>
      </c>
      <c r="CH339">
        <v>3</v>
      </c>
      <c r="CI339">
        <v>22</v>
      </c>
      <c r="CJ339">
        <v>21</v>
      </c>
      <c r="CK339">
        <v>61</v>
      </c>
      <c r="CL339">
        <v>44</v>
      </c>
      <c r="CM339">
        <v>19</v>
      </c>
      <c r="CN339">
        <v>21</v>
      </c>
      <c r="CO339">
        <v>49</v>
      </c>
      <c r="CP339">
        <v>6</v>
      </c>
      <c r="CQ339">
        <v>41</v>
      </c>
      <c r="CR339">
        <v>7</v>
      </c>
      <c r="CS339">
        <v>5</v>
      </c>
      <c r="CT339">
        <v>15</v>
      </c>
      <c r="CU339">
        <v>23</v>
      </c>
      <c r="CV339">
        <v>33</v>
      </c>
      <c r="CW339">
        <v>16</v>
      </c>
      <c r="CX339">
        <v>4</v>
      </c>
      <c r="CY339">
        <v>13</v>
      </c>
      <c r="CZ339">
        <v>35</v>
      </c>
      <c r="DA339">
        <v>8</v>
      </c>
      <c r="DB339">
        <v>43</v>
      </c>
      <c r="DC339">
        <v>28</v>
      </c>
      <c r="DD339">
        <v>2</v>
      </c>
      <c r="DE339">
        <v>10</v>
      </c>
      <c r="DF339">
        <v>4</v>
      </c>
      <c r="DG339">
        <v>34</v>
      </c>
      <c r="DH339">
        <v>30</v>
      </c>
      <c r="DI339">
        <v>800</v>
      </c>
      <c r="DJ339">
        <v>47</v>
      </c>
      <c r="DK339">
        <v>84</v>
      </c>
      <c r="DL339">
        <v>101</v>
      </c>
      <c r="DM339">
        <v>161</v>
      </c>
      <c r="DN339">
        <v>46</v>
      </c>
      <c r="DO339">
        <v>498</v>
      </c>
      <c r="DP339">
        <v>67</v>
      </c>
      <c r="DQ339">
        <v>172</v>
      </c>
      <c r="DR339">
        <v>77</v>
      </c>
      <c r="DS339">
        <v>109</v>
      </c>
      <c r="DT339">
        <v>12</v>
      </c>
      <c r="DU339">
        <v>40</v>
      </c>
      <c r="DV339">
        <v>31</v>
      </c>
      <c r="DW339">
        <v>50</v>
      </c>
      <c r="DX339">
        <v>28</v>
      </c>
      <c r="DY339">
        <v>9</v>
      </c>
      <c r="DZ339">
        <v>47</v>
      </c>
      <c r="EA339">
        <v>7</v>
      </c>
      <c r="EB339">
        <v>2</v>
      </c>
      <c r="EC339">
        <v>2</v>
      </c>
      <c r="ED339">
        <v>16</v>
      </c>
      <c r="EE339">
        <v>11</v>
      </c>
      <c r="EF339">
        <v>10</v>
      </c>
      <c r="EG339">
        <v>13</v>
      </c>
      <c r="EH339">
        <v>17</v>
      </c>
      <c r="EI339">
        <v>31</v>
      </c>
      <c r="EJ339">
        <v>28</v>
      </c>
      <c r="EK339">
        <v>11</v>
      </c>
      <c r="EL339">
        <v>3</v>
      </c>
      <c r="EM339">
        <v>10</v>
      </c>
      <c r="EN339">
        <v>15</v>
      </c>
      <c r="EO339">
        <v>4</v>
      </c>
      <c r="EP339">
        <v>38</v>
      </c>
      <c r="EQ339">
        <v>98</v>
      </c>
      <c r="ER339">
        <v>172</v>
      </c>
      <c r="ES339">
        <v>18</v>
      </c>
      <c r="ET339">
        <v>20</v>
      </c>
      <c r="EU339">
        <v>11</v>
      </c>
      <c r="EV339">
        <v>6</v>
      </c>
      <c r="EW339">
        <v>16</v>
      </c>
      <c r="EX339">
        <v>165</v>
      </c>
      <c r="EY339">
        <v>152</v>
      </c>
      <c r="EZ339">
        <v>57</v>
      </c>
      <c r="FA339">
        <v>54</v>
      </c>
      <c r="FB339">
        <v>67</v>
      </c>
      <c r="FC339">
        <v>328</v>
      </c>
      <c r="FD339">
        <v>63</v>
      </c>
      <c r="FE339">
        <v>307</v>
      </c>
      <c r="FF339">
        <v>135</v>
      </c>
      <c r="FG339">
        <v>98</v>
      </c>
      <c r="FH339">
        <v>113</v>
      </c>
      <c r="FI339">
        <v>42</v>
      </c>
      <c r="FJ339">
        <v>27</v>
      </c>
      <c r="FK339">
        <v>38</v>
      </c>
      <c r="FL339">
        <v>9</v>
      </c>
      <c r="FM339">
        <v>17</v>
      </c>
      <c r="FN339">
        <v>45</v>
      </c>
      <c r="FO339">
        <v>17</v>
      </c>
      <c r="FP339">
        <v>11</v>
      </c>
      <c r="FQ339">
        <v>13</v>
      </c>
      <c r="FR339">
        <v>4</v>
      </c>
      <c r="FS339">
        <v>11</v>
      </c>
      <c r="FT339">
        <v>7</v>
      </c>
      <c r="FU339">
        <v>12</v>
      </c>
      <c r="FV339">
        <v>47</v>
      </c>
      <c r="FW339">
        <v>13</v>
      </c>
      <c r="FX339">
        <v>170</v>
      </c>
      <c r="FY339">
        <v>201</v>
      </c>
      <c r="FZ339">
        <v>21</v>
      </c>
      <c r="GA339">
        <v>21</v>
      </c>
      <c r="GB339">
        <v>26</v>
      </c>
      <c r="GC339">
        <v>16</v>
      </c>
      <c r="GD339">
        <v>26</v>
      </c>
      <c r="GE339">
        <v>10</v>
      </c>
      <c r="GF339">
        <v>7</v>
      </c>
      <c r="GG339">
        <v>17</v>
      </c>
      <c r="GH339">
        <v>42</v>
      </c>
      <c r="GI339">
        <v>12</v>
      </c>
      <c r="GJ339">
        <v>8</v>
      </c>
      <c r="GK339">
        <v>9</v>
      </c>
      <c r="GL339">
        <v>8</v>
      </c>
      <c r="GM339">
        <v>1</v>
      </c>
      <c r="GN339">
        <v>2</v>
      </c>
      <c r="GO339">
        <v>3</v>
      </c>
      <c r="GP339">
        <v>79</v>
      </c>
      <c r="GQ339">
        <v>26</v>
      </c>
      <c r="GR339">
        <v>27</v>
      </c>
      <c r="GS339">
        <v>12</v>
      </c>
      <c r="GT339">
        <v>17</v>
      </c>
      <c r="GU339">
        <v>36</v>
      </c>
      <c r="GV339">
        <v>11</v>
      </c>
      <c r="GW339">
        <v>37</v>
      </c>
      <c r="GX339">
        <v>81</v>
      </c>
      <c r="GY339">
        <v>17</v>
      </c>
      <c r="GZ339">
        <v>25</v>
      </c>
      <c r="HA339">
        <v>20</v>
      </c>
      <c r="HB339">
        <v>20</v>
      </c>
      <c r="HC339">
        <v>5</v>
      </c>
      <c r="HD339">
        <v>8</v>
      </c>
      <c r="HE339">
        <v>27</v>
      </c>
      <c r="HF339">
        <v>22</v>
      </c>
      <c r="HG339">
        <v>27</v>
      </c>
      <c r="HH339">
        <v>13</v>
      </c>
      <c r="HI339">
        <v>39</v>
      </c>
      <c r="HJ339">
        <v>6</v>
      </c>
      <c r="HK339">
        <v>173</v>
      </c>
      <c r="HL339">
        <v>3</v>
      </c>
      <c r="HM339">
        <v>14</v>
      </c>
      <c r="HN339">
        <v>12</v>
      </c>
      <c r="HO339">
        <v>6</v>
      </c>
      <c r="HP339">
        <v>4</v>
      </c>
      <c r="HQ339">
        <v>7</v>
      </c>
      <c r="HR339">
        <v>23</v>
      </c>
      <c r="HS339">
        <v>3</v>
      </c>
      <c r="HT339">
        <v>10</v>
      </c>
      <c r="HU339">
        <v>56</v>
      </c>
      <c r="HV339">
        <v>52</v>
      </c>
      <c r="HW339">
        <v>33</v>
      </c>
      <c r="HX339">
        <v>25</v>
      </c>
      <c r="HY339">
        <v>2</v>
      </c>
      <c r="HZ339">
        <v>10</v>
      </c>
      <c r="IA339">
        <v>12</v>
      </c>
      <c r="IB339">
        <v>82</v>
      </c>
      <c r="IC339">
        <v>1</v>
      </c>
      <c r="ID339">
        <v>448</v>
      </c>
      <c r="IE339">
        <v>15</v>
      </c>
      <c r="IF339">
        <v>3</v>
      </c>
      <c r="IG339">
        <v>9</v>
      </c>
      <c r="IH339">
        <v>44</v>
      </c>
      <c r="II339">
        <v>10</v>
      </c>
      <c r="IJ339">
        <v>21</v>
      </c>
      <c r="IK339">
        <v>62</v>
      </c>
      <c r="IL339">
        <v>214</v>
      </c>
      <c r="IM339">
        <v>45</v>
      </c>
      <c r="IN339">
        <v>29</v>
      </c>
      <c r="IO339">
        <v>152</v>
      </c>
      <c r="IP339">
        <v>1396</v>
      </c>
      <c r="IQ339">
        <v>130</v>
      </c>
      <c r="IR339">
        <v>174</v>
      </c>
      <c r="IS339">
        <v>28</v>
      </c>
      <c r="IT339">
        <v>12</v>
      </c>
      <c r="IU339">
        <v>14</v>
      </c>
      <c r="IV339">
        <v>12</v>
      </c>
      <c r="IW339">
        <v>63</v>
      </c>
      <c r="IX339">
        <v>58</v>
      </c>
      <c r="IY339">
        <v>5</v>
      </c>
      <c r="IZ339">
        <v>58</v>
      </c>
      <c r="JA339">
        <v>26</v>
      </c>
      <c r="JB339">
        <v>11</v>
      </c>
      <c r="JC339">
        <v>2</v>
      </c>
      <c r="JD339">
        <v>20</v>
      </c>
      <c r="JE339">
        <v>13</v>
      </c>
      <c r="JF339">
        <v>8</v>
      </c>
      <c r="JG339">
        <v>189</v>
      </c>
      <c r="JH339">
        <v>17</v>
      </c>
      <c r="JI339">
        <v>5</v>
      </c>
      <c r="JJ339">
        <v>15</v>
      </c>
      <c r="JK339">
        <v>980</v>
      </c>
      <c r="JL339">
        <v>2548</v>
      </c>
      <c r="JM339">
        <v>3283</v>
      </c>
      <c r="JN339">
        <v>3651</v>
      </c>
      <c r="JO339">
        <v>2911</v>
      </c>
      <c r="JP339">
        <v>1521</v>
      </c>
      <c r="JQ339">
        <v>924</v>
      </c>
      <c r="JR339">
        <v>116</v>
      </c>
      <c r="JS339">
        <v>3911</v>
      </c>
      <c r="JT339">
        <v>37</v>
      </c>
      <c r="JV339">
        <v>1257</v>
      </c>
      <c r="JW339">
        <v>787</v>
      </c>
      <c r="JX339">
        <v>305</v>
      </c>
      <c r="JY339">
        <v>282</v>
      </c>
      <c r="JZ339">
        <v>596</v>
      </c>
      <c r="KA339">
        <v>297</v>
      </c>
      <c r="KB339">
        <v>491</v>
      </c>
      <c r="KC339">
        <v>3094</v>
      </c>
      <c r="KD339">
        <v>388</v>
      </c>
      <c r="KE339">
        <v>13</v>
      </c>
      <c r="KF339">
        <v>30</v>
      </c>
      <c r="KG339">
        <v>144</v>
      </c>
      <c r="KH339">
        <v>343</v>
      </c>
      <c r="KI339">
        <v>374</v>
      </c>
      <c r="KJ339">
        <v>5</v>
      </c>
      <c r="KK339">
        <v>413</v>
      </c>
      <c r="KL339">
        <v>104</v>
      </c>
      <c r="KM339">
        <v>467</v>
      </c>
      <c r="KN339">
        <v>166</v>
      </c>
      <c r="KO339">
        <v>250</v>
      </c>
      <c r="KP339">
        <v>667</v>
      </c>
      <c r="KQ339">
        <v>57</v>
      </c>
      <c r="KR339">
        <v>3272</v>
      </c>
      <c r="KS339">
        <v>458</v>
      </c>
      <c r="KT339">
        <v>70</v>
      </c>
      <c r="KU339">
        <v>220</v>
      </c>
      <c r="KV339">
        <v>180</v>
      </c>
      <c r="KW339">
        <v>928</v>
      </c>
      <c r="KX339">
        <v>992</v>
      </c>
      <c r="KY339">
        <v>277</v>
      </c>
      <c r="KZ339">
        <v>3986</v>
      </c>
      <c r="LA339">
        <v>2623</v>
      </c>
      <c r="LB339">
        <v>63</v>
      </c>
      <c r="LC339">
        <v>6005</v>
      </c>
      <c r="LD339">
        <v>7306</v>
      </c>
      <c r="LE339">
        <v>11311</v>
      </c>
      <c r="LF339">
        <v>2149</v>
      </c>
      <c r="LG339">
        <v>14</v>
      </c>
      <c r="LH339">
        <v>210</v>
      </c>
      <c r="LI339">
        <v>2601</v>
      </c>
      <c r="LJ339">
        <v>259</v>
      </c>
      <c r="LM339">
        <v>1053</v>
      </c>
      <c r="LN339">
        <v>211</v>
      </c>
      <c r="LO339">
        <v>126</v>
      </c>
      <c r="LP339">
        <v>65</v>
      </c>
      <c r="LQ339">
        <v>316</v>
      </c>
      <c r="LR339">
        <v>1133</v>
      </c>
      <c r="LS339">
        <v>1624</v>
      </c>
      <c r="LT339">
        <v>1489</v>
      </c>
      <c r="LU339">
        <v>681</v>
      </c>
      <c r="LV339">
        <v>663</v>
      </c>
      <c r="LW339">
        <v>7147</v>
      </c>
      <c r="LX339">
        <v>3845</v>
      </c>
      <c r="LY339">
        <v>708</v>
      </c>
      <c r="LZ339">
        <v>12614</v>
      </c>
      <c r="MA339">
        <v>256</v>
      </c>
      <c r="MB339">
        <v>254</v>
      </c>
      <c r="MC339">
        <v>48</v>
      </c>
      <c r="MD339">
        <v>62</v>
      </c>
      <c r="ME339">
        <v>897</v>
      </c>
      <c r="MF339">
        <v>8727</v>
      </c>
      <c r="MG339">
        <v>1074</v>
      </c>
      <c r="MH339">
        <v>1192</v>
      </c>
      <c r="MI339">
        <v>884</v>
      </c>
      <c r="MJ339">
        <v>455</v>
      </c>
      <c r="MK339">
        <v>953</v>
      </c>
      <c r="ML339">
        <v>290</v>
      </c>
      <c r="MM339">
        <v>251</v>
      </c>
      <c r="MN339">
        <v>270</v>
      </c>
      <c r="MO339">
        <v>548</v>
      </c>
      <c r="MP339">
        <v>1</v>
      </c>
      <c r="MQ339">
        <v>29</v>
      </c>
      <c r="MR339">
        <v>555</v>
      </c>
      <c r="MS339">
        <v>5996</v>
      </c>
      <c r="MT339">
        <v>198</v>
      </c>
      <c r="MU339">
        <v>426</v>
      </c>
      <c r="MV339">
        <v>1295</v>
      </c>
      <c r="MW339">
        <v>701</v>
      </c>
      <c r="MX339">
        <v>411</v>
      </c>
      <c r="MY339">
        <v>357</v>
      </c>
      <c r="MZ339">
        <v>10755</v>
      </c>
      <c r="NA339">
        <v>3088</v>
      </c>
      <c r="NB339">
        <v>268</v>
      </c>
      <c r="NC339">
        <v>588</v>
      </c>
      <c r="ND339">
        <v>226</v>
      </c>
      <c r="NE339">
        <v>246</v>
      </c>
      <c r="NF339">
        <v>519</v>
      </c>
      <c r="NG339">
        <v>94</v>
      </c>
      <c r="NH339">
        <v>1082</v>
      </c>
      <c r="NI339">
        <v>302</v>
      </c>
      <c r="NJ339">
        <v>271</v>
      </c>
      <c r="NK339">
        <v>126</v>
      </c>
      <c r="NL339">
        <v>301</v>
      </c>
      <c r="NM339">
        <v>328</v>
      </c>
      <c r="NN339">
        <v>1269</v>
      </c>
      <c r="NO339">
        <v>684</v>
      </c>
      <c r="NP339">
        <v>1187</v>
      </c>
      <c r="NQ339">
        <v>96</v>
      </c>
      <c r="NR339">
        <v>193</v>
      </c>
      <c r="NS339">
        <v>306</v>
      </c>
      <c r="NT339">
        <v>136</v>
      </c>
      <c r="NU339">
        <v>149</v>
      </c>
      <c r="NV339">
        <v>191</v>
      </c>
      <c r="NW339">
        <v>17</v>
      </c>
      <c r="NX339">
        <v>69</v>
      </c>
      <c r="NY339">
        <v>631</v>
      </c>
      <c r="NZ339">
        <v>69</v>
      </c>
      <c r="OA339">
        <v>2178</v>
      </c>
      <c r="OB339">
        <v>1760</v>
      </c>
      <c r="OD339">
        <v>2</v>
      </c>
      <c r="OE339">
        <v>5195</v>
      </c>
      <c r="OF339">
        <v>16</v>
      </c>
      <c r="OI339">
        <v>1931</v>
      </c>
      <c r="OJ339">
        <v>997</v>
      </c>
      <c r="OK339">
        <v>3739</v>
      </c>
      <c r="OL339">
        <v>25</v>
      </c>
      <c r="ON339">
        <v>379</v>
      </c>
      <c r="OO339">
        <v>183376</v>
      </c>
      <c r="OV339">
        <v>51279</v>
      </c>
      <c r="PI339">
        <v>234655</v>
      </c>
      <c r="PM339" t="str">
        <f>IFERROR(VLOOKUP($A339&amp;"",Key!$A:$C,3,FALSE),"")</f>
        <v>ISIC 69T75</v>
      </c>
    </row>
    <row r="340" spans="1:429" x14ac:dyDescent="0.25">
      <c r="A340" t="s">
        <v>614</v>
      </c>
      <c r="B340" t="s">
        <v>475</v>
      </c>
      <c r="M340">
        <v>0</v>
      </c>
      <c r="N340">
        <v>3</v>
      </c>
      <c r="O340">
        <v>0</v>
      </c>
      <c r="P340">
        <v>0</v>
      </c>
      <c r="Q340">
        <v>8</v>
      </c>
      <c r="S340">
        <v>2</v>
      </c>
      <c r="T340">
        <v>2</v>
      </c>
      <c r="U340">
        <v>1</v>
      </c>
      <c r="V340">
        <v>36</v>
      </c>
      <c r="W340">
        <v>23</v>
      </c>
      <c r="X340">
        <v>42</v>
      </c>
      <c r="Y340">
        <v>47</v>
      </c>
      <c r="Z340">
        <v>62</v>
      </c>
      <c r="AA340">
        <v>4</v>
      </c>
      <c r="AB340">
        <v>1</v>
      </c>
      <c r="AC340">
        <v>47</v>
      </c>
      <c r="AD340">
        <v>2</v>
      </c>
      <c r="AE340">
        <v>41</v>
      </c>
      <c r="AF340">
        <v>8</v>
      </c>
      <c r="AG340">
        <v>114</v>
      </c>
      <c r="AH340">
        <v>13</v>
      </c>
      <c r="AI340">
        <v>20</v>
      </c>
      <c r="AJ340">
        <v>8</v>
      </c>
      <c r="AK340">
        <v>42</v>
      </c>
      <c r="AL340">
        <v>37</v>
      </c>
      <c r="AM340">
        <v>8</v>
      </c>
      <c r="AN340">
        <v>4</v>
      </c>
      <c r="AO340">
        <v>6</v>
      </c>
      <c r="AP340">
        <v>7</v>
      </c>
      <c r="AR340">
        <v>2</v>
      </c>
      <c r="AS340">
        <v>1</v>
      </c>
      <c r="AT340">
        <v>3</v>
      </c>
      <c r="AU340">
        <v>1</v>
      </c>
      <c r="AV340">
        <v>3</v>
      </c>
      <c r="AX340">
        <v>1</v>
      </c>
      <c r="AZ340">
        <v>0</v>
      </c>
      <c r="BC340">
        <v>3</v>
      </c>
      <c r="BD340">
        <v>2</v>
      </c>
      <c r="BE340">
        <v>1</v>
      </c>
      <c r="BF340">
        <v>1</v>
      </c>
      <c r="BG340">
        <v>2</v>
      </c>
      <c r="BH340">
        <v>5</v>
      </c>
      <c r="BI340">
        <v>1</v>
      </c>
      <c r="BJ340">
        <v>1</v>
      </c>
      <c r="BK340">
        <v>0</v>
      </c>
      <c r="BL340">
        <v>1</v>
      </c>
      <c r="BM340">
        <v>1</v>
      </c>
      <c r="BN340">
        <v>3</v>
      </c>
      <c r="BO340">
        <v>2</v>
      </c>
      <c r="BP340">
        <v>3</v>
      </c>
      <c r="BQ340">
        <v>2</v>
      </c>
      <c r="BR340">
        <v>1</v>
      </c>
      <c r="BS340">
        <v>1</v>
      </c>
      <c r="BT340">
        <v>1</v>
      </c>
      <c r="BU340">
        <v>1</v>
      </c>
      <c r="BV340">
        <v>2</v>
      </c>
      <c r="BW340">
        <v>1</v>
      </c>
      <c r="BX340">
        <v>2</v>
      </c>
      <c r="BY340">
        <v>4</v>
      </c>
      <c r="BZ340">
        <v>6</v>
      </c>
      <c r="CA340">
        <v>1</v>
      </c>
      <c r="CB340">
        <v>3</v>
      </c>
      <c r="CC340">
        <v>1</v>
      </c>
      <c r="CD340">
        <v>1</v>
      </c>
      <c r="CE340">
        <v>3</v>
      </c>
      <c r="CF340">
        <v>1</v>
      </c>
      <c r="CG340">
        <v>3</v>
      </c>
      <c r="CI340">
        <v>2</v>
      </c>
      <c r="CJ340">
        <v>1</v>
      </c>
      <c r="CK340">
        <v>7</v>
      </c>
      <c r="CL340">
        <v>8</v>
      </c>
      <c r="CM340">
        <v>1</v>
      </c>
      <c r="CO340">
        <v>4</v>
      </c>
      <c r="CP340">
        <v>2</v>
      </c>
      <c r="CQ340">
        <v>8</v>
      </c>
      <c r="CR340">
        <v>0</v>
      </c>
      <c r="CS340">
        <v>0</v>
      </c>
      <c r="CT340">
        <v>3</v>
      </c>
      <c r="CU340">
        <v>1</v>
      </c>
      <c r="CV340">
        <v>1</v>
      </c>
      <c r="CW340">
        <v>0</v>
      </c>
      <c r="CY340">
        <v>3</v>
      </c>
      <c r="CZ340">
        <v>5</v>
      </c>
      <c r="DA340">
        <v>1</v>
      </c>
      <c r="DB340">
        <v>12</v>
      </c>
      <c r="DC340">
        <v>4</v>
      </c>
      <c r="DE340">
        <v>3</v>
      </c>
      <c r="DF340">
        <v>1</v>
      </c>
      <c r="DG340">
        <v>7</v>
      </c>
      <c r="DH340">
        <v>2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0</v>
      </c>
      <c r="DP340">
        <v>1</v>
      </c>
      <c r="DQ340">
        <v>2</v>
      </c>
      <c r="DR340">
        <v>9</v>
      </c>
      <c r="DS340">
        <v>0</v>
      </c>
      <c r="DT340">
        <v>2</v>
      </c>
      <c r="DU340">
        <v>1</v>
      </c>
      <c r="DV340">
        <v>3</v>
      </c>
      <c r="DW340">
        <v>0</v>
      </c>
      <c r="DX340">
        <v>2</v>
      </c>
      <c r="DY340">
        <v>0</v>
      </c>
      <c r="DZ340">
        <v>0</v>
      </c>
      <c r="EA340">
        <v>1</v>
      </c>
      <c r="EB340">
        <v>0</v>
      </c>
      <c r="EC340">
        <v>0</v>
      </c>
      <c r="ED340">
        <v>2</v>
      </c>
      <c r="EE340">
        <v>0</v>
      </c>
      <c r="EF340">
        <v>0</v>
      </c>
      <c r="EG340">
        <v>1</v>
      </c>
      <c r="EH340">
        <v>1</v>
      </c>
      <c r="EI340">
        <v>7</v>
      </c>
      <c r="EJ340">
        <v>3</v>
      </c>
      <c r="EK340">
        <v>2</v>
      </c>
      <c r="EL340">
        <v>0</v>
      </c>
      <c r="EM340">
        <v>1</v>
      </c>
      <c r="EN340">
        <v>0</v>
      </c>
      <c r="EO340">
        <v>0</v>
      </c>
      <c r="EP340">
        <v>14</v>
      </c>
      <c r="EQ340">
        <v>0</v>
      </c>
      <c r="ER340">
        <v>38</v>
      </c>
      <c r="ET340">
        <v>1</v>
      </c>
      <c r="EX340">
        <v>1</v>
      </c>
      <c r="EY340">
        <v>6</v>
      </c>
      <c r="EZ340">
        <v>1</v>
      </c>
      <c r="FA340">
        <v>6</v>
      </c>
      <c r="FB340">
        <v>5</v>
      </c>
      <c r="FC340">
        <v>2</v>
      </c>
      <c r="FD340">
        <v>5</v>
      </c>
      <c r="FE340">
        <v>1</v>
      </c>
      <c r="FF340">
        <v>3</v>
      </c>
      <c r="FG340">
        <v>0</v>
      </c>
      <c r="FI340">
        <v>0</v>
      </c>
      <c r="FJ340">
        <v>9</v>
      </c>
      <c r="FK340">
        <v>12</v>
      </c>
      <c r="FL340">
        <v>3</v>
      </c>
      <c r="FP340">
        <v>3</v>
      </c>
      <c r="FQ340">
        <v>4</v>
      </c>
      <c r="FR340">
        <v>1</v>
      </c>
      <c r="FS340">
        <v>3</v>
      </c>
      <c r="FT340">
        <v>2</v>
      </c>
      <c r="FU340">
        <v>2</v>
      </c>
      <c r="FV340">
        <v>13</v>
      </c>
      <c r="FW340">
        <v>4</v>
      </c>
      <c r="FX340">
        <v>9</v>
      </c>
      <c r="FY340">
        <v>30</v>
      </c>
      <c r="FZ340">
        <v>2</v>
      </c>
      <c r="GA340">
        <v>0</v>
      </c>
      <c r="GD340">
        <v>6</v>
      </c>
      <c r="GG340">
        <v>2</v>
      </c>
      <c r="GH340">
        <v>4</v>
      </c>
      <c r="GI340">
        <v>3</v>
      </c>
      <c r="GJ340">
        <v>2</v>
      </c>
      <c r="GK340">
        <v>2</v>
      </c>
      <c r="GL340">
        <v>1</v>
      </c>
      <c r="GP340">
        <v>7</v>
      </c>
      <c r="GQ340">
        <v>6</v>
      </c>
      <c r="GR340">
        <v>7</v>
      </c>
      <c r="GS340">
        <v>2</v>
      </c>
      <c r="GT340">
        <v>5</v>
      </c>
      <c r="GU340">
        <v>8</v>
      </c>
      <c r="GV340">
        <v>3</v>
      </c>
      <c r="GW340">
        <v>10</v>
      </c>
      <c r="GX340">
        <v>22</v>
      </c>
      <c r="GY340">
        <v>5</v>
      </c>
      <c r="GZ340">
        <v>6</v>
      </c>
      <c r="HA340">
        <v>3</v>
      </c>
      <c r="HB340">
        <v>4</v>
      </c>
      <c r="HC340">
        <v>1</v>
      </c>
      <c r="HE340">
        <v>6</v>
      </c>
      <c r="HF340">
        <v>4</v>
      </c>
      <c r="HG340">
        <v>5</v>
      </c>
      <c r="HI340">
        <v>10</v>
      </c>
      <c r="HJ340">
        <v>4</v>
      </c>
      <c r="HK340">
        <v>52</v>
      </c>
      <c r="HM340">
        <v>4</v>
      </c>
      <c r="HO340">
        <v>2</v>
      </c>
      <c r="HQ340">
        <v>1</v>
      </c>
      <c r="HT340">
        <v>3</v>
      </c>
      <c r="HU340">
        <v>15</v>
      </c>
      <c r="HV340">
        <v>15</v>
      </c>
      <c r="HW340">
        <v>8</v>
      </c>
      <c r="HX340">
        <v>3</v>
      </c>
      <c r="HZ340">
        <v>3</v>
      </c>
      <c r="IB340">
        <v>17</v>
      </c>
      <c r="ID340">
        <v>138</v>
      </c>
      <c r="IE340">
        <v>5</v>
      </c>
      <c r="IG340">
        <v>2</v>
      </c>
      <c r="IH340">
        <v>10</v>
      </c>
      <c r="IJ340">
        <v>1</v>
      </c>
      <c r="IK340">
        <v>7</v>
      </c>
      <c r="IL340">
        <v>42</v>
      </c>
      <c r="IM340">
        <v>11</v>
      </c>
      <c r="IN340">
        <v>5</v>
      </c>
      <c r="IP340">
        <v>66</v>
      </c>
      <c r="IQ340">
        <v>0</v>
      </c>
      <c r="IR340">
        <v>0</v>
      </c>
      <c r="IS340">
        <v>3</v>
      </c>
      <c r="IV340">
        <v>1</v>
      </c>
      <c r="IW340">
        <v>8</v>
      </c>
      <c r="IX340">
        <v>10</v>
      </c>
      <c r="IY340">
        <v>1</v>
      </c>
      <c r="IZ340">
        <v>12</v>
      </c>
      <c r="JA340">
        <v>3</v>
      </c>
      <c r="JD340">
        <v>10</v>
      </c>
      <c r="JE340">
        <v>3</v>
      </c>
      <c r="JF340">
        <v>1</v>
      </c>
      <c r="JG340">
        <v>19</v>
      </c>
      <c r="JH340">
        <v>3</v>
      </c>
      <c r="JJ340">
        <v>2</v>
      </c>
      <c r="JK340">
        <v>294</v>
      </c>
      <c r="JL340">
        <v>571</v>
      </c>
      <c r="JM340">
        <v>640</v>
      </c>
      <c r="JN340">
        <v>286</v>
      </c>
      <c r="JO340">
        <v>422</v>
      </c>
      <c r="JP340">
        <v>466</v>
      </c>
      <c r="JQ340">
        <v>314</v>
      </c>
      <c r="JR340">
        <v>36</v>
      </c>
      <c r="JS340">
        <v>690</v>
      </c>
      <c r="JT340">
        <v>12</v>
      </c>
      <c r="JV340">
        <v>331</v>
      </c>
      <c r="JW340">
        <v>243</v>
      </c>
      <c r="JX340">
        <v>91</v>
      </c>
      <c r="JY340">
        <v>90</v>
      </c>
      <c r="JZ340">
        <v>182</v>
      </c>
      <c r="KA340">
        <v>91</v>
      </c>
      <c r="KB340">
        <v>148</v>
      </c>
      <c r="KC340">
        <v>893</v>
      </c>
      <c r="KD340">
        <v>106</v>
      </c>
      <c r="KE340">
        <v>8</v>
      </c>
      <c r="KF340">
        <v>1</v>
      </c>
      <c r="KG340">
        <v>44</v>
      </c>
      <c r="KH340">
        <v>155</v>
      </c>
      <c r="KI340">
        <v>142</v>
      </c>
      <c r="KJ340">
        <v>32</v>
      </c>
      <c r="KK340">
        <v>180</v>
      </c>
      <c r="KL340">
        <v>45</v>
      </c>
      <c r="KM340">
        <v>139</v>
      </c>
      <c r="KN340">
        <v>51</v>
      </c>
      <c r="KO340">
        <v>75</v>
      </c>
      <c r="KP340">
        <v>205</v>
      </c>
      <c r="KQ340">
        <v>17</v>
      </c>
      <c r="KR340">
        <v>750</v>
      </c>
      <c r="KS340">
        <v>128</v>
      </c>
      <c r="KT340">
        <v>21</v>
      </c>
      <c r="KU340">
        <v>46</v>
      </c>
      <c r="KV340">
        <v>48</v>
      </c>
      <c r="KW340">
        <v>262</v>
      </c>
      <c r="KX340">
        <v>301</v>
      </c>
      <c r="KY340">
        <v>81</v>
      </c>
      <c r="KZ340">
        <v>1095</v>
      </c>
      <c r="LA340">
        <v>669</v>
      </c>
      <c r="LB340">
        <v>1</v>
      </c>
      <c r="LC340">
        <v>3172</v>
      </c>
      <c r="LD340">
        <v>3104</v>
      </c>
      <c r="LE340">
        <v>5104</v>
      </c>
      <c r="LF340">
        <v>767</v>
      </c>
      <c r="LH340">
        <v>38</v>
      </c>
      <c r="LI340">
        <v>1075</v>
      </c>
      <c r="LM340">
        <v>213</v>
      </c>
      <c r="LN340">
        <v>75</v>
      </c>
      <c r="LO340">
        <v>48</v>
      </c>
      <c r="LP340">
        <v>27</v>
      </c>
      <c r="LQ340">
        <v>105</v>
      </c>
      <c r="LR340">
        <v>342</v>
      </c>
      <c r="LS340">
        <v>448</v>
      </c>
      <c r="LT340">
        <v>420</v>
      </c>
      <c r="LU340">
        <v>197</v>
      </c>
      <c r="LV340">
        <v>176</v>
      </c>
      <c r="LW340">
        <v>2798</v>
      </c>
      <c r="LX340">
        <v>831</v>
      </c>
      <c r="LY340">
        <v>220</v>
      </c>
      <c r="LZ340">
        <v>3881</v>
      </c>
      <c r="MA340">
        <v>78</v>
      </c>
      <c r="MB340">
        <v>78</v>
      </c>
      <c r="MC340">
        <v>15</v>
      </c>
      <c r="MD340">
        <v>5</v>
      </c>
      <c r="ME340">
        <v>271</v>
      </c>
      <c r="MF340">
        <v>2826</v>
      </c>
      <c r="MG340">
        <v>324</v>
      </c>
      <c r="MH340">
        <v>319</v>
      </c>
      <c r="MI340">
        <v>251</v>
      </c>
      <c r="MJ340">
        <v>138</v>
      </c>
      <c r="MK340">
        <v>282</v>
      </c>
      <c r="ML340">
        <v>82</v>
      </c>
      <c r="MM340">
        <v>129</v>
      </c>
      <c r="MN340">
        <v>75</v>
      </c>
      <c r="MO340">
        <v>135</v>
      </c>
      <c r="MQ340">
        <v>2</v>
      </c>
      <c r="MR340">
        <v>168</v>
      </c>
      <c r="MS340">
        <v>1847</v>
      </c>
      <c r="MT340">
        <v>61</v>
      </c>
      <c r="MU340">
        <v>127</v>
      </c>
      <c r="MV340">
        <v>400</v>
      </c>
      <c r="MW340">
        <v>215</v>
      </c>
      <c r="MX340">
        <v>130</v>
      </c>
      <c r="MY340">
        <v>109</v>
      </c>
      <c r="MZ340">
        <v>3165</v>
      </c>
      <c r="NA340">
        <v>944</v>
      </c>
      <c r="NB340">
        <v>82</v>
      </c>
      <c r="NC340">
        <v>178</v>
      </c>
      <c r="ND340">
        <v>70</v>
      </c>
      <c r="NE340">
        <v>76</v>
      </c>
      <c r="NF340">
        <v>158</v>
      </c>
      <c r="NG340">
        <v>27</v>
      </c>
      <c r="NH340">
        <v>331</v>
      </c>
      <c r="NI340">
        <v>97</v>
      </c>
      <c r="NJ340">
        <v>83</v>
      </c>
      <c r="NK340">
        <v>39</v>
      </c>
      <c r="NL340">
        <v>32</v>
      </c>
      <c r="NM340">
        <v>96</v>
      </c>
      <c r="NN340">
        <v>394</v>
      </c>
      <c r="NO340">
        <v>198</v>
      </c>
      <c r="NP340">
        <v>349</v>
      </c>
      <c r="NQ340">
        <v>29</v>
      </c>
      <c r="NR340">
        <v>69</v>
      </c>
      <c r="NS340">
        <v>94</v>
      </c>
      <c r="NT340">
        <v>43</v>
      </c>
      <c r="NU340">
        <v>46</v>
      </c>
      <c r="NV340">
        <v>76</v>
      </c>
      <c r="NW340">
        <v>6</v>
      </c>
      <c r="NX340">
        <v>21</v>
      </c>
      <c r="NY340">
        <v>193</v>
      </c>
      <c r="NZ340">
        <v>361</v>
      </c>
      <c r="OA340">
        <v>670</v>
      </c>
      <c r="OB340">
        <v>303</v>
      </c>
      <c r="OD340">
        <v>76</v>
      </c>
      <c r="OE340">
        <v>80</v>
      </c>
      <c r="OI340">
        <v>1066</v>
      </c>
      <c r="OJ340">
        <v>237</v>
      </c>
      <c r="OK340">
        <v>4559</v>
      </c>
      <c r="OL340">
        <v>16</v>
      </c>
      <c r="OM340">
        <v>16</v>
      </c>
      <c r="ON340">
        <v>257</v>
      </c>
      <c r="OO340">
        <v>57627</v>
      </c>
      <c r="OV340">
        <v>206</v>
      </c>
      <c r="PI340">
        <v>57833</v>
      </c>
      <c r="PM340" t="str">
        <f>IFERROR(VLOOKUP($A340&amp;"",Key!$A:$C,3,FALSE),"")</f>
        <v>ISIC 69T75</v>
      </c>
    </row>
    <row r="341" spans="1:429" x14ac:dyDescent="0.25">
      <c r="A341">
        <v>541700</v>
      </c>
      <c r="B341" t="s">
        <v>476</v>
      </c>
      <c r="O341">
        <v>2</v>
      </c>
      <c r="Q341">
        <v>0</v>
      </c>
      <c r="R341">
        <v>1</v>
      </c>
      <c r="S341">
        <v>1</v>
      </c>
      <c r="T341">
        <v>0</v>
      </c>
      <c r="U341">
        <v>1</v>
      </c>
      <c r="W341">
        <v>0</v>
      </c>
      <c r="X341">
        <v>1394</v>
      </c>
      <c r="Y341">
        <v>127</v>
      </c>
      <c r="Z341">
        <v>19</v>
      </c>
      <c r="AC341">
        <v>15</v>
      </c>
      <c r="AM341">
        <v>7</v>
      </c>
      <c r="AN341">
        <v>2</v>
      </c>
      <c r="AO341">
        <v>6</v>
      </c>
      <c r="AP341">
        <v>3</v>
      </c>
      <c r="AQ341">
        <v>1</v>
      </c>
      <c r="AR341">
        <v>5</v>
      </c>
      <c r="AT341">
        <v>9</v>
      </c>
      <c r="AU341">
        <v>0</v>
      </c>
      <c r="AV341">
        <v>3</v>
      </c>
      <c r="AW341">
        <v>0</v>
      </c>
      <c r="AY341">
        <v>1</v>
      </c>
      <c r="BC341">
        <v>8</v>
      </c>
      <c r="BD341">
        <v>2</v>
      </c>
      <c r="BE341">
        <v>1</v>
      </c>
      <c r="BG341">
        <v>3</v>
      </c>
      <c r="BH341">
        <v>1</v>
      </c>
      <c r="BI341">
        <v>1</v>
      </c>
      <c r="BJ341">
        <v>1</v>
      </c>
      <c r="BK341">
        <v>2</v>
      </c>
      <c r="BL341">
        <v>2</v>
      </c>
      <c r="BM341">
        <v>1</v>
      </c>
      <c r="BN341">
        <v>1</v>
      </c>
      <c r="BO341">
        <v>13</v>
      </c>
      <c r="BP341">
        <v>4</v>
      </c>
      <c r="BQ341">
        <v>7</v>
      </c>
      <c r="BR341">
        <v>4</v>
      </c>
      <c r="BT341">
        <v>3</v>
      </c>
      <c r="BU341">
        <v>1</v>
      </c>
      <c r="BV341">
        <v>1</v>
      </c>
      <c r="BW341">
        <v>1</v>
      </c>
      <c r="BX341">
        <v>4</v>
      </c>
      <c r="BY341">
        <v>5</v>
      </c>
      <c r="BZ341">
        <v>8</v>
      </c>
      <c r="CA341">
        <v>0</v>
      </c>
      <c r="CB341">
        <v>4</v>
      </c>
      <c r="CD341">
        <v>1</v>
      </c>
      <c r="CE341">
        <v>1</v>
      </c>
      <c r="CF341">
        <v>1</v>
      </c>
      <c r="CG341">
        <v>2</v>
      </c>
      <c r="CI341">
        <v>1</v>
      </c>
      <c r="CL341">
        <v>3</v>
      </c>
      <c r="CO341">
        <v>5</v>
      </c>
      <c r="CP341">
        <v>2</v>
      </c>
      <c r="CQ341">
        <v>2</v>
      </c>
      <c r="CU341">
        <v>1</v>
      </c>
      <c r="CZ341">
        <v>3</v>
      </c>
      <c r="DA341">
        <v>1</v>
      </c>
      <c r="DB341">
        <v>2</v>
      </c>
      <c r="DC341">
        <v>2</v>
      </c>
      <c r="DE341">
        <v>2</v>
      </c>
      <c r="DG341">
        <v>2</v>
      </c>
      <c r="DH341">
        <v>1</v>
      </c>
      <c r="DR341">
        <v>1</v>
      </c>
      <c r="DW341">
        <v>0</v>
      </c>
      <c r="ED341">
        <v>1</v>
      </c>
      <c r="EN341">
        <v>1</v>
      </c>
      <c r="EP341">
        <v>1</v>
      </c>
      <c r="ET341">
        <v>2</v>
      </c>
      <c r="EU341">
        <v>1</v>
      </c>
      <c r="EW341">
        <v>2</v>
      </c>
      <c r="EY341">
        <v>2</v>
      </c>
      <c r="EZ341">
        <v>4</v>
      </c>
      <c r="FB341">
        <v>2</v>
      </c>
      <c r="FC341">
        <v>3</v>
      </c>
      <c r="FD341">
        <v>2</v>
      </c>
      <c r="FE341">
        <v>219</v>
      </c>
      <c r="FF341">
        <v>5</v>
      </c>
      <c r="FG341">
        <v>2</v>
      </c>
      <c r="FI341">
        <v>53</v>
      </c>
      <c r="FJ341">
        <v>3</v>
      </c>
      <c r="FK341">
        <v>12</v>
      </c>
      <c r="FL341">
        <v>1</v>
      </c>
      <c r="FP341">
        <v>23</v>
      </c>
      <c r="FQ341">
        <v>2</v>
      </c>
      <c r="FS341">
        <v>3</v>
      </c>
      <c r="FT341">
        <v>1</v>
      </c>
      <c r="FU341">
        <v>2</v>
      </c>
      <c r="FV341">
        <v>7</v>
      </c>
      <c r="FW341">
        <v>1</v>
      </c>
      <c r="FX341">
        <v>3</v>
      </c>
      <c r="FY341">
        <v>7</v>
      </c>
      <c r="GC341">
        <v>2</v>
      </c>
      <c r="GD341">
        <v>1</v>
      </c>
      <c r="GG341">
        <v>4</v>
      </c>
      <c r="GH341">
        <v>4</v>
      </c>
      <c r="GK341">
        <v>1</v>
      </c>
      <c r="GP341">
        <v>1</v>
      </c>
      <c r="GQ341">
        <v>1</v>
      </c>
      <c r="GR341">
        <v>2</v>
      </c>
      <c r="GT341">
        <v>1</v>
      </c>
      <c r="GU341">
        <v>5</v>
      </c>
      <c r="GW341">
        <v>6</v>
      </c>
      <c r="GX341">
        <v>5</v>
      </c>
      <c r="GY341">
        <v>2</v>
      </c>
      <c r="GZ341">
        <v>13</v>
      </c>
      <c r="HA341">
        <v>8</v>
      </c>
      <c r="HB341">
        <v>1</v>
      </c>
      <c r="HC341">
        <v>1</v>
      </c>
      <c r="HE341">
        <v>3</v>
      </c>
      <c r="HF341">
        <v>12</v>
      </c>
      <c r="HG341">
        <v>4</v>
      </c>
      <c r="HH341">
        <v>2</v>
      </c>
      <c r="HM341">
        <v>0</v>
      </c>
      <c r="HO341">
        <v>1</v>
      </c>
      <c r="HQ341">
        <v>1</v>
      </c>
      <c r="HR341">
        <v>1</v>
      </c>
      <c r="HS341">
        <v>2</v>
      </c>
      <c r="HT341">
        <v>0</v>
      </c>
      <c r="HU341">
        <v>2</v>
      </c>
      <c r="HV341">
        <v>3</v>
      </c>
      <c r="HW341">
        <v>12</v>
      </c>
      <c r="HX341">
        <v>2</v>
      </c>
      <c r="HY341">
        <v>2</v>
      </c>
      <c r="HZ341">
        <v>2</v>
      </c>
      <c r="IA341">
        <v>8</v>
      </c>
      <c r="IB341">
        <v>19</v>
      </c>
      <c r="ID341">
        <v>24</v>
      </c>
      <c r="IE341">
        <v>4</v>
      </c>
      <c r="IF341">
        <v>1</v>
      </c>
      <c r="IK341">
        <v>2</v>
      </c>
      <c r="IL341">
        <v>5</v>
      </c>
      <c r="IM341">
        <v>5</v>
      </c>
      <c r="IQ341">
        <v>2</v>
      </c>
      <c r="IT341">
        <v>2</v>
      </c>
      <c r="IU341">
        <v>1</v>
      </c>
      <c r="IZ341">
        <v>1</v>
      </c>
      <c r="JA341">
        <v>7</v>
      </c>
      <c r="JB341">
        <v>2</v>
      </c>
      <c r="JD341">
        <v>6</v>
      </c>
      <c r="JE341">
        <v>2</v>
      </c>
      <c r="JG341">
        <v>36</v>
      </c>
      <c r="JH341">
        <v>1</v>
      </c>
      <c r="JJ341">
        <v>3</v>
      </c>
      <c r="JK341">
        <v>14</v>
      </c>
      <c r="JO341">
        <v>1</v>
      </c>
      <c r="JR341">
        <v>0</v>
      </c>
      <c r="JS341">
        <v>0</v>
      </c>
      <c r="JT341">
        <v>1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F341">
        <v>15</v>
      </c>
      <c r="KG341">
        <v>1</v>
      </c>
      <c r="KI341">
        <v>2</v>
      </c>
      <c r="KJ341">
        <v>6</v>
      </c>
      <c r="KK341">
        <v>41</v>
      </c>
      <c r="KR341">
        <v>12</v>
      </c>
      <c r="KS341">
        <v>2</v>
      </c>
      <c r="KT341">
        <v>2</v>
      </c>
      <c r="KW341">
        <v>37</v>
      </c>
      <c r="KX341">
        <v>67</v>
      </c>
      <c r="KY341">
        <v>17</v>
      </c>
      <c r="KZ341">
        <v>29</v>
      </c>
      <c r="LA341">
        <v>4</v>
      </c>
      <c r="LC341">
        <v>271</v>
      </c>
      <c r="LD341">
        <v>248</v>
      </c>
      <c r="LE341">
        <v>227</v>
      </c>
      <c r="LF341">
        <v>50</v>
      </c>
      <c r="LJ341">
        <v>0</v>
      </c>
      <c r="LL341">
        <v>6</v>
      </c>
      <c r="LM341">
        <v>1</v>
      </c>
      <c r="LN341">
        <v>1</v>
      </c>
      <c r="LO341">
        <v>1</v>
      </c>
      <c r="LP341">
        <v>1</v>
      </c>
      <c r="LQ341">
        <v>3</v>
      </c>
      <c r="LR341">
        <v>0</v>
      </c>
      <c r="LS341">
        <v>31</v>
      </c>
      <c r="LT341">
        <v>771</v>
      </c>
      <c r="LU341">
        <v>31</v>
      </c>
      <c r="LW341">
        <v>349</v>
      </c>
      <c r="LY341">
        <v>48</v>
      </c>
      <c r="LZ341">
        <v>4668</v>
      </c>
      <c r="MB341">
        <v>0</v>
      </c>
      <c r="MC341">
        <v>0</v>
      </c>
      <c r="MF341">
        <v>1785</v>
      </c>
      <c r="MG341">
        <v>0</v>
      </c>
      <c r="MH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55</v>
      </c>
      <c r="MQ341">
        <v>3</v>
      </c>
      <c r="MR341">
        <v>1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1178</v>
      </c>
      <c r="NA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1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57</v>
      </c>
      <c r="OA341">
        <v>13</v>
      </c>
      <c r="OB341">
        <v>8</v>
      </c>
      <c r="OD341">
        <v>0</v>
      </c>
      <c r="OG341">
        <v>153</v>
      </c>
      <c r="OK341">
        <v>354</v>
      </c>
      <c r="OM341">
        <v>99</v>
      </c>
      <c r="OO341">
        <v>12978</v>
      </c>
      <c r="OP341">
        <v>5303</v>
      </c>
      <c r="OR341">
        <v>437476</v>
      </c>
      <c r="OV341">
        <v>39414</v>
      </c>
      <c r="OY341">
        <v>50501</v>
      </c>
      <c r="PC341">
        <v>80601</v>
      </c>
      <c r="PG341">
        <v>21404</v>
      </c>
      <c r="PI341">
        <v>647677</v>
      </c>
      <c r="PM341" t="str">
        <f>IFERROR(VLOOKUP($A341&amp;"",Key!$A:$C,3,FALSE),"")</f>
        <v>ISIC 69T75</v>
      </c>
    </row>
    <row r="342" spans="1:429" x14ac:dyDescent="0.25">
      <c r="A342">
        <v>541800</v>
      </c>
      <c r="B342" t="s">
        <v>477</v>
      </c>
      <c r="C342">
        <v>0</v>
      </c>
      <c r="D342">
        <v>1</v>
      </c>
      <c r="E342">
        <v>2</v>
      </c>
      <c r="H342">
        <v>1</v>
      </c>
      <c r="M342">
        <v>0</v>
      </c>
      <c r="N342">
        <v>2</v>
      </c>
      <c r="O342">
        <v>2</v>
      </c>
      <c r="P342">
        <v>88</v>
      </c>
      <c r="Q342">
        <v>5</v>
      </c>
      <c r="R342">
        <v>5</v>
      </c>
      <c r="S342">
        <v>3</v>
      </c>
      <c r="T342">
        <v>11</v>
      </c>
      <c r="U342">
        <v>15</v>
      </c>
      <c r="V342">
        <v>39</v>
      </c>
      <c r="W342">
        <v>179</v>
      </c>
      <c r="X342">
        <v>1612</v>
      </c>
      <c r="Y342">
        <v>289</v>
      </c>
      <c r="Z342">
        <v>4</v>
      </c>
      <c r="AA342">
        <v>71</v>
      </c>
      <c r="AB342">
        <v>103</v>
      </c>
      <c r="AC342">
        <v>670</v>
      </c>
      <c r="AD342">
        <v>112</v>
      </c>
      <c r="AE342">
        <v>330</v>
      </c>
      <c r="AF342">
        <v>58</v>
      </c>
      <c r="AG342">
        <v>826</v>
      </c>
      <c r="AH342">
        <v>153</v>
      </c>
      <c r="AI342">
        <v>174</v>
      </c>
      <c r="AJ342">
        <v>110</v>
      </c>
      <c r="AK342">
        <v>755</v>
      </c>
      <c r="AL342">
        <v>230</v>
      </c>
      <c r="AM342">
        <v>48</v>
      </c>
      <c r="AN342">
        <v>54</v>
      </c>
      <c r="AO342">
        <v>145</v>
      </c>
      <c r="AP342">
        <v>98</v>
      </c>
      <c r="AQ342">
        <v>58</v>
      </c>
      <c r="AR342">
        <v>115</v>
      </c>
      <c r="AS342">
        <v>17</v>
      </c>
      <c r="AT342">
        <v>86</v>
      </c>
      <c r="AU342">
        <v>60</v>
      </c>
      <c r="AV342">
        <v>51</v>
      </c>
      <c r="AW342">
        <v>14</v>
      </c>
      <c r="AX342">
        <v>19</v>
      </c>
      <c r="AY342">
        <v>35</v>
      </c>
      <c r="AZ342">
        <v>7</v>
      </c>
      <c r="BA342">
        <v>15</v>
      </c>
      <c r="BB342">
        <v>14</v>
      </c>
      <c r="BC342">
        <v>91</v>
      </c>
      <c r="BD342">
        <v>60</v>
      </c>
      <c r="BE342">
        <v>11</v>
      </c>
      <c r="BF342">
        <v>30</v>
      </c>
      <c r="BG342">
        <v>49</v>
      </c>
      <c r="BH342">
        <v>27</v>
      </c>
      <c r="BI342">
        <v>39</v>
      </c>
      <c r="BJ342">
        <v>31</v>
      </c>
      <c r="BK342">
        <v>64</v>
      </c>
      <c r="BL342">
        <v>88</v>
      </c>
      <c r="BM342">
        <v>19</v>
      </c>
      <c r="BN342">
        <v>25</v>
      </c>
      <c r="BO342">
        <v>54</v>
      </c>
      <c r="BP342">
        <v>137</v>
      </c>
      <c r="BQ342">
        <v>153</v>
      </c>
      <c r="BR342">
        <v>194</v>
      </c>
      <c r="BS342">
        <v>23</v>
      </c>
      <c r="BT342">
        <v>22</v>
      </c>
      <c r="BU342">
        <v>19</v>
      </c>
      <c r="BV342">
        <v>58</v>
      </c>
      <c r="BW342">
        <v>41</v>
      </c>
      <c r="BX342">
        <v>140</v>
      </c>
      <c r="BY342">
        <v>117</v>
      </c>
      <c r="BZ342">
        <v>86</v>
      </c>
      <c r="CA342">
        <v>44</v>
      </c>
      <c r="CB342">
        <v>80</v>
      </c>
      <c r="CC342">
        <v>16</v>
      </c>
      <c r="CD342">
        <v>15</v>
      </c>
      <c r="CE342">
        <v>115</v>
      </c>
      <c r="CF342">
        <v>75</v>
      </c>
      <c r="CG342">
        <v>69</v>
      </c>
      <c r="CH342">
        <v>18</v>
      </c>
      <c r="CI342">
        <v>76</v>
      </c>
      <c r="CJ342">
        <v>48</v>
      </c>
      <c r="CK342">
        <v>11</v>
      </c>
      <c r="CL342">
        <v>212</v>
      </c>
      <c r="CM342">
        <v>44</v>
      </c>
      <c r="CN342">
        <v>11</v>
      </c>
      <c r="CO342">
        <v>142</v>
      </c>
      <c r="CP342">
        <v>26</v>
      </c>
      <c r="CQ342">
        <v>92</v>
      </c>
      <c r="CR342">
        <v>21</v>
      </c>
      <c r="CS342">
        <v>47</v>
      </c>
      <c r="CT342">
        <v>33</v>
      </c>
      <c r="CU342">
        <v>92</v>
      </c>
      <c r="CV342">
        <v>42</v>
      </c>
      <c r="CW342">
        <v>28</v>
      </c>
      <c r="CX342">
        <v>7</v>
      </c>
      <c r="CY342">
        <v>14</v>
      </c>
      <c r="CZ342">
        <v>51</v>
      </c>
      <c r="DA342">
        <v>23</v>
      </c>
      <c r="DB342">
        <v>67</v>
      </c>
      <c r="DC342">
        <v>108</v>
      </c>
      <c r="DD342">
        <v>43</v>
      </c>
      <c r="DE342">
        <v>29</v>
      </c>
      <c r="DF342">
        <v>12</v>
      </c>
      <c r="DG342">
        <v>115</v>
      </c>
      <c r="DH342">
        <v>32</v>
      </c>
      <c r="DI342">
        <v>2</v>
      </c>
      <c r="DJ342">
        <v>1</v>
      </c>
      <c r="DK342">
        <v>30</v>
      </c>
      <c r="DL342">
        <v>5</v>
      </c>
      <c r="DM342">
        <v>91</v>
      </c>
      <c r="DN342">
        <v>7</v>
      </c>
      <c r="DO342">
        <v>23</v>
      </c>
      <c r="DP342">
        <v>14</v>
      </c>
      <c r="DQ342">
        <v>22</v>
      </c>
      <c r="DR342">
        <v>139</v>
      </c>
      <c r="DS342">
        <v>207</v>
      </c>
      <c r="DT342">
        <v>5</v>
      </c>
      <c r="DU342">
        <v>25</v>
      </c>
      <c r="DV342">
        <v>13</v>
      </c>
      <c r="DW342">
        <v>93</v>
      </c>
      <c r="DX342">
        <v>46</v>
      </c>
      <c r="DY342">
        <v>9</v>
      </c>
      <c r="DZ342">
        <v>50</v>
      </c>
      <c r="EA342">
        <v>20</v>
      </c>
      <c r="EB342">
        <v>2</v>
      </c>
      <c r="EC342">
        <v>6</v>
      </c>
      <c r="ED342">
        <v>105</v>
      </c>
      <c r="EE342">
        <v>17</v>
      </c>
      <c r="EF342">
        <v>60</v>
      </c>
      <c r="EG342">
        <v>16</v>
      </c>
      <c r="EH342">
        <v>37</v>
      </c>
      <c r="EI342">
        <v>45</v>
      </c>
      <c r="EJ342">
        <v>53</v>
      </c>
      <c r="EK342">
        <v>19</v>
      </c>
      <c r="EL342">
        <v>1</v>
      </c>
      <c r="EM342">
        <v>40</v>
      </c>
      <c r="EN342">
        <v>29</v>
      </c>
      <c r="EO342">
        <v>3</v>
      </c>
      <c r="EP342">
        <v>100</v>
      </c>
      <c r="EQ342">
        <v>10</v>
      </c>
      <c r="ER342">
        <v>143</v>
      </c>
      <c r="ES342">
        <v>13</v>
      </c>
      <c r="ET342">
        <v>46</v>
      </c>
      <c r="EU342">
        <v>11</v>
      </c>
      <c r="EV342">
        <v>1</v>
      </c>
      <c r="EW342">
        <v>56</v>
      </c>
      <c r="EX342">
        <v>49</v>
      </c>
      <c r="EY342">
        <v>47</v>
      </c>
      <c r="EZ342">
        <v>35</v>
      </c>
      <c r="FA342">
        <v>39</v>
      </c>
      <c r="FB342">
        <v>28</v>
      </c>
      <c r="FC342">
        <v>72</v>
      </c>
      <c r="FD342">
        <v>38</v>
      </c>
      <c r="FE342">
        <v>235</v>
      </c>
      <c r="FF342">
        <v>114</v>
      </c>
      <c r="FG342">
        <v>43</v>
      </c>
      <c r="FH342">
        <v>69</v>
      </c>
      <c r="FI342">
        <v>35</v>
      </c>
      <c r="FJ342">
        <v>21</v>
      </c>
      <c r="FK342">
        <v>44</v>
      </c>
      <c r="FL342">
        <v>96</v>
      </c>
      <c r="FM342">
        <v>21</v>
      </c>
      <c r="FN342">
        <v>6</v>
      </c>
      <c r="FO342">
        <v>22</v>
      </c>
      <c r="FP342">
        <v>81</v>
      </c>
      <c r="FQ342">
        <v>107</v>
      </c>
      <c r="FR342">
        <v>35</v>
      </c>
      <c r="FS342">
        <v>52</v>
      </c>
      <c r="FT342">
        <v>25</v>
      </c>
      <c r="FU342">
        <v>50</v>
      </c>
      <c r="FV342">
        <v>131</v>
      </c>
      <c r="FW342">
        <v>247</v>
      </c>
      <c r="FX342">
        <v>205</v>
      </c>
      <c r="FY342">
        <v>223</v>
      </c>
      <c r="FZ342">
        <v>79</v>
      </c>
      <c r="GA342">
        <v>117</v>
      </c>
      <c r="GB342">
        <v>72</v>
      </c>
      <c r="GC342">
        <v>97</v>
      </c>
      <c r="GD342">
        <v>273</v>
      </c>
      <c r="GE342">
        <v>10</v>
      </c>
      <c r="GF342">
        <v>90</v>
      </c>
      <c r="GG342">
        <v>118</v>
      </c>
      <c r="GH342">
        <v>257</v>
      </c>
      <c r="GI342">
        <v>84</v>
      </c>
      <c r="GJ342">
        <v>34</v>
      </c>
      <c r="GK342">
        <v>46</v>
      </c>
      <c r="GL342">
        <v>8</v>
      </c>
      <c r="GM342">
        <v>5</v>
      </c>
      <c r="GN342">
        <v>3</v>
      </c>
      <c r="GO342">
        <v>8</v>
      </c>
      <c r="GP342">
        <v>489</v>
      </c>
      <c r="GQ342">
        <v>76</v>
      </c>
      <c r="GR342">
        <v>236</v>
      </c>
      <c r="GS342">
        <v>60</v>
      </c>
      <c r="GT342">
        <v>95</v>
      </c>
      <c r="GU342">
        <v>243</v>
      </c>
      <c r="GV342">
        <v>57</v>
      </c>
      <c r="GW342">
        <v>63</v>
      </c>
      <c r="GX342">
        <v>242</v>
      </c>
      <c r="GY342">
        <v>34</v>
      </c>
      <c r="GZ342">
        <v>188</v>
      </c>
      <c r="HA342">
        <v>302</v>
      </c>
      <c r="HB342">
        <v>1055</v>
      </c>
      <c r="HC342">
        <v>98</v>
      </c>
      <c r="HD342">
        <v>1355</v>
      </c>
      <c r="HE342">
        <v>168</v>
      </c>
      <c r="HF342">
        <v>93</v>
      </c>
      <c r="HG342">
        <v>945</v>
      </c>
      <c r="HH342">
        <v>158</v>
      </c>
      <c r="HI342">
        <v>147</v>
      </c>
      <c r="HJ342">
        <v>131</v>
      </c>
      <c r="HK342">
        <v>84</v>
      </c>
      <c r="HL342">
        <v>19</v>
      </c>
      <c r="HM342">
        <v>62</v>
      </c>
      <c r="HN342">
        <v>31</v>
      </c>
      <c r="HO342">
        <v>16</v>
      </c>
      <c r="HP342">
        <v>19</v>
      </c>
      <c r="HQ342">
        <v>48</v>
      </c>
      <c r="HR342">
        <v>31</v>
      </c>
      <c r="HS342">
        <v>18</v>
      </c>
      <c r="HT342">
        <v>9</v>
      </c>
      <c r="HU342">
        <v>110</v>
      </c>
      <c r="HV342">
        <v>52</v>
      </c>
      <c r="HW342">
        <v>210</v>
      </c>
      <c r="HX342">
        <v>73</v>
      </c>
      <c r="HY342">
        <v>29</v>
      </c>
      <c r="HZ342">
        <v>25</v>
      </c>
      <c r="IA342">
        <v>27</v>
      </c>
      <c r="IB342">
        <v>400</v>
      </c>
      <c r="IC342">
        <v>15</v>
      </c>
      <c r="ID342">
        <v>111</v>
      </c>
      <c r="IE342">
        <v>30</v>
      </c>
      <c r="IF342">
        <v>25</v>
      </c>
      <c r="IG342">
        <v>45</v>
      </c>
      <c r="IH342">
        <v>16</v>
      </c>
      <c r="II342">
        <v>31</v>
      </c>
      <c r="IJ342">
        <v>16</v>
      </c>
      <c r="IK342">
        <v>53</v>
      </c>
      <c r="IL342">
        <v>147</v>
      </c>
      <c r="IM342">
        <v>73</v>
      </c>
      <c r="IN342">
        <v>24</v>
      </c>
      <c r="IO342">
        <v>158</v>
      </c>
      <c r="IP342">
        <v>1115</v>
      </c>
      <c r="IQ342">
        <v>27</v>
      </c>
      <c r="IR342">
        <v>82</v>
      </c>
      <c r="IS342">
        <v>22</v>
      </c>
      <c r="IT342">
        <v>16</v>
      </c>
      <c r="IU342">
        <v>46</v>
      </c>
      <c r="IV342">
        <v>50</v>
      </c>
      <c r="IW342">
        <v>61</v>
      </c>
      <c r="IX342">
        <v>448</v>
      </c>
      <c r="IY342">
        <v>6</v>
      </c>
      <c r="IZ342">
        <v>114</v>
      </c>
      <c r="JA342">
        <v>98</v>
      </c>
      <c r="JB342">
        <v>67</v>
      </c>
      <c r="JC342">
        <v>28</v>
      </c>
      <c r="JD342">
        <v>24</v>
      </c>
      <c r="JE342">
        <v>30</v>
      </c>
      <c r="JF342">
        <v>24</v>
      </c>
      <c r="JG342">
        <v>496</v>
      </c>
      <c r="JH342">
        <v>70</v>
      </c>
      <c r="JI342">
        <v>20</v>
      </c>
      <c r="JJ342">
        <v>88</v>
      </c>
      <c r="JK342">
        <v>6673</v>
      </c>
      <c r="JL342">
        <v>5183</v>
      </c>
      <c r="JM342">
        <v>7697</v>
      </c>
      <c r="JN342">
        <v>2367</v>
      </c>
      <c r="JO342">
        <v>8286</v>
      </c>
      <c r="JP342">
        <v>9888</v>
      </c>
      <c r="JQ342">
        <v>2418</v>
      </c>
      <c r="JR342">
        <v>666</v>
      </c>
      <c r="JS342">
        <v>10987</v>
      </c>
      <c r="JT342">
        <v>1550</v>
      </c>
      <c r="JV342">
        <v>18255</v>
      </c>
      <c r="JW342">
        <v>5316</v>
      </c>
      <c r="JX342">
        <v>2631</v>
      </c>
      <c r="JY342">
        <v>3128</v>
      </c>
      <c r="JZ342">
        <v>2332</v>
      </c>
      <c r="KA342">
        <v>895</v>
      </c>
      <c r="KB342">
        <v>4344</v>
      </c>
      <c r="KC342">
        <v>19526</v>
      </c>
      <c r="KD342">
        <v>7131</v>
      </c>
      <c r="KE342">
        <v>1158</v>
      </c>
      <c r="KF342">
        <v>161</v>
      </c>
      <c r="KG342">
        <v>1108</v>
      </c>
      <c r="KH342">
        <v>670</v>
      </c>
      <c r="KI342">
        <v>425</v>
      </c>
      <c r="KJ342">
        <v>6</v>
      </c>
      <c r="KK342">
        <v>354</v>
      </c>
      <c r="KL342">
        <v>228</v>
      </c>
      <c r="KM342">
        <v>572</v>
      </c>
      <c r="KN342">
        <v>173</v>
      </c>
      <c r="KO342">
        <v>643</v>
      </c>
      <c r="KP342">
        <v>783</v>
      </c>
      <c r="KQ342">
        <v>219</v>
      </c>
      <c r="KR342">
        <v>8697</v>
      </c>
      <c r="KS342">
        <v>2735</v>
      </c>
      <c r="KT342">
        <v>345</v>
      </c>
      <c r="KU342">
        <v>1706</v>
      </c>
      <c r="KV342">
        <v>3383</v>
      </c>
      <c r="KW342">
        <v>6195</v>
      </c>
      <c r="KX342">
        <v>6764</v>
      </c>
      <c r="KY342">
        <v>1068</v>
      </c>
      <c r="KZ342">
        <v>6087</v>
      </c>
      <c r="LA342">
        <v>13217</v>
      </c>
      <c r="LB342">
        <v>1</v>
      </c>
      <c r="LC342">
        <v>24106</v>
      </c>
      <c r="LD342">
        <v>5276</v>
      </c>
      <c r="LE342">
        <v>1979</v>
      </c>
      <c r="LF342">
        <v>2324</v>
      </c>
      <c r="LG342">
        <v>2128</v>
      </c>
      <c r="LH342">
        <v>12646</v>
      </c>
      <c r="LI342">
        <v>1273</v>
      </c>
      <c r="LJ342">
        <v>118</v>
      </c>
      <c r="LL342">
        <v>26</v>
      </c>
      <c r="LM342">
        <v>10530</v>
      </c>
      <c r="LN342">
        <v>804</v>
      </c>
      <c r="LO342">
        <v>83</v>
      </c>
      <c r="LP342">
        <v>408</v>
      </c>
      <c r="LQ342">
        <v>2401</v>
      </c>
      <c r="LR342">
        <v>5968</v>
      </c>
      <c r="LS342">
        <v>911</v>
      </c>
      <c r="LT342">
        <v>3864</v>
      </c>
      <c r="LU342">
        <v>334</v>
      </c>
      <c r="LV342">
        <v>903</v>
      </c>
      <c r="LW342">
        <v>1032</v>
      </c>
      <c r="LX342">
        <v>5052</v>
      </c>
      <c r="LY342">
        <v>294</v>
      </c>
      <c r="LZ342">
        <v>8751</v>
      </c>
      <c r="MA342">
        <v>2383</v>
      </c>
      <c r="MB342">
        <v>345</v>
      </c>
      <c r="MC342">
        <v>201</v>
      </c>
      <c r="MD342">
        <v>175</v>
      </c>
      <c r="ME342">
        <v>1211</v>
      </c>
      <c r="MF342">
        <v>15287</v>
      </c>
      <c r="MG342">
        <v>4548</v>
      </c>
      <c r="MH342">
        <v>3366</v>
      </c>
      <c r="MI342">
        <v>686</v>
      </c>
      <c r="MJ342">
        <v>125</v>
      </c>
      <c r="MK342">
        <v>1169</v>
      </c>
      <c r="ML342">
        <v>8411</v>
      </c>
      <c r="MM342">
        <v>1457</v>
      </c>
      <c r="MN342">
        <v>990</v>
      </c>
      <c r="MO342">
        <v>540</v>
      </c>
      <c r="MP342">
        <v>4</v>
      </c>
      <c r="MQ342">
        <v>557</v>
      </c>
      <c r="MR342">
        <v>2808</v>
      </c>
      <c r="MS342">
        <v>1900</v>
      </c>
      <c r="MT342">
        <v>968</v>
      </c>
      <c r="MU342">
        <v>916</v>
      </c>
      <c r="MV342">
        <v>603</v>
      </c>
      <c r="MW342">
        <v>57</v>
      </c>
      <c r="MX342">
        <v>309</v>
      </c>
      <c r="MY342">
        <v>206</v>
      </c>
      <c r="MZ342">
        <v>3456</v>
      </c>
      <c r="NA342">
        <v>752</v>
      </c>
      <c r="NB342">
        <v>247</v>
      </c>
      <c r="NC342">
        <v>213</v>
      </c>
      <c r="ND342">
        <v>257</v>
      </c>
      <c r="NE342">
        <v>179</v>
      </c>
      <c r="NF342">
        <v>633</v>
      </c>
      <c r="NG342">
        <v>441</v>
      </c>
      <c r="NH342">
        <v>295</v>
      </c>
      <c r="NI342">
        <v>905</v>
      </c>
      <c r="NJ342">
        <v>425</v>
      </c>
      <c r="NK342">
        <v>715</v>
      </c>
      <c r="NL342">
        <v>1705</v>
      </c>
      <c r="NM342">
        <v>1396</v>
      </c>
      <c r="NN342">
        <v>5856</v>
      </c>
      <c r="NO342">
        <v>4787</v>
      </c>
      <c r="NP342">
        <v>9203</v>
      </c>
      <c r="NQ342">
        <v>544</v>
      </c>
      <c r="NR342">
        <v>1005</v>
      </c>
      <c r="NS342">
        <v>123</v>
      </c>
      <c r="NT342">
        <v>134</v>
      </c>
      <c r="NU342">
        <v>445</v>
      </c>
      <c r="NV342">
        <v>1931</v>
      </c>
      <c r="NW342">
        <v>72</v>
      </c>
      <c r="NX342">
        <v>87</v>
      </c>
      <c r="NY342">
        <v>3577</v>
      </c>
      <c r="NZ342">
        <v>109</v>
      </c>
      <c r="OA342">
        <v>703</v>
      </c>
      <c r="OB342">
        <v>1502</v>
      </c>
      <c r="OD342">
        <v>342</v>
      </c>
      <c r="OE342">
        <v>458</v>
      </c>
      <c r="OG342">
        <v>24</v>
      </c>
      <c r="OH342">
        <v>174</v>
      </c>
      <c r="OI342">
        <v>898</v>
      </c>
      <c r="OJ342">
        <v>1707</v>
      </c>
      <c r="OK342">
        <v>2679</v>
      </c>
      <c r="OL342">
        <v>15</v>
      </c>
      <c r="OM342">
        <v>58</v>
      </c>
      <c r="ON342">
        <v>1098</v>
      </c>
      <c r="OO342">
        <v>391922</v>
      </c>
      <c r="OP342">
        <v>766</v>
      </c>
      <c r="OV342">
        <v>20441</v>
      </c>
      <c r="PI342">
        <v>413130</v>
      </c>
      <c r="PM342" t="str">
        <f>IFERROR(VLOOKUP($A342&amp;"",Key!$A:$C,3,FALSE),"")</f>
        <v>ISIC 69T75</v>
      </c>
    </row>
    <row r="343" spans="1:429" x14ac:dyDescent="0.25">
      <c r="A343">
        <v>541400</v>
      </c>
      <c r="B343" t="s">
        <v>478</v>
      </c>
      <c r="P343">
        <v>12</v>
      </c>
      <c r="Q343">
        <v>4</v>
      </c>
      <c r="S343">
        <v>0</v>
      </c>
      <c r="T343">
        <v>1</v>
      </c>
      <c r="U343">
        <v>1</v>
      </c>
      <c r="V343">
        <v>1</v>
      </c>
      <c r="W343">
        <v>29</v>
      </c>
      <c r="X343">
        <v>201</v>
      </c>
      <c r="Y343">
        <v>30</v>
      </c>
      <c r="Z343">
        <v>2</v>
      </c>
      <c r="AA343">
        <v>7</v>
      </c>
      <c r="AC343">
        <v>7</v>
      </c>
      <c r="AD343">
        <v>1</v>
      </c>
      <c r="AE343">
        <v>74</v>
      </c>
      <c r="AF343">
        <v>41</v>
      </c>
      <c r="AG343">
        <v>6</v>
      </c>
      <c r="AH343">
        <v>30</v>
      </c>
      <c r="AI343">
        <v>40</v>
      </c>
      <c r="AJ343">
        <v>38</v>
      </c>
      <c r="AK343">
        <v>1</v>
      </c>
      <c r="AL343">
        <v>20</v>
      </c>
      <c r="AM343">
        <v>2</v>
      </c>
      <c r="AN343">
        <v>2</v>
      </c>
      <c r="AO343">
        <v>15</v>
      </c>
      <c r="AP343">
        <v>12</v>
      </c>
      <c r="AQ343">
        <v>2</v>
      </c>
      <c r="AR343">
        <v>21</v>
      </c>
      <c r="AS343">
        <v>6</v>
      </c>
      <c r="AT343">
        <v>6</v>
      </c>
      <c r="AU343">
        <v>0</v>
      </c>
      <c r="AV343">
        <v>30</v>
      </c>
      <c r="AW343">
        <v>1</v>
      </c>
      <c r="AX343">
        <v>2</v>
      </c>
      <c r="AY343">
        <v>5</v>
      </c>
      <c r="AZ343">
        <v>0</v>
      </c>
      <c r="BA343">
        <v>3</v>
      </c>
      <c r="BB343">
        <v>1</v>
      </c>
      <c r="BC343">
        <v>43</v>
      </c>
      <c r="BD343">
        <v>15</v>
      </c>
      <c r="BE343">
        <v>1</v>
      </c>
      <c r="BF343">
        <v>0</v>
      </c>
      <c r="BG343">
        <v>4</v>
      </c>
      <c r="BH343">
        <v>8</v>
      </c>
      <c r="BI343">
        <v>6</v>
      </c>
      <c r="BJ343">
        <v>10</v>
      </c>
      <c r="BK343">
        <v>9</v>
      </c>
      <c r="BL343">
        <v>10</v>
      </c>
      <c r="BM343">
        <v>4</v>
      </c>
      <c r="BN343">
        <v>10</v>
      </c>
      <c r="BO343">
        <v>2</v>
      </c>
      <c r="BP343">
        <v>14</v>
      </c>
      <c r="BQ343">
        <v>76</v>
      </c>
      <c r="BR343">
        <v>49</v>
      </c>
      <c r="BS343">
        <v>7</v>
      </c>
      <c r="BT343">
        <v>8</v>
      </c>
      <c r="BU343">
        <v>4</v>
      </c>
      <c r="BV343">
        <v>22</v>
      </c>
      <c r="BW343">
        <v>11</v>
      </c>
      <c r="BX343">
        <v>41</v>
      </c>
      <c r="BY343">
        <v>31</v>
      </c>
      <c r="BZ343">
        <v>4</v>
      </c>
      <c r="CA343">
        <v>3</v>
      </c>
      <c r="CB343">
        <v>20</v>
      </c>
      <c r="CC343">
        <v>2</v>
      </c>
      <c r="CD343">
        <v>5</v>
      </c>
      <c r="CE343">
        <v>23</v>
      </c>
      <c r="CF343">
        <v>16</v>
      </c>
      <c r="CG343">
        <v>31</v>
      </c>
      <c r="CH343">
        <v>4</v>
      </c>
      <c r="CI343">
        <v>11</v>
      </c>
      <c r="CJ343">
        <v>21</v>
      </c>
      <c r="CL343">
        <v>36</v>
      </c>
      <c r="CM343">
        <v>7</v>
      </c>
      <c r="CO343">
        <v>3</v>
      </c>
      <c r="CP343">
        <v>1</v>
      </c>
      <c r="CQ343">
        <v>1</v>
      </c>
      <c r="CS343">
        <v>0</v>
      </c>
      <c r="CU343">
        <v>2</v>
      </c>
      <c r="CV343">
        <v>4</v>
      </c>
      <c r="CW343">
        <v>9</v>
      </c>
      <c r="CX343">
        <v>2</v>
      </c>
      <c r="CZ343">
        <v>9</v>
      </c>
      <c r="DA343">
        <v>3</v>
      </c>
      <c r="DB343">
        <v>2</v>
      </c>
      <c r="DC343">
        <v>32</v>
      </c>
      <c r="DD343">
        <v>0</v>
      </c>
      <c r="DE343">
        <v>0</v>
      </c>
      <c r="DG343">
        <v>18</v>
      </c>
      <c r="DH343">
        <v>1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1</v>
      </c>
      <c r="DQ343">
        <v>1</v>
      </c>
      <c r="DR343">
        <v>48</v>
      </c>
      <c r="DS343">
        <v>6</v>
      </c>
      <c r="DT343">
        <v>1</v>
      </c>
      <c r="DU343">
        <v>1</v>
      </c>
      <c r="DV343">
        <v>2</v>
      </c>
      <c r="DW343">
        <v>2</v>
      </c>
      <c r="DX343">
        <v>1</v>
      </c>
      <c r="DY343">
        <v>2</v>
      </c>
      <c r="DZ343">
        <v>1</v>
      </c>
      <c r="EA343">
        <v>1</v>
      </c>
      <c r="EB343">
        <v>0</v>
      </c>
      <c r="EC343">
        <v>2</v>
      </c>
      <c r="ED343">
        <v>51</v>
      </c>
      <c r="EE343">
        <v>2</v>
      </c>
      <c r="EF343">
        <v>7</v>
      </c>
      <c r="EG343">
        <v>2</v>
      </c>
      <c r="EK343">
        <v>2</v>
      </c>
      <c r="EL343">
        <v>2</v>
      </c>
      <c r="EM343">
        <v>2</v>
      </c>
      <c r="EN343">
        <v>3</v>
      </c>
      <c r="EO343">
        <v>0</v>
      </c>
      <c r="EP343">
        <v>14</v>
      </c>
      <c r="EQ343">
        <v>1</v>
      </c>
      <c r="ER343">
        <v>16</v>
      </c>
      <c r="ES343">
        <v>1</v>
      </c>
      <c r="ET343">
        <v>47</v>
      </c>
      <c r="EU343">
        <v>3</v>
      </c>
      <c r="EV343">
        <v>0</v>
      </c>
      <c r="EW343">
        <v>15</v>
      </c>
      <c r="EX343">
        <v>1</v>
      </c>
      <c r="EY343">
        <v>27</v>
      </c>
      <c r="EZ343">
        <v>3</v>
      </c>
      <c r="FA343">
        <v>34</v>
      </c>
      <c r="FB343">
        <v>20</v>
      </c>
      <c r="FC343">
        <v>12</v>
      </c>
      <c r="FD343">
        <v>24</v>
      </c>
      <c r="FE343">
        <v>65</v>
      </c>
      <c r="FF343">
        <v>60</v>
      </c>
      <c r="FG343">
        <v>17</v>
      </c>
      <c r="FH343">
        <v>14</v>
      </c>
      <c r="FI343">
        <v>14</v>
      </c>
      <c r="FJ343">
        <v>1</v>
      </c>
      <c r="FK343">
        <v>379</v>
      </c>
      <c r="FL343">
        <v>4</v>
      </c>
      <c r="FM343">
        <v>11</v>
      </c>
      <c r="FN343">
        <v>2</v>
      </c>
      <c r="FP343">
        <v>2</v>
      </c>
      <c r="FQ343">
        <v>52</v>
      </c>
      <c r="FR343">
        <v>12</v>
      </c>
      <c r="FS343">
        <v>1</v>
      </c>
      <c r="FT343">
        <v>28</v>
      </c>
      <c r="FU343">
        <v>0</v>
      </c>
      <c r="FV343">
        <v>109</v>
      </c>
      <c r="FW343">
        <v>0</v>
      </c>
      <c r="FX343">
        <v>87</v>
      </c>
      <c r="FY343">
        <v>4</v>
      </c>
      <c r="FZ343">
        <v>0</v>
      </c>
      <c r="GB343">
        <v>4</v>
      </c>
      <c r="GC343">
        <v>10</v>
      </c>
      <c r="GD343">
        <v>31</v>
      </c>
      <c r="GE343">
        <v>2</v>
      </c>
      <c r="GF343">
        <v>1</v>
      </c>
      <c r="GG343">
        <v>1</v>
      </c>
      <c r="GH343">
        <v>16</v>
      </c>
      <c r="GI343">
        <v>25</v>
      </c>
      <c r="GJ343">
        <v>12</v>
      </c>
      <c r="GK343">
        <v>1</v>
      </c>
      <c r="GL343">
        <v>4</v>
      </c>
      <c r="GM343">
        <v>2</v>
      </c>
      <c r="GN343">
        <v>2</v>
      </c>
      <c r="GO343">
        <v>2</v>
      </c>
      <c r="GP343">
        <v>19</v>
      </c>
      <c r="GQ343">
        <v>20</v>
      </c>
      <c r="GR343">
        <v>1</v>
      </c>
      <c r="GS343">
        <v>17</v>
      </c>
      <c r="GT343">
        <v>20</v>
      </c>
      <c r="GU343">
        <v>19</v>
      </c>
      <c r="GW343">
        <v>2</v>
      </c>
      <c r="GX343">
        <v>20</v>
      </c>
      <c r="GY343">
        <v>0</v>
      </c>
      <c r="GZ343">
        <v>46</v>
      </c>
      <c r="HA343">
        <v>21</v>
      </c>
      <c r="HB343">
        <v>26</v>
      </c>
      <c r="HC343">
        <v>4</v>
      </c>
      <c r="HD343">
        <v>0</v>
      </c>
      <c r="HE343">
        <v>12</v>
      </c>
      <c r="HF343">
        <v>23</v>
      </c>
      <c r="HG343">
        <v>22</v>
      </c>
      <c r="HH343">
        <v>1</v>
      </c>
      <c r="HI343">
        <v>5</v>
      </c>
      <c r="HK343">
        <v>1</v>
      </c>
      <c r="HL343">
        <v>0</v>
      </c>
      <c r="HM343">
        <v>3</v>
      </c>
      <c r="HN343">
        <v>3</v>
      </c>
      <c r="HP343">
        <v>4</v>
      </c>
      <c r="HQ343">
        <v>4</v>
      </c>
      <c r="HR343">
        <v>4</v>
      </c>
      <c r="HS343">
        <v>1</v>
      </c>
      <c r="HT343">
        <v>22</v>
      </c>
      <c r="HU343">
        <v>68</v>
      </c>
      <c r="HV343">
        <v>79</v>
      </c>
      <c r="HW343">
        <v>61</v>
      </c>
      <c r="HX343">
        <v>17</v>
      </c>
      <c r="HY343">
        <v>4</v>
      </c>
      <c r="HZ343">
        <v>11</v>
      </c>
      <c r="IA343">
        <v>5</v>
      </c>
      <c r="IB343">
        <v>190</v>
      </c>
      <c r="IC343">
        <v>7</v>
      </c>
      <c r="ID343">
        <v>366</v>
      </c>
      <c r="IF343">
        <v>1</v>
      </c>
      <c r="IG343">
        <v>12</v>
      </c>
      <c r="IH343">
        <v>9</v>
      </c>
      <c r="IJ343">
        <v>12</v>
      </c>
      <c r="IK343">
        <v>24</v>
      </c>
      <c r="IL343">
        <v>31</v>
      </c>
      <c r="IM343">
        <v>38</v>
      </c>
      <c r="IN343">
        <v>32</v>
      </c>
      <c r="IP343">
        <v>5</v>
      </c>
      <c r="IQ343">
        <v>0</v>
      </c>
      <c r="IR343">
        <v>0</v>
      </c>
      <c r="IS343">
        <v>17</v>
      </c>
      <c r="IT343">
        <v>2</v>
      </c>
      <c r="IV343">
        <v>14</v>
      </c>
      <c r="IW343">
        <v>9</v>
      </c>
      <c r="IX343">
        <v>45</v>
      </c>
      <c r="IY343">
        <v>2</v>
      </c>
      <c r="IZ343">
        <v>4</v>
      </c>
      <c r="JA343">
        <v>31</v>
      </c>
      <c r="JB343">
        <v>28</v>
      </c>
      <c r="JC343">
        <v>6</v>
      </c>
      <c r="JD343">
        <v>4</v>
      </c>
      <c r="JE343">
        <v>12</v>
      </c>
      <c r="JF343">
        <v>2</v>
      </c>
      <c r="JG343">
        <v>89</v>
      </c>
      <c r="JH343">
        <v>6</v>
      </c>
      <c r="JI343">
        <v>9</v>
      </c>
      <c r="JJ343">
        <v>16</v>
      </c>
      <c r="JL343">
        <v>542</v>
      </c>
      <c r="JM343">
        <v>600</v>
      </c>
      <c r="JN343">
        <v>477</v>
      </c>
      <c r="JO343">
        <v>596</v>
      </c>
      <c r="JP343">
        <v>577</v>
      </c>
      <c r="JQ343">
        <v>623</v>
      </c>
      <c r="JR343">
        <v>594</v>
      </c>
      <c r="JS343">
        <v>914</v>
      </c>
      <c r="JT343">
        <v>135</v>
      </c>
      <c r="JV343">
        <v>179</v>
      </c>
      <c r="JW343">
        <v>463</v>
      </c>
      <c r="JX343">
        <v>422</v>
      </c>
      <c r="JY343">
        <v>187</v>
      </c>
      <c r="JZ343">
        <v>77</v>
      </c>
      <c r="KA343">
        <v>154</v>
      </c>
      <c r="KB343">
        <v>27</v>
      </c>
      <c r="KC343">
        <v>299</v>
      </c>
      <c r="KD343">
        <v>51</v>
      </c>
      <c r="KE343">
        <v>8</v>
      </c>
      <c r="KF343">
        <v>23</v>
      </c>
      <c r="KH343">
        <v>54</v>
      </c>
      <c r="KI343">
        <v>1</v>
      </c>
      <c r="KJ343">
        <v>0</v>
      </c>
      <c r="KK343">
        <v>117</v>
      </c>
      <c r="KL343">
        <v>1</v>
      </c>
      <c r="KM343">
        <v>29</v>
      </c>
      <c r="KN343">
        <v>4</v>
      </c>
      <c r="KO343">
        <v>9</v>
      </c>
      <c r="KP343">
        <v>12</v>
      </c>
      <c r="KQ343">
        <v>12</v>
      </c>
      <c r="KR343">
        <v>12</v>
      </c>
      <c r="KS343">
        <v>10</v>
      </c>
      <c r="KT343">
        <v>2</v>
      </c>
      <c r="KU343">
        <v>5</v>
      </c>
      <c r="KV343">
        <v>18</v>
      </c>
      <c r="KW343">
        <v>117</v>
      </c>
      <c r="KX343">
        <v>724</v>
      </c>
      <c r="KY343">
        <v>33</v>
      </c>
      <c r="KZ343">
        <v>83</v>
      </c>
      <c r="LA343">
        <v>29</v>
      </c>
      <c r="LB343">
        <v>0</v>
      </c>
      <c r="LC343">
        <v>911</v>
      </c>
      <c r="LD343">
        <v>1069</v>
      </c>
      <c r="LE343">
        <v>764</v>
      </c>
      <c r="LF343">
        <v>264</v>
      </c>
      <c r="LG343">
        <v>89</v>
      </c>
      <c r="LH343">
        <v>1305</v>
      </c>
      <c r="LJ343">
        <v>95</v>
      </c>
      <c r="LK343">
        <v>1</v>
      </c>
      <c r="LL343">
        <v>0</v>
      </c>
      <c r="LM343">
        <v>754</v>
      </c>
      <c r="LN343">
        <v>18</v>
      </c>
      <c r="LO343">
        <v>128</v>
      </c>
      <c r="LP343">
        <v>5</v>
      </c>
      <c r="LQ343">
        <v>44</v>
      </c>
      <c r="LR343">
        <v>59</v>
      </c>
      <c r="LS343">
        <v>11</v>
      </c>
      <c r="LT343">
        <v>1886</v>
      </c>
      <c r="LU343">
        <v>7</v>
      </c>
      <c r="LV343">
        <v>313</v>
      </c>
      <c r="LW343">
        <v>1541</v>
      </c>
      <c r="LX343">
        <v>698</v>
      </c>
      <c r="LY343">
        <v>49</v>
      </c>
      <c r="LZ343">
        <v>68</v>
      </c>
      <c r="MA343">
        <v>1357</v>
      </c>
      <c r="MB343">
        <v>244</v>
      </c>
      <c r="MC343">
        <v>56</v>
      </c>
      <c r="MD343">
        <v>7</v>
      </c>
      <c r="ME343">
        <v>219</v>
      </c>
      <c r="MF343">
        <v>3</v>
      </c>
      <c r="MG343">
        <v>287</v>
      </c>
      <c r="MH343">
        <v>34</v>
      </c>
      <c r="MI343">
        <v>9</v>
      </c>
      <c r="MJ343">
        <v>7</v>
      </c>
      <c r="MK343">
        <v>24</v>
      </c>
      <c r="ML343">
        <v>11</v>
      </c>
      <c r="MM343">
        <v>15</v>
      </c>
      <c r="MN343">
        <v>19</v>
      </c>
      <c r="MO343">
        <v>24</v>
      </c>
      <c r="MP343">
        <v>25</v>
      </c>
      <c r="MQ343">
        <v>22</v>
      </c>
      <c r="MR343">
        <v>5</v>
      </c>
      <c r="MS343">
        <v>698</v>
      </c>
      <c r="MT343">
        <v>16</v>
      </c>
      <c r="MU343">
        <v>9</v>
      </c>
      <c r="MV343">
        <v>18</v>
      </c>
      <c r="MW343">
        <v>8</v>
      </c>
      <c r="MX343">
        <v>21</v>
      </c>
      <c r="MY343">
        <v>10</v>
      </c>
      <c r="MZ343">
        <v>27</v>
      </c>
      <c r="NA343">
        <v>23</v>
      </c>
      <c r="NB343">
        <v>4</v>
      </c>
      <c r="NC343">
        <v>10</v>
      </c>
      <c r="ND343">
        <v>3</v>
      </c>
      <c r="NE343">
        <v>10</v>
      </c>
      <c r="NF343">
        <v>1</v>
      </c>
      <c r="NG343">
        <v>4</v>
      </c>
      <c r="NI343">
        <v>8</v>
      </c>
      <c r="NK343">
        <v>1</v>
      </c>
      <c r="NL343">
        <v>14</v>
      </c>
      <c r="NM343">
        <v>42</v>
      </c>
      <c r="NN343">
        <v>18</v>
      </c>
      <c r="NO343">
        <v>75</v>
      </c>
      <c r="NP343">
        <v>108</v>
      </c>
      <c r="NQ343">
        <v>20</v>
      </c>
      <c r="NR343">
        <v>2</v>
      </c>
      <c r="NS343">
        <v>0</v>
      </c>
      <c r="NT343">
        <v>2</v>
      </c>
      <c r="NV343">
        <v>4</v>
      </c>
      <c r="NW343">
        <v>0</v>
      </c>
      <c r="NX343">
        <v>4</v>
      </c>
      <c r="NY343">
        <v>2</v>
      </c>
      <c r="NZ343">
        <v>29</v>
      </c>
      <c r="OA343">
        <v>4</v>
      </c>
      <c r="OB343">
        <v>40</v>
      </c>
      <c r="OD343">
        <v>0</v>
      </c>
      <c r="OE343">
        <v>0</v>
      </c>
      <c r="OF343">
        <v>1</v>
      </c>
      <c r="OG343">
        <v>11</v>
      </c>
      <c r="OH343">
        <v>32</v>
      </c>
      <c r="OI343">
        <v>123</v>
      </c>
      <c r="OJ343">
        <v>202</v>
      </c>
      <c r="OK343">
        <v>2159</v>
      </c>
      <c r="OL343">
        <v>84</v>
      </c>
      <c r="OM343">
        <v>3</v>
      </c>
      <c r="ON343">
        <v>1464</v>
      </c>
      <c r="OO343">
        <v>30211</v>
      </c>
      <c r="OP343">
        <v>7558</v>
      </c>
      <c r="OV343">
        <v>176</v>
      </c>
      <c r="PI343">
        <v>37945</v>
      </c>
      <c r="PM343" t="str">
        <f>IFERROR(VLOOKUP($A343&amp;"",Key!$A:$C,3,FALSE),"")</f>
        <v>ISIC 69T75</v>
      </c>
    </row>
    <row r="344" spans="1:429" x14ac:dyDescent="0.25">
      <c r="A344">
        <v>541920</v>
      </c>
      <c r="B344" t="s">
        <v>479</v>
      </c>
      <c r="JK344">
        <v>58</v>
      </c>
      <c r="JL344">
        <v>70</v>
      </c>
      <c r="JM344">
        <v>66</v>
      </c>
      <c r="JN344">
        <v>44</v>
      </c>
      <c r="JO344">
        <v>85</v>
      </c>
      <c r="JP344">
        <v>3</v>
      </c>
      <c r="JQ344">
        <v>206</v>
      </c>
      <c r="JS344">
        <v>74</v>
      </c>
      <c r="JV344">
        <v>11</v>
      </c>
      <c r="JW344">
        <v>7</v>
      </c>
      <c r="JY344">
        <v>11</v>
      </c>
      <c r="JZ344">
        <v>33</v>
      </c>
      <c r="KD344">
        <v>4</v>
      </c>
      <c r="KF344">
        <v>0</v>
      </c>
      <c r="KQ344">
        <v>1</v>
      </c>
      <c r="LL344">
        <v>0</v>
      </c>
      <c r="LM344">
        <v>79</v>
      </c>
      <c r="LO344">
        <v>31</v>
      </c>
      <c r="LP344">
        <v>0</v>
      </c>
      <c r="LR344">
        <v>136</v>
      </c>
      <c r="LS344">
        <v>75</v>
      </c>
      <c r="LT344">
        <v>111</v>
      </c>
      <c r="LU344">
        <v>16</v>
      </c>
      <c r="LV344">
        <v>148</v>
      </c>
      <c r="LW344">
        <v>143</v>
      </c>
      <c r="LX344">
        <v>263</v>
      </c>
      <c r="LY344">
        <v>78</v>
      </c>
      <c r="LZ344">
        <v>70</v>
      </c>
      <c r="MA344">
        <v>1277</v>
      </c>
      <c r="MB344">
        <v>37</v>
      </c>
      <c r="MC344">
        <v>8</v>
      </c>
      <c r="MD344">
        <v>3</v>
      </c>
      <c r="ME344">
        <v>109</v>
      </c>
      <c r="MF344">
        <v>4</v>
      </c>
      <c r="MG344">
        <v>45</v>
      </c>
      <c r="MH344">
        <v>62</v>
      </c>
      <c r="MI344">
        <v>15</v>
      </c>
      <c r="MJ344">
        <v>8</v>
      </c>
      <c r="MK344">
        <v>23</v>
      </c>
      <c r="ML344">
        <v>207</v>
      </c>
      <c r="MM344">
        <v>13</v>
      </c>
      <c r="MN344">
        <v>285</v>
      </c>
      <c r="MO344">
        <v>5</v>
      </c>
      <c r="MQ344">
        <v>1</v>
      </c>
      <c r="MW344">
        <v>5</v>
      </c>
      <c r="MY344">
        <v>3</v>
      </c>
      <c r="NG344">
        <v>2</v>
      </c>
      <c r="NH344">
        <v>4</v>
      </c>
      <c r="NI344">
        <v>7</v>
      </c>
      <c r="NN344">
        <v>1</v>
      </c>
      <c r="NO344">
        <v>2</v>
      </c>
      <c r="NP344">
        <v>7</v>
      </c>
      <c r="NX344">
        <v>2</v>
      </c>
      <c r="NY344">
        <v>464</v>
      </c>
      <c r="OK344">
        <v>39</v>
      </c>
      <c r="OO344">
        <v>4461</v>
      </c>
      <c r="OP344">
        <v>7156</v>
      </c>
      <c r="OR344">
        <v>1167</v>
      </c>
      <c r="OV344">
        <v>301</v>
      </c>
      <c r="PI344">
        <v>13085</v>
      </c>
      <c r="PM344" t="str">
        <f>IFERROR(VLOOKUP($A344&amp;"",Key!$A:$C,3,FALSE),"")</f>
        <v>ISIC 69T75</v>
      </c>
    </row>
    <row r="345" spans="1:429" x14ac:dyDescent="0.25">
      <c r="A345">
        <v>541940</v>
      </c>
      <c r="B345" t="s">
        <v>480</v>
      </c>
      <c r="I345">
        <v>76</v>
      </c>
      <c r="J345">
        <v>15</v>
      </c>
      <c r="K345">
        <v>684</v>
      </c>
      <c r="L345">
        <v>118</v>
      </c>
      <c r="N345">
        <v>48</v>
      </c>
      <c r="LZ345">
        <v>135</v>
      </c>
      <c r="MF345">
        <v>9</v>
      </c>
      <c r="MM345">
        <v>17</v>
      </c>
      <c r="MZ345">
        <v>3071</v>
      </c>
      <c r="OD345">
        <v>0</v>
      </c>
      <c r="OK345">
        <v>1511</v>
      </c>
      <c r="OO345">
        <v>5683</v>
      </c>
      <c r="OP345">
        <v>33726</v>
      </c>
      <c r="PI345">
        <v>39409</v>
      </c>
      <c r="PM345" t="str">
        <f>IFERROR(VLOOKUP($A345&amp;"",Key!$A:$C,3,FALSE),"")</f>
        <v>ISIC 69T75</v>
      </c>
    </row>
    <row r="346" spans="1:429" x14ac:dyDescent="0.25">
      <c r="A346" t="s">
        <v>615</v>
      </c>
      <c r="B346" t="s">
        <v>481</v>
      </c>
      <c r="C346">
        <v>0</v>
      </c>
      <c r="D346">
        <v>103</v>
      </c>
      <c r="H346">
        <v>25</v>
      </c>
      <c r="M346">
        <v>0</v>
      </c>
      <c r="N346">
        <v>2</v>
      </c>
      <c r="O346">
        <v>3</v>
      </c>
      <c r="P346">
        <v>289</v>
      </c>
      <c r="Q346">
        <v>24</v>
      </c>
      <c r="R346">
        <v>3</v>
      </c>
      <c r="S346">
        <v>2</v>
      </c>
      <c r="T346">
        <v>5</v>
      </c>
      <c r="U346">
        <v>6</v>
      </c>
      <c r="V346">
        <v>25</v>
      </c>
      <c r="W346">
        <v>114</v>
      </c>
      <c r="X346">
        <v>5618</v>
      </c>
      <c r="Y346">
        <v>309</v>
      </c>
      <c r="Z346">
        <v>29</v>
      </c>
      <c r="AA346">
        <v>30</v>
      </c>
      <c r="AB346">
        <v>71</v>
      </c>
      <c r="AC346">
        <v>48</v>
      </c>
      <c r="AD346">
        <v>8</v>
      </c>
      <c r="AE346">
        <v>47</v>
      </c>
      <c r="AF346">
        <v>38</v>
      </c>
      <c r="AG346">
        <v>424</v>
      </c>
      <c r="AH346">
        <v>45</v>
      </c>
      <c r="AI346">
        <v>41</v>
      </c>
      <c r="AJ346">
        <v>42</v>
      </c>
      <c r="AK346">
        <v>347</v>
      </c>
      <c r="AL346">
        <v>100</v>
      </c>
      <c r="AM346">
        <v>23</v>
      </c>
      <c r="AN346">
        <v>8</v>
      </c>
      <c r="AO346">
        <v>11</v>
      </c>
      <c r="AP346">
        <v>25</v>
      </c>
      <c r="AQ346">
        <v>11</v>
      </c>
      <c r="AR346">
        <v>158</v>
      </c>
      <c r="AS346">
        <v>24</v>
      </c>
      <c r="AT346">
        <v>198</v>
      </c>
      <c r="AU346">
        <v>8</v>
      </c>
      <c r="AV346">
        <v>77</v>
      </c>
      <c r="AW346">
        <v>2</v>
      </c>
      <c r="AX346">
        <v>10</v>
      </c>
      <c r="AY346">
        <v>20</v>
      </c>
      <c r="AZ346">
        <v>6</v>
      </c>
      <c r="BA346">
        <v>29</v>
      </c>
      <c r="BB346">
        <v>27</v>
      </c>
      <c r="BC346">
        <v>195</v>
      </c>
      <c r="BD346">
        <v>55</v>
      </c>
      <c r="BE346">
        <v>14</v>
      </c>
      <c r="BF346">
        <v>1</v>
      </c>
      <c r="BG346">
        <v>62</v>
      </c>
      <c r="BH346">
        <v>2</v>
      </c>
      <c r="BI346">
        <v>31</v>
      </c>
      <c r="BJ346">
        <v>32</v>
      </c>
      <c r="BK346">
        <v>48</v>
      </c>
      <c r="BL346">
        <v>66</v>
      </c>
      <c r="BM346">
        <v>13</v>
      </c>
      <c r="BN346">
        <v>20</v>
      </c>
      <c r="BO346">
        <v>33</v>
      </c>
      <c r="BP346">
        <v>34</v>
      </c>
      <c r="BQ346">
        <v>164</v>
      </c>
      <c r="BR346">
        <v>110</v>
      </c>
      <c r="BS346">
        <v>20</v>
      </c>
      <c r="BT346">
        <v>27</v>
      </c>
      <c r="BU346">
        <v>21</v>
      </c>
      <c r="BV346">
        <v>25</v>
      </c>
      <c r="BW346">
        <v>34</v>
      </c>
      <c r="BX346">
        <v>146</v>
      </c>
      <c r="BY346">
        <v>112</v>
      </c>
      <c r="BZ346">
        <v>78</v>
      </c>
      <c r="CA346">
        <v>4</v>
      </c>
      <c r="CB346">
        <v>77</v>
      </c>
      <c r="CC346">
        <v>7</v>
      </c>
      <c r="CD346">
        <v>16</v>
      </c>
      <c r="CE346">
        <v>9</v>
      </c>
      <c r="CF346">
        <v>36</v>
      </c>
      <c r="CG346">
        <v>57</v>
      </c>
      <c r="CH346">
        <v>24</v>
      </c>
      <c r="CI346">
        <v>8</v>
      </c>
      <c r="CJ346">
        <v>14</v>
      </c>
      <c r="CK346">
        <v>35</v>
      </c>
      <c r="CL346">
        <v>74</v>
      </c>
      <c r="CM346">
        <v>16</v>
      </c>
      <c r="CN346">
        <v>11</v>
      </c>
      <c r="CO346">
        <v>92</v>
      </c>
      <c r="CP346">
        <v>17</v>
      </c>
      <c r="CQ346">
        <v>59</v>
      </c>
      <c r="CR346">
        <v>11</v>
      </c>
      <c r="CS346">
        <v>15</v>
      </c>
      <c r="CT346">
        <v>19</v>
      </c>
      <c r="CU346">
        <v>23</v>
      </c>
      <c r="CV346">
        <v>24</v>
      </c>
      <c r="CW346">
        <v>8</v>
      </c>
      <c r="CX346">
        <v>3</v>
      </c>
      <c r="CY346">
        <v>10</v>
      </c>
      <c r="CZ346">
        <v>74</v>
      </c>
      <c r="DA346">
        <v>20</v>
      </c>
      <c r="DB346">
        <v>42</v>
      </c>
      <c r="DC346">
        <v>52</v>
      </c>
      <c r="DD346">
        <v>6</v>
      </c>
      <c r="DE346">
        <v>18</v>
      </c>
      <c r="DF346">
        <v>4</v>
      </c>
      <c r="DG346">
        <v>49</v>
      </c>
      <c r="DH346">
        <v>25</v>
      </c>
      <c r="DI346">
        <v>297</v>
      </c>
      <c r="DJ346">
        <v>17</v>
      </c>
      <c r="DK346">
        <v>31</v>
      </c>
      <c r="DL346">
        <v>37</v>
      </c>
      <c r="DM346">
        <v>59</v>
      </c>
      <c r="DN346">
        <v>17</v>
      </c>
      <c r="DO346">
        <v>185</v>
      </c>
      <c r="DP346">
        <v>24</v>
      </c>
      <c r="DQ346">
        <v>65</v>
      </c>
      <c r="DR346">
        <v>52</v>
      </c>
      <c r="DS346">
        <v>43</v>
      </c>
      <c r="DT346">
        <v>4</v>
      </c>
      <c r="DU346">
        <v>17</v>
      </c>
      <c r="DV346">
        <v>11</v>
      </c>
      <c r="DW346">
        <v>22</v>
      </c>
      <c r="DX346">
        <v>17</v>
      </c>
      <c r="DY346">
        <v>6</v>
      </c>
      <c r="DZ346">
        <v>28</v>
      </c>
      <c r="EA346">
        <v>2</v>
      </c>
      <c r="EB346">
        <v>1</v>
      </c>
      <c r="EC346">
        <v>2</v>
      </c>
      <c r="ED346">
        <v>27</v>
      </c>
      <c r="EE346">
        <v>4</v>
      </c>
      <c r="EF346">
        <v>5</v>
      </c>
      <c r="EG346">
        <v>5</v>
      </c>
      <c r="EH346">
        <v>4</v>
      </c>
      <c r="EI346">
        <v>13</v>
      </c>
      <c r="EJ346">
        <v>8</v>
      </c>
      <c r="EK346">
        <v>10</v>
      </c>
      <c r="EL346">
        <v>1</v>
      </c>
      <c r="EM346">
        <v>12</v>
      </c>
      <c r="EN346">
        <v>19</v>
      </c>
      <c r="EO346">
        <v>1</v>
      </c>
      <c r="EP346">
        <v>29</v>
      </c>
      <c r="EQ346">
        <v>37</v>
      </c>
      <c r="ER346">
        <v>20</v>
      </c>
      <c r="ES346">
        <v>7</v>
      </c>
      <c r="ET346">
        <v>47</v>
      </c>
      <c r="EU346">
        <v>16</v>
      </c>
      <c r="EV346">
        <v>2</v>
      </c>
      <c r="EW346">
        <v>62</v>
      </c>
      <c r="EX346">
        <v>81</v>
      </c>
      <c r="EY346">
        <v>99</v>
      </c>
      <c r="EZ346">
        <v>53</v>
      </c>
      <c r="FA346">
        <v>112</v>
      </c>
      <c r="FB346">
        <v>24</v>
      </c>
      <c r="FC346">
        <v>189</v>
      </c>
      <c r="FD346">
        <v>83</v>
      </c>
      <c r="FE346">
        <v>31</v>
      </c>
      <c r="FF346">
        <v>100</v>
      </c>
      <c r="FG346">
        <v>93</v>
      </c>
      <c r="FH346">
        <v>42</v>
      </c>
      <c r="FI346">
        <v>15</v>
      </c>
      <c r="FJ346">
        <v>8</v>
      </c>
      <c r="FK346">
        <v>47</v>
      </c>
      <c r="FL346">
        <v>26</v>
      </c>
      <c r="FM346">
        <v>7</v>
      </c>
      <c r="FN346">
        <v>17</v>
      </c>
      <c r="FO346">
        <v>10</v>
      </c>
      <c r="FP346">
        <v>109</v>
      </c>
      <c r="FQ346">
        <v>43</v>
      </c>
      <c r="FR346">
        <v>11</v>
      </c>
      <c r="FS346">
        <v>38</v>
      </c>
      <c r="FT346">
        <v>20</v>
      </c>
      <c r="FU346">
        <v>19</v>
      </c>
      <c r="FV346">
        <v>134</v>
      </c>
      <c r="FW346">
        <v>20</v>
      </c>
      <c r="FX346">
        <v>119</v>
      </c>
      <c r="FY346">
        <v>144</v>
      </c>
      <c r="FZ346">
        <v>18</v>
      </c>
      <c r="GA346">
        <v>18</v>
      </c>
      <c r="GB346">
        <v>25</v>
      </c>
      <c r="GC346">
        <v>35</v>
      </c>
      <c r="GD346">
        <v>45</v>
      </c>
      <c r="GE346">
        <v>5</v>
      </c>
      <c r="GF346">
        <v>8</v>
      </c>
      <c r="GG346">
        <v>41</v>
      </c>
      <c r="GH346">
        <v>107</v>
      </c>
      <c r="GI346">
        <v>19</v>
      </c>
      <c r="GJ346">
        <v>18</v>
      </c>
      <c r="GK346">
        <v>27</v>
      </c>
      <c r="GL346">
        <v>10</v>
      </c>
      <c r="GM346">
        <v>4</v>
      </c>
      <c r="GN346">
        <v>1</v>
      </c>
      <c r="GO346">
        <v>5</v>
      </c>
      <c r="GP346">
        <v>52</v>
      </c>
      <c r="GQ346">
        <v>32</v>
      </c>
      <c r="GR346">
        <v>49</v>
      </c>
      <c r="GS346">
        <v>17</v>
      </c>
      <c r="GT346">
        <v>31</v>
      </c>
      <c r="GU346">
        <v>112</v>
      </c>
      <c r="GV346">
        <v>17</v>
      </c>
      <c r="GW346">
        <v>39</v>
      </c>
      <c r="GX346">
        <v>89</v>
      </c>
      <c r="GY346">
        <v>34</v>
      </c>
      <c r="GZ346">
        <v>302</v>
      </c>
      <c r="HA346">
        <v>77</v>
      </c>
      <c r="HB346">
        <v>32</v>
      </c>
      <c r="HC346">
        <v>24</v>
      </c>
      <c r="HD346">
        <v>2</v>
      </c>
      <c r="HE346">
        <v>73</v>
      </c>
      <c r="HF346">
        <v>80</v>
      </c>
      <c r="HG346">
        <v>79</v>
      </c>
      <c r="HH346">
        <v>34</v>
      </c>
      <c r="HI346">
        <v>17</v>
      </c>
      <c r="HJ346">
        <v>1</v>
      </c>
      <c r="HK346">
        <v>14</v>
      </c>
      <c r="HL346">
        <v>11</v>
      </c>
      <c r="HM346">
        <v>34</v>
      </c>
      <c r="HN346">
        <v>25</v>
      </c>
      <c r="HO346">
        <v>2</v>
      </c>
      <c r="HP346">
        <v>6</v>
      </c>
      <c r="HQ346">
        <v>25</v>
      </c>
      <c r="HR346">
        <v>14</v>
      </c>
      <c r="HS346">
        <v>3</v>
      </c>
      <c r="HT346">
        <v>4</v>
      </c>
      <c r="HU346">
        <v>8</v>
      </c>
      <c r="HV346">
        <v>10</v>
      </c>
      <c r="HW346">
        <v>35</v>
      </c>
      <c r="HX346">
        <v>12</v>
      </c>
      <c r="HY346">
        <v>7</v>
      </c>
      <c r="HZ346">
        <v>5</v>
      </c>
      <c r="IA346">
        <v>1</v>
      </c>
      <c r="IB346">
        <v>66</v>
      </c>
      <c r="IC346">
        <v>0</v>
      </c>
      <c r="ID346">
        <v>84</v>
      </c>
      <c r="IE346">
        <v>34</v>
      </c>
      <c r="IF346">
        <v>13</v>
      </c>
      <c r="IG346">
        <v>12</v>
      </c>
      <c r="IH346">
        <v>15</v>
      </c>
      <c r="II346">
        <v>10</v>
      </c>
      <c r="IJ346">
        <v>13</v>
      </c>
      <c r="IK346">
        <v>57</v>
      </c>
      <c r="IL346">
        <v>124</v>
      </c>
      <c r="IM346">
        <v>114</v>
      </c>
      <c r="IN346">
        <v>24</v>
      </c>
      <c r="IO346">
        <v>57</v>
      </c>
      <c r="IP346">
        <v>439</v>
      </c>
      <c r="IQ346">
        <v>108</v>
      </c>
      <c r="IR346">
        <v>71</v>
      </c>
      <c r="IS346">
        <v>19</v>
      </c>
      <c r="IT346">
        <v>8</v>
      </c>
      <c r="IU346">
        <v>26</v>
      </c>
      <c r="IV346">
        <v>19</v>
      </c>
      <c r="IW346">
        <v>28</v>
      </c>
      <c r="IX346">
        <v>11</v>
      </c>
      <c r="IY346">
        <v>1</v>
      </c>
      <c r="IZ346">
        <v>49</v>
      </c>
      <c r="JA346">
        <v>183</v>
      </c>
      <c r="JB346">
        <v>67</v>
      </c>
      <c r="JC346">
        <v>14</v>
      </c>
      <c r="JD346">
        <v>13</v>
      </c>
      <c r="JE346">
        <v>43</v>
      </c>
      <c r="JF346">
        <v>5</v>
      </c>
      <c r="JG346">
        <v>637</v>
      </c>
      <c r="JH346">
        <v>35</v>
      </c>
      <c r="JI346">
        <v>20</v>
      </c>
      <c r="JJ346">
        <v>67</v>
      </c>
      <c r="JK346">
        <v>188</v>
      </c>
      <c r="JL346">
        <v>503</v>
      </c>
      <c r="JM346">
        <v>770</v>
      </c>
      <c r="JN346">
        <v>563</v>
      </c>
      <c r="JO346">
        <v>920</v>
      </c>
      <c r="JP346">
        <v>95</v>
      </c>
      <c r="JQ346">
        <v>743</v>
      </c>
      <c r="JR346">
        <v>81</v>
      </c>
      <c r="JS346">
        <v>1338</v>
      </c>
      <c r="JT346">
        <v>60</v>
      </c>
      <c r="JV346">
        <v>147</v>
      </c>
      <c r="JW346">
        <v>324</v>
      </c>
      <c r="JX346">
        <v>270</v>
      </c>
      <c r="JY346">
        <v>483</v>
      </c>
      <c r="JZ346">
        <v>369</v>
      </c>
      <c r="KA346">
        <v>522</v>
      </c>
      <c r="KB346">
        <v>83</v>
      </c>
      <c r="KC346">
        <v>920</v>
      </c>
      <c r="KD346">
        <v>161</v>
      </c>
      <c r="KE346">
        <v>227</v>
      </c>
      <c r="KF346">
        <v>74</v>
      </c>
      <c r="KH346">
        <v>402</v>
      </c>
      <c r="KI346">
        <v>368</v>
      </c>
      <c r="KJ346">
        <v>354</v>
      </c>
      <c r="KK346">
        <v>135</v>
      </c>
      <c r="KL346">
        <v>18</v>
      </c>
      <c r="KM346">
        <v>202</v>
      </c>
      <c r="KN346">
        <v>442</v>
      </c>
      <c r="KO346">
        <v>540</v>
      </c>
      <c r="KP346">
        <v>1346</v>
      </c>
      <c r="KQ346">
        <v>293</v>
      </c>
      <c r="KR346">
        <v>435</v>
      </c>
      <c r="KS346">
        <v>1444</v>
      </c>
      <c r="KT346">
        <v>87</v>
      </c>
      <c r="KU346">
        <v>80</v>
      </c>
      <c r="KV346">
        <v>161</v>
      </c>
      <c r="KW346">
        <v>756</v>
      </c>
      <c r="KX346">
        <v>1881</v>
      </c>
      <c r="KY346">
        <v>204</v>
      </c>
      <c r="KZ346">
        <v>203</v>
      </c>
      <c r="LA346">
        <v>954</v>
      </c>
      <c r="LB346">
        <v>13</v>
      </c>
      <c r="LC346">
        <v>4593</v>
      </c>
      <c r="LD346">
        <v>2461</v>
      </c>
      <c r="LE346">
        <v>3848</v>
      </c>
      <c r="LF346">
        <v>1110</v>
      </c>
      <c r="LH346">
        <v>329</v>
      </c>
      <c r="LI346">
        <v>1</v>
      </c>
      <c r="LL346">
        <v>2</v>
      </c>
      <c r="LM346">
        <v>2846</v>
      </c>
      <c r="LN346">
        <v>115</v>
      </c>
      <c r="LO346">
        <v>335</v>
      </c>
      <c r="LP346">
        <v>31</v>
      </c>
      <c r="LR346">
        <v>535</v>
      </c>
      <c r="LS346">
        <v>230</v>
      </c>
      <c r="LT346">
        <v>927</v>
      </c>
      <c r="LU346">
        <v>92</v>
      </c>
      <c r="LV346">
        <v>1361</v>
      </c>
      <c r="LW346">
        <v>4126</v>
      </c>
      <c r="LX346">
        <v>879</v>
      </c>
      <c r="LY346">
        <v>81</v>
      </c>
      <c r="LZ346">
        <v>4073</v>
      </c>
      <c r="MA346">
        <v>2031</v>
      </c>
      <c r="MB346">
        <v>27</v>
      </c>
      <c r="MC346">
        <v>75</v>
      </c>
      <c r="MD346">
        <v>13</v>
      </c>
      <c r="ME346">
        <v>1003</v>
      </c>
      <c r="MF346">
        <v>4180</v>
      </c>
      <c r="MG346">
        <v>539</v>
      </c>
      <c r="MH346">
        <v>200</v>
      </c>
      <c r="MI346">
        <v>130</v>
      </c>
      <c r="MJ346">
        <v>70</v>
      </c>
      <c r="MK346">
        <v>278</v>
      </c>
      <c r="ML346">
        <v>199</v>
      </c>
      <c r="MM346">
        <v>204</v>
      </c>
      <c r="MN346">
        <v>124</v>
      </c>
      <c r="MO346">
        <v>104</v>
      </c>
      <c r="MP346">
        <v>66</v>
      </c>
      <c r="MQ346">
        <v>628</v>
      </c>
      <c r="MR346">
        <v>105</v>
      </c>
      <c r="MS346">
        <v>1024</v>
      </c>
      <c r="MT346">
        <v>124</v>
      </c>
      <c r="MU346">
        <v>68</v>
      </c>
      <c r="MV346">
        <v>263</v>
      </c>
      <c r="MW346">
        <v>123</v>
      </c>
      <c r="MX346">
        <v>91</v>
      </c>
      <c r="MY346">
        <v>36</v>
      </c>
      <c r="MZ346">
        <v>2300</v>
      </c>
      <c r="NA346">
        <v>351</v>
      </c>
      <c r="NB346">
        <v>38</v>
      </c>
      <c r="NC346">
        <v>235</v>
      </c>
      <c r="ND346">
        <v>130</v>
      </c>
      <c r="NE346">
        <v>426</v>
      </c>
      <c r="NF346">
        <v>4</v>
      </c>
      <c r="NG346">
        <v>64</v>
      </c>
      <c r="NH346">
        <v>9</v>
      </c>
      <c r="NI346">
        <v>173</v>
      </c>
      <c r="NJ346">
        <v>3</v>
      </c>
      <c r="NK346">
        <v>7</v>
      </c>
      <c r="NL346">
        <v>154</v>
      </c>
      <c r="NM346">
        <v>91</v>
      </c>
      <c r="NN346">
        <v>67</v>
      </c>
      <c r="NO346">
        <v>161</v>
      </c>
      <c r="NP346">
        <v>682</v>
      </c>
      <c r="NQ346">
        <v>114</v>
      </c>
      <c r="NR346">
        <v>46</v>
      </c>
      <c r="NS346">
        <v>23</v>
      </c>
      <c r="NT346">
        <v>51</v>
      </c>
      <c r="NU346">
        <v>8</v>
      </c>
      <c r="NV346">
        <v>48</v>
      </c>
      <c r="NX346">
        <v>23</v>
      </c>
      <c r="NY346">
        <v>46</v>
      </c>
      <c r="NZ346">
        <v>937</v>
      </c>
      <c r="OA346">
        <v>41</v>
      </c>
      <c r="OB346">
        <v>26</v>
      </c>
      <c r="OD346">
        <v>0</v>
      </c>
      <c r="OE346">
        <v>305</v>
      </c>
      <c r="OF346">
        <v>14</v>
      </c>
      <c r="OG346">
        <v>83</v>
      </c>
      <c r="OI346">
        <v>1424</v>
      </c>
      <c r="OJ346">
        <v>358</v>
      </c>
      <c r="OK346">
        <v>1035</v>
      </c>
      <c r="OL346">
        <v>6</v>
      </c>
      <c r="OM346">
        <v>81</v>
      </c>
      <c r="ON346">
        <v>426</v>
      </c>
      <c r="OO346">
        <v>86802</v>
      </c>
      <c r="OV346">
        <v>4776</v>
      </c>
      <c r="PI346">
        <v>91578</v>
      </c>
      <c r="PM346" t="str">
        <f>IFERROR(VLOOKUP($A346&amp;"",Key!$A:$C,3,FALSE),"")</f>
        <v>ISIC 69T75</v>
      </c>
    </row>
    <row r="347" spans="1:429" x14ac:dyDescent="0.25">
      <c r="A347">
        <v>550000</v>
      </c>
      <c r="B347" t="s">
        <v>482</v>
      </c>
      <c r="P347">
        <v>13607</v>
      </c>
      <c r="Q347">
        <v>1804</v>
      </c>
      <c r="R347">
        <v>324</v>
      </c>
      <c r="S347">
        <v>637</v>
      </c>
      <c r="T347">
        <v>1146</v>
      </c>
      <c r="U347">
        <v>1086</v>
      </c>
      <c r="V347">
        <v>2000</v>
      </c>
      <c r="W347">
        <v>2734</v>
      </c>
      <c r="X347">
        <v>60</v>
      </c>
      <c r="Y347">
        <v>2</v>
      </c>
      <c r="Z347">
        <v>0</v>
      </c>
      <c r="AA347">
        <v>175</v>
      </c>
      <c r="AB347">
        <v>484</v>
      </c>
      <c r="AC347">
        <v>0</v>
      </c>
      <c r="AE347">
        <v>750</v>
      </c>
      <c r="AF347">
        <v>1077</v>
      </c>
      <c r="AG347">
        <v>2337</v>
      </c>
      <c r="AH347">
        <v>174</v>
      </c>
      <c r="AI347">
        <v>622</v>
      </c>
      <c r="AJ347">
        <v>1329</v>
      </c>
      <c r="AK347">
        <v>1791</v>
      </c>
      <c r="AL347">
        <v>842</v>
      </c>
      <c r="AM347">
        <v>73</v>
      </c>
      <c r="AN347">
        <v>100</v>
      </c>
      <c r="AO347">
        <v>103</v>
      </c>
      <c r="AP347">
        <v>77</v>
      </c>
      <c r="AQ347">
        <v>312</v>
      </c>
      <c r="AR347">
        <v>667</v>
      </c>
      <c r="AS347">
        <v>96</v>
      </c>
      <c r="AT347">
        <v>377</v>
      </c>
      <c r="AU347">
        <v>151</v>
      </c>
      <c r="AV347">
        <v>233</v>
      </c>
      <c r="AW347">
        <v>88</v>
      </c>
      <c r="AX347">
        <v>75</v>
      </c>
      <c r="AY347">
        <v>78</v>
      </c>
      <c r="AZ347">
        <v>33</v>
      </c>
      <c r="BA347">
        <v>97</v>
      </c>
      <c r="BB347">
        <v>39</v>
      </c>
      <c r="BC347">
        <v>136</v>
      </c>
      <c r="BD347">
        <v>114</v>
      </c>
      <c r="BE347">
        <v>17</v>
      </c>
      <c r="BF347">
        <v>68</v>
      </c>
      <c r="BG347">
        <v>113</v>
      </c>
      <c r="BH347">
        <v>37</v>
      </c>
      <c r="BI347">
        <v>81</v>
      </c>
      <c r="BJ347">
        <v>47</v>
      </c>
      <c r="BK347">
        <v>202</v>
      </c>
      <c r="BL347">
        <v>241</v>
      </c>
      <c r="BM347">
        <v>58</v>
      </c>
      <c r="BN347">
        <v>110</v>
      </c>
      <c r="BO347">
        <v>82</v>
      </c>
      <c r="BP347">
        <v>268</v>
      </c>
      <c r="BQ347">
        <v>553</v>
      </c>
      <c r="BR347">
        <v>594</v>
      </c>
      <c r="BS347">
        <v>68</v>
      </c>
      <c r="BT347">
        <v>76</v>
      </c>
      <c r="BU347">
        <v>73</v>
      </c>
      <c r="BV347">
        <v>224</v>
      </c>
      <c r="BW347">
        <v>150</v>
      </c>
      <c r="BX347">
        <v>686</v>
      </c>
      <c r="BY347">
        <v>483</v>
      </c>
      <c r="BZ347">
        <v>347</v>
      </c>
      <c r="CA347">
        <v>89</v>
      </c>
      <c r="CB347">
        <v>301</v>
      </c>
      <c r="CC347">
        <v>91</v>
      </c>
      <c r="CD347">
        <v>60</v>
      </c>
      <c r="CE347">
        <v>87</v>
      </c>
      <c r="CF347">
        <v>227</v>
      </c>
      <c r="CG347">
        <v>519</v>
      </c>
      <c r="CH347">
        <v>124</v>
      </c>
      <c r="CI347">
        <v>1089</v>
      </c>
      <c r="CJ347">
        <v>468</v>
      </c>
      <c r="CK347">
        <v>311</v>
      </c>
      <c r="CL347">
        <v>2159</v>
      </c>
      <c r="CM347">
        <v>216</v>
      </c>
      <c r="CN347">
        <v>140</v>
      </c>
      <c r="CO347">
        <v>979</v>
      </c>
      <c r="CP347">
        <v>245</v>
      </c>
      <c r="CQ347">
        <v>1366</v>
      </c>
      <c r="CR347">
        <v>280</v>
      </c>
      <c r="CS347">
        <v>471</v>
      </c>
      <c r="CT347">
        <v>566</v>
      </c>
      <c r="CU347">
        <v>367</v>
      </c>
      <c r="CV347">
        <v>817</v>
      </c>
      <c r="CW347">
        <v>287</v>
      </c>
      <c r="CX347">
        <v>142</v>
      </c>
      <c r="CY347">
        <v>200</v>
      </c>
      <c r="CZ347">
        <v>711</v>
      </c>
      <c r="DA347">
        <v>235</v>
      </c>
      <c r="DB347">
        <v>642</v>
      </c>
      <c r="DC347">
        <v>884</v>
      </c>
      <c r="DD347">
        <v>134</v>
      </c>
      <c r="DE347">
        <v>359</v>
      </c>
      <c r="DF347">
        <v>140</v>
      </c>
      <c r="DG347">
        <v>1177</v>
      </c>
      <c r="DH347">
        <v>434</v>
      </c>
      <c r="DI347">
        <v>530</v>
      </c>
      <c r="DJ347">
        <v>145</v>
      </c>
      <c r="DK347">
        <v>269</v>
      </c>
      <c r="DL347">
        <v>134</v>
      </c>
      <c r="DM347">
        <v>181</v>
      </c>
      <c r="DN347">
        <v>61</v>
      </c>
      <c r="DO347">
        <v>900</v>
      </c>
      <c r="DP347">
        <v>268</v>
      </c>
      <c r="DQ347">
        <v>533</v>
      </c>
      <c r="DR347">
        <v>549</v>
      </c>
      <c r="DS347">
        <v>832</v>
      </c>
      <c r="DT347">
        <v>61</v>
      </c>
      <c r="DU347">
        <v>137</v>
      </c>
      <c r="DV347">
        <v>99</v>
      </c>
      <c r="DW347">
        <v>86</v>
      </c>
      <c r="DX347">
        <v>217</v>
      </c>
      <c r="DY347">
        <v>82</v>
      </c>
      <c r="DZ347">
        <v>168</v>
      </c>
      <c r="EA347">
        <v>136</v>
      </c>
      <c r="EB347">
        <v>168</v>
      </c>
      <c r="EC347">
        <v>56</v>
      </c>
      <c r="ED347">
        <v>231</v>
      </c>
      <c r="EE347">
        <v>79</v>
      </c>
      <c r="EF347">
        <v>348</v>
      </c>
      <c r="EG347">
        <v>96</v>
      </c>
      <c r="EH347">
        <v>224</v>
      </c>
      <c r="EI347">
        <v>242</v>
      </c>
      <c r="EJ347">
        <v>265</v>
      </c>
      <c r="EK347">
        <v>95</v>
      </c>
      <c r="EL347">
        <v>5</v>
      </c>
      <c r="EM347">
        <v>190</v>
      </c>
      <c r="EN347">
        <v>116</v>
      </c>
      <c r="EO347">
        <v>30</v>
      </c>
      <c r="EP347">
        <v>251</v>
      </c>
      <c r="EQ347">
        <v>205</v>
      </c>
      <c r="ER347">
        <v>1161</v>
      </c>
      <c r="ES347">
        <v>117</v>
      </c>
      <c r="ET347">
        <v>277</v>
      </c>
      <c r="EU347">
        <v>106</v>
      </c>
      <c r="EV347">
        <v>10</v>
      </c>
      <c r="EW347">
        <v>84</v>
      </c>
      <c r="EX347">
        <v>978</v>
      </c>
      <c r="EY347">
        <v>742</v>
      </c>
      <c r="EZ347">
        <v>833</v>
      </c>
      <c r="FA347">
        <v>625</v>
      </c>
      <c r="FB347">
        <v>829</v>
      </c>
      <c r="FC347">
        <v>737</v>
      </c>
      <c r="FD347">
        <v>664</v>
      </c>
      <c r="FE347">
        <v>1086</v>
      </c>
      <c r="FF347">
        <v>1538</v>
      </c>
      <c r="FG347">
        <v>638</v>
      </c>
      <c r="FH347">
        <v>986</v>
      </c>
      <c r="FI347">
        <v>263</v>
      </c>
      <c r="FJ347">
        <v>218</v>
      </c>
      <c r="FK347">
        <v>146</v>
      </c>
      <c r="FL347">
        <v>274</v>
      </c>
      <c r="FM347">
        <v>171</v>
      </c>
      <c r="FN347">
        <v>60</v>
      </c>
      <c r="FO347">
        <v>86</v>
      </c>
      <c r="FP347">
        <v>69</v>
      </c>
      <c r="FQ347">
        <v>71</v>
      </c>
      <c r="FR347">
        <v>68</v>
      </c>
      <c r="FS347">
        <v>48</v>
      </c>
      <c r="FT347">
        <v>0</v>
      </c>
      <c r="FU347">
        <v>62</v>
      </c>
      <c r="FV347">
        <v>107</v>
      </c>
      <c r="FW347">
        <v>56</v>
      </c>
      <c r="FX347">
        <v>529</v>
      </c>
      <c r="FY347">
        <v>668</v>
      </c>
      <c r="FZ347">
        <v>136</v>
      </c>
      <c r="GA347">
        <v>106</v>
      </c>
      <c r="GB347">
        <v>201</v>
      </c>
      <c r="GC347">
        <v>222</v>
      </c>
      <c r="GD347">
        <v>386</v>
      </c>
      <c r="GE347">
        <v>56</v>
      </c>
      <c r="GF347">
        <v>107</v>
      </c>
      <c r="GG347">
        <v>606</v>
      </c>
      <c r="GH347">
        <v>997</v>
      </c>
      <c r="GI347">
        <v>362</v>
      </c>
      <c r="GJ347">
        <v>319</v>
      </c>
      <c r="GK347">
        <v>149</v>
      </c>
      <c r="GL347">
        <v>69</v>
      </c>
      <c r="GM347">
        <v>25</v>
      </c>
      <c r="GN347">
        <v>39</v>
      </c>
      <c r="GO347">
        <v>264</v>
      </c>
      <c r="GP347">
        <v>1146</v>
      </c>
      <c r="GQ347">
        <v>1006</v>
      </c>
      <c r="GR347">
        <v>1416</v>
      </c>
      <c r="GS347">
        <v>420</v>
      </c>
      <c r="GT347">
        <v>296</v>
      </c>
      <c r="GU347">
        <v>910</v>
      </c>
      <c r="GV347">
        <v>337</v>
      </c>
      <c r="GW347">
        <v>1622</v>
      </c>
      <c r="GX347">
        <v>1975</v>
      </c>
      <c r="GY347">
        <v>384</v>
      </c>
      <c r="GZ347">
        <v>4372</v>
      </c>
      <c r="HA347">
        <v>1289</v>
      </c>
      <c r="HB347">
        <v>901</v>
      </c>
      <c r="HC347">
        <v>204</v>
      </c>
      <c r="HD347">
        <v>89</v>
      </c>
      <c r="HE347">
        <v>577</v>
      </c>
      <c r="HF347">
        <v>871</v>
      </c>
      <c r="HG347">
        <v>680</v>
      </c>
      <c r="HH347">
        <v>493</v>
      </c>
      <c r="HI347">
        <v>170</v>
      </c>
      <c r="HJ347">
        <v>124</v>
      </c>
      <c r="HK347">
        <v>1944</v>
      </c>
      <c r="HL347">
        <v>56</v>
      </c>
      <c r="HM347">
        <v>327</v>
      </c>
      <c r="HN347">
        <v>222</v>
      </c>
      <c r="HO347">
        <v>7</v>
      </c>
      <c r="HP347">
        <v>27</v>
      </c>
      <c r="HQ347">
        <v>26</v>
      </c>
      <c r="HR347">
        <v>192</v>
      </c>
      <c r="HS347">
        <v>15</v>
      </c>
      <c r="HT347">
        <v>59</v>
      </c>
      <c r="HU347">
        <v>696</v>
      </c>
      <c r="HV347">
        <v>311</v>
      </c>
      <c r="HW347">
        <v>553</v>
      </c>
      <c r="HX347">
        <v>295</v>
      </c>
      <c r="HY347">
        <v>193</v>
      </c>
      <c r="HZ347">
        <v>102</v>
      </c>
      <c r="IA347">
        <v>138</v>
      </c>
      <c r="IB347">
        <v>437</v>
      </c>
      <c r="IC347">
        <v>40</v>
      </c>
      <c r="ID347">
        <v>2626</v>
      </c>
      <c r="IE347">
        <v>475</v>
      </c>
      <c r="IF347">
        <v>216</v>
      </c>
      <c r="IG347">
        <v>284</v>
      </c>
      <c r="IH347">
        <v>349</v>
      </c>
      <c r="II347">
        <v>643</v>
      </c>
      <c r="IJ347">
        <v>397</v>
      </c>
      <c r="IK347">
        <v>344</v>
      </c>
      <c r="IL347">
        <v>1238</v>
      </c>
      <c r="IM347">
        <v>1945</v>
      </c>
      <c r="IN347">
        <v>799</v>
      </c>
      <c r="IO347">
        <v>427</v>
      </c>
      <c r="IP347">
        <v>6509</v>
      </c>
      <c r="IQ347">
        <v>453</v>
      </c>
      <c r="IR347">
        <v>262</v>
      </c>
      <c r="IS347">
        <v>332</v>
      </c>
      <c r="IT347">
        <v>513</v>
      </c>
      <c r="IU347">
        <v>1036</v>
      </c>
      <c r="IV347">
        <v>470</v>
      </c>
      <c r="IW347">
        <v>1172</v>
      </c>
      <c r="IX347">
        <v>2081</v>
      </c>
      <c r="IY347">
        <v>335</v>
      </c>
      <c r="IZ347">
        <v>2449</v>
      </c>
      <c r="JA347">
        <v>223</v>
      </c>
      <c r="JB347">
        <v>123</v>
      </c>
      <c r="JC347">
        <v>32</v>
      </c>
      <c r="JD347">
        <v>54</v>
      </c>
      <c r="JE347">
        <v>50</v>
      </c>
      <c r="JF347">
        <v>54</v>
      </c>
      <c r="JG347">
        <v>834</v>
      </c>
      <c r="JH347">
        <v>198</v>
      </c>
      <c r="JI347">
        <v>43</v>
      </c>
      <c r="JJ347">
        <v>174</v>
      </c>
      <c r="JK347">
        <v>6256</v>
      </c>
      <c r="JL347">
        <v>11194</v>
      </c>
      <c r="JM347">
        <v>16460</v>
      </c>
      <c r="JN347">
        <v>4716</v>
      </c>
      <c r="JO347">
        <v>10827</v>
      </c>
      <c r="JP347">
        <v>10799</v>
      </c>
      <c r="JQ347">
        <v>9458</v>
      </c>
      <c r="JR347">
        <v>3313</v>
      </c>
      <c r="JS347">
        <v>13954</v>
      </c>
      <c r="JT347">
        <v>1114</v>
      </c>
      <c r="JV347">
        <v>1930</v>
      </c>
      <c r="JW347">
        <v>4364</v>
      </c>
      <c r="JX347">
        <v>11001</v>
      </c>
      <c r="JY347">
        <v>302</v>
      </c>
      <c r="JZ347">
        <v>261</v>
      </c>
      <c r="KA347">
        <v>147</v>
      </c>
      <c r="KB347">
        <v>18304</v>
      </c>
      <c r="KC347">
        <v>2168</v>
      </c>
      <c r="KD347">
        <v>5102</v>
      </c>
      <c r="KE347">
        <v>3077</v>
      </c>
      <c r="KF347">
        <v>7</v>
      </c>
      <c r="KG347">
        <v>1539</v>
      </c>
      <c r="KH347">
        <v>4373</v>
      </c>
      <c r="KI347">
        <v>150</v>
      </c>
      <c r="KJ347">
        <v>2</v>
      </c>
      <c r="KK347">
        <v>3395</v>
      </c>
      <c r="KL347">
        <v>2902</v>
      </c>
      <c r="KM347">
        <v>1672</v>
      </c>
      <c r="KN347">
        <v>456</v>
      </c>
      <c r="KO347">
        <v>280</v>
      </c>
      <c r="KP347">
        <v>924</v>
      </c>
      <c r="KQ347">
        <v>138</v>
      </c>
      <c r="KR347">
        <v>2316</v>
      </c>
      <c r="KS347">
        <v>255</v>
      </c>
      <c r="KT347">
        <v>38</v>
      </c>
      <c r="KU347">
        <v>1025</v>
      </c>
      <c r="KV347">
        <v>748</v>
      </c>
      <c r="KW347">
        <v>1257</v>
      </c>
      <c r="KX347">
        <v>297</v>
      </c>
      <c r="KY347">
        <v>83</v>
      </c>
      <c r="KZ347">
        <v>2517</v>
      </c>
      <c r="LA347">
        <v>140</v>
      </c>
      <c r="LB347">
        <v>36</v>
      </c>
      <c r="LC347">
        <v>2890</v>
      </c>
      <c r="LD347">
        <v>6591</v>
      </c>
      <c r="LE347">
        <v>10450</v>
      </c>
      <c r="LF347">
        <v>200</v>
      </c>
      <c r="LG347">
        <v>707</v>
      </c>
      <c r="LH347">
        <v>4682</v>
      </c>
      <c r="LI347">
        <v>1253</v>
      </c>
      <c r="LJ347">
        <v>1316</v>
      </c>
      <c r="LL347">
        <v>88</v>
      </c>
      <c r="LM347">
        <v>7069</v>
      </c>
      <c r="LN347">
        <v>2788</v>
      </c>
      <c r="LO347">
        <v>3250</v>
      </c>
      <c r="LP347">
        <v>2038</v>
      </c>
      <c r="LQ347">
        <v>1227</v>
      </c>
      <c r="LR347">
        <v>5228</v>
      </c>
      <c r="LS347">
        <v>1513</v>
      </c>
      <c r="LT347">
        <v>2221</v>
      </c>
      <c r="LU347">
        <v>966</v>
      </c>
      <c r="LV347">
        <v>2691</v>
      </c>
      <c r="LW347">
        <v>4280</v>
      </c>
      <c r="LX347">
        <v>2260</v>
      </c>
      <c r="LY347">
        <v>721</v>
      </c>
      <c r="LZ347">
        <v>2020</v>
      </c>
      <c r="MA347">
        <v>945</v>
      </c>
      <c r="MB347">
        <v>359</v>
      </c>
      <c r="MC347">
        <v>125</v>
      </c>
      <c r="MD347">
        <v>331</v>
      </c>
      <c r="ME347">
        <v>1408</v>
      </c>
      <c r="MF347">
        <v>53</v>
      </c>
      <c r="MG347">
        <v>12618</v>
      </c>
      <c r="MH347">
        <v>2754</v>
      </c>
      <c r="MI347">
        <v>2153</v>
      </c>
      <c r="MJ347">
        <v>405</v>
      </c>
      <c r="MK347">
        <v>1317</v>
      </c>
      <c r="ML347">
        <v>1395</v>
      </c>
      <c r="MM347">
        <v>1193</v>
      </c>
      <c r="MN347">
        <v>861</v>
      </c>
      <c r="MO347">
        <v>3018</v>
      </c>
      <c r="MP347">
        <v>89</v>
      </c>
      <c r="MQ347">
        <v>3835</v>
      </c>
      <c r="MR347">
        <v>3515</v>
      </c>
      <c r="MS347">
        <v>34737</v>
      </c>
      <c r="MT347">
        <v>3743</v>
      </c>
      <c r="MU347">
        <v>1311</v>
      </c>
      <c r="MV347">
        <v>6306</v>
      </c>
      <c r="MW347">
        <v>1281</v>
      </c>
      <c r="MX347">
        <v>2137</v>
      </c>
      <c r="MY347">
        <v>1880</v>
      </c>
      <c r="MZ347">
        <v>10607</v>
      </c>
      <c r="NA347">
        <v>5039</v>
      </c>
      <c r="NB347">
        <v>1366</v>
      </c>
      <c r="NC347">
        <v>2529</v>
      </c>
      <c r="ND347">
        <v>1313</v>
      </c>
      <c r="NE347">
        <v>1077</v>
      </c>
      <c r="NF347">
        <v>979</v>
      </c>
      <c r="NG347">
        <v>194</v>
      </c>
      <c r="NH347">
        <v>928</v>
      </c>
      <c r="NI347">
        <v>356</v>
      </c>
      <c r="NJ347">
        <v>28</v>
      </c>
      <c r="NK347">
        <v>179</v>
      </c>
      <c r="NL347">
        <v>640</v>
      </c>
      <c r="NM347">
        <v>1264</v>
      </c>
      <c r="NN347">
        <v>19069</v>
      </c>
      <c r="NO347">
        <v>20750</v>
      </c>
      <c r="NP347">
        <v>15541</v>
      </c>
      <c r="NQ347">
        <v>9435</v>
      </c>
      <c r="NR347">
        <v>2139</v>
      </c>
      <c r="NS347">
        <v>469</v>
      </c>
      <c r="NT347">
        <v>685</v>
      </c>
      <c r="NU347">
        <v>735</v>
      </c>
      <c r="NV347">
        <v>1691</v>
      </c>
      <c r="NW347">
        <v>52</v>
      </c>
      <c r="NX347">
        <v>509</v>
      </c>
      <c r="NY347">
        <v>1260</v>
      </c>
      <c r="OD347">
        <v>0</v>
      </c>
      <c r="OH347">
        <v>81</v>
      </c>
      <c r="OK347">
        <v>4</v>
      </c>
      <c r="OO347">
        <v>547574</v>
      </c>
      <c r="OV347">
        <v>4296</v>
      </c>
      <c r="PI347">
        <v>551870</v>
      </c>
      <c r="PM347" t="str">
        <f>IFERROR(VLOOKUP($A347&amp;"",Key!$A:$C,3,FALSE),"")</f>
        <v>ISIC 69T75</v>
      </c>
    </row>
    <row r="348" spans="1:429" x14ac:dyDescent="0.25">
      <c r="A348">
        <v>561300</v>
      </c>
      <c r="B348" t="s">
        <v>483</v>
      </c>
      <c r="C348">
        <v>1</v>
      </c>
      <c r="H348">
        <v>1</v>
      </c>
      <c r="I348">
        <v>3</v>
      </c>
      <c r="L348">
        <v>13</v>
      </c>
      <c r="O348">
        <v>4</v>
      </c>
      <c r="P348">
        <v>31</v>
      </c>
      <c r="Q348">
        <v>8</v>
      </c>
      <c r="R348">
        <v>1</v>
      </c>
      <c r="S348">
        <v>1</v>
      </c>
      <c r="T348">
        <v>2</v>
      </c>
      <c r="U348">
        <v>0</v>
      </c>
      <c r="V348">
        <v>9</v>
      </c>
      <c r="W348">
        <v>915</v>
      </c>
      <c r="X348">
        <v>10492</v>
      </c>
      <c r="Y348">
        <v>1837</v>
      </c>
      <c r="Z348">
        <v>88</v>
      </c>
      <c r="AA348">
        <v>123</v>
      </c>
      <c r="AB348">
        <v>17</v>
      </c>
      <c r="AC348">
        <v>394</v>
      </c>
      <c r="AD348">
        <v>92</v>
      </c>
      <c r="AE348">
        <v>51</v>
      </c>
      <c r="AF348">
        <v>297</v>
      </c>
      <c r="AG348">
        <v>1148</v>
      </c>
      <c r="AH348">
        <v>240</v>
      </c>
      <c r="AI348">
        <v>185</v>
      </c>
      <c r="AJ348">
        <v>284</v>
      </c>
      <c r="AK348">
        <v>566</v>
      </c>
      <c r="AL348">
        <v>264</v>
      </c>
      <c r="AM348">
        <v>4</v>
      </c>
      <c r="AN348">
        <v>0</v>
      </c>
      <c r="AO348">
        <v>6</v>
      </c>
      <c r="AP348">
        <v>49</v>
      </c>
      <c r="AQ348">
        <v>12</v>
      </c>
      <c r="AR348">
        <v>73</v>
      </c>
      <c r="AS348">
        <v>78</v>
      </c>
      <c r="AT348">
        <v>6</v>
      </c>
      <c r="AU348">
        <v>1</v>
      </c>
      <c r="AV348">
        <v>95</v>
      </c>
      <c r="AW348">
        <v>45</v>
      </c>
      <c r="AX348">
        <v>2</v>
      </c>
      <c r="AY348">
        <v>64</v>
      </c>
      <c r="AZ348">
        <v>0</v>
      </c>
      <c r="BA348">
        <v>13</v>
      </c>
      <c r="BB348">
        <v>0</v>
      </c>
      <c r="BC348">
        <v>467</v>
      </c>
      <c r="BD348">
        <v>95</v>
      </c>
      <c r="BE348">
        <v>10</v>
      </c>
      <c r="BF348">
        <v>4</v>
      </c>
      <c r="BG348">
        <v>210</v>
      </c>
      <c r="BH348">
        <v>33</v>
      </c>
      <c r="BI348">
        <v>37</v>
      </c>
      <c r="BJ348">
        <v>148</v>
      </c>
      <c r="BK348">
        <v>206</v>
      </c>
      <c r="BL348">
        <v>219</v>
      </c>
      <c r="BM348">
        <v>21</v>
      </c>
      <c r="BN348">
        <v>445</v>
      </c>
      <c r="BO348">
        <v>3</v>
      </c>
      <c r="BP348">
        <v>89</v>
      </c>
      <c r="BQ348">
        <v>1233</v>
      </c>
      <c r="BR348">
        <v>479</v>
      </c>
      <c r="BS348">
        <v>61</v>
      </c>
      <c r="BT348">
        <v>81</v>
      </c>
      <c r="BU348">
        <v>4</v>
      </c>
      <c r="BV348">
        <v>71</v>
      </c>
      <c r="BW348">
        <v>39</v>
      </c>
      <c r="BX348">
        <v>865</v>
      </c>
      <c r="BY348">
        <v>243</v>
      </c>
      <c r="BZ348">
        <v>7</v>
      </c>
      <c r="CA348">
        <v>16</v>
      </c>
      <c r="CB348">
        <v>234</v>
      </c>
      <c r="CC348">
        <v>64</v>
      </c>
      <c r="CD348">
        <v>18</v>
      </c>
      <c r="CE348">
        <v>95</v>
      </c>
      <c r="CF348">
        <v>42</v>
      </c>
      <c r="CG348">
        <v>65</v>
      </c>
      <c r="CH348">
        <v>9</v>
      </c>
      <c r="CI348">
        <v>138</v>
      </c>
      <c r="CJ348">
        <v>273</v>
      </c>
      <c r="CK348">
        <v>32</v>
      </c>
      <c r="CL348">
        <v>130</v>
      </c>
      <c r="CM348">
        <v>22</v>
      </c>
      <c r="CN348">
        <v>13</v>
      </c>
      <c r="CO348">
        <v>29</v>
      </c>
      <c r="CP348">
        <v>2</v>
      </c>
      <c r="CQ348">
        <v>93</v>
      </c>
      <c r="CR348">
        <v>13</v>
      </c>
      <c r="CS348">
        <v>10</v>
      </c>
      <c r="CT348">
        <v>26</v>
      </c>
      <c r="CU348">
        <v>17</v>
      </c>
      <c r="CV348">
        <v>49</v>
      </c>
      <c r="CW348">
        <v>61</v>
      </c>
      <c r="CX348">
        <v>41</v>
      </c>
      <c r="CY348">
        <v>34</v>
      </c>
      <c r="CZ348">
        <v>19</v>
      </c>
      <c r="DA348">
        <v>19</v>
      </c>
      <c r="DB348">
        <v>6</v>
      </c>
      <c r="DC348">
        <v>199</v>
      </c>
      <c r="DD348">
        <v>31</v>
      </c>
      <c r="DE348">
        <v>2</v>
      </c>
      <c r="DF348">
        <v>7</v>
      </c>
      <c r="DG348">
        <v>51</v>
      </c>
      <c r="DH348">
        <v>102</v>
      </c>
      <c r="DI348">
        <v>409</v>
      </c>
      <c r="DJ348">
        <v>30</v>
      </c>
      <c r="DK348">
        <v>46</v>
      </c>
      <c r="DL348">
        <v>55</v>
      </c>
      <c r="DM348">
        <v>225</v>
      </c>
      <c r="DN348">
        <v>32</v>
      </c>
      <c r="DO348">
        <v>409</v>
      </c>
      <c r="DP348">
        <v>34</v>
      </c>
      <c r="DQ348">
        <v>164</v>
      </c>
      <c r="DR348">
        <v>31</v>
      </c>
      <c r="DS348">
        <v>397</v>
      </c>
      <c r="DT348">
        <v>6</v>
      </c>
      <c r="DU348">
        <v>20</v>
      </c>
      <c r="DV348">
        <v>22</v>
      </c>
      <c r="DW348">
        <v>27</v>
      </c>
      <c r="DX348">
        <v>29</v>
      </c>
      <c r="DY348">
        <v>8</v>
      </c>
      <c r="DZ348">
        <v>25</v>
      </c>
      <c r="EA348">
        <v>6</v>
      </c>
      <c r="EB348">
        <v>6</v>
      </c>
      <c r="EC348">
        <v>1</v>
      </c>
      <c r="ED348">
        <v>34</v>
      </c>
      <c r="EE348">
        <v>12</v>
      </c>
      <c r="EF348">
        <v>13</v>
      </c>
      <c r="EG348">
        <v>8</v>
      </c>
      <c r="EH348">
        <v>5</v>
      </c>
      <c r="EI348">
        <v>7</v>
      </c>
      <c r="EJ348">
        <v>9</v>
      </c>
      <c r="EK348">
        <v>2</v>
      </c>
      <c r="EL348">
        <v>3</v>
      </c>
      <c r="EM348">
        <v>24</v>
      </c>
      <c r="EN348">
        <v>38</v>
      </c>
      <c r="EO348">
        <v>20</v>
      </c>
      <c r="EP348">
        <v>7</v>
      </c>
      <c r="EQ348">
        <v>49</v>
      </c>
      <c r="ER348">
        <v>38</v>
      </c>
      <c r="ES348">
        <v>39</v>
      </c>
      <c r="ET348">
        <v>9</v>
      </c>
      <c r="EU348">
        <v>10</v>
      </c>
      <c r="EV348">
        <v>3</v>
      </c>
      <c r="EW348">
        <v>19</v>
      </c>
      <c r="EX348">
        <v>103</v>
      </c>
      <c r="EY348">
        <v>238</v>
      </c>
      <c r="EZ348">
        <v>56</v>
      </c>
      <c r="FA348">
        <v>167</v>
      </c>
      <c r="FB348">
        <v>111</v>
      </c>
      <c r="FC348">
        <v>540</v>
      </c>
      <c r="FD348">
        <v>85</v>
      </c>
      <c r="FE348">
        <v>2</v>
      </c>
      <c r="FF348">
        <v>1230</v>
      </c>
      <c r="FG348">
        <v>294</v>
      </c>
      <c r="FH348">
        <v>728</v>
      </c>
      <c r="FI348">
        <v>230</v>
      </c>
      <c r="FJ348">
        <v>2</v>
      </c>
      <c r="FK348">
        <v>1021</v>
      </c>
      <c r="FL348">
        <v>35</v>
      </c>
      <c r="FM348">
        <v>55</v>
      </c>
      <c r="FN348">
        <v>50</v>
      </c>
      <c r="FO348">
        <v>58</v>
      </c>
      <c r="FP348">
        <v>4</v>
      </c>
      <c r="FQ348">
        <v>1</v>
      </c>
      <c r="FR348">
        <v>0</v>
      </c>
      <c r="FS348">
        <v>10</v>
      </c>
      <c r="FT348">
        <v>13</v>
      </c>
      <c r="FU348">
        <v>2</v>
      </c>
      <c r="FV348">
        <v>7</v>
      </c>
      <c r="FW348">
        <v>1</v>
      </c>
      <c r="FX348">
        <v>195</v>
      </c>
      <c r="FY348">
        <v>64</v>
      </c>
      <c r="FZ348">
        <v>8</v>
      </c>
      <c r="GA348">
        <v>67</v>
      </c>
      <c r="GB348">
        <v>80</v>
      </c>
      <c r="GC348">
        <v>103</v>
      </c>
      <c r="GD348">
        <v>22</v>
      </c>
      <c r="GE348">
        <v>14</v>
      </c>
      <c r="GF348">
        <v>4</v>
      </c>
      <c r="GG348">
        <v>7</v>
      </c>
      <c r="GH348">
        <v>127</v>
      </c>
      <c r="GI348">
        <v>54</v>
      </c>
      <c r="GJ348">
        <v>7</v>
      </c>
      <c r="GK348">
        <v>20</v>
      </c>
      <c r="GL348">
        <v>20</v>
      </c>
      <c r="GM348">
        <v>1</v>
      </c>
      <c r="GN348">
        <v>5</v>
      </c>
      <c r="GO348">
        <v>9</v>
      </c>
      <c r="GP348">
        <v>107</v>
      </c>
      <c r="GQ348">
        <v>6</v>
      </c>
      <c r="GR348">
        <v>6</v>
      </c>
      <c r="GS348">
        <v>116</v>
      </c>
      <c r="GT348">
        <v>4</v>
      </c>
      <c r="GU348">
        <v>120</v>
      </c>
      <c r="GV348">
        <v>1</v>
      </c>
      <c r="GW348">
        <v>149</v>
      </c>
      <c r="GX348">
        <v>33</v>
      </c>
      <c r="GY348">
        <v>3</v>
      </c>
      <c r="GZ348">
        <v>49</v>
      </c>
      <c r="HA348">
        <v>10</v>
      </c>
      <c r="HB348">
        <v>49</v>
      </c>
      <c r="HC348">
        <v>1</v>
      </c>
      <c r="HD348">
        <v>2</v>
      </c>
      <c r="HE348">
        <v>17</v>
      </c>
      <c r="HF348">
        <v>97</v>
      </c>
      <c r="HG348">
        <v>135</v>
      </c>
      <c r="HH348">
        <v>3</v>
      </c>
      <c r="HI348">
        <v>6</v>
      </c>
      <c r="HJ348">
        <v>1</v>
      </c>
      <c r="HK348">
        <v>247</v>
      </c>
      <c r="HL348">
        <v>1</v>
      </c>
      <c r="HM348">
        <v>40</v>
      </c>
      <c r="HN348">
        <v>15</v>
      </c>
      <c r="HO348">
        <v>1</v>
      </c>
      <c r="HP348">
        <v>7</v>
      </c>
      <c r="HQ348">
        <v>16</v>
      </c>
      <c r="HR348">
        <v>99</v>
      </c>
      <c r="HS348">
        <v>4</v>
      </c>
      <c r="HT348">
        <v>52</v>
      </c>
      <c r="HU348">
        <v>26</v>
      </c>
      <c r="HV348">
        <v>39</v>
      </c>
      <c r="HW348">
        <v>115</v>
      </c>
      <c r="HX348">
        <v>37</v>
      </c>
      <c r="HY348">
        <v>50</v>
      </c>
      <c r="HZ348">
        <v>6</v>
      </c>
      <c r="IA348">
        <v>4</v>
      </c>
      <c r="IB348">
        <v>1188</v>
      </c>
      <c r="IC348">
        <v>81</v>
      </c>
      <c r="ID348">
        <v>606</v>
      </c>
      <c r="IE348">
        <v>17</v>
      </c>
      <c r="IF348">
        <v>0</v>
      </c>
      <c r="IG348">
        <v>42</v>
      </c>
      <c r="IH348">
        <v>10</v>
      </c>
      <c r="II348">
        <v>33</v>
      </c>
      <c r="IJ348">
        <v>12</v>
      </c>
      <c r="IK348">
        <v>160</v>
      </c>
      <c r="IL348">
        <v>69</v>
      </c>
      <c r="IM348">
        <v>89</v>
      </c>
      <c r="IN348">
        <v>20</v>
      </c>
      <c r="IO348">
        <v>80</v>
      </c>
      <c r="IP348">
        <v>675</v>
      </c>
      <c r="IQ348">
        <v>83</v>
      </c>
      <c r="IR348">
        <v>137</v>
      </c>
      <c r="IS348">
        <v>159</v>
      </c>
      <c r="IT348">
        <v>6</v>
      </c>
      <c r="IU348">
        <v>8</v>
      </c>
      <c r="IV348">
        <v>17</v>
      </c>
      <c r="IW348">
        <v>26</v>
      </c>
      <c r="IX348">
        <v>97</v>
      </c>
      <c r="IY348">
        <v>1</v>
      </c>
      <c r="IZ348">
        <v>36</v>
      </c>
      <c r="JA348">
        <v>82</v>
      </c>
      <c r="JB348">
        <v>13</v>
      </c>
      <c r="JC348">
        <v>22</v>
      </c>
      <c r="JD348">
        <v>43</v>
      </c>
      <c r="JE348">
        <v>9</v>
      </c>
      <c r="JF348">
        <v>2</v>
      </c>
      <c r="JG348">
        <v>334</v>
      </c>
      <c r="JH348">
        <v>8</v>
      </c>
      <c r="JI348">
        <v>18</v>
      </c>
      <c r="JJ348">
        <v>46</v>
      </c>
      <c r="JK348">
        <v>1055</v>
      </c>
      <c r="JL348">
        <v>2925</v>
      </c>
      <c r="JM348">
        <v>4132</v>
      </c>
      <c r="JN348">
        <v>1975</v>
      </c>
      <c r="JO348">
        <v>4742</v>
      </c>
      <c r="JP348">
        <v>1095</v>
      </c>
      <c r="JQ348">
        <v>1703</v>
      </c>
      <c r="JR348">
        <v>107</v>
      </c>
      <c r="JS348">
        <v>3594</v>
      </c>
      <c r="JT348">
        <v>310</v>
      </c>
      <c r="JV348">
        <v>2801</v>
      </c>
      <c r="JW348">
        <v>547</v>
      </c>
      <c r="JX348">
        <v>307</v>
      </c>
      <c r="JY348">
        <v>979</v>
      </c>
      <c r="JZ348">
        <v>1016</v>
      </c>
      <c r="KA348">
        <v>454</v>
      </c>
      <c r="KB348">
        <v>646</v>
      </c>
      <c r="KC348">
        <v>3388</v>
      </c>
      <c r="KD348">
        <v>1370</v>
      </c>
      <c r="KE348">
        <v>394</v>
      </c>
      <c r="KF348">
        <v>15</v>
      </c>
      <c r="KG348">
        <v>334</v>
      </c>
      <c r="KH348">
        <v>7548</v>
      </c>
      <c r="KI348">
        <v>2200</v>
      </c>
      <c r="KJ348">
        <v>315</v>
      </c>
      <c r="KK348">
        <v>3033</v>
      </c>
      <c r="KL348">
        <v>1584</v>
      </c>
      <c r="KM348">
        <v>4276</v>
      </c>
      <c r="KN348">
        <v>220</v>
      </c>
      <c r="KO348">
        <v>314</v>
      </c>
      <c r="KP348">
        <v>798</v>
      </c>
      <c r="KQ348">
        <v>182</v>
      </c>
      <c r="KR348">
        <v>10936</v>
      </c>
      <c r="KS348">
        <v>821</v>
      </c>
      <c r="KT348">
        <v>58</v>
      </c>
      <c r="KU348">
        <v>908</v>
      </c>
      <c r="KV348">
        <v>569</v>
      </c>
      <c r="KW348">
        <v>21297</v>
      </c>
      <c r="KX348">
        <v>8655</v>
      </c>
      <c r="KY348">
        <v>437</v>
      </c>
      <c r="KZ348">
        <v>4308</v>
      </c>
      <c r="LA348">
        <v>7693</v>
      </c>
      <c r="LB348">
        <v>49</v>
      </c>
      <c r="LC348">
        <v>7362</v>
      </c>
      <c r="LD348">
        <v>6340</v>
      </c>
      <c r="LE348">
        <v>6512</v>
      </c>
      <c r="LF348">
        <v>1948</v>
      </c>
      <c r="LG348">
        <v>802</v>
      </c>
      <c r="LH348">
        <v>354</v>
      </c>
      <c r="LI348">
        <v>1985</v>
      </c>
      <c r="LJ348">
        <v>14</v>
      </c>
      <c r="LL348">
        <v>2</v>
      </c>
      <c r="LM348">
        <v>8567</v>
      </c>
      <c r="LN348">
        <v>617</v>
      </c>
      <c r="LO348">
        <v>947</v>
      </c>
      <c r="LP348">
        <v>329</v>
      </c>
      <c r="LQ348">
        <v>840</v>
      </c>
      <c r="LR348">
        <v>3904</v>
      </c>
      <c r="LS348">
        <v>13193</v>
      </c>
      <c r="LT348">
        <v>8265</v>
      </c>
      <c r="LU348">
        <v>1771</v>
      </c>
      <c r="LV348">
        <v>3165</v>
      </c>
      <c r="LW348">
        <v>7369</v>
      </c>
      <c r="LX348">
        <v>6884</v>
      </c>
      <c r="LY348">
        <v>2456</v>
      </c>
      <c r="LZ348">
        <v>4907</v>
      </c>
      <c r="MA348">
        <v>2340</v>
      </c>
      <c r="MB348">
        <v>817</v>
      </c>
      <c r="MC348">
        <v>248</v>
      </c>
      <c r="MD348">
        <v>8</v>
      </c>
      <c r="ME348">
        <v>2221</v>
      </c>
      <c r="MF348">
        <v>6602</v>
      </c>
      <c r="MG348">
        <v>35992</v>
      </c>
      <c r="MH348">
        <v>4329</v>
      </c>
      <c r="MI348">
        <v>1450</v>
      </c>
      <c r="MJ348">
        <v>1193</v>
      </c>
      <c r="MK348">
        <v>3546</v>
      </c>
      <c r="ML348">
        <v>1618</v>
      </c>
      <c r="MM348">
        <v>1164</v>
      </c>
      <c r="MN348">
        <v>1901</v>
      </c>
      <c r="MO348">
        <v>2999</v>
      </c>
      <c r="MP348">
        <v>6</v>
      </c>
      <c r="MQ348">
        <v>250</v>
      </c>
      <c r="MR348">
        <v>1792</v>
      </c>
      <c r="MS348">
        <v>7631</v>
      </c>
      <c r="MT348">
        <v>81</v>
      </c>
      <c r="MU348">
        <v>648</v>
      </c>
      <c r="MV348">
        <v>3347</v>
      </c>
      <c r="MW348">
        <v>424</v>
      </c>
      <c r="MX348">
        <v>2856</v>
      </c>
      <c r="MY348">
        <v>409</v>
      </c>
      <c r="MZ348">
        <v>23600</v>
      </c>
      <c r="NA348">
        <v>4819</v>
      </c>
      <c r="NB348">
        <v>497</v>
      </c>
      <c r="NC348">
        <v>840</v>
      </c>
      <c r="ND348">
        <v>274</v>
      </c>
      <c r="NE348">
        <v>233</v>
      </c>
      <c r="NF348">
        <v>331</v>
      </c>
      <c r="NG348">
        <v>188</v>
      </c>
      <c r="NH348">
        <v>595</v>
      </c>
      <c r="NI348">
        <v>1680</v>
      </c>
      <c r="NJ348">
        <v>166</v>
      </c>
      <c r="NK348">
        <v>288</v>
      </c>
      <c r="NL348">
        <v>251</v>
      </c>
      <c r="NM348">
        <v>823</v>
      </c>
      <c r="NN348">
        <v>1987</v>
      </c>
      <c r="NO348">
        <v>1607</v>
      </c>
      <c r="NP348">
        <v>1343</v>
      </c>
      <c r="NQ348">
        <v>1270</v>
      </c>
      <c r="NR348">
        <v>2044</v>
      </c>
      <c r="NS348">
        <v>913</v>
      </c>
      <c r="NT348">
        <v>1868</v>
      </c>
      <c r="NU348">
        <v>304</v>
      </c>
      <c r="NV348">
        <v>1547</v>
      </c>
      <c r="NW348">
        <v>26</v>
      </c>
      <c r="NX348">
        <v>171</v>
      </c>
      <c r="NY348">
        <v>990</v>
      </c>
      <c r="NZ348">
        <v>25</v>
      </c>
      <c r="OA348">
        <v>446</v>
      </c>
      <c r="OB348">
        <v>862</v>
      </c>
      <c r="OD348">
        <v>2314</v>
      </c>
      <c r="OE348">
        <v>19</v>
      </c>
      <c r="OF348">
        <v>33</v>
      </c>
      <c r="OG348">
        <v>15</v>
      </c>
      <c r="OH348">
        <v>91</v>
      </c>
      <c r="OI348">
        <v>1787</v>
      </c>
      <c r="OJ348">
        <v>670</v>
      </c>
      <c r="OK348">
        <v>5175</v>
      </c>
      <c r="OL348">
        <v>36</v>
      </c>
      <c r="OM348">
        <v>12</v>
      </c>
      <c r="ON348">
        <v>1551</v>
      </c>
      <c r="OO348">
        <v>382821</v>
      </c>
      <c r="OP348">
        <v>1879</v>
      </c>
      <c r="OV348">
        <v>975</v>
      </c>
      <c r="PI348">
        <v>385674</v>
      </c>
      <c r="PM348" t="str">
        <f>IFERROR(VLOOKUP($A348&amp;"",Key!$A:$C,3,FALSE),"")</f>
        <v>ISIC 77T82</v>
      </c>
    </row>
    <row r="349" spans="1:429" x14ac:dyDescent="0.25">
      <c r="A349">
        <v>561700</v>
      </c>
      <c r="B349" t="s">
        <v>484</v>
      </c>
      <c r="C349">
        <v>12</v>
      </c>
      <c r="D349">
        <v>136</v>
      </c>
      <c r="E349">
        <v>72</v>
      </c>
      <c r="F349">
        <v>58</v>
      </c>
      <c r="G349">
        <v>40</v>
      </c>
      <c r="H349">
        <v>51</v>
      </c>
      <c r="I349">
        <v>52</v>
      </c>
      <c r="J349">
        <v>43</v>
      </c>
      <c r="K349">
        <v>60</v>
      </c>
      <c r="L349">
        <v>21</v>
      </c>
      <c r="M349">
        <v>1</v>
      </c>
      <c r="N349">
        <v>4</v>
      </c>
      <c r="O349">
        <v>27</v>
      </c>
      <c r="P349">
        <v>190</v>
      </c>
      <c r="Q349">
        <v>175</v>
      </c>
      <c r="R349">
        <v>56</v>
      </c>
      <c r="S349">
        <v>101</v>
      </c>
      <c r="T349">
        <v>77</v>
      </c>
      <c r="U349">
        <v>124</v>
      </c>
      <c r="V349">
        <v>286</v>
      </c>
      <c r="W349">
        <v>499</v>
      </c>
      <c r="X349">
        <v>336</v>
      </c>
      <c r="Y349">
        <v>398</v>
      </c>
      <c r="Z349">
        <v>7</v>
      </c>
      <c r="AA349">
        <v>30</v>
      </c>
      <c r="AB349">
        <v>6</v>
      </c>
      <c r="AC349">
        <v>262</v>
      </c>
      <c r="AD349">
        <v>63</v>
      </c>
      <c r="AE349">
        <v>143</v>
      </c>
      <c r="AF349">
        <v>109</v>
      </c>
      <c r="AG349">
        <v>904</v>
      </c>
      <c r="AH349">
        <v>115</v>
      </c>
      <c r="AI349">
        <v>140</v>
      </c>
      <c r="AJ349">
        <v>118</v>
      </c>
      <c r="AK349">
        <v>271</v>
      </c>
      <c r="AL349">
        <v>200</v>
      </c>
      <c r="AM349">
        <v>170</v>
      </c>
      <c r="AN349">
        <v>89</v>
      </c>
      <c r="AO349">
        <v>68</v>
      </c>
      <c r="AP349">
        <v>69</v>
      </c>
      <c r="AQ349">
        <v>15</v>
      </c>
      <c r="AR349">
        <v>68</v>
      </c>
      <c r="AS349">
        <v>24</v>
      </c>
      <c r="AT349">
        <v>60</v>
      </c>
      <c r="AU349">
        <v>17</v>
      </c>
      <c r="AV349">
        <v>31</v>
      </c>
      <c r="AW349">
        <v>7</v>
      </c>
      <c r="AX349">
        <v>6</v>
      </c>
      <c r="AY349">
        <v>8</v>
      </c>
      <c r="AZ349">
        <v>6</v>
      </c>
      <c r="BA349">
        <v>11</v>
      </c>
      <c r="BB349">
        <v>8</v>
      </c>
      <c r="BC349">
        <v>152</v>
      </c>
      <c r="BD349">
        <v>38</v>
      </c>
      <c r="BE349">
        <v>7</v>
      </c>
      <c r="BF349">
        <v>2</v>
      </c>
      <c r="BG349">
        <v>32</v>
      </c>
      <c r="BH349">
        <v>13</v>
      </c>
      <c r="BI349">
        <v>18</v>
      </c>
      <c r="BJ349">
        <v>21</v>
      </c>
      <c r="BK349">
        <v>34</v>
      </c>
      <c r="BL349">
        <v>31</v>
      </c>
      <c r="BM349">
        <v>15</v>
      </c>
      <c r="BN349">
        <v>24</v>
      </c>
      <c r="BO349">
        <v>24</v>
      </c>
      <c r="BP349">
        <v>28</v>
      </c>
      <c r="BQ349">
        <v>72</v>
      </c>
      <c r="BR349">
        <v>59</v>
      </c>
      <c r="BS349">
        <v>11</v>
      </c>
      <c r="BT349">
        <v>11</v>
      </c>
      <c r="BU349">
        <v>9</v>
      </c>
      <c r="BV349">
        <v>17</v>
      </c>
      <c r="BW349">
        <v>20</v>
      </c>
      <c r="BX349">
        <v>84</v>
      </c>
      <c r="BY349">
        <v>89</v>
      </c>
      <c r="BZ349">
        <v>68</v>
      </c>
      <c r="CA349">
        <v>9</v>
      </c>
      <c r="CB349">
        <v>37</v>
      </c>
      <c r="CC349">
        <v>10</v>
      </c>
      <c r="CD349">
        <v>10</v>
      </c>
      <c r="CE349">
        <v>18</v>
      </c>
      <c r="CF349">
        <v>25</v>
      </c>
      <c r="CG349">
        <v>26</v>
      </c>
      <c r="CH349">
        <v>3</v>
      </c>
      <c r="CI349">
        <v>40</v>
      </c>
      <c r="CJ349">
        <v>28</v>
      </c>
      <c r="CK349">
        <v>6</v>
      </c>
      <c r="CL349">
        <v>45</v>
      </c>
      <c r="CM349">
        <v>8</v>
      </c>
      <c r="CN349">
        <v>1</v>
      </c>
      <c r="CO349">
        <v>29</v>
      </c>
      <c r="CP349">
        <v>5</v>
      </c>
      <c r="CQ349">
        <v>37</v>
      </c>
      <c r="CR349">
        <v>9</v>
      </c>
      <c r="CS349">
        <v>17</v>
      </c>
      <c r="CT349">
        <v>16</v>
      </c>
      <c r="CU349">
        <v>8</v>
      </c>
      <c r="CV349">
        <v>18</v>
      </c>
      <c r="CW349">
        <v>14</v>
      </c>
      <c r="CX349">
        <v>4</v>
      </c>
      <c r="CY349">
        <v>17</v>
      </c>
      <c r="CZ349">
        <v>35</v>
      </c>
      <c r="DA349">
        <v>5</v>
      </c>
      <c r="DB349">
        <v>29</v>
      </c>
      <c r="DC349">
        <v>31</v>
      </c>
      <c r="DD349">
        <v>4</v>
      </c>
      <c r="DE349">
        <v>7</v>
      </c>
      <c r="DF349">
        <v>3</v>
      </c>
      <c r="DG349">
        <v>32</v>
      </c>
      <c r="DH349">
        <v>11</v>
      </c>
      <c r="DI349">
        <v>0</v>
      </c>
      <c r="DJ349">
        <v>0</v>
      </c>
      <c r="DK349">
        <v>0</v>
      </c>
      <c r="DL349">
        <v>0</v>
      </c>
      <c r="DM349">
        <v>1</v>
      </c>
      <c r="DN349">
        <v>0</v>
      </c>
      <c r="DO349">
        <v>21</v>
      </c>
      <c r="DP349">
        <v>2</v>
      </c>
      <c r="DQ349">
        <v>5</v>
      </c>
      <c r="DR349">
        <v>35</v>
      </c>
      <c r="DS349">
        <v>9</v>
      </c>
      <c r="DT349">
        <v>1</v>
      </c>
      <c r="DU349">
        <v>2</v>
      </c>
      <c r="DV349">
        <v>17</v>
      </c>
      <c r="DW349">
        <v>4</v>
      </c>
      <c r="DX349">
        <v>9</v>
      </c>
      <c r="DY349">
        <v>3</v>
      </c>
      <c r="DZ349">
        <v>5</v>
      </c>
      <c r="EA349">
        <v>1</v>
      </c>
      <c r="EB349">
        <v>0</v>
      </c>
      <c r="EC349">
        <v>1</v>
      </c>
      <c r="ED349">
        <v>19</v>
      </c>
      <c r="EE349">
        <v>0</v>
      </c>
      <c r="EF349">
        <v>24</v>
      </c>
      <c r="EG349">
        <v>9</v>
      </c>
      <c r="EH349">
        <v>10</v>
      </c>
      <c r="EI349">
        <v>17</v>
      </c>
      <c r="EJ349">
        <v>10</v>
      </c>
      <c r="EK349">
        <v>19</v>
      </c>
      <c r="EL349">
        <v>0</v>
      </c>
      <c r="EM349">
        <v>12</v>
      </c>
      <c r="EN349">
        <v>25</v>
      </c>
      <c r="EO349">
        <v>7</v>
      </c>
      <c r="EP349">
        <v>14</v>
      </c>
      <c r="EQ349">
        <v>15</v>
      </c>
      <c r="ER349">
        <v>143</v>
      </c>
      <c r="ES349">
        <v>11</v>
      </c>
      <c r="ET349">
        <v>25</v>
      </c>
      <c r="EU349">
        <v>17</v>
      </c>
      <c r="EV349">
        <v>0</v>
      </c>
      <c r="EW349">
        <v>22</v>
      </c>
      <c r="EX349">
        <v>111</v>
      </c>
      <c r="EY349">
        <v>41</v>
      </c>
      <c r="EZ349">
        <v>97</v>
      </c>
      <c r="FA349">
        <v>104</v>
      </c>
      <c r="FB349">
        <v>126</v>
      </c>
      <c r="FC349">
        <v>118</v>
      </c>
      <c r="FD349">
        <v>86</v>
      </c>
      <c r="FE349">
        <v>71</v>
      </c>
      <c r="FF349">
        <v>226</v>
      </c>
      <c r="FG349">
        <v>55</v>
      </c>
      <c r="FH349">
        <v>28</v>
      </c>
      <c r="FI349">
        <v>41</v>
      </c>
      <c r="FJ349">
        <v>37</v>
      </c>
      <c r="FK349">
        <v>105</v>
      </c>
      <c r="FL349">
        <v>15</v>
      </c>
      <c r="FM349">
        <v>17</v>
      </c>
      <c r="FN349">
        <v>7</v>
      </c>
      <c r="FO349">
        <v>7</v>
      </c>
      <c r="FP349">
        <v>36</v>
      </c>
      <c r="FQ349">
        <v>24</v>
      </c>
      <c r="FR349">
        <v>6</v>
      </c>
      <c r="FS349">
        <v>13</v>
      </c>
      <c r="FT349">
        <v>13</v>
      </c>
      <c r="FU349">
        <v>18</v>
      </c>
      <c r="FV349">
        <v>49</v>
      </c>
      <c r="FW349">
        <v>16</v>
      </c>
      <c r="FX349">
        <v>39</v>
      </c>
      <c r="FY349">
        <v>38</v>
      </c>
      <c r="FZ349">
        <v>7</v>
      </c>
      <c r="GA349">
        <v>6</v>
      </c>
      <c r="GB349">
        <v>7</v>
      </c>
      <c r="GC349">
        <v>6</v>
      </c>
      <c r="GD349">
        <v>13</v>
      </c>
      <c r="GE349">
        <v>0</v>
      </c>
      <c r="GF349">
        <v>3</v>
      </c>
      <c r="GG349">
        <v>18</v>
      </c>
      <c r="GH349">
        <v>28</v>
      </c>
      <c r="GI349">
        <v>57</v>
      </c>
      <c r="GJ349">
        <v>54</v>
      </c>
      <c r="GK349">
        <v>36</v>
      </c>
      <c r="GL349">
        <v>25</v>
      </c>
      <c r="GM349">
        <v>5</v>
      </c>
      <c r="GN349">
        <v>13</v>
      </c>
      <c r="GO349">
        <v>14</v>
      </c>
      <c r="GP349">
        <v>107</v>
      </c>
      <c r="GQ349">
        <v>71</v>
      </c>
      <c r="GR349">
        <v>79</v>
      </c>
      <c r="GS349">
        <v>60</v>
      </c>
      <c r="GT349">
        <v>55</v>
      </c>
      <c r="GU349">
        <v>126</v>
      </c>
      <c r="GV349">
        <v>35</v>
      </c>
      <c r="GW349">
        <v>131</v>
      </c>
      <c r="GX349">
        <v>284</v>
      </c>
      <c r="GY349">
        <v>40</v>
      </c>
      <c r="GZ349">
        <v>168</v>
      </c>
      <c r="HA349">
        <v>62</v>
      </c>
      <c r="HB349">
        <v>93</v>
      </c>
      <c r="HC349">
        <v>19</v>
      </c>
      <c r="HD349">
        <v>17</v>
      </c>
      <c r="HE349">
        <v>52</v>
      </c>
      <c r="HF349">
        <v>76</v>
      </c>
      <c r="HG349">
        <v>107</v>
      </c>
      <c r="HH349">
        <v>39</v>
      </c>
      <c r="HI349">
        <v>32</v>
      </c>
      <c r="HJ349">
        <v>17</v>
      </c>
      <c r="HK349">
        <v>75</v>
      </c>
      <c r="HL349">
        <v>12</v>
      </c>
      <c r="HM349">
        <v>39</v>
      </c>
      <c r="HN349">
        <v>22</v>
      </c>
      <c r="HO349">
        <v>13</v>
      </c>
      <c r="HP349">
        <v>6</v>
      </c>
      <c r="HQ349">
        <v>15</v>
      </c>
      <c r="HR349">
        <v>2</v>
      </c>
      <c r="HS349">
        <v>4</v>
      </c>
      <c r="HT349">
        <v>86</v>
      </c>
      <c r="HU349">
        <v>168</v>
      </c>
      <c r="HV349">
        <v>318</v>
      </c>
      <c r="HW349">
        <v>368</v>
      </c>
      <c r="HX349">
        <v>69</v>
      </c>
      <c r="HY349">
        <v>16</v>
      </c>
      <c r="HZ349">
        <v>34</v>
      </c>
      <c r="IA349">
        <v>17</v>
      </c>
      <c r="IB349">
        <v>365</v>
      </c>
      <c r="IC349">
        <v>12</v>
      </c>
      <c r="ID349">
        <v>406</v>
      </c>
      <c r="IE349">
        <v>77</v>
      </c>
      <c r="IF349">
        <v>37</v>
      </c>
      <c r="IG349">
        <v>91</v>
      </c>
      <c r="IH349">
        <v>269</v>
      </c>
      <c r="II349">
        <v>78</v>
      </c>
      <c r="IJ349">
        <v>31</v>
      </c>
      <c r="IK349">
        <v>211</v>
      </c>
      <c r="IL349">
        <v>513</v>
      </c>
      <c r="IM349">
        <v>371</v>
      </c>
      <c r="IN349">
        <v>42</v>
      </c>
      <c r="IO349">
        <v>29</v>
      </c>
      <c r="IP349">
        <v>159</v>
      </c>
      <c r="IQ349">
        <v>14</v>
      </c>
      <c r="IR349">
        <v>86</v>
      </c>
      <c r="IS349">
        <v>86</v>
      </c>
      <c r="IT349">
        <v>26</v>
      </c>
      <c r="IU349">
        <v>32</v>
      </c>
      <c r="IV349">
        <v>23</v>
      </c>
      <c r="IW349">
        <v>76</v>
      </c>
      <c r="IX349">
        <v>40</v>
      </c>
      <c r="IY349">
        <v>7</v>
      </c>
      <c r="IZ349">
        <v>127</v>
      </c>
      <c r="JA349">
        <v>124</v>
      </c>
      <c r="JB349">
        <v>68</v>
      </c>
      <c r="JC349">
        <v>12</v>
      </c>
      <c r="JD349">
        <v>29</v>
      </c>
      <c r="JE349">
        <v>23</v>
      </c>
      <c r="JF349">
        <v>49</v>
      </c>
      <c r="JG349">
        <v>331</v>
      </c>
      <c r="JH349">
        <v>72</v>
      </c>
      <c r="JI349">
        <v>14</v>
      </c>
      <c r="JJ349">
        <v>45</v>
      </c>
      <c r="JK349">
        <v>428</v>
      </c>
      <c r="JL349">
        <v>848</v>
      </c>
      <c r="JM349">
        <v>1213</v>
      </c>
      <c r="JN349">
        <v>1090</v>
      </c>
      <c r="JO349">
        <v>1574</v>
      </c>
      <c r="JP349">
        <v>386</v>
      </c>
      <c r="JQ349">
        <v>1003</v>
      </c>
      <c r="JR349">
        <v>328</v>
      </c>
      <c r="JS349">
        <v>1606</v>
      </c>
      <c r="JT349">
        <v>152</v>
      </c>
      <c r="JV349">
        <v>1228</v>
      </c>
      <c r="JW349">
        <v>1145</v>
      </c>
      <c r="JX349">
        <v>2970</v>
      </c>
      <c r="JY349">
        <v>693</v>
      </c>
      <c r="JZ349">
        <v>429</v>
      </c>
      <c r="KA349">
        <v>961</v>
      </c>
      <c r="KB349">
        <v>569</v>
      </c>
      <c r="KC349">
        <v>618</v>
      </c>
      <c r="KD349">
        <v>786</v>
      </c>
      <c r="KE349">
        <v>955</v>
      </c>
      <c r="KF349">
        <v>380</v>
      </c>
      <c r="KG349">
        <v>8</v>
      </c>
      <c r="KH349">
        <v>274</v>
      </c>
      <c r="KI349">
        <v>1844</v>
      </c>
      <c r="KJ349">
        <v>38</v>
      </c>
      <c r="KK349">
        <v>1091</v>
      </c>
      <c r="KL349">
        <v>46</v>
      </c>
      <c r="KM349">
        <v>267</v>
      </c>
      <c r="KN349">
        <v>49</v>
      </c>
      <c r="KO349">
        <v>51</v>
      </c>
      <c r="KP349">
        <v>97</v>
      </c>
      <c r="KQ349">
        <v>16</v>
      </c>
      <c r="KR349">
        <v>367</v>
      </c>
      <c r="KS349">
        <v>204</v>
      </c>
      <c r="KT349">
        <v>17</v>
      </c>
      <c r="KU349">
        <v>51</v>
      </c>
      <c r="KV349">
        <v>52</v>
      </c>
      <c r="KW349">
        <v>458</v>
      </c>
      <c r="KX349">
        <v>454</v>
      </c>
      <c r="KY349">
        <v>236</v>
      </c>
      <c r="KZ349">
        <v>417</v>
      </c>
      <c r="LA349">
        <v>655</v>
      </c>
      <c r="LB349">
        <v>1</v>
      </c>
      <c r="LC349">
        <v>755</v>
      </c>
      <c r="LD349">
        <v>793</v>
      </c>
      <c r="LE349">
        <v>1486</v>
      </c>
      <c r="LF349">
        <v>158</v>
      </c>
      <c r="LG349">
        <v>411</v>
      </c>
      <c r="LH349">
        <v>1076</v>
      </c>
      <c r="LI349">
        <v>8</v>
      </c>
      <c r="LJ349">
        <v>198</v>
      </c>
      <c r="LK349">
        <v>293</v>
      </c>
      <c r="LL349">
        <v>261</v>
      </c>
      <c r="LM349">
        <v>73983</v>
      </c>
      <c r="LN349">
        <v>147</v>
      </c>
      <c r="LO349">
        <v>676</v>
      </c>
      <c r="LP349">
        <v>65</v>
      </c>
      <c r="LQ349">
        <v>1841</v>
      </c>
      <c r="LR349">
        <v>629</v>
      </c>
      <c r="LS349">
        <v>137</v>
      </c>
      <c r="LT349">
        <v>156</v>
      </c>
      <c r="LU349">
        <v>21</v>
      </c>
      <c r="LV349">
        <v>190</v>
      </c>
      <c r="LW349">
        <v>516</v>
      </c>
      <c r="LX349">
        <v>301</v>
      </c>
      <c r="LY349">
        <v>69</v>
      </c>
      <c r="LZ349">
        <v>555</v>
      </c>
      <c r="MA349">
        <v>222</v>
      </c>
      <c r="MB349">
        <v>100</v>
      </c>
      <c r="MC349">
        <v>32</v>
      </c>
      <c r="MD349">
        <v>75</v>
      </c>
      <c r="ME349">
        <v>215</v>
      </c>
      <c r="MF349">
        <v>1337</v>
      </c>
      <c r="MG349">
        <v>1493</v>
      </c>
      <c r="MH349">
        <v>1047</v>
      </c>
      <c r="MI349">
        <v>182</v>
      </c>
      <c r="MJ349">
        <v>523</v>
      </c>
      <c r="MK349">
        <v>329</v>
      </c>
      <c r="ML349">
        <v>191</v>
      </c>
      <c r="MM349">
        <v>239</v>
      </c>
      <c r="MN349">
        <v>247</v>
      </c>
      <c r="MO349">
        <v>492</v>
      </c>
      <c r="MP349">
        <v>138</v>
      </c>
      <c r="MQ349">
        <v>301</v>
      </c>
      <c r="MR349">
        <v>469</v>
      </c>
      <c r="MS349">
        <v>810</v>
      </c>
      <c r="MT349">
        <v>107</v>
      </c>
      <c r="MU349">
        <v>117</v>
      </c>
      <c r="MV349">
        <v>638</v>
      </c>
      <c r="MW349">
        <v>69</v>
      </c>
      <c r="MX349">
        <v>72</v>
      </c>
      <c r="MY349">
        <v>73</v>
      </c>
      <c r="MZ349">
        <v>3808</v>
      </c>
      <c r="NA349">
        <v>893</v>
      </c>
      <c r="NB349">
        <v>252</v>
      </c>
      <c r="NC349">
        <v>390</v>
      </c>
      <c r="ND349">
        <v>393</v>
      </c>
      <c r="NE349">
        <v>249</v>
      </c>
      <c r="NF349">
        <v>38</v>
      </c>
      <c r="NG349">
        <v>86</v>
      </c>
      <c r="NH349">
        <v>31</v>
      </c>
      <c r="NI349">
        <v>153</v>
      </c>
      <c r="NJ349">
        <v>134</v>
      </c>
      <c r="NK349">
        <v>116</v>
      </c>
      <c r="NL349">
        <v>585</v>
      </c>
      <c r="NM349">
        <v>521</v>
      </c>
      <c r="NN349">
        <v>2105</v>
      </c>
      <c r="NO349">
        <v>1538</v>
      </c>
      <c r="NP349">
        <v>2099</v>
      </c>
      <c r="NQ349">
        <v>225</v>
      </c>
      <c r="NR349">
        <v>263</v>
      </c>
      <c r="NS349">
        <v>73</v>
      </c>
      <c r="NT349">
        <v>87</v>
      </c>
      <c r="NU349">
        <v>58</v>
      </c>
      <c r="NV349">
        <v>245</v>
      </c>
      <c r="NW349">
        <v>18</v>
      </c>
      <c r="NX349">
        <v>51</v>
      </c>
      <c r="NY349">
        <v>230</v>
      </c>
      <c r="NZ349">
        <v>820</v>
      </c>
      <c r="OA349">
        <v>181</v>
      </c>
      <c r="OB349">
        <v>435</v>
      </c>
      <c r="OD349">
        <v>93</v>
      </c>
      <c r="OE349">
        <v>44</v>
      </c>
      <c r="OF349">
        <v>46</v>
      </c>
      <c r="OG349">
        <v>99</v>
      </c>
      <c r="OH349">
        <v>27</v>
      </c>
      <c r="OI349">
        <v>1325</v>
      </c>
      <c r="OJ349">
        <v>792</v>
      </c>
      <c r="OK349">
        <v>11375</v>
      </c>
      <c r="OL349">
        <v>70</v>
      </c>
      <c r="OM349">
        <v>137</v>
      </c>
      <c r="ON349">
        <v>1009</v>
      </c>
      <c r="OO349">
        <v>167973</v>
      </c>
      <c r="OP349">
        <v>21348</v>
      </c>
      <c r="OV349">
        <v>58</v>
      </c>
      <c r="PI349">
        <v>189379</v>
      </c>
      <c r="PM349" t="str">
        <f>IFERROR(VLOOKUP($A349&amp;"",Key!$A:$C,3,FALSE),"")</f>
        <v>ISIC 77T82</v>
      </c>
    </row>
    <row r="350" spans="1:429" x14ac:dyDescent="0.25">
      <c r="A350">
        <v>561100</v>
      </c>
      <c r="B350" t="s">
        <v>485</v>
      </c>
      <c r="C350">
        <v>1</v>
      </c>
      <c r="H350">
        <v>0</v>
      </c>
      <c r="O350">
        <v>1</v>
      </c>
      <c r="P350">
        <v>6</v>
      </c>
      <c r="Q350">
        <v>5</v>
      </c>
      <c r="R350">
        <v>0</v>
      </c>
      <c r="S350">
        <v>0</v>
      </c>
      <c r="T350">
        <v>1</v>
      </c>
      <c r="U350">
        <v>1</v>
      </c>
      <c r="W350">
        <v>17</v>
      </c>
      <c r="X350">
        <v>41</v>
      </c>
      <c r="Z350">
        <v>2</v>
      </c>
      <c r="AA350">
        <v>13</v>
      </c>
      <c r="AB350">
        <v>1</v>
      </c>
      <c r="AC350">
        <v>45</v>
      </c>
      <c r="AD350">
        <v>15</v>
      </c>
      <c r="AE350">
        <v>91</v>
      </c>
      <c r="AF350">
        <v>38</v>
      </c>
      <c r="AG350">
        <v>151</v>
      </c>
      <c r="AH350">
        <v>38</v>
      </c>
      <c r="AI350">
        <v>39</v>
      </c>
      <c r="AJ350">
        <v>36</v>
      </c>
      <c r="AK350">
        <v>89</v>
      </c>
      <c r="AL350">
        <v>77</v>
      </c>
      <c r="AM350">
        <v>8</v>
      </c>
      <c r="AN350">
        <v>2</v>
      </c>
      <c r="AO350">
        <v>3</v>
      </c>
      <c r="AP350">
        <v>3</v>
      </c>
      <c r="AR350">
        <v>1</v>
      </c>
      <c r="AS350">
        <v>0</v>
      </c>
      <c r="AT350">
        <v>1</v>
      </c>
      <c r="AU350">
        <v>1</v>
      </c>
      <c r="AV350">
        <v>1</v>
      </c>
      <c r="AX350">
        <v>0</v>
      </c>
      <c r="AY350">
        <v>1</v>
      </c>
      <c r="BC350">
        <v>1</v>
      </c>
      <c r="BD350">
        <v>1</v>
      </c>
      <c r="BE350">
        <v>1</v>
      </c>
      <c r="BF350">
        <v>0</v>
      </c>
      <c r="BG350">
        <v>1</v>
      </c>
      <c r="BH350">
        <v>2</v>
      </c>
      <c r="BI350">
        <v>0</v>
      </c>
      <c r="BJ350">
        <v>1</v>
      </c>
      <c r="BK350">
        <v>0</v>
      </c>
      <c r="BL350">
        <v>0</v>
      </c>
      <c r="BM350">
        <v>1</v>
      </c>
      <c r="BN350">
        <v>2</v>
      </c>
      <c r="BO350">
        <v>1</v>
      </c>
      <c r="BP350">
        <v>2</v>
      </c>
      <c r="BQ350">
        <v>5</v>
      </c>
      <c r="BR350">
        <v>0</v>
      </c>
      <c r="BS350">
        <v>0</v>
      </c>
      <c r="BT350">
        <v>1</v>
      </c>
      <c r="BU350">
        <v>0</v>
      </c>
      <c r="BV350">
        <v>1</v>
      </c>
      <c r="BW350">
        <v>0</v>
      </c>
      <c r="BX350">
        <v>3</v>
      </c>
      <c r="BY350">
        <v>2</v>
      </c>
      <c r="BZ350">
        <v>3</v>
      </c>
      <c r="CA350">
        <v>0</v>
      </c>
      <c r="CB350">
        <v>1</v>
      </c>
      <c r="CC350">
        <v>0</v>
      </c>
      <c r="CD350">
        <v>1</v>
      </c>
      <c r="CE350">
        <v>2</v>
      </c>
      <c r="CF350">
        <v>1</v>
      </c>
      <c r="CG350">
        <v>1</v>
      </c>
      <c r="CI350">
        <v>1</v>
      </c>
      <c r="CJ350">
        <v>0</v>
      </c>
      <c r="CK350">
        <v>3</v>
      </c>
      <c r="CL350">
        <v>3</v>
      </c>
      <c r="CM350">
        <v>1</v>
      </c>
      <c r="CO350">
        <v>1</v>
      </c>
      <c r="CP350">
        <v>1</v>
      </c>
      <c r="CQ350">
        <v>3</v>
      </c>
      <c r="CT350">
        <v>1</v>
      </c>
      <c r="CU350">
        <v>0</v>
      </c>
      <c r="CV350">
        <v>0</v>
      </c>
      <c r="CW350">
        <v>0</v>
      </c>
      <c r="CY350">
        <v>1</v>
      </c>
      <c r="CZ350">
        <v>1</v>
      </c>
      <c r="DA350">
        <v>0</v>
      </c>
      <c r="DB350">
        <v>5</v>
      </c>
      <c r="DC350">
        <v>2</v>
      </c>
      <c r="DE350">
        <v>1</v>
      </c>
      <c r="DF350">
        <v>0</v>
      </c>
      <c r="DG350">
        <v>3</v>
      </c>
      <c r="DH350">
        <v>1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1</v>
      </c>
      <c r="DR350">
        <v>4</v>
      </c>
      <c r="DS350">
        <v>0</v>
      </c>
      <c r="DT350">
        <v>1</v>
      </c>
      <c r="DU350">
        <v>0</v>
      </c>
      <c r="DV350">
        <v>1</v>
      </c>
      <c r="DW350">
        <v>0</v>
      </c>
      <c r="DX350">
        <v>1</v>
      </c>
      <c r="DY350">
        <v>0</v>
      </c>
      <c r="DZ350">
        <v>0</v>
      </c>
      <c r="EA350">
        <v>1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1</v>
      </c>
      <c r="EI350">
        <v>3</v>
      </c>
      <c r="EJ350">
        <v>1</v>
      </c>
      <c r="EK350">
        <v>1</v>
      </c>
      <c r="EL350">
        <v>0</v>
      </c>
      <c r="EM350">
        <v>1</v>
      </c>
      <c r="EN350">
        <v>0</v>
      </c>
      <c r="EO350">
        <v>0</v>
      </c>
      <c r="EP350">
        <v>4</v>
      </c>
      <c r="EQ350">
        <v>0</v>
      </c>
      <c r="ER350">
        <v>18</v>
      </c>
      <c r="ET350">
        <v>1</v>
      </c>
      <c r="EX350">
        <v>0</v>
      </c>
      <c r="EY350">
        <v>3</v>
      </c>
      <c r="EZ350">
        <v>0</v>
      </c>
      <c r="FA350">
        <v>3</v>
      </c>
      <c r="FB350">
        <v>2</v>
      </c>
      <c r="FC350">
        <v>1</v>
      </c>
      <c r="FD350">
        <v>2</v>
      </c>
      <c r="FE350">
        <v>0</v>
      </c>
      <c r="FF350">
        <v>1</v>
      </c>
      <c r="FG350">
        <v>0</v>
      </c>
      <c r="FI350">
        <v>0</v>
      </c>
      <c r="FJ350">
        <v>4</v>
      </c>
      <c r="FK350">
        <v>7</v>
      </c>
      <c r="FL350">
        <v>2</v>
      </c>
      <c r="FP350">
        <v>3</v>
      </c>
      <c r="FQ350">
        <v>2</v>
      </c>
      <c r="FR350">
        <v>1</v>
      </c>
      <c r="FS350">
        <v>2</v>
      </c>
      <c r="FT350">
        <v>1</v>
      </c>
      <c r="FU350">
        <v>2</v>
      </c>
      <c r="FV350">
        <v>6</v>
      </c>
      <c r="FW350">
        <v>3</v>
      </c>
      <c r="FX350">
        <v>4</v>
      </c>
      <c r="FY350">
        <v>14</v>
      </c>
      <c r="FZ350">
        <v>1</v>
      </c>
      <c r="GA350">
        <v>0</v>
      </c>
      <c r="GD350">
        <v>3</v>
      </c>
      <c r="GG350">
        <v>1</v>
      </c>
      <c r="GH350">
        <v>2</v>
      </c>
      <c r="GI350">
        <v>1</v>
      </c>
      <c r="GJ350">
        <v>1</v>
      </c>
      <c r="GK350">
        <v>1</v>
      </c>
      <c r="GL350">
        <v>1</v>
      </c>
      <c r="GP350">
        <v>15</v>
      </c>
      <c r="GQ350">
        <v>3</v>
      </c>
      <c r="GR350">
        <v>3</v>
      </c>
      <c r="GS350">
        <v>1</v>
      </c>
      <c r="GT350">
        <v>2</v>
      </c>
      <c r="GU350">
        <v>4</v>
      </c>
      <c r="GV350">
        <v>1</v>
      </c>
      <c r="GW350">
        <v>5</v>
      </c>
      <c r="GX350">
        <v>11</v>
      </c>
      <c r="GY350">
        <v>2</v>
      </c>
      <c r="GZ350">
        <v>3</v>
      </c>
      <c r="HA350">
        <v>2</v>
      </c>
      <c r="HB350">
        <v>2</v>
      </c>
      <c r="HC350">
        <v>1</v>
      </c>
      <c r="HE350">
        <v>3</v>
      </c>
      <c r="HF350">
        <v>4</v>
      </c>
      <c r="HG350">
        <v>3</v>
      </c>
      <c r="HI350">
        <v>5</v>
      </c>
      <c r="HK350">
        <v>24</v>
      </c>
      <c r="HM350">
        <v>2</v>
      </c>
      <c r="HO350">
        <v>1</v>
      </c>
      <c r="HQ350">
        <v>0</v>
      </c>
      <c r="HS350">
        <v>0</v>
      </c>
      <c r="HT350">
        <v>2</v>
      </c>
      <c r="HU350">
        <v>7</v>
      </c>
      <c r="HV350">
        <v>7</v>
      </c>
      <c r="HW350">
        <v>4</v>
      </c>
      <c r="HX350">
        <v>1</v>
      </c>
      <c r="HY350">
        <v>0</v>
      </c>
      <c r="HZ350">
        <v>1</v>
      </c>
      <c r="IA350">
        <v>0</v>
      </c>
      <c r="IB350">
        <v>17</v>
      </c>
      <c r="ID350">
        <v>62</v>
      </c>
      <c r="IE350">
        <v>2</v>
      </c>
      <c r="IH350">
        <v>4</v>
      </c>
      <c r="IJ350">
        <v>1</v>
      </c>
      <c r="IK350">
        <v>3</v>
      </c>
      <c r="IL350">
        <v>20</v>
      </c>
      <c r="IM350">
        <v>5</v>
      </c>
      <c r="IN350">
        <v>2</v>
      </c>
      <c r="IP350">
        <v>31</v>
      </c>
      <c r="IQ350">
        <v>0</v>
      </c>
      <c r="IR350">
        <v>0</v>
      </c>
      <c r="IS350">
        <v>1</v>
      </c>
      <c r="IV350">
        <v>1</v>
      </c>
      <c r="IW350">
        <v>4</v>
      </c>
      <c r="IX350">
        <v>4</v>
      </c>
      <c r="IY350">
        <v>1</v>
      </c>
      <c r="IZ350">
        <v>5</v>
      </c>
      <c r="JA350">
        <v>2</v>
      </c>
      <c r="JD350">
        <v>7</v>
      </c>
      <c r="JE350">
        <v>2</v>
      </c>
      <c r="JG350">
        <v>20</v>
      </c>
      <c r="JH350">
        <v>1</v>
      </c>
      <c r="JJ350">
        <v>1</v>
      </c>
      <c r="JK350">
        <v>236</v>
      </c>
      <c r="JL350">
        <v>308</v>
      </c>
      <c r="JM350">
        <v>337</v>
      </c>
      <c r="JN350">
        <v>158</v>
      </c>
      <c r="JO350">
        <v>465</v>
      </c>
      <c r="JP350">
        <v>127</v>
      </c>
      <c r="JQ350">
        <v>167</v>
      </c>
      <c r="JR350">
        <v>9</v>
      </c>
      <c r="JS350">
        <v>337</v>
      </c>
      <c r="JT350">
        <v>24</v>
      </c>
      <c r="JV350">
        <v>334</v>
      </c>
      <c r="JW350">
        <v>52</v>
      </c>
      <c r="JX350">
        <v>28</v>
      </c>
      <c r="JY350">
        <v>88</v>
      </c>
      <c r="JZ350">
        <v>121</v>
      </c>
      <c r="KA350">
        <v>43</v>
      </c>
      <c r="KB350">
        <v>83</v>
      </c>
      <c r="KC350">
        <v>137</v>
      </c>
      <c r="KD350">
        <v>124</v>
      </c>
      <c r="KE350">
        <v>3</v>
      </c>
      <c r="KF350">
        <v>15</v>
      </c>
      <c r="KH350">
        <v>868</v>
      </c>
      <c r="KI350">
        <v>22</v>
      </c>
      <c r="KK350">
        <v>85</v>
      </c>
      <c r="KL350">
        <v>20</v>
      </c>
      <c r="KM350">
        <v>401</v>
      </c>
      <c r="KN350">
        <v>23</v>
      </c>
      <c r="KO350">
        <v>40</v>
      </c>
      <c r="KP350">
        <v>117</v>
      </c>
      <c r="KQ350">
        <v>12</v>
      </c>
      <c r="KR350">
        <v>1492</v>
      </c>
      <c r="KS350">
        <v>134</v>
      </c>
      <c r="KT350">
        <v>20</v>
      </c>
      <c r="KU350">
        <v>4</v>
      </c>
      <c r="KV350">
        <v>25</v>
      </c>
      <c r="KW350">
        <v>675</v>
      </c>
      <c r="KX350">
        <v>700</v>
      </c>
      <c r="KY350">
        <v>86</v>
      </c>
      <c r="KZ350">
        <v>400</v>
      </c>
      <c r="LA350">
        <v>1014</v>
      </c>
      <c r="LB350">
        <v>0</v>
      </c>
      <c r="LC350">
        <v>81</v>
      </c>
      <c r="LD350">
        <v>1176</v>
      </c>
      <c r="LE350">
        <v>244</v>
      </c>
      <c r="LF350">
        <v>242</v>
      </c>
      <c r="LG350">
        <v>14</v>
      </c>
      <c r="LH350">
        <v>18</v>
      </c>
      <c r="LI350">
        <v>198</v>
      </c>
      <c r="LL350">
        <v>0</v>
      </c>
      <c r="LM350">
        <v>879</v>
      </c>
      <c r="LN350">
        <v>85</v>
      </c>
      <c r="LO350">
        <v>209</v>
      </c>
      <c r="LP350">
        <v>40</v>
      </c>
      <c r="LQ350">
        <v>854</v>
      </c>
      <c r="LR350">
        <v>304</v>
      </c>
      <c r="LS350">
        <v>927</v>
      </c>
      <c r="LT350">
        <v>619</v>
      </c>
      <c r="LU350">
        <v>167</v>
      </c>
      <c r="LV350">
        <v>205</v>
      </c>
      <c r="LW350">
        <v>1641</v>
      </c>
      <c r="LX350">
        <v>1072</v>
      </c>
      <c r="LY350">
        <v>419</v>
      </c>
      <c r="LZ350">
        <v>2524</v>
      </c>
      <c r="MA350">
        <v>289</v>
      </c>
      <c r="MB350">
        <v>74</v>
      </c>
      <c r="MC350">
        <v>20</v>
      </c>
      <c r="MD350">
        <v>2</v>
      </c>
      <c r="ME350">
        <v>191</v>
      </c>
      <c r="MF350">
        <v>917</v>
      </c>
      <c r="MG350">
        <v>1038</v>
      </c>
      <c r="MH350">
        <v>308</v>
      </c>
      <c r="MI350">
        <v>282</v>
      </c>
      <c r="MJ350">
        <v>102</v>
      </c>
      <c r="MK350">
        <v>322</v>
      </c>
      <c r="ML350">
        <v>100</v>
      </c>
      <c r="MM350">
        <v>81</v>
      </c>
      <c r="MN350">
        <v>126</v>
      </c>
      <c r="MO350">
        <v>266</v>
      </c>
      <c r="MQ350">
        <v>2</v>
      </c>
      <c r="MR350">
        <v>207</v>
      </c>
      <c r="MS350">
        <v>948</v>
      </c>
      <c r="MT350">
        <v>7</v>
      </c>
      <c r="MU350">
        <v>63</v>
      </c>
      <c r="MV350">
        <v>401</v>
      </c>
      <c r="MW350">
        <v>66</v>
      </c>
      <c r="MX350">
        <v>276</v>
      </c>
      <c r="MY350">
        <v>35</v>
      </c>
      <c r="MZ350">
        <v>3940</v>
      </c>
      <c r="NA350">
        <v>662</v>
      </c>
      <c r="NB350">
        <v>43</v>
      </c>
      <c r="NC350">
        <v>165</v>
      </c>
      <c r="ND350">
        <v>29</v>
      </c>
      <c r="NE350">
        <v>17</v>
      </c>
      <c r="NF350">
        <v>138</v>
      </c>
      <c r="NG350">
        <v>18</v>
      </c>
      <c r="NH350">
        <v>214</v>
      </c>
      <c r="NI350">
        <v>144</v>
      </c>
      <c r="NJ350">
        <v>54</v>
      </c>
      <c r="NK350">
        <v>32</v>
      </c>
      <c r="NL350">
        <v>8</v>
      </c>
      <c r="NM350">
        <v>72</v>
      </c>
      <c r="NN350">
        <v>260</v>
      </c>
      <c r="NO350">
        <v>196</v>
      </c>
      <c r="NP350">
        <v>194</v>
      </c>
      <c r="NQ350">
        <v>47</v>
      </c>
      <c r="NR350">
        <v>11</v>
      </c>
      <c r="NS350">
        <v>47</v>
      </c>
      <c r="NT350">
        <v>37</v>
      </c>
      <c r="NU350">
        <v>10</v>
      </c>
      <c r="NV350">
        <v>40</v>
      </c>
      <c r="NW350">
        <v>1</v>
      </c>
      <c r="NX350">
        <v>5</v>
      </c>
      <c r="NY350">
        <v>60</v>
      </c>
      <c r="OA350">
        <v>279</v>
      </c>
      <c r="OB350">
        <v>353</v>
      </c>
      <c r="OD350">
        <v>0</v>
      </c>
      <c r="OE350">
        <v>16</v>
      </c>
      <c r="OF350">
        <v>7</v>
      </c>
      <c r="OI350">
        <v>602</v>
      </c>
      <c r="OJ350">
        <v>372</v>
      </c>
      <c r="OK350">
        <v>981</v>
      </c>
      <c r="OL350">
        <v>7</v>
      </c>
      <c r="ON350">
        <v>411</v>
      </c>
      <c r="OO350">
        <v>38077</v>
      </c>
      <c r="PI350">
        <v>38077</v>
      </c>
      <c r="PM350" t="str">
        <f>IFERROR(VLOOKUP($A350&amp;"",Key!$A:$C,3,FALSE),"")</f>
        <v>ISIC 77T82</v>
      </c>
    </row>
    <row r="351" spans="1:429" x14ac:dyDescent="0.25">
      <c r="A351">
        <v>561200</v>
      </c>
      <c r="B351" t="s">
        <v>486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X351">
        <v>1</v>
      </c>
      <c r="Z351">
        <v>0</v>
      </c>
      <c r="AA351">
        <v>4</v>
      </c>
      <c r="AB351">
        <v>0</v>
      </c>
      <c r="AC351">
        <v>12</v>
      </c>
      <c r="AD351">
        <v>2</v>
      </c>
      <c r="AG351">
        <v>1</v>
      </c>
      <c r="AI351">
        <v>6</v>
      </c>
      <c r="AL351">
        <v>1</v>
      </c>
      <c r="AN351">
        <v>0</v>
      </c>
      <c r="AO351">
        <v>0</v>
      </c>
      <c r="AP351">
        <v>4</v>
      </c>
      <c r="AR351">
        <v>9</v>
      </c>
      <c r="AS351">
        <v>10</v>
      </c>
      <c r="AV351">
        <v>12</v>
      </c>
      <c r="AW351">
        <v>5</v>
      </c>
      <c r="AX351">
        <v>0</v>
      </c>
      <c r="AY351">
        <v>9</v>
      </c>
      <c r="BA351">
        <v>2</v>
      </c>
      <c r="BC351">
        <v>66</v>
      </c>
      <c r="BD351">
        <v>12</v>
      </c>
      <c r="BE351">
        <v>1</v>
      </c>
      <c r="BF351">
        <v>0</v>
      </c>
      <c r="BG351">
        <v>27</v>
      </c>
      <c r="BH351">
        <v>9</v>
      </c>
      <c r="BI351">
        <v>4</v>
      </c>
      <c r="BJ351">
        <v>20</v>
      </c>
      <c r="BK351">
        <v>27</v>
      </c>
      <c r="BL351">
        <v>29</v>
      </c>
      <c r="BM351">
        <v>3</v>
      </c>
      <c r="BN351">
        <v>59</v>
      </c>
      <c r="BO351">
        <v>26</v>
      </c>
      <c r="BP351">
        <v>11</v>
      </c>
      <c r="BQ351">
        <v>169</v>
      </c>
      <c r="BR351">
        <v>63</v>
      </c>
      <c r="BS351">
        <v>8</v>
      </c>
      <c r="BT351">
        <v>11</v>
      </c>
      <c r="BU351">
        <v>2</v>
      </c>
      <c r="BV351">
        <v>9</v>
      </c>
      <c r="BW351">
        <v>5</v>
      </c>
      <c r="BX351">
        <v>111</v>
      </c>
      <c r="BY351">
        <v>34</v>
      </c>
      <c r="BZ351">
        <v>0</v>
      </c>
      <c r="CA351">
        <v>2</v>
      </c>
      <c r="CB351">
        <v>29</v>
      </c>
      <c r="CC351">
        <v>8</v>
      </c>
      <c r="CD351">
        <v>2</v>
      </c>
      <c r="CE351">
        <v>11</v>
      </c>
      <c r="CF351">
        <v>2</v>
      </c>
      <c r="CG351">
        <v>8</v>
      </c>
      <c r="CH351">
        <v>1</v>
      </c>
      <c r="CI351">
        <v>15</v>
      </c>
      <c r="CJ351">
        <v>35</v>
      </c>
      <c r="CK351">
        <v>1</v>
      </c>
      <c r="CL351">
        <v>16</v>
      </c>
      <c r="CM351">
        <v>2</v>
      </c>
      <c r="CN351">
        <v>0</v>
      </c>
      <c r="CO351">
        <v>3</v>
      </c>
      <c r="CP351">
        <v>0</v>
      </c>
      <c r="CQ351">
        <v>12</v>
      </c>
      <c r="CR351">
        <v>2</v>
      </c>
      <c r="CS351">
        <v>2</v>
      </c>
      <c r="CT351">
        <v>3</v>
      </c>
      <c r="CU351">
        <v>1</v>
      </c>
      <c r="CV351">
        <v>6</v>
      </c>
      <c r="CW351">
        <v>7</v>
      </c>
      <c r="CX351">
        <v>5</v>
      </c>
      <c r="CY351">
        <v>3</v>
      </c>
      <c r="CZ351">
        <v>1</v>
      </c>
      <c r="DA351">
        <v>2</v>
      </c>
      <c r="DB351">
        <v>14</v>
      </c>
      <c r="DC351">
        <v>19</v>
      </c>
      <c r="DD351">
        <v>4</v>
      </c>
      <c r="DE351">
        <v>9</v>
      </c>
      <c r="DF351">
        <v>1</v>
      </c>
      <c r="DG351">
        <v>5</v>
      </c>
      <c r="DH351">
        <v>12</v>
      </c>
      <c r="DI351">
        <v>1</v>
      </c>
      <c r="DJ351">
        <v>1</v>
      </c>
      <c r="DK351">
        <v>0</v>
      </c>
      <c r="DL351">
        <v>1</v>
      </c>
      <c r="DM351">
        <v>20</v>
      </c>
      <c r="DN351">
        <v>1</v>
      </c>
      <c r="DO351">
        <v>22</v>
      </c>
      <c r="DP351">
        <v>0</v>
      </c>
      <c r="DQ351">
        <v>5</v>
      </c>
      <c r="DR351">
        <v>1</v>
      </c>
      <c r="DS351">
        <v>49</v>
      </c>
      <c r="DT351">
        <v>0</v>
      </c>
      <c r="DU351">
        <v>0</v>
      </c>
      <c r="DV351">
        <v>1</v>
      </c>
      <c r="DW351">
        <v>0</v>
      </c>
      <c r="DX351">
        <v>2</v>
      </c>
      <c r="DY351">
        <v>0</v>
      </c>
      <c r="DZ351">
        <v>0</v>
      </c>
      <c r="EA351">
        <v>2</v>
      </c>
      <c r="EB351">
        <v>1</v>
      </c>
      <c r="ED351">
        <v>2</v>
      </c>
      <c r="EF351">
        <v>1</v>
      </c>
      <c r="EL351">
        <v>1</v>
      </c>
      <c r="EM351">
        <v>3</v>
      </c>
      <c r="EN351">
        <v>4</v>
      </c>
      <c r="EO351">
        <v>3</v>
      </c>
      <c r="ER351">
        <v>0</v>
      </c>
      <c r="ES351">
        <v>4</v>
      </c>
      <c r="EU351">
        <v>1</v>
      </c>
      <c r="EV351">
        <v>0</v>
      </c>
      <c r="EW351">
        <v>1</v>
      </c>
      <c r="EX351">
        <v>2</v>
      </c>
      <c r="EY351">
        <v>23</v>
      </c>
      <c r="EZ351">
        <v>4</v>
      </c>
      <c r="FA351">
        <v>21</v>
      </c>
      <c r="FB351">
        <v>12</v>
      </c>
      <c r="FC351">
        <v>28</v>
      </c>
      <c r="FD351">
        <v>8</v>
      </c>
      <c r="FE351">
        <v>0</v>
      </c>
      <c r="FF351">
        <v>173</v>
      </c>
      <c r="FG351">
        <v>33</v>
      </c>
      <c r="FH351">
        <v>92</v>
      </c>
      <c r="FI351">
        <v>30</v>
      </c>
      <c r="FK351">
        <v>135</v>
      </c>
      <c r="FL351">
        <v>4</v>
      </c>
      <c r="FM351">
        <v>7</v>
      </c>
      <c r="FN351">
        <v>4</v>
      </c>
      <c r="FO351">
        <v>7</v>
      </c>
      <c r="FT351">
        <v>2</v>
      </c>
      <c r="FX351">
        <v>16</v>
      </c>
      <c r="FY351">
        <v>39</v>
      </c>
      <c r="FZ351">
        <v>12</v>
      </c>
      <c r="GA351">
        <v>9</v>
      </c>
      <c r="GB351">
        <v>9</v>
      </c>
      <c r="GC351">
        <v>12</v>
      </c>
      <c r="GD351">
        <v>20</v>
      </c>
      <c r="GE351">
        <v>1</v>
      </c>
      <c r="GF351">
        <v>5</v>
      </c>
      <c r="GG351">
        <v>14</v>
      </c>
      <c r="GH351">
        <v>56</v>
      </c>
      <c r="GI351">
        <v>7</v>
      </c>
      <c r="GJ351">
        <v>1</v>
      </c>
      <c r="GL351">
        <v>2</v>
      </c>
      <c r="GN351">
        <v>0</v>
      </c>
      <c r="GO351">
        <v>1</v>
      </c>
      <c r="GP351">
        <v>2</v>
      </c>
      <c r="GQ351">
        <v>0</v>
      </c>
      <c r="GS351">
        <v>14</v>
      </c>
      <c r="GT351">
        <v>0</v>
      </c>
      <c r="GU351">
        <v>11</v>
      </c>
      <c r="GX351">
        <v>3</v>
      </c>
      <c r="GZ351">
        <v>8</v>
      </c>
      <c r="HA351">
        <v>0</v>
      </c>
      <c r="HB351">
        <v>6</v>
      </c>
      <c r="HE351">
        <v>2</v>
      </c>
      <c r="HF351">
        <v>12</v>
      </c>
      <c r="HG351">
        <v>11</v>
      </c>
      <c r="HM351">
        <v>5</v>
      </c>
      <c r="HN351">
        <v>1</v>
      </c>
      <c r="HQ351">
        <v>0</v>
      </c>
      <c r="HR351">
        <v>18</v>
      </c>
      <c r="HS351">
        <v>0</v>
      </c>
      <c r="HT351">
        <v>7</v>
      </c>
      <c r="HU351">
        <v>2</v>
      </c>
      <c r="HV351">
        <v>4</v>
      </c>
      <c r="HW351">
        <v>10</v>
      </c>
      <c r="HY351">
        <v>1</v>
      </c>
      <c r="HZ351">
        <v>0</v>
      </c>
      <c r="IA351">
        <v>1</v>
      </c>
      <c r="IB351">
        <v>151</v>
      </c>
      <c r="IC351">
        <v>11</v>
      </c>
      <c r="ID351">
        <v>81</v>
      </c>
      <c r="IG351">
        <v>6</v>
      </c>
      <c r="II351">
        <v>5</v>
      </c>
      <c r="IK351">
        <v>18</v>
      </c>
      <c r="IL351">
        <v>2</v>
      </c>
      <c r="IM351">
        <v>11</v>
      </c>
      <c r="IN351">
        <v>1</v>
      </c>
      <c r="IO351">
        <v>0</v>
      </c>
      <c r="IP351">
        <v>7</v>
      </c>
      <c r="IQ351">
        <v>2</v>
      </c>
      <c r="IR351">
        <v>7</v>
      </c>
      <c r="IS351">
        <v>19</v>
      </c>
      <c r="IU351">
        <v>0</v>
      </c>
      <c r="IV351">
        <v>2</v>
      </c>
      <c r="IW351">
        <v>1</v>
      </c>
      <c r="IX351">
        <v>10</v>
      </c>
      <c r="JA351">
        <v>10</v>
      </c>
      <c r="JB351">
        <v>1</v>
      </c>
      <c r="JC351">
        <v>3</v>
      </c>
      <c r="JD351">
        <v>1</v>
      </c>
      <c r="JE351">
        <v>1</v>
      </c>
      <c r="JG351">
        <v>29</v>
      </c>
      <c r="JH351">
        <v>0</v>
      </c>
      <c r="JI351">
        <v>2</v>
      </c>
      <c r="JJ351">
        <v>5</v>
      </c>
      <c r="JK351">
        <v>35</v>
      </c>
      <c r="JL351">
        <v>88</v>
      </c>
      <c r="JM351">
        <v>112</v>
      </c>
      <c r="JN351">
        <v>55</v>
      </c>
      <c r="JO351">
        <v>148</v>
      </c>
      <c r="JP351">
        <v>34</v>
      </c>
      <c r="JQ351">
        <v>49</v>
      </c>
      <c r="JR351">
        <v>3</v>
      </c>
      <c r="JS351">
        <v>95</v>
      </c>
      <c r="JT351">
        <v>11</v>
      </c>
      <c r="JV351">
        <v>110</v>
      </c>
      <c r="JW351">
        <v>44</v>
      </c>
      <c r="JX351">
        <v>10</v>
      </c>
      <c r="JY351">
        <v>35</v>
      </c>
      <c r="JZ351">
        <v>36</v>
      </c>
      <c r="KA351">
        <v>16</v>
      </c>
      <c r="KB351">
        <v>20</v>
      </c>
      <c r="KC351">
        <v>104</v>
      </c>
      <c r="KD351">
        <v>48</v>
      </c>
      <c r="KE351">
        <v>40</v>
      </c>
      <c r="KF351">
        <v>8</v>
      </c>
      <c r="KG351">
        <v>12</v>
      </c>
      <c r="KH351">
        <v>277</v>
      </c>
      <c r="KI351">
        <v>79</v>
      </c>
      <c r="KJ351">
        <v>13</v>
      </c>
      <c r="KK351">
        <v>126</v>
      </c>
      <c r="KL351">
        <v>70</v>
      </c>
      <c r="KM351">
        <v>155</v>
      </c>
      <c r="KN351">
        <v>8</v>
      </c>
      <c r="KO351">
        <v>11</v>
      </c>
      <c r="KP351">
        <v>28</v>
      </c>
      <c r="KQ351">
        <v>6</v>
      </c>
      <c r="KR351">
        <v>497</v>
      </c>
      <c r="KS351">
        <v>40</v>
      </c>
      <c r="KT351">
        <v>4</v>
      </c>
      <c r="KU351">
        <v>2</v>
      </c>
      <c r="KV351">
        <v>11</v>
      </c>
      <c r="KW351">
        <v>237</v>
      </c>
      <c r="KX351">
        <v>322</v>
      </c>
      <c r="KY351">
        <v>35</v>
      </c>
      <c r="KZ351">
        <v>131</v>
      </c>
      <c r="LA351">
        <v>265</v>
      </c>
      <c r="LB351">
        <v>1</v>
      </c>
      <c r="LC351">
        <v>262</v>
      </c>
      <c r="LD351">
        <v>226</v>
      </c>
      <c r="LE351">
        <v>223</v>
      </c>
      <c r="LF351">
        <v>69</v>
      </c>
      <c r="LG351">
        <v>438</v>
      </c>
      <c r="LH351">
        <v>985</v>
      </c>
      <c r="LI351">
        <v>71</v>
      </c>
      <c r="LK351">
        <v>1529</v>
      </c>
      <c r="LL351">
        <v>0</v>
      </c>
      <c r="LM351">
        <v>173</v>
      </c>
      <c r="LN351">
        <v>22</v>
      </c>
      <c r="LO351">
        <v>33</v>
      </c>
      <c r="LP351">
        <v>12</v>
      </c>
      <c r="LQ351">
        <v>21</v>
      </c>
      <c r="LR351">
        <v>109</v>
      </c>
      <c r="LS351">
        <v>858</v>
      </c>
      <c r="LT351">
        <v>94</v>
      </c>
      <c r="LU351">
        <v>115</v>
      </c>
      <c r="LV351">
        <v>113</v>
      </c>
      <c r="LW351">
        <v>298</v>
      </c>
      <c r="LX351">
        <v>494</v>
      </c>
      <c r="LY351">
        <v>123</v>
      </c>
      <c r="LZ351">
        <v>207</v>
      </c>
      <c r="MA351">
        <v>83</v>
      </c>
      <c r="MB351">
        <v>28</v>
      </c>
      <c r="MC351">
        <v>9</v>
      </c>
      <c r="MD351">
        <v>0</v>
      </c>
      <c r="ME351">
        <v>78</v>
      </c>
      <c r="MF351">
        <v>5</v>
      </c>
      <c r="MG351">
        <v>673</v>
      </c>
      <c r="MH351">
        <v>108</v>
      </c>
      <c r="MI351">
        <v>42</v>
      </c>
      <c r="MJ351">
        <v>121</v>
      </c>
      <c r="MK351">
        <v>147</v>
      </c>
      <c r="ML351">
        <v>23</v>
      </c>
      <c r="MM351">
        <v>32</v>
      </c>
      <c r="MN351">
        <v>53</v>
      </c>
      <c r="MO351">
        <v>89</v>
      </c>
      <c r="MP351">
        <v>156</v>
      </c>
      <c r="MQ351">
        <v>1</v>
      </c>
      <c r="MR351">
        <v>65</v>
      </c>
      <c r="MS351">
        <v>257</v>
      </c>
      <c r="MT351">
        <v>2</v>
      </c>
      <c r="MU351">
        <v>22</v>
      </c>
      <c r="MV351">
        <v>118</v>
      </c>
      <c r="MW351">
        <v>13</v>
      </c>
      <c r="MX351">
        <v>103</v>
      </c>
      <c r="MY351">
        <v>14</v>
      </c>
      <c r="MZ351">
        <v>816</v>
      </c>
      <c r="NA351">
        <v>165</v>
      </c>
      <c r="NB351">
        <v>17</v>
      </c>
      <c r="NC351">
        <v>84</v>
      </c>
      <c r="ND351">
        <v>9</v>
      </c>
      <c r="NE351">
        <v>6</v>
      </c>
      <c r="NF351">
        <v>14</v>
      </c>
      <c r="NG351">
        <v>3</v>
      </c>
      <c r="NH351">
        <v>10</v>
      </c>
      <c r="NI351">
        <v>52</v>
      </c>
      <c r="NJ351">
        <v>7</v>
      </c>
      <c r="NK351">
        <v>7</v>
      </c>
      <c r="NL351">
        <v>5</v>
      </c>
      <c r="NM351">
        <v>25</v>
      </c>
      <c r="NN351">
        <v>33</v>
      </c>
      <c r="NO351">
        <v>52</v>
      </c>
      <c r="NP351">
        <v>42</v>
      </c>
      <c r="NQ351">
        <v>43</v>
      </c>
      <c r="NR351">
        <v>5</v>
      </c>
      <c r="NS351">
        <v>19</v>
      </c>
      <c r="NT351">
        <v>12</v>
      </c>
      <c r="NU351">
        <v>4</v>
      </c>
      <c r="NV351">
        <v>24</v>
      </c>
      <c r="NW351">
        <v>0</v>
      </c>
      <c r="NX351">
        <v>2</v>
      </c>
      <c r="NY351">
        <v>19</v>
      </c>
      <c r="OA351">
        <v>25</v>
      </c>
      <c r="OB351">
        <v>14</v>
      </c>
      <c r="OD351">
        <v>3412</v>
      </c>
      <c r="OE351">
        <v>9421</v>
      </c>
      <c r="OI351">
        <v>514</v>
      </c>
      <c r="OJ351">
        <v>879</v>
      </c>
      <c r="OK351">
        <v>2953</v>
      </c>
      <c r="OL351">
        <v>22</v>
      </c>
      <c r="ON351">
        <v>287</v>
      </c>
      <c r="OO351">
        <v>33602</v>
      </c>
      <c r="PI351">
        <v>33602</v>
      </c>
      <c r="PM351" t="str">
        <f>IFERROR(VLOOKUP($A351&amp;"",Key!$A:$C,3,FALSE),"")</f>
        <v>ISIC 77T82</v>
      </c>
    </row>
    <row r="352" spans="1:429" x14ac:dyDescent="0.25">
      <c r="A352">
        <v>561400</v>
      </c>
      <c r="B352" t="s">
        <v>487</v>
      </c>
      <c r="C352">
        <v>1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4</v>
      </c>
      <c r="J352">
        <v>0</v>
      </c>
      <c r="K352">
        <v>2</v>
      </c>
      <c r="L352">
        <v>1</v>
      </c>
      <c r="O352">
        <v>2</v>
      </c>
      <c r="P352">
        <v>4</v>
      </c>
      <c r="Q352">
        <v>17</v>
      </c>
      <c r="S352">
        <v>0</v>
      </c>
      <c r="T352">
        <v>5</v>
      </c>
      <c r="U352">
        <v>3</v>
      </c>
      <c r="V352">
        <v>6</v>
      </c>
      <c r="W352">
        <v>112</v>
      </c>
      <c r="X352">
        <v>664</v>
      </c>
      <c r="Y352">
        <v>96</v>
      </c>
      <c r="Z352">
        <v>8</v>
      </c>
      <c r="AA352">
        <v>13</v>
      </c>
      <c r="AB352">
        <v>2</v>
      </c>
      <c r="AC352">
        <v>33</v>
      </c>
      <c r="AD352">
        <v>17</v>
      </c>
      <c r="AE352">
        <v>90</v>
      </c>
      <c r="AF352">
        <v>13</v>
      </c>
      <c r="AG352">
        <v>120</v>
      </c>
      <c r="AH352">
        <v>19</v>
      </c>
      <c r="AI352">
        <v>31</v>
      </c>
      <c r="AJ352">
        <v>6</v>
      </c>
      <c r="AK352">
        <v>118</v>
      </c>
      <c r="AL352">
        <v>39</v>
      </c>
      <c r="AM352">
        <v>16</v>
      </c>
      <c r="AN352">
        <v>4</v>
      </c>
      <c r="AO352">
        <v>7</v>
      </c>
      <c r="AP352">
        <v>11</v>
      </c>
      <c r="AQ352">
        <v>2</v>
      </c>
      <c r="AR352">
        <v>24</v>
      </c>
      <c r="AS352">
        <v>20</v>
      </c>
      <c r="AT352">
        <v>15</v>
      </c>
      <c r="AU352">
        <v>1</v>
      </c>
      <c r="AV352">
        <v>28</v>
      </c>
      <c r="AW352">
        <v>10</v>
      </c>
      <c r="AX352">
        <v>1</v>
      </c>
      <c r="AY352">
        <v>17</v>
      </c>
      <c r="AZ352">
        <v>0</v>
      </c>
      <c r="BA352">
        <v>4</v>
      </c>
      <c r="BB352">
        <v>1</v>
      </c>
      <c r="BC352">
        <v>137</v>
      </c>
      <c r="BD352">
        <v>25</v>
      </c>
      <c r="BE352">
        <v>3</v>
      </c>
      <c r="BF352">
        <v>2</v>
      </c>
      <c r="BG352">
        <v>54</v>
      </c>
      <c r="BH352">
        <v>11</v>
      </c>
      <c r="BI352">
        <v>9</v>
      </c>
      <c r="BJ352">
        <v>38</v>
      </c>
      <c r="BK352">
        <v>52</v>
      </c>
      <c r="BL352">
        <v>55</v>
      </c>
      <c r="BM352">
        <v>6</v>
      </c>
      <c r="BN352">
        <v>111</v>
      </c>
      <c r="BO352">
        <v>50</v>
      </c>
      <c r="BP352">
        <v>23</v>
      </c>
      <c r="BQ352">
        <v>328</v>
      </c>
      <c r="BR352">
        <v>123</v>
      </c>
      <c r="BS352">
        <v>16</v>
      </c>
      <c r="BT352">
        <v>20</v>
      </c>
      <c r="BU352">
        <v>5</v>
      </c>
      <c r="BV352">
        <v>20</v>
      </c>
      <c r="BW352">
        <v>10</v>
      </c>
      <c r="BX352">
        <v>217</v>
      </c>
      <c r="BY352">
        <v>72</v>
      </c>
      <c r="BZ352">
        <v>11</v>
      </c>
      <c r="CA352">
        <v>4</v>
      </c>
      <c r="CB352">
        <v>56</v>
      </c>
      <c r="CC352">
        <v>15</v>
      </c>
      <c r="CD352">
        <v>5</v>
      </c>
      <c r="CE352">
        <v>22</v>
      </c>
      <c r="CF352">
        <v>7</v>
      </c>
      <c r="CG352">
        <v>19</v>
      </c>
      <c r="CH352">
        <v>2</v>
      </c>
      <c r="CI352">
        <v>32</v>
      </c>
      <c r="CJ352">
        <v>65</v>
      </c>
      <c r="CK352">
        <v>5</v>
      </c>
      <c r="CL352">
        <v>35</v>
      </c>
      <c r="CM352">
        <v>5</v>
      </c>
      <c r="CN352">
        <v>1</v>
      </c>
      <c r="CO352">
        <v>10</v>
      </c>
      <c r="CP352">
        <v>2</v>
      </c>
      <c r="CQ352">
        <v>26</v>
      </c>
      <c r="CR352">
        <v>3</v>
      </c>
      <c r="CS352">
        <v>1</v>
      </c>
      <c r="CT352">
        <v>7</v>
      </c>
      <c r="CU352">
        <v>2</v>
      </c>
      <c r="CV352">
        <v>11</v>
      </c>
      <c r="CW352">
        <v>15</v>
      </c>
      <c r="CX352">
        <v>8</v>
      </c>
      <c r="CY352">
        <v>5</v>
      </c>
      <c r="CZ352">
        <v>9</v>
      </c>
      <c r="DA352">
        <v>5</v>
      </c>
      <c r="DB352">
        <v>31</v>
      </c>
      <c r="DC352">
        <v>42</v>
      </c>
      <c r="DD352">
        <v>7</v>
      </c>
      <c r="DE352">
        <v>19</v>
      </c>
      <c r="DF352">
        <v>2</v>
      </c>
      <c r="DG352">
        <v>14</v>
      </c>
      <c r="DH352">
        <v>23</v>
      </c>
      <c r="DI352">
        <v>2</v>
      </c>
      <c r="DJ352">
        <v>2</v>
      </c>
      <c r="DK352">
        <v>1</v>
      </c>
      <c r="DL352">
        <v>1</v>
      </c>
      <c r="DM352">
        <v>37</v>
      </c>
      <c r="DN352">
        <v>2</v>
      </c>
      <c r="DO352">
        <v>40</v>
      </c>
      <c r="DP352">
        <v>0</v>
      </c>
      <c r="DQ352">
        <v>9</v>
      </c>
      <c r="DR352">
        <v>5</v>
      </c>
      <c r="DS352">
        <v>89</v>
      </c>
      <c r="DT352">
        <v>0</v>
      </c>
      <c r="DU352">
        <v>0</v>
      </c>
      <c r="DV352">
        <v>2</v>
      </c>
      <c r="DW352">
        <v>1</v>
      </c>
      <c r="DX352">
        <v>5</v>
      </c>
      <c r="DY352">
        <v>1</v>
      </c>
      <c r="DZ352">
        <v>0</v>
      </c>
      <c r="EA352">
        <v>5</v>
      </c>
      <c r="EB352">
        <v>1</v>
      </c>
      <c r="ED352">
        <v>5</v>
      </c>
      <c r="EF352">
        <v>1</v>
      </c>
      <c r="EG352">
        <v>1</v>
      </c>
      <c r="EH352">
        <v>1</v>
      </c>
      <c r="EI352">
        <v>3</v>
      </c>
      <c r="EJ352">
        <v>1</v>
      </c>
      <c r="EL352">
        <v>1</v>
      </c>
      <c r="EM352">
        <v>6</v>
      </c>
      <c r="EN352">
        <v>8</v>
      </c>
      <c r="EO352">
        <v>5</v>
      </c>
      <c r="EP352">
        <v>5</v>
      </c>
      <c r="EQ352">
        <v>3</v>
      </c>
      <c r="ER352">
        <v>17</v>
      </c>
      <c r="ES352">
        <v>7</v>
      </c>
      <c r="ET352">
        <v>2</v>
      </c>
      <c r="EU352">
        <v>2</v>
      </c>
      <c r="EV352">
        <v>0</v>
      </c>
      <c r="EW352">
        <v>5</v>
      </c>
      <c r="EX352">
        <v>5</v>
      </c>
      <c r="EY352">
        <v>45</v>
      </c>
      <c r="EZ352">
        <v>9</v>
      </c>
      <c r="FA352">
        <v>40</v>
      </c>
      <c r="FB352">
        <v>25</v>
      </c>
      <c r="FC352">
        <v>57</v>
      </c>
      <c r="FD352">
        <v>18</v>
      </c>
      <c r="FE352">
        <v>2</v>
      </c>
      <c r="FF352">
        <v>323</v>
      </c>
      <c r="FG352">
        <v>72</v>
      </c>
      <c r="FH352">
        <v>168</v>
      </c>
      <c r="FI352">
        <v>56</v>
      </c>
      <c r="FJ352">
        <v>9</v>
      </c>
      <c r="FK352">
        <v>261</v>
      </c>
      <c r="FL352">
        <v>13</v>
      </c>
      <c r="FM352">
        <v>12</v>
      </c>
      <c r="FN352">
        <v>7</v>
      </c>
      <c r="FO352">
        <v>12</v>
      </c>
      <c r="FP352">
        <v>9</v>
      </c>
      <c r="FQ352">
        <v>2</v>
      </c>
      <c r="FR352">
        <v>0</v>
      </c>
      <c r="FS352">
        <v>6</v>
      </c>
      <c r="FT352">
        <v>5</v>
      </c>
      <c r="FU352">
        <v>2</v>
      </c>
      <c r="FV352">
        <v>11</v>
      </c>
      <c r="FW352">
        <v>2</v>
      </c>
      <c r="FX352">
        <v>36</v>
      </c>
      <c r="FY352">
        <v>73</v>
      </c>
      <c r="FZ352">
        <v>15</v>
      </c>
      <c r="GA352">
        <v>11</v>
      </c>
      <c r="GB352">
        <v>17</v>
      </c>
      <c r="GC352">
        <v>24</v>
      </c>
      <c r="GD352">
        <v>28</v>
      </c>
      <c r="GE352">
        <v>2</v>
      </c>
      <c r="GF352">
        <v>6</v>
      </c>
      <c r="GG352">
        <v>19</v>
      </c>
      <c r="GH352">
        <v>97</v>
      </c>
      <c r="GI352">
        <v>14</v>
      </c>
      <c r="GJ352">
        <v>5</v>
      </c>
      <c r="GK352">
        <v>2</v>
      </c>
      <c r="GL352">
        <v>5</v>
      </c>
      <c r="GM352">
        <v>0</v>
      </c>
      <c r="GN352">
        <v>0</v>
      </c>
      <c r="GO352">
        <v>2</v>
      </c>
      <c r="GP352">
        <v>16</v>
      </c>
      <c r="GQ352">
        <v>3</v>
      </c>
      <c r="GR352">
        <v>4</v>
      </c>
      <c r="GS352">
        <v>27</v>
      </c>
      <c r="GT352">
        <v>2</v>
      </c>
      <c r="GU352">
        <v>30</v>
      </c>
      <c r="GW352">
        <v>11</v>
      </c>
      <c r="GX352">
        <v>23</v>
      </c>
      <c r="GY352">
        <v>3</v>
      </c>
      <c r="GZ352">
        <v>33</v>
      </c>
      <c r="HA352">
        <v>6</v>
      </c>
      <c r="HB352">
        <v>13</v>
      </c>
      <c r="HC352">
        <v>0</v>
      </c>
      <c r="HD352">
        <v>2</v>
      </c>
      <c r="HE352">
        <v>8</v>
      </c>
      <c r="HF352">
        <v>27</v>
      </c>
      <c r="HG352">
        <v>28</v>
      </c>
      <c r="HH352">
        <v>1</v>
      </c>
      <c r="HI352">
        <v>6</v>
      </c>
      <c r="HK352">
        <v>22</v>
      </c>
      <c r="HM352">
        <v>11</v>
      </c>
      <c r="HN352">
        <v>3</v>
      </c>
      <c r="HP352">
        <v>1</v>
      </c>
      <c r="HQ352">
        <v>1</v>
      </c>
      <c r="HR352">
        <v>33</v>
      </c>
      <c r="HS352">
        <v>0</v>
      </c>
      <c r="HT352">
        <v>15</v>
      </c>
      <c r="HU352">
        <v>13</v>
      </c>
      <c r="HV352">
        <v>16</v>
      </c>
      <c r="HW352">
        <v>40</v>
      </c>
      <c r="HX352">
        <v>2</v>
      </c>
      <c r="HY352">
        <v>4</v>
      </c>
      <c r="HZ352">
        <v>2</v>
      </c>
      <c r="IA352">
        <v>1</v>
      </c>
      <c r="IB352">
        <v>310</v>
      </c>
      <c r="IC352">
        <v>19</v>
      </c>
      <c r="ID352">
        <v>217</v>
      </c>
      <c r="IE352">
        <v>3</v>
      </c>
      <c r="IF352">
        <v>1</v>
      </c>
      <c r="IG352">
        <v>11</v>
      </c>
      <c r="IH352">
        <v>4</v>
      </c>
      <c r="II352">
        <v>10</v>
      </c>
      <c r="IK352">
        <v>38</v>
      </c>
      <c r="IL352">
        <v>31</v>
      </c>
      <c r="IM352">
        <v>36</v>
      </c>
      <c r="IN352">
        <v>4</v>
      </c>
      <c r="IO352">
        <v>1</v>
      </c>
      <c r="IP352">
        <v>43</v>
      </c>
      <c r="IQ352">
        <v>5</v>
      </c>
      <c r="IR352">
        <v>12</v>
      </c>
      <c r="IS352">
        <v>35</v>
      </c>
      <c r="IU352">
        <v>1</v>
      </c>
      <c r="IV352">
        <v>4</v>
      </c>
      <c r="IW352">
        <v>6</v>
      </c>
      <c r="IX352">
        <v>23</v>
      </c>
      <c r="IZ352">
        <v>7</v>
      </c>
      <c r="JA352">
        <v>32</v>
      </c>
      <c r="JB352">
        <v>2</v>
      </c>
      <c r="JC352">
        <v>5</v>
      </c>
      <c r="JD352">
        <v>38</v>
      </c>
      <c r="JE352">
        <v>5</v>
      </c>
      <c r="JF352">
        <v>0</v>
      </c>
      <c r="JG352">
        <v>101</v>
      </c>
      <c r="JH352">
        <v>4</v>
      </c>
      <c r="JI352">
        <v>4</v>
      </c>
      <c r="JJ352">
        <v>13</v>
      </c>
      <c r="JK352">
        <v>887</v>
      </c>
      <c r="JL352">
        <v>2114</v>
      </c>
      <c r="JM352">
        <v>2328</v>
      </c>
      <c r="JN352">
        <v>1715</v>
      </c>
      <c r="JO352">
        <v>2334</v>
      </c>
      <c r="JP352">
        <v>2035</v>
      </c>
      <c r="JQ352">
        <v>2132</v>
      </c>
      <c r="JR352">
        <v>2334</v>
      </c>
      <c r="JS352">
        <v>3563</v>
      </c>
      <c r="JT352">
        <v>692</v>
      </c>
      <c r="JV352">
        <v>887</v>
      </c>
      <c r="JW352">
        <v>785</v>
      </c>
      <c r="JX352">
        <v>1267</v>
      </c>
      <c r="JY352">
        <v>517</v>
      </c>
      <c r="JZ352">
        <v>272</v>
      </c>
      <c r="KA352">
        <v>582</v>
      </c>
      <c r="KB352">
        <v>173</v>
      </c>
      <c r="KC352">
        <v>1453</v>
      </c>
      <c r="KD352">
        <v>234</v>
      </c>
      <c r="KE352">
        <v>538</v>
      </c>
      <c r="KF352">
        <v>24</v>
      </c>
      <c r="KG352">
        <v>27</v>
      </c>
      <c r="KH352">
        <v>202</v>
      </c>
      <c r="KI352">
        <v>115</v>
      </c>
      <c r="KJ352">
        <v>15</v>
      </c>
      <c r="KK352">
        <v>630</v>
      </c>
      <c r="KL352">
        <v>39</v>
      </c>
      <c r="KM352">
        <v>196</v>
      </c>
      <c r="KN352">
        <v>41</v>
      </c>
      <c r="KO352">
        <v>73</v>
      </c>
      <c r="KP352">
        <v>150</v>
      </c>
      <c r="KQ352">
        <v>25</v>
      </c>
      <c r="KR352">
        <v>539</v>
      </c>
      <c r="KS352">
        <v>74</v>
      </c>
      <c r="KT352">
        <v>19</v>
      </c>
      <c r="KU352">
        <v>40</v>
      </c>
      <c r="KV352">
        <v>42</v>
      </c>
      <c r="KW352">
        <v>283</v>
      </c>
      <c r="KX352">
        <v>455</v>
      </c>
      <c r="KY352">
        <v>59</v>
      </c>
      <c r="KZ352">
        <v>778</v>
      </c>
      <c r="LA352">
        <v>415</v>
      </c>
      <c r="LB352">
        <v>0</v>
      </c>
      <c r="LC352">
        <v>1951</v>
      </c>
      <c r="LD352">
        <v>416</v>
      </c>
      <c r="LE352">
        <v>304</v>
      </c>
      <c r="LF352">
        <v>246</v>
      </c>
      <c r="LH352">
        <v>64</v>
      </c>
      <c r="LI352">
        <v>129</v>
      </c>
      <c r="LK352">
        <v>352</v>
      </c>
      <c r="LL352">
        <v>22</v>
      </c>
      <c r="LM352">
        <v>5080</v>
      </c>
      <c r="LN352">
        <v>91</v>
      </c>
      <c r="LO352">
        <v>473</v>
      </c>
      <c r="LP352">
        <v>31</v>
      </c>
      <c r="LQ352">
        <v>9546</v>
      </c>
      <c r="LR352">
        <v>4045</v>
      </c>
      <c r="LS352">
        <v>441</v>
      </c>
      <c r="LT352">
        <v>941</v>
      </c>
      <c r="LU352">
        <v>251</v>
      </c>
      <c r="LV352">
        <v>389</v>
      </c>
      <c r="LW352">
        <v>1394</v>
      </c>
      <c r="LX352">
        <v>1107</v>
      </c>
      <c r="LY352">
        <v>255</v>
      </c>
      <c r="LZ352">
        <v>1392</v>
      </c>
      <c r="MA352">
        <v>110</v>
      </c>
      <c r="MB352">
        <v>45</v>
      </c>
      <c r="MC352">
        <v>22</v>
      </c>
      <c r="MD352">
        <v>29</v>
      </c>
      <c r="ME352">
        <v>365</v>
      </c>
      <c r="MF352">
        <v>1479</v>
      </c>
      <c r="MG352">
        <v>1849</v>
      </c>
      <c r="MH352">
        <v>580</v>
      </c>
      <c r="MI352">
        <v>212</v>
      </c>
      <c r="MJ352">
        <v>139</v>
      </c>
      <c r="MK352">
        <v>452</v>
      </c>
      <c r="ML352">
        <v>180</v>
      </c>
      <c r="MM352">
        <v>293</v>
      </c>
      <c r="MN352">
        <v>154</v>
      </c>
      <c r="MO352">
        <v>398</v>
      </c>
      <c r="MP352">
        <v>43</v>
      </c>
      <c r="MQ352">
        <v>36</v>
      </c>
      <c r="MR352">
        <v>101</v>
      </c>
      <c r="MS352">
        <v>2666</v>
      </c>
      <c r="MT352">
        <v>85</v>
      </c>
      <c r="MU352">
        <v>106</v>
      </c>
      <c r="MV352">
        <v>259</v>
      </c>
      <c r="MW352">
        <v>112</v>
      </c>
      <c r="MX352">
        <v>110</v>
      </c>
      <c r="MY352">
        <v>69</v>
      </c>
      <c r="MZ352">
        <v>2287</v>
      </c>
      <c r="NA352">
        <v>585</v>
      </c>
      <c r="NB352">
        <v>53</v>
      </c>
      <c r="NC352">
        <v>223</v>
      </c>
      <c r="ND352">
        <v>46</v>
      </c>
      <c r="NE352">
        <v>69</v>
      </c>
      <c r="NF352">
        <v>42</v>
      </c>
      <c r="NG352">
        <v>19</v>
      </c>
      <c r="NH352">
        <v>69</v>
      </c>
      <c r="NI352">
        <v>68</v>
      </c>
      <c r="NJ352">
        <v>26</v>
      </c>
      <c r="NK352">
        <v>21</v>
      </c>
      <c r="NL352">
        <v>19</v>
      </c>
      <c r="NM352">
        <v>137</v>
      </c>
      <c r="NN352">
        <v>249</v>
      </c>
      <c r="NO352">
        <v>382</v>
      </c>
      <c r="NP352">
        <v>578</v>
      </c>
      <c r="NQ352">
        <v>89</v>
      </c>
      <c r="NR352">
        <v>42</v>
      </c>
      <c r="NS352">
        <v>45</v>
      </c>
      <c r="NT352">
        <v>29</v>
      </c>
      <c r="NU352">
        <v>22</v>
      </c>
      <c r="NV352">
        <v>73</v>
      </c>
      <c r="NW352">
        <v>3</v>
      </c>
      <c r="NX352">
        <v>16</v>
      </c>
      <c r="NY352">
        <v>97</v>
      </c>
      <c r="NZ352">
        <v>53</v>
      </c>
      <c r="OA352">
        <v>325</v>
      </c>
      <c r="OB352">
        <v>308</v>
      </c>
      <c r="OD352">
        <v>8</v>
      </c>
      <c r="OE352">
        <v>23</v>
      </c>
      <c r="OF352">
        <v>3</v>
      </c>
      <c r="OG352">
        <v>40</v>
      </c>
      <c r="OH352">
        <v>5</v>
      </c>
      <c r="OI352">
        <v>95</v>
      </c>
      <c r="OJ352">
        <v>362</v>
      </c>
      <c r="OK352">
        <v>1312</v>
      </c>
      <c r="OL352">
        <v>2</v>
      </c>
      <c r="OM352">
        <v>10</v>
      </c>
      <c r="ON352">
        <v>1471</v>
      </c>
      <c r="OO352">
        <v>85947</v>
      </c>
      <c r="OP352">
        <v>6344</v>
      </c>
      <c r="OV352">
        <v>245</v>
      </c>
      <c r="PI352">
        <v>92536</v>
      </c>
      <c r="PM352" t="str">
        <f>IFERROR(VLOOKUP($A352&amp;"",Key!$A:$C,3,FALSE),"")</f>
        <v>ISIC 77T82</v>
      </c>
    </row>
    <row r="353" spans="1:429" x14ac:dyDescent="0.25">
      <c r="A353">
        <v>561500</v>
      </c>
      <c r="B353" t="s">
        <v>488</v>
      </c>
      <c r="D353">
        <v>4</v>
      </c>
      <c r="E353">
        <v>9</v>
      </c>
      <c r="H353">
        <v>4</v>
      </c>
      <c r="M353">
        <v>0</v>
      </c>
      <c r="N353">
        <v>0</v>
      </c>
      <c r="O353">
        <v>4</v>
      </c>
      <c r="Q353">
        <v>21</v>
      </c>
      <c r="T353">
        <v>12</v>
      </c>
      <c r="U353">
        <v>7</v>
      </c>
      <c r="W353">
        <v>167</v>
      </c>
      <c r="X353">
        <v>283</v>
      </c>
      <c r="Y353">
        <v>69</v>
      </c>
      <c r="Z353">
        <v>15</v>
      </c>
      <c r="AC353">
        <v>21</v>
      </c>
      <c r="AD353">
        <v>24</v>
      </c>
      <c r="AO353">
        <v>5</v>
      </c>
      <c r="AP353">
        <v>0</v>
      </c>
      <c r="AY353">
        <v>1</v>
      </c>
      <c r="BO353">
        <v>11</v>
      </c>
      <c r="BP353">
        <v>2</v>
      </c>
      <c r="BQ353">
        <v>1</v>
      </c>
      <c r="BX353">
        <v>6</v>
      </c>
      <c r="BZ353">
        <v>7</v>
      </c>
      <c r="CM353">
        <v>1</v>
      </c>
      <c r="CO353">
        <v>2</v>
      </c>
      <c r="FK353">
        <v>10</v>
      </c>
      <c r="FP353">
        <v>18</v>
      </c>
      <c r="FR353">
        <v>1</v>
      </c>
      <c r="FS353">
        <v>2</v>
      </c>
      <c r="FW353">
        <v>1</v>
      </c>
      <c r="FY353">
        <v>2</v>
      </c>
      <c r="GD353">
        <v>2</v>
      </c>
      <c r="GR353">
        <v>1</v>
      </c>
      <c r="HA353">
        <v>7</v>
      </c>
      <c r="HF353">
        <v>9</v>
      </c>
      <c r="HY353">
        <v>1</v>
      </c>
      <c r="IA353">
        <v>0</v>
      </c>
      <c r="IB353">
        <v>5</v>
      </c>
      <c r="JD353">
        <v>11</v>
      </c>
      <c r="JG353">
        <v>12</v>
      </c>
      <c r="JK353">
        <v>1</v>
      </c>
      <c r="JL353">
        <v>52</v>
      </c>
      <c r="JN353">
        <v>18</v>
      </c>
      <c r="JO353">
        <v>530</v>
      </c>
      <c r="JQ353">
        <v>2</v>
      </c>
      <c r="JS353">
        <v>240</v>
      </c>
      <c r="JV353">
        <v>137</v>
      </c>
      <c r="JW353">
        <v>36</v>
      </c>
      <c r="JX353">
        <v>16</v>
      </c>
      <c r="JY353">
        <v>38</v>
      </c>
      <c r="JZ353">
        <v>84</v>
      </c>
      <c r="KA353">
        <v>13</v>
      </c>
      <c r="KB353">
        <v>51</v>
      </c>
      <c r="KC353">
        <v>133</v>
      </c>
      <c r="KD353">
        <v>93</v>
      </c>
      <c r="KE353">
        <v>2233</v>
      </c>
      <c r="KF353">
        <v>278</v>
      </c>
      <c r="KG353">
        <v>4158</v>
      </c>
      <c r="KH353">
        <v>2</v>
      </c>
      <c r="KI353">
        <v>1708</v>
      </c>
      <c r="KJ353">
        <v>29</v>
      </c>
      <c r="KK353">
        <v>51</v>
      </c>
      <c r="KM353">
        <v>48</v>
      </c>
      <c r="KO353">
        <v>25</v>
      </c>
      <c r="KP353">
        <v>74</v>
      </c>
      <c r="KQ353">
        <v>20</v>
      </c>
      <c r="KR353">
        <v>12</v>
      </c>
      <c r="KS353">
        <v>0</v>
      </c>
      <c r="KT353">
        <v>2</v>
      </c>
      <c r="KV353">
        <v>13</v>
      </c>
      <c r="KW353">
        <v>33</v>
      </c>
      <c r="KX353">
        <v>0</v>
      </c>
      <c r="KY353">
        <v>29</v>
      </c>
      <c r="KZ353">
        <v>8</v>
      </c>
      <c r="LA353">
        <v>7</v>
      </c>
      <c r="LC353">
        <v>7</v>
      </c>
      <c r="LD353">
        <v>9</v>
      </c>
      <c r="LE353">
        <v>1</v>
      </c>
      <c r="LF353">
        <v>4</v>
      </c>
      <c r="LG353">
        <v>575</v>
      </c>
      <c r="LH353">
        <v>1432</v>
      </c>
      <c r="LI353">
        <v>1</v>
      </c>
      <c r="LJ353">
        <v>1</v>
      </c>
      <c r="LL353">
        <v>0</v>
      </c>
      <c r="LM353">
        <v>2176</v>
      </c>
      <c r="LN353">
        <v>17</v>
      </c>
      <c r="LO353">
        <v>172</v>
      </c>
      <c r="LP353">
        <v>9</v>
      </c>
      <c r="LQ353">
        <v>2053</v>
      </c>
      <c r="LR353">
        <v>84</v>
      </c>
      <c r="LS353">
        <v>0</v>
      </c>
      <c r="LT353">
        <v>335</v>
      </c>
      <c r="LU353">
        <v>0</v>
      </c>
      <c r="LV353">
        <v>103</v>
      </c>
      <c r="LW353">
        <v>176</v>
      </c>
      <c r="LX353">
        <v>931</v>
      </c>
      <c r="LY353">
        <v>278</v>
      </c>
      <c r="LZ353">
        <v>1093</v>
      </c>
      <c r="MA353">
        <v>511</v>
      </c>
      <c r="MD353">
        <v>0</v>
      </c>
      <c r="ME353">
        <v>102</v>
      </c>
      <c r="MF353">
        <v>5808</v>
      </c>
      <c r="MG353">
        <v>115</v>
      </c>
      <c r="MH353">
        <v>0</v>
      </c>
      <c r="MI353">
        <v>108</v>
      </c>
      <c r="MJ353">
        <v>83</v>
      </c>
      <c r="MK353">
        <v>18</v>
      </c>
      <c r="ML353">
        <v>401</v>
      </c>
      <c r="MN353">
        <v>868</v>
      </c>
      <c r="MO353">
        <v>151</v>
      </c>
      <c r="MQ353">
        <v>29</v>
      </c>
      <c r="MR353">
        <v>14</v>
      </c>
      <c r="MS353">
        <v>916</v>
      </c>
      <c r="MT353">
        <v>55</v>
      </c>
      <c r="MU353">
        <v>53</v>
      </c>
      <c r="MV353">
        <v>95</v>
      </c>
      <c r="MX353">
        <v>0</v>
      </c>
      <c r="MY353">
        <v>93</v>
      </c>
      <c r="MZ353">
        <v>47</v>
      </c>
      <c r="NA353">
        <v>94</v>
      </c>
      <c r="NC353">
        <v>1</v>
      </c>
      <c r="NG353">
        <v>222</v>
      </c>
      <c r="NI353">
        <v>593</v>
      </c>
      <c r="NJ353">
        <v>6</v>
      </c>
      <c r="NK353">
        <v>26</v>
      </c>
      <c r="NL353">
        <v>20</v>
      </c>
      <c r="NM353">
        <v>54</v>
      </c>
      <c r="NN353">
        <v>375</v>
      </c>
      <c r="NP353">
        <v>1</v>
      </c>
      <c r="NQ353">
        <v>55</v>
      </c>
      <c r="NR353">
        <v>9</v>
      </c>
      <c r="NV353">
        <v>120</v>
      </c>
      <c r="NX353">
        <v>0</v>
      </c>
      <c r="NY353">
        <v>3</v>
      </c>
      <c r="NZ353">
        <v>208</v>
      </c>
      <c r="OA353">
        <v>363</v>
      </c>
      <c r="OB353">
        <v>288</v>
      </c>
      <c r="OD353">
        <v>0</v>
      </c>
      <c r="OE353">
        <v>182</v>
      </c>
      <c r="OF353">
        <v>20</v>
      </c>
      <c r="OG353">
        <v>131</v>
      </c>
      <c r="OI353">
        <v>8</v>
      </c>
      <c r="OJ353">
        <v>7</v>
      </c>
      <c r="OK353">
        <v>583</v>
      </c>
      <c r="OM353">
        <v>98</v>
      </c>
      <c r="ON353">
        <v>481</v>
      </c>
      <c r="OO353">
        <v>33805</v>
      </c>
      <c r="OP353">
        <v>23394</v>
      </c>
      <c r="OV353">
        <v>622</v>
      </c>
      <c r="PI353">
        <v>57822</v>
      </c>
      <c r="PM353" t="str">
        <f>IFERROR(VLOOKUP($A353&amp;"",Key!$A:$C,3,FALSE),"")</f>
        <v>ISIC 77T82</v>
      </c>
    </row>
    <row r="354" spans="1:429" x14ac:dyDescent="0.25">
      <c r="A354">
        <v>561600</v>
      </c>
      <c r="B354" t="s">
        <v>489</v>
      </c>
      <c r="P354">
        <v>81</v>
      </c>
      <c r="Q354">
        <v>8</v>
      </c>
      <c r="R354">
        <v>0</v>
      </c>
      <c r="S354">
        <v>1</v>
      </c>
      <c r="T354">
        <v>2</v>
      </c>
      <c r="U354">
        <v>1</v>
      </c>
      <c r="V354">
        <v>23</v>
      </c>
      <c r="W354">
        <v>44</v>
      </c>
      <c r="X354">
        <v>260</v>
      </c>
      <c r="Y354">
        <v>46</v>
      </c>
      <c r="Z354">
        <v>2</v>
      </c>
      <c r="AA354">
        <v>12</v>
      </c>
      <c r="AB354">
        <v>2</v>
      </c>
      <c r="AC354">
        <v>80</v>
      </c>
      <c r="AD354">
        <v>62</v>
      </c>
      <c r="AE354">
        <v>105</v>
      </c>
      <c r="AF354">
        <v>19</v>
      </c>
      <c r="AG354">
        <v>78</v>
      </c>
      <c r="AH354">
        <v>20</v>
      </c>
      <c r="AI354">
        <v>41</v>
      </c>
      <c r="AJ354">
        <v>16</v>
      </c>
      <c r="AK354">
        <v>78</v>
      </c>
      <c r="AL354">
        <v>42</v>
      </c>
      <c r="AM354">
        <v>13</v>
      </c>
      <c r="AN354">
        <v>8</v>
      </c>
      <c r="AO354">
        <v>2</v>
      </c>
      <c r="AP354">
        <v>16</v>
      </c>
      <c r="AR354">
        <v>20</v>
      </c>
      <c r="AS354">
        <v>19</v>
      </c>
      <c r="AT354">
        <v>8</v>
      </c>
      <c r="AU354">
        <v>0</v>
      </c>
      <c r="AV354">
        <v>35</v>
      </c>
      <c r="AW354">
        <v>8</v>
      </c>
      <c r="AX354">
        <v>0</v>
      </c>
      <c r="AY354">
        <v>18</v>
      </c>
      <c r="AZ354">
        <v>0</v>
      </c>
      <c r="BA354">
        <v>3</v>
      </c>
      <c r="BB354">
        <v>0</v>
      </c>
      <c r="BC354">
        <v>103</v>
      </c>
      <c r="BD354">
        <v>23</v>
      </c>
      <c r="BE354">
        <v>2</v>
      </c>
      <c r="BF354">
        <v>1</v>
      </c>
      <c r="BG354">
        <v>43</v>
      </c>
      <c r="BH354">
        <v>13</v>
      </c>
      <c r="BI354">
        <v>9</v>
      </c>
      <c r="BJ354">
        <v>35</v>
      </c>
      <c r="BK354">
        <v>50</v>
      </c>
      <c r="BL354">
        <v>50</v>
      </c>
      <c r="BM354">
        <v>5</v>
      </c>
      <c r="BN354">
        <v>96</v>
      </c>
      <c r="BO354">
        <v>37</v>
      </c>
      <c r="BP354">
        <v>23</v>
      </c>
      <c r="BQ354">
        <v>351</v>
      </c>
      <c r="BR354">
        <v>135</v>
      </c>
      <c r="BS354">
        <v>22</v>
      </c>
      <c r="BT354">
        <v>23</v>
      </c>
      <c r="BU354">
        <v>6</v>
      </c>
      <c r="BV354">
        <v>23</v>
      </c>
      <c r="BW354">
        <v>13</v>
      </c>
      <c r="BX354">
        <v>193</v>
      </c>
      <c r="BY354">
        <v>58</v>
      </c>
      <c r="BZ354">
        <v>8</v>
      </c>
      <c r="CA354">
        <v>7</v>
      </c>
      <c r="CB354">
        <v>57</v>
      </c>
      <c r="CC354">
        <v>15</v>
      </c>
      <c r="CD354">
        <v>4</v>
      </c>
      <c r="CE354">
        <v>23</v>
      </c>
      <c r="CF354">
        <v>11</v>
      </c>
      <c r="CG354">
        <v>19</v>
      </c>
      <c r="CH354">
        <v>2</v>
      </c>
      <c r="CI354">
        <v>29</v>
      </c>
      <c r="CJ354">
        <v>63</v>
      </c>
      <c r="CK354">
        <v>2</v>
      </c>
      <c r="CL354">
        <v>29</v>
      </c>
      <c r="CM354">
        <v>3</v>
      </c>
      <c r="CN354">
        <v>0</v>
      </c>
      <c r="CO354">
        <v>6</v>
      </c>
      <c r="CP354">
        <v>0</v>
      </c>
      <c r="CQ354">
        <v>16</v>
      </c>
      <c r="CR354">
        <v>2</v>
      </c>
      <c r="CS354">
        <v>6</v>
      </c>
      <c r="CT354">
        <v>4</v>
      </c>
      <c r="CU354">
        <v>2</v>
      </c>
      <c r="CV354">
        <v>8</v>
      </c>
      <c r="CW354">
        <v>17</v>
      </c>
      <c r="CX354">
        <v>8</v>
      </c>
      <c r="CY354">
        <v>3</v>
      </c>
      <c r="CZ354">
        <v>6</v>
      </c>
      <c r="DA354">
        <v>6</v>
      </c>
      <c r="DB354">
        <v>20</v>
      </c>
      <c r="DC354">
        <v>37</v>
      </c>
      <c r="DD354">
        <v>7</v>
      </c>
      <c r="DE354">
        <v>13</v>
      </c>
      <c r="DF354">
        <v>1</v>
      </c>
      <c r="DG354">
        <v>8</v>
      </c>
      <c r="DH354">
        <v>18</v>
      </c>
      <c r="DI354">
        <v>1</v>
      </c>
      <c r="DJ354">
        <v>1</v>
      </c>
      <c r="DK354">
        <v>1</v>
      </c>
      <c r="DL354">
        <v>1</v>
      </c>
      <c r="DM354">
        <v>29</v>
      </c>
      <c r="DN354">
        <v>1</v>
      </c>
      <c r="DO354">
        <v>33</v>
      </c>
      <c r="DP354">
        <v>0</v>
      </c>
      <c r="DQ354">
        <v>7</v>
      </c>
      <c r="DR354">
        <v>3</v>
      </c>
      <c r="DS354">
        <v>75</v>
      </c>
      <c r="DT354">
        <v>2</v>
      </c>
      <c r="DU354">
        <v>1</v>
      </c>
      <c r="DV354">
        <v>2</v>
      </c>
      <c r="DW354">
        <v>2</v>
      </c>
      <c r="DX354">
        <v>4</v>
      </c>
      <c r="DY354">
        <v>2</v>
      </c>
      <c r="DZ354">
        <v>1</v>
      </c>
      <c r="EA354">
        <v>3</v>
      </c>
      <c r="EB354">
        <v>1</v>
      </c>
      <c r="ED354">
        <v>5</v>
      </c>
      <c r="EF354">
        <v>2</v>
      </c>
      <c r="EL354">
        <v>1</v>
      </c>
      <c r="EM354">
        <v>8</v>
      </c>
      <c r="EN354">
        <v>11</v>
      </c>
      <c r="EO354">
        <v>6</v>
      </c>
      <c r="EP354">
        <v>2</v>
      </c>
      <c r="EQ354">
        <v>1</v>
      </c>
      <c r="ER354">
        <v>1</v>
      </c>
      <c r="ES354">
        <v>10</v>
      </c>
      <c r="ET354">
        <v>0</v>
      </c>
      <c r="EU354">
        <v>1</v>
      </c>
      <c r="EV354">
        <v>0</v>
      </c>
      <c r="EW354">
        <v>5</v>
      </c>
      <c r="EX354">
        <v>6</v>
      </c>
      <c r="EY354">
        <v>56</v>
      </c>
      <c r="EZ354">
        <v>9</v>
      </c>
      <c r="FA354">
        <v>50</v>
      </c>
      <c r="FB354">
        <v>17</v>
      </c>
      <c r="FC354">
        <v>71</v>
      </c>
      <c r="FD354">
        <v>20</v>
      </c>
      <c r="FE354">
        <v>1</v>
      </c>
      <c r="FF354">
        <v>429</v>
      </c>
      <c r="FG354">
        <v>92</v>
      </c>
      <c r="FH354">
        <v>227</v>
      </c>
      <c r="FI354">
        <v>76</v>
      </c>
      <c r="FJ354">
        <v>2</v>
      </c>
      <c r="FK354">
        <v>338</v>
      </c>
      <c r="FL354">
        <v>6</v>
      </c>
      <c r="FM354">
        <v>16</v>
      </c>
      <c r="FN354">
        <v>6</v>
      </c>
      <c r="FO354">
        <v>16</v>
      </c>
      <c r="FP354">
        <v>4</v>
      </c>
      <c r="FQ354">
        <v>4</v>
      </c>
      <c r="FR354">
        <v>1</v>
      </c>
      <c r="FS354">
        <v>11</v>
      </c>
      <c r="FT354">
        <v>5</v>
      </c>
      <c r="FU354">
        <v>8</v>
      </c>
      <c r="FV354">
        <v>10</v>
      </c>
      <c r="FW354">
        <v>13</v>
      </c>
      <c r="FX354">
        <v>41</v>
      </c>
      <c r="FY354">
        <v>7</v>
      </c>
      <c r="GB354">
        <v>21</v>
      </c>
      <c r="GC354">
        <v>31</v>
      </c>
      <c r="GD354">
        <v>0</v>
      </c>
      <c r="GE354">
        <v>1</v>
      </c>
      <c r="GG354">
        <v>1</v>
      </c>
      <c r="GH354">
        <v>101</v>
      </c>
      <c r="GI354">
        <v>17</v>
      </c>
      <c r="GJ354">
        <v>4</v>
      </c>
      <c r="GK354">
        <v>0</v>
      </c>
      <c r="GL354">
        <v>6</v>
      </c>
      <c r="GN354">
        <v>0</v>
      </c>
      <c r="GO354">
        <v>1</v>
      </c>
      <c r="GP354">
        <v>5</v>
      </c>
      <c r="GQ354">
        <v>0</v>
      </c>
      <c r="GR354">
        <v>1</v>
      </c>
      <c r="GS354">
        <v>34</v>
      </c>
      <c r="GT354">
        <v>0</v>
      </c>
      <c r="GU354">
        <v>19</v>
      </c>
      <c r="GW354">
        <v>3</v>
      </c>
      <c r="GX354">
        <v>7</v>
      </c>
      <c r="GY354">
        <v>1</v>
      </c>
      <c r="GZ354">
        <v>26</v>
      </c>
      <c r="HA354">
        <v>2</v>
      </c>
      <c r="HB354">
        <v>9</v>
      </c>
      <c r="HC354">
        <v>1</v>
      </c>
      <c r="HD354">
        <v>1</v>
      </c>
      <c r="HE354">
        <v>3</v>
      </c>
      <c r="HF354">
        <v>31</v>
      </c>
      <c r="HG354">
        <v>17</v>
      </c>
      <c r="HH354">
        <v>1</v>
      </c>
      <c r="HI354">
        <v>1</v>
      </c>
      <c r="HK354">
        <v>0</v>
      </c>
      <c r="HM354">
        <v>12</v>
      </c>
      <c r="HN354">
        <v>3</v>
      </c>
      <c r="HQ354">
        <v>1</v>
      </c>
      <c r="HR354">
        <v>43</v>
      </c>
      <c r="HS354">
        <v>0</v>
      </c>
      <c r="HT354">
        <v>9</v>
      </c>
      <c r="HU354">
        <v>6</v>
      </c>
      <c r="HV354">
        <v>11</v>
      </c>
      <c r="HW354">
        <v>31</v>
      </c>
      <c r="HX354">
        <v>0</v>
      </c>
      <c r="HY354">
        <v>4</v>
      </c>
      <c r="HZ354">
        <v>1</v>
      </c>
      <c r="IA354">
        <v>1</v>
      </c>
      <c r="IB354">
        <v>387</v>
      </c>
      <c r="IC354">
        <v>26</v>
      </c>
      <c r="ID354">
        <v>208</v>
      </c>
      <c r="IF354">
        <v>0</v>
      </c>
      <c r="IG354">
        <v>13</v>
      </c>
      <c r="II354">
        <v>6</v>
      </c>
      <c r="IK354">
        <v>45</v>
      </c>
      <c r="IL354">
        <v>6</v>
      </c>
      <c r="IM354">
        <v>32</v>
      </c>
      <c r="IN354">
        <v>1</v>
      </c>
      <c r="IO354">
        <v>0</v>
      </c>
      <c r="IP354">
        <v>11</v>
      </c>
      <c r="IQ354">
        <v>3</v>
      </c>
      <c r="IR354">
        <v>9</v>
      </c>
      <c r="IS354">
        <v>44</v>
      </c>
      <c r="IU354">
        <v>0</v>
      </c>
      <c r="IV354">
        <v>5</v>
      </c>
      <c r="IW354">
        <v>2</v>
      </c>
      <c r="IX354">
        <v>26</v>
      </c>
      <c r="IZ354">
        <v>0</v>
      </c>
      <c r="JA354">
        <v>31</v>
      </c>
      <c r="JB354">
        <v>3</v>
      </c>
      <c r="JC354">
        <v>3</v>
      </c>
      <c r="JD354">
        <v>28</v>
      </c>
      <c r="JE354">
        <v>2</v>
      </c>
      <c r="JF354">
        <v>1</v>
      </c>
      <c r="JG354">
        <v>91</v>
      </c>
      <c r="JH354">
        <v>1</v>
      </c>
      <c r="JI354">
        <v>3</v>
      </c>
      <c r="JJ354">
        <v>15</v>
      </c>
      <c r="JK354">
        <v>600</v>
      </c>
      <c r="JL354">
        <v>792</v>
      </c>
      <c r="JM354">
        <v>904</v>
      </c>
      <c r="JN354">
        <v>642</v>
      </c>
      <c r="JO354">
        <v>961</v>
      </c>
      <c r="JP354">
        <v>665</v>
      </c>
      <c r="JQ354">
        <v>806</v>
      </c>
      <c r="JR354">
        <v>782</v>
      </c>
      <c r="JS354">
        <v>1290</v>
      </c>
      <c r="JT354">
        <v>208</v>
      </c>
      <c r="JV354">
        <v>433</v>
      </c>
      <c r="JW354">
        <v>266</v>
      </c>
      <c r="JX354">
        <v>540</v>
      </c>
      <c r="JY354">
        <v>227</v>
      </c>
      <c r="JZ354">
        <v>131</v>
      </c>
      <c r="KA354">
        <v>275</v>
      </c>
      <c r="KB354">
        <v>106</v>
      </c>
      <c r="KC354">
        <v>535</v>
      </c>
      <c r="KD354">
        <v>153</v>
      </c>
      <c r="KE354">
        <v>47</v>
      </c>
      <c r="KF354">
        <v>45</v>
      </c>
      <c r="KG354">
        <v>106</v>
      </c>
      <c r="KH354">
        <v>892</v>
      </c>
      <c r="KI354">
        <v>245</v>
      </c>
      <c r="KJ354">
        <v>423</v>
      </c>
      <c r="KK354">
        <v>2682</v>
      </c>
      <c r="KL354">
        <v>12</v>
      </c>
      <c r="KM354">
        <v>279</v>
      </c>
      <c r="KN354">
        <v>22</v>
      </c>
      <c r="KO354">
        <v>31</v>
      </c>
      <c r="KP354">
        <v>64</v>
      </c>
      <c r="KQ354">
        <v>16</v>
      </c>
      <c r="KR354">
        <v>907</v>
      </c>
      <c r="KS354">
        <v>84</v>
      </c>
      <c r="KT354">
        <v>11</v>
      </c>
      <c r="KU354">
        <v>4</v>
      </c>
      <c r="KV354">
        <v>19</v>
      </c>
      <c r="KW354">
        <v>406</v>
      </c>
      <c r="KX354">
        <v>597</v>
      </c>
      <c r="KY354">
        <v>64</v>
      </c>
      <c r="KZ354">
        <v>335</v>
      </c>
      <c r="LA354">
        <v>460</v>
      </c>
      <c r="LB354">
        <v>1</v>
      </c>
      <c r="LC354">
        <v>2324</v>
      </c>
      <c r="LD354">
        <v>2510</v>
      </c>
      <c r="LE354">
        <v>1021</v>
      </c>
      <c r="LF354">
        <v>355</v>
      </c>
      <c r="LG354">
        <v>320</v>
      </c>
      <c r="LH354">
        <v>709</v>
      </c>
      <c r="LI354">
        <v>116</v>
      </c>
      <c r="LJ354">
        <v>1</v>
      </c>
      <c r="LK354">
        <v>980</v>
      </c>
      <c r="LL354">
        <v>13</v>
      </c>
      <c r="LM354">
        <v>4834</v>
      </c>
      <c r="LN354">
        <v>106</v>
      </c>
      <c r="LO354">
        <v>187</v>
      </c>
      <c r="LP354">
        <v>22</v>
      </c>
      <c r="LQ354">
        <v>314</v>
      </c>
      <c r="LR354">
        <v>306</v>
      </c>
      <c r="LS354">
        <v>1438</v>
      </c>
      <c r="LT354">
        <v>258</v>
      </c>
      <c r="LU354">
        <v>234</v>
      </c>
      <c r="LV354">
        <v>459</v>
      </c>
      <c r="LW354">
        <v>960</v>
      </c>
      <c r="LX354">
        <v>564</v>
      </c>
      <c r="LY354">
        <v>246</v>
      </c>
      <c r="LZ354">
        <v>286</v>
      </c>
      <c r="MA354">
        <v>174</v>
      </c>
      <c r="MB354">
        <v>48</v>
      </c>
      <c r="MC354">
        <v>16</v>
      </c>
      <c r="MD354">
        <v>8</v>
      </c>
      <c r="ME354">
        <v>168</v>
      </c>
      <c r="MF354">
        <v>4</v>
      </c>
      <c r="MG354">
        <v>1743</v>
      </c>
      <c r="MH354">
        <v>260</v>
      </c>
      <c r="MI354">
        <v>125</v>
      </c>
      <c r="MJ354">
        <v>374</v>
      </c>
      <c r="MK354">
        <v>295</v>
      </c>
      <c r="ML354">
        <v>91</v>
      </c>
      <c r="MM354">
        <v>209</v>
      </c>
      <c r="MN354">
        <v>122</v>
      </c>
      <c r="MO354">
        <v>181</v>
      </c>
      <c r="MP354">
        <v>23</v>
      </c>
      <c r="MQ354">
        <v>14</v>
      </c>
      <c r="MR354">
        <v>447</v>
      </c>
      <c r="MS354">
        <v>1078</v>
      </c>
      <c r="MT354">
        <v>31</v>
      </c>
      <c r="MU354">
        <v>49</v>
      </c>
      <c r="MV354">
        <v>224</v>
      </c>
      <c r="MW354">
        <v>23</v>
      </c>
      <c r="MX354">
        <v>192</v>
      </c>
      <c r="MY354">
        <v>30</v>
      </c>
      <c r="MZ354">
        <v>1856</v>
      </c>
      <c r="NA354">
        <v>301</v>
      </c>
      <c r="NB354">
        <v>52</v>
      </c>
      <c r="NC354">
        <v>95</v>
      </c>
      <c r="ND354">
        <v>18</v>
      </c>
      <c r="NE354">
        <v>20</v>
      </c>
      <c r="NF354">
        <v>23</v>
      </c>
      <c r="NG354">
        <v>10</v>
      </c>
      <c r="NH354">
        <v>20</v>
      </c>
      <c r="NI354">
        <v>92</v>
      </c>
      <c r="NJ354">
        <v>13</v>
      </c>
      <c r="NK354">
        <v>17</v>
      </c>
      <c r="NL354">
        <v>18</v>
      </c>
      <c r="NM354">
        <v>73</v>
      </c>
      <c r="NN354">
        <v>129</v>
      </c>
      <c r="NO354">
        <v>183</v>
      </c>
      <c r="NP354">
        <v>304</v>
      </c>
      <c r="NQ354">
        <v>121</v>
      </c>
      <c r="NR354">
        <v>14</v>
      </c>
      <c r="NS354">
        <v>31</v>
      </c>
      <c r="NT354">
        <v>25</v>
      </c>
      <c r="NU354">
        <v>7</v>
      </c>
      <c r="NV354">
        <v>53</v>
      </c>
      <c r="NW354">
        <v>1</v>
      </c>
      <c r="NX354">
        <v>10</v>
      </c>
      <c r="NY354">
        <v>44</v>
      </c>
      <c r="NZ354">
        <v>42</v>
      </c>
      <c r="OA354">
        <v>55</v>
      </c>
      <c r="OB354">
        <v>52</v>
      </c>
      <c r="OD354">
        <v>0</v>
      </c>
      <c r="OE354">
        <v>78</v>
      </c>
      <c r="OF354">
        <v>5</v>
      </c>
      <c r="OG354">
        <v>25</v>
      </c>
      <c r="OH354">
        <v>4</v>
      </c>
      <c r="OI354">
        <v>666</v>
      </c>
      <c r="OJ354">
        <v>691</v>
      </c>
      <c r="OK354">
        <v>4203</v>
      </c>
      <c r="OL354">
        <v>21</v>
      </c>
      <c r="OM354">
        <v>73</v>
      </c>
      <c r="ON354">
        <v>516</v>
      </c>
      <c r="OO354">
        <v>58708</v>
      </c>
      <c r="OP354">
        <v>11365</v>
      </c>
      <c r="OV354">
        <v>140</v>
      </c>
      <c r="PI354">
        <v>70214</v>
      </c>
      <c r="PM354" t="str">
        <f>IFERROR(VLOOKUP($A354&amp;"",Key!$A:$C,3,FALSE),"")</f>
        <v>ISIC 77T82</v>
      </c>
    </row>
    <row r="355" spans="1:429" x14ac:dyDescent="0.25">
      <c r="A355">
        <v>561900</v>
      </c>
      <c r="B355" t="s">
        <v>490</v>
      </c>
      <c r="D355">
        <v>1</v>
      </c>
      <c r="E355">
        <v>3</v>
      </c>
      <c r="H355">
        <v>2</v>
      </c>
      <c r="O355">
        <v>2</v>
      </c>
      <c r="P355">
        <v>1</v>
      </c>
      <c r="Q355">
        <v>1</v>
      </c>
      <c r="S355">
        <v>0</v>
      </c>
      <c r="T355">
        <v>2</v>
      </c>
      <c r="U355">
        <v>1</v>
      </c>
      <c r="V355">
        <v>8</v>
      </c>
      <c r="W355">
        <v>17</v>
      </c>
      <c r="X355">
        <v>222</v>
      </c>
      <c r="Y355">
        <v>51</v>
      </c>
      <c r="Z355">
        <v>3</v>
      </c>
      <c r="AA355">
        <v>2</v>
      </c>
      <c r="AB355">
        <v>1</v>
      </c>
      <c r="AC355">
        <v>11</v>
      </c>
      <c r="AD355">
        <v>10</v>
      </c>
      <c r="AE355">
        <v>37</v>
      </c>
      <c r="AF355">
        <v>16</v>
      </c>
      <c r="AG355">
        <v>27</v>
      </c>
      <c r="AH355">
        <v>14</v>
      </c>
      <c r="AI355">
        <v>16</v>
      </c>
      <c r="AJ355">
        <v>18</v>
      </c>
      <c r="AK355">
        <v>23</v>
      </c>
      <c r="AL355">
        <v>20</v>
      </c>
      <c r="AO355">
        <v>62</v>
      </c>
      <c r="AP355">
        <v>8</v>
      </c>
      <c r="AQ355">
        <v>0</v>
      </c>
      <c r="AR355">
        <v>28</v>
      </c>
      <c r="AS355">
        <v>29</v>
      </c>
      <c r="AT355">
        <v>3</v>
      </c>
      <c r="AU355">
        <v>0</v>
      </c>
      <c r="AV355">
        <v>33</v>
      </c>
      <c r="AW355">
        <v>17</v>
      </c>
      <c r="AX355">
        <v>1</v>
      </c>
      <c r="AY355">
        <v>23</v>
      </c>
      <c r="AZ355">
        <v>0</v>
      </c>
      <c r="BA355">
        <v>5</v>
      </c>
      <c r="BB355">
        <v>0</v>
      </c>
      <c r="BC355">
        <v>182</v>
      </c>
      <c r="BD355">
        <v>34</v>
      </c>
      <c r="BE355">
        <v>4</v>
      </c>
      <c r="BF355">
        <v>1</v>
      </c>
      <c r="BG355">
        <v>75</v>
      </c>
      <c r="BH355">
        <v>9</v>
      </c>
      <c r="BI355">
        <v>12</v>
      </c>
      <c r="BJ355">
        <v>58</v>
      </c>
      <c r="BK355">
        <v>76</v>
      </c>
      <c r="BL355">
        <v>79</v>
      </c>
      <c r="BM355">
        <v>7</v>
      </c>
      <c r="BN355">
        <v>167</v>
      </c>
      <c r="BO355">
        <v>76</v>
      </c>
      <c r="BP355">
        <v>37</v>
      </c>
      <c r="BQ355">
        <v>471</v>
      </c>
      <c r="BR355">
        <v>174</v>
      </c>
      <c r="BS355">
        <v>23</v>
      </c>
      <c r="BT355">
        <v>30</v>
      </c>
      <c r="BU355">
        <v>6</v>
      </c>
      <c r="BV355">
        <v>26</v>
      </c>
      <c r="BW355">
        <v>13</v>
      </c>
      <c r="BX355">
        <v>311</v>
      </c>
      <c r="BY355">
        <v>97</v>
      </c>
      <c r="BZ355">
        <v>2</v>
      </c>
      <c r="CA355">
        <v>6</v>
      </c>
      <c r="CB355">
        <v>81</v>
      </c>
      <c r="CC355">
        <v>23</v>
      </c>
      <c r="CD355">
        <v>7</v>
      </c>
      <c r="CE355">
        <v>35</v>
      </c>
      <c r="CF355">
        <v>8</v>
      </c>
      <c r="CG355">
        <v>23</v>
      </c>
      <c r="CH355">
        <v>3</v>
      </c>
      <c r="CI355">
        <v>46</v>
      </c>
      <c r="CJ355">
        <v>96</v>
      </c>
      <c r="CK355">
        <v>3</v>
      </c>
      <c r="CL355">
        <v>44</v>
      </c>
      <c r="CM355">
        <v>5</v>
      </c>
      <c r="CN355">
        <v>1</v>
      </c>
      <c r="CO355">
        <v>17</v>
      </c>
      <c r="CP355">
        <v>0</v>
      </c>
      <c r="CQ355">
        <v>32</v>
      </c>
      <c r="CR355">
        <v>4</v>
      </c>
      <c r="CS355">
        <v>0</v>
      </c>
      <c r="CT355">
        <v>8</v>
      </c>
      <c r="CU355">
        <v>3</v>
      </c>
      <c r="CV355">
        <v>18</v>
      </c>
      <c r="CW355">
        <v>21</v>
      </c>
      <c r="CX355">
        <v>13</v>
      </c>
      <c r="CY355">
        <v>7</v>
      </c>
      <c r="CZ355">
        <v>3</v>
      </c>
      <c r="DA355">
        <v>6</v>
      </c>
      <c r="DB355">
        <v>40</v>
      </c>
      <c r="DC355">
        <v>61</v>
      </c>
      <c r="DD355">
        <v>11</v>
      </c>
      <c r="DE355">
        <v>26</v>
      </c>
      <c r="DF355">
        <v>2</v>
      </c>
      <c r="DG355">
        <v>14</v>
      </c>
      <c r="DH355">
        <v>34</v>
      </c>
      <c r="DI355">
        <v>1</v>
      </c>
      <c r="DJ355">
        <v>2</v>
      </c>
      <c r="DK355">
        <v>1</v>
      </c>
      <c r="DL355">
        <v>1</v>
      </c>
      <c r="DM355">
        <v>55</v>
      </c>
      <c r="DN355">
        <v>3</v>
      </c>
      <c r="DO355">
        <v>60</v>
      </c>
      <c r="DP355">
        <v>0</v>
      </c>
      <c r="DQ355">
        <v>12</v>
      </c>
      <c r="DR355">
        <v>2</v>
      </c>
      <c r="DS355">
        <v>134</v>
      </c>
      <c r="DT355">
        <v>0</v>
      </c>
      <c r="DU355">
        <v>0</v>
      </c>
      <c r="DV355">
        <v>2</v>
      </c>
      <c r="DW355">
        <v>0</v>
      </c>
      <c r="DX355">
        <v>6</v>
      </c>
      <c r="DY355">
        <v>1</v>
      </c>
      <c r="DZ355">
        <v>0</v>
      </c>
      <c r="EA355">
        <v>3</v>
      </c>
      <c r="EB355">
        <v>1</v>
      </c>
      <c r="ED355">
        <v>6</v>
      </c>
      <c r="EE355">
        <v>1</v>
      </c>
      <c r="EF355">
        <v>3</v>
      </c>
      <c r="EG355">
        <v>2</v>
      </c>
      <c r="EL355">
        <v>1</v>
      </c>
      <c r="EM355">
        <v>8</v>
      </c>
      <c r="EN355">
        <v>12</v>
      </c>
      <c r="EO355">
        <v>7</v>
      </c>
      <c r="EP355">
        <v>1</v>
      </c>
      <c r="ER355">
        <v>1</v>
      </c>
      <c r="ES355">
        <v>11</v>
      </c>
      <c r="EU355">
        <v>2</v>
      </c>
      <c r="EV355">
        <v>0</v>
      </c>
      <c r="EW355">
        <v>4</v>
      </c>
      <c r="EX355">
        <v>7</v>
      </c>
      <c r="EY355">
        <v>62</v>
      </c>
      <c r="EZ355">
        <v>10</v>
      </c>
      <c r="FA355">
        <v>55</v>
      </c>
      <c r="FB355">
        <v>31</v>
      </c>
      <c r="FC355">
        <v>78</v>
      </c>
      <c r="FD355">
        <v>22</v>
      </c>
      <c r="FE355">
        <v>0</v>
      </c>
      <c r="FF355">
        <v>479</v>
      </c>
      <c r="FG355">
        <v>100</v>
      </c>
      <c r="FH355">
        <v>254</v>
      </c>
      <c r="FI355">
        <v>85</v>
      </c>
      <c r="FJ355">
        <v>0</v>
      </c>
      <c r="FK355">
        <v>379</v>
      </c>
      <c r="FL355">
        <v>16</v>
      </c>
      <c r="FM355">
        <v>18</v>
      </c>
      <c r="FN355">
        <v>10</v>
      </c>
      <c r="FO355">
        <v>18</v>
      </c>
      <c r="FP355">
        <v>28</v>
      </c>
      <c r="FQ355">
        <v>2</v>
      </c>
      <c r="FR355">
        <v>1</v>
      </c>
      <c r="FS355">
        <v>3</v>
      </c>
      <c r="FT355">
        <v>5</v>
      </c>
      <c r="FU355">
        <v>0</v>
      </c>
      <c r="FV355">
        <v>5</v>
      </c>
      <c r="FW355">
        <v>1</v>
      </c>
      <c r="FX355">
        <v>45</v>
      </c>
      <c r="FY355">
        <v>2</v>
      </c>
      <c r="FZ355">
        <v>0</v>
      </c>
      <c r="GA355">
        <v>0</v>
      </c>
      <c r="GB355">
        <v>23</v>
      </c>
      <c r="GC355">
        <v>36</v>
      </c>
      <c r="GD355">
        <v>1</v>
      </c>
      <c r="GE355">
        <v>3</v>
      </c>
      <c r="GG355">
        <v>0</v>
      </c>
      <c r="GH355">
        <v>122</v>
      </c>
      <c r="GI355">
        <v>18</v>
      </c>
      <c r="GJ355">
        <v>2</v>
      </c>
      <c r="GK355">
        <v>0</v>
      </c>
      <c r="GL355">
        <v>7</v>
      </c>
      <c r="GM355">
        <v>0</v>
      </c>
      <c r="GN355">
        <v>0</v>
      </c>
      <c r="GO355">
        <v>3</v>
      </c>
      <c r="GP355">
        <v>7</v>
      </c>
      <c r="GQ355">
        <v>0</v>
      </c>
      <c r="GR355">
        <v>1</v>
      </c>
      <c r="GS355">
        <v>39</v>
      </c>
      <c r="GT355">
        <v>0</v>
      </c>
      <c r="GU355">
        <v>31</v>
      </c>
      <c r="GW355">
        <v>0</v>
      </c>
      <c r="GX355">
        <v>8</v>
      </c>
      <c r="GY355">
        <v>0</v>
      </c>
      <c r="GZ355">
        <v>28</v>
      </c>
      <c r="HA355">
        <v>37</v>
      </c>
      <c r="HB355">
        <v>15</v>
      </c>
      <c r="HE355">
        <v>5</v>
      </c>
      <c r="HF355">
        <v>86</v>
      </c>
      <c r="HG355">
        <v>28</v>
      </c>
      <c r="HH355">
        <v>0</v>
      </c>
      <c r="HM355">
        <v>14</v>
      </c>
      <c r="HN355">
        <v>4</v>
      </c>
      <c r="HO355">
        <v>0</v>
      </c>
      <c r="HP355">
        <v>2</v>
      </c>
      <c r="HQ355">
        <v>1</v>
      </c>
      <c r="HR355">
        <v>72</v>
      </c>
      <c r="HS355">
        <v>0</v>
      </c>
      <c r="HT355">
        <v>19</v>
      </c>
      <c r="HU355">
        <v>6</v>
      </c>
      <c r="HV355">
        <v>12</v>
      </c>
      <c r="HW355">
        <v>28</v>
      </c>
      <c r="HX355">
        <v>4</v>
      </c>
      <c r="HY355">
        <v>5</v>
      </c>
      <c r="HZ355">
        <v>2</v>
      </c>
      <c r="IA355">
        <v>2</v>
      </c>
      <c r="IB355">
        <v>426</v>
      </c>
      <c r="IC355">
        <v>29</v>
      </c>
      <c r="ID355">
        <v>228</v>
      </c>
      <c r="IE355">
        <v>0</v>
      </c>
      <c r="IF355">
        <v>0</v>
      </c>
      <c r="IG355">
        <v>16</v>
      </c>
      <c r="II355">
        <v>15</v>
      </c>
      <c r="IJ355">
        <v>1</v>
      </c>
      <c r="IK355">
        <v>49</v>
      </c>
      <c r="IL355">
        <v>5</v>
      </c>
      <c r="IM355">
        <v>31</v>
      </c>
      <c r="IN355">
        <v>4</v>
      </c>
      <c r="IO355">
        <v>1</v>
      </c>
      <c r="IP355">
        <v>21</v>
      </c>
      <c r="IQ355">
        <v>6</v>
      </c>
      <c r="IR355">
        <v>18</v>
      </c>
      <c r="IS355">
        <v>50</v>
      </c>
      <c r="IU355">
        <v>1</v>
      </c>
      <c r="IV355">
        <v>5</v>
      </c>
      <c r="IW355">
        <v>2</v>
      </c>
      <c r="IX355">
        <v>29</v>
      </c>
      <c r="IZ355">
        <v>2</v>
      </c>
      <c r="JA355">
        <v>30</v>
      </c>
      <c r="JB355">
        <v>4</v>
      </c>
      <c r="JC355">
        <v>7</v>
      </c>
      <c r="JE355">
        <v>3</v>
      </c>
      <c r="JG355">
        <v>103</v>
      </c>
      <c r="JH355">
        <v>1</v>
      </c>
      <c r="JI355">
        <v>6</v>
      </c>
      <c r="JJ355">
        <v>17</v>
      </c>
      <c r="JK355">
        <v>84</v>
      </c>
      <c r="JL355">
        <v>217</v>
      </c>
      <c r="JM355">
        <v>235</v>
      </c>
      <c r="JN355">
        <v>186</v>
      </c>
      <c r="JO355">
        <v>692</v>
      </c>
      <c r="JP355">
        <v>242</v>
      </c>
      <c r="JQ355">
        <v>1032</v>
      </c>
      <c r="JR355">
        <v>41</v>
      </c>
      <c r="JS355">
        <v>4338</v>
      </c>
      <c r="JT355">
        <v>63</v>
      </c>
      <c r="JV355">
        <v>1008</v>
      </c>
      <c r="JW355">
        <v>154</v>
      </c>
      <c r="JX355">
        <v>253</v>
      </c>
      <c r="JY355">
        <v>468</v>
      </c>
      <c r="JZ355">
        <v>146</v>
      </c>
      <c r="KA355">
        <v>386</v>
      </c>
      <c r="KB355">
        <v>95</v>
      </c>
      <c r="KC355">
        <v>336</v>
      </c>
      <c r="KD355">
        <v>284</v>
      </c>
      <c r="KE355">
        <v>94</v>
      </c>
      <c r="KF355">
        <v>42</v>
      </c>
      <c r="KG355">
        <v>1045</v>
      </c>
      <c r="KH355">
        <v>141</v>
      </c>
      <c r="KJ355">
        <v>0</v>
      </c>
      <c r="KK355">
        <v>31</v>
      </c>
      <c r="KL355">
        <v>8</v>
      </c>
      <c r="KM355">
        <v>111</v>
      </c>
      <c r="KN355">
        <v>2</v>
      </c>
      <c r="KO355">
        <v>89</v>
      </c>
      <c r="KP355">
        <v>342</v>
      </c>
      <c r="KQ355">
        <v>21</v>
      </c>
      <c r="KR355">
        <v>790</v>
      </c>
      <c r="KS355">
        <v>0</v>
      </c>
      <c r="KW355">
        <v>3</v>
      </c>
      <c r="KX355">
        <v>0</v>
      </c>
      <c r="KY355">
        <v>3</v>
      </c>
      <c r="KZ355">
        <v>21</v>
      </c>
      <c r="LA355">
        <v>2</v>
      </c>
      <c r="LB355">
        <v>0</v>
      </c>
      <c r="LC355">
        <v>90</v>
      </c>
      <c r="LD355">
        <v>25</v>
      </c>
      <c r="LE355">
        <v>25</v>
      </c>
      <c r="LF355">
        <v>7</v>
      </c>
      <c r="LG355">
        <v>120</v>
      </c>
      <c r="LH355">
        <v>2</v>
      </c>
      <c r="LI355">
        <v>383</v>
      </c>
      <c r="LK355">
        <v>1</v>
      </c>
      <c r="LM355">
        <v>2132</v>
      </c>
      <c r="LN355">
        <v>1</v>
      </c>
      <c r="LO355">
        <v>7</v>
      </c>
      <c r="LP355">
        <v>0</v>
      </c>
      <c r="LQ355">
        <v>678</v>
      </c>
      <c r="LR355">
        <v>510</v>
      </c>
      <c r="LS355">
        <v>1</v>
      </c>
      <c r="LT355">
        <v>1104</v>
      </c>
      <c r="LU355">
        <v>13</v>
      </c>
      <c r="LV355">
        <v>31</v>
      </c>
      <c r="LW355">
        <v>624</v>
      </c>
      <c r="LX355">
        <v>261</v>
      </c>
      <c r="LY355">
        <v>163</v>
      </c>
      <c r="LZ355">
        <v>297</v>
      </c>
      <c r="MA355">
        <v>266</v>
      </c>
      <c r="MB355">
        <v>0</v>
      </c>
      <c r="MD355">
        <v>2</v>
      </c>
      <c r="ME355">
        <v>17</v>
      </c>
      <c r="MF355">
        <v>403</v>
      </c>
      <c r="MG355">
        <v>11</v>
      </c>
      <c r="MH355">
        <v>106</v>
      </c>
      <c r="MI355">
        <v>208</v>
      </c>
      <c r="MJ355">
        <v>89</v>
      </c>
      <c r="MK355">
        <v>103</v>
      </c>
      <c r="ML355">
        <v>151</v>
      </c>
      <c r="MM355">
        <v>6</v>
      </c>
      <c r="MN355">
        <v>79</v>
      </c>
      <c r="MO355">
        <v>48</v>
      </c>
      <c r="MP355">
        <v>29</v>
      </c>
      <c r="MQ355">
        <v>569</v>
      </c>
      <c r="MR355">
        <v>100</v>
      </c>
      <c r="MS355">
        <v>256</v>
      </c>
      <c r="MT355">
        <v>32</v>
      </c>
      <c r="MU355">
        <v>8</v>
      </c>
      <c r="MV355">
        <v>27</v>
      </c>
      <c r="MW355">
        <v>15</v>
      </c>
      <c r="MX355">
        <v>9</v>
      </c>
      <c r="MY355">
        <v>9</v>
      </c>
      <c r="MZ355">
        <v>1007</v>
      </c>
      <c r="NA355">
        <v>5</v>
      </c>
      <c r="NC355">
        <v>114</v>
      </c>
      <c r="ND355">
        <v>0</v>
      </c>
      <c r="NE355">
        <v>0</v>
      </c>
      <c r="NG355">
        <v>75</v>
      </c>
      <c r="NH355">
        <v>3</v>
      </c>
      <c r="NI355">
        <v>328</v>
      </c>
      <c r="NJ355">
        <v>2</v>
      </c>
      <c r="NK355">
        <v>4</v>
      </c>
      <c r="NL355">
        <v>20</v>
      </c>
      <c r="NM355">
        <v>17</v>
      </c>
      <c r="NN355">
        <v>81</v>
      </c>
      <c r="NO355">
        <v>5</v>
      </c>
      <c r="NP355">
        <v>20</v>
      </c>
      <c r="NQ355">
        <v>27</v>
      </c>
      <c r="NR355">
        <v>4</v>
      </c>
      <c r="NT355">
        <v>0</v>
      </c>
      <c r="NV355">
        <v>14</v>
      </c>
      <c r="NX355">
        <v>14</v>
      </c>
      <c r="NY355">
        <v>316</v>
      </c>
      <c r="NZ355">
        <v>49</v>
      </c>
      <c r="OA355">
        <v>126</v>
      </c>
      <c r="OB355">
        <v>56</v>
      </c>
      <c r="OD355">
        <v>0</v>
      </c>
      <c r="OE355">
        <v>12</v>
      </c>
      <c r="OF355">
        <v>2</v>
      </c>
      <c r="OG355">
        <v>23</v>
      </c>
      <c r="OH355">
        <v>1</v>
      </c>
      <c r="OI355">
        <v>87</v>
      </c>
      <c r="OJ355">
        <v>105</v>
      </c>
      <c r="OK355">
        <v>1660</v>
      </c>
      <c r="OL355">
        <v>8</v>
      </c>
      <c r="OM355">
        <v>122</v>
      </c>
      <c r="ON355">
        <v>612</v>
      </c>
      <c r="OO355">
        <v>34184</v>
      </c>
      <c r="OP355">
        <v>159</v>
      </c>
      <c r="OV355">
        <v>394</v>
      </c>
      <c r="PI355">
        <v>34737</v>
      </c>
      <c r="PM355" t="str">
        <f>IFERROR(VLOOKUP($A355&amp;"",Key!$A:$C,3,FALSE),"")</f>
        <v>ISIC 77T82</v>
      </c>
    </row>
    <row r="356" spans="1:429" x14ac:dyDescent="0.25">
      <c r="A356">
        <v>562000</v>
      </c>
      <c r="B356" t="s">
        <v>491</v>
      </c>
      <c r="C356">
        <v>18</v>
      </c>
      <c r="D356">
        <v>57</v>
      </c>
      <c r="E356">
        <v>13</v>
      </c>
      <c r="F356">
        <v>14</v>
      </c>
      <c r="G356">
        <v>14</v>
      </c>
      <c r="H356">
        <v>22</v>
      </c>
      <c r="I356">
        <v>54</v>
      </c>
      <c r="J356">
        <v>46</v>
      </c>
      <c r="K356">
        <v>44</v>
      </c>
      <c r="L356">
        <v>13</v>
      </c>
      <c r="M356">
        <v>0</v>
      </c>
      <c r="N356">
        <v>2</v>
      </c>
      <c r="O356">
        <v>4</v>
      </c>
      <c r="P356">
        <v>330</v>
      </c>
      <c r="Q356">
        <v>46</v>
      </c>
      <c r="R356">
        <v>7</v>
      </c>
      <c r="S356">
        <v>9</v>
      </c>
      <c r="T356">
        <v>16</v>
      </c>
      <c r="U356">
        <v>24</v>
      </c>
      <c r="V356">
        <v>35</v>
      </c>
      <c r="W356">
        <v>114</v>
      </c>
      <c r="X356">
        <v>419</v>
      </c>
      <c r="Y356">
        <v>106</v>
      </c>
      <c r="Z356">
        <v>45</v>
      </c>
      <c r="AA356">
        <v>28</v>
      </c>
      <c r="AB356">
        <v>52</v>
      </c>
      <c r="AC356">
        <v>383</v>
      </c>
      <c r="AD356">
        <v>142</v>
      </c>
      <c r="AE356">
        <v>165</v>
      </c>
      <c r="AF356">
        <v>88</v>
      </c>
      <c r="AG356">
        <v>339</v>
      </c>
      <c r="AH356">
        <v>78</v>
      </c>
      <c r="AI356">
        <v>102</v>
      </c>
      <c r="AJ356">
        <v>113</v>
      </c>
      <c r="AK356">
        <v>414</v>
      </c>
      <c r="AL356">
        <v>171</v>
      </c>
      <c r="AM356">
        <v>27</v>
      </c>
      <c r="AN356">
        <v>30</v>
      </c>
      <c r="AO356">
        <v>23</v>
      </c>
      <c r="AP356">
        <v>29</v>
      </c>
      <c r="AQ356">
        <v>20</v>
      </c>
      <c r="AR356">
        <v>91</v>
      </c>
      <c r="AS356">
        <v>5</v>
      </c>
      <c r="AT356">
        <v>48</v>
      </c>
      <c r="AU356">
        <v>5</v>
      </c>
      <c r="AV356">
        <v>20</v>
      </c>
      <c r="AW356">
        <v>12</v>
      </c>
      <c r="AX356">
        <v>3</v>
      </c>
      <c r="AY356">
        <v>7</v>
      </c>
      <c r="AZ356">
        <v>6</v>
      </c>
      <c r="BA356">
        <v>24</v>
      </c>
      <c r="BB356">
        <v>10</v>
      </c>
      <c r="BC356">
        <v>124</v>
      </c>
      <c r="BD356">
        <v>23</v>
      </c>
      <c r="BE356">
        <v>8</v>
      </c>
      <c r="BF356">
        <v>3</v>
      </c>
      <c r="BG356">
        <v>22</v>
      </c>
      <c r="BH356">
        <v>6</v>
      </c>
      <c r="BI356">
        <v>11</v>
      </c>
      <c r="BJ356">
        <v>16</v>
      </c>
      <c r="BK356">
        <v>30</v>
      </c>
      <c r="BL356">
        <v>26</v>
      </c>
      <c r="BM356">
        <v>6</v>
      </c>
      <c r="BN356">
        <v>16</v>
      </c>
      <c r="BO356">
        <v>9</v>
      </c>
      <c r="BP356">
        <v>16</v>
      </c>
      <c r="BQ356">
        <v>33</v>
      </c>
      <c r="BR356">
        <v>32</v>
      </c>
      <c r="BS356">
        <v>7</v>
      </c>
      <c r="BT356">
        <v>8</v>
      </c>
      <c r="BU356">
        <v>7</v>
      </c>
      <c r="BV356">
        <v>7</v>
      </c>
      <c r="BW356">
        <v>7</v>
      </c>
      <c r="BX356">
        <v>38</v>
      </c>
      <c r="BY356">
        <v>30</v>
      </c>
      <c r="BZ356">
        <v>83</v>
      </c>
      <c r="CA356">
        <v>8</v>
      </c>
      <c r="CB356">
        <v>21</v>
      </c>
      <c r="CC356">
        <v>5</v>
      </c>
      <c r="CD356">
        <v>4</v>
      </c>
      <c r="CE356">
        <v>14</v>
      </c>
      <c r="CF356">
        <v>14</v>
      </c>
      <c r="CG356">
        <v>15</v>
      </c>
      <c r="CH356">
        <v>2</v>
      </c>
      <c r="CI356">
        <v>17</v>
      </c>
      <c r="CJ356">
        <v>16</v>
      </c>
      <c r="CK356">
        <v>3</v>
      </c>
      <c r="CL356">
        <v>33</v>
      </c>
      <c r="CM356">
        <v>4</v>
      </c>
      <c r="CN356">
        <v>1</v>
      </c>
      <c r="CO356">
        <v>16</v>
      </c>
      <c r="CP356">
        <v>7</v>
      </c>
      <c r="CQ356">
        <v>18</v>
      </c>
      <c r="CR356">
        <v>5</v>
      </c>
      <c r="CS356">
        <v>7</v>
      </c>
      <c r="CT356">
        <v>5</v>
      </c>
      <c r="CU356">
        <v>5</v>
      </c>
      <c r="CV356">
        <v>8</v>
      </c>
      <c r="CW356">
        <v>11</v>
      </c>
      <c r="CX356">
        <v>2</v>
      </c>
      <c r="CY356">
        <v>5</v>
      </c>
      <c r="CZ356">
        <v>21</v>
      </c>
      <c r="DA356">
        <v>4</v>
      </c>
      <c r="DB356">
        <v>14</v>
      </c>
      <c r="DC356">
        <v>16</v>
      </c>
      <c r="DD356">
        <v>1</v>
      </c>
      <c r="DE356">
        <v>5</v>
      </c>
      <c r="DF356">
        <v>3</v>
      </c>
      <c r="DG356">
        <v>27</v>
      </c>
      <c r="DH356">
        <v>9</v>
      </c>
      <c r="DI356">
        <v>0</v>
      </c>
      <c r="DJ356">
        <v>1</v>
      </c>
      <c r="DK356">
        <v>1</v>
      </c>
      <c r="DL356">
        <v>0</v>
      </c>
      <c r="DM356">
        <v>3</v>
      </c>
      <c r="DN356">
        <v>0</v>
      </c>
      <c r="DO356">
        <v>48</v>
      </c>
      <c r="DP356">
        <v>3</v>
      </c>
      <c r="DQ356">
        <v>5</v>
      </c>
      <c r="DR356">
        <v>13</v>
      </c>
      <c r="DS356">
        <v>57</v>
      </c>
      <c r="DT356">
        <v>0</v>
      </c>
      <c r="DU356">
        <v>0</v>
      </c>
      <c r="DV356">
        <v>1</v>
      </c>
      <c r="DW356">
        <v>9</v>
      </c>
      <c r="DX356">
        <v>7</v>
      </c>
      <c r="DY356">
        <v>0</v>
      </c>
      <c r="DZ356">
        <v>5</v>
      </c>
      <c r="EA356">
        <v>0</v>
      </c>
      <c r="EB356">
        <v>0</v>
      </c>
      <c r="EC356">
        <v>1</v>
      </c>
      <c r="ED356">
        <v>10</v>
      </c>
      <c r="EE356">
        <v>0</v>
      </c>
      <c r="EF356">
        <v>4</v>
      </c>
      <c r="EG356">
        <v>0</v>
      </c>
      <c r="EH356">
        <v>4</v>
      </c>
      <c r="EI356">
        <v>6</v>
      </c>
      <c r="EJ356">
        <v>2</v>
      </c>
      <c r="EK356">
        <v>7</v>
      </c>
      <c r="EL356">
        <v>1</v>
      </c>
      <c r="EM356">
        <v>3</v>
      </c>
      <c r="EN356">
        <v>6</v>
      </c>
      <c r="EO356">
        <v>6</v>
      </c>
      <c r="EP356">
        <v>10</v>
      </c>
      <c r="EQ356">
        <v>5</v>
      </c>
      <c r="ER356">
        <v>32</v>
      </c>
      <c r="ES356">
        <v>2</v>
      </c>
      <c r="ET356">
        <v>9</v>
      </c>
      <c r="EU356">
        <v>5</v>
      </c>
      <c r="EV356">
        <v>0</v>
      </c>
      <c r="EW356">
        <v>9</v>
      </c>
      <c r="EX356">
        <v>23</v>
      </c>
      <c r="EY356">
        <v>10</v>
      </c>
      <c r="EZ356">
        <v>20</v>
      </c>
      <c r="FA356">
        <v>31</v>
      </c>
      <c r="FB356">
        <v>18</v>
      </c>
      <c r="FC356">
        <v>32</v>
      </c>
      <c r="FD356">
        <v>18</v>
      </c>
      <c r="FE356">
        <v>20</v>
      </c>
      <c r="FF356">
        <v>81</v>
      </c>
      <c r="FG356">
        <v>25</v>
      </c>
      <c r="FH356">
        <v>16</v>
      </c>
      <c r="FI356">
        <v>66</v>
      </c>
      <c r="FJ356">
        <v>10</v>
      </c>
      <c r="FK356">
        <v>33</v>
      </c>
      <c r="FL356">
        <v>8</v>
      </c>
      <c r="FM356">
        <v>3</v>
      </c>
      <c r="FN356">
        <v>3</v>
      </c>
      <c r="FO356">
        <v>3</v>
      </c>
      <c r="FP356">
        <v>31</v>
      </c>
      <c r="FQ356">
        <v>10</v>
      </c>
      <c r="FR356">
        <v>3</v>
      </c>
      <c r="FS356">
        <v>7</v>
      </c>
      <c r="FT356">
        <v>5</v>
      </c>
      <c r="FU356">
        <v>7</v>
      </c>
      <c r="FV356">
        <v>27</v>
      </c>
      <c r="FW356">
        <v>12</v>
      </c>
      <c r="FX356">
        <v>29</v>
      </c>
      <c r="FY356">
        <v>34</v>
      </c>
      <c r="FZ356">
        <v>5</v>
      </c>
      <c r="GA356">
        <v>4</v>
      </c>
      <c r="GB356">
        <v>7</v>
      </c>
      <c r="GC356">
        <v>6</v>
      </c>
      <c r="GD356">
        <v>10</v>
      </c>
      <c r="GE356">
        <v>0</v>
      </c>
      <c r="GF356">
        <v>3</v>
      </c>
      <c r="GG356">
        <v>17</v>
      </c>
      <c r="GH356">
        <v>26</v>
      </c>
      <c r="GI356">
        <v>19</v>
      </c>
      <c r="GJ356">
        <v>15</v>
      </c>
      <c r="GK356">
        <v>13</v>
      </c>
      <c r="GL356">
        <v>29</v>
      </c>
      <c r="GM356">
        <v>3</v>
      </c>
      <c r="GN356">
        <v>8</v>
      </c>
      <c r="GO356">
        <v>9</v>
      </c>
      <c r="GP356">
        <v>49</v>
      </c>
      <c r="GQ356">
        <v>48</v>
      </c>
      <c r="GR356">
        <v>67</v>
      </c>
      <c r="GS356">
        <v>46</v>
      </c>
      <c r="GT356">
        <v>41</v>
      </c>
      <c r="GU356">
        <v>95</v>
      </c>
      <c r="GV356">
        <v>21</v>
      </c>
      <c r="GW356">
        <v>123</v>
      </c>
      <c r="GX356">
        <v>134</v>
      </c>
      <c r="GY356">
        <v>19</v>
      </c>
      <c r="GZ356">
        <v>73</v>
      </c>
      <c r="HA356">
        <v>36</v>
      </c>
      <c r="HB356">
        <v>47</v>
      </c>
      <c r="HC356">
        <v>7</v>
      </c>
      <c r="HD356">
        <v>15</v>
      </c>
      <c r="HE356">
        <v>32</v>
      </c>
      <c r="HF356">
        <v>54</v>
      </c>
      <c r="HG356">
        <v>90</v>
      </c>
      <c r="HH356">
        <v>55</v>
      </c>
      <c r="HI356">
        <v>13</v>
      </c>
      <c r="HJ356">
        <v>11</v>
      </c>
      <c r="HK356">
        <v>28</v>
      </c>
      <c r="HL356">
        <v>6</v>
      </c>
      <c r="HM356">
        <v>20</v>
      </c>
      <c r="HN356">
        <v>16</v>
      </c>
      <c r="HO356">
        <v>14</v>
      </c>
      <c r="HP356">
        <v>3</v>
      </c>
      <c r="HQ356">
        <v>7</v>
      </c>
      <c r="HR356">
        <v>1</v>
      </c>
      <c r="HS356">
        <v>1</v>
      </c>
      <c r="HT356">
        <v>16</v>
      </c>
      <c r="HU356">
        <v>63</v>
      </c>
      <c r="HV356">
        <v>92</v>
      </c>
      <c r="HW356">
        <v>71</v>
      </c>
      <c r="HX356">
        <v>27</v>
      </c>
      <c r="HY356">
        <v>4</v>
      </c>
      <c r="HZ356">
        <v>11</v>
      </c>
      <c r="IA356">
        <v>10</v>
      </c>
      <c r="IB356">
        <v>91</v>
      </c>
      <c r="IC356">
        <v>4</v>
      </c>
      <c r="ID356">
        <v>418</v>
      </c>
      <c r="IE356">
        <v>15</v>
      </c>
      <c r="IF356">
        <v>23</v>
      </c>
      <c r="IG356">
        <v>39</v>
      </c>
      <c r="IH356">
        <v>47</v>
      </c>
      <c r="II356">
        <v>35</v>
      </c>
      <c r="IJ356">
        <v>14</v>
      </c>
      <c r="IK356">
        <v>151</v>
      </c>
      <c r="IL356">
        <v>1068</v>
      </c>
      <c r="IM356">
        <v>174</v>
      </c>
      <c r="IN356">
        <v>28</v>
      </c>
      <c r="IO356">
        <v>19</v>
      </c>
      <c r="IP356">
        <v>72</v>
      </c>
      <c r="IQ356">
        <v>10</v>
      </c>
      <c r="IR356">
        <v>41</v>
      </c>
      <c r="IS356">
        <v>16</v>
      </c>
      <c r="IT356">
        <v>21</v>
      </c>
      <c r="IU356">
        <v>31</v>
      </c>
      <c r="IV356">
        <v>21</v>
      </c>
      <c r="IW356">
        <v>39</v>
      </c>
      <c r="IX356">
        <v>22</v>
      </c>
      <c r="IY356">
        <v>3</v>
      </c>
      <c r="IZ356">
        <v>103</v>
      </c>
      <c r="JA356">
        <v>46</v>
      </c>
      <c r="JB356">
        <v>25</v>
      </c>
      <c r="JC356">
        <v>10</v>
      </c>
      <c r="JD356">
        <v>13</v>
      </c>
      <c r="JE356">
        <v>12</v>
      </c>
      <c r="JF356">
        <v>9</v>
      </c>
      <c r="JG356">
        <v>144</v>
      </c>
      <c r="JH356">
        <v>25</v>
      </c>
      <c r="JI356">
        <v>10</v>
      </c>
      <c r="JJ356">
        <v>23</v>
      </c>
      <c r="JK356">
        <v>151</v>
      </c>
      <c r="JL356">
        <v>108</v>
      </c>
      <c r="JM356">
        <v>752</v>
      </c>
      <c r="JN356">
        <v>153</v>
      </c>
      <c r="JO356">
        <v>743</v>
      </c>
      <c r="JP356">
        <v>81</v>
      </c>
      <c r="JQ356">
        <v>343</v>
      </c>
      <c r="JR356">
        <v>36</v>
      </c>
      <c r="JS356">
        <v>470</v>
      </c>
      <c r="JT356">
        <v>54</v>
      </c>
      <c r="JV356">
        <v>1024</v>
      </c>
      <c r="JW356">
        <v>484</v>
      </c>
      <c r="JX356">
        <v>297</v>
      </c>
      <c r="JY356">
        <v>150</v>
      </c>
      <c r="JZ356">
        <v>175</v>
      </c>
      <c r="KA356">
        <v>563</v>
      </c>
      <c r="KB356">
        <v>155</v>
      </c>
      <c r="KC356">
        <v>117</v>
      </c>
      <c r="KD356">
        <v>282</v>
      </c>
      <c r="KE356">
        <v>63</v>
      </c>
      <c r="KF356">
        <v>142</v>
      </c>
      <c r="KG356">
        <v>10</v>
      </c>
      <c r="KH356">
        <v>782</v>
      </c>
      <c r="KI356">
        <v>34</v>
      </c>
      <c r="KJ356">
        <v>15</v>
      </c>
      <c r="KK356">
        <v>169</v>
      </c>
      <c r="KL356">
        <v>96</v>
      </c>
      <c r="KM356">
        <v>277</v>
      </c>
      <c r="KN356">
        <v>8</v>
      </c>
      <c r="KO356">
        <v>7</v>
      </c>
      <c r="KP356">
        <v>25</v>
      </c>
      <c r="KQ356">
        <v>1</v>
      </c>
      <c r="KR356">
        <v>35</v>
      </c>
      <c r="KS356">
        <v>52</v>
      </c>
      <c r="KT356">
        <v>1</v>
      </c>
      <c r="KU356">
        <v>7</v>
      </c>
      <c r="KV356">
        <v>19</v>
      </c>
      <c r="KW356">
        <v>7</v>
      </c>
      <c r="KX356">
        <v>3</v>
      </c>
      <c r="KY356">
        <v>83</v>
      </c>
      <c r="KZ356">
        <v>51</v>
      </c>
      <c r="LA356">
        <v>35</v>
      </c>
      <c r="LB356">
        <v>0</v>
      </c>
      <c r="LC356">
        <v>202</v>
      </c>
      <c r="LD356">
        <v>512</v>
      </c>
      <c r="LE356">
        <v>111</v>
      </c>
      <c r="LF356">
        <v>29</v>
      </c>
      <c r="LG356">
        <v>1085</v>
      </c>
      <c r="LH356">
        <v>870</v>
      </c>
      <c r="LI356">
        <v>33</v>
      </c>
      <c r="LJ356">
        <v>845</v>
      </c>
      <c r="LK356">
        <v>3</v>
      </c>
      <c r="LL356">
        <v>0</v>
      </c>
      <c r="LM356">
        <v>30034</v>
      </c>
      <c r="LN356">
        <v>57</v>
      </c>
      <c r="LO356">
        <v>99</v>
      </c>
      <c r="LP356">
        <v>18</v>
      </c>
      <c r="LQ356">
        <v>472</v>
      </c>
      <c r="LR356">
        <v>309</v>
      </c>
      <c r="LS356">
        <v>18</v>
      </c>
      <c r="LT356">
        <v>183</v>
      </c>
      <c r="LU356">
        <v>106</v>
      </c>
      <c r="LV356">
        <v>265</v>
      </c>
      <c r="LW356">
        <v>139</v>
      </c>
      <c r="LX356">
        <v>326</v>
      </c>
      <c r="LY356">
        <v>89</v>
      </c>
      <c r="LZ356">
        <v>727</v>
      </c>
      <c r="MA356">
        <v>125</v>
      </c>
      <c r="MB356">
        <v>13</v>
      </c>
      <c r="MC356">
        <v>3</v>
      </c>
      <c r="MD356">
        <v>33</v>
      </c>
      <c r="ME356">
        <v>167</v>
      </c>
      <c r="MF356">
        <v>859</v>
      </c>
      <c r="MG356">
        <v>104</v>
      </c>
      <c r="MH356">
        <v>967</v>
      </c>
      <c r="MI356">
        <v>206</v>
      </c>
      <c r="MJ356">
        <v>103</v>
      </c>
      <c r="MK356">
        <v>87</v>
      </c>
      <c r="ML356">
        <v>200</v>
      </c>
      <c r="MM356">
        <v>28</v>
      </c>
      <c r="MN356">
        <v>186</v>
      </c>
      <c r="MO356">
        <v>11003</v>
      </c>
      <c r="MP356">
        <v>56</v>
      </c>
      <c r="MQ356">
        <v>50</v>
      </c>
      <c r="MR356">
        <v>197</v>
      </c>
      <c r="MS356">
        <v>779</v>
      </c>
      <c r="MT356">
        <v>117</v>
      </c>
      <c r="MU356">
        <v>206</v>
      </c>
      <c r="MV356">
        <v>224</v>
      </c>
      <c r="MW356">
        <v>38</v>
      </c>
      <c r="MX356">
        <v>71</v>
      </c>
      <c r="MY356">
        <v>57</v>
      </c>
      <c r="MZ356">
        <v>1713</v>
      </c>
      <c r="NA356">
        <v>683</v>
      </c>
      <c r="NB356">
        <v>119</v>
      </c>
      <c r="NC356">
        <v>475</v>
      </c>
      <c r="ND356">
        <v>33</v>
      </c>
      <c r="NE356">
        <v>46</v>
      </c>
      <c r="NF356">
        <v>11</v>
      </c>
      <c r="NG356">
        <v>27</v>
      </c>
      <c r="NH356">
        <v>5</v>
      </c>
      <c r="NI356">
        <v>43</v>
      </c>
      <c r="NJ356">
        <v>38</v>
      </c>
      <c r="NK356">
        <v>49</v>
      </c>
      <c r="NL356">
        <v>147</v>
      </c>
      <c r="NM356">
        <v>278</v>
      </c>
      <c r="NN356">
        <v>1130</v>
      </c>
      <c r="NO356">
        <v>1080</v>
      </c>
      <c r="NP356">
        <v>899</v>
      </c>
      <c r="NQ356">
        <v>99</v>
      </c>
      <c r="NR356">
        <v>310</v>
      </c>
      <c r="NS356">
        <v>9</v>
      </c>
      <c r="NT356">
        <v>31</v>
      </c>
      <c r="NU356">
        <v>33</v>
      </c>
      <c r="NV356">
        <v>223</v>
      </c>
      <c r="NW356">
        <v>6</v>
      </c>
      <c r="NX356">
        <v>247</v>
      </c>
      <c r="NY356">
        <v>115</v>
      </c>
      <c r="NZ356">
        <v>51</v>
      </c>
      <c r="OA356">
        <v>10</v>
      </c>
      <c r="OB356">
        <v>498</v>
      </c>
      <c r="OD356">
        <v>92</v>
      </c>
      <c r="OE356">
        <v>1299</v>
      </c>
      <c r="OF356">
        <v>119</v>
      </c>
      <c r="OG356">
        <v>103</v>
      </c>
      <c r="OH356">
        <v>24</v>
      </c>
      <c r="OI356">
        <v>2135</v>
      </c>
      <c r="OJ356">
        <v>778</v>
      </c>
      <c r="OK356">
        <v>17881</v>
      </c>
      <c r="OL356">
        <v>55</v>
      </c>
      <c r="OM356">
        <v>628</v>
      </c>
      <c r="ON356">
        <v>2787</v>
      </c>
      <c r="OO356">
        <v>104899</v>
      </c>
      <c r="OP356">
        <v>28334</v>
      </c>
      <c r="OV356">
        <v>156</v>
      </c>
      <c r="PI356">
        <v>133389</v>
      </c>
      <c r="PM356" t="str">
        <f>IFERROR(VLOOKUP($A356&amp;"",Key!$A:$C,3,FALSE),"")</f>
        <v>ISIC 36T39</v>
      </c>
    </row>
    <row r="357" spans="1:429" x14ac:dyDescent="0.25">
      <c r="A357">
        <v>611100</v>
      </c>
      <c r="B357" t="s">
        <v>492</v>
      </c>
      <c r="OP357">
        <v>53010</v>
      </c>
      <c r="PI357">
        <v>53010</v>
      </c>
      <c r="PM357" t="str">
        <f>IFERROR(VLOOKUP($A357&amp;"",Key!$A:$C,3,FALSE),"")</f>
        <v>ISIC 85</v>
      </c>
    </row>
    <row r="358" spans="1:429" x14ac:dyDescent="0.25">
      <c r="A358" t="s">
        <v>616</v>
      </c>
      <c r="B358" t="s">
        <v>493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N358">
        <v>0</v>
      </c>
      <c r="O358">
        <v>0</v>
      </c>
      <c r="X358">
        <v>111</v>
      </c>
      <c r="Y358">
        <v>46</v>
      </c>
      <c r="AC358">
        <v>5</v>
      </c>
      <c r="IB358">
        <v>24</v>
      </c>
      <c r="ID358">
        <v>5</v>
      </c>
      <c r="JD358">
        <v>1</v>
      </c>
      <c r="JK358">
        <v>260</v>
      </c>
      <c r="JL358">
        <v>113</v>
      </c>
      <c r="JM358">
        <v>174</v>
      </c>
      <c r="JN358">
        <v>258</v>
      </c>
      <c r="JO358">
        <v>233</v>
      </c>
      <c r="JQ358">
        <v>48</v>
      </c>
      <c r="JS358">
        <v>375</v>
      </c>
      <c r="JW358">
        <v>319</v>
      </c>
      <c r="JY358">
        <v>510</v>
      </c>
      <c r="KA358">
        <v>557</v>
      </c>
      <c r="KC358">
        <v>802</v>
      </c>
      <c r="KD358">
        <v>133</v>
      </c>
      <c r="KF358">
        <v>11</v>
      </c>
      <c r="KJ358">
        <v>2</v>
      </c>
      <c r="KK358">
        <v>38</v>
      </c>
      <c r="KN358">
        <v>0</v>
      </c>
      <c r="KO358">
        <v>0</v>
      </c>
      <c r="KQ358">
        <v>0</v>
      </c>
      <c r="KU358">
        <v>0</v>
      </c>
      <c r="KW358">
        <v>10</v>
      </c>
      <c r="KX358">
        <v>12</v>
      </c>
      <c r="KZ358">
        <v>111</v>
      </c>
      <c r="LT358">
        <v>111</v>
      </c>
      <c r="LW358">
        <v>42</v>
      </c>
      <c r="MH358">
        <v>13</v>
      </c>
      <c r="MQ358">
        <v>669</v>
      </c>
      <c r="MW358">
        <v>0</v>
      </c>
      <c r="MZ358">
        <v>3</v>
      </c>
      <c r="NR358">
        <v>1</v>
      </c>
      <c r="NT358">
        <v>0</v>
      </c>
      <c r="OB358">
        <v>0</v>
      </c>
      <c r="OI358">
        <v>2728</v>
      </c>
      <c r="OJ358">
        <v>706</v>
      </c>
      <c r="OK358">
        <v>744</v>
      </c>
      <c r="OL358">
        <v>2</v>
      </c>
      <c r="ON358">
        <v>1</v>
      </c>
      <c r="OO358">
        <v>9181</v>
      </c>
      <c r="OP358">
        <v>238722</v>
      </c>
      <c r="OV358">
        <v>1844</v>
      </c>
      <c r="PI358">
        <v>249747</v>
      </c>
      <c r="PM358" t="str">
        <f>IFERROR(VLOOKUP($A358&amp;"",Key!$A:$C,3,FALSE),"")</f>
        <v>ISIC 85</v>
      </c>
    </row>
    <row r="359" spans="1:429" x14ac:dyDescent="0.25">
      <c r="A359" t="s">
        <v>617</v>
      </c>
      <c r="B359" t="s">
        <v>494</v>
      </c>
      <c r="X359">
        <v>1</v>
      </c>
      <c r="IB359">
        <v>1</v>
      </c>
      <c r="JK359">
        <v>53</v>
      </c>
      <c r="JL359">
        <v>28</v>
      </c>
      <c r="JM359">
        <v>39</v>
      </c>
      <c r="JN359">
        <v>84</v>
      </c>
      <c r="JO359">
        <v>32</v>
      </c>
      <c r="JQ359">
        <v>58</v>
      </c>
      <c r="JS359">
        <v>112</v>
      </c>
      <c r="JV359">
        <v>74</v>
      </c>
      <c r="JW359">
        <v>162</v>
      </c>
      <c r="JY359">
        <v>258</v>
      </c>
      <c r="KA359">
        <v>283</v>
      </c>
      <c r="KC359">
        <v>290</v>
      </c>
      <c r="KD359">
        <v>55</v>
      </c>
      <c r="KE359">
        <v>176</v>
      </c>
      <c r="KF359">
        <v>1</v>
      </c>
      <c r="LC359">
        <v>18</v>
      </c>
      <c r="LD359">
        <v>7</v>
      </c>
      <c r="LE359">
        <v>4</v>
      </c>
      <c r="LF359">
        <v>1</v>
      </c>
      <c r="MG359">
        <v>51</v>
      </c>
      <c r="MH359">
        <v>105</v>
      </c>
      <c r="MK359">
        <v>78</v>
      </c>
      <c r="MN359">
        <v>39</v>
      </c>
      <c r="MP359">
        <v>88</v>
      </c>
      <c r="MQ359">
        <v>292</v>
      </c>
      <c r="MR359">
        <v>1024</v>
      </c>
      <c r="NF359">
        <v>176</v>
      </c>
      <c r="NI359">
        <v>1761</v>
      </c>
      <c r="NJ359">
        <v>76</v>
      </c>
      <c r="NM359">
        <v>200</v>
      </c>
      <c r="NV359">
        <v>19</v>
      </c>
      <c r="NZ359">
        <v>150</v>
      </c>
      <c r="OA359">
        <v>1020</v>
      </c>
      <c r="OB359">
        <v>576</v>
      </c>
      <c r="OD359">
        <v>0</v>
      </c>
      <c r="OE359">
        <v>15</v>
      </c>
      <c r="OG359">
        <v>61</v>
      </c>
      <c r="OI359">
        <v>1088</v>
      </c>
      <c r="OJ359">
        <v>425</v>
      </c>
      <c r="OK359">
        <v>1795</v>
      </c>
      <c r="ON359">
        <v>4</v>
      </c>
      <c r="OO359">
        <v>10780</v>
      </c>
      <c r="OP359">
        <v>68474</v>
      </c>
      <c r="OV359">
        <v>736</v>
      </c>
      <c r="PI359">
        <v>79990</v>
      </c>
      <c r="PM359" t="str">
        <f>IFERROR(VLOOKUP($A359&amp;"",Key!$A:$C,3,FALSE),"")</f>
        <v>ISIC 85</v>
      </c>
    </row>
    <row r="360" spans="1:429" x14ac:dyDescent="0.25">
      <c r="A360">
        <v>621100</v>
      </c>
      <c r="B360" t="s">
        <v>495</v>
      </c>
      <c r="OE360">
        <v>102</v>
      </c>
      <c r="OJ360">
        <v>515</v>
      </c>
      <c r="OO360">
        <v>617</v>
      </c>
      <c r="OP360">
        <v>491310</v>
      </c>
      <c r="OV360">
        <v>181</v>
      </c>
      <c r="PI360">
        <v>492107</v>
      </c>
      <c r="PM360" t="str">
        <f>IFERROR(VLOOKUP($A360&amp;"",Key!$A:$C,3,FALSE),"")</f>
        <v>ISIC 86T88</v>
      </c>
    </row>
    <row r="361" spans="1:429" x14ac:dyDescent="0.25">
      <c r="A361">
        <v>621200</v>
      </c>
      <c r="B361" t="s">
        <v>496</v>
      </c>
      <c r="OP361">
        <v>129315</v>
      </c>
      <c r="OV361">
        <v>100</v>
      </c>
      <c r="PI361">
        <v>129415</v>
      </c>
      <c r="PM361" t="str">
        <f>IFERROR(VLOOKUP($A361&amp;"",Key!$A:$C,3,FALSE),"")</f>
        <v>ISIC 86T88</v>
      </c>
    </row>
    <row r="362" spans="1:429" x14ac:dyDescent="0.25">
      <c r="A362">
        <v>621300</v>
      </c>
      <c r="B362" t="s">
        <v>497</v>
      </c>
      <c r="OE362">
        <v>2</v>
      </c>
      <c r="OJ362">
        <v>3833</v>
      </c>
      <c r="OO362">
        <v>3835</v>
      </c>
      <c r="OP362">
        <v>94125</v>
      </c>
      <c r="OV362">
        <v>100</v>
      </c>
      <c r="PI362">
        <v>98059</v>
      </c>
      <c r="PM362" t="str">
        <f>IFERROR(VLOOKUP($A362&amp;"",Key!$A:$C,3,FALSE),"")</f>
        <v>ISIC 86T88</v>
      </c>
    </row>
    <row r="363" spans="1:429" x14ac:dyDescent="0.25">
      <c r="A363">
        <v>621400</v>
      </c>
      <c r="B363" t="s">
        <v>498</v>
      </c>
      <c r="OE363">
        <v>890</v>
      </c>
      <c r="OJ363">
        <v>4238</v>
      </c>
      <c r="OO363">
        <v>5128</v>
      </c>
      <c r="OP363">
        <v>160922</v>
      </c>
      <c r="OV363">
        <v>106</v>
      </c>
      <c r="PI363">
        <v>166156</v>
      </c>
      <c r="PM363" t="str">
        <f>IFERROR(VLOOKUP($A363&amp;"",Key!$A:$C,3,FALSE),"")</f>
        <v>ISIC 86T88</v>
      </c>
    </row>
    <row r="364" spans="1:429" x14ac:dyDescent="0.25">
      <c r="A364">
        <v>621500</v>
      </c>
      <c r="B364" t="s">
        <v>499</v>
      </c>
      <c r="MB364">
        <v>9</v>
      </c>
      <c r="MD364">
        <v>57</v>
      </c>
      <c r="MS364">
        <v>10184</v>
      </c>
      <c r="MV364">
        <v>3422</v>
      </c>
      <c r="MX364">
        <v>3</v>
      </c>
      <c r="MY364">
        <v>215</v>
      </c>
      <c r="MZ364">
        <v>2818</v>
      </c>
      <c r="NB364">
        <v>0</v>
      </c>
      <c r="NC364">
        <v>1</v>
      </c>
      <c r="OJ364">
        <v>68</v>
      </c>
      <c r="OO364">
        <v>16778</v>
      </c>
      <c r="OP364">
        <v>38265</v>
      </c>
      <c r="OV364">
        <v>100</v>
      </c>
      <c r="PI364">
        <v>55143</v>
      </c>
      <c r="PM364" t="str">
        <f>IFERROR(VLOOKUP($A364&amp;"",Key!$A:$C,3,FALSE),"")</f>
        <v>ISIC 86T88</v>
      </c>
    </row>
    <row r="365" spans="1:429" x14ac:dyDescent="0.25">
      <c r="A365">
        <v>621600</v>
      </c>
      <c r="B365" t="s">
        <v>500</v>
      </c>
      <c r="OP365">
        <v>107517</v>
      </c>
      <c r="OV365">
        <v>100</v>
      </c>
      <c r="PI365">
        <v>107617</v>
      </c>
      <c r="PM365" t="str">
        <f>IFERROR(VLOOKUP($A365&amp;"",Key!$A:$C,3,FALSE),"")</f>
        <v>ISIC 86T88</v>
      </c>
    </row>
    <row r="366" spans="1:429" x14ac:dyDescent="0.25">
      <c r="A366">
        <v>621900</v>
      </c>
      <c r="B366" t="s">
        <v>501</v>
      </c>
      <c r="MN366">
        <v>66</v>
      </c>
      <c r="MV366">
        <v>461</v>
      </c>
      <c r="MZ366">
        <v>5868</v>
      </c>
      <c r="NA366">
        <v>60</v>
      </c>
      <c r="NG366">
        <v>31</v>
      </c>
      <c r="NI366">
        <v>62</v>
      </c>
      <c r="NK366">
        <v>2</v>
      </c>
      <c r="NZ366">
        <v>13</v>
      </c>
      <c r="OA366">
        <v>20</v>
      </c>
      <c r="OB366">
        <v>18</v>
      </c>
      <c r="OJ366">
        <v>168</v>
      </c>
      <c r="OK366">
        <v>10</v>
      </c>
      <c r="OO366">
        <v>6780</v>
      </c>
      <c r="OP366">
        <v>29419</v>
      </c>
      <c r="OV366">
        <v>100</v>
      </c>
      <c r="PI366">
        <v>36298</v>
      </c>
      <c r="PM366" t="str">
        <f>IFERROR(VLOOKUP($A366&amp;"",Key!$A:$C,3,FALSE),"")</f>
        <v>ISIC 86T88</v>
      </c>
    </row>
    <row r="367" spans="1:429" x14ac:dyDescent="0.25">
      <c r="A367">
        <v>622000</v>
      </c>
      <c r="B367" t="s">
        <v>502</v>
      </c>
      <c r="MZ367">
        <v>16228</v>
      </c>
      <c r="OO367">
        <v>16228</v>
      </c>
      <c r="OP367">
        <v>1039196</v>
      </c>
      <c r="OV367">
        <v>2815</v>
      </c>
      <c r="PI367">
        <v>1058239</v>
      </c>
      <c r="PM367" t="str">
        <f>IFERROR(VLOOKUP($A367&amp;"",Key!$A:$C,3,FALSE),"")</f>
        <v>ISIC 86T88</v>
      </c>
    </row>
    <row r="368" spans="1:429" x14ac:dyDescent="0.25">
      <c r="A368" t="s">
        <v>618</v>
      </c>
      <c r="B368" t="s">
        <v>503</v>
      </c>
      <c r="OE368">
        <v>1568</v>
      </c>
      <c r="OJ368">
        <v>870</v>
      </c>
      <c r="OO368">
        <v>2438</v>
      </c>
      <c r="OP368">
        <v>187578</v>
      </c>
      <c r="OV368">
        <v>100</v>
      </c>
      <c r="PI368">
        <v>190115</v>
      </c>
      <c r="PM368" t="str">
        <f>IFERROR(VLOOKUP($A368&amp;"",Key!$A:$C,3,FALSE),"")</f>
        <v>ISIC 86T88</v>
      </c>
    </row>
    <row r="369" spans="1:429" x14ac:dyDescent="0.25">
      <c r="A369" t="s">
        <v>619</v>
      </c>
      <c r="B369" t="s">
        <v>504</v>
      </c>
      <c r="OJ369">
        <v>30</v>
      </c>
      <c r="OO369">
        <v>30</v>
      </c>
      <c r="OP369">
        <v>54042</v>
      </c>
      <c r="OV369">
        <v>100</v>
      </c>
      <c r="PI369">
        <v>54171</v>
      </c>
      <c r="PM369" t="str">
        <f>IFERROR(VLOOKUP($A369&amp;"",Key!$A:$C,3,FALSE),"")</f>
        <v>ISIC 86T88</v>
      </c>
    </row>
    <row r="370" spans="1:429" x14ac:dyDescent="0.25">
      <c r="A370">
        <v>624100</v>
      </c>
      <c r="B370" t="s">
        <v>505</v>
      </c>
      <c r="OP370">
        <v>112901</v>
      </c>
      <c r="PI370">
        <v>112901</v>
      </c>
      <c r="PM370" t="str">
        <f>IFERROR(VLOOKUP($A370&amp;"",Key!$A:$C,3,FALSE),"")</f>
        <v>ISIC 86T88</v>
      </c>
    </row>
    <row r="371" spans="1:429" x14ac:dyDescent="0.25">
      <c r="A371">
        <v>624400</v>
      </c>
      <c r="B371" t="s">
        <v>506</v>
      </c>
      <c r="OK371">
        <v>1409</v>
      </c>
      <c r="OO371">
        <v>1409</v>
      </c>
      <c r="OP371">
        <v>56995</v>
      </c>
      <c r="PI371">
        <v>58404</v>
      </c>
      <c r="PM371" t="str">
        <f>IFERROR(VLOOKUP($A371&amp;"",Key!$A:$C,3,FALSE),"")</f>
        <v>ISIC 86T88</v>
      </c>
    </row>
    <row r="372" spans="1:429" x14ac:dyDescent="0.25">
      <c r="A372" t="s">
        <v>620</v>
      </c>
      <c r="B372" t="s">
        <v>507</v>
      </c>
      <c r="OP372">
        <v>55383</v>
      </c>
      <c r="PI372">
        <v>55383</v>
      </c>
      <c r="PM372" t="str">
        <f>IFERROR(VLOOKUP($A372&amp;"",Key!$A:$C,3,FALSE),"")</f>
        <v>ISIC 86T88</v>
      </c>
    </row>
    <row r="373" spans="1:429" x14ac:dyDescent="0.25">
      <c r="A373">
        <v>711100</v>
      </c>
      <c r="B373" t="s">
        <v>508</v>
      </c>
      <c r="C373">
        <v>5</v>
      </c>
      <c r="D373">
        <v>6</v>
      </c>
      <c r="E373">
        <v>2</v>
      </c>
      <c r="F373">
        <v>2</v>
      </c>
      <c r="G373">
        <v>2</v>
      </c>
      <c r="H373">
        <v>1</v>
      </c>
      <c r="I373">
        <v>13</v>
      </c>
      <c r="J373">
        <v>1</v>
      </c>
      <c r="K373">
        <v>2</v>
      </c>
      <c r="L373">
        <v>3</v>
      </c>
      <c r="W373">
        <v>8</v>
      </c>
      <c r="X373">
        <v>63</v>
      </c>
      <c r="Y373">
        <v>5</v>
      </c>
      <c r="AC373">
        <v>16</v>
      </c>
      <c r="AD373">
        <v>1</v>
      </c>
      <c r="AO373">
        <v>1</v>
      </c>
      <c r="BC373">
        <v>3</v>
      </c>
      <c r="BL373">
        <v>1</v>
      </c>
      <c r="BO373">
        <v>1</v>
      </c>
      <c r="BQ373">
        <v>3</v>
      </c>
      <c r="BR373">
        <v>2</v>
      </c>
      <c r="BV373">
        <v>1</v>
      </c>
      <c r="BX373">
        <v>3</v>
      </c>
      <c r="BY373">
        <v>1</v>
      </c>
      <c r="BZ373">
        <v>2</v>
      </c>
      <c r="CG373">
        <v>0</v>
      </c>
      <c r="CI373">
        <v>1</v>
      </c>
      <c r="CJ373">
        <v>1</v>
      </c>
      <c r="CL373">
        <v>2</v>
      </c>
      <c r="CZ373">
        <v>1</v>
      </c>
      <c r="DB373">
        <v>1</v>
      </c>
      <c r="DG373">
        <v>1</v>
      </c>
      <c r="DM373">
        <v>0</v>
      </c>
      <c r="DO373">
        <v>0</v>
      </c>
      <c r="DR373">
        <v>1</v>
      </c>
      <c r="DW373">
        <v>0</v>
      </c>
      <c r="EQ373">
        <v>0</v>
      </c>
      <c r="FB373">
        <v>2</v>
      </c>
      <c r="FC373">
        <v>1</v>
      </c>
      <c r="FE373">
        <v>0</v>
      </c>
      <c r="FJ373">
        <v>1</v>
      </c>
      <c r="FK373">
        <v>1</v>
      </c>
      <c r="FP373">
        <v>2</v>
      </c>
      <c r="FW373">
        <v>0</v>
      </c>
      <c r="FX373">
        <v>1</v>
      </c>
      <c r="FY373">
        <v>5</v>
      </c>
      <c r="GD373">
        <v>1</v>
      </c>
      <c r="GH373">
        <v>1</v>
      </c>
      <c r="GJ373">
        <v>1</v>
      </c>
      <c r="GU373">
        <v>1</v>
      </c>
      <c r="GW373">
        <v>1</v>
      </c>
      <c r="GX373">
        <v>2</v>
      </c>
      <c r="GZ373">
        <v>3</v>
      </c>
      <c r="HG373">
        <v>1</v>
      </c>
      <c r="HU373">
        <v>0</v>
      </c>
      <c r="HW373">
        <v>4</v>
      </c>
      <c r="IB373">
        <v>9</v>
      </c>
      <c r="ID373">
        <v>3</v>
      </c>
      <c r="IK373">
        <v>1</v>
      </c>
      <c r="IL373">
        <v>5</v>
      </c>
      <c r="IM373">
        <v>2</v>
      </c>
      <c r="JD373">
        <v>30</v>
      </c>
      <c r="JG373">
        <v>8</v>
      </c>
      <c r="JK373">
        <v>58</v>
      </c>
      <c r="JL373">
        <v>39</v>
      </c>
      <c r="JM373">
        <v>36</v>
      </c>
      <c r="JN373">
        <v>49</v>
      </c>
      <c r="JO373">
        <v>93</v>
      </c>
      <c r="JQ373">
        <v>118</v>
      </c>
      <c r="JS373">
        <v>118</v>
      </c>
      <c r="KF373">
        <v>141</v>
      </c>
      <c r="KK373">
        <v>1</v>
      </c>
      <c r="KN373">
        <v>7</v>
      </c>
      <c r="KO373">
        <v>8</v>
      </c>
      <c r="KP373">
        <v>11</v>
      </c>
      <c r="KQ373">
        <v>2</v>
      </c>
      <c r="KR373">
        <v>25</v>
      </c>
      <c r="KS373">
        <v>54</v>
      </c>
      <c r="KT373">
        <v>8</v>
      </c>
      <c r="KW373">
        <v>8</v>
      </c>
      <c r="KX373">
        <v>30</v>
      </c>
      <c r="KY373">
        <v>10</v>
      </c>
      <c r="KZ373">
        <v>116</v>
      </c>
      <c r="LA373">
        <v>13</v>
      </c>
      <c r="LB373">
        <v>0</v>
      </c>
      <c r="LC373">
        <v>183</v>
      </c>
      <c r="LD373">
        <v>262</v>
      </c>
      <c r="LE373">
        <v>139</v>
      </c>
      <c r="LF373">
        <v>23</v>
      </c>
      <c r="LH373">
        <v>30</v>
      </c>
      <c r="LI373">
        <v>10</v>
      </c>
      <c r="LJ373">
        <v>40</v>
      </c>
      <c r="LL373">
        <v>1</v>
      </c>
      <c r="LM373">
        <v>602</v>
      </c>
      <c r="LN373">
        <v>23</v>
      </c>
      <c r="LO373">
        <v>24</v>
      </c>
      <c r="LP373">
        <v>4</v>
      </c>
      <c r="LR373">
        <v>174</v>
      </c>
      <c r="LS373">
        <v>29</v>
      </c>
      <c r="LT373">
        <v>226</v>
      </c>
      <c r="LU373">
        <v>102</v>
      </c>
      <c r="LV373">
        <v>159</v>
      </c>
      <c r="LW373">
        <v>92</v>
      </c>
      <c r="LX373">
        <v>141</v>
      </c>
      <c r="LY373">
        <v>42</v>
      </c>
      <c r="LZ373">
        <v>25</v>
      </c>
      <c r="MA373">
        <v>425</v>
      </c>
      <c r="MD373">
        <v>6</v>
      </c>
      <c r="ME373">
        <v>79</v>
      </c>
      <c r="MF373">
        <v>1299</v>
      </c>
      <c r="MG373">
        <v>216</v>
      </c>
      <c r="MH373">
        <v>57</v>
      </c>
      <c r="MI373">
        <v>96</v>
      </c>
      <c r="MJ373">
        <v>7</v>
      </c>
      <c r="MK373">
        <v>38</v>
      </c>
      <c r="ML373">
        <v>110</v>
      </c>
      <c r="MM373">
        <v>16</v>
      </c>
      <c r="MN373">
        <v>112</v>
      </c>
      <c r="MO373">
        <v>22</v>
      </c>
      <c r="MP373">
        <v>191</v>
      </c>
      <c r="MQ373">
        <v>39</v>
      </c>
      <c r="MR373">
        <v>10</v>
      </c>
      <c r="MS373">
        <v>143</v>
      </c>
      <c r="MT373">
        <v>12</v>
      </c>
      <c r="MU373">
        <v>5</v>
      </c>
      <c r="MV373">
        <v>33</v>
      </c>
      <c r="MW373">
        <v>1</v>
      </c>
      <c r="MX373">
        <v>8</v>
      </c>
      <c r="MY373">
        <v>2</v>
      </c>
      <c r="MZ373">
        <v>36</v>
      </c>
      <c r="NA373">
        <v>16</v>
      </c>
      <c r="NB373">
        <v>4</v>
      </c>
      <c r="NC373">
        <v>15</v>
      </c>
      <c r="ND373">
        <v>4</v>
      </c>
      <c r="NE373">
        <v>7</v>
      </c>
      <c r="NF373">
        <v>5</v>
      </c>
      <c r="NG373">
        <v>3</v>
      </c>
      <c r="NI373">
        <v>9</v>
      </c>
      <c r="NK373">
        <v>16</v>
      </c>
      <c r="NL373">
        <v>87</v>
      </c>
      <c r="NM373">
        <v>93</v>
      </c>
      <c r="NN373">
        <v>88</v>
      </c>
      <c r="NO373">
        <v>342</v>
      </c>
      <c r="NP373">
        <v>1492</v>
      </c>
      <c r="NQ373">
        <v>94</v>
      </c>
      <c r="NR373">
        <v>1</v>
      </c>
      <c r="NT373">
        <v>2</v>
      </c>
      <c r="NV373">
        <v>4</v>
      </c>
      <c r="NW373">
        <v>0</v>
      </c>
      <c r="NX373">
        <v>1</v>
      </c>
      <c r="NZ373">
        <v>5</v>
      </c>
      <c r="OA373">
        <v>24</v>
      </c>
      <c r="OB373">
        <v>88</v>
      </c>
      <c r="OI373">
        <v>183</v>
      </c>
      <c r="OJ373">
        <v>97</v>
      </c>
      <c r="OK373">
        <v>0</v>
      </c>
      <c r="ON373">
        <v>25</v>
      </c>
      <c r="OO373">
        <v>9183</v>
      </c>
      <c r="OP373">
        <v>32596</v>
      </c>
      <c r="OR373">
        <v>4817</v>
      </c>
      <c r="OV373">
        <v>347</v>
      </c>
      <c r="PI373">
        <v>46944</v>
      </c>
      <c r="PM373" t="str">
        <f>IFERROR(VLOOKUP($A373&amp;"",Key!$A:$C,3,FALSE),"")</f>
        <v>ISIC 90T93</v>
      </c>
    </row>
    <row r="374" spans="1:429" x14ac:dyDescent="0.25">
      <c r="A374">
        <v>711200</v>
      </c>
      <c r="B374" t="s">
        <v>509</v>
      </c>
      <c r="C374">
        <v>5</v>
      </c>
      <c r="D374">
        <v>8</v>
      </c>
      <c r="E374">
        <v>2</v>
      </c>
      <c r="F374">
        <v>3</v>
      </c>
      <c r="G374">
        <v>3</v>
      </c>
      <c r="H374">
        <v>2</v>
      </c>
      <c r="I374">
        <v>14</v>
      </c>
      <c r="J374">
        <v>1</v>
      </c>
      <c r="K374">
        <v>5</v>
      </c>
      <c r="L374">
        <v>4</v>
      </c>
      <c r="V374">
        <v>0</v>
      </c>
      <c r="W374">
        <v>14</v>
      </c>
      <c r="X374">
        <v>63</v>
      </c>
      <c r="Y374">
        <v>3</v>
      </c>
      <c r="Z374">
        <v>3</v>
      </c>
      <c r="AA374">
        <v>1</v>
      </c>
      <c r="AB374">
        <v>2</v>
      </c>
      <c r="AC374">
        <v>20</v>
      </c>
      <c r="AD374">
        <v>2</v>
      </c>
      <c r="AE374">
        <v>12</v>
      </c>
      <c r="AF374">
        <v>2</v>
      </c>
      <c r="AG374">
        <v>45</v>
      </c>
      <c r="AH374">
        <v>1</v>
      </c>
      <c r="AI374">
        <v>3</v>
      </c>
      <c r="AJ374">
        <v>1</v>
      </c>
      <c r="AK374">
        <v>28</v>
      </c>
      <c r="AL374">
        <v>6</v>
      </c>
      <c r="AM374">
        <v>2</v>
      </c>
      <c r="AN374">
        <v>0</v>
      </c>
      <c r="AO374">
        <v>1</v>
      </c>
      <c r="AP374">
        <v>1</v>
      </c>
      <c r="AR374">
        <v>2</v>
      </c>
      <c r="AT374">
        <v>5</v>
      </c>
      <c r="AU374">
        <v>0</v>
      </c>
      <c r="AV374">
        <v>2</v>
      </c>
      <c r="AZ374">
        <v>0</v>
      </c>
      <c r="BB374">
        <v>1</v>
      </c>
      <c r="BC374">
        <v>4</v>
      </c>
      <c r="BD374">
        <v>1</v>
      </c>
      <c r="BG374">
        <v>1</v>
      </c>
      <c r="BI374">
        <v>0</v>
      </c>
      <c r="BJ374">
        <v>0</v>
      </c>
      <c r="BK374">
        <v>1</v>
      </c>
      <c r="BL374">
        <v>1</v>
      </c>
      <c r="BN374">
        <v>0</v>
      </c>
      <c r="BO374">
        <v>1</v>
      </c>
      <c r="BP374">
        <v>1</v>
      </c>
      <c r="BQ374">
        <v>4</v>
      </c>
      <c r="BR374">
        <v>2</v>
      </c>
      <c r="BT374">
        <v>1</v>
      </c>
      <c r="BU374">
        <v>0</v>
      </c>
      <c r="BV374">
        <v>1</v>
      </c>
      <c r="BW374">
        <v>1</v>
      </c>
      <c r="BX374">
        <v>4</v>
      </c>
      <c r="BY374">
        <v>2</v>
      </c>
      <c r="BZ374">
        <v>2</v>
      </c>
      <c r="CB374">
        <v>1</v>
      </c>
      <c r="CD374">
        <v>0</v>
      </c>
      <c r="CF374">
        <v>1</v>
      </c>
      <c r="CG374">
        <v>1</v>
      </c>
      <c r="CI374">
        <v>1</v>
      </c>
      <c r="CJ374">
        <v>2</v>
      </c>
      <c r="CK374">
        <v>1</v>
      </c>
      <c r="CL374">
        <v>1</v>
      </c>
      <c r="CM374">
        <v>0</v>
      </c>
      <c r="CO374">
        <v>1</v>
      </c>
      <c r="CP374">
        <v>0</v>
      </c>
      <c r="CQ374">
        <v>1</v>
      </c>
      <c r="CT374">
        <v>1</v>
      </c>
      <c r="CU374">
        <v>0</v>
      </c>
      <c r="CZ374">
        <v>2</v>
      </c>
      <c r="DA374">
        <v>0</v>
      </c>
      <c r="DB374">
        <v>0</v>
      </c>
      <c r="DC374">
        <v>1</v>
      </c>
      <c r="DE374">
        <v>1</v>
      </c>
      <c r="DG374">
        <v>1</v>
      </c>
      <c r="DM374">
        <v>0</v>
      </c>
      <c r="DO374">
        <v>0</v>
      </c>
      <c r="DR374">
        <v>2</v>
      </c>
      <c r="DS374">
        <v>0</v>
      </c>
      <c r="DU374">
        <v>0</v>
      </c>
      <c r="DW374">
        <v>0</v>
      </c>
      <c r="DX374">
        <v>1</v>
      </c>
      <c r="DZ374">
        <v>1</v>
      </c>
      <c r="ED374">
        <v>0</v>
      </c>
      <c r="EP374">
        <v>0</v>
      </c>
      <c r="EQ374">
        <v>1</v>
      </c>
      <c r="ET374">
        <v>1</v>
      </c>
      <c r="EW374">
        <v>1</v>
      </c>
      <c r="EX374">
        <v>1</v>
      </c>
      <c r="EY374">
        <v>1</v>
      </c>
      <c r="EZ374">
        <v>1</v>
      </c>
      <c r="FB374">
        <v>3</v>
      </c>
      <c r="FC374">
        <v>2</v>
      </c>
      <c r="FE374">
        <v>1</v>
      </c>
      <c r="FF374">
        <v>1</v>
      </c>
      <c r="FG374">
        <v>1</v>
      </c>
      <c r="FJ374">
        <v>1</v>
      </c>
      <c r="FK374">
        <v>1</v>
      </c>
      <c r="FL374">
        <v>0</v>
      </c>
      <c r="FP374">
        <v>2</v>
      </c>
      <c r="FS374">
        <v>1</v>
      </c>
      <c r="FU374">
        <v>0</v>
      </c>
      <c r="FV374">
        <v>2</v>
      </c>
      <c r="FW374">
        <v>0</v>
      </c>
      <c r="FX374">
        <v>1</v>
      </c>
      <c r="FY374">
        <v>6</v>
      </c>
      <c r="GC374">
        <v>1</v>
      </c>
      <c r="GD374">
        <v>1</v>
      </c>
      <c r="GG374">
        <v>1</v>
      </c>
      <c r="GH374">
        <v>1</v>
      </c>
      <c r="GI374">
        <v>1</v>
      </c>
      <c r="GJ374">
        <v>1</v>
      </c>
      <c r="GK374">
        <v>0</v>
      </c>
      <c r="GR374">
        <v>0</v>
      </c>
      <c r="GS374">
        <v>0</v>
      </c>
      <c r="GU374">
        <v>2</v>
      </c>
      <c r="GW374">
        <v>2</v>
      </c>
      <c r="GX374">
        <v>2</v>
      </c>
      <c r="GY374">
        <v>0</v>
      </c>
      <c r="GZ374">
        <v>7</v>
      </c>
      <c r="HA374">
        <v>1</v>
      </c>
      <c r="HB374">
        <v>1</v>
      </c>
      <c r="HC374">
        <v>0</v>
      </c>
      <c r="HD374">
        <v>0</v>
      </c>
      <c r="HE374">
        <v>1</v>
      </c>
      <c r="HF374">
        <v>1</v>
      </c>
      <c r="HG374">
        <v>2</v>
      </c>
      <c r="HH374">
        <v>0</v>
      </c>
      <c r="HI374">
        <v>1</v>
      </c>
      <c r="HQ374">
        <v>0</v>
      </c>
      <c r="HU374">
        <v>1</v>
      </c>
      <c r="HV374">
        <v>1</v>
      </c>
      <c r="HW374">
        <v>5</v>
      </c>
      <c r="HX374">
        <v>0</v>
      </c>
      <c r="HY374">
        <v>0</v>
      </c>
      <c r="IB374">
        <v>10</v>
      </c>
      <c r="ID374">
        <v>4</v>
      </c>
      <c r="IK374">
        <v>1</v>
      </c>
      <c r="IL374">
        <v>7</v>
      </c>
      <c r="IM374">
        <v>3</v>
      </c>
      <c r="IP374">
        <v>1</v>
      </c>
      <c r="IQ374">
        <v>0</v>
      </c>
      <c r="IU374">
        <v>1</v>
      </c>
      <c r="IW374">
        <v>0</v>
      </c>
      <c r="IZ374">
        <v>0</v>
      </c>
      <c r="JA374">
        <v>4</v>
      </c>
      <c r="JD374">
        <v>3</v>
      </c>
      <c r="JE374">
        <v>1</v>
      </c>
      <c r="JF374">
        <v>0</v>
      </c>
      <c r="JG374">
        <v>9</v>
      </c>
      <c r="JH374">
        <v>1</v>
      </c>
      <c r="JJ374">
        <v>1</v>
      </c>
      <c r="JK374">
        <v>62</v>
      </c>
      <c r="JL374">
        <v>14</v>
      </c>
      <c r="JM374">
        <v>56</v>
      </c>
      <c r="JN374">
        <v>11</v>
      </c>
      <c r="JO374">
        <v>49</v>
      </c>
      <c r="JQ374">
        <v>152</v>
      </c>
      <c r="JS374">
        <v>131</v>
      </c>
      <c r="JV374">
        <v>12</v>
      </c>
      <c r="JW374">
        <v>1</v>
      </c>
      <c r="JX374">
        <v>2</v>
      </c>
      <c r="KK374">
        <v>4</v>
      </c>
      <c r="KM374">
        <v>1</v>
      </c>
      <c r="KN374">
        <v>3</v>
      </c>
      <c r="KO374">
        <v>4</v>
      </c>
      <c r="KP374">
        <v>7</v>
      </c>
      <c r="KQ374">
        <v>1</v>
      </c>
      <c r="KR374">
        <v>23</v>
      </c>
      <c r="KS374">
        <v>8</v>
      </c>
      <c r="KT374">
        <v>2</v>
      </c>
      <c r="KU374">
        <v>6657</v>
      </c>
      <c r="KV374">
        <v>6255</v>
      </c>
      <c r="KW374">
        <v>10</v>
      </c>
      <c r="KX374">
        <v>35</v>
      </c>
      <c r="KY374">
        <v>11</v>
      </c>
      <c r="KZ374">
        <v>144</v>
      </c>
      <c r="LA374">
        <v>20</v>
      </c>
      <c r="LB374">
        <v>0</v>
      </c>
      <c r="LC374">
        <v>222</v>
      </c>
      <c r="LD374">
        <v>311</v>
      </c>
      <c r="LE374">
        <v>171</v>
      </c>
      <c r="LF374">
        <v>28</v>
      </c>
      <c r="LH374">
        <v>34</v>
      </c>
      <c r="LI374">
        <v>9</v>
      </c>
      <c r="LJ374">
        <v>43</v>
      </c>
      <c r="LM374">
        <v>1015</v>
      </c>
      <c r="LN374">
        <v>28</v>
      </c>
      <c r="LO374">
        <v>41</v>
      </c>
      <c r="LP374">
        <v>8</v>
      </c>
      <c r="LR374">
        <v>114</v>
      </c>
      <c r="LS374">
        <v>35</v>
      </c>
      <c r="LT374">
        <v>265</v>
      </c>
      <c r="LU374">
        <v>69</v>
      </c>
      <c r="LV374">
        <v>94</v>
      </c>
      <c r="LW374">
        <v>111</v>
      </c>
      <c r="LX374">
        <v>81</v>
      </c>
      <c r="LY374">
        <v>23</v>
      </c>
      <c r="LZ374">
        <v>29</v>
      </c>
      <c r="MA374">
        <v>39</v>
      </c>
      <c r="MB374">
        <v>6</v>
      </c>
      <c r="MC374">
        <v>4</v>
      </c>
      <c r="MD374">
        <v>6</v>
      </c>
      <c r="ME374">
        <v>31</v>
      </c>
      <c r="MF374">
        <v>38</v>
      </c>
      <c r="MG374">
        <v>228</v>
      </c>
      <c r="MH374">
        <v>30</v>
      </c>
      <c r="MI374">
        <v>32</v>
      </c>
      <c r="MJ374">
        <v>9</v>
      </c>
      <c r="MK374">
        <v>38</v>
      </c>
      <c r="ML374">
        <v>44</v>
      </c>
      <c r="MM374">
        <v>24</v>
      </c>
      <c r="MN374">
        <v>34</v>
      </c>
      <c r="MO374">
        <v>30</v>
      </c>
      <c r="MP374">
        <v>2</v>
      </c>
      <c r="MQ374">
        <v>971</v>
      </c>
      <c r="MR374">
        <v>8</v>
      </c>
      <c r="MS374">
        <v>158</v>
      </c>
      <c r="MT374">
        <v>13</v>
      </c>
      <c r="MU374">
        <v>8</v>
      </c>
      <c r="MV374">
        <v>12</v>
      </c>
      <c r="MW374">
        <v>3</v>
      </c>
      <c r="MX374">
        <v>10</v>
      </c>
      <c r="MY374">
        <v>4</v>
      </c>
      <c r="MZ374">
        <v>14</v>
      </c>
      <c r="NA374">
        <v>16</v>
      </c>
      <c r="NB374">
        <v>3</v>
      </c>
      <c r="NC374">
        <v>22</v>
      </c>
      <c r="ND374">
        <v>5</v>
      </c>
      <c r="NE374">
        <v>9</v>
      </c>
      <c r="NF374">
        <v>1</v>
      </c>
      <c r="NG374">
        <v>4942</v>
      </c>
      <c r="NH374">
        <v>1018</v>
      </c>
      <c r="NI374">
        <v>5</v>
      </c>
      <c r="NK374">
        <v>1</v>
      </c>
      <c r="NL374">
        <v>4</v>
      </c>
      <c r="NM374">
        <v>6</v>
      </c>
      <c r="NN374">
        <v>12</v>
      </c>
      <c r="NO374">
        <v>54</v>
      </c>
      <c r="NP374">
        <v>76</v>
      </c>
      <c r="NQ374">
        <v>13</v>
      </c>
      <c r="NR374">
        <v>2</v>
      </c>
      <c r="NS374">
        <v>1</v>
      </c>
      <c r="NT374">
        <v>3</v>
      </c>
      <c r="NV374">
        <v>8</v>
      </c>
      <c r="NW374">
        <v>0</v>
      </c>
      <c r="NX374">
        <v>1</v>
      </c>
      <c r="NY374">
        <v>4</v>
      </c>
      <c r="OA374">
        <v>30</v>
      </c>
      <c r="OB374">
        <v>9</v>
      </c>
      <c r="OG374">
        <v>19</v>
      </c>
      <c r="OH374">
        <v>4</v>
      </c>
      <c r="OI374">
        <v>269</v>
      </c>
      <c r="ON374">
        <v>2</v>
      </c>
      <c r="OO374">
        <v>25167</v>
      </c>
      <c r="OP374">
        <v>21320</v>
      </c>
      <c r="OV374">
        <v>294</v>
      </c>
      <c r="PI374">
        <v>46781</v>
      </c>
      <c r="PM374" t="str">
        <f>IFERROR(VLOOKUP($A374&amp;"",Key!$A:$C,3,FALSE),"")</f>
        <v>ISIC 90T93</v>
      </c>
    </row>
    <row r="375" spans="1:429" x14ac:dyDescent="0.25">
      <c r="A375">
        <v>711500</v>
      </c>
      <c r="B375" t="s">
        <v>510</v>
      </c>
      <c r="M375">
        <v>0</v>
      </c>
      <c r="P375">
        <v>0</v>
      </c>
      <c r="W375">
        <v>1</v>
      </c>
      <c r="X375">
        <v>42</v>
      </c>
      <c r="Y375">
        <v>6</v>
      </c>
      <c r="Z375">
        <v>9</v>
      </c>
      <c r="AB375">
        <v>0</v>
      </c>
      <c r="AC375">
        <v>18</v>
      </c>
      <c r="AD375">
        <v>2</v>
      </c>
      <c r="AE375">
        <v>1</v>
      </c>
      <c r="AG375">
        <v>5</v>
      </c>
      <c r="AH375">
        <v>1</v>
      </c>
      <c r="AI375">
        <v>0</v>
      </c>
      <c r="AK375">
        <v>4</v>
      </c>
      <c r="AL375">
        <v>1</v>
      </c>
      <c r="AM375">
        <v>8</v>
      </c>
      <c r="AN375">
        <v>1</v>
      </c>
      <c r="AO375">
        <v>2</v>
      </c>
      <c r="AP375">
        <v>2</v>
      </c>
      <c r="AQ375">
        <v>1</v>
      </c>
      <c r="AR375">
        <v>6</v>
      </c>
      <c r="AS375">
        <v>1</v>
      </c>
      <c r="AT375">
        <v>7</v>
      </c>
      <c r="AU375">
        <v>0</v>
      </c>
      <c r="AV375">
        <v>2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1</v>
      </c>
      <c r="BC375">
        <v>10</v>
      </c>
      <c r="BD375">
        <v>3</v>
      </c>
      <c r="BE375">
        <v>1</v>
      </c>
      <c r="BG375">
        <v>2</v>
      </c>
      <c r="BH375">
        <v>1</v>
      </c>
      <c r="BI375">
        <v>1</v>
      </c>
      <c r="BJ375">
        <v>2</v>
      </c>
      <c r="BK375">
        <v>2</v>
      </c>
      <c r="BL375">
        <v>2</v>
      </c>
      <c r="BN375">
        <v>1</v>
      </c>
      <c r="BO375">
        <v>1</v>
      </c>
      <c r="BP375">
        <v>1</v>
      </c>
      <c r="BQ375">
        <v>5</v>
      </c>
      <c r="BR375">
        <v>4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4</v>
      </c>
      <c r="BY375">
        <v>4</v>
      </c>
      <c r="BZ375">
        <v>2</v>
      </c>
      <c r="CB375">
        <v>3</v>
      </c>
      <c r="CC375">
        <v>0</v>
      </c>
      <c r="CD375">
        <v>1</v>
      </c>
      <c r="CF375">
        <v>1</v>
      </c>
      <c r="CG375">
        <v>2</v>
      </c>
      <c r="CH375">
        <v>1</v>
      </c>
      <c r="CI375">
        <v>1</v>
      </c>
      <c r="CJ375">
        <v>1</v>
      </c>
      <c r="CK375">
        <v>1</v>
      </c>
      <c r="CL375">
        <v>3</v>
      </c>
      <c r="CM375">
        <v>0</v>
      </c>
      <c r="CO375">
        <v>2</v>
      </c>
      <c r="CP375">
        <v>1</v>
      </c>
      <c r="CQ375">
        <v>2</v>
      </c>
      <c r="CR375">
        <v>0</v>
      </c>
      <c r="CS375">
        <v>0</v>
      </c>
      <c r="CT375">
        <v>1</v>
      </c>
      <c r="CU375">
        <v>1</v>
      </c>
      <c r="CV375">
        <v>1</v>
      </c>
      <c r="CW375">
        <v>0</v>
      </c>
      <c r="CX375">
        <v>0</v>
      </c>
      <c r="CY375">
        <v>0</v>
      </c>
      <c r="CZ375">
        <v>3</v>
      </c>
      <c r="DA375">
        <v>1</v>
      </c>
      <c r="DB375">
        <v>1</v>
      </c>
      <c r="DC375">
        <v>2</v>
      </c>
      <c r="DE375">
        <v>1</v>
      </c>
      <c r="DG375">
        <v>2</v>
      </c>
      <c r="DH375">
        <v>1</v>
      </c>
      <c r="DM375">
        <v>0</v>
      </c>
      <c r="DO375">
        <v>0</v>
      </c>
      <c r="DR375">
        <v>1</v>
      </c>
      <c r="DS375">
        <v>0</v>
      </c>
      <c r="DU375">
        <v>0</v>
      </c>
      <c r="DW375">
        <v>0</v>
      </c>
      <c r="DX375">
        <v>0</v>
      </c>
      <c r="DY375">
        <v>0</v>
      </c>
      <c r="DZ375">
        <v>0</v>
      </c>
      <c r="ED375">
        <v>1</v>
      </c>
      <c r="EI375">
        <v>0</v>
      </c>
      <c r="EM375">
        <v>1</v>
      </c>
      <c r="EN375">
        <v>1</v>
      </c>
      <c r="EP375">
        <v>1</v>
      </c>
      <c r="EQ375">
        <v>0</v>
      </c>
      <c r="ET375">
        <v>2</v>
      </c>
      <c r="EU375">
        <v>1</v>
      </c>
      <c r="EW375">
        <v>1</v>
      </c>
      <c r="EX375">
        <v>2</v>
      </c>
      <c r="EY375">
        <v>2</v>
      </c>
      <c r="EZ375">
        <v>2</v>
      </c>
      <c r="FA375">
        <v>3</v>
      </c>
      <c r="FB375">
        <v>2</v>
      </c>
      <c r="FC375">
        <v>3</v>
      </c>
      <c r="FD375">
        <v>2</v>
      </c>
      <c r="FE375">
        <v>1</v>
      </c>
      <c r="FF375">
        <v>2</v>
      </c>
      <c r="FG375">
        <v>2</v>
      </c>
      <c r="FJ375">
        <v>3</v>
      </c>
      <c r="FK375">
        <v>1</v>
      </c>
      <c r="FL375">
        <v>1</v>
      </c>
      <c r="FM375">
        <v>0</v>
      </c>
      <c r="FP375">
        <v>1</v>
      </c>
      <c r="FQ375">
        <v>1</v>
      </c>
      <c r="FR375">
        <v>0</v>
      </c>
      <c r="FT375">
        <v>1</v>
      </c>
      <c r="FU375">
        <v>1</v>
      </c>
      <c r="FV375">
        <v>5</v>
      </c>
      <c r="FW375">
        <v>0</v>
      </c>
      <c r="FX375">
        <v>2</v>
      </c>
      <c r="FY375">
        <v>2</v>
      </c>
      <c r="FZ375">
        <v>0</v>
      </c>
      <c r="GA375">
        <v>0</v>
      </c>
      <c r="GB375">
        <v>1</v>
      </c>
      <c r="GC375">
        <v>1</v>
      </c>
      <c r="GD375">
        <v>1</v>
      </c>
      <c r="GG375">
        <v>1</v>
      </c>
      <c r="GH375">
        <v>2</v>
      </c>
      <c r="GI375">
        <v>2</v>
      </c>
      <c r="GJ375">
        <v>1</v>
      </c>
      <c r="GK375">
        <v>2</v>
      </c>
      <c r="GL375">
        <v>0</v>
      </c>
      <c r="GM375">
        <v>0</v>
      </c>
      <c r="GO375">
        <v>0</v>
      </c>
      <c r="GP375">
        <v>2</v>
      </c>
      <c r="GQ375">
        <v>1</v>
      </c>
      <c r="GR375">
        <v>2</v>
      </c>
      <c r="GS375">
        <v>1</v>
      </c>
      <c r="GT375">
        <v>1</v>
      </c>
      <c r="GU375">
        <v>4</v>
      </c>
      <c r="GW375">
        <v>6</v>
      </c>
      <c r="GX375">
        <v>4</v>
      </c>
      <c r="GY375">
        <v>1</v>
      </c>
      <c r="GZ375">
        <v>14</v>
      </c>
      <c r="HA375">
        <v>1</v>
      </c>
      <c r="HB375">
        <v>1</v>
      </c>
      <c r="HC375">
        <v>1</v>
      </c>
      <c r="HE375">
        <v>2</v>
      </c>
      <c r="HF375">
        <v>2</v>
      </c>
      <c r="HG375">
        <v>2</v>
      </c>
      <c r="HH375">
        <v>2</v>
      </c>
      <c r="HI375">
        <v>1</v>
      </c>
      <c r="HK375">
        <v>0</v>
      </c>
      <c r="HL375">
        <v>0</v>
      </c>
      <c r="HM375">
        <v>1</v>
      </c>
      <c r="HN375">
        <v>1</v>
      </c>
      <c r="HO375">
        <v>0</v>
      </c>
      <c r="HP375">
        <v>0</v>
      </c>
      <c r="HQ375">
        <v>1</v>
      </c>
      <c r="HR375">
        <v>0</v>
      </c>
      <c r="HS375">
        <v>0</v>
      </c>
      <c r="HT375">
        <v>1</v>
      </c>
      <c r="HU375">
        <v>2</v>
      </c>
      <c r="HV375">
        <v>3</v>
      </c>
      <c r="HW375">
        <v>10</v>
      </c>
      <c r="HX375">
        <v>2</v>
      </c>
      <c r="HY375">
        <v>1</v>
      </c>
      <c r="HZ375">
        <v>1</v>
      </c>
      <c r="IA375">
        <v>0</v>
      </c>
      <c r="IB375">
        <v>12</v>
      </c>
      <c r="ID375">
        <v>19</v>
      </c>
      <c r="IE375">
        <v>2</v>
      </c>
      <c r="IF375">
        <v>1</v>
      </c>
      <c r="IG375">
        <v>0</v>
      </c>
      <c r="IK375">
        <v>2</v>
      </c>
      <c r="IL375">
        <v>4</v>
      </c>
      <c r="IM375">
        <v>4</v>
      </c>
      <c r="IN375">
        <v>1</v>
      </c>
      <c r="IQ375">
        <v>2</v>
      </c>
      <c r="IS375">
        <v>0</v>
      </c>
      <c r="IU375">
        <v>1</v>
      </c>
      <c r="IV375">
        <v>1</v>
      </c>
      <c r="IW375">
        <v>1</v>
      </c>
      <c r="IZ375">
        <v>1</v>
      </c>
      <c r="JA375">
        <v>6</v>
      </c>
      <c r="JB375">
        <v>2</v>
      </c>
      <c r="JE375">
        <v>1</v>
      </c>
      <c r="JF375">
        <v>1</v>
      </c>
      <c r="JG375">
        <v>20</v>
      </c>
      <c r="JH375">
        <v>1</v>
      </c>
      <c r="JI375">
        <v>1</v>
      </c>
      <c r="JJ375">
        <v>2</v>
      </c>
      <c r="JL375">
        <v>258</v>
      </c>
      <c r="JM375">
        <v>321</v>
      </c>
      <c r="JN375">
        <v>285</v>
      </c>
      <c r="JO375">
        <v>419</v>
      </c>
      <c r="JP375">
        <v>20</v>
      </c>
      <c r="JQ375">
        <v>151</v>
      </c>
      <c r="JR375">
        <v>7</v>
      </c>
      <c r="JS375">
        <v>236</v>
      </c>
      <c r="JT375">
        <v>2</v>
      </c>
      <c r="JV375">
        <v>86</v>
      </c>
      <c r="JW375">
        <v>63</v>
      </c>
      <c r="JX375">
        <v>62</v>
      </c>
      <c r="JY375">
        <v>40</v>
      </c>
      <c r="JZ375">
        <v>22</v>
      </c>
      <c r="KA375">
        <v>55</v>
      </c>
      <c r="KB375">
        <v>22</v>
      </c>
      <c r="KC375">
        <v>98</v>
      </c>
      <c r="KD375">
        <v>42</v>
      </c>
      <c r="KF375">
        <v>1</v>
      </c>
      <c r="KH375">
        <v>41</v>
      </c>
      <c r="KI375">
        <v>17</v>
      </c>
      <c r="KK375">
        <v>15</v>
      </c>
      <c r="KL375">
        <v>2</v>
      </c>
      <c r="KM375">
        <v>6</v>
      </c>
      <c r="KN375">
        <v>24</v>
      </c>
      <c r="KO375">
        <v>32</v>
      </c>
      <c r="KR375">
        <v>42</v>
      </c>
      <c r="KS375">
        <v>2797</v>
      </c>
      <c r="KT375">
        <v>1</v>
      </c>
      <c r="KU375">
        <v>3</v>
      </c>
      <c r="KV375">
        <v>2932</v>
      </c>
      <c r="KW375">
        <v>13064</v>
      </c>
      <c r="KX375">
        <v>30</v>
      </c>
      <c r="KZ375">
        <v>62</v>
      </c>
      <c r="LA375">
        <v>10</v>
      </c>
      <c r="LB375">
        <v>0</v>
      </c>
      <c r="LC375">
        <v>197</v>
      </c>
      <c r="LD375">
        <v>1023</v>
      </c>
      <c r="LE375">
        <v>87</v>
      </c>
      <c r="LF375">
        <v>128</v>
      </c>
      <c r="LH375">
        <v>117</v>
      </c>
      <c r="LJ375">
        <v>216</v>
      </c>
      <c r="LM375">
        <v>2952</v>
      </c>
      <c r="LN375">
        <v>49</v>
      </c>
      <c r="LO375">
        <v>16</v>
      </c>
      <c r="LP375">
        <v>66</v>
      </c>
      <c r="LR375">
        <v>199</v>
      </c>
      <c r="LS375">
        <v>61</v>
      </c>
      <c r="LT375">
        <v>66</v>
      </c>
      <c r="LU375">
        <v>35</v>
      </c>
      <c r="LV375">
        <v>183</v>
      </c>
      <c r="LW375">
        <v>160</v>
      </c>
      <c r="LX375">
        <v>73</v>
      </c>
      <c r="LY375">
        <v>41</v>
      </c>
      <c r="LZ375">
        <v>44</v>
      </c>
      <c r="MA375">
        <v>1543</v>
      </c>
      <c r="MB375">
        <v>18</v>
      </c>
      <c r="MC375">
        <v>11</v>
      </c>
      <c r="MD375">
        <v>1</v>
      </c>
      <c r="ME375">
        <v>16</v>
      </c>
      <c r="MF375">
        <v>753</v>
      </c>
      <c r="MG375">
        <v>201</v>
      </c>
      <c r="MH375">
        <v>70</v>
      </c>
      <c r="MI375">
        <v>15</v>
      </c>
      <c r="MJ375">
        <v>15</v>
      </c>
      <c r="MK375">
        <v>34</v>
      </c>
      <c r="ML375">
        <v>32</v>
      </c>
      <c r="MM375">
        <v>23</v>
      </c>
      <c r="MN375">
        <v>26</v>
      </c>
      <c r="MO375">
        <v>34</v>
      </c>
      <c r="MP375">
        <v>48</v>
      </c>
      <c r="MQ375">
        <v>2</v>
      </c>
      <c r="MR375">
        <v>18</v>
      </c>
      <c r="MS375">
        <v>185</v>
      </c>
      <c r="MT375">
        <v>23</v>
      </c>
      <c r="MU375">
        <v>14</v>
      </c>
      <c r="MV375">
        <v>37</v>
      </c>
      <c r="MW375">
        <v>5</v>
      </c>
      <c r="MX375">
        <v>29</v>
      </c>
      <c r="MY375">
        <v>3</v>
      </c>
      <c r="MZ375">
        <v>685</v>
      </c>
      <c r="NA375">
        <v>60</v>
      </c>
      <c r="NB375">
        <v>52</v>
      </c>
      <c r="NC375">
        <v>41</v>
      </c>
      <c r="ND375">
        <v>153</v>
      </c>
      <c r="NE375">
        <v>19</v>
      </c>
      <c r="NF375">
        <v>1761</v>
      </c>
      <c r="NG375">
        <v>4</v>
      </c>
      <c r="NI375">
        <v>2287</v>
      </c>
      <c r="NJ375">
        <v>3</v>
      </c>
      <c r="NK375">
        <v>49</v>
      </c>
      <c r="NL375">
        <v>257</v>
      </c>
      <c r="NM375">
        <v>7</v>
      </c>
      <c r="NN375">
        <v>126</v>
      </c>
      <c r="NO375">
        <v>164</v>
      </c>
      <c r="NP375">
        <v>210</v>
      </c>
      <c r="NQ375">
        <v>14</v>
      </c>
      <c r="NR375">
        <v>12</v>
      </c>
      <c r="NS375">
        <v>1</v>
      </c>
      <c r="NT375">
        <v>9</v>
      </c>
      <c r="NU375">
        <v>2</v>
      </c>
      <c r="NV375">
        <v>3</v>
      </c>
      <c r="NX375">
        <v>6</v>
      </c>
      <c r="NY375">
        <v>695</v>
      </c>
      <c r="NZ375">
        <v>14</v>
      </c>
      <c r="OA375">
        <v>4</v>
      </c>
      <c r="OB375">
        <v>8</v>
      </c>
      <c r="OD375">
        <v>0</v>
      </c>
      <c r="OE375">
        <v>14</v>
      </c>
      <c r="OF375">
        <v>0</v>
      </c>
      <c r="OI375">
        <v>41</v>
      </c>
      <c r="OJ375">
        <v>26</v>
      </c>
      <c r="OK375">
        <v>601</v>
      </c>
      <c r="OL375">
        <v>7</v>
      </c>
      <c r="OO375">
        <v>37898</v>
      </c>
      <c r="OP375">
        <v>472</v>
      </c>
      <c r="OR375">
        <v>660</v>
      </c>
      <c r="OV375">
        <v>371</v>
      </c>
      <c r="PI375">
        <v>39400</v>
      </c>
      <c r="PM375" t="str">
        <f>IFERROR(VLOOKUP($A375&amp;"",Key!$A:$C,3,FALSE),"")</f>
        <v>ISIC 90T93</v>
      </c>
    </row>
    <row r="376" spans="1:429" x14ac:dyDescent="0.25">
      <c r="A376" t="s">
        <v>621</v>
      </c>
      <c r="B376" t="s">
        <v>511</v>
      </c>
      <c r="X376">
        <v>9</v>
      </c>
      <c r="Y376">
        <v>2</v>
      </c>
      <c r="Z376">
        <v>0</v>
      </c>
      <c r="AC376">
        <v>1</v>
      </c>
      <c r="AL376">
        <v>1</v>
      </c>
      <c r="AM376">
        <v>1</v>
      </c>
      <c r="AT376">
        <v>1</v>
      </c>
      <c r="BC376">
        <v>1</v>
      </c>
      <c r="BR376">
        <v>0</v>
      </c>
      <c r="BX376">
        <v>0</v>
      </c>
      <c r="CG376">
        <v>0</v>
      </c>
      <c r="FC376">
        <v>0</v>
      </c>
      <c r="FE376">
        <v>0</v>
      </c>
      <c r="GW376">
        <v>0</v>
      </c>
      <c r="GX376">
        <v>0</v>
      </c>
      <c r="GZ376">
        <v>1</v>
      </c>
      <c r="HW376">
        <v>1</v>
      </c>
      <c r="IB376">
        <v>1</v>
      </c>
      <c r="ID376">
        <v>2</v>
      </c>
      <c r="JG376">
        <v>2</v>
      </c>
      <c r="JK376">
        <v>79</v>
      </c>
      <c r="JL376">
        <v>51</v>
      </c>
      <c r="JM376">
        <v>61</v>
      </c>
      <c r="JN376">
        <v>44</v>
      </c>
      <c r="JO376">
        <v>28</v>
      </c>
      <c r="JP376">
        <v>2</v>
      </c>
      <c r="JQ376">
        <v>29</v>
      </c>
      <c r="JS376">
        <v>32</v>
      </c>
      <c r="JT376">
        <v>6</v>
      </c>
      <c r="JV376">
        <v>307</v>
      </c>
      <c r="JW376">
        <v>312</v>
      </c>
      <c r="JX376">
        <v>4</v>
      </c>
      <c r="JY376">
        <v>49</v>
      </c>
      <c r="JZ376">
        <v>1</v>
      </c>
      <c r="KA376">
        <v>57</v>
      </c>
      <c r="KB376">
        <v>2</v>
      </c>
      <c r="KC376">
        <v>94</v>
      </c>
      <c r="KD376">
        <v>16</v>
      </c>
      <c r="KH376">
        <v>8</v>
      </c>
      <c r="KK376">
        <v>212</v>
      </c>
      <c r="KR376">
        <v>13</v>
      </c>
      <c r="KS376">
        <v>3663</v>
      </c>
      <c r="KT376">
        <v>218</v>
      </c>
      <c r="KU376">
        <v>14</v>
      </c>
      <c r="KV376">
        <v>113</v>
      </c>
      <c r="KW376">
        <v>420</v>
      </c>
      <c r="KX376">
        <v>4</v>
      </c>
      <c r="KZ376">
        <v>14</v>
      </c>
      <c r="LB376">
        <v>0</v>
      </c>
      <c r="LJ376">
        <v>42</v>
      </c>
      <c r="LM376">
        <v>565</v>
      </c>
      <c r="LN376">
        <v>9</v>
      </c>
      <c r="LO376">
        <v>1</v>
      </c>
      <c r="LP376">
        <v>0</v>
      </c>
      <c r="LR376">
        <v>108</v>
      </c>
      <c r="LS376">
        <v>12</v>
      </c>
      <c r="LT376">
        <v>12</v>
      </c>
      <c r="LU376">
        <v>39</v>
      </c>
      <c r="LV376">
        <v>112</v>
      </c>
      <c r="LW376">
        <v>29</v>
      </c>
      <c r="LX376">
        <v>85</v>
      </c>
      <c r="LY376">
        <v>29</v>
      </c>
      <c r="LZ376">
        <v>8</v>
      </c>
      <c r="MA376">
        <v>58</v>
      </c>
      <c r="MD376">
        <v>3</v>
      </c>
      <c r="ME376">
        <v>58</v>
      </c>
      <c r="MF376">
        <v>1835</v>
      </c>
      <c r="MG376">
        <v>68</v>
      </c>
      <c r="MH376">
        <v>11</v>
      </c>
      <c r="MI376">
        <v>70</v>
      </c>
      <c r="MJ376">
        <v>1</v>
      </c>
      <c r="MK376">
        <v>14</v>
      </c>
      <c r="ML376">
        <v>75</v>
      </c>
      <c r="MM376">
        <v>2</v>
      </c>
      <c r="MN376">
        <v>142</v>
      </c>
      <c r="MO376">
        <v>2</v>
      </c>
      <c r="MP376">
        <v>1</v>
      </c>
      <c r="MQ376">
        <v>3</v>
      </c>
      <c r="MS376">
        <v>35</v>
      </c>
      <c r="MT376">
        <v>4</v>
      </c>
      <c r="MV376">
        <v>6</v>
      </c>
      <c r="MW376">
        <v>0</v>
      </c>
      <c r="MX376">
        <v>5</v>
      </c>
      <c r="MZ376">
        <v>54</v>
      </c>
      <c r="NA376">
        <v>10</v>
      </c>
      <c r="NB376">
        <v>1</v>
      </c>
      <c r="NC376">
        <v>2</v>
      </c>
      <c r="ND376">
        <v>0</v>
      </c>
      <c r="NF376">
        <v>810</v>
      </c>
      <c r="NG376">
        <v>2759</v>
      </c>
      <c r="NH376">
        <v>4127</v>
      </c>
      <c r="NI376">
        <v>2995</v>
      </c>
      <c r="NJ376">
        <v>4</v>
      </c>
      <c r="NM376">
        <v>63</v>
      </c>
      <c r="NN376">
        <v>22</v>
      </c>
      <c r="NO376">
        <v>79</v>
      </c>
      <c r="NP376">
        <v>153</v>
      </c>
      <c r="NQ376">
        <v>25</v>
      </c>
      <c r="NR376">
        <v>2</v>
      </c>
      <c r="NT376">
        <v>2</v>
      </c>
      <c r="NX376">
        <v>1</v>
      </c>
      <c r="NZ376">
        <v>194</v>
      </c>
      <c r="OB376">
        <v>491</v>
      </c>
      <c r="OD376">
        <v>0</v>
      </c>
      <c r="OF376">
        <v>0</v>
      </c>
      <c r="OI376">
        <v>0</v>
      </c>
      <c r="OO376">
        <v>21114</v>
      </c>
      <c r="OP376">
        <v>11360</v>
      </c>
      <c r="OV376">
        <v>533</v>
      </c>
      <c r="PI376">
        <v>33007</v>
      </c>
      <c r="PM376" t="str">
        <f>IFERROR(VLOOKUP($A376&amp;"",Key!$A:$C,3,FALSE),"")</f>
        <v>ISIC 90T93</v>
      </c>
    </row>
    <row r="377" spans="1:429" x14ac:dyDescent="0.25">
      <c r="A377">
        <v>712000</v>
      </c>
      <c r="B377" t="s">
        <v>512</v>
      </c>
      <c r="OP377">
        <v>21225</v>
      </c>
      <c r="OV377">
        <v>1</v>
      </c>
      <c r="PI377">
        <v>21226</v>
      </c>
      <c r="PM377" t="str">
        <f>IFERROR(VLOOKUP($A377&amp;"",Key!$A:$C,3,FALSE),"")</f>
        <v>ISIC 90T93</v>
      </c>
    </row>
    <row r="378" spans="1:429" x14ac:dyDescent="0.25">
      <c r="A378">
        <v>713100</v>
      </c>
      <c r="B378" t="s">
        <v>513</v>
      </c>
      <c r="MF378">
        <v>207</v>
      </c>
      <c r="MN378">
        <v>68</v>
      </c>
      <c r="MP378">
        <v>1</v>
      </c>
      <c r="MQ378">
        <v>7</v>
      </c>
      <c r="NI378">
        <v>16</v>
      </c>
      <c r="NN378">
        <v>157</v>
      </c>
      <c r="NQ378">
        <v>111</v>
      </c>
      <c r="OK378">
        <v>0</v>
      </c>
      <c r="OO378">
        <v>567</v>
      </c>
      <c r="OP378">
        <v>17522</v>
      </c>
      <c r="OV378">
        <v>1</v>
      </c>
      <c r="PI378">
        <v>18091</v>
      </c>
      <c r="PM378" t="str">
        <f>IFERROR(VLOOKUP($A378&amp;"",Key!$A:$C,3,FALSE),"")</f>
        <v>ISIC 90T93</v>
      </c>
    </row>
    <row r="379" spans="1:429" x14ac:dyDescent="0.25">
      <c r="A379">
        <v>713200</v>
      </c>
      <c r="B379" t="s">
        <v>514</v>
      </c>
      <c r="NL379">
        <v>199</v>
      </c>
      <c r="ON379">
        <v>86</v>
      </c>
      <c r="OO379">
        <v>285</v>
      </c>
      <c r="OP379">
        <v>111858</v>
      </c>
      <c r="OV379">
        <v>1</v>
      </c>
      <c r="PI379">
        <v>112145</v>
      </c>
      <c r="PM379" t="str">
        <f>IFERROR(VLOOKUP($A379&amp;"",Key!$A:$C,3,FALSE),"")</f>
        <v>ISIC 90T93</v>
      </c>
    </row>
    <row r="380" spans="1:429" x14ac:dyDescent="0.25">
      <c r="A380">
        <v>713900</v>
      </c>
      <c r="B380" t="s">
        <v>515</v>
      </c>
      <c r="C380">
        <v>2</v>
      </c>
      <c r="D380">
        <v>3</v>
      </c>
      <c r="E380">
        <v>1</v>
      </c>
      <c r="F380">
        <v>1</v>
      </c>
      <c r="G380">
        <v>1</v>
      </c>
      <c r="H380">
        <v>1</v>
      </c>
      <c r="I380">
        <v>5</v>
      </c>
      <c r="J380">
        <v>0</v>
      </c>
      <c r="K380">
        <v>5</v>
      </c>
      <c r="L380">
        <v>2</v>
      </c>
      <c r="O380">
        <v>0</v>
      </c>
      <c r="Q380">
        <v>0</v>
      </c>
      <c r="T380">
        <v>0</v>
      </c>
      <c r="V380">
        <v>0</v>
      </c>
      <c r="W380">
        <v>11</v>
      </c>
      <c r="X380">
        <v>38</v>
      </c>
      <c r="Y380">
        <v>9</v>
      </c>
      <c r="AA380">
        <v>1</v>
      </c>
      <c r="AB380">
        <v>0</v>
      </c>
      <c r="AC380">
        <v>13</v>
      </c>
      <c r="AD380">
        <v>2</v>
      </c>
      <c r="AE380">
        <v>8</v>
      </c>
      <c r="AF380">
        <v>1</v>
      </c>
      <c r="AG380">
        <v>33</v>
      </c>
      <c r="AH380">
        <v>1</v>
      </c>
      <c r="AI380">
        <v>2</v>
      </c>
      <c r="AJ380">
        <v>0</v>
      </c>
      <c r="AK380">
        <v>19</v>
      </c>
      <c r="AL380">
        <v>4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2</v>
      </c>
      <c r="AS380">
        <v>0</v>
      </c>
      <c r="AT380">
        <v>4</v>
      </c>
      <c r="AU380">
        <v>0</v>
      </c>
      <c r="AV380">
        <v>1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3</v>
      </c>
      <c r="BD380">
        <v>1</v>
      </c>
      <c r="BE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0</v>
      </c>
      <c r="BN380">
        <v>0</v>
      </c>
      <c r="BO380">
        <v>1</v>
      </c>
      <c r="BP380">
        <v>0</v>
      </c>
      <c r="BQ380">
        <v>3</v>
      </c>
      <c r="BR380">
        <v>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3</v>
      </c>
      <c r="BY380">
        <v>2</v>
      </c>
      <c r="BZ380">
        <v>2</v>
      </c>
      <c r="CB380">
        <v>1</v>
      </c>
      <c r="CC380">
        <v>0</v>
      </c>
      <c r="CD380">
        <v>0</v>
      </c>
      <c r="CF380">
        <v>0</v>
      </c>
      <c r="CG380">
        <v>1</v>
      </c>
      <c r="CI380">
        <v>0</v>
      </c>
      <c r="CJ380">
        <v>1</v>
      </c>
      <c r="CK380">
        <v>0</v>
      </c>
      <c r="CL380">
        <v>1</v>
      </c>
      <c r="CM380">
        <v>0</v>
      </c>
      <c r="CO380">
        <v>1</v>
      </c>
      <c r="CP380">
        <v>0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E380">
        <v>0</v>
      </c>
      <c r="DG380">
        <v>1</v>
      </c>
      <c r="DH380">
        <v>0</v>
      </c>
      <c r="DL380">
        <v>0</v>
      </c>
      <c r="DM380">
        <v>0</v>
      </c>
      <c r="DO380">
        <v>0</v>
      </c>
      <c r="DR380">
        <v>1</v>
      </c>
      <c r="DS380">
        <v>0</v>
      </c>
      <c r="DU380">
        <v>0</v>
      </c>
      <c r="DW380">
        <v>0</v>
      </c>
      <c r="DX380">
        <v>0</v>
      </c>
      <c r="DZ380">
        <v>0</v>
      </c>
      <c r="ED380">
        <v>0</v>
      </c>
      <c r="EM380">
        <v>0</v>
      </c>
      <c r="EP380">
        <v>0</v>
      </c>
      <c r="EQ380">
        <v>0</v>
      </c>
      <c r="ET380">
        <v>0</v>
      </c>
      <c r="EU380">
        <v>0</v>
      </c>
      <c r="EW380">
        <v>1</v>
      </c>
      <c r="EX380">
        <v>1</v>
      </c>
      <c r="EY380">
        <v>0</v>
      </c>
      <c r="EZ380">
        <v>1</v>
      </c>
      <c r="FA380">
        <v>1</v>
      </c>
      <c r="FB380">
        <v>2</v>
      </c>
      <c r="FC380">
        <v>1</v>
      </c>
      <c r="FD380">
        <v>1</v>
      </c>
      <c r="FE380">
        <v>0</v>
      </c>
      <c r="FF380">
        <v>1</v>
      </c>
      <c r="FG380">
        <v>1</v>
      </c>
      <c r="FJ380">
        <v>1</v>
      </c>
      <c r="FK380">
        <v>1</v>
      </c>
      <c r="FL380">
        <v>0</v>
      </c>
      <c r="FM380">
        <v>0</v>
      </c>
      <c r="FP380">
        <v>2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1</v>
      </c>
      <c r="FW380">
        <v>1</v>
      </c>
      <c r="FX380">
        <v>1</v>
      </c>
      <c r="FY380">
        <v>4</v>
      </c>
      <c r="FZ380">
        <v>0</v>
      </c>
      <c r="GB380">
        <v>0</v>
      </c>
      <c r="GC380">
        <v>1</v>
      </c>
      <c r="GD380">
        <v>1</v>
      </c>
      <c r="GG380">
        <v>1</v>
      </c>
      <c r="GH380">
        <v>1</v>
      </c>
      <c r="GI380">
        <v>0</v>
      </c>
      <c r="GJ380">
        <v>1</v>
      </c>
      <c r="GK380">
        <v>0</v>
      </c>
      <c r="GL380">
        <v>0</v>
      </c>
      <c r="GP380">
        <v>0</v>
      </c>
      <c r="GR380">
        <v>0</v>
      </c>
      <c r="GS380">
        <v>0</v>
      </c>
      <c r="GT380">
        <v>0</v>
      </c>
      <c r="GU380">
        <v>1</v>
      </c>
      <c r="GW380">
        <v>2</v>
      </c>
      <c r="GX380">
        <v>2</v>
      </c>
      <c r="GY380">
        <v>0</v>
      </c>
      <c r="GZ380">
        <v>5</v>
      </c>
      <c r="HA380">
        <v>1</v>
      </c>
      <c r="HB380">
        <v>0</v>
      </c>
      <c r="HC380">
        <v>0</v>
      </c>
      <c r="HD380">
        <v>0</v>
      </c>
      <c r="HE380">
        <v>1</v>
      </c>
      <c r="HF380">
        <v>1</v>
      </c>
      <c r="HG380">
        <v>1</v>
      </c>
      <c r="HH380">
        <v>0</v>
      </c>
      <c r="HI380">
        <v>0</v>
      </c>
      <c r="HK380">
        <v>0</v>
      </c>
      <c r="HN380">
        <v>0</v>
      </c>
      <c r="HQ380">
        <v>0</v>
      </c>
      <c r="HR380">
        <v>0</v>
      </c>
      <c r="HT380">
        <v>0</v>
      </c>
      <c r="HU380">
        <v>0</v>
      </c>
      <c r="HV380">
        <v>1</v>
      </c>
      <c r="HW380">
        <v>4</v>
      </c>
      <c r="HX380">
        <v>0</v>
      </c>
      <c r="HY380">
        <v>0</v>
      </c>
      <c r="HZ380">
        <v>0</v>
      </c>
      <c r="IA380">
        <v>0</v>
      </c>
      <c r="IB380">
        <v>8</v>
      </c>
      <c r="IC380">
        <v>0</v>
      </c>
      <c r="ID380">
        <v>3</v>
      </c>
      <c r="IE380">
        <v>1</v>
      </c>
      <c r="IF380">
        <v>0</v>
      </c>
      <c r="IK380">
        <v>1</v>
      </c>
      <c r="IL380">
        <v>5</v>
      </c>
      <c r="IM380">
        <v>2</v>
      </c>
      <c r="IN380">
        <v>0</v>
      </c>
      <c r="IP380">
        <v>0</v>
      </c>
      <c r="IQ380">
        <v>0</v>
      </c>
      <c r="IS380">
        <v>0</v>
      </c>
      <c r="IU380">
        <v>0</v>
      </c>
      <c r="IV380">
        <v>0</v>
      </c>
      <c r="IW380">
        <v>0</v>
      </c>
      <c r="IZ380">
        <v>0</v>
      </c>
      <c r="JA380">
        <v>3</v>
      </c>
      <c r="JD380">
        <v>3</v>
      </c>
      <c r="JE380">
        <v>0</v>
      </c>
      <c r="JF380">
        <v>0</v>
      </c>
      <c r="JG380">
        <v>7</v>
      </c>
      <c r="JH380">
        <v>0</v>
      </c>
      <c r="JI380">
        <v>0</v>
      </c>
      <c r="JJ380">
        <v>1</v>
      </c>
      <c r="JK380">
        <v>46</v>
      </c>
      <c r="JL380">
        <v>26</v>
      </c>
      <c r="JM380">
        <v>43</v>
      </c>
      <c r="JN380">
        <v>48</v>
      </c>
      <c r="JO380">
        <v>55</v>
      </c>
      <c r="JQ380">
        <v>117</v>
      </c>
      <c r="JS380">
        <v>98</v>
      </c>
      <c r="JV380">
        <v>7</v>
      </c>
      <c r="JW380">
        <v>28</v>
      </c>
      <c r="JX380">
        <v>2</v>
      </c>
      <c r="JY380">
        <v>43</v>
      </c>
      <c r="KA380">
        <v>48</v>
      </c>
      <c r="KC380">
        <v>70</v>
      </c>
      <c r="KD380">
        <v>134</v>
      </c>
      <c r="KE380">
        <v>0</v>
      </c>
      <c r="KF380">
        <v>0</v>
      </c>
      <c r="KK380">
        <v>5</v>
      </c>
      <c r="KM380">
        <v>1</v>
      </c>
      <c r="KN380">
        <v>2</v>
      </c>
      <c r="KO380">
        <v>3</v>
      </c>
      <c r="KP380">
        <v>4</v>
      </c>
      <c r="KQ380">
        <v>1</v>
      </c>
      <c r="KR380">
        <v>16</v>
      </c>
      <c r="KS380">
        <v>5</v>
      </c>
      <c r="KT380">
        <v>2</v>
      </c>
      <c r="KU380">
        <v>0</v>
      </c>
      <c r="KV380">
        <v>1</v>
      </c>
      <c r="KW380">
        <v>7</v>
      </c>
      <c r="KX380">
        <v>24</v>
      </c>
      <c r="KY380">
        <v>8</v>
      </c>
      <c r="KZ380">
        <v>96</v>
      </c>
      <c r="LA380">
        <v>14</v>
      </c>
      <c r="LB380">
        <v>0</v>
      </c>
      <c r="LC380">
        <v>151</v>
      </c>
      <c r="LD380">
        <v>213</v>
      </c>
      <c r="LE380">
        <v>114</v>
      </c>
      <c r="LF380">
        <v>19</v>
      </c>
      <c r="LH380">
        <v>22</v>
      </c>
      <c r="LI380">
        <v>6</v>
      </c>
      <c r="LJ380">
        <v>29</v>
      </c>
      <c r="LL380">
        <v>1</v>
      </c>
      <c r="LN380">
        <v>19</v>
      </c>
      <c r="LO380">
        <v>26</v>
      </c>
      <c r="LP380">
        <v>5</v>
      </c>
      <c r="LR380">
        <v>83</v>
      </c>
      <c r="LS380">
        <v>23</v>
      </c>
      <c r="LT380">
        <v>179</v>
      </c>
      <c r="LU380">
        <v>51</v>
      </c>
      <c r="LV380">
        <v>70</v>
      </c>
      <c r="LW380">
        <v>77</v>
      </c>
      <c r="LX380">
        <v>73</v>
      </c>
      <c r="LY380">
        <v>17</v>
      </c>
      <c r="LZ380">
        <v>27</v>
      </c>
      <c r="MA380">
        <v>30</v>
      </c>
      <c r="MB380">
        <v>4</v>
      </c>
      <c r="MC380">
        <v>3</v>
      </c>
      <c r="MD380">
        <v>5</v>
      </c>
      <c r="ME380">
        <v>26</v>
      </c>
      <c r="MF380">
        <v>569</v>
      </c>
      <c r="MG380">
        <v>156</v>
      </c>
      <c r="MH380">
        <v>26</v>
      </c>
      <c r="MI380">
        <v>27</v>
      </c>
      <c r="MJ380">
        <v>6</v>
      </c>
      <c r="MK380">
        <v>27</v>
      </c>
      <c r="ML380">
        <v>35</v>
      </c>
      <c r="MM380">
        <v>16</v>
      </c>
      <c r="MN380">
        <v>41</v>
      </c>
      <c r="MO380">
        <v>22</v>
      </c>
      <c r="MP380">
        <v>2</v>
      </c>
      <c r="MQ380">
        <v>33</v>
      </c>
      <c r="MR380">
        <v>7</v>
      </c>
      <c r="MS380">
        <v>183</v>
      </c>
      <c r="MT380">
        <v>9</v>
      </c>
      <c r="MU380">
        <v>7</v>
      </c>
      <c r="MV380">
        <v>7</v>
      </c>
      <c r="MW380">
        <v>2</v>
      </c>
      <c r="MX380">
        <v>7</v>
      </c>
      <c r="MY380">
        <v>3</v>
      </c>
      <c r="MZ380">
        <v>10</v>
      </c>
      <c r="NA380">
        <v>19</v>
      </c>
      <c r="NB380">
        <v>3</v>
      </c>
      <c r="NC380">
        <v>15</v>
      </c>
      <c r="ND380">
        <v>4</v>
      </c>
      <c r="NE380">
        <v>28</v>
      </c>
      <c r="NF380">
        <v>1</v>
      </c>
      <c r="NG380">
        <v>77</v>
      </c>
      <c r="NH380">
        <v>0</v>
      </c>
      <c r="NI380">
        <v>45</v>
      </c>
      <c r="NJ380">
        <v>0</v>
      </c>
      <c r="NK380">
        <v>1</v>
      </c>
      <c r="NL380">
        <v>2</v>
      </c>
      <c r="NM380">
        <v>4</v>
      </c>
      <c r="NN380">
        <v>159</v>
      </c>
      <c r="NO380">
        <v>38</v>
      </c>
      <c r="NP380">
        <v>54</v>
      </c>
      <c r="NQ380">
        <v>495</v>
      </c>
      <c r="NR380">
        <v>2</v>
      </c>
      <c r="NS380">
        <v>1</v>
      </c>
      <c r="NT380">
        <v>2</v>
      </c>
      <c r="NU380">
        <v>1</v>
      </c>
      <c r="NV380">
        <v>10</v>
      </c>
      <c r="NW380">
        <v>0</v>
      </c>
      <c r="NX380">
        <v>1</v>
      </c>
      <c r="NY380">
        <v>3</v>
      </c>
      <c r="OA380">
        <v>20</v>
      </c>
      <c r="OB380">
        <v>9</v>
      </c>
      <c r="OD380">
        <v>2</v>
      </c>
      <c r="OE380">
        <v>2</v>
      </c>
      <c r="OG380">
        <v>0</v>
      </c>
      <c r="OI380">
        <v>56</v>
      </c>
      <c r="OK380">
        <v>462</v>
      </c>
      <c r="OL380">
        <v>0</v>
      </c>
      <c r="ON380">
        <v>3</v>
      </c>
      <c r="OO380">
        <v>5239</v>
      </c>
      <c r="OP380">
        <v>80832</v>
      </c>
      <c r="OV380">
        <v>1</v>
      </c>
      <c r="PI380">
        <v>86072</v>
      </c>
      <c r="PM380" t="str">
        <f>IFERROR(VLOOKUP($A380&amp;"",Key!$A:$C,3,FALSE),"")</f>
        <v>ISIC 90T93</v>
      </c>
    </row>
    <row r="381" spans="1:429" x14ac:dyDescent="0.25">
      <c r="A381">
        <v>721000</v>
      </c>
      <c r="B381" t="s">
        <v>516</v>
      </c>
      <c r="D381">
        <v>0</v>
      </c>
      <c r="I381">
        <v>1</v>
      </c>
      <c r="K381">
        <v>0</v>
      </c>
      <c r="P381">
        <v>1</v>
      </c>
      <c r="Q381">
        <v>4</v>
      </c>
      <c r="R381">
        <v>0</v>
      </c>
      <c r="S381">
        <v>0</v>
      </c>
      <c r="T381">
        <v>2</v>
      </c>
      <c r="U381">
        <v>2</v>
      </c>
      <c r="V381">
        <v>7</v>
      </c>
      <c r="W381">
        <v>194</v>
      </c>
      <c r="X381">
        <v>1065</v>
      </c>
      <c r="Y381">
        <v>148</v>
      </c>
      <c r="Z381">
        <v>7</v>
      </c>
      <c r="AA381">
        <v>3</v>
      </c>
      <c r="AB381">
        <v>11</v>
      </c>
      <c r="AC381">
        <v>307</v>
      </c>
      <c r="AD381">
        <v>37</v>
      </c>
      <c r="AE381">
        <v>14</v>
      </c>
      <c r="AF381">
        <v>1</v>
      </c>
      <c r="AG381">
        <v>17</v>
      </c>
      <c r="AH381">
        <v>2</v>
      </c>
      <c r="AI381">
        <v>4</v>
      </c>
      <c r="AJ381">
        <v>1</v>
      </c>
      <c r="AK381">
        <v>11</v>
      </c>
      <c r="AL381">
        <v>4</v>
      </c>
      <c r="AM381">
        <v>20</v>
      </c>
      <c r="AN381">
        <v>14</v>
      </c>
      <c r="AO381">
        <v>15</v>
      </c>
      <c r="AP381">
        <v>24</v>
      </c>
      <c r="AQ381">
        <v>3</v>
      </c>
      <c r="AR381">
        <v>30</v>
      </c>
      <c r="AS381">
        <v>5</v>
      </c>
      <c r="AT381">
        <v>66</v>
      </c>
      <c r="AU381">
        <v>3</v>
      </c>
      <c r="AV381">
        <v>21</v>
      </c>
      <c r="AW381">
        <v>3</v>
      </c>
      <c r="AX381">
        <v>2</v>
      </c>
      <c r="AY381">
        <v>7</v>
      </c>
      <c r="AZ381">
        <v>2</v>
      </c>
      <c r="BA381">
        <v>8</v>
      </c>
      <c r="BB381">
        <v>10</v>
      </c>
      <c r="BC381">
        <v>57</v>
      </c>
      <c r="BD381">
        <v>12</v>
      </c>
      <c r="BE381">
        <v>2</v>
      </c>
      <c r="BF381">
        <v>1</v>
      </c>
      <c r="BG381">
        <v>10</v>
      </c>
      <c r="BH381">
        <v>2</v>
      </c>
      <c r="BI381">
        <v>5</v>
      </c>
      <c r="BJ381">
        <v>4</v>
      </c>
      <c r="BK381">
        <v>10</v>
      </c>
      <c r="BL381">
        <v>13</v>
      </c>
      <c r="BM381">
        <v>6</v>
      </c>
      <c r="BN381">
        <v>7</v>
      </c>
      <c r="BO381">
        <v>13</v>
      </c>
      <c r="BP381">
        <v>8</v>
      </c>
      <c r="BQ381">
        <v>57</v>
      </c>
      <c r="BR381">
        <v>34</v>
      </c>
      <c r="BS381">
        <v>4</v>
      </c>
      <c r="BT381">
        <v>7</v>
      </c>
      <c r="BU381">
        <v>5</v>
      </c>
      <c r="BV381">
        <v>9</v>
      </c>
      <c r="BW381">
        <v>9</v>
      </c>
      <c r="BX381">
        <v>53</v>
      </c>
      <c r="BY381">
        <v>36</v>
      </c>
      <c r="BZ381">
        <v>31</v>
      </c>
      <c r="CA381">
        <v>1</v>
      </c>
      <c r="CB381">
        <v>14</v>
      </c>
      <c r="CC381">
        <v>1</v>
      </c>
      <c r="CD381">
        <v>4</v>
      </c>
      <c r="CE381">
        <v>2</v>
      </c>
      <c r="CF381">
        <v>7</v>
      </c>
      <c r="CG381">
        <v>14</v>
      </c>
      <c r="CH381">
        <v>4</v>
      </c>
      <c r="CI381">
        <v>9</v>
      </c>
      <c r="CJ381">
        <v>24</v>
      </c>
      <c r="CK381">
        <v>8</v>
      </c>
      <c r="CL381">
        <v>21</v>
      </c>
      <c r="CM381">
        <v>6</v>
      </c>
      <c r="CN381">
        <v>1</v>
      </c>
      <c r="CO381">
        <v>18</v>
      </c>
      <c r="CP381">
        <v>5</v>
      </c>
      <c r="CQ381">
        <v>18</v>
      </c>
      <c r="CR381">
        <v>2</v>
      </c>
      <c r="CS381">
        <v>3</v>
      </c>
      <c r="CT381">
        <v>9</v>
      </c>
      <c r="CU381">
        <v>6</v>
      </c>
      <c r="CV381">
        <v>5</v>
      </c>
      <c r="CW381">
        <v>5</v>
      </c>
      <c r="CX381">
        <v>1</v>
      </c>
      <c r="CY381">
        <v>3</v>
      </c>
      <c r="CZ381">
        <v>28</v>
      </c>
      <c r="DA381">
        <v>5</v>
      </c>
      <c r="DB381">
        <v>6</v>
      </c>
      <c r="DC381">
        <v>9</v>
      </c>
      <c r="DD381">
        <v>2</v>
      </c>
      <c r="DE381">
        <v>7</v>
      </c>
      <c r="DF381">
        <v>1</v>
      </c>
      <c r="DG381">
        <v>13</v>
      </c>
      <c r="DH381">
        <v>3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</v>
      </c>
      <c r="DR381">
        <v>21</v>
      </c>
      <c r="DS381">
        <v>1</v>
      </c>
      <c r="DU381">
        <v>2</v>
      </c>
      <c r="DV381">
        <v>0</v>
      </c>
      <c r="DW381">
        <v>3</v>
      </c>
      <c r="DX381">
        <v>7</v>
      </c>
      <c r="DY381">
        <v>1</v>
      </c>
      <c r="DZ381">
        <v>7</v>
      </c>
      <c r="EB381">
        <v>0</v>
      </c>
      <c r="EC381">
        <v>0</v>
      </c>
      <c r="ED381">
        <v>6</v>
      </c>
      <c r="EE381">
        <v>1</v>
      </c>
      <c r="EG381">
        <v>0</v>
      </c>
      <c r="EH381">
        <v>0</v>
      </c>
      <c r="EI381">
        <v>2</v>
      </c>
      <c r="EK381">
        <v>2</v>
      </c>
      <c r="EL381">
        <v>0</v>
      </c>
      <c r="EM381">
        <v>4</v>
      </c>
      <c r="EN381">
        <v>3</v>
      </c>
      <c r="EO381">
        <v>0</v>
      </c>
      <c r="EP381">
        <v>6</v>
      </c>
      <c r="EQ381">
        <v>9</v>
      </c>
      <c r="ER381">
        <v>12</v>
      </c>
      <c r="ES381">
        <v>1</v>
      </c>
      <c r="ET381">
        <v>9</v>
      </c>
      <c r="EU381">
        <v>2</v>
      </c>
      <c r="EW381">
        <v>10</v>
      </c>
      <c r="EX381">
        <v>12</v>
      </c>
      <c r="EY381">
        <v>8</v>
      </c>
      <c r="EZ381">
        <v>12</v>
      </c>
      <c r="FA381">
        <v>12</v>
      </c>
      <c r="FB381">
        <v>43</v>
      </c>
      <c r="FC381">
        <v>21</v>
      </c>
      <c r="FD381">
        <v>13</v>
      </c>
      <c r="FE381">
        <v>7</v>
      </c>
      <c r="FF381">
        <v>18</v>
      </c>
      <c r="FG381">
        <v>20</v>
      </c>
      <c r="FJ381">
        <v>20</v>
      </c>
      <c r="FK381">
        <v>17</v>
      </c>
      <c r="FL381">
        <v>4</v>
      </c>
      <c r="FM381">
        <v>2</v>
      </c>
      <c r="FO381">
        <v>0</v>
      </c>
      <c r="FP381">
        <v>30</v>
      </c>
      <c r="FQ381">
        <v>6</v>
      </c>
      <c r="FR381">
        <v>3</v>
      </c>
      <c r="FS381">
        <v>9</v>
      </c>
      <c r="FT381">
        <v>5</v>
      </c>
      <c r="FU381">
        <v>7</v>
      </c>
      <c r="FV381">
        <v>29</v>
      </c>
      <c r="FW381">
        <v>8</v>
      </c>
      <c r="FX381">
        <v>15</v>
      </c>
      <c r="FY381">
        <v>76</v>
      </c>
      <c r="FZ381">
        <v>3</v>
      </c>
      <c r="GA381">
        <v>1</v>
      </c>
      <c r="GB381">
        <v>3</v>
      </c>
      <c r="GC381">
        <v>10</v>
      </c>
      <c r="GD381">
        <v>13</v>
      </c>
      <c r="GE381">
        <v>0</v>
      </c>
      <c r="GF381">
        <v>1</v>
      </c>
      <c r="GG381">
        <v>19</v>
      </c>
      <c r="GH381">
        <v>19</v>
      </c>
      <c r="GI381">
        <v>5</v>
      </c>
      <c r="GJ381">
        <v>18</v>
      </c>
      <c r="GK381">
        <v>4</v>
      </c>
      <c r="GL381">
        <v>2</v>
      </c>
      <c r="GM381">
        <v>0</v>
      </c>
      <c r="GN381">
        <v>0</v>
      </c>
      <c r="GO381">
        <v>0</v>
      </c>
      <c r="GP381">
        <v>6</v>
      </c>
      <c r="GQ381">
        <v>2</v>
      </c>
      <c r="GR381">
        <v>6</v>
      </c>
      <c r="GS381">
        <v>5</v>
      </c>
      <c r="GT381">
        <v>2</v>
      </c>
      <c r="GU381">
        <v>23</v>
      </c>
      <c r="GV381">
        <v>2</v>
      </c>
      <c r="GW381">
        <v>28</v>
      </c>
      <c r="GX381">
        <v>33</v>
      </c>
      <c r="GY381">
        <v>4</v>
      </c>
      <c r="GZ381">
        <v>90</v>
      </c>
      <c r="HA381">
        <v>16</v>
      </c>
      <c r="HB381">
        <v>5</v>
      </c>
      <c r="HC381">
        <v>3</v>
      </c>
      <c r="HD381">
        <v>5</v>
      </c>
      <c r="HE381">
        <v>12</v>
      </c>
      <c r="HF381">
        <v>10</v>
      </c>
      <c r="HG381">
        <v>24</v>
      </c>
      <c r="HH381">
        <v>7</v>
      </c>
      <c r="HI381">
        <v>9</v>
      </c>
      <c r="HK381">
        <v>4</v>
      </c>
      <c r="HL381">
        <v>1</v>
      </c>
      <c r="HM381">
        <v>4</v>
      </c>
      <c r="HN381">
        <v>4</v>
      </c>
      <c r="HO381">
        <v>1</v>
      </c>
      <c r="HP381">
        <v>1</v>
      </c>
      <c r="HQ381">
        <v>5</v>
      </c>
      <c r="HR381">
        <v>1</v>
      </c>
      <c r="HS381">
        <v>1</v>
      </c>
      <c r="HT381">
        <v>4</v>
      </c>
      <c r="HU381">
        <v>9</v>
      </c>
      <c r="HV381">
        <v>11</v>
      </c>
      <c r="HW381">
        <v>69</v>
      </c>
      <c r="HX381">
        <v>7</v>
      </c>
      <c r="HY381">
        <v>4</v>
      </c>
      <c r="HZ381">
        <v>3</v>
      </c>
      <c r="IA381">
        <v>1</v>
      </c>
      <c r="IB381">
        <v>189</v>
      </c>
      <c r="IC381">
        <v>2</v>
      </c>
      <c r="ID381">
        <v>60</v>
      </c>
      <c r="IE381">
        <v>12</v>
      </c>
      <c r="IF381">
        <v>2</v>
      </c>
      <c r="IG381">
        <v>2</v>
      </c>
      <c r="II381">
        <v>2</v>
      </c>
      <c r="IJ381">
        <v>1</v>
      </c>
      <c r="IK381">
        <v>14</v>
      </c>
      <c r="IL381">
        <v>93</v>
      </c>
      <c r="IM381">
        <v>39</v>
      </c>
      <c r="IN381">
        <v>5</v>
      </c>
      <c r="IP381">
        <v>6</v>
      </c>
      <c r="IQ381">
        <v>5</v>
      </c>
      <c r="IR381">
        <v>1</v>
      </c>
      <c r="IS381">
        <v>3</v>
      </c>
      <c r="IT381">
        <v>2</v>
      </c>
      <c r="IU381">
        <v>8</v>
      </c>
      <c r="IV381">
        <v>4</v>
      </c>
      <c r="IW381">
        <v>7</v>
      </c>
      <c r="IX381">
        <v>2</v>
      </c>
      <c r="IY381">
        <v>0</v>
      </c>
      <c r="IZ381">
        <v>10</v>
      </c>
      <c r="JA381">
        <v>53</v>
      </c>
      <c r="JB381">
        <v>6</v>
      </c>
      <c r="JD381">
        <v>106</v>
      </c>
      <c r="JE381">
        <v>8</v>
      </c>
      <c r="JF381">
        <v>3</v>
      </c>
      <c r="JG381">
        <v>128</v>
      </c>
      <c r="JH381">
        <v>9</v>
      </c>
      <c r="JI381">
        <v>4</v>
      </c>
      <c r="JJ381">
        <v>12</v>
      </c>
      <c r="JK381">
        <v>1020</v>
      </c>
      <c r="JL381">
        <v>185</v>
      </c>
      <c r="JM381">
        <v>799</v>
      </c>
      <c r="JN381">
        <v>244</v>
      </c>
      <c r="JO381">
        <v>606</v>
      </c>
      <c r="JQ381">
        <v>268</v>
      </c>
      <c r="JR381">
        <v>0</v>
      </c>
      <c r="JS381">
        <v>373</v>
      </c>
      <c r="JT381">
        <v>6</v>
      </c>
      <c r="JV381">
        <v>42</v>
      </c>
      <c r="JW381">
        <v>57</v>
      </c>
      <c r="JX381">
        <v>52</v>
      </c>
      <c r="JY381">
        <v>78</v>
      </c>
      <c r="JZ381">
        <v>2</v>
      </c>
      <c r="KA381">
        <v>71</v>
      </c>
      <c r="KB381">
        <v>3</v>
      </c>
      <c r="KC381">
        <v>85</v>
      </c>
      <c r="KD381">
        <v>8</v>
      </c>
      <c r="KF381">
        <v>14</v>
      </c>
      <c r="KI381">
        <v>0</v>
      </c>
      <c r="KJ381">
        <v>3</v>
      </c>
      <c r="KK381">
        <v>332</v>
      </c>
      <c r="KL381">
        <v>1</v>
      </c>
      <c r="KM381">
        <v>15</v>
      </c>
      <c r="KN381">
        <v>35</v>
      </c>
      <c r="KO381">
        <v>65</v>
      </c>
      <c r="KP381">
        <v>94</v>
      </c>
      <c r="KQ381">
        <v>21</v>
      </c>
      <c r="KR381">
        <v>334</v>
      </c>
      <c r="KS381">
        <v>114</v>
      </c>
      <c r="KT381">
        <v>57</v>
      </c>
      <c r="KU381">
        <v>7</v>
      </c>
      <c r="KV381">
        <v>18</v>
      </c>
      <c r="KW381">
        <v>148</v>
      </c>
      <c r="KX381">
        <v>498</v>
      </c>
      <c r="KY381">
        <v>176</v>
      </c>
      <c r="KZ381">
        <v>2025</v>
      </c>
      <c r="LA381">
        <v>286</v>
      </c>
      <c r="LB381">
        <v>0</v>
      </c>
      <c r="LC381">
        <v>3182</v>
      </c>
      <c r="LD381">
        <v>4442</v>
      </c>
      <c r="LE381">
        <v>2424</v>
      </c>
      <c r="LF381">
        <v>404</v>
      </c>
      <c r="LH381">
        <v>465</v>
      </c>
      <c r="LI381">
        <v>127</v>
      </c>
      <c r="LJ381">
        <v>614</v>
      </c>
      <c r="LL381">
        <v>21</v>
      </c>
      <c r="LM381">
        <v>13791</v>
      </c>
      <c r="LN381">
        <v>399</v>
      </c>
      <c r="LO381">
        <v>588</v>
      </c>
      <c r="LP381">
        <v>110</v>
      </c>
      <c r="LQ381">
        <v>73</v>
      </c>
      <c r="LR381">
        <v>1384</v>
      </c>
      <c r="LS381">
        <v>496</v>
      </c>
      <c r="LT381">
        <v>4048</v>
      </c>
      <c r="LU381">
        <v>861</v>
      </c>
      <c r="LV381">
        <v>1061</v>
      </c>
      <c r="LW381">
        <v>1750</v>
      </c>
      <c r="LX381">
        <v>2159</v>
      </c>
      <c r="LY381">
        <v>241</v>
      </c>
      <c r="LZ381">
        <v>489</v>
      </c>
      <c r="MA381">
        <v>391</v>
      </c>
      <c r="MB381">
        <v>130</v>
      </c>
      <c r="MC381">
        <v>85</v>
      </c>
      <c r="MD381">
        <v>94</v>
      </c>
      <c r="ME381">
        <v>263</v>
      </c>
      <c r="MF381">
        <v>942</v>
      </c>
      <c r="MG381">
        <v>3152</v>
      </c>
      <c r="MH381">
        <v>459</v>
      </c>
      <c r="MI381">
        <v>230</v>
      </c>
      <c r="MJ381">
        <v>129</v>
      </c>
      <c r="MK381">
        <v>504</v>
      </c>
      <c r="ML381">
        <v>392</v>
      </c>
      <c r="MM381">
        <v>338</v>
      </c>
      <c r="MN381">
        <v>252</v>
      </c>
      <c r="MO381">
        <v>534</v>
      </c>
      <c r="MP381">
        <v>28</v>
      </c>
      <c r="MQ381">
        <v>637</v>
      </c>
      <c r="MR381">
        <v>144</v>
      </c>
      <c r="MS381">
        <v>2271</v>
      </c>
      <c r="MT381">
        <v>191</v>
      </c>
      <c r="MU381">
        <v>146</v>
      </c>
      <c r="MV381">
        <v>188</v>
      </c>
      <c r="MW381">
        <v>44</v>
      </c>
      <c r="MX381">
        <v>149</v>
      </c>
      <c r="MY381">
        <v>59</v>
      </c>
      <c r="MZ381">
        <v>212</v>
      </c>
      <c r="NA381">
        <v>224</v>
      </c>
      <c r="NB381">
        <v>36</v>
      </c>
      <c r="NC381">
        <v>62</v>
      </c>
      <c r="ND381">
        <v>83</v>
      </c>
      <c r="NE381">
        <v>6</v>
      </c>
      <c r="NF381">
        <v>13</v>
      </c>
      <c r="NG381">
        <v>32</v>
      </c>
      <c r="NH381">
        <v>6</v>
      </c>
      <c r="NI381">
        <v>72</v>
      </c>
      <c r="NJ381">
        <v>2</v>
      </c>
      <c r="NK381">
        <v>14</v>
      </c>
      <c r="NL381">
        <v>131</v>
      </c>
      <c r="NM381">
        <v>72</v>
      </c>
      <c r="NN381">
        <v>502</v>
      </c>
      <c r="NO381">
        <v>815</v>
      </c>
      <c r="NP381">
        <v>1142</v>
      </c>
      <c r="NQ381">
        <v>212</v>
      </c>
      <c r="NR381">
        <v>38</v>
      </c>
      <c r="NS381">
        <v>15</v>
      </c>
      <c r="NT381">
        <v>43</v>
      </c>
      <c r="NU381">
        <v>10</v>
      </c>
      <c r="NV381">
        <v>104</v>
      </c>
      <c r="NW381">
        <v>0</v>
      </c>
      <c r="NX381">
        <v>18</v>
      </c>
      <c r="NY381">
        <v>62</v>
      </c>
      <c r="OA381">
        <v>409</v>
      </c>
      <c r="OB381">
        <v>132</v>
      </c>
      <c r="OD381">
        <v>1434</v>
      </c>
      <c r="OE381">
        <v>900</v>
      </c>
      <c r="OG381">
        <v>8</v>
      </c>
      <c r="OH381">
        <v>40</v>
      </c>
      <c r="OI381">
        <v>839</v>
      </c>
      <c r="OJ381">
        <v>355</v>
      </c>
      <c r="OK381">
        <v>1806</v>
      </c>
      <c r="OL381">
        <v>18</v>
      </c>
      <c r="OM381">
        <v>4</v>
      </c>
      <c r="ON381">
        <v>150</v>
      </c>
      <c r="OO381">
        <v>73618</v>
      </c>
      <c r="OP381">
        <v>163295</v>
      </c>
      <c r="PI381">
        <v>236913</v>
      </c>
      <c r="PM381" t="str">
        <f>IFERROR(VLOOKUP($A381&amp;"",Key!$A:$C,3,FALSE),"")</f>
        <v>ISIC 55T56</v>
      </c>
    </row>
    <row r="382" spans="1:429" x14ac:dyDescent="0.25">
      <c r="A382">
        <v>722110</v>
      </c>
      <c r="B382" t="s">
        <v>517</v>
      </c>
      <c r="C382">
        <v>20</v>
      </c>
      <c r="D382">
        <v>83</v>
      </c>
      <c r="E382">
        <v>15</v>
      </c>
      <c r="F382">
        <v>18</v>
      </c>
      <c r="G382">
        <v>22</v>
      </c>
      <c r="H382">
        <v>25</v>
      </c>
      <c r="I382">
        <v>55</v>
      </c>
      <c r="J382">
        <v>47</v>
      </c>
      <c r="K382">
        <v>55</v>
      </c>
      <c r="L382">
        <v>15</v>
      </c>
      <c r="M382">
        <v>2</v>
      </c>
      <c r="N382">
        <v>1</v>
      </c>
      <c r="O382">
        <v>0</v>
      </c>
      <c r="P382">
        <v>7</v>
      </c>
      <c r="Q382">
        <v>3</v>
      </c>
      <c r="R382">
        <v>4</v>
      </c>
      <c r="S382">
        <v>2</v>
      </c>
      <c r="T382">
        <v>2</v>
      </c>
      <c r="U382">
        <v>6</v>
      </c>
      <c r="V382">
        <v>3</v>
      </c>
      <c r="W382">
        <v>70</v>
      </c>
      <c r="X382">
        <v>2024</v>
      </c>
      <c r="Y382">
        <v>117</v>
      </c>
      <c r="Z382">
        <v>4</v>
      </c>
      <c r="AA382">
        <v>0</v>
      </c>
      <c r="AC382">
        <v>217</v>
      </c>
      <c r="AD382">
        <v>21</v>
      </c>
      <c r="AE382">
        <v>4</v>
      </c>
      <c r="AG382">
        <v>1</v>
      </c>
      <c r="AI382">
        <v>3</v>
      </c>
      <c r="AJ382">
        <v>3</v>
      </c>
      <c r="AL382">
        <v>16</v>
      </c>
      <c r="AM382">
        <v>22</v>
      </c>
      <c r="AN382">
        <v>9</v>
      </c>
      <c r="AO382">
        <v>9</v>
      </c>
      <c r="AP382">
        <v>13</v>
      </c>
      <c r="AQ382">
        <v>3</v>
      </c>
      <c r="AR382">
        <v>21</v>
      </c>
      <c r="AS382">
        <v>3</v>
      </c>
      <c r="AT382">
        <v>37</v>
      </c>
      <c r="AU382">
        <v>2</v>
      </c>
      <c r="AV382">
        <v>11</v>
      </c>
      <c r="AW382">
        <v>3</v>
      </c>
      <c r="AX382">
        <v>2</v>
      </c>
      <c r="AY382">
        <v>4</v>
      </c>
      <c r="AZ382">
        <v>1</v>
      </c>
      <c r="BA382">
        <v>5</v>
      </c>
      <c r="BB382">
        <v>6</v>
      </c>
      <c r="BC382">
        <v>38</v>
      </c>
      <c r="BD382">
        <v>9</v>
      </c>
      <c r="BE382">
        <v>2</v>
      </c>
      <c r="BF382">
        <v>0</v>
      </c>
      <c r="BG382">
        <v>9</v>
      </c>
      <c r="BH382">
        <v>1</v>
      </c>
      <c r="BI382">
        <v>4</v>
      </c>
      <c r="BJ382">
        <v>5</v>
      </c>
      <c r="BK382">
        <v>8</v>
      </c>
      <c r="BL382">
        <v>9</v>
      </c>
      <c r="BM382">
        <v>2</v>
      </c>
      <c r="BN382">
        <v>4</v>
      </c>
      <c r="BO382">
        <v>6</v>
      </c>
      <c r="BP382">
        <v>5</v>
      </c>
      <c r="BQ382">
        <v>30</v>
      </c>
      <c r="BR382">
        <v>20</v>
      </c>
      <c r="BS382">
        <v>3</v>
      </c>
      <c r="BT382">
        <v>5</v>
      </c>
      <c r="BU382">
        <v>3</v>
      </c>
      <c r="BV382">
        <v>5</v>
      </c>
      <c r="BW382">
        <v>6</v>
      </c>
      <c r="BX382">
        <v>26</v>
      </c>
      <c r="BY382">
        <v>21</v>
      </c>
      <c r="BZ382">
        <v>15</v>
      </c>
      <c r="CA382">
        <v>0</v>
      </c>
      <c r="CB382">
        <v>10</v>
      </c>
      <c r="CC382">
        <v>1</v>
      </c>
      <c r="CD382">
        <v>3</v>
      </c>
      <c r="CE382">
        <v>2</v>
      </c>
      <c r="CF382">
        <v>5</v>
      </c>
      <c r="CG382">
        <v>9</v>
      </c>
      <c r="CH382">
        <v>3</v>
      </c>
      <c r="CI382">
        <v>5</v>
      </c>
      <c r="CJ382">
        <v>11</v>
      </c>
      <c r="CK382">
        <v>4</v>
      </c>
      <c r="CL382">
        <v>15</v>
      </c>
      <c r="CM382">
        <v>3</v>
      </c>
      <c r="CN382">
        <v>4</v>
      </c>
      <c r="CO382">
        <v>11</v>
      </c>
      <c r="CP382">
        <v>3</v>
      </c>
      <c r="CQ382">
        <v>10</v>
      </c>
      <c r="CR382">
        <v>2</v>
      </c>
      <c r="CS382">
        <v>2</v>
      </c>
      <c r="CT382">
        <v>5</v>
      </c>
      <c r="CU382">
        <v>4</v>
      </c>
      <c r="CV382">
        <v>3</v>
      </c>
      <c r="CW382">
        <v>0</v>
      </c>
      <c r="CX382">
        <v>0</v>
      </c>
      <c r="CY382">
        <v>2</v>
      </c>
      <c r="CZ382">
        <v>15</v>
      </c>
      <c r="DA382">
        <v>4</v>
      </c>
      <c r="DB382">
        <v>5</v>
      </c>
      <c r="DC382">
        <v>7</v>
      </c>
      <c r="DD382">
        <v>12</v>
      </c>
      <c r="DE382">
        <v>4</v>
      </c>
      <c r="DF382">
        <v>1</v>
      </c>
      <c r="DG382">
        <v>8</v>
      </c>
      <c r="DH382">
        <v>2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3</v>
      </c>
      <c r="DR382">
        <v>10</v>
      </c>
      <c r="DS382">
        <v>1</v>
      </c>
      <c r="DT382">
        <v>0</v>
      </c>
      <c r="DU382">
        <v>1</v>
      </c>
      <c r="DV382">
        <v>0</v>
      </c>
      <c r="DW382">
        <v>1</v>
      </c>
      <c r="DX382">
        <v>3</v>
      </c>
      <c r="DY382">
        <v>1</v>
      </c>
      <c r="DZ382">
        <v>3</v>
      </c>
      <c r="EA382">
        <v>3</v>
      </c>
      <c r="EB382">
        <v>0</v>
      </c>
      <c r="EC382">
        <v>0</v>
      </c>
      <c r="ED382">
        <v>4</v>
      </c>
      <c r="EE382">
        <v>0</v>
      </c>
      <c r="EF382">
        <v>7</v>
      </c>
      <c r="EG382">
        <v>1</v>
      </c>
      <c r="EH382">
        <v>1</v>
      </c>
      <c r="EI382">
        <v>2</v>
      </c>
      <c r="EJ382">
        <v>4</v>
      </c>
      <c r="EK382">
        <v>1</v>
      </c>
      <c r="EL382">
        <v>0</v>
      </c>
      <c r="EM382">
        <v>3</v>
      </c>
      <c r="EN382">
        <v>2</v>
      </c>
      <c r="EO382">
        <v>0</v>
      </c>
      <c r="EP382">
        <v>4</v>
      </c>
      <c r="EQ382">
        <v>4</v>
      </c>
      <c r="ER382">
        <v>5</v>
      </c>
      <c r="ES382">
        <v>1</v>
      </c>
      <c r="ET382">
        <v>6</v>
      </c>
      <c r="EU382">
        <v>3</v>
      </c>
      <c r="EV382">
        <v>0</v>
      </c>
      <c r="EW382">
        <v>6</v>
      </c>
      <c r="EX382">
        <v>7</v>
      </c>
      <c r="EY382">
        <v>7</v>
      </c>
      <c r="EZ382">
        <v>8</v>
      </c>
      <c r="FA382">
        <v>10</v>
      </c>
      <c r="FB382">
        <v>19</v>
      </c>
      <c r="FC382">
        <v>13</v>
      </c>
      <c r="FD382">
        <v>10</v>
      </c>
      <c r="FE382">
        <v>4</v>
      </c>
      <c r="FF382">
        <v>11</v>
      </c>
      <c r="FG382">
        <v>11</v>
      </c>
      <c r="FH382">
        <v>2</v>
      </c>
      <c r="FI382">
        <v>9</v>
      </c>
      <c r="FJ382">
        <v>13</v>
      </c>
      <c r="FK382">
        <v>9</v>
      </c>
      <c r="FL382">
        <v>3</v>
      </c>
      <c r="FM382">
        <v>1</v>
      </c>
      <c r="FN382">
        <v>3</v>
      </c>
      <c r="FO382">
        <v>1</v>
      </c>
      <c r="FP382">
        <v>13</v>
      </c>
      <c r="FQ382">
        <v>5</v>
      </c>
      <c r="FR382">
        <v>2</v>
      </c>
      <c r="FS382">
        <v>5</v>
      </c>
      <c r="FT382">
        <v>3</v>
      </c>
      <c r="FU382">
        <v>4</v>
      </c>
      <c r="FV382">
        <v>20</v>
      </c>
      <c r="FW382">
        <v>4</v>
      </c>
      <c r="FX382">
        <v>10</v>
      </c>
      <c r="FY382">
        <v>35</v>
      </c>
      <c r="FZ382">
        <v>2</v>
      </c>
      <c r="GA382">
        <v>1</v>
      </c>
      <c r="GB382">
        <v>2</v>
      </c>
      <c r="GC382">
        <v>6</v>
      </c>
      <c r="GD382">
        <v>7</v>
      </c>
      <c r="GE382">
        <v>0</v>
      </c>
      <c r="GF382">
        <v>1</v>
      </c>
      <c r="GG382">
        <v>9</v>
      </c>
      <c r="GH382">
        <v>14</v>
      </c>
      <c r="GI382">
        <v>6</v>
      </c>
      <c r="GJ382">
        <v>10</v>
      </c>
      <c r="GK382">
        <v>4</v>
      </c>
      <c r="GL382">
        <v>1</v>
      </c>
      <c r="GM382">
        <v>1</v>
      </c>
      <c r="GN382">
        <v>0</v>
      </c>
      <c r="GO382">
        <v>1</v>
      </c>
      <c r="GP382">
        <v>21</v>
      </c>
      <c r="GQ382">
        <v>4</v>
      </c>
      <c r="GR382">
        <v>6</v>
      </c>
      <c r="GS382">
        <v>4</v>
      </c>
      <c r="GT382">
        <v>3</v>
      </c>
      <c r="GU382">
        <v>17</v>
      </c>
      <c r="GV382">
        <v>1</v>
      </c>
      <c r="GW382">
        <v>20</v>
      </c>
      <c r="GX382">
        <v>20</v>
      </c>
      <c r="GY382">
        <v>3</v>
      </c>
      <c r="GZ382">
        <v>57</v>
      </c>
      <c r="HA382">
        <v>8</v>
      </c>
      <c r="HB382">
        <v>5</v>
      </c>
      <c r="HC382">
        <v>4</v>
      </c>
      <c r="HD382">
        <v>2</v>
      </c>
      <c r="HE382">
        <v>9</v>
      </c>
      <c r="HF382">
        <v>7</v>
      </c>
      <c r="HG382">
        <v>13</v>
      </c>
      <c r="HH382">
        <v>6</v>
      </c>
      <c r="HI382">
        <v>6</v>
      </c>
      <c r="HJ382">
        <v>7</v>
      </c>
      <c r="HK382">
        <v>2</v>
      </c>
      <c r="HL382">
        <v>1</v>
      </c>
      <c r="HM382">
        <v>5</v>
      </c>
      <c r="HN382">
        <v>3</v>
      </c>
      <c r="HO382">
        <v>1</v>
      </c>
      <c r="HP382">
        <v>1</v>
      </c>
      <c r="HQ382">
        <v>5</v>
      </c>
      <c r="HR382">
        <v>1</v>
      </c>
      <c r="HS382">
        <v>1</v>
      </c>
      <c r="HT382">
        <v>3</v>
      </c>
      <c r="HU382">
        <v>7</v>
      </c>
      <c r="HV382">
        <v>9</v>
      </c>
      <c r="HW382">
        <v>42</v>
      </c>
      <c r="HX382">
        <v>6</v>
      </c>
      <c r="HY382">
        <v>3</v>
      </c>
      <c r="HZ382">
        <v>4</v>
      </c>
      <c r="IA382">
        <v>1</v>
      </c>
      <c r="IB382">
        <v>70</v>
      </c>
      <c r="IC382">
        <v>2</v>
      </c>
      <c r="ID382">
        <v>55</v>
      </c>
      <c r="IE382">
        <v>9</v>
      </c>
      <c r="IF382">
        <v>3</v>
      </c>
      <c r="IG382">
        <v>5</v>
      </c>
      <c r="IH382">
        <v>1</v>
      </c>
      <c r="II382">
        <v>4</v>
      </c>
      <c r="IJ382">
        <v>1</v>
      </c>
      <c r="IK382">
        <v>9</v>
      </c>
      <c r="IL382">
        <v>42</v>
      </c>
      <c r="IM382">
        <v>22</v>
      </c>
      <c r="IN382">
        <v>3</v>
      </c>
      <c r="IO382">
        <v>7</v>
      </c>
      <c r="IP382">
        <v>3</v>
      </c>
      <c r="IQ382">
        <v>5</v>
      </c>
      <c r="IR382">
        <v>1</v>
      </c>
      <c r="IS382">
        <v>2</v>
      </c>
      <c r="IT382">
        <v>1</v>
      </c>
      <c r="IU382">
        <v>5</v>
      </c>
      <c r="IV382">
        <v>3</v>
      </c>
      <c r="IW382">
        <v>4</v>
      </c>
      <c r="IX382">
        <v>2</v>
      </c>
      <c r="IY382">
        <v>0</v>
      </c>
      <c r="IZ382">
        <v>8</v>
      </c>
      <c r="JA382">
        <v>30</v>
      </c>
      <c r="JB382">
        <v>7</v>
      </c>
      <c r="JC382">
        <v>1</v>
      </c>
      <c r="JD382">
        <v>8</v>
      </c>
      <c r="JE382">
        <v>6</v>
      </c>
      <c r="JF382">
        <v>3</v>
      </c>
      <c r="JG382">
        <v>83</v>
      </c>
      <c r="JH382">
        <v>5</v>
      </c>
      <c r="JI382">
        <v>2</v>
      </c>
      <c r="JJ382">
        <v>9</v>
      </c>
      <c r="JK382">
        <v>363</v>
      </c>
      <c r="JL382">
        <v>474</v>
      </c>
      <c r="JM382">
        <v>932</v>
      </c>
      <c r="JN382">
        <v>554</v>
      </c>
      <c r="JO382">
        <v>598</v>
      </c>
      <c r="JP382">
        <v>59</v>
      </c>
      <c r="JQ382">
        <v>443</v>
      </c>
      <c r="JR382">
        <v>18</v>
      </c>
      <c r="JS382">
        <v>687</v>
      </c>
      <c r="JT382">
        <v>44</v>
      </c>
      <c r="JV382">
        <v>391</v>
      </c>
      <c r="JW382">
        <v>151</v>
      </c>
      <c r="JX382">
        <v>150</v>
      </c>
      <c r="JY382">
        <v>104</v>
      </c>
      <c r="JZ382">
        <v>63</v>
      </c>
      <c r="KA382">
        <v>106</v>
      </c>
      <c r="KB382">
        <v>66</v>
      </c>
      <c r="KC382">
        <v>188</v>
      </c>
      <c r="KD382">
        <v>105</v>
      </c>
      <c r="KE382">
        <v>69</v>
      </c>
      <c r="KF382">
        <v>1</v>
      </c>
      <c r="KG382">
        <v>17</v>
      </c>
      <c r="KH382">
        <v>124</v>
      </c>
      <c r="KI382">
        <v>96</v>
      </c>
      <c r="KJ382">
        <v>7</v>
      </c>
      <c r="KK382">
        <v>257</v>
      </c>
      <c r="KL382">
        <v>7</v>
      </c>
      <c r="KM382">
        <v>17</v>
      </c>
      <c r="KN382">
        <v>26</v>
      </c>
      <c r="KO382">
        <v>42</v>
      </c>
      <c r="KP382">
        <v>68</v>
      </c>
      <c r="KQ382">
        <v>15</v>
      </c>
      <c r="KR382">
        <v>213</v>
      </c>
      <c r="KS382">
        <v>97</v>
      </c>
      <c r="KT382">
        <v>26</v>
      </c>
      <c r="KU382">
        <v>4</v>
      </c>
      <c r="KV382">
        <v>13</v>
      </c>
      <c r="KW382">
        <v>103</v>
      </c>
      <c r="KX382">
        <v>340</v>
      </c>
      <c r="KY382">
        <v>104</v>
      </c>
      <c r="KZ382">
        <v>1473</v>
      </c>
      <c r="LA382">
        <v>172</v>
      </c>
      <c r="LB382">
        <v>0</v>
      </c>
      <c r="LC382">
        <v>2295</v>
      </c>
      <c r="LD382">
        <v>5558</v>
      </c>
      <c r="LE382">
        <v>1671</v>
      </c>
      <c r="LF382">
        <v>234</v>
      </c>
      <c r="LG382">
        <v>4</v>
      </c>
      <c r="LH382">
        <v>2031</v>
      </c>
      <c r="LI382">
        <v>74</v>
      </c>
      <c r="LJ382">
        <v>1004</v>
      </c>
      <c r="LL382">
        <v>12</v>
      </c>
      <c r="LM382">
        <v>26664</v>
      </c>
      <c r="LN382">
        <v>435</v>
      </c>
      <c r="LO382">
        <v>560</v>
      </c>
      <c r="LP382">
        <v>113</v>
      </c>
      <c r="LQ382">
        <v>406</v>
      </c>
      <c r="LR382">
        <v>1369</v>
      </c>
      <c r="LS382">
        <v>468</v>
      </c>
      <c r="LT382">
        <v>3109</v>
      </c>
      <c r="LU382">
        <v>581</v>
      </c>
      <c r="LV382">
        <v>1143</v>
      </c>
      <c r="LW382">
        <v>2388</v>
      </c>
      <c r="LX382">
        <v>1636</v>
      </c>
      <c r="LY382">
        <v>254</v>
      </c>
      <c r="LZ382">
        <v>447</v>
      </c>
      <c r="MA382">
        <v>269</v>
      </c>
      <c r="MB382">
        <v>145</v>
      </c>
      <c r="MC382">
        <v>80</v>
      </c>
      <c r="MD382">
        <v>94</v>
      </c>
      <c r="ME382">
        <v>180</v>
      </c>
      <c r="MF382">
        <v>1482</v>
      </c>
      <c r="MG382">
        <v>2407</v>
      </c>
      <c r="MH382">
        <v>278</v>
      </c>
      <c r="MI382">
        <v>162</v>
      </c>
      <c r="MJ382">
        <v>118</v>
      </c>
      <c r="MK382">
        <v>399</v>
      </c>
      <c r="ML382">
        <v>308</v>
      </c>
      <c r="MM382">
        <v>269</v>
      </c>
      <c r="MN382">
        <v>223</v>
      </c>
      <c r="MO382">
        <v>391</v>
      </c>
      <c r="MP382">
        <v>19</v>
      </c>
      <c r="MQ382">
        <v>324</v>
      </c>
      <c r="MR382">
        <v>133</v>
      </c>
      <c r="MS382">
        <v>3816</v>
      </c>
      <c r="MT382">
        <v>177</v>
      </c>
      <c r="MU382">
        <v>124</v>
      </c>
      <c r="MV382">
        <v>242</v>
      </c>
      <c r="MW382">
        <v>45</v>
      </c>
      <c r="MX382">
        <v>160</v>
      </c>
      <c r="MY382">
        <v>45</v>
      </c>
      <c r="MZ382">
        <v>8532</v>
      </c>
      <c r="NA382">
        <v>286</v>
      </c>
      <c r="NB382">
        <v>43</v>
      </c>
      <c r="NC382">
        <v>433</v>
      </c>
      <c r="ND382">
        <v>362</v>
      </c>
      <c r="NE382">
        <v>1078</v>
      </c>
      <c r="NF382">
        <v>12</v>
      </c>
      <c r="NG382">
        <v>25</v>
      </c>
      <c r="NH382">
        <v>6</v>
      </c>
      <c r="NI382">
        <v>68</v>
      </c>
      <c r="NJ382">
        <v>30</v>
      </c>
      <c r="NK382">
        <v>12</v>
      </c>
      <c r="NL382">
        <v>69</v>
      </c>
      <c r="NM382">
        <v>59</v>
      </c>
      <c r="NN382">
        <v>148</v>
      </c>
      <c r="NO382">
        <v>939</v>
      </c>
      <c r="NP382">
        <v>878</v>
      </c>
      <c r="NQ382">
        <v>188</v>
      </c>
      <c r="NR382">
        <v>55</v>
      </c>
      <c r="NS382">
        <v>13</v>
      </c>
      <c r="NT382">
        <v>60</v>
      </c>
      <c r="NU382">
        <v>14</v>
      </c>
      <c r="NV382">
        <v>147</v>
      </c>
      <c r="NW382">
        <v>0</v>
      </c>
      <c r="NX382">
        <v>29</v>
      </c>
      <c r="NY382">
        <v>63</v>
      </c>
      <c r="NZ382">
        <v>42</v>
      </c>
      <c r="OA382">
        <v>264</v>
      </c>
      <c r="OB382">
        <v>75</v>
      </c>
      <c r="OD382">
        <v>228</v>
      </c>
      <c r="OE382">
        <v>117</v>
      </c>
      <c r="OF382">
        <v>15</v>
      </c>
      <c r="OG382">
        <v>28</v>
      </c>
      <c r="OH382">
        <v>13</v>
      </c>
      <c r="OI382">
        <v>90</v>
      </c>
      <c r="OJ382">
        <v>158</v>
      </c>
      <c r="OK382">
        <v>602</v>
      </c>
      <c r="OL382">
        <v>10</v>
      </c>
      <c r="OM382">
        <v>5</v>
      </c>
      <c r="ON382">
        <v>270</v>
      </c>
      <c r="OO382">
        <v>93153</v>
      </c>
      <c r="OP382">
        <v>279233</v>
      </c>
      <c r="OV382">
        <v>1177</v>
      </c>
      <c r="PI382">
        <v>373564</v>
      </c>
      <c r="PM382" t="str">
        <f>IFERROR(VLOOKUP($A382&amp;"",Key!$A:$C,3,FALSE),"")</f>
        <v>ISIC 55T56</v>
      </c>
    </row>
    <row r="383" spans="1:429" x14ac:dyDescent="0.25">
      <c r="A383">
        <v>722211</v>
      </c>
      <c r="B383" t="s">
        <v>518</v>
      </c>
      <c r="C383">
        <v>4</v>
      </c>
      <c r="D383">
        <v>7</v>
      </c>
      <c r="E383">
        <v>3</v>
      </c>
      <c r="F383">
        <v>6</v>
      </c>
      <c r="G383">
        <v>4</v>
      </c>
      <c r="H383">
        <v>3</v>
      </c>
      <c r="I383">
        <v>13</v>
      </c>
      <c r="J383">
        <v>1</v>
      </c>
      <c r="K383">
        <v>6</v>
      </c>
      <c r="L383">
        <v>4</v>
      </c>
      <c r="M383">
        <v>1</v>
      </c>
      <c r="N383">
        <v>1</v>
      </c>
      <c r="O383">
        <v>3</v>
      </c>
      <c r="P383">
        <v>1</v>
      </c>
      <c r="Q383">
        <v>2</v>
      </c>
      <c r="R383">
        <v>7</v>
      </c>
      <c r="S383">
        <v>1</v>
      </c>
      <c r="T383">
        <v>1</v>
      </c>
      <c r="U383">
        <v>2</v>
      </c>
      <c r="V383">
        <v>2</v>
      </c>
      <c r="W383">
        <v>293</v>
      </c>
      <c r="X383">
        <v>128</v>
      </c>
      <c r="Y383">
        <v>35</v>
      </c>
      <c r="Z383">
        <v>3</v>
      </c>
      <c r="AC383">
        <v>57</v>
      </c>
      <c r="AD383">
        <v>6</v>
      </c>
      <c r="AL383">
        <v>70</v>
      </c>
      <c r="AM383">
        <v>20</v>
      </c>
      <c r="AN383">
        <v>8</v>
      </c>
      <c r="AO383">
        <v>8</v>
      </c>
      <c r="AP383">
        <v>12</v>
      </c>
      <c r="AQ383">
        <v>2</v>
      </c>
      <c r="AR383">
        <v>20</v>
      </c>
      <c r="AS383">
        <v>3</v>
      </c>
      <c r="AT383">
        <v>34</v>
      </c>
      <c r="AU383">
        <v>2</v>
      </c>
      <c r="AV383">
        <v>10</v>
      </c>
      <c r="AW383">
        <v>1</v>
      </c>
      <c r="AX383">
        <v>2</v>
      </c>
      <c r="AY383">
        <v>3</v>
      </c>
      <c r="AZ383">
        <v>1</v>
      </c>
      <c r="BA383">
        <v>4</v>
      </c>
      <c r="BB383">
        <v>5</v>
      </c>
      <c r="BC383">
        <v>35</v>
      </c>
      <c r="BD383">
        <v>8</v>
      </c>
      <c r="BE383">
        <v>1</v>
      </c>
      <c r="BF383">
        <v>0</v>
      </c>
      <c r="BG383">
        <v>7</v>
      </c>
      <c r="BH383">
        <v>1</v>
      </c>
      <c r="BI383">
        <v>3</v>
      </c>
      <c r="BJ383">
        <v>4</v>
      </c>
      <c r="BK383">
        <v>7</v>
      </c>
      <c r="BL383">
        <v>9</v>
      </c>
      <c r="BM383">
        <v>3</v>
      </c>
      <c r="BN383">
        <v>4</v>
      </c>
      <c r="BO383">
        <v>6</v>
      </c>
      <c r="BP383">
        <v>5</v>
      </c>
      <c r="BQ383">
        <v>27</v>
      </c>
      <c r="BR383">
        <v>18</v>
      </c>
      <c r="BS383">
        <v>3</v>
      </c>
      <c r="BT383">
        <v>4</v>
      </c>
      <c r="BU383">
        <v>3</v>
      </c>
      <c r="BV383">
        <v>5</v>
      </c>
      <c r="BW383">
        <v>5</v>
      </c>
      <c r="BX383">
        <v>25</v>
      </c>
      <c r="BY383">
        <v>19</v>
      </c>
      <c r="BZ383">
        <v>14</v>
      </c>
      <c r="CA383">
        <v>0</v>
      </c>
      <c r="CB383">
        <v>9</v>
      </c>
      <c r="CC383">
        <v>1</v>
      </c>
      <c r="CD383">
        <v>2</v>
      </c>
      <c r="CE383">
        <v>1</v>
      </c>
      <c r="CF383">
        <v>4</v>
      </c>
      <c r="CG383">
        <v>8</v>
      </c>
      <c r="CH383">
        <v>3</v>
      </c>
      <c r="CI383">
        <v>5</v>
      </c>
      <c r="CJ383">
        <v>10</v>
      </c>
      <c r="CK383">
        <v>4</v>
      </c>
      <c r="CL383">
        <v>12</v>
      </c>
      <c r="CM383">
        <v>3</v>
      </c>
      <c r="CN383">
        <v>2</v>
      </c>
      <c r="CO383">
        <v>10</v>
      </c>
      <c r="CP383">
        <v>3</v>
      </c>
      <c r="CQ383">
        <v>9</v>
      </c>
      <c r="CR383">
        <v>1</v>
      </c>
      <c r="CS383">
        <v>2</v>
      </c>
      <c r="CT383">
        <v>4</v>
      </c>
      <c r="CU383">
        <v>4</v>
      </c>
      <c r="CV383">
        <v>3</v>
      </c>
      <c r="CW383">
        <v>0</v>
      </c>
      <c r="CX383">
        <v>0</v>
      </c>
      <c r="CY383">
        <v>2</v>
      </c>
      <c r="CZ383">
        <v>14</v>
      </c>
      <c r="DA383">
        <v>3</v>
      </c>
      <c r="DB383">
        <v>5</v>
      </c>
      <c r="DC383">
        <v>6</v>
      </c>
      <c r="DD383">
        <v>6</v>
      </c>
      <c r="DE383">
        <v>4</v>
      </c>
      <c r="DF383">
        <v>1</v>
      </c>
      <c r="DG383">
        <v>7</v>
      </c>
      <c r="DH383">
        <v>2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9</v>
      </c>
      <c r="DS383">
        <v>1</v>
      </c>
      <c r="DT383">
        <v>0</v>
      </c>
      <c r="DU383">
        <v>1</v>
      </c>
      <c r="DV383">
        <v>0</v>
      </c>
      <c r="DW383">
        <v>1</v>
      </c>
      <c r="DX383">
        <v>3</v>
      </c>
      <c r="DY383">
        <v>1</v>
      </c>
      <c r="DZ383">
        <v>3</v>
      </c>
      <c r="EA383">
        <v>1</v>
      </c>
      <c r="EB383">
        <v>0</v>
      </c>
      <c r="EC383">
        <v>0</v>
      </c>
      <c r="ED383">
        <v>4</v>
      </c>
      <c r="EE383">
        <v>0</v>
      </c>
      <c r="EF383">
        <v>2</v>
      </c>
      <c r="EG383">
        <v>0</v>
      </c>
      <c r="EH383">
        <v>0</v>
      </c>
      <c r="EI383">
        <v>1</v>
      </c>
      <c r="EJ383">
        <v>0</v>
      </c>
      <c r="EK383">
        <v>1</v>
      </c>
      <c r="EL383">
        <v>0</v>
      </c>
      <c r="EM383">
        <v>2</v>
      </c>
      <c r="EN383">
        <v>2</v>
      </c>
      <c r="EO383">
        <v>0</v>
      </c>
      <c r="EP383">
        <v>4</v>
      </c>
      <c r="EQ383">
        <v>4</v>
      </c>
      <c r="ER383">
        <v>5</v>
      </c>
      <c r="ES383">
        <v>1</v>
      </c>
      <c r="ET383">
        <v>6</v>
      </c>
      <c r="EU383">
        <v>3</v>
      </c>
      <c r="EV383">
        <v>0</v>
      </c>
      <c r="EW383">
        <v>6</v>
      </c>
      <c r="EX383">
        <v>7</v>
      </c>
      <c r="EY383">
        <v>6</v>
      </c>
      <c r="EZ383">
        <v>7</v>
      </c>
      <c r="FA383">
        <v>9</v>
      </c>
      <c r="FB383">
        <v>18</v>
      </c>
      <c r="FC383">
        <v>12</v>
      </c>
      <c r="FD383">
        <v>8</v>
      </c>
      <c r="FE383">
        <v>4</v>
      </c>
      <c r="FF383">
        <v>10</v>
      </c>
      <c r="FG383">
        <v>10</v>
      </c>
      <c r="FH383">
        <v>0</v>
      </c>
      <c r="FJ383">
        <v>12</v>
      </c>
      <c r="FK383">
        <v>8</v>
      </c>
      <c r="FL383">
        <v>2</v>
      </c>
      <c r="FM383">
        <v>1</v>
      </c>
      <c r="FO383">
        <v>0</v>
      </c>
      <c r="FP383">
        <v>13</v>
      </c>
      <c r="FQ383">
        <v>4</v>
      </c>
      <c r="FR383">
        <v>2</v>
      </c>
      <c r="FS383">
        <v>5</v>
      </c>
      <c r="FT383">
        <v>3</v>
      </c>
      <c r="FU383">
        <v>3</v>
      </c>
      <c r="FV383">
        <v>18</v>
      </c>
      <c r="FW383">
        <v>4</v>
      </c>
      <c r="FX383">
        <v>9</v>
      </c>
      <c r="FY383">
        <v>33</v>
      </c>
      <c r="FZ383">
        <v>2</v>
      </c>
      <c r="GA383">
        <v>1</v>
      </c>
      <c r="GB383">
        <v>2</v>
      </c>
      <c r="GC383">
        <v>6</v>
      </c>
      <c r="GD383">
        <v>6</v>
      </c>
      <c r="GE383">
        <v>0</v>
      </c>
      <c r="GF383">
        <v>1</v>
      </c>
      <c r="GG383">
        <v>8</v>
      </c>
      <c r="GH383">
        <v>11</v>
      </c>
      <c r="GI383">
        <v>5</v>
      </c>
      <c r="GJ383">
        <v>9</v>
      </c>
      <c r="GK383">
        <v>4</v>
      </c>
      <c r="GL383">
        <v>1</v>
      </c>
      <c r="GM383">
        <v>1</v>
      </c>
      <c r="GN383">
        <v>0</v>
      </c>
      <c r="GO383">
        <v>1</v>
      </c>
      <c r="GP383">
        <v>11</v>
      </c>
      <c r="GQ383">
        <v>3</v>
      </c>
      <c r="GR383">
        <v>5</v>
      </c>
      <c r="GS383">
        <v>3</v>
      </c>
      <c r="GT383">
        <v>3</v>
      </c>
      <c r="GU383">
        <v>15</v>
      </c>
      <c r="GV383">
        <v>1</v>
      </c>
      <c r="GW383">
        <v>18</v>
      </c>
      <c r="GX383">
        <v>19</v>
      </c>
      <c r="GY383">
        <v>3</v>
      </c>
      <c r="GZ383">
        <v>53</v>
      </c>
      <c r="HA383">
        <v>8</v>
      </c>
      <c r="HB383">
        <v>4</v>
      </c>
      <c r="HC383">
        <v>3</v>
      </c>
      <c r="HD383">
        <v>2</v>
      </c>
      <c r="HE383">
        <v>8</v>
      </c>
      <c r="HF383">
        <v>6</v>
      </c>
      <c r="HG383">
        <v>12</v>
      </c>
      <c r="HH383">
        <v>5</v>
      </c>
      <c r="HI383">
        <v>5</v>
      </c>
      <c r="HJ383">
        <v>4</v>
      </c>
      <c r="HK383">
        <v>2</v>
      </c>
      <c r="HL383">
        <v>1</v>
      </c>
      <c r="HM383">
        <v>4</v>
      </c>
      <c r="HN383">
        <v>3</v>
      </c>
      <c r="HO383">
        <v>1</v>
      </c>
      <c r="HP383">
        <v>1</v>
      </c>
      <c r="HQ383">
        <v>4</v>
      </c>
      <c r="HR383">
        <v>1</v>
      </c>
      <c r="HS383">
        <v>0</v>
      </c>
      <c r="HT383">
        <v>3</v>
      </c>
      <c r="HU383">
        <v>6</v>
      </c>
      <c r="HV383">
        <v>8</v>
      </c>
      <c r="HW383">
        <v>39</v>
      </c>
      <c r="HX383">
        <v>6</v>
      </c>
      <c r="HY383">
        <v>2</v>
      </c>
      <c r="HZ383">
        <v>3</v>
      </c>
      <c r="IA383">
        <v>1</v>
      </c>
      <c r="IB383">
        <v>67</v>
      </c>
      <c r="IC383">
        <v>1</v>
      </c>
      <c r="ID383">
        <v>53</v>
      </c>
      <c r="IE383">
        <v>8</v>
      </c>
      <c r="IF383">
        <v>2</v>
      </c>
      <c r="IG383">
        <v>2</v>
      </c>
      <c r="IH383">
        <v>1</v>
      </c>
      <c r="II383">
        <v>1</v>
      </c>
      <c r="IJ383">
        <v>1</v>
      </c>
      <c r="IK383">
        <v>8</v>
      </c>
      <c r="IL383">
        <v>38</v>
      </c>
      <c r="IM383">
        <v>20</v>
      </c>
      <c r="IN383">
        <v>3</v>
      </c>
      <c r="IO383">
        <v>3</v>
      </c>
      <c r="IP383">
        <v>3</v>
      </c>
      <c r="IQ383">
        <v>5</v>
      </c>
      <c r="IR383">
        <v>1</v>
      </c>
      <c r="IS383">
        <v>2</v>
      </c>
      <c r="IT383">
        <v>1</v>
      </c>
      <c r="IU383">
        <v>4</v>
      </c>
      <c r="IV383">
        <v>2</v>
      </c>
      <c r="IW383">
        <v>4</v>
      </c>
      <c r="IX383">
        <v>2</v>
      </c>
      <c r="IY383">
        <v>0</v>
      </c>
      <c r="IZ383">
        <v>6</v>
      </c>
      <c r="JA383">
        <v>27</v>
      </c>
      <c r="JB383">
        <v>6</v>
      </c>
      <c r="JC383">
        <v>2</v>
      </c>
      <c r="JD383">
        <v>8</v>
      </c>
      <c r="JE383">
        <v>5</v>
      </c>
      <c r="JF383">
        <v>2</v>
      </c>
      <c r="JG383">
        <v>80</v>
      </c>
      <c r="JH383">
        <v>5</v>
      </c>
      <c r="JI383">
        <v>3</v>
      </c>
      <c r="JJ383">
        <v>8</v>
      </c>
      <c r="JL383">
        <v>405</v>
      </c>
      <c r="JM383">
        <v>572</v>
      </c>
      <c r="JN383">
        <v>388</v>
      </c>
      <c r="JO383">
        <v>364</v>
      </c>
      <c r="JP383">
        <v>36</v>
      </c>
      <c r="JQ383">
        <v>272</v>
      </c>
      <c r="JR383">
        <v>12</v>
      </c>
      <c r="JS383">
        <v>422</v>
      </c>
      <c r="JT383">
        <v>8</v>
      </c>
      <c r="JV383">
        <v>174</v>
      </c>
      <c r="JW383">
        <v>86</v>
      </c>
      <c r="JX383">
        <v>85</v>
      </c>
      <c r="JY383">
        <v>44</v>
      </c>
      <c r="JZ383">
        <v>40</v>
      </c>
      <c r="KA383">
        <v>45</v>
      </c>
      <c r="KB383">
        <v>41</v>
      </c>
      <c r="KC383">
        <v>98</v>
      </c>
      <c r="KD383">
        <v>64</v>
      </c>
      <c r="KE383">
        <v>41</v>
      </c>
      <c r="KF383">
        <v>1</v>
      </c>
      <c r="KG383">
        <v>0</v>
      </c>
      <c r="KH383">
        <v>71</v>
      </c>
      <c r="KI383">
        <v>46</v>
      </c>
      <c r="KJ383">
        <v>9</v>
      </c>
      <c r="KK383">
        <v>24</v>
      </c>
      <c r="KL383">
        <v>4</v>
      </c>
      <c r="KM383">
        <v>7</v>
      </c>
      <c r="KN383">
        <v>6</v>
      </c>
      <c r="KO383">
        <v>8</v>
      </c>
      <c r="KP383">
        <v>13</v>
      </c>
      <c r="KQ383">
        <v>3</v>
      </c>
      <c r="KR383">
        <v>71</v>
      </c>
      <c r="KS383">
        <v>25</v>
      </c>
      <c r="KT383">
        <v>5</v>
      </c>
      <c r="KU383">
        <v>1</v>
      </c>
      <c r="KV383">
        <v>2</v>
      </c>
      <c r="KW383">
        <v>20</v>
      </c>
      <c r="KX383">
        <v>67</v>
      </c>
      <c r="KY383">
        <v>12</v>
      </c>
      <c r="KZ383">
        <v>231</v>
      </c>
      <c r="LA383">
        <v>21</v>
      </c>
      <c r="LB383">
        <v>0</v>
      </c>
      <c r="LC383">
        <v>529</v>
      </c>
      <c r="LD383">
        <v>2132</v>
      </c>
      <c r="LE383">
        <v>612</v>
      </c>
      <c r="LF383">
        <v>60</v>
      </c>
      <c r="LH383">
        <v>1239</v>
      </c>
      <c r="LI383">
        <v>9</v>
      </c>
      <c r="LJ383">
        <v>429</v>
      </c>
      <c r="LL383">
        <v>1</v>
      </c>
      <c r="LM383">
        <v>11680</v>
      </c>
      <c r="LN383">
        <v>148</v>
      </c>
      <c r="LO383">
        <v>174</v>
      </c>
      <c r="LP383">
        <v>32</v>
      </c>
      <c r="LQ383">
        <v>297</v>
      </c>
      <c r="LR383">
        <v>450</v>
      </c>
      <c r="LS383">
        <v>141</v>
      </c>
      <c r="LT383">
        <v>1381</v>
      </c>
      <c r="LU383">
        <v>121</v>
      </c>
      <c r="LV383">
        <v>400</v>
      </c>
      <c r="LW383">
        <v>816</v>
      </c>
      <c r="LX383">
        <v>299</v>
      </c>
      <c r="LY383">
        <v>88</v>
      </c>
      <c r="LZ383">
        <v>142</v>
      </c>
      <c r="MA383">
        <v>129</v>
      </c>
      <c r="MB383">
        <v>163</v>
      </c>
      <c r="MC383">
        <v>80</v>
      </c>
      <c r="MD383">
        <v>33</v>
      </c>
      <c r="ME383">
        <v>44</v>
      </c>
      <c r="MF383">
        <v>622</v>
      </c>
      <c r="MG383">
        <v>573</v>
      </c>
      <c r="MH383">
        <v>151</v>
      </c>
      <c r="MI383">
        <v>44</v>
      </c>
      <c r="MJ383">
        <v>33</v>
      </c>
      <c r="MK383">
        <v>99</v>
      </c>
      <c r="ML383">
        <v>86</v>
      </c>
      <c r="MM383">
        <v>61</v>
      </c>
      <c r="MN383">
        <v>150</v>
      </c>
      <c r="MO383">
        <v>91</v>
      </c>
      <c r="MP383">
        <v>31</v>
      </c>
      <c r="MQ383">
        <v>34</v>
      </c>
      <c r="MR383">
        <v>35</v>
      </c>
      <c r="MS383">
        <v>1506</v>
      </c>
      <c r="MT383">
        <v>53</v>
      </c>
      <c r="MU383">
        <v>36</v>
      </c>
      <c r="MV383">
        <v>80</v>
      </c>
      <c r="MW383">
        <v>12</v>
      </c>
      <c r="MX383">
        <v>57</v>
      </c>
      <c r="MY383">
        <v>11</v>
      </c>
      <c r="MZ383">
        <v>1489</v>
      </c>
      <c r="NA383">
        <v>109</v>
      </c>
      <c r="NB383">
        <v>13</v>
      </c>
      <c r="NC383">
        <v>85</v>
      </c>
      <c r="ND383">
        <v>15</v>
      </c>
      <c r="NE383">
        <v>50</v>
      </c>
      <c r="NF383">
        <v>4</v>
      </c>
      <c r="NG383">
        <v>4</v>
      </c>
      <c r="NH383">
        <v>2</v>
      </c>
      <c r="NI383">
        <v>14</v>
      </c>
      <c r="NJ383">
        <v>1</v>
      </c>
      <c r="NK383">
        <v>4</v>
      </c>
      <c r="NL383">
        <v>3</v>
      </c>
      <c r="NM383">
        <v>29</v>
      </c>
      <c r="NN383">
        <v>120</v>
      </c>
      <c r="NO383">
        <v>260</v>
      </c>
      <c r="NP383">
        <v>851</v>
      </c>
      <c r="NQ383">
        <v>93</v>
      </c>
      <c r="NR383">
        <v>24</v>
      </c>
      <c r="NS383">
        <v>4</v>
      </c>
      <c r="NT383">
        <v>24</v>
      </c>
      <c r="NU383">
        <v>6</v>
      </c>
      <c r="NV383">
        <v>59</v>
      </c>
      <c r="NW383">
        <v>0</v>
      </c>
      <c r="NX383">
        <v>12</v>
      </c>
      <c r="NY383">
        <v>21</v>
      </c>
      <c r="NZ383">
        <v>33</v>
      </c>
      <c r="OA383">
        <v>49</v>
      </c>
      <c r="OB383">
        <v>34</v>
      </c>
      <c r="OD383">
        <v>254</v>
      </c>
      <c r="OE383">
        <v>133</v>
      </c>
      <c r="OF383">
        <v>25</v>
      </c>
      <c r="OG383">
        <v>43</v>
      </c>
      <c r="OH383">
        <v>7</v>
      </c>
      <c r="OI383">
        <v>1265</v>
      </c>
      <c r="OJ383">
        <v>1363</v>
      </c>
      <c r="OK383">
        <v>1088</v>
      </c>
      <c r="OL383">
        <v>5</v>
      </c>
      <c r="OM383">
        <v>1</v>
      </c>
      <c r="ON383">
        <v>134</v>
      </c>
      <c r="OO383">
        <v>39130</v>
      </c>
      <c r="OP383">
        <v>344723</v>
      </c>
      <c r="OV383">
        <v>1130</v>
      </c>
      <c r="PI383">
        <v>384984</v>
      </c>
      <c r="PM383" t="str">
        <f>IFERROR(VLOOKUP($A383&amp;"",Key!$A:$C,3,FALSE),"")</f>
        <v>ISIC 55T56</v>
      </c>
    </row>
    <row r="384" spans="1:429" x14ac:dyDescent="0.25">
      <c r="A384" t="s">
        <v>622</v>
      </c>
      <c r="B384" t="s">
        <v>519</v>
      </c>
      <c r="C384">
        <v>4</v>
      </c>
      <c r="D384">
        <v>7</v>
      </c>
      <c r="E384">
        <v>1</v>
      </c>
      <c r="F384">
        <v>1</v>
      </c>
      <c r="G384">
        <v>2</v>
      </c>
      <c r="H384">
        <v>0</v>
      </c>
      <c r="I384">
        <v>13</v>
      </c>
      <c r="J384">
        <v>0</v>
      </c>
      <c r="K384">
        <v>4</v>
      </c>
      <c r="L384">
        <v>3</v>
      </c>
      <c r="P384">
        <v>0</v>
      </c>
      <c r="V384">
        <v>1</v>
      </c>
      <c r="W384">
        <v>23</v>
      </c>
      <c r="X384">
        <v>79</v>
      </c>
      <c r="Y384">
        <v>29</v>
      </c>
      <c r="AA384">
        <v>0</v>
      </c>
      <c r="AB384">
        <v>0</v>
      </c>
      <c r="AC384">
        <v>24</v>
      </c>
      <c r="AD384">
        <v>2</v>
      </c>
      <c r="AE384">
        <v>6</v>
      </c>
      <c r="AF384">
        <v>1</v>
      </c>
      <c r="AG384">
        <v>15</v>
      </c>
      <c r="AH384">
        <v>4</v>
      </c>
      <c r="AI384">
        <v>1</v>
      </c>
      <c r="AK384">
        <v>40</v>
      </c>
      <c r="AL384">
        <v>11</v>
      </c>
      <c r="AM384">
        <v>5</v>
      </c>
      <c r="AO384">
        <v>2</v>
      </c>
      <c r="AP384">
        <v>0</v>
      </c>
      <c r="AR384">
        <v>5</v>
      </c>
      <c r="AT384">
        <v>9</v>
      </c>
      <c r="AU384">
        <v>0</v>
      </c>
      <c r="AV384">
        <v>3</v>
      </c>
      <c r="BC384">
        <v>10</v>
      </c>
      <c r="BD384">
        <v>0</v>
      </c>
      <c r="BG384">
        <v>0</v>
      </c>
      <c r="BI384">
        <v>0</v>
      </c>
      <c r="BJ384">
        <v>0</v>
      </c>
      <c r="BK384">
        <v>1</v>
      </c>
      <c r="BL384">
        <v>1</v>
      </c>
      <c r="BN384">
        <v>0</v>
      </c>
      <c r="BO384">
        <v>0</v>
      </c>
      <c r="BP384">
        <v>0</v>
      </c>
      <c r="BQ384">
        <v>8</v>
      </c>
      <c r="BR384">
        <v>5</v>
      </c>
      <c r="BT384">
        <v>0</v>
      </c>
      <c r="BV384">
        <v>0</v>
      </c>
      <c r="BW384">
        <v>0</v>
      </c>
      <c r="BX384">
        <v>7</v>
      </c>
      <c r="BY384">
        <v>5</v>
      </c>
      <c r="BZ384">
        <v>4</v>
      </c>
      <c r="CB384">
        <v>2</v>
      </c>
      <c r="CD384">
        <v>0</v>
      </c>
      <c r="CF384">
        <v>0</v>
      </c>
      <c r="CG384">
        <v>2</v>
      </c>
      <c r="CI384">
        <v>0</v>
      </c>
      <c r="CJ384">
        <v>3</v>
      </c>
      <c r="CL384">
        <v>1</v>
      </c>
      <c r="CO384">
        <v>3</v>
      </c>
      <c r="CQ384">
        <v>1</v>
      </c>
      <c r="CS384">
        <v>0</v>
      </c>
      <c r="CT384">
        <v>0</v>
      </c>
      <c r="CU384">
        <v>0</v>
      </c>
      <c r="CZ384">
        <v>4</v>
      </c>
      <c r="DA384">
        <v>0</v>
      </c>
      <c r="DB384">
        <v>0</v>
      </c>
      <c r="DC384">
        <v>0</v>
      </c>
      <c r="DG384">
        <v>2</v>
      </c>
      <c r="DH384">
        <v>0</v>
      </c>
      <c r="DM384">
        <v>0</v>
      </c>
      <c r="DO384">
        <v>0</v>
      </c>
      <c r="DR384">
        <v>2</v>
      </c>
      <c r="DS384">
        <v>0</v>
      </c>
      <c r="DU384">
        <v>0</v>
      </c>
      <c r="DW384">
        <v>0</v>
      </c>
      <c r="DX384">
        <v>0</v>
      </c>
      <c r="DZ384">
        <v>0</v>
      </c>
      <c r="EP384">
        <v>0</v>
      </c>
      <c r="EQ384">
        <v>1</v>
      </c>
      <c r="EX384">
        <v>0</v>
      </c>
      <c r="EZ384">
        <v>0</v>
      </c>
      <c r="FB384">
        <v>6</v>
      </c>
      <c r="FC384">
        <v>3</v>
      </c>
      <c r="FE384">
        <v>1</v>
      </c>
      <c r="FF384">
        <v>2</v>
      </c>
      <c r="FG384">
        <v>1</v>
      </c>
      <c r="FJ384">
        <v>1</v>
      </c>
      <c r="FK384">
        <v>2</v>
      </c>
      <c r="FP384">
        <v>3</v>
      </c>
      <c r="FS384">
        <v>0</v>
      </c>
      <c r="FV384">
        <v>1</v>
      </c>
      <c r="FW384">
        <v>1</v>
      </c>
      <c r="FX384">
        <v>2</v>
      </c>
      <c r="FY384">
        <v>10</v>
      </c>
      <c r="GC384">
        <v>0</v>
      </c>
      <c r="GD384">
        <v>2</v>
      </c>
      <c r="GG384">
        <v>1</v>
      </c>
      <c r="GH384">
        <v>3</v>
      </c>
      <c r="GJ384">
        <v>3</v>
      </c>
      <c r="GU384">
        <v>3</v>
      </c>
      <c r="GW384">
        <v>5</v>
      </c>
      <c r="GX384">
        <v>5</v>
      </c>
      <c r="GZ384">
        <v>14</v>
      </c>
      <c r="HA384">
        <v>0</v>
      </c>
      <c r="HE384">
        <v>0</v>
      </c>
      <c r="HF384">
        <v>0</v>
      </c>
      <c r="HG384">
        <v>3</v>
      </c>
      <c r="HI384">
        <v>0</v>
      </c>
      <c r="HL384">
        <v>0</v>
      </c>
      <c r="HM384">
        <v>1</v>
      </c>
      <c r="HN384">
        <v>1</v>
      </c>
      <c r="HO384">
        <v>0</v>
      </c>
      <c r="HP384">
        <v>0</v>
      </c>
      <c r="HQ384">
        <v>1</v>
      </c>
      <c r="HR384">
        <v>1</v>
      </c>
      <c r="HS384">
        <v>1</v>
      </c>
      <c r="HT384">
        <v>0</v>
      </c>
      <c r="HU384">
        <v>2</v>
      </c>
      <c r="HV384">
        <v>1</v>
      </c>
      <c r="HW384">
        <v>12</v>
      </c>
      <c r="HX384">
        <v>0</v>
      </c>
      <c r="HY384">
        <v>1</v>
      </c>
      <c r="HZ384">
        <v>0</v>
      </c>
      <c r="IA384">
        <v>0</v>
      </c>
      <c r="IB384">
        <v>34</v>
      </c>
      <c r="IC384">
        <v>1</v>
      </c>
      <c r="ID384">
        <v>24</v>
      </c>
      <c r="IE384">
        <v>3</v>
      </c>
      <c r="IF384">
        <v>0</v>
      </c>
      <c r="IG384">
        <v>1</v>
      </c>
      <c r="IK384">
        <v>2</v>
      </c>
      <c r="IL384">
        <v>12</v>
      </c>
      <c r="IM384">
        <v>5</v>
      </c>
      <c r="JA384">
        <v>3</v>
      </c>
      <c r="JD384">
        <v>39</v>
      </c>
      <c r="JE384">
        <v>0</v>
      </c>
      <c r="JG384">
        <v>22</v>
      </c>
      <c r="JH384">
        <v>0</v>
      </c>
      <c r="JJ384">
        <v>0</v>
      </c>
      <c r="JK384">
        <v>209</v>
      </c>
      <c r="JL384">
        <v>92</v>
      </c>
      <c r="JM384">
        <v>191</v>
      </c>
      <c r="JN384">
        <v>251</v>
      </c>
      <c r="JO384">
        <v>268</v>
      </c>
      <c r="JQ384">
        <v>506</v>
      </c>
      <c r="JS384">
        <v>472</v>
      </c>
      <c r="JT384">
        <v>1</v>
      </c>
      <c r="JV384">
        <v>387</v>
      </c>
      <c r="JW384">
        <v>569</v>
      </c>
      <c r="JX384">
        <v>853</v>
      </c>
      <c r="JY384">
        <v>532</v>
      </c>
      <c r="JZ384">
        <v>151</v>
      </c>
      <c r="KA384">
        <v>696</v>
      </c>
      <c r="KB384">
        <v>102</v>
      </c>
      <c r="KC384">
        <v>807</v>
      </c>
      <c r="KD384">
        <v>309</v>
      </c>
      <c r="KE384">
        <v>7193</v>
      </c>
      <c r="KF384">
        <v>0</v>
      </c>
      <c r="KH384">
        <v>615</v>
      </c>
      <c r="KI384">
        <v>0</v>
      </c>
      <c r="KJ384">
        <v>0</v>
      </c>
      <c r="KK384">
        <v>39</v>
      </c>
      <c r="KL384">
        <v>976</v>
      </c>
      <c r="KM384">
        <v>279</v>
      </c>
      <c r="KN384">
        <v>2</v>
      </c>
      <c r="KO384">
        <v>3</v>
      </c>
      <c r="KP384">
        <v>4</v>
      </c>
      <c r="KQ384">
        <v>1</v>
      </c>
      <c r="KR384">
        <v>17</v>
      </c>
      <c r="KS384">
        <v>94</v>
      </c>
      <c r="KT384">
        <v>2</v>
      </c>
      <c r="KU384">
        <v>0</v>
      </c>
      <c r="KW384">
        <v>18</v>
      </c>
      <c r="KX384">
        <v>117</v>
      </c>
      <c r="KY384">
        <v>15</v>
      </c>
      <c r="KZ384">
        <v>152</v>
      </c>
      <c r="LA384">
        <v>22</v>
      </c>
      <c r="LB384">
        <v>0</v>
      </c>
      <c r="LC384">
        <v>301</v>
      </c>
      <c r="LD384">
        <v>395</v>
      </c>
      <c r="LE384">
        <v>244</v>
      </c>
      <c r="LF384">
        <v>58</v>
      </c>
      <c r="LH384">
        <v>27</v>
      </c>
      <c r="LI384">
        <v>12</v>
      </c>
      <c r="LJ384">
        <v>31</v>
      </c>
      <c r="LL384">
        <v>3</v>
      </c>
      <c r="LM384">
        <v>1211</v>
      </c>
      <c r="LN384">
        <v>25</v>
      </c>
      <c r="LO384">
        <v>47</v>
      </c>
      <c r="LP384">
        <v>31</v>
      </c>
      <c r="LQ384">
        <v>674</v>
      </c>
      <c r="LR384">
        <v>700</v>
      </c>
      <c r="LS384">
        <v>33</v>
      </c>
      <c r="LT384">
        <v>997</v>
      </c>
      <c r="LU384">
        <v>371</v>
      </c>
      <c r="LV384">
        <v>1096</v>
      </c>
      <c r="LW384">
        <v>971</v>
      </c>
      <c r="LX384">
        <v>2162</v>
      </c>
      <c r="LY384">
        <v>199</v>
      </c>
      <c r="LZ384">
        <v>1767</v>
      </c>
      <c r="MA384">
        <v>492</v>
      </c>
      <c r="MB384">
        <v>372</v>
      </c>
      <c r="MC384">
        <v>29</v>
      </c>
      <c r="MD384">
        <v>5</v>
      </c>
      <c r="ME384">
        <v>745</v>
      </c>
      <c r="MF384">
        <v>2542</v>
      </c>
      <c r="MG384">
        <v>674</v>
      </c>
      <c r="MH384">
        <v>106</v>
      </c>
      <c r="MI384">
        <v>657</v>
      </c>
      <c r="MJ384">
        <v>156</v>
      </c>
      <c r="MK384">
        <v>509</v>
      </c>
      <c r="ML384">
        <v>925</v>
      </c>
      <c r="MM384">
        <v>233</v>
      </c>
      <c r="MN384">
        <v>1991</v>
      </c>
      <c r="MO384">
        <v>21</v>
      </c>
      <c r="MP384">
        <v>278</v>
      </c>
      <c r="MQ384">
        <v>859</v>
      </c>
      <c r="MR384">
        <v>17</v>
      </c>
      <c r="MS384">
        <v>3715</v>
      </c>
      <c r="MT384">
        <v>10</v>
      </c>
      <c r="MU384">
        <v>751</v>
      </c>
      <c r="MV384">
        <v>9891</v>
      </c>
      <c r="MW384">
        <v>1</v>
      </c>
      <c r="MX384">
        <v>18</v>
      </c>
      <c r="MY384">
        <v>2</v>
      </c>
      <c r="MZ384">
        <v>2942</v>
      </c>
      <c r="NA384">
        <v>5731</v>
      </c>
      <c r="NB384">
        <v>585</v>
      </c>
      <c r="NC384">
        <v>21</v>
      </c>
      <c r="ND384">
        <v>205</v>
      </c>
      <c r="NE384">
        <v>13</v>
      </c>
      <c r="NG384">
        <v>133</v>
      </c>
      <c r="NI384">
        <v>215</v>
      </c>
      <c r="NK384">
        <v>118</v>
      </c>
      <c r="NL384">
        <v>746</v>
      </c>
      <c r="NM384">
        <v>174</v>
      </c>
      <c r="NN384">
        <v>7556</v>
      </c>
      <c r="NO384">
        <v>756</v>
      </c>
      <c r="NP384">
        <v>1279</v>
      </c>
      <c r="NQ384">
        <v>371</v>
      </c>
      <c r="NR384">
        <v>37</v>
      </c>
      <c r="NT384">
        <v>72</v>
      </c>
      <c r="NV384">
        <v>606</v>
      </c>
      <c r="NW384">
        <v>0</v>
      </c>
      <c r="NX384">
        <v>0</v>
      </c>
      <c r="NY384">
        <v>183</v>
      </c>
      <c r="NZ384">
        <v>216</v>
      </c>
      <c r="OA384">
        <v>37</v>
      </c>
      <c r="OB384">
        <v>102</v>
      </c>
      <c r="OD384">
        <v>37</v>
      </c>
      <c r="OE384">
        <v>38</v>
      </c>
      <c r="OF384">
        <v>5</v>
      </c>
      <c r="OG384">
        <v>81</v>
      </c>
      <c r="OH384">
        <v>20</v>
      </c>
      <c r="OI384">
        <v>1888</v>
      </c>
      <c r="OJ384">
        <v>1420</v>
      </c>
      <c r="OK384">
        <v>1068</v>
      </c>
      <c r="OL384">
        <v>0</v>
      </c>
      <c r="ON384">
        <v>139</v>
      </c>
      <c r="OO384">
        <v>79708</v>
      </c>
      <c r="OP384">
        <v>107894</v>
      </c>
      <c r="OV384">
        <v>400</v>
      </c>
      <c r="PI384">
        <v>188002</v>
      </c>
      <c r="PM384" t="str">
        <f>IFERROR(VLOOKUP($A384&amp;"",Key!$A:$C,3,FALSE),"")</f>
        <v>ISIC 55T56</v>
      </c>
    </row>
    <row r="385" spans="1:429" x14ac:dyDescent="0.25">
      <c r="A385">
        <v>811100</v>
      </c>
      <c r="B385" t="s">
        <v>520</v>
      </c>
      <c r="C385">
        <v>11</v>
      </c>
      <c r="D385">
        <v>25</v>
      </c>
      <c r="E385">
        <v>3</v>
      </c>
      <c r="F385">
        <v>3</v>
      </c>
      <c r="H385">
        <v>8</v>
      </c>
      <c r="I385">
        <v>20</v>
      </c>
      <c r="K385">
        <v>3</v>
      </c>
      <c r="L385">
        <v>7</v>
      </c>
      <c r="M385">
        <v>5</v>
      </c>
      <c r="P385">
        <v>2</v>
      </c>
      <c r="Q385">
        <v>8</v>
      </c>
      <c r="R385">
        <v>2</v>
      </c>
      <c r="S385">
        <v>3</v>
      </c>
      <c r="T385">
        <v>3</v>
      </c>
      <c r="U385">
        <v>6</v>
      </c>
      <c r="V385">
        <v>27</v>
      </c>
      <c r="W385">
        <v>30</v>
      </c>
      <c r="X385">
        <v>68</v>
      </c>
      <c r="Y385">
        <v>14</v>
      </c>
      <c r="Z385">
        <v>0</v>
      </c>
      <c r="AA385">
        <v>10</v>
      </c>
      <c r="AB385">
        <v>3</v>
      </c>
      <c r="AC385">
        <v>151</v>
      </c>
      <c r="AD385">
        <v>33</v>
      </c>
      <c r="AE385">
        <v>57</v>
      </c>
      <c r="AF385">
        <v>22</v>
      </c>
      <c r="AG385">
        <v>95</v>
      </c>
      <c r="AH385">
        <v>29</v>
      </c>
      <c r="AI385">
        <v>54</v>
      </c>
      <c r="AJ385">
        <v>77</v>
      </c>
      <c r="AK385">
        <v>67</v>
      </c>
      <c r="AL385">
        <v>154</v>
      </c>
      <c r="AM385">
        <v>33</v>
      </c>
      <c r="AN385">
        <v>18</v>
      </c>
      <c r="AO385">
        <v>13</v>
      </c>
      <c r="AP385">
        <v>12</v>
      </c>
      <c r="AQ385">
        <v>15</v>
      </c>
      <c r="AR385">
        <v>45</v>
      </c>
      <c r="AS385">
        <v>22</v>
      </c>
      <c r="AT385">
        <v>49</v>
      </c>
      <c r="AU385">
        <v>11</v>
      </c>
      <c r="AV385">
        <v>15</v>
      </c>
      <c r="AW385">
        <v>10</v>
      </c>
      <c r="AX385">
        <v>3</v>
      </c>
      <c r="AY385">
        <v>5</v>
      </c>
      <c r="AZ385">
        <v>7</v>
      </c>
      <c r="BA385">
        <v>10</v>
      </c>
      <c r="BB385">
        <v>8</v>
      </c>
      <c r="BC385">
        <v>92</v>
      </c>
      <c r="BD385">
        <v>23</v>
      </c>
      <c r="BE385">
        <v>7</v>
      </c>
      <c r="BF385">
        <v>3</v>
      </c>
      <c r="BG385">
        <v>21</v>
      </c>
      <c r="BH385">
        <v>8</v>
      </c>
      <c r="BI385">
        <v>8</v>
      </c>
      <c r="BJ385">
        <v>11</v>
      </c>
      <c r="BK385">
        <v>26</v>
      </c>
      <c r="BL385">
        <v>20</v>
      </c>
      <c r="BM385">
        <v>11</v>
      </c>
      <c r="BN385">
        <v>20</v>
      </c>
      <c r="BO385">
        <v>11</v>
      </c>
      <c r="BP385">
        <v>10</v>
      </c>
      <c r="BQ385">
        <v>33</v>
      </c>
      <c r="BR385">
        <v>25</v>
      </c>
      <c r="BS385">
        <v>4</v>
      </c>
      <c r="BT385">
        <v>5</v>
      </c>
      <c r="BU385">
        <v>7</v>
      </c>
      <c r="BV385">
        <v>5</v>
      </c>
      <c r="BW385">
        <v>10</v>
      </c>
      <c r="BX385">
        <v>41</v>
      </c>
      <c r="BY385">
        <v>41</v>
      </c>
      <c r="BZ385">
        <v>34</v>
      </c>
      <c r="CA385">
        <v>3</v>
      </c>
      <c r="CB385">
        <v>18</v>
      </c>
      <c r="CC385">
        <v>8</v>
      </c>
      <c r="CD385">
        <v>4</v>
      </c>
      <c r="CE385">
        <v>7</v>
      </c>
      <c r="CF385">
        <v>10</v>
      </c>
      <c r="CG385">
        <v>13</v>
      </c>
      <c r="CH385">
        <v>2</v>
      </c>
      <c r="CI385">
        <v>19</v>
      </c>
      <c r="CJ385">
        <v>14</v>
      </c>
      <c r="CK385">
        <v>2</v>
      </c>
      <c r="CL385">
        <v>17</v>
      </c>
      <c r="CM385">
        <v>3</v>
      </c>
      <c r="CN385">
        <v>1</v>
      </c>
      <c r="CO385">
        <v>13</v>
      </c>
      <c r="CP385">
        <v>2</v>
      </c>
      <c r="CQ385">
        <v>13</v>
      </c>
      <c r="CR385">
        <v>3</v>
      </c>
      <c r="CS385">
        <v>8</v>
      </c>
      <c r="CT385">
        <v>7</v>
      </c>
      <c r="CU385">
        <v>4</v>
      </c>
      <c r="CV385">
        <v>9</v>
      </c>
      <c r="CW385">
        <v>8</v>
      </c>
      <c r="CX385">
        <v>3</v>
      </c>
      <c r="CY385">
        <v>6</v>
      </c>
      <c r="CZ385">
        <v>15</v>
      </c>
      <c r="DA385">
        <v>2</v>
      </c>
      <c r="DB385">
        <v>13</v>
      </c>
      <c r="DC385">
        <v>13</v>
      </c>
      <c r="DD385">
        <v>2</v>
      </c>
      <c r="DE385">
        <v>2</v>
      </c>
      <c r="DF385">
        <v>1</v>
      </c>
      <c r="DG385">
        <v>13</v>
      </c>
      <c r="DH385">
        <v>9</v>
      </c>
      <c r="DI385">
        <v>0</v>
      </c>
      <c r="DJ385">
        <v>0</v>
      </c>
      <c r="DK385">
        <v>1</v>
      </c>
      <c r="DL385">
        <v>0</v>
      </c>
      <c r="DM385">
        <v>4</v>
      </c>
      <c r="DN385">
        <v>0</v>
      </c>
      <c r="DO385">
        <v>58</v>
      </c>
      <c r="DP385">
        <v>4</v>
      </c>
      <c r="DQ385">
        <v>12</v>
      </c>
      <c r="DR385">
        <v>10</v>
      </c>
      <c r="DS385">
        <v>13</v>
      </c>
      <c r="DT385">
        <v>0</v>
      </c>
      <c r="DU385">
        <v>1</v>
      </c>
      <c r="DV385">
        <v>15</v>
      </c>
      <c r="DW385">
        <v>1</v>
      </c>
      <c r="DX385">
        <v>4</v>
      </c>
      <c r="DY385">
        <v>1</v>
      </c>
      <c r="DZ385">
        <v>3</v>
      </c>
      <c r="EA385">
        <v>0</v>
      </c>
      <c r="EB385">
        <v>0</v>
      </c>
      <c r="EC385">
        <v>0</v>
      </c>
      <c r="ED385">
        <v>3</v>
      </c>
      <c r="EE385">
        <v>0</v>
      </c>
      <c r="EF385">
        <v>5</v>
      </c>
      <c r="EG385">
        <v>2</v>
      </c>
      <c r="EH385">
        <v>2</v>
      </c>
      <c r="EI385">
        <v>4</v>
      </c>
      <c r="EJ385">
        <v>2</v>
      </c>
      <c r="EK385">
        <v>4</v>
      </c>
      <c r="EL385">
        <v>0</v>
      </c>
      <c r="EM385">
        <v>3</v>
      </c>
      <c r="EN385">
        <v>5</v>
      </c>
      <c r="EO385">
        <v>1</v>
      </c>
      <c r="EP385">
        <v>2</v>
      </c>
      <c r="EQ385">
        <v>3</v>
      </c>
      <c r="ER385">
        <v>31</v>
      </c>
      <c r="ES385">
        <v>2</v>
      </c>
      <c r="ET385">
        <v>5</v>
      </c>
      <c r="EU385">
        <v>3</v>
      </c>
      <c r="EW385">
        <v>3</v>
      </c>
      <c r="EX385">
        <v>24</v>
      </c>
      <c r="EY385">
        <v>8</v>
      </c>
      <c r="EZ385">
        <v>19</v>
      </c>
      <c r="FA385">
        <v>20</v>
      </c>
      <c r="FB385">
        <v>27</v>
      </c>
      <c r="FC385">
        <v>24</v>
      </c>
      <c r="FD385">
        <v>18</v>
      </c>
      <c r="FE385">
        <v>15</v>
      </c>
      <c r="FF385">
        <v>50</v>
      </c>
      <c r="FG385">
        <v>11</v>
      </c>
      <c r="FH385">
        <v>5</v>
      </c>
      <c r="FI385">
        <v>8</v>
      </c>
      <c r="FJ385">
        <v>6</v>
      </c>
      <c r="FK385">
        <v>22</v>
      </c>
      <c r="FL385">
        <v>2</v>
      </c>
      <c r="FM385">
        <v>3</v>
      </c>
      <c r="FN385">
        <v>1</v>
      </c>
      <c r="FO385">
        <v>1</v>
      </c>
      <c r="FP385">
        <v>7</v>
      </c>
      <c r="FQ385">
        <v>4</v>
      </c>
      <c r="FR385">
        <v>1</v>
      </c>
      <c r="FS385">
        <v>2</v>
      </c>
      <c r="FT385">
        <v>2</v>
      </c>
      <c r="FU385">
        <v>4</v>
      </c>
      <c r="FV385">
        <v>8</v>
      </c>
      <c r="FW385">
        <v>3</v>
      </c>
      <c r="FX385">
        <v>20</v>
      </c>
      <c r="FY385">
        <v>13</v>
      </c>
      <c r="FZ385">
        <v>3</v>
      </c>
      <c r="GA385">
        <v>3</v>
      </c>
      <c r="GB385">
        <v>3</v>
      </c>
      <c r="GC385">
        <v>3</v>
      </c>
      <c r="GD385">
        <v>4</v>
      </c>
      <c r="GE385">
        <v>0</v>
      </c>
      <c r="GF385">
        <v>2</v>
      </c>
      <c r="GG385">
        <v>7</v>
      </c>
      <c r="GH385">
        <v>13</v>
      </c>
      <c r="GI385">
        <v>11</v>
      </c>
      <c r="GJ385">
        <v>12</v>
      </c>
      <c r="GK385">
        <v>7</v>
      </c>
      <c r="GL385">
        <v>5</v>
      </c>
      <c r="GM385">
        <v>1</v>
      </c>
      <c r="GN385">
        <v>3</v>
      </c>
      <c r="GO385">
        <v>3</v>
      </c>
      <c r="GP385">
        <v>21</v>
      </c>
      <c r="GQ385">
        <v>15</v>
      </c>
      <c r="GR385">
        <v>17</v>
      </c>
      <c r="GS385">
        <v>13</v>
      </c>
      <c r="GT385">
        <v>12</v>
      </c>
      <c r="GU385">
        <v>25</v>
      </c>
      <c r="GV385">
        <v>8</v>
      </c>
      <c r="GW385">
        <v>25</v>
      </c>
      <c r="GX385">
        <v>60</v>
      </c>
      <c r="GY385">
        <v>8</v>
      </c>
      <c r="GZ385">
        <v>30</v>
      </c>
      <c r="HA385">
        <v>13</v>
      </c>
      <c r="HB385">
        <v>20</v>
      </c>
      <c r="HC385">
        <v>3</v>
      </c>
      <c r="HD385">
        <v>3</v>
      </c>
      <c r="HE385">
        <v>10</v>
      </c>
      <c r="HF385">
        <v>16</v>
      </c>
      <c r="HG385">
        <v>22</v>
      </c>
      <c r="HH385">
        <v>7</v>
      </c>
      <c r="HI385">
        <v>6</v>
      </c>
      <c r="HJ385">
        <v>3</v>
      </c>
      <c r="HK385">
        <v>17</v>
      </c>
      <c r="HL385">
        <v>2</v>
      </c>
      <c r="HM385">
        <v>8</v>
      </c>
      <c r="HN385">
        <v>4</v>
      </c>
      <c r="HO385">
        <v>2</v>
      </c>
      <c r="HP385">
        <v>1</v>
      </c>
      <c r="HQ385">
        <v>3</v>
      </c>
      <c r="HR385">
        <v>0</v>
      </c>
      <c r="HS385">
        <v>0</v>
      </c>
      <c r="HT385">
        <v>19</v>
      </c>
      <c r="HU385">
        <v>36</v>
      </c>
      <c r="HV385">
        <v>69</v>
      </c>
      <c r="HW385">
        <v>75</v>
      </c>
      <c r="HX385">
        <v>14</v>
      </c>
      <c r="HY385">
        <v>3</v>
      </c>
      <c r="HZ385">
        <v>7</v>
      </c>
      <c r="IA385">
        <v>3</v>
      </c>
      <c r="IB385">
        <v>71</v>
      </c>
      <c r="IC385">
        <v>2</v>
      </c>
      <c r="ID385">
        <v>85</v>
      </c>
      <c r="IE385">
        <v>17</v>
      </c>
      <c r="IF385">
        <v>8</v>
      </c>
      <c r="IG385">
        <v>20</v>
      </c>
      <c r="IH385">
        <v>30</v>
      </c>
      <c r="II385">
        <v>17</v>
      </c>
      <c r="IJ385">
        <v>7</v>
      </c>
      <c r="IK385">
        <v>47</v>
      </c>
      <c r="IL385">
        <v>114</v>
      </c>
      <c r="IM385">
        <v>83</v>
      </c>
      <c r="IN385">
        <v>10</v>
      </c>
      <c r="IO385">
        <v>7</v>
      </c>
      <c r="IP385">
        <v>35</v>
      </c>
      <c r="IQ385">
        <v>3</v>
      </c>
      <c r="IR385">
        <v>19</v>
      </c>
      <c r="IS385">
        <v>19</v>
      </c>
      <c r="IT385">
        <v>6</v>
      </c>
      <c r="IU385">
        <v>7</v>
      </c>
      <c r="IV385">
        <v>5</v>
      </c>
      <c r="IW385">
        <v>17</v>
      </c>
      <c r="IX385">
        <v>9</v>
      </c>
      <c r="IY385">
        <v>1</v>
      </c>
      <c r="IZ385">
        <v>28</v>
      </c>
      <c r="JA385">
        <v>28</v>
      </c>
      <c r="JB385">
        <v>16</v>
      </c>
      <c r="JC385">
        <v>2</v>
      </c>
      <c r="JD385">
        <v>7</v>
      </c>
      <c r="JE385">
        <v>5</v>
      </c>
      <c r="JF385">
        <v>11</v>
      </c>
      <c r="JG385">
        <v>73</v>
      </c>
      <c r="JH385">
        <v>16</v>
      </c>
      <c r="JI385">
        <v>3</v>
      </c>
      <c r="JJ385">
        <v>10</v>
      </c>
      <c r="JK385">
        <v>151</v>
      </c>
      <c r="JL385">
        <v>30</v>
      </c>
      <c r="JM385">
        <v>143</v>
      </c>
      <c r="JN385">
        <v>245</v>
      </c>
      <c r="JO385">
        <v>458</v>
      </c>
      <c r="JP385">
        <v>73</v>
      </c>
      <c r="JQ385">
        <v>424</v>
      </c>
      <c r="JR385">
        <v>137</v>
      </c>
      <c r="JS385">
        <v>805</v>
      </c>
      <c r="JT385">
        <v>66</v>
      </c>
      <c r="JV385">
        <v>211</v>
      </c>
      <c r="JW385">
        <v>333</v>
      </c>
      <c r="JX385">
        <v>337</v>
      </c>
      <c r="JY385">
        <v>185</v>
      </c>
      <c r="JZ385">
        <v>74</v>
      </c>
      <c r="KA385">
        <v>278</v>
      </c>
      <c r="KB385">
        <v>41</v>
      </c>
      <c r="KC385">
        <v>141</v>
      </c>
      <c r="KD385">
        <v>92</v>
      </c>
      <c r="KF385">
        <v>7</v>
      </c>
      <c r="KH385">
        <v>4538</v>
      </c>
      <c r="KI385">
        <v>537</v>
      </c>
      <c r="KJ385">
        <v>98</v>
      </c>
      <c r="KK385">
        <v>431</v>
      </c>
      <c r="KL385">
        <v>0</v>
      </c>
      <c r="KM385">
        <v>145</v>
      </c>
      <c r="KN385">
        <v>14</v>
      </c>
      <c r="KO385">
        <v>12</v>
      </c>
      <c r="KP385">
        <v>13</v>
      </c>
      <c r="KQ385">
        <v>3</v>
      </c>
      <c r="KR385">
        <v>195</v>
      </c>
      <c r="KS385">
        <v>44</v>
      </c>
      <c r="KT385">
        <v>1</v>
      </c>
      <c r="KU385">
        <v>14</v>
      </c>
      <c r="KV385">
        <v>19</v>
      </c>
      <c r="KW385">
        <v>323</v>
      </c>
      <c r="KX385">
        <v>26</v>
      </c>
      <c r="KY385">
        <v>40</v>
      </c>
      <c r="KZ385">
        <v>195</v>
      </c>
      <c r="LA385">
        <v>173</v>
      </c>
      <c r="LB385">
        <v>0</v>
      </c>
      <c r="LC385">
        <v>114</v>
      </c>
      <c r="LD385">
        <v>630</v>
      </c>
      <c r="LE385">
        <v>258</v>
      </c>
      <c r="LF385">
        <v>56</v>
      </c>
      <c r="LG385">
        <v>3</v>
      </c>
      <c r="LH385">
        <v>569</v>
      </c>
      <c r="LI385">
        <v>6</v>
      </c>
      <c r="LJ385">
        <v>23</v>
      </c>
      <c r="LL385">
        <v>0</v>
      </c>
      <c r="LM385">
        <v>1633</v>
      </c>
      <c r="LN385">
        <v>890</v>
      </c>
      <c r="LO385">
        <v>409</v>
      </c>
      <c r="LP385">
        <v>35</v>
      </c>
      <c r="LQ385">
        <v>29</v>
      </c>
      <c r="LR385">
        <v>125</v>
      </c>
      <c r="LS385">
        <v>62</v>
      </c>
      <c r="LT385">
        <v>79</v>
      </c>
      <c r="LU385">
        <v>24</v>
      </c>
      <c r="LV385">
        <v>52</v>
      </c>
      <c r="LW385">
        <v>170</v>
      </c>
      <c r="LX385">
        <v>32</v>
      </c>
      <c r="LY385">
        <v>39</v>
      </c>
      <c r="LZ385">
        <v>72</v>
      </c>
      <c r="MA385">
        <v>54</v>
      </c>
      <c r="MB385">
        <v>9</v>
      </c>
      <c r="MC385">
        <v>5</v>
      </c>
      <c r="MD385">
        <v>13</v>
      </c>
      <c r="ME385">
        <v>51</v>
      </c>
      <c r="MF385">
        <v>954</v>
      </c>
      <c r="MG385">
        <v>63</v>
      </c>
      <c r="MH385">
        <v>976</v>
      </c>
      <c r="MI385">
        <v>118</v>
      </c>
      <c r="MJ385">
        <v>46</v>
      </c>
      <c r="MK385">
        <v>63</v>
      </c>
      <c r="ML385">
        <v>44</v>
      </c>
      <c r="MM385">
        <v>60</v>
      </c>
      <c r="MN385">
        <v>48</v>
      </c>
      <c r="MO385">
        <v>706</v>
      </c>
      <c r="MP385">
        <v>1</v>
      </c>
      <c r="MQ385">
        <v>58</v>
      </c>
      <c r="MR385">
        <v>61</v>
      </c>
      <c r="MS385">
        <v>268</v>
      </c>
      <c r="MT385">
        <v>29</v>
      </c>
      <c r="MU385">
        <v>30</v>
      </c>
      <c r="MV385">
        <v>117</v>
      </c>
      <c r="MW385">
        <v>110</v>
      </c>
      <c r="MX385">
        <v>22</v>
      </c>
      <c r="MY385">
        <v>68</v>
      </c>
      <c r="MZ385">
        <v>1351</v>
      </c>
      <c r="NA385">
        <v>88</v>
      </c>
      <c r="NB385">
        <v>23</v>
      </c>
      <c r="NC385">
        <v>22</v>
      </c>
      <c r="ND385">
        <v>19</v>
      </c>
      <c r="NE385">
        <v>15</v>
      </c>
      <c r="NF385">
        <v>10</v>
      </c>
      <c r="NG385">
        <v>8</v>
      </c>
      <c r="NH385">
        <v>4</v>
      </c>
      <c r="NI385">
        <v>15</v>
      </c>
      <c r="NJ385">
        <v>11</v>
      </c>
      <c r="NK385">
        <v>20</v>
      </c>
      <c r="NL385">
        <v>16</v>
      </c>
      <c r="NM385">
        <v>84</v>
      </c>
      <c r="NN385">
        <v>337</v>
      </c>
      <c r="NO385">
        <v>461</v>
      </c>
      <c r="NP385">
        <v>593</v>
      </c>
      <c r="NQ385">
        <v>83</v>
      </c>
      <c r="NR385">
        <v>115</v>
      </c>
      <c r="NS385">
        <v>21</v>
      </c>
      <c r="NT385">
        <v>51</v>
      </c>
      <c r="NU385">
        <v>19</v>
      </c>
      <c r="NV385">
        <v>46</v>
      </c>
      <c r="NW385">
        <v>3</v>
      </c>
      <c r="NX385">
        <v>19</v>
      </c>
      <c r="NY385">
        <v>64</v>
      </c>
      <c r="OA385">
        <v>12</v>
      </c>
      <c r="OB385">
        <v>45</v>
      </c>
      <c r="OD385">
        <v>0</v>
      </c>
      <c r="OE385">
        <v>52</v>
      </c>
      <c r="OF385">
        <v>5</v>
      </c>
      <c r="OI385">
        <v>827</v>
      </c>
      <c r="OJ385">
        <v>29</v>
      </c>
      <c r="OK385">
        <v>448</v>
      </c>
      <c r="OL385">
        <v>11</v>
      </c>
      <c r="ON385">
        <v>13</v>
      </c>
      <c r="OO385">
        <v>29356</v>
      </c>
      <c r="OP385">
        <v>164881</v>
      </c>
      <c r="OV385">
        <v>49</v>
      </c>
      <c r="PI385">
        <v>194285</v>
      </c>
      <c r="PM385" t="str">
        <f>IFERROR(VLOOKUP($A385&amp;"",Key!$A:$C,3,FALSE),"")</f>
        <v>ISIC 45T47</v>
      </c>
    </row>
    <row r="386" spans="1:429" x14ac:dyDescent="0.25">
      <c r="A386">
        <v>811200</v>
      </c>
      <c r="B386" t="s">
        <v>521</v>
      </c>
      <c r="C386">
        <v>17</v>
      </c>
      <c r="D386">
        <v>39</v>
      </c>
      <c r="E386">
        <v>5</v>
      </c>
      <c r="F386">
        <v>4</v>
      </c>
      <c r="G386">
        <v>4</v>
      </c>
      <c r="H386">
        <v>12</v>
      </c>
      <c r="I386">
        <v>33</v>
      </c>
      <c r="K386">
        <v>5</v>
      </c>
      <c r="L386">
        <v>12</v>
      </c>
      <c r="M386">
        <v>5</v>
      </c>
      <c r="P386">
        <v>9</v>
      </c>
      <c r="Q386">
        <v>7</v>
      </c>
      <c r="R386">
        <v>3</v>
      </c>
      <c r="S386">
        <v>4</v>
      </c>
      <c r="T386">
        <v>6</v>
      </c>
      <c r="U386">
        <v>12</v>
      </c>
      <c r="V386">
        <v>100</v>
      </c>
      <c r="W386">
        <v>180</v>
      </c>
      <c r="X386">
        <v>131</v>
      </c>
      <c r="Y386">
        <v>169</v>
      </c>
      <c r="Z386">
        <v>108</v>
      </c>
      <c r="AA386">
        <v>7</v>
      </c>
      <c r="AB386">
        <v>4</v>
      </c>
      <c r="AC386">
        <v>176</v>
      </c>
      <c r="AD386">
        <v>36</v>
      </c>
      <c r="AE386">
        <v>57</v>
      </c>
      <c r="AF386">
        <v>26</v>
      </c>
      <c r="AG386">
        <v>132</v>
      </c>
      <c r="AH386">
        <v>28</v>
      </c>
      <c r="AI386">
        <v>74</v>
      </c>
      <c r="AJ386">
        <v>87</v>
      </c>
      <c r="AK386">
        <v>83</v>
      </c>
      <c r="AL386">
        <v>190</v>
      </c>
      <c r="AM386">
        <v>20</v>
      </c>
      <c r="AN386">
        <v>11</v>
      </c>
      <c r="AO386">
        <v>14</v>
      </c>
      <c r="AP386">
        <v>15</v>
      </c>
      <c r="AQ386">
        <v>8</v>
      </c>
      <c r="AR386">
        <v>26</v>
      </c>
      <c r="AS386">
        <v>9</v>
      </c>
      <c r="AT386">
        <v>35</v>
      </c>
      <c r="AU386">
        <v>5</v>
      </c>
      <c r="AV386">
        <v>13</v>
      </c>
      <c r="AW386">
        <v>3</v>
      </c>
      <c r="AX386">
        <v>1</v>
      </c>
      <c r="AY386">
        <v>3</v>
      </c>
      <c r="AZ386">
        <v>3</v>
      </c>
      <c r="BA386">
        <v>4</v>
      </c>
      <c r="BB386">
        <v>3</v>
      </c>
      <c r="BC386">
        <v>57</v>
      </c>
      <c r="BD386">
        <v>10</v>
      </c>
      <c r="BE386">
        <v>2</v>
      </c>
      <c r="BF386">
        <v>1</v>
      </c>
      <c r="BG386">
        <v>9</v>
      </c>
      <c r="BH386">
        <v>3</v>
      </c>
      <c r="BI386">
        <v>4</v>
      </c>
      <c r="BJ386">
        <v>4</v>
      </c>
      <c r="BK386">
        <v>23</v>
      </c>
      <c r="BL386">
        <v>9</v>
      </c>
      <c r="BM386">
        <v>7</v>
      </c>
      <c r="BN386">
        <v>14</v>
      </c>
      <c r="BO386">
        <v>13</v>
      </c>
      <c r="BP386">
        <v>11</v>
      </c>
      <c r="BQ386">
        <v>32</v>
      </c>
      <c r="BR386">
        <v>30</v>
      </c>
      <c r="BS386">
        <v>4</v>
      </c>
      <c r="BT386">
        <v>4</v>
      </c>
      <c r="BU386">
        <v>6</v>
      </c>
      <c r="BV386">
        <v>10</v>
      </c>
      <c r="BW386">
        <v>9</v>
      </c>
      <c r="BX386">
        <v>36</v>
      </c>
      <c r="BY386">
        <v>32</v>
      </c>
      <c r="BZ386">
        <v>27</v>
      </c>
      <c r="CA386">
        <v>10</v>
      </c>
      <c r="CB386">
        <v>17</v>
      </c>
      <c r="CC386">
        <v>6</v>
      </c>
      <c r="CD386">
        <v>3</v>
      </c>
      <c r="CE386">
        <v>5</v>
      </c>
      <c r="CF386">
        <v>12</v>
      </c>
      <c r="CG386">
        <v>10</v>
      </c>
      <c r="CH386">
        <v>1</v>
      </c>
      <c r="CI386">
        <v>12</v>
      </c>
      <c r="CJ386">
        <v>11</v>
      </c>
      <c r="CK386">
        <v>3</v>
      </c>
      <c r="CL386">
        <v>18</v>
      </c>
      <c r="CM386">
        <v>3</v>
      </c>
      <c r="CN386">
        <v>0</v>
      </c>
      <c r="CO386">
        <v>11</v>
      </c>
      <c r="CP386">
        <v>1</v>
      </c>
      <c r="CQ386">
        <v>13</v>
      </c>
      <c r="CR386">
        <v>2</v>
      </c>
      <c r="CS386">
        <v>7</v>
      </c>
      <c r="CT386">
        <v>7</v>
      </c>
      <c r="CU386">
        <v>2</v>
      </c>
      <c r="CV386">
        <v>6</v>
      </c>
      <c r="CW386">
        <v>6</v>
      </c>
      <c r="CX386">
        <v>1</v>
      </c>
      <c r="CY386">
        <v>2</v>
      </c>
      <c r="CZ386">
        <v>11</v>
      </c>
      <c r="DA386">
        <v>1</v>
      </c>
      <c r="DB386">
        <v>8</v>
      </c>
      <c r="DC386">
        <v>12</v>
      </c>
      <c r="DD386">
        <v>1</v>
      </c>
      <c r="DE386">
        <v>4</v>
      </c>
      <c r="DF386">
        <v>1</v>
      </c>
      <c r="DG386">
        <v>13</v>
      </c>
      <c r="DH386">
        <v>4</v>
      </c>
      <c r="DI386">
        <v>0</v>
      </c>
      <c r="DJ386">
        <v>0</v>
      </c>
      <c r="DK386">
        <v>0</v>
      </c>
      <c r="DL386">
        <v>1</v>
      </c>
      <c r="DM386">
        <v>3</v>
      </c>
      <c r="DN386">
        <v>0</v>
      </c>
      <c r="DO386">
        <v>27</v>
      </c>
      <c r="DP386">
        <v>3</v>
      </c>
      <c r="DQ386">
        <v>5</v>
      </c>
      <c r="DR386">
        <v>8</v>
      </c>
      <c r="DS386">
        <v>12</v>
      </c>
      <c r="DU386">
        <v>1</v>
      </c>
      <c r="DV386">
        <v>7</v>
      </c>
      <c r="DW386">
        <v>12</v>
      </c>
      <c r="DX386">
        <v>3</v>
      </c>
      <c r="DY386">
        <v>1</v>
      </c>
      <c r="DZ386">
        <v>2</v>
      </c>
      <c r="EA386">
        <v>0</v>
      </c>
      <c r="EB386">
        <v>0</v>
      </c>
      <c r="ED386">
        <v>2</v>
      </c>
      <c r="EG386">
        <v>1</v>
      </c>
      <c r="EH386">
        <v>1</v>
      </c>
      <c r="EI386">
        <v>1</v>
      </c>
      <c r="EJ386">
        <v>1</v>
      </c>
      <c r="EK386">
        <v>2</v>
      </c>
      <c r="EL386">
        <v>0</v>
      </c>
      <c r="EM386">
        <v>1</v>
      </c>
      <c r="EN386">
        <v>2</v>
      </c>
      <c r="EO386">
        <v>0</v>
      </c>
      <c r="EP386">
        <v>1</v>
      </c>
      <c r="EQ386">
        <v>2</v>
      </c>
      <c r="ER386">
        <v>21</v>
      </c>
      <c r="ES386">
        <v>1</v>
      </c>
      <c r="ET386">
        <v>2</v>
      </c>
      <c r="EU386">
        <v>1</v>
      </c>
      <c r="EW386">
        <v>1</v>
      </c>
      <c r="EX386">
        <v>17</v>
      </c>
      <c r="EY386">
        <v>8</v>
      </c>
      <c r="EZ386">
        <v>14</v>
      </c>
      <c r="FA386">
        <v>9</v>
      </c>
      <c r="FB386">
        <v>15</v>
      </c>
      <c r="FC386">
        <v>14</v>
      </c>
      <c r="FD386">
        <v>8</v>
      </c>
      <c r="FE386">
        <v>13</v>
      </c>
      <c r="FF386">
        <v>32</v>
      </c>
      <c r="FG386">
        <v>9</v>
      </c>
      <c r="FH386">
        <v>13</v>
      </c>
      <c r="FI386">
        <v>2</v>
      </c>
      <c r="FJ386">
        <v>3</v>
      </c>
      <c r="FK386">
        <v>14</v>
      </c>
      <c r="FM386">
        <v>1</v>
      </c>
      <c r="FP386">
        <v>11</v>
      </c>
      <c r="FQ386">
        <v>2</v>
      </c>
      <c r="FR386">
        <v>5</v>
      </c>
      <c r="FS386">
        <v>1</v>
      </c>
      <c r="FT386">
        <v>0</v>
      </c>
      <c r="FU386">
        <v>2</v>
      </c>
      <c r="FV386">
        <v>4</v>
      </c>
      <c r="FW386">
        <v>2</v>
      </c>
      <c r="FX386">
        <v>27</v>
      </c>
      <c r="FY386">
        <v>25</v>
      </c>
      <c r="FZ386">
        <v>5</v>
      </c>
      <c r="GA386">
        <v>1</v>
      </c>
      <c r="GB386">
        <v>9</v>
      </c>
      <c r="GC386">
        <v>5</v>
      </c>
      <c r="GD386">
        <v>10</v>
      </c>
      <c r="GE386">
        <v>1</v>
      </c>
      <c r="GF386">
        <v>0</v>
      </c>
      <c r="GG386">
        <v>13</v>
      </c>
      <c r="GH386">
        <v>19</v>
      </c>
      <c r="GI386">
        <v>5</v>
      </c>
      <c r="GJ386">
        <v>5</v>
      </c>
      <c r="GK386">
        <v>3</v>
      </c>
      <c r="GL386">
        <v>2</v>
      </c>
      <c r="GM386">
        <v>0</v>
      </c>
      <c r="GN386">
        <v>1</v>
      </c>
      <c r="GO386">
        <v>1</v>
      </c>
      <c r="GP386">
        <v>8</v>
      </c>
      <c r="GQ386">
        <v>7</v>
      </c>
      <c r="GR386">
        <v>13</v>
      </c>
      <c r="GS386">
        <v>5</v>
      </c>
      <c r="GT386">
        <v>5</v>
      </c>
      <c r="GU386">
        <v>11</v>
      </c>
      <c r="GV386">
        <v>3</v>
      </c>
      <c r="GW386">
        <v>16</v>
      </c>
      <c r="GX386">
        <v>36</v>
      </c>
      <c r="GY386">
        <v>5</v>
      </c>
      <c r="GZ386">
        <v>21</v>
      </c>
      <c r="HA386">
        <v>5</v>
      </c>
      <c r="HB386">
        <v>9</v>
      </c>
      <c r="HC386">
        <v>1</v>
      </c>
      <c r="HD386">
        <v>1</v>
      </c>
      <c r="HE386">
        <v>4</v>
      </c>
      <c r="HF386">
        <v>6</v>
      </c>
      <c r="HG386">
        <v>9</v>
      </c>
      <c r="HH386">
        <v>4</v>
      </c>
      <c r="HI386">
        <v>3</v>
      </c>
      <c r="HK386">
        <v>5</v>
      </c>
      <c r="HL386">
        <v>1</v>
      </c>
      <c r="HM386">
        <v>3</v>
      </c>
      <c r="HN386">
        <v>4</v>
      </c>
      <c r="HO386">
        <v>1</v>
      </c>
      <c r="HP386">
        <v>2</v>
      </c>
      <c r="HQ386">
        <v>0</v>
      </c>
      <c r="HR386">
        <v>3</v>
      </c>
      <c r="HT386">
        <v>8</v>
      </c>
      <c r="HU386">
        <v>34</v>
      </c>
      <c r="HV386">
        <v>39</v>
      </c>
      <c r="HW386">
        <v>31</v>
      </c>
      <c r="HX386">
        <v>17</v>
      </c>
      <c r="HY386">
        <v>5</v>
      </c>
      <c r="HZ386">
        <v>6</v>
      </c>
      <c r="IA386">
        <v>4</v>
      </c>
      <c r="IB386">
        <v>50</v>
      </c>
      <c r="IC386">
        <v>2</v>
      </c>
      <c r="ID386">
        <v>55</v>
      </c>
      <c r="IE386">
        <v>16</v>
      </c>
      <c r="IF386">
        <v>8</v>
      </c>
      <c r="IG386">
        <v>14</v>
      </c>
      <c r="IH386">
        <v>25</v>
      </c>
      <c r="II386">
        <v>7</v>
      </c>
      <c r="IJ386">
        <v>3</v>
      </c>
      <c r="IK386">
        <v>30</v>
      </c>
      <c r="IL386">
        <v>70</v>
      </c>
      <c r="IM386">
        <v>46</v>
      </c>
      <c r="IN386">
        <v>4</v>
      </c>
      <c r="IO386">
        <v>3</v>
      </c>
      <c r="IP386">
        <v>24</v>
      </c>
      <c r="IQ386">
        <v>2</v>
      </c>
      <c r="IR386">
        <v>8</v>
      </c>
      <c r="IS386">
        <v>8</v>
      </c>
      <c r="IT386">
        <v>2</v>
      </c>
      <c r="IU386">
        <v>6</v>
      </c>
      <c r="IV386">
        <v>2</v>
      </c>
      <c r="IW386">
        <v>11</v>
      </c>
      <c r="IX386">
        <v>7</v>
      </c>
      <c r="IY386">
        <v>0</v>
      </c>
      <c r="IZ386">
        <v>17</v>
      </c>
      <c r="JA386">
        <v>17</v>
      </c>
      <c r="JB386">
        <v>6</v>
      </c>
      <c r="JD386">
        <v>3</v>
      </c>
      <c r="JE386">
        <v>2</v>
      </c>
      <c r="JF386">
        <v>5</v>
      </c>
      <c r="JG386">
        <v>77</v>
      </c>
      <c r="JH386">
        <v>14</v>
      </c>
      <c r="JI386">
        <v>1</v>
      </c>
      <c r="JJ386">
        <v>14</v>
      </c>
      <c r="JK386">
        <v>159</v>
      </c>
      <c r="JL386">
        <v>351</v>
      </c>
      <c r="JM386">
        <v>190</v>
      </c>
      <c r="JN386">
        <v>232</v>
      </c>
      <c r="JO386">
        <v>642</v>
      </c>
      <c r="JP386">
        <v>92</v>
      </c>
      <c r="JQ386">
        <v>386</v>
      </c>
      <c r="JR386">
        <v>184</v>
      </c>
      <c r="JS386">
        <v>650</v>
      </c>
      <c r="JT386">
        <v>100</v>
      </c>
      <c r="JV386">
        <v>586</v>
      </c>
      <c r="JW386">
        <v>400</v>
      </c>
      <c r="JX386">
        <v>359</v>
      </c>
      <c r="JY386">
        <v>198</v>
      </c>
      <c r="JZ386">
        <v>84</v>
      </c>
      <c r="KA386">
        <v>301</v>
      </c>
      <c r="KB386">
        <v>68</v>
      </c>
      <c r="KC386">
        <v>308</v>
      </c>
      <c r="KD386">
        <v>125</v>
      </c>
      <c r="KE386">
        <v>326</v>
      </c>
      <c r="KF386">
        <v>24</v>
      </c>
      <c r="KG386">
        <v>9</v>
      </c>
      <c r="KH386">
        <v>330</v>
      </c>
      <c r="KI386">
        <v>213</v>
      </c>
      <c r="KJ386">
        <v>11</v>
      </c>
      <c r="KK386">
        <v>388</v>
      </c>
      <c r="KL386">
        <v>31</v>
      </c>
      <c r="KM386">
        <v>209</v>
      </c>
      <c r="KN386">
        <v>18</v>
      </c>
      <c r="KO386">
        <v>13</v>
      </c>
      <c r="KP386">
        <v>17</v>
      </c>
      <c r="KQ386">
        <v>5</v>
      </c>
      <c r="KR386">
        <v>261</v>
      </c>
      <c r="KS386">
        <v>59</v>
      </c>
      <c r="KT386">
        <v>1</v>
      </c>
      <c r="KU386">
        <v>14</v>
      </c>
      <c r="KV386">
        <v>32</v>
      </c>
      <c r="KW386">
        <v>415</v>
      </c>
      <c r="KX386">
        <v>284</v>
      </c>
      <c r="KY386">
        <v>51</v>
      </c>
      <c r="KZ386">
        <v>224</v>
      </c>
      <c r="LA386">
        <v>179</v>
      </c>
      <c r="LB386">
        <v>0</v>
      </c>
      <c r="LC386">
        <v>230</v>
      </c>
      <c r="LD386">
        <v>395</v>
      </c>
      <c r="LE386">
        <v>271</v>
      </c>
      <c r="LF386">
        <v>59</v>
      </c>
      <c r="LH386">
        <v>537</v>
      </c>
      <c r="LI386">
        <v>6</v>
      </c>
      <c r="LJ386">
        <v>15</v>
      </c>
      <c r="LL386">
        <v>0</v>
      </c>
      <c r="LM386">
        <v>181</v>
      </c>
      <c r="LN386">
        <v>1126</v>
      </c>
      <c r="LO386">
        <v>507</v>
      </c>
      <c r="LP386">
        <v>74</v>
      </c>
      <c r="LQ386">
        <v>40</v>
      </c>
      <c r="LR386">
        <v>177</v>
      </c>
      <c r="LS386">
        <v>90</v>
      </c>
      <c r="LT386">
        <v>287</v>
      </c>
      <c r="LU386">
        <v>58</v>
      </c>
      <c r="LV386">
        <v>75</v>
      </c>
      <c r="LW386">
        <v>251</v>
      </c>
      <c r="LX386">
        <v>42</v>
      </c>
      <c r="LY386">
        <v>341</v>
      </c>
      <c r="LZ386">
        <v>386</v>
      </c>
      <c r="MA386">
        <v>73</v>
      </c>
      <c r="MB386">
        <v>21</v>
      </c>
      <c r="MC386">
        <v>6</v>
      </c>
      <c r="MD386">
        <v>18</v>
      </c>
      <c r="ME386">
        <v>74</v>
      </c>
      <c r="MF386">
        <v>1208</v>
      </c>
      <c r="MG386">
        <v>179</v>
      </c>
      <c r="MH386">
        <v>992</v>
      </c>
      <c r="MI386">
        <v>204</v>
      </c>
      <c r="MJ386">
        <v>80</v>
      </c>
      <c r="MK386">
        <v>99</v>
      </c>
      <c r="ML386">
        <v>69</v>
      </c>
      <c r="MM386">
        <v>398</v>
      </c>
      <c r="MN386">
        <v>71</v>
      </c>
      <c r="MO386">
        <v>852</v>
      </c>
      <c r="MP386">
        <v>168</v>
      </c>
      <c r="MQ386">
        <v>831</v>
      </c>
      <c r="MR386">
        <v>49</v>
      </c>
      <c r="MS386">
        <v>522</v>
      </c>
      <c r="MT386">
        <v>326</v>
      </c>
      <c r="MU386">
        <v>46</v>
      </c>
      <c r="MV386">
        <v>198</v>
      </c>
      <c r="MW386">
        <v>145</v>
      </c>
      <c r="MX386">
        <v>50</v>
      </c>
      <c r="MY386">
        <v>111</v>
      </c>
      <c r="MZ386">
        <v>2090</v>
      </c>
      <c r="NA386">
        <v>171</v>
      </c>
      <c r="NB386">
        <v>41</v>
      </c>
      <c r="NC386">
        <v>38</v>
      </c>
      <c r="ND386">
        <v>44</v>
      </c>
      <c r="NE386">
        <v>22</v>
      </c>
      <c r="NF386">
        <v>31</v>
      </c>
      <c r="NG386">
        <v>27</v>
      </c>
      <c r="NH386">
        <v>39</v>
      </c>
      <c r="NI386">
        <v>48</v>
      </c>
      <c r="NJ386">
        <v>35</v>
      </c>
      <c r="NK386">
        <v>48</v>
      </c>
      <c r="NL386">
        <v>122</v>
      </c>
      <c r="NM386">
        <v>242</v>
      </c>
      <c r="NN386">
        <v>326</v>
      </c>
      <c r="NO386">
        <v>807</v>
      </c>
      <c r="NP386">
        <v>941</v>
      </c>
      <c r="NQ386">
        <v>146</v>
      </c>
      <c r="NR386">
        <v>302</v>
      </c>
      <c r="NS386">
        <v>36</v>
      </c>
      <c r="NT386">
        <v>143</v>
      </c>
      <c r="NU386">
        <v>51</v>
      </c>
      <c r="NV386">
        <v>165</v>
      </c>
      <c r="NW386">
        <v>5</v>
      </c>
      <c r="NX386">
        <v>245</v>
      </c>
      <c r="NY386">
        <v>139</v>
      </c>
      <c r="NZ386">
        <v>4</v>
      </c>
      <c r="OA386">
        <v>19</v>
      </c>
      <c r="OB386">
        <v>102</v>
      </c>
      <c r="OD386">
        <v>7089</v>
      </c>
      <c r="OE386">
        <v>197</v>
      </c>
      <c r="OF386">
        <v>4</v>
      </c>
      <c r="OG386">
        <v>25</v>
      </c>
      <c r="OH386">
        <v>387</v>
      </c>
      <c r="OI386">
        <v>3180</v>
      </c>
      <c r="OJ386">
        <v>1596</v>
      </c>
      <c r="OK386">
        <v>3005</v>
      </c>
      <c r="OL386">
        <v>7</v>
      </c>
      <c r="ON386">
        <v>62</v>
      </c>
      <c r="OO386">
        <v>46322</v>
      </c>
      <c r="OP386">
        <v>4114</v>
      </c>
      <c r="OV386">
        <v>4</v>
      </c>
      <c r="PI386">
        <v>50441</v>
      </c>
      <c r="PM386" t="str">
        <f>IFERROR(VLOOKUP($A386&amp;"",Key!$A:$C,3,FALSE),"")</f>
        <v>ISIC 94T96</v>
      </c>
    </row>
    <row r="387" spans="1:429" x14ac:dyDescent="0.25">
      <c r="A387">
        <v>811300</v>
      </c>
      <c r="B387" t="s">
        <v>522</v>
      </c>
      <c r="C387">
        <v>2</v>
      </c>
      <c r="D387">
        <v>5</v>
      </c>
      <c r="E387">
        <v>1</v>
      </c>
      <c r="F387">
        <v>1</v>
      </c>
      <c r="G387">
        <v>8</v>
      </c>
      <c r="H387">
        <v>1</v>
      </c>
      <c r="I387">
        <v>4</v>
      </c>
      <c r="K387">
        <v>1</v>
      </c>
      <c r="L387">
        <v>2</v>
      </c>
      <c r="M387">
        <v>13</v>
      </c>
      <c r="P387">
        <v>1</v>
      </c>
      <c r="U387">
        <v>1</v>
      </c>
      <c r="V387">
        <v>9</v>
      </c>
      <c r="W387">
        <v>13</v>
      </c>
      <c r="X387">
        <v>201</v>
      </c>
      <c r="Z387">
        <v>41</v>
      </c>
      <c r="AA387">
        <v>10</v>
      </c>
      <c r="AB387">
        <v>8</v>
      </c>
      <c r="AC387">
        <v>387</v>
      </c>
      <c r="AD387">
        <v>85</v>
      </c>
      <c r="AE387">
        <v>146</v>
      </c>
      <c r="AF387">
        <v>57</v>
      </c>
      <c r="AG387">
        <v>291</v>
      </c>
      <c r="AH387">
        <v>73</v>
      </c>
      <c r="AI387">
        <v>141</v>
      </c>
      <c r="AJ387">
        <v>183</v>
      </c>
      <c r="AK387">
        <v>190</v>
      </c>
      <c r="AL387">
        <v>385</v>
      </c>
      <c r="AM387">
        <v>82</v>
      </c>
      <c r="AN387">
        <v>45</v>
      </c>
      <c r="AO387">
        <v>34</v>
      </c>
      <c r="AP387">
        <v>31</v>
      </c>
      <c r="AQ387">
        <v>38</v>
      </c>
      <c r="AR387">
        <v>116</v>
      </c>
      <c r="AS387">
        <v>54</v>
      </c>
      <c r="AT387">
        <v>123</v>
      </c>
      <c r="AU387">
        <v>29</v>
      </c>
      <c r="AV387">
        <v>39</v>
      </c>
      <c r="AW387">
        <v>26</v>
      </c>
      <c r="AX387">
        <v>8</v>
      </c>
      <c r="AY387">
        <v>14</v>
      </c>
      <c r="AZ387">
        <v>18</v>
      </c>
      <c r="BA387">
        <v>24</v>
      </c>
      <c r="BB387">
        <v>20</v>
      </c>
      <c r="BC387">
        <v>230</v>
      </c>
      <c r="BD387">
        <v>58</v>
      </c>
      <c r="BE387">
        <v>19</v>
      </c>
      <c r="BF387">
        <v>7</v>
      </c>
      <c r="BG387">
        <v>53</v>
      </c>
      <c r="BH387">
        <v>19</v>
      </c>
      <c r="BI387">
        <v>21</v>
      </c>
      <c r="BJ387">
        <v>27</v>
      </c>
      <c r="BK387">
        <v>65</v>
      </c>
      <c r="BL387">
        <v>51</v>
      </c>
      <c r="BM387">
        <v>27</v>
      </c>
      <c r="BN387">
        <v>52</v>
      </c>
      <c r="BO387">
        <v>28</v>
      </c>
      <c r="BP387">
        <v>27</v>
      </c>
      <c r="BQ387">
        <v>83</v>
      </c>
      <c r="BR387">
        <v>64</v>
      </c>
      <c r="BS387">
        <v>10</v>
      </c>
      <c r="BT387">
        <v>11</v>
      </c>
      <c r="BU387">
        <v>18</v>
      </c>
      <c r="BV387">
        <v>14</v>
      </c>
      <c r="BW387">
        <v>25</v>
      </c>
      <c r="BX387">
        <v>102</v>
      </c>
      <c r="BY387">
        <v>104</v>
      </c>
      <c r="BZ387">
        <v>86</v>
      </c>
      <c r="CA387">
        <v>9</v>
      </c>
      <c r="CB387">
        <v>46</v>
      </c>
      <c r="CC387">
        <v>20</v>
      </c>
      <c r="CD387">
        <v>11</v>
      </c>
      <c r="CE387">
        <v>19</v>
      </c>
      <c r="CF387">
        <v>27</v>
      </c>
      <c r="CG387">
        <v>32</v>
      </c>
      <c r="CH387">
        <v>4</v>
      </c>
      <c r="CI387">
        <v>49</v>
      </c>
      <c r="CJ387">
        <v>37</v>
      </c>
      <c r="CK387">
        <v>5</v>
      </c>
      <c r="CL387">
        <v>44</v>
      </c>
      <c r="CM387">
        <v>9</v>
      </c>
      <c r="CN387">
        <v>2</v>
      </c>
      <c r="CO387">
        <v>32</v>
      </c>
      <c r="CP387">
        <v>5</v>
      </c>
      <c r="CQ387">
        <v>33</v>
      </c>
      <c r="CR387">
        <v>9</v>
      </c>
      <c r="CS387">
        <v>20</v>
      </c>
      <c r="CT387">
        <v>17</v>
      </c>
      <c r="CU387">
        <v>12</v>
      </c>
      <c r="CV387">
        <v>24</v>
      </c>
      <c r="CW387">
        <v>20</v>
      </c>
      <c r="CX387">
        <v>8</v>
      </c>
      <c r="CY387">
        <v>16</v>
      </c>
      <c r="CZ387">
        <v>37</v>
      </c>
      <c r="DA387">
        <v>7</v>
      </c>
      <c r="DB387">
        <v>34</v>
      </c>
      <c r="DC387">
        <v>33</v>
      </c>
      <c r="DD387">
        <v>7</v>
      </c>
      <c r="DE387">
        <v>7</v>
      </c>
      <c r="DF387">
        <v>3</v>
      </c>
      <c r="DG387">
        <v>32</v>
      </c>
      <c r="DH387">
        <v>22</v>
      </c>
      <c r="DI387">
        <v>0</v>
      </c>
      <c r="DJ387">
        <v>0</v>
      </c>
      <c r="DK387">
        <v>2</v>
      </c>
      <c r="DL387">
        <v>0</v>
      </c>
      <c r="DM387">
        <v>10</v>
      </c>
      <c r="DN387">
        <v>1</v>
      </c>
      <c r="DO387">
        <v>145</v>
      </c>
      <c r="DP387">
        <v>11</v>
      </c>
      <c r="DQ387">
        <v>32</v>
      </c>
      <c r="DR387">
        <v>26</v>
      </c>
      <c r="DS387">
        <v>33</v>
      </c>
      <c r="DT387">
        <v>0</v>
      </c>
      <c r="DU387">
        <v>3</v>
      </c>
      <c r="DV387">
        <v>42</v>
      </c>
      <c r="DW387">
        <v>4</v>
      </c>
      <c r="DX387">
        <v>10</v>
      </c>
      <c r="DY387">
        <v>2</v>
      </c>
      <c r="DZ387">
        <v>6</v>
      </c>
      <c r="EA387">
        <v>0</v>
      </c>
      <c r="EB387">
        <v>0</v>
      </c>
      <c r="EC387">
        <v>1</v>
      </c>
      <c r="ED387">
        <v>9</v>
      </c>
      <c r="EE387">
        <v>0</v>
      </c>
      <c r="EF387">
        <v>14</v>
      </c>
      <c r="EG387">
        <v>5</v>
      </c>
      <c r="EH387">
        <v>6</v>
      </c>
      <c r="EI387">
        <v>9</v>
      </c>
      <c r="EJ387">
        <v>6</v>
      </c>
      <c r="EK387">
        <v>10</v>
      </c>
      <c r="EL387">
        <v>0</v>
      </c>
      <c r="EM387">
        <v>7</v>
      </c>
      <c r="EN387">
        <v>13</v>
      </c>
      <c r="EO387">
        <v>4</v>
      </c>
      <c r="EP387">
        <v>6</v>
      </c>
      <c r="EQ387">
        <v>8</v>
      </c>
      <c r="ER387">
        <v>78</v>
      </c>
      <c r="ES387">
        <v>6</v>
      </c>
      <c r="ET387">
        <v>11</v>
      </c>
      <c r="EU387">
        <v>8</v>
      </c>
      <c r="EV387">
        <v>0</v>
      </c>
      <c r="EW387">
        <v>9</v>
      </c>
      <c r="EX387">
        <v>61</v>
      </c>
      <c r="EY387">
        <v>19</v>
      </c>
      <c r="EZ387">
        <v>48</v>
      </c>
      <c r="FA387">
        <v>51</v>
      </c>
      <c r="FB387">
        <v>68</v>
      </c>
      <c r="FC387">
        <v>61</v>
      </c>
      <c r="FD387">
        <v>43</v>
      </c>
      <c r="FE387">
        <v>37</v>
      </c>
      <c r="FF387">
        <v>123</v>
      </c>
      <c r="FG387">
        <v>27</v>
      </c>
      <c r="FH387">
        <v>14</v>
      </c>
      <c r="FI387">
        <v>23</v>
      </c>
      <c r="FJ387">
        <v>16</v>
      </c>
      <c r="FK387">
        <v>50</v>
      </c>
      <c r="FL387">
        <v>7</v>
      </c>
      <c r="FM387">
        <v>8</v>
      </c>
      <c r="FN387">
        <v>4</v>
      </c>
      <c r="FO387">
        <v>4</v>
      </c>
      <c r="FP387">
        <v>17</v>
      </c>
      <c r="FQ387">
        <v>11</v>
      </c>
      <c r="FR387">
        <v>3</v>
      </c>
      <c r="FS387">
        <v>5</v>
      </c>
      <c r="FT387">
        <v>6</v>
      </c>
      <c r="FU387">
        <v>9</v>
      </c>
      <c r="FV387">
        <v>20</v>
      </c>
      <c r="FW387">
        <v>7</v>
      </c>
      <c r="FX387">
        <v>51</v>
      </c>
      <c r="FY387">
        <v>34</v>
      </c>
      <c r="FZ387">
        <v>9</v>
      </c>
      <c r="GA387">
        <v>8</v>
      </c>
      <c r="GB387">
        <v>9</v>
      </c>
      <c r="GC387">
        <v>9</v>
      </c>
      <c r="GD387">
        <v>11</v>
      </c>
      <c r="GE387">
        <v>0</v>
      </c>
      <c r="GF387">
        <v>5</v>
      </c>
      <c r="GG387">
        <v>19</v>
      </c>
      <c r="GH387">
        <v>34</v>
      </c>
      <c r="GI387">
        <v>28</v>
      </c>
      <c r="GJ387">
        <v>29</v>
      </c>
      <c r="GK387">
        <v>19</v>
      </c>
      <c r="GL387">
        <v>13</v>
      </c>
      <c r="GM387">
        <v>2</v>
      </c>
      <c r="GN387">
        <v>7</v>
      </c>
      <c r="GO387">
        <v>8</v>
      </c>
      <c r="GP387">
        <v>58</v>
      </c>
      <c r="GQ387">
        <v>38</v>
      </c>
      <c r="GR387">
        <v>42</v>
      </c>
      <c r="GS387">
        <v>32</v>
      </c>
      <c r="GT387">
        <v>29</v>
      </c>
      <c r="GU387">
        <v>63</v>
      </c>
      <c r="GV387">
        <v>19</v>
      </c>
      <c r="GW387">
        <v>63</v>
      </c>
      <c r="GX387">
        <v>150</v>
      </c>
      <c r="GY387">
        <v>21</v>
      </c>
      <c r="GZ387">
        <v>75</v>
      </c>
      <c r="HA387">
        <v>33</v>
      </c>
      <c r="HB387">
        <v>51</v>
      </c>
      <c r="HC387">
        <v>9</v>
      </c>
      <c r="HD387">
        <v>10</v>
      </c>
      <c r="HE387">
        <v>24</v>
      </c>
      <c r="HF387">
        <v>39</v>
      </c>
      <c r="HG387">
        <v>54</v>
      </c>
      <c r="HH387">
        <v>19</v>
      </c>
      <c r="HI387">
        <v>16</v>
      </c>
      <c r="HJ387">
        <v>10</v>
      </c>
      <c r="HK387">
        <v>43</v>
      </c>
      <c r="HL387">
        <v>6</v>
      </c>
      <c r="HM387">
        <v>20</v>
      </c>
      <c r="HN387">
        <v>11</v>
      </c>
      <c r="HO387">
        <v>6</v>
      </c>
      <c r="HP387">
        <v>3</v>
      </c>
      <c r="HQ387">
        <v>7</v>
      </c>
      <c r="HR387">
        <v>0</v>
      </c>
      <c r="HS387">
        <v>2</v>
      </c>
      <c r="HT387">
        <v>46</v>
      </c>
      <c r="HU387">
        <v>91</v>
      </c>
      <c r="HV387">
        <v>172</v>
      </c>
      <c r="HW387">
        <v>186</v>
      </c>
      <c r="HX387">
        <v>35</v>
      </c>
      <c r="HY387">
        <v>8</v>
      </c>
      <c r="HZ387">
        <v>17</v>
      </c>
      <c r="IA387">
        <v>9</v>
      </c>
      <c r="IB387">
        <v>178</v>
      </c>
      <c r="IC387">
        <v>7</v>
      </c>
      <c r="ID387">
        <v>219</v>
      </c>
      <c r="IE387">
        <v>43</v>
      </c>
      <c r="IF387">
        <v>21</v>
      </c>
      <c r="IG387">
        <v>51</v>
      </c>
      <c r="IH387">
        <v>151</v>
      </c>
      <c r="II387">
        <v>43</v>
      </c>
      <c r="IJ387">
        <v>18</v>
      </c>
      <c r="IK387">
        <v>118</v>
      </c>
      <c r="IL387">
        <v>285</v>
      </c>
      <c r="IM387">
        <v>206</v>
      </c>
      <c r="IN387">
        <v>24</v>
      </c>
      <c r="IO387">
        <v>17</v>
      </c>
      <c r="IP387">
        <v>88</v>
      </c>
      <c r="IQ387">
        <v>8</v>
      </c>
      <c r="IR387">
        <v>48</v>
      </c>
      <c r="IS387">
        <v>49</v>
      </c>
      <c r="IT387">
        <v>15</v>
      </c>
      <c r="IU387">
        <v>18</v>
      </c>
      <c r="IV387">
        <v>13</v>
      </c>
      <c r="IW387">
        <v>43</v>
      </c>
      <c r="IX387">
        <v>23</v>
      </c>
      <c r="IY387">
        <v>4</v>
      </c>
      <c r="IZ387">
        <v>71</v>
      </c>
      <c r="JA387">
        <v>70</v>
      </c>
      <c r="JB387">
        <v>39</v>
      </c>
      <c r="JC387">
        <v>7</v>
      </c>
      <c r="JD387">
        <v>16</v>
      </c>
      <c r="JE387">
        <v>13</v>
      </c>
      <c r="JF387">
        <v>28</v>
      </c>
      <c r="JG387">
        <v>181</v>
      </c>
      <c r="JH387">
        <v>41</v>
      </c>
      <c r="JI387">
        <v>8</v>
      </c>
      <c r="JJ387">
        <v>25</v>
      </c>
      <c r="JK387">
        <v>504</v>
      </c>
      <c r="JL387">
        <v>69</v>
      </c>
      <c r="JM387">
        <v>343</v>
      </c>
      <c r="JN387">
        <v>603</v>
      </c>
      <c r="JO387">
        <v>1098</v>
      </c>
      <c r="JP387">
        <v>185</v>
      </c>
      <c r="JQ387">
        <v>831</v>
      </c>
      <c r="JR387">
        <v>347</v>
      </c>
      <c r="JS387">
        <v>1273</v>
      </c>
      <c r="JT387">
        <v>166</v>
      </c>
      <c r="JV387">
        <v>563</v>
      </c>
      <c r="JW387">
        <v>845</v>
      </c>
      <c r="JX387">
        <v>870</v>
      </c>
      <c r="JY387">
        <v>468</v>
      </c>
      <c r="JZ387">
        <v>188</v>
      </c>
      <c r="KA387">
        <v>708</v>
      </c>
      <c r="KB387">
        <v>104</v>
      </c>
      <c r="KC387">
        <v>340</v>
      </c>
      <c r="KD387">
        <v>240</v>
      </c>
      <c r="KE387">
        <v>30</v>
      </c>
      <c r="KF387">
        <v>1</v>
      </c>
      <c r="KH387">
        <v>615</v>
      </c>
      <c r="KI387">
        <v>57</v>
      </c>
      <c r="KJ387">
        <v>36</v>
      </c>
      <c r="KK387">
        <v>103</v>
      </c>
      <c r="KL387">
        <v>6</v>
      </c>
      <c r="KM387">
        <v>365</v>
      </c>
      <c r="KN387">
        <v>36</v>
      </c>
      <c r="KO387">
        <v>31</v>
      </c>
      <c r="KP387">
        <v>34</v>
      </c>
      <c r="KQ387">
        <v>9</v>
      </c>
      <c r="KR387">
        <v>492</v>
      </c>
      <c r="KS387">
        <v>111</v>
      </c>
      <c r="KT387">
        <v>2</v>
      </c>
      <c r="KU387">
        <v>36</v>
      </c>
      <c r="KV387">
        <v>48</v>
      </c>
      <c r="KW387">
        <v>811</v>
      </c>
      <c r="KX387">
        <v>64</v>
      </c>
      <c r="KY387">
        <v>107</v>
      </c>
      <c r="KZ387">
        <v>493</v>
      </c>
      <c r="LA387">
        <v>428</v>
      </c>
      <c r="LB387">
        <v>0</v>
      </c>
      <c r="LC387">
        <v>287</v>
      </c>
      <c r="LD387">
        <v>1586</v>
      </c>
      <c r="LE387">
        <v>698</v>
      </c>
      <c r="LF387">
        <v>152</v>
      </c>
      <c r="LH387">
        <v>1430</v>
      </c>
      <c r="LI387">
        <v>16</v>
      </c>
      <c r="LJ387">
        <v>55</v>
      </c>
      <c r="LL387">
        <v>0</v>
      </c>
      <c r="LM387">
        <v>322</v>
      </c>
      <c r="LN387">
        <v>2237</v>
      </c>
      <c r="LO387">
        <v>1026</v>
      </c>
      <c r="LP387">
        <v>88</v>
      </c>
      <c r="LR387">
        <v>313</v>
      </c>
      <c r="LS387">
        <v>157</v>
      </c>
      <c r="LT387">
        <v>437</v>
      </c>
      <c r="LU387">
        <v>54</v>
      </c>
      <c r="LV387">
        <v>124</v>
      </c>
      <c r="LW387">
        <v>432</v>
      </c>
      <c r="LX387">
        <v>71</v>
      </c>
      <c r="LY387">
        <v>95</v>
      </c>
      <c r="LZ387">
        <v>180</v>
      </c>
      <c r="MA387">
        <v>135</v>
      </c>
      <c r="MB387">
        <v>26</v>
      </c>
      <c r="MC387">
        <v>13</v>
      </c>
      <c r="MD387">
        <v>32</v>
      </c>
      <c r="ME387">
        <v>120</v>
      </c>
      <c r="MF387">
        <v>2335</v>
      </c>
      <c r="MG387">
        <v>155</v>
      </c>
      <c r="MH387">
        <v>2464</v>
      </c>
      <c r="MI387">
        <v>286</v>
      </c>
      <c r="MJ387">
        <v>116</v>
      </c>
      <c r="MK387">
        <v>160</v>
      </c>
      <c r="ML387">
        <v>99</v>
      </c>
      <c r="MM387">
        <v>154</v>
      </c>
      <c r="MN387">
        <v>117</v>
      </c>
      <c r="MO387">
        <v>1693</v>
      </c>
      <c r="MP387">
        <v>2</v>
      </c>
      <c r="MQ387">
        <v>251</v>
      </c>
      <c r="MR387">
        <v>144</v>
      </c>
      <c r="MS387">
        <v>675</v>
      </c>
      <c r="MT387">
        <v>73</v>
      </c>
      <c r="MU387">
        <v>77</v>
      </c>
      <c r="MV387">
        <v>297</v>
      </c>
      <c r="MW387">
        <v>277</v>
      </c>
      <c r="MX387">
        <v>57</v>
      </c>
      <c r="MY387">
        <v>172</v>
      </c>
      <c r="MZ387">
        <v>3418</v>
      </c>
      <c r="NA387">
        <v>224</v>
      </c>
      <c r="NB387">
        <v>58</v>
      </c>
      <c r="NC387">
        <v>56</v>
      </c>
      <c r="ND387">
        <v>47</v>
      </c>
      <c r="NE387">
        <v>38</v>
      </c>
      <c r="NF387">
        <v>28</v>
      </c>
      <c r="NG387">
        <v>21</v>
      </c>
      <c r="NH387">
        <v>12</v>
      </c>
      <c r="NI387">
        <v>39</v>
      </c>
      <c r="NJ387">
        <v>28</v>
      </c>
      <c r="NK387">
        <v>52</v>
      </c>
      <c r="NL387">
        <v>80</v>
      </c>
      <c r="NM387">
        <v>211</v>
      </c>
      <c r="NN387">
        <v>877</v>
      </c>
      <c r="NO387">
        <v>1162</v>
      </c>
      <c r="NP387">
        <v>1495</v>
      </c>
      <c r="NQ387">
        <v>209</v>
      </c>
      <c r="NR387">
        <v>290</v>
      </c>
      <c r="NS387">
        <v>53</v>
      </c>
      <c r="NT387">
        <v>128</v>
      </c>
      <c r="NU387">
        <v>49</v>
      </c>
      <c r="NV387">
        <v>116</v>
      </c>
      <c r="NW387">
        <v>7</v>
      </c>
      <c r="NX387">
        <v>49</v>
      </c>
      <c r="NY387">
        <v>165</v>
      </c>
      <c r="NZ387">
        <v>16</v>
      </c>
      <c r="OA387">
        <v>30</v>
      </c>
      <c r="OB387">
        <v>112</v>
      </c>
      <c r="OD387">
        <v>685</v>
      </c>
      <c r="OE387">
        <v>8143</v>
      </c>
      <c r="OF387">
        <v>0</v>
      </c>
      <c r="OI387">
        <v>647</v>
      </c>
      <c r="OJ387">
        <v>561</v>
      </c>
      <c r="OK387">
        <v>1382</v>
      </c>
      <c r="OL387">
        <v>12</v>
      </c>
      <c r="ON387">
        <v>95</v>
      </c>
      <c r="OO387">
        <v>64081</v>
      </c>
      <c r="OV387">
        <v>17</v>
      </c>
      <c r="PI387">
        <v>64098</v>
      </c>
      <c r="PM387" t="str">
        <f>IFERROR(VLOOKUP($A387&amp;"",Key!$A:$C,3,FALSE),"")</f>
        <v>ISIC 31T33</v>
      </c>
    </row>
    <row r="388" spans="1:429" x14ac:dyDescent="0.25">
      <c r="A388">
        <v>811400</v>
      </c>
      <c r="B388" t="s">
        <v>523</v>
      </c>
      <c r="M388">
        <v>6</v>
      </c>
      <c r="N388">
        <v>1</v>
      </c>
      <c r="P388">
        <v>22</v>
      </c>
      <c r="Q388">
        <v>40</v>
      </c>
      <c r="T388">
        <v>1</v>
      </c>
      <c r="U388">
        <v>1</v>
      </c>
      <c r="V388">
        <v>88</v>
      </c>
      <c r="W388">
        <v>3</v>
      </c>
      <c r="X388">
        <v>97</v>
      </c>
      <c r="Y388">
        <v>498</v>
      </c>
      <c r="Z388">
        <v>1</v>
      </c>
      <c r="AA388">
        <v>69</v>
      </c>
      <c r="AB388">
        <v>565</v>
      </c>
      <c r="AC388">
        <v>163</v>
      </c>
      <c r="AD388">
        <v>36</v>
      </c>
      <c r="AE388">
        <v>55</v>
      </c>
      <c r="AF388">
        <v>23</v>
      </c>
      <c r="AG388">
        <v>116</v>
      </c>
      <c r="AH388">
        <v>31</v>
      </c>
      <c r="AI388">
        <v>54</v>
      </c>
      <c r="AJ388">
        <v>79</v>
      </c>
      <c r="AK388">
        <v>77</v>
      </c>
      <c r="AL388">
        <v>152</v>
      </c>
      <c r="AM388">
        <v>8</v>
      </c>
      <c r="AN388">
        <v>3</v>
      </c>
      <c r="AO388">
        <v>3</v>
      </c>
      <c r="AP388">
        <v>2</v>
      </c>
      <c r="AQ388">
        <v>5</v>
      </c>
      <c r="AR388">
        <v>9</v>
      </c>
      <c r="AS388">
        <v>5</v>
      </c>
      <c r="AT388">
        <v>12</v>
      </c>
      <c r="AU388">
        <v>3</v>
      </c>
      <c r="AV388">
        <v>4</v>
      </c>
      <c r="AW388">
        <v>5</v>
      </c>
      <c r="AX388">
        <v>0</v>
      </c>
      <c r="AY388">
        <v>1</v>
      </c>
      <c r="AZ388">
        <v>1</v>
      </c>
      <c r="BA388">
        <v>1</v>
      </c>
      <c r="BB388">
        <v>1</v>
      </c>
      <c r="BC388">
        <v>24</v>
      </c>
      <c r="BD388">
        <v>5</v>
      </c>
      <c r="BE388">
        <v>1</v>
      </c>
      <c r="BF388">
        <v>1</v>
      </c>
      <c r="BG388">
        <v>5</v>
      </c>
      <c r="BH388">
        <v>2</v>
      </c>
      <c r="BI388">
        <v>2</v>
      </c>
      <c r="BJ388">
        <v>2</v>
      </c>
      <c r="BK388">
        <v>6</v>
      </c>
      <c r="BL388">
        <v>4</v>
      </c>
      <c r="BM388">
        <v>1</v>
      </c>
      <c r="BN388">
        <v>7</v>
      </c>
      <c r="BO388">
        <v>2</v>
      </c>
      <c r="BP388">
        <v>4</v>
      </c>
      <c r="BQ388">
        <v>8</v>
      </c>
      <c r="BR388">
        <v>6</v>
      </c>
      <c r="BS388">
        <v>0</v>
      </c>
      <c r="BT388">
        <v>1</v>
      </c>
      <c r="BU388">
        <v>2</v>
      </c>
      <c r="BV388">
        <v>1</v>
      </c>
      <c r="BW388">
        <v>2</v>
      </c>
      <c r="BX388">
        <v>10</v>
      </c>
      <c r="BY388">
        <v>9</v>
      </c>
      <c r="BZ388">
        <v>8</v>
      </c>
      <c r="CA388">
        <v>3</v>
      </c>
      <c r="CB388">
        <v>4</v>
      </c>
      <c r="CC388">
        <v>2</v>
      </c>
      <c r="CD388">
        <v>1</v>
      </c>
      <c r="CE388">
        <v>4</v>
      </c>
      <c r="CF388">
        <v>2</v>
      </c>
      <c r="CG388">
        <v>3</v>
      </c>
      <c r="CI388">
        <v>4</v>
      </c>
      <c r="CJ388">
        <v>4</v>
      </c>
      <c r="CK388">
        <v>0</v>
      </c>
      <c r="CL388">
        <v>4</v>
      </c>
      <c r="CM388">
        <v>0</v>
      </c>
      <c r="CO388">
        <v>3</v>
      </c>
      <c r="CQ388">
        <v>3</v>
      </c>
      <c r="CR388">
        <v>1</v>
      </c>
      <c r="CS388">
        <v>2</v>
      </c>
      <c r="CT388">
        <v>2</v>
      </c>
      <c r="CU388">
        <v>1</v>
      </c>
      <c r="CV388">
        <v>2</v>
      </c>
      <c r="CW388">
        <v>2</v>
      </c>
      <c r="CX388">
        <v>1</v>
      </c>
      <c r="CY388">
        <v>1</v>
      </c>
      <c r="CZ388">
        <v>3</v>
      </c>
      <c r="DA388">
        <v>0</v>
      </c>
      <c r="DB388">
        <v>3</v>
      </c>
      <c r="DC388">
        <v>3</v>
      </c>
      <c r="DG388">
        <v>3</v>
      </c>
      <c r="DH388">
        <v>2</v>
      </c>
      <c r="DJ388">
        <v>0</v>
      </c>
      <c r="DL388">
        <v>0</v>
      </c>
      <c r="DM388">
        <v>1</v>
      </c>
      <c r="DO388">
        <v>15</v>
      </c>
      <c r="DP388">
        <v>1</v>
      </c>
      <c r="DQ388">
        <v>2</v>
      </c>
      <c r="DR388">
        <v>2</v>
      </c>
      <c r="DS388">
        <v>3</v>
      </c>
      <c r="DU388">
        <v>0</v>
      </c>
      <c r="DW388">
        <v>0</v>
      </c>
      <c r="DX388">
        <v>0</v>
      </c>
      <c r="DZ388">
        <v>0</v>
      </c>
      <c r="ED388">
        <v>0</v>
      </c>
      <c r="EG388">
        <v>0</v>
      </c>
      <c r="EH388">
        <v>0</v>
      </c>
      <c r="EI388">
        <v>1</v>
      </c>
      <c r="EJ388">
        <v>0</v>
      </c>
      <c r="EK388">
        <v>1</v>
      </c>
      <c r="EL388">
        <v>0</v>
      </c>
      <c r="EM388">
        <v>0</v>
      </c>
      <c r="EN388">
        <v>1</v>
      </c>
      <c r="EO388">
        <v>0</v>
      </c>
      <c r="EP388">
        <v>0</v>
      </c>
      <c r="EQ388">
        <v>1</v>
      </c>
      <c r="ER388">
        <v>7</v>
      </c>
      <c r="ES388">
        <v>0</v>
      </c>
      <c r="ET388">
        <v>1</v>
      </c>
      <c r="EU388">
        <v>0</v>
      </c>
      <c r="EW388">
        <v>0</v>
      </c>
      <c r="EX388">
        <v>6</v>
      </c>
      <c r="EY388">
        <v>1</v>
      </c>
      <c r="EZ388">
        <v>5</v>
      </c>
      <c r="FA388">
        <v>4</v>
      </c>
      <c r="FB388">
        <v>7</v>
      </c>
      <c r="FC388">
        <v>6</v>
      </c>
      <c r="FD388">
        <v>3</v>
      </c>
      <c r="FE388">
        <v>3</v>
      </c>
      <c r="FF388">
        <v>11</v>
      </c>
      <c r="FG388">
        <v>3</v>
      </c>
      <c r="FH388">
        <v>1</v>
      </c>
      <c r="FI388">
        <v>1</v>
      </c>
      <c r="FJ388">
        <v>1</v>
      </c>
      <c r="FK388">
        <v>6</v>
      </c>
      <c r="FP388">
        <v>1</v>
      </c>
      <c r="FQ388">
        <v>0</v>
      </c>
      <c r="FR388">
        <v>0</v>
      </c>
      <c r="FS388">
        <v>0</v>
      </c>
      <c r="FU388">
        <v>0</v>
      </c>
      <c r="FV388">
        <v>1</v>
      </c>
      <c r="FW388">
        <v>0</v>
      </c>
      <c r="FX388">
        <v>5</v>
      </c>
      <c r="FY388">
        <v>3</v>
      </c>
      <c r="GA388">
        <v>0</v>
      </c>
      <c r="GB388">
        <v>0</v>
      </c>
      <c r="GD388">
        <v>1</v>
      </c>
      <c r="GG388">
        <v>2</v>
      </c>
      <c r="GH388">
        <v>1</v>
      </c>
      <c r="GI388">
        <v>3</v>
      </c>
      <c r="GJ388">
        <v>3</v>
      </c>
      <c r="GK388">
        <v>2</v>
      </c>
      <c r="GL388">
        <v>1</v>
      </c>
      <c r="GM388">
        <v>0</v>
      </c>
      <c r="GN388">
        <v>1</v>
      </c>
      <c r="GO388">
        <v>1</v>
      </c>
      <c r="GP388">
        <v>3</v>
      </c>
      <c r="GQ388">
        <v>3</v>
      </c>
      <c r="GR388">
        <v>4</v>
      </c>
      <c r="GS388">
        <v>3</v>
      </c>
      <c r="GT388">
        <v>3</v>
      </c>
      <c r="GU388">
        <v>6</v>
      </c>
      <c r="GV388">
        <v>2</v>
      </c>
      <c r="GW388">
        <v>6</v>
      </c>
      <c r="GX388">
        <v>15</v>
      </c>
      <c r="GY388">
        <v>2</v>
      </c>
      <c r="GZ388">
        <v>7</v>
      </c>
      <c r="HA388">
        <v>3</v>
      </c>
      <c r="HB388">
        <v>4</v>
      </c>
      <c r="HC388">
        <v>1</v>
      </c>
      <c r="HD388">
        <v>0</v>
      </c>
      <c r="HE388">
        <v>2</v>
      </c>
      <c r="HF388">
        <v>3</v>
      </c>
      <c r="HG388">
        <v>6</v>
      </c>
      <c r="HH388">
        <v>1</v>
      </c>
      <c r="HI388">
        <v>1</v>
      </c>
      <c r="HK388">
        <v>2</v>
      </c>
      <c r="HL388">
        <v>0</v>
      </c>
      <c r="HM388">
        <v>1</v>
      </c>
      <c r="HN388">
        <v>0</v>
      </c>
      <c r="HO388">
        <v>0</v>
      </c>
      <c r="HQ388">
        <v>0</v>
      </c>
      <c r="HT388">
        <v>4</v>
      </c>
      <c r="HU388">
        <v>9</v>
      </c>
      <c r="HV388">
        <v>17</v>
      </c>
      <c r="HW388">
        <v>19</v>
      </c>
      <c r="HX388">
        <v>3</v>
      </c>
      <c r="HZ388">
        <v>1</v>
      </c>
      <c r="IA388">
        <v>0</v>
      </c>
      <c r="IB388">
        <v>18</v>
      </c>
      <c r="IC388">
        <v>0</v>
      </c>
      <c r="ID388">
        <v>22</v>
      </c>
      <c r="IE388">
        <v>4</v>
      </c>
      <c r="IF388">
        <v>1</v>
      </c>
      <c r="IG388">
        <v>5</v>
      </c>
      <c r="IH388">
        <v>15</v>
      </c>
      <c r="II388">
        <v>4</v>
      </c>
      <c r="IJ388">
        <v>2</v>
      </c>
      <c r="IK388">
        <v>12</v>
      </c>
      <c r="IL388">
        <v>29</v>
      </c>
      <c r="IM388">
        <v>21</v>
      </c>
      <c r="IN388">
        <v>2</v>
      </c>
      <c r="IO388">
        <v>2</v>
      </c>
      <c r="IP388">
        <v>9</v>
      </c>
      <c r="IQ388">
        <v>0</v>
      </c>
      <c r="IR388">
        <v>4</v>
      </c>
      <c r="IS388">
        <v>4</v>
      </c>
      <c r="IT388">
        <v>1</v>
      </c>
      <c r="IU388">
        <v>2</v>
      </c>
      <c r="IV388">
        <v>1</v>
      </c>
      <c r="IW388">
        <v>4</v>
      </c>
      <c r="IX388">
        <v>2</v>
      </c>
      <c r="IY388">
        <v>0</v>
      </c>
      <c r="IZ388">
        <v>7</v>
      </c>
      <c r="JA388">
        <v>6</v>
      </c>
      <c r="JB388">
        <v>3</v>
      </c>
      <c r="JD388">
        <v>2</v>
      </c>
      <c r="JE388">
        <v>1</v>
      </c>
      <c r="JF388">
        <v>3</v>
      </c>
      <c r="JG388">
        <v>19</v>
      </c>
      <c r="JH388">
        <v>4</v>
      </c>
      <c r="JI388">
        <v>0</v>
      </c>
      <c r="JJ388">
        <v>2</v>
      </c>
      <c r="JK388">
        <v>170</v>
      </c>
      <c r="JL388">
        <v>30</v>
      </c>
      <c r="JM388">
        <v>157</v>
      </c>
      <c r="JN388">
        <v>343</v>
      </c>
      <c r="JO388">
        <v>487</v>
      </c>
      <c r="JP388">
        <v>82</v>
      </c>
      <c r="JQ388">
        <v>369</v>
      </c>
      <c r="JR388">
        <v>156</v>
      </c>
      <c r="JS388">
        <v>570</v>
      </c>
      <c r="JT388">
        <v>75</v>
      </c>
      <c r="JV388">
        <v>278</v>
      </c>
      <c r="JW388">
        <v>371</v>
      </c>
      <c r="JX388">
        <v>417</v>
      </c>
      <c r="JY388">
        <v>209</v>
      </c>
      <c r="JZ388">
        <v>92</v>
      </c>
      <c r="KA388">
        <v>313</v>
      </c>
      <c r="KB388">
        <v>50</v>
      </c>
      <c r="KC388">
        <v>152</v>
      </c>
      <c r="KD388">
        <v>109</v>
      </c>
      <c r="KF388">
        <v>11</v>
      </c>
      <c r="KG388">
        <v>396</v>
      </c>
      <c r="KH388">
        <v>838</v>
      </c>
      <c r="KI388">
        <v>385</v>
      </c>
      <c r="KJ388">
        <v>2</v>
      </c>
      <c r="KK388">
        <v>587</v>
      </c>
      <c r="KL388">
        <v>4</v>
      </c>
      <c r="KM388">
        <v>162</v>
      </c>
      <c r="KN388">
        <v>16</v>
      </c>
      <c r="KO388">
        <v>14</v>
      </c>
      <c r="KP388">
        <v>15</v>
      </c>
      <c r="KQ388">
        <v>3</v>
      </c>
      <c r="KR388">
        <v>220</v>
      </c>
      <c r="KS388">
        <v>49</v>
      </c>
      <c r="KU388">
        <v>17</v>
      </c>
      <c r="KV388">
        <v>21</v>
      </c>
      <c r="KW388">
        <v>415</v>
      </c>
      <c r="KX388">
        <v>157</v>
      </c>
      <c r="KY388">
        <v>49</v>
      </c>
      <c r="KZ388">
        <v>216</v>
      </c>
      <c r="LA388">
        <v>195</v>
      </c>
      <c r="LB388">
        <v>0</v>
      </c>
      <c r="LC388">
        <v>113</v>
      </c>
      <c r="LD388">
        <v>191</v>
      </c>
      <c r="LE388">
        <v>315</v>
      </c>
      <c r="LF388">
        <v>69</v>
      </c>
      <c r="LH388">
        <v>581</v>
      </c>
      <c r="LI388">
        <v>7</v>
      </c>
      <c r="LJ388">
        <v>5</v>
      </c>
      <c r="LL388">
        <v>0</v>
      </c>
      <c r="LM388">
        <v>2714</v>
      </c>
      <c r="LN388">
        <v>998</v>
      </c>
      <c r="LO388">
        <v>466</v>
      </c>
      <c r="LP388">
        <v>33</v>
      </c>
      <c r="LQ388">
        <v>32</v>
      </c>
      <c r="LR388">
        <v>321</v>
      </c>
      <c r="LS388">
        <v>68</v>
      </c>
      <c r="LT388">
        <v>407</v>
      </c>
      <c r="LU388">
        <v>143</v>
      </c>
      <c r="LV388">
        <v>58</v>
      </c>
      <c r="LW388">
        <v>260</v>
      </c>
      <c r="LX388">
        <v>236</v>
      </c>
      <c r="LY388">
        <v>115</v>
      </c>
      <c r="LZ388">
        <v>135</v>
      </c>
      <c r="MA388">
        <v>59</v>
      </c>
      <c r="MB388">
        <v>9</v>
      </c>
      <c r="MC388">
        <v>3</v>
      </c>
      <c r="MD388">
        <v>15</v>
      </c>
      <c r="ME388">
        <v>65</v>
      </c>
      <c r="MF388">
        <v>1206</v>
      </c>
      <c r="MG388">
        <v>151</v>
      </c>
      <c r="MH388">
        <v>1694</v>
      </c>
      <c r="MI388">
        <v>333</v>
      </c>
      <c r="MJ388">
        <v>1482</v>
      </c>
      <c r="MK388">
        <v>104</v>
      </c>
      <c r="ML388">
        <v>238</v>
      </c>
      <c r="MM388">
        <v>733</v>
      </c>
      <c r="MN388">
        <v>144</v>
      </c>
      <c r="MO388">
        <v>1138</v>
      </c>
      <c r="MP388">
        <v>485</v>
      </c>
      <c r="MQ388">
        <v>133</v>
      </c>
      <c r="MR388">
        <v>10</v>
      </c>
      <c r="MS388">
        <v>301</v>
      </c>
      <c r="MT388">
        <v>34</v>
      </c>
      <c r="MU388">
        <v>34</v>
      </c>
      <c r="MV388">
        <v>127</v>
      </c>
      <c r="MW388">
        <v>124</v>
      </c>
      <c r="MX388">
        <v>24</v>
      </c>
      <c r="MY388">
        <v>75</v>
      </c>
      <c r="MZ388">
        <v>1581</v>
      </c>
      <c r="NA388">
        <v>109</v>
      </c>
      <c r="NB388">
        <v>28</v>
      </c>
      <c r="NC388">
        <v>27</v>
      </c>
      <c r="ND388">
        <v>28</v>
      </c>
      <c r="NE388">
        <v>18</v>
      </c>
      <c r="NF388">
        <v>15</v>
      </c>
      <c r="NG388">
        <v>88</v>
      </c>
      <c r="NH388">
        <v>9</v>
      </c>
      <c r="NI388">
        <v>24</v>
      </c>
      <c r="NJ388">
        <v>13</v>
      </c>
      <c r="NK388">
        <v>23</v>
      </c>
      <c r="NL388">
        <v>38</v>
      </c>
      <c r="NM388">
        <v>115</v>
      </c>
      <c r="NN388">
        <v>279</v>
      </c>
      <c r="NO388">
        <v>524</v>
      </c>
      <c r="NP388">
        <v>825</v>
      </c>
      <c r="NQ388">
        <v>91</v>
      </c>
      <c r="NR388">
        <v>132</v>
      </c>
      <c r="NS388">
        <v>23</v>
      </c>
      <c r="NT388">
        <v>59</v>
      </c>
      <c r="NU388">
        <v>62</v>
      </c>
      <c r="NV388">
        <v>63</v>
      </c>
      <c r="NW388">
        <v>3</v>
      </c>
      <c r="NX388">
        <v>31</v>
      </c>
      <c r="NY388">
        <v>74</v>
      </c>
      <c r="NZ388">
        <v>6</v>
      </c>
      <c r="OA388">
        <v>16</v>
      </c>
      <c r="OB388">
        <v>65</v>
      </c>
      <c r="OD388">
        <v>108</v>
      </c>
      <c r="OE388">
        <v>6</v>
      </c>
      <c r="OF388">
        <v>35</v>
      </c>
      <c r="OG388">
        <v>48</v>
      </c>
      <c r="OI388">
        <v>567</v>
      </c>
      <c r="OJ388">
        <v>496</v>
      </c>
      <c r="OK388">
        <v>2800</v>
      </c>
      <c r="OL388">
        <v>73</v>
      </c>
      <c r="OM388">
        <v>793</v>
      </c>
      <c r="ON388">
        <v>1218</v>
      </c>
      <c r="OO388">
        <v>37588</v>
      </c>
      <c r="OP388">
        <v>22333</v>
      </c>
      <c r="OV388">
        <v>5</v>
      </c>
      <c r="PI388">
        <v>59925</v>
      </c>
      <c r="PM388" t="str">
        <f>IFERROR(VLOOKUP($A388&amp;"",Key!$A:$C,3,FALSE),"")</f>
        <v>ISIC 94T96</v>
      </c>
    </row>
    <row r="389" spans="1:429" x14ac:dyDescent="0.25">
      <c r="A389">
        <v>812100</v>
      </c>
      <c r="B389" t="s">
        <v>524</v>
      </c>
      <c r="NV389">
        <v>562</v>
      </c>
      <c r="OK389">
        <v>30</v>
      </c>
      <c r="OO389">
        <v>592</v>
      </c>
      <c r="OP389">
        <v>79038</v>
      </c>
      <c r="PI389">
        <v>79630</v>
      </c>
      <c r="PM389" t="str">
        <f>IFERROR(VLOOKUP($A389&amp;"",Key!$A:$C,3,FALSE),"")</f>
        <v>ISIC 94T96</v>
      </c>
    </row>
    <row r="390" spans="1:429" x14ac:dyDescent="0.25">
      <c r="A390">
        <v>812200</v>
      </c>
      <c r="B390" t="s">
        <v>525</v>
      </c>
      <c r="OP390">
        <v>21338</v>
      </c>
      <c r="PI390">
        <v>21338</v>
      </c>
      <c r="PM390" t="str">
        <f>IFERROR(VLOOKUP($A390&amp;"",Key!$A:$C,3,FALSE),"")</f>
        <v>ISIC 94T96</v>
      </c>
    </row>
    <row r="391" spans="1:429" x14ac:dyDescent="0.25">
      <c r="A391">
        <v>812300</v>
      </c>
      <c r="B391" t="s">
        <v>526</v>
      </c>
      <c r="O391">
        <v>14</v>
      </c>
      <c r="P391">
        <v>0</v>
      </c>
      <c r="Y391">
        <v>3</v>
      </c>
      <c r="AM391">
        <v>1</v>
      </c>
      <c r="AO391">
        <v>0</v>
      </c>
      <c r="AQ391">
        <v>1</v>
      </c>
      <c r="AR391">
        <v>59</v>
      </c>
      <c r="AT391">
        <v>4</v>
      </c>
      <c r="AV391">
        <v>3</v>
      </c>
      <c r="BC391">
        <v>22</v>
      </c>
      <c r="BE391">
        <v>0</v>
      </c>
      <c r="BI391">
        <v>16</v>
      </c>
      <c r="BJ391">
        <v>1</v>
      </c>
      <c r="BL391">
        <v>3</v>
      </c>
      <c r="BX391">
        <v>0</v>
      </c>
      <c r="BZ391">
        <v>85</v>
      </c>
      <c r="CK391">
        <v>4</v>
      </c>
      <c r="CM391">
        <v>16</v>
      </c>
      <c r="EQ391">
        <v>0</v>
      </c>
      <c r="ET391">
        <v>10</v>
      </c>
      <c r="EZ391">
        <v>1</v>
      </c>
      <c r="FC391">
        <v>1</v>
      </c>
      <c r="FE391">
        <v>14</v>
      </c>
      <c r="FK391">
        <v>11</v>
      </c>
      <c r="FY391">
        <v>1</v>
      </c>
      <c r="FZ391">
        <v>12</v>
      </c>
      <c r="GB391">
        <v>0</v>
      </c>
      <c r="GH391">
        <v>1</v>
      </c>
      <c r="GZ391">
        <v>2</v>
      </c>
      <c r="HL391">
        <v>2</v>
      </c>
      <c r="HM391">
        <v>2</v>
      </c>
      <c r="HN391">
        <v>2</v>
      </c>
      <c r="HO391">
        <v>1</v>
      </c>
      <c r="HQ391">
        <v>1</v>
      </c>
      <c r="HU391">
        <v>0</v>
      </c>
      <c r="ID391">
        <v>1</v>
      </c>
      <c r="IQ391">
        <v>1</v>
      </c>
      <c r="JG391">
        <v>4</v>
      </c>
      <c r="JK391">
        <v>7</v>
      </c>
      <c r="JL391">
        <v>239</v>
      </c>
      <c r="JM391">
        <v>125</v>
      </c>
      <c r="JN391">
        <v>94</v>
      </c>
      <c r="JO391">
        <v>477</v>
      </c>
      <c r="JQ391">
        <v>46</v>
      </c>
      <c r="JS391">
        <v>35</v>
      </c>
      <c r="JT391">
        <v>37</v>
      </c>
      <c r="JV391">
        <v>539</v>
      </c>
      <c r="JW391">
        <v>56</v>
      </c>
      <c r="JX391">
        <v>57</v>
      </c>
      <c r="JY391">
        <v>22</v>
      </c>
      <c r="JZ391">
        <v>5</v>
      </c>
      <c r="KA391">
        <v>258</v>
      </c>
      <c r="KC391">
        <v>28</v>
      </c>
      <c r="KD391">
        <v>10</v>
      </c>
      <c r="KE391">
        <v>1</v>
      </c>
      <c r="KF391">
        <v>25</v>
      </c>
      <c r="KH391">
        <v>5</v>
      </c>
      <c r="KI391">
        <v>72</v>
      </c>
      <c r="KK391">
        <v>670</v>
      </c>
      <c r="KL391">
        <v>7</v>
      </c>
      <c r="KS391">
        <v>7</v>
      </c>
      <c r="KW391">
        <v>4</v>
      </c>
      <c r="KX391">
        <v>16</v>
      </c>
      <c r="KY391">
        <v>1</v>
      </c>
      <c r="LM391">
        <v>667</v>
      </c>
      <c r="LO391">
        <v>52</v>
      </c>
      <c r="LP391">
        <v>5</v>
      </c>
      <c r="LR391">
        <v>26</v>
      </c>
      <c r="LS391">
        <v>4</v>
      </c>
      <c r="LT391">
        <v>32</v>
      </c>
      <c r="LU391">
        <v>16</v>
      </c>
      <c r="LV391">
        <v>28</v>
      </c>
      <c r="LW391">
        <v>3</v>
      </c>
      <c r="LX391">
        <v>29</v>
      </c>
      <c r="LY391">
        <v>12</v>
      </c>
      <c r="LZ391">
        <v>291</v>
      </c>
      <c r="MA391">
        <v>28</v>
      </c>
      <c r="MC391">
        <v>33</v>
      </c>
      <c r="MD391">
        <v>20</v>
      </c>
      <c r="ME391">
        <v>26</v>
      </c>
      <c r="MG391">
        <v>29</v>
      </c>
      <c r="MH391">
        <v>66</v>
      </c>
      <c r="MI391">
        <v>28</v>
      </c>
      <c r="MJ391">
        <v>1</v>
      </c>
      <c r="MK391">
        <v>9</v>
      </c>
      <c r="ML391">
        <v>31</v>
      </c>
      <c r="MM391">
        <v>12</v>
      </c>
      <c r="MN391">
        <v>36</v>
      </c>
      <c r="MO391">
        <v>15</v>
      </c>
      <c r="MP391">
        <v>7</v>
      </c>
      <c r="MQ391">
        <v>46</v>
      </c>
      <c r="MR391">
        <v>5</v>
      </c>
      <c r="MS391">
        <v>276</v>
      </c>
      <c r="MT391">
        <v>236</v>
      </c>
      <c r="MU391">
        <v>63</v>
      </c>
      <c r="MV391">
        <v>294</v>
      </c>
      <c r="MW391">
        <v>35</v>
      </c>
      <c r="MX391">
        <v>27</v>
      </c>
      <c r="MY391">
        <v>16</v>
      </c>
      <c r="MZ391">
        <v>2859</v>
      </c>
      <c r="NA391">
        <v>526</v>
      </c>
      <c r="NB391">
        <v>90</v>
      </c>
      <c r="NC391">
        <v>129</v>
      </c>
      <c r="ND391">
        <v>58</v>
      </c>
      <c r="NE391">
        <v>45</v>
      </c>
      <c r="NG391">
        <v>2</v>
      </c>
      <c r="NI391">
        <v>4</v>
      </c>
      <c r="NJ391">
        <v>1</v>
      </c>
      <c r="NK391">
        <v>8</v>
      </c>
      <c r="NL391">
        <v>31</v>
      </c>
      <c r="NM391">
        <v>106</v>
      </c>
      <c r="NN391">
        <v>276</v>
      </c>
      <c r="NO391">
        <v>167</v>
      </c>
      <c r="NP391">
        <v>505</v>
      </c>
      <c r="NQ391">
        <v>201</v>
      </c>
      <c r="NR391">
        <v>144</v>
      </c>
      <c r="NS391">
        <v>96</v>
      </c>
      <c r="NT391">
        <v>15</v>
      </c>
      <c r="NU391">
        <v>9</v>
      </c>
      <c r="NV391">
        <v>819</v>
      </c>
      <c r="NX391">
        <v>568</v>
      </c>
      <c r="NY391">
        <v>314</v>
      </c>
      <c r="NZ391">
        <v>36</v>
      </c>
      <c r="OA391">
        <v>8</v>
      </c>
      <c r="OB391">
        <v>19</v>
      </c>
      <c r="OD391">
        <v>153</v>
      </c>
      <c r="OE391">
        <v>11</v>
      </c>
      <c r="OF391">
        <v>19</v>
      </c>
      <c r="OI391">
        <v>410</v>
      </c>
      <c r="OJ391">
        <v>621</v>
      </c>
      <c r="OK391">
        <v>1185</v>
      </c>
      <c r="OL391">
        <v>2</v>
      </c>
      <c r="OM391">
        <v>15</v>
      </c>
      <c r="ON391">
        <v>12</v>
      </c>
      <c r="OO391">
        <v>15104</v>
      </c>
      <c r="OP391">
        <v>14091</v>
      </c>
      <c r="PI391">
        <v>29195</v>
      </c>
      <c r="PM391" t="str">
        <f>IFERROR(VLOOKUP($A391&amp;"",Key!$A:$C,3,FALSE),"")</f>
        <v>ISIC 94T96</v>
      </c>
    </row>
    <row r="392" spans="1:429" x14ac:dyDescent="0.25">
      <c r="A392">
        <v>812900</v>
      </c>
      <c r="B392" t="s">
        <v>527</v>
      </c>
      <c r="JK392">
        <v>181</v>
      </c>
      <c r="JL392">
        <v>127</v>
      </c>
      <c r="JM392">
        <v>269</v>
      </c>
      <c r="JN392">
        <v>202</v>
      </c>
      <c r="JO392">
        <v>213</v>
      </c>
      <c r="JQ392">
        <v>331</v>
      </c>
      <c r="JS392">
        <v>1160</v>
      </c>
      <c r="JT392">
        <v>72</v>
      </c>
      <c r="JV392">
        <v>20</v>
      </c>
      <c r="JX392">
        <v>0</v>
      </c>
      <c r="JY392">
        <v>17</v>
      </c>
      <c r="JZ392">
        <v>32</v>
      </c>
      <c r="KB392">
        <v>1</v>
      </c>
      <c r="KC392">
        <v>22</v>
      </c>
      <c r="KD392">
        <v>253</v>
      </c>
      <c r="KE392">
        <v>1</v>
      </c>
      <c r="KH392">
        <v>3</v>
      </c>
      <c r="KN392">
        <v>0</v>
      </c>
      <c r="KO392">
        <v>1</v>
      </c>
      <c r="KP392">
        <v>0</v>
      </c>
      <c r="KQ392">
        <v>12</v>
      </c>
      <c r="KR392">
        <v>2</v>
      </c>
      <c r="KV392">
        <v>2</v>
      </c>
      <c r="KW392">
        <v>60</v>
      </c>
      <c r="KX392">
        <v>321</v>
      </c>
      <c r="KY392">
        <v>13</v>
      </c>
      <c r="KZ392">
        <v>4</v>
      </c>
      <c r="LB392">
        <v>0</v>
      </c>
      <c r="LC392">
        <v>47</v>
      </c>
      <c r="LD392">
        <v>37</v>
      </c>
      <c r="LE392">
        <v>42</v>
      </c>
      <c r="LF392">
        <v>7</v>
      </c>
      <c r="LH392">
        <v>6</v>
      </c>
      <c r="LI392">
        <v>1</v>
      </c>
      <c r="LM392">
        <v>133</v>
      </c>
      <c r="LR392">
        <v>86</v>
      </c>
      <c r="LS392">
        <v>3</v>
      </c>
      <c r="LT392">
        <v>4</v>
      </c>
      <c r="LU392">
        <v>1</v>
      </c>
      <c r="LV392">
        <v>569</v>
      </c>
      <c r="LW392">
        <v>409</v>
      </c>
      <c r="LX392">
        <v>22</v>
      </c>
      <c r="LY392">
        <v>826</v>
      </c>
      <c r="LZ392">
        <v>453</v>
      </c>
      <c r="MA392">
        <v>160</v>
      </c>
      <c r="MB392">
        <v>109</v>
      </c>
      <c r="MC392">
        <v>131</v>
      </c>
      <c r="ME392">
        <v>28</v>
      </c>
      <c r="MF392">
        <v>11</v>
      </c>
      <c r="MH392">
        <v>0</v>
      </c>
      <c r="MI392">
        <v>1</v>
      </c>
      <c r="MJ392">
        <v>45</v>
      </c>
      <c r="MK392">
        <v>44</v>
      </c>
      <c r="ML392">
        <v>1</v>
      </c>
      <c r="MN392">
        <v>31</v>
      </c>
      <c r="MO392">
        <v>0</v>
      </c>
      <c r="MQ392">
        <v>1</v>
      </c>
      <c r="MR392">
        <v>2</v>
      </c>
      <c r="MS392">
        <v>28</v>
      </c>
      <c r="MT392">
        <v>4</v>
      </c>
      <c r="MU392">
        <v>2</v>
      </c>
      <c r="MW392">
        <v>6</v>
      </c>
      <c r="MX392">
        <v>4</v>
      </c>
      <c r="MZ392">
        <v>2</v>
      </c>
      <c r="NA392">
        <v>9</v>
      </c>
      <c r="NC392">
        <v>38</v>
      </c>
      <c r="ND392">
        <v>0</v>
      </c>
      <c r="NE392">
        <v>0</v>
      </c>
      <c r="NF392">
        <v>129</v>
      </c>
      <c r="NG392">
        <v>2</v>
      </c>
      <c r="NH392">
        <v>0</v>
      </c>
      <c r="NI392">
        <v>4</v>
      </c>
      <c r="NJ392">
        <v>0</v>
      </c>
      <c r="NK392">
        <v>9</v>
      </c>
      <c r="NL392">
        <v>49</v>
      </c>
      <c r="NM392">
        <v>38</v>
      </c>
      <c r="NN392">
        <v>65</v>
      </c>
      <c r="NP392">
        <v>2</v>
      </c>
      <c r="NU392">
        <v>2</v>
      </c>
      <c r="NY392">
        <v>0</v>
      </c>
      <c r="OB392">
        <v>1</v>
      </c>
      <c r="OD392">
        <v>0</v>
      </c>
      <c r="OF392">
        <v>11</v>
      </c>
      <c r="OI392">
        <v>31</v>
      </c>
      <c r="OK392">
        <v>2563</v>
      </c>
      <c r="ON392">
        <v>31</v>
      </c>
      <c r="OO392">
        <v>9564</v>
      </c>
      <c r="OP392">
        <v>71772</v>
      </c>
      <c r="PI392">
        <v>81336</v>
      </c>
      <c r="PM392" t="str">
        <f>IFERROR(VLOOKUP($A392&amp;"",Key!$A:$C,3,FALSE),"")</f>
        <v>ISIC 94T96</v>
      </c>
    </row>
    <row r="393" spans="1:429" x14ac:dyDescent="0.25">
      <c r="A393">
        <v>813100</v>
      </c>
      <c r="B393" t="s">
        <v>528</v>
      </c>
      <c r="OP393">
        <v>100202</v>
      </c>
      <c r="PI393">
        <v>100202</v>
      </c>
      <c r="PM393" t="str">
        <f>IFERROR(VLOOKUP($A393&amp;"",Key!$A:$C,3,FALSE),"")</f>
        <v>ISIC 94T96</v>
      </c>
    </row>
    <row r="394" spans="1:429" x14ac:dyDescent="0.25">
      <c r="A394" t="s">
        <v>623</v>
      </c>
      <c r="B394" t="s">
        <v>529</v>
      </c>
      <c r="OA394">
        <v>0</v>
      </c>
      <c r="OB394">
        <v>225</v>
      </c>
      <c r="OO394">
        <v>225</v>
      </c>
      <c r="OP394">
        <v>58233</v>
      </c>
      <c r="PI394">
        <v>58458</v>
      </c>
      <c r="PM394" t="str">
        <f>IFERROR(VLOOKUP($A394&amp;"",Key!$A:$C,3,FALSE),"")</f>
        <v>ISIC 94T96</v>
      </c>
    </row>
    <row r="395" spans="1:429" x14ac:dyDescent="0.25">
      <c r="A395" t="s">
        <v>624</v>
      </c>
      <c r="B395" t="s">
        <v>530</v>
      </c>
      <c r="C395">
        <v>42</v>
      </c>
      <c r="D395">
        <v>10</v>
      </c>
      <c r="E395">
        <v>3</v>
      </c>
      <c r="F395">
        <v>3</v>
      </c>
      <c r="G395">
        <v>3</v>
      </c>
      <c r="H395">
        <v>5</v>
      </c>
      <c r="I395">
        <v>25</v>
      </c>
      <c r="J395">
        <v>2</v>
      </c>
      <c r="K395">
        <v>11</v>
      </c>
      <c r="L395">
        <v>4</v>
      </c>
      <c r="P395">
        <v>15</v>
      </c>
      <c r="Q395">
        <v>8</v>
      </c>
      <c r="R395">
        <v>1</v>
      </c>
      <c r="S395">
        <v>1</v>
      </c>
      <c r="T395">
        <v>2</v>
      </c>
      <c r="U395">
        <v>1</v>
      </c>
      <c r="V395">
        <v>7</v>
      </c>
      <c r="W395">
        <v>37</v>
      </c>
      <c r="X395">
        <v>140</v>
      </c>
      <c r="Y395">
        <v>82</v>
      </c>
      <c r="Z395">
        <v>3</v>
      </c>
      <c r="AA395">
        <v>9</v>
      </c>
      <c r="AB395">
        <v>1</v>
      </c>
      <c r="AC395">
        <v>53</v>
      </c>
      <c r="AD395">
        <v>29</v>
      </c>
      <c r="AE395">
        <v>67</v>
      </c>
      <c r="AF395">
        <v>24</v>
      </c>
      <c r="AG395">
        <v>233</v>
      </c>
      <c r="AH395">
        <v>9</v>
      </c>
      <c r="AI395">
        <v>35</v>
      </c>
      <c r="AJ395">
        <v>21</v>
      </c>
      <c r="AK395">
        <v>288</v>
      </c>
      <c r="AL395">
        <v>58</v>
      </c>
      <c r="AM395">
        <v>7</v>
      </c>
      <c r="AN395">
        <v>2</v>
      </c>
      <c r="AO395">
        <v>2</v>
      </c>
      <c r="AP395">
        <v>4</v>
      </c>
      <c r="AQ395">
        <v>1</v>
      </c>
      <c r="AR395">
        <v>6</v>
      </c>
      <c r="AS395">
        <v>1</v>
      </c>
      <c r="AT395">
        <v>8</v>
      </c>
      <c r="AU395">
        <v>0</v>
      </c>
      <c r="AV395">
        <v>3</v>
      </c>
      <c r="AW395">
        <v>1</v>
      </c>
      <c r="AX395">
        <v>0</v>
      </c>
      <c r="AY395">
        <v>1</v>
      </c>
      <c r="AZ395">
        <v>0</v>
      </c>
      <c r="BA395">
        <v>1</v>
      </c>
      <c r="BB395">
        <v>1</v>
      </c>
      <c r="BC395">
        <v>8</v>
      </c>
      <c r="BD395">
        <v>2</v>
      </c>
      <c r="BE395">
        <v>1</v>
      </c>
      <c r="BF395">
        <v>0</v>
      </c>
      <c r="BG395">
        <v>2</v>
      </c>
      <c r="BI395">
        <v>1</v>
      </c>
      <c r="BJ395">
        <v>1</v>
      </c>
      <c r="BK395">
        <v>2</v>
      </c>
      <c r="BL395">
        <v>3</v>
      </c>
      <c r="BM395">
        <v>1</v>
      </c>
      <c r="BN395">
        <v>1</v>
      </c>
      <c r="BO395">
        <v>1</v>
      </c>
      <c r="BP395">
        <v>1</v>
      </c>
      <c r="BQ395">
        <v>6</v>
      </c>
      <c r="BR395">
        <v>5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4</v>
      </c>
      <c r="BY395">
        <v>4</v>
      </c>
      <c r="BZ395">
        <v>2</v>
      </c>
      <c r="CB395">
        <v>2</v>
      </c>
      <c r="CC395">
        <v>0</v>
      </c>
      <c r="CD395">
        <v>1</v>
      </c>
      <c r="CF395">
        <v>1</v>
      </c>
      <c r="CG395">
        <v>2</v>
      </c>
      <c r="CH395">
        <v>1</v>
      </c>
      <c r="CI395">
        <v>1</v>
      </c>
      <c r="CJ395">
        <v>0</v>
      </c>
      <c r="CK395">
        <v>1</v>
      </c>
      <c r="CL395">
        <v>3</v>
      </c>
      <c r="CM395">
        <v>0</v>
      </c>
      <c r="CO395">
        <v>3</v>
      </c>
      <c r="CP395">
        <v>1</v>
      </c>
      <c r="CQ395">
        <v>2</v>
      </c>
      <c r="CR395">
        <v>0</v>
      </c>
      <c r="CS395">
        <v>1</v>
      </c>
      <c r="CT395">
        <v>1</v>
      </c>
      <c r="CU395">
        <v>1</v>
      </c>
      <c r="CV395">
        <v>1</v>
      </c>
      <c r="CX395">
        <v>0</v>
      </c>
      <c r="CY395">
        <v>0</v>
      </c>
      <c r="CZ395">
        <v>3</v>
      </c>
      <c r="DA395">
        <v>1</v>
      </c>
      <c r="DB395">
        <v>1</v>
      </c>
      <c r="DC395">
        <v>2</v>
      </c>
      <c r="DE395">
        <v>1</v>
      </c>
      <c r="DF395">
        <v>0</v>
      </c>
      <c r="DG395">
        <v>2</v>
      </c>
      <c r="DH395">
        <v>1</v>
      </c>
      <c r="DM395">
        <v>0</v>
      </c>
      <c r="DO395">
        <v>0</v>
      </c>
      <c r="DR395">
        <v>1</v>
      </c>
      <c r="DS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D395">
        <v>1</v>
      </c>
      <c r="EI395">
        <v>0</v>
      </c>
      <c r="EK395">
        <v>0</v>
      </c>
      <c r="EM395">
        <v>0</v>
      </c>
      <c r="EN395">
        <v>0</v>
      </c>
      <c r="EP395">
        <v>1</v>
      </c>
      <c r="EU395">
        <v>1</v>
      </c>
      <c r="EW395">
        <v>2</v>
      </c>
      <c r="EX395">
        <v>1</v>
      </c>
      <c r="FA395">
        <v>4</v>
      </c>
      <c r="FB395">
        <v>2</v>
      </c>
      <c r="FC395">
        <v>3</v>
      </c>
      <c r="FD395">
        <v>3</v>
      </c>
      <c r="FF395">
        <v>2</v>
      </c>
      <c r="FG395">
        <v>2</v>
      </c>
      <c r="FJ395">
        <v>3</v>
      </c>
      <c r="FK395">
        <v>2</v>
      </c>
      <c r="FL395">
        <v>1</v>
      </c>
      <c r="FP395">
        <v>4</v>
      </c>
      <c r="FQ395">
        <v>2</v>
      </c>
      <c r="FR395">
        <v>0</v>
      </c>
      <c r="FS395">
        <v>1</v>
      </c>
      <c r="FT395">
        <v>1</v>
      </c>
      <c r="FU395">
        <v>1</v>
      </c>
      <c r="FV395">
        <v>5</v>
      </c>
      <c r="FW395">
        <v>1</v>
      </c>
      <c r="FX395">
        <v>3</v>
      </c>
      <c r="FY395">
        <v>4</v>
      </c>
      <c r="FZ395">
        <v>0</v>
      </c>
      <c r="GA395">
        <v>0</v>
      </c>
      <c r="GB395">
        <v>1</v>
      </c>
      <c r="GC395">
        <v>1</v>
      </c>
      <c r="GD395">
        <v>1</v>
      </c>
      <c r="GE395">
        <v>0</v>
      </c>
      <c r="GF395">
        <v>0</v>
      </c>
      <c r="GG395">
        <v>1</v>
      </c>
      <c r="GH395">
        <v>4</v>
      </c>
      <c r="GI395">
        <v>0</v>
      </c>
      <c r="GJ395">
        <v>1</v>
      </c>
      <c r="GK395">
        <v>1</v>
      </c>
      <c r="GL395">
        <v>0</v>
      </c>
      <c r="GM395">
        <v>0</v>
      </c>
      <c r="GO395">
        <v>0</v>
      </c>
      <c r="GP395">
        <v>2</v>
      </c>
      <c r="GQ395">
        <v>1</v>
      </c>
      <c r="GR395">
        <v>2</v>
      </c>
      <c r="GS395">
        <v>1</v>
      </c>
      <c r="GT395">
        <v>1</v>
      </c>
      <c r="GU395">
        <v>5</v>
      </c>
      <c r="GV395">
        <v>1</v>
      </c>
      <c r="GW395">
        <v>7</v>
      </c>
      <c r="GX395">
        <v>5</v>
      </c>
      <c r="GY395">
        <v>1</v>
      </c>
      <c r="GZ395">
        <v>12</v>
      </c>
      <c r="HA395">
        <v>1</v>
      </c>
      <c r="HB395">
        <v>1</v>
      </c>
      <c r="HC395">
        <v>1</v>
      </c>
      <c r="HE395">
        <v>3</v>
      </c>
      <c r="HF395">
        <v>7</v>
      </c>
      <c r="HG395">
        <v>3</v>
      </c>
      <c r="HH395">
        <v>1</v>
      </c>
      <c r="HI395">
        <v>1</v>
      </c>
      <c r="HK395">
        <v>0</v>
      </c>
      <c r="HL395">
        <v>0</v>
      </c>
      <c r="HM395">
        <v>1</v>
      </c>
      <c r="HN395">
        <v>1</v>
      </c>
      <c r="HO395">
        <v>1</v>
      </c>
      <c r="HQ395">
        <v>1</v>
      </c>
      <c r="HR395">
        <v>0</v>
      </c>
      <c r="HS395">
        <v>0</v>
      </c>
      <c r="HT395">
        <v>1</v>
      </c>
      <c r="HU395">
        <v>2</v>
      </c>
      <c r="HV395">
        <v>3</v>
      </c>
      <c r="HW395">
        <v>11</v>
      </c>
      <c r="HX395">
        <v>2</v>
      </c>
      <c r="HY395">
        <v>1</v>
      </c>
      <c r="HZ395">
        <v>1</v>
      </c>
      <c r="IA395">
        <v>0</v>
      </c>
      <c r="IB395">
        <v>13</v>
      </c>
      <c r="IC395">
        <v>0</v>
      </c>
      <c r="ID395">
        <v>23</v>
      </c>
      <c r="IE395">
        <v>3</v>
      </c>
      <c r="IF395">
        <v>1</v>
      </c>
      <c r="IG395">
        <v>0</v>
      </c>
      <c r="IJ395">
        <v>0</v>
      </c>
      <c r="IK395">
        <v>2</v>
      </c>
      <c r="IL395">
        <v>0</v>
      </c>
      <c r="IM395">
        <v>4</v>
      </c>
      <c r="IQ395">
        <v>2</v>
      </c>
      <c r="IR395">
        <v>0</v>
      </c>
      <c r="IS395">
        <v>0</v>
      </c>
      <c r="IU395">
        <v>1</v>
      </c>
      <c r="IW395">
        <v>1</v>
      </c>
      <c r="IZ395">
        <v>1</v>
      </c>
      <c r="JA395">
        <v>7</v>
      </c>
      <c r="JB395">
        <v>1</v>
      </c>
      <c r="JD395">
        <v>2</v>
      </c>
      <c r="JE395">
        <v>2</v>
      </c>
      <c r="JG395">
        <v>23</v>
      </c>
      <c r="JH395">
        <v>1</v>
      </c>
      <c r="JI395">
        <v>1</v>
      </c>
      <c r="JJ395">
        <v>3</v>
      </c>
      <c r="JK395">
        <v>130</v>
      </c>
      <c r="JM395">
        <v>114</v>
      </c>
      <c r="JN395">
        <v>124</v>
      </c>
      <c r="JO395">
        <v>123</v>
      </c>
      <c r="JQ395">
        <v>321</v>
      </c>
      <c r="JS395">
        <v>111</v>
      </c>
      <c r="JV395">
        <v>76</v>
      </c>
      <c r="JW395">
        <v>38</v>
      </c>
      <c r="JX395">
        <v>19</v>
      </c>
      <c r="JY395">
        <v>72</v>
      </c>
      <c r="JZ395">
        <v>21</v>
      </c>
      <c r="KA395">
        <v>97</v>
      </c>
      <c r="KB395">
        <v>32</v>
      </c>
      <c r="KC395">
        <v>109</v>
      </c>
      <c r="KD395">
        <v>55</v>
      </c>
      <c r="KE395">
        <v>52</v>
      </c>
      <c r="KF395">
        <v>39</v>
      </c>
      <c r="KH395">
        <v>111</v>
      </c>
      <c r="KI395">
        <v>33</v>
      </c>
      <c r="KJ395">
        <v>2</v>
      </c>
      <c r="KK395">
        <v>40</v>
      </c>
      <c r="KL395">
        <v>9</v>
      </c>
      <c r="KM395">
        <v>27</v>
      </c>
      <c r="KN395">
        <v>6</v>
      </c>
      <c r="KO395">
        <v>6</v>
      </c>
      <c r="KP395">
        <v>15</v>
      </c>
      <c r="KQ395">
        <v>4</v>
      </c>
      <c r="KR395">
        <v>25</v>
      </c>
      <c r="KS395">
        <v>21</v>
      </c>
      <c r="KT395">
        <v>3</v>
      </c>
      <c r="KU395">
        <v>0</v>
      </c>
      <c r="KV395">
        <v>2</v>
      </c>
      <c r="KW395">
        <v>24</v>
      </c>
      <c r="KX395">
        <v>116</v>
      </c>
      <c r="KY395">
        <v>5</v>
      </c>
      <c r="KZ395">
        <v>61</v>
      </c>
      <c r="LA395">
        <v>5</v>
      </c>
      <c r="LB395">
        <v>0</v>
      </c>
      <c r="LC395">
        <v>1161</v>
      </c>
      <c r="LD395">
        <v>1933</v>
      </c>
      <c r="LE395">
        <v>1372</v>
      </c>
      <c r="LF395">
        <v>371</v>
      </c>
      <c r="LG395">
        <v>230</v>
      </c>
      <c r="LH395">
        <v>2689</v>
      </c>
      <c r="LI395">
        <v>1</v>
      </c>
      <c r="LJ395">
        <v>151</v>
      </c>
      <c r="LK395">
        <v>2221</v>
      </c>
      <c r="LL395">
        <v>16393</v>
      </c>
      <c r="LM395">
        <v>728</v>
      </c>
      <c r="LN395">
        <v>44</v>
      </c>
      <c r="LO395">
        <v>103</v>
      </c>
      <c r="LP395">
        <v>7</v>
      </c>
      <c r="LQ395">
        <v>1566</v>
      </c>
      <c r="LR395">
        <v>144</v>
      </c>
      <c r="LS395">
        <v>75</v>
      </c>
      <c r="LT395">
        <v>249</v>
      </c>
      <c r="LU395">
        <v>27</v>
      </c>
      <c r="LV395">
        <v>84</v>
      </c>
      <c r="LW395">
        <v>137</v>
      </c>
      <c r="LX395">
        <v>75</v>
      </c>
      <c r="LY395">
        <v>25</v>
      </c>
      <c r="LZ395">
        <v>357</v>
      </c>
      <c r="MA395">
        <v>30</v>
      </c>
      <c r="MB395">
        <v>10</v>
      </c>
      <c r="MC395">
        <v>5</v>
      </c>
      <c r="MD395">
        <v>25</v>
      </c>
      <c r="ME395">
        <v>11</v>
      </c>
      <c r="MF395">
        <v>354</v>
      </c>
      <c r="MG395">
        <v>92</v>
      </c>
      <c r="MH395">
        <v>65</v>
      </c>
      <c r="MI395">
        <v>14</v>
      </c>
      <c r="MJ395">
        <v>13</v>
      </c>
      <c r="MK395">
        <v>27</v>
      </c>
      <c r="ML395">
        <v>19</v>
      </c>
      <c r="MM395">
        <v>19</v>
      </c>
      <c r="MN395">
        <v>22</v>
      </c>
      <c r="MO395">
        <v>25</v>
      </c>
      <c r="MP395">
        <v>4</v>
      </c>
      <c r="MQ395">
        <v>5</v>
      </c>
      <c r="MR395">
        <v>47</v>
      </c>
      <c r="MS395">
        <v>312</v>
      </c>
      <c r="MT395">
        <v>84</v>
      </c>
      <c r="MU395">
        <v>61</v>
      </c>
      <c r="MV395">
        <v>64</v>
      </c>
      <c r="MW395">
        <v>14</v>
      </c>
      <c r="MX395">
        <v>28</v>
      </c>
      <c r="MY395">
        <v>62</v>
      </c>
      <c r="MZ395">
        <v>300</v>
      </c>
      <c r="NA395">
        <v>102</v>
      </c>
      <c r="NB395">
        <v>14</v>
      </c>
      <c r="NC395">
        <v>60</v>
      </c>
      <c r="ND395">
        <v>1</v>
      </c>
      <c r="NE395">
        <v>1</v>
      </c>
      <c r="NG395">
        <v>3</v>
      </c>
      <c r="NH395">
        <v>1</v>
      </c>
      <c r="NI395">
        <v>132</v>
      </c>
      <c r="NJ395">
        <v>0</v>
      </c>
      <c r="NK395">
        <v>2</v>
      </c>
      <c r="NM395">
        <v>8</v>
      </c>
      <c r="NN395">
        <v>10</v>
      </c>
      <c r="NO395">
        <v>171</v>
      </c>
      <c r="NP395">
        <v>90</v>
      </c>
      <c r="NQ395">
        <v>24</v>
      </c>
      <c r="NR395">
        <v>15</v>
      </c>
      <c r="NS395">
        <v>11</v>
      </c>
      <c r="NT395">
        <v>22</v>
      </c>
      <c r="NU395">
        <v>2</v>
      </c>
      <c r="NV395">
        <v>282</v>
      </c>
      <c r="NX395">
        <v>9</v>
      </c>
      <c r="NY395">
        <v>17</v>
      </c>
      <c r="NZ395">
        <v>21</v>
      </c>
      <c r="OA395">
        <v>26</v>
      </c>
      <c r="OB395">
        <v>32</v>
      </c>
      <c r="OF395">
        <v>2</v>
      </c>
      <c r="OG395">
        <v>2</v>
      </c>
      <c r="OH395">
        <v>2</v>
      </c>
      <c r="OL395">
        <v>3</v>
      </c>
      <c r="ON395">
        <v>15</v>
      </c>
      <c r="OO395">
        <v>36567</v>
      </c>
      <c r="OP395">
        <v>58624</v>
      </c>
      <c r="OV395">
        <v>0</v>
      </c>
      <c r="PI395">
        <v>95191</v>
      </c>
      <c r="PM395" t="str">
        <f>IFERROR(VLOOKUP($A395&amp;"",Key!$A:$C,3,FALSE),"")</f>
        <v>ISIC 94T96</v>
      </c>
    </row>
    <row r="396" spans="1:429" x14ac:dyDescent="0.25">
      <c r="A396">
        <v>814000</v>
      </c>
      <c r="B396" t="s">
        <v>531</v>
      </c>
      <c r="OP396">
        <v>18684</v>
      </c>
      <c r="PI396">
        <v>18684</v>
      </c>
      <c r="PM396" t="str">
        <f>IFERROR(VLOOKUP($A396&amp;"",Key!$A:$C,3,FALSE),"")</f>
        <v>ISIC 97T98</v>
      </c>
    </row>
    <row r="397" spans="1:429" x14ac:dyDescent="0.25">
      <c r="A397" t="s">
        <v>625</v>
      </c>
      <c r="B397" t="s">
        <v>532</v>
      </c>
      <c r="OW397">
        <v>599358</v>
      </c>
      <c r="PI397">
        <v>599358</v>
      </c>
      <c r="PM397" t="str">
        <f>IFERROR(VLOOKUP($A397&amp;"",Key!$A:$C,3,FALSE),"")</f>
        <v>ISIC 84</v>
      </c>
    </row>
    <row r="398" spans="1:429" x14ac:dyDescent="0.25">
      <c r="A398" t="s">
        <v>626</v>
      </c>
      <c r="B398" t="s">
        <v>533</v>
      </c>
      <c r="PA398">
        <v>379143</v>
      </c>
      <c r="PI398">
        <v>379143</v>
      </c>
      <c r="PM398" t="str">
        <f>IFERROR(VLOOKUP($A398&amp;"",Key!$A:$C,3,FALSE),"")</f>
        <v>ISIC 84</v>
      </c>
    </row>
    <row r="399" spans="1:429" x14ac:dyDescent="0.25">
      <c r="A399">
        <v>491000</v>
      </c>
      <c r="B399" t="s">
        <v>534</v>
      </c>
      <c r="C399">
        <v>1</v>
      </c>
      <c r="D399">
        <v>3</v>
      </c>
      <c r="E399">
        <v>1</v>
      </c>
      <c r="H399">
        <v>0</v>
      </c>
      <c r="I399">
        <v>6</v>
      </c>
      <c r="K399">
        <v>0</v>
      </c>
      <c r="O399">
        <v>4</v>
      </c>
      <c r="Q399">
        <v>1</v>
      </c>
      <c r="S399">
        <v>2</v>
      </c>
      <c r="U399">
        <v>0</v>
      </c>
      <c r="X399">
        <v>230</v>
      </c>
      <c r="Y399">
        <v>72</v>
      </c>
      <c r="Z399">
        <v>10</v>
      </c>
      <c r="AC399">
        <v>7</v>
      </c>
      <c r="AD399">
        <v>2</v>
      </c>
      <c r="BC399">
        <v>2</v>
      </c>
      <c r="BD399">
        <v>4</v>
      </c>
      <c r="BE399">
        <v>2</v>
      </c>
      <c r="BF399">
        <v>1</v>
      </c>
      <c r="BG399">
        <v>11</v>
      </c>
      <c r="BH399">
        <v>4</v>
      </c>
      <c r="BI399">
        <v>2</v>
      </c>
      <c r="BJ399">
        <v>2</v>
      </c>
      <c r="BK399">
        <v>2</v>
      </c>
      <c r="BL399">
        <v>3</v>
      </c>
      <c r="BM399">
        <v>3</v>
      </c>
      <c r="BN399">
        <v>6</v>
      </c>
      <c r="BO399">
        <v>3</v>
      </c>
      <c r="BP399">
        <v>9</v>
      </c>
      <c r="BQ399">
        <v>4</v>
      </c>
      <c r="BR399">
        <v>24</v>
      </c>
      <c r="BS399">
        <v>6</v>
      </c>
      <c r="BT399">
        <v>4</v>
      </c>
      <c r="BU399">
        <v>4</v>
      </c>
      <c r="BV399">
        <v>3</v>
      </c>
      <c r="BW399">
        <v>4</v>
      </c>
      <c r="BX399">
        <v>4</v>
      </c>
      <c r="BY399">
        <v>7</v>
      </c>
      <c r="BZ399">
        <v>4</v>
      </c>
      <c r="CA399">
        <v>10</v>
      </c>
      <c r="CB399">
        <v>4</v>
      </c>
      <c r="CC399">
        <v>3</v>
      </c>
      <c r="CD399">
        <v>3</v>
      </c>
      <c r="CE399">
        <v>12</v>
      </c>
      <c r="CF399">
        <v>3</v>
      </c>
      <c r="CG399">
        <v>19</v>
      </c>
      <c r="CH399">
        <v>12</v>
      </c>
      <c r="CI399">
        <v>30</v>
      </c>
      <c r="CJ399">
        <v>4</v>
      </c>
      <c r="CK399">
        <v>7</v>
      </c>
      <c r="CL399">
        <v>36</v>
      </c>
      <c r="CO399">
        <v>14</v>
      </c>
      <c r="CP399">
        <v>4</v>
      </c>
      <c r="CQ399">
        <v>1</v>
      </c>
      <c r="CS399">
        <v>1</v>
      </c>
      <c r="CT399">
        <v>2</v>
      </c>
      <c r="CU399">
        <v>12</v>
      </c>
      <c r="CV399">
        <v>2</v>
      </c>
      <c r="CW399">
        <v>31</v>
      </c>
      <c r="CX399">
        <v>1</v>
      </c>
      <c r="CY399">
        <v>1</v>
      </c>
      <c r="CZ399">
        <v>36</v>
      </c>
      <c r="DA399">
        <v>7</v>
      </c>
      <c r="DB399">
        <v>23</v>
      </c>
      <c r="DC399">
        <v>19</v>
      </c>
      <c r="DD399">
        <v>2</v>
      </c>
      <c r="DE399">
        <v>6</v>
      </c>
      <c r="DF399">
        <v>1</v>
      </c>
      <c r="DG399">
        <v>19</v>
      </c>
      <c r="DH399">
        <v>3</v>
      </c>
      <c r="DI399">
        <v>0</v>
      </c>
      <c r="DJ399">
        <v>0</v>
      </c>
      <c r="DK399">
        <v>2</v>
      </c>
      <c r="DL399">
        <v>0</v>
      </c>
      <c r="DM399">
        <v>0</v>
      </c>
      <c r="DN399">
        <v>3</v>
      </c>
      <c r="DO399">
        <v>4</v>
      </c>
      <c r="DP399">
        <v>3</v>
      </c>
      <c r="DQ399">
        <v>11</v>
      </c>
      <c r="DR399">
        <v>7</v>
      </c>
      <c r="DS399">
        <v>6</v>
      </c>
      <c r="DT399">
        <v>3</v>
      </c>
      <c r="DU399">
        <v>5</v>
      </c>
      <c r="DV399">
        <v>10</v>
      </c>
      <c r="DW399">
        <v>8</v>
      </c>
      <c r="DX399">
        <v>10</v>
      </c>
      <c r="DY399">
        <v>3</v>
      </c>
      <c r="DZ399">
        <v>6</v>
      </c>
      <c r="EA399">
        <v>4</v>
      </c>
      <c r="EB399">
        <v>2</v>
      </c>
      <c r="EC399">
        <v>0</v>
      </c>
      <c r="ED399">
        <v>18</v>
      </c>
      <c r="EE399">
        <v>10</v>
      </c>
      <c r="EF399">
        <v>8</v>
      </c>
      <c r="EG399">
        <v>5</v>
      </c>
      <c r="EH399">
        <v>6</v>
      </c>
      <c r="EI399">
        <v>39</v>
      </c>
      <c r="EJ399">
        <v>10</v>
      </c>
      <c r="EL399">
        <v>0</v>
      </c>
      <c r="EM399">
        <v>6</v>
      </c>
      <c r="EN399">
        <v>39</v>
      </c>
      <c r="EP399">
        <v>8</v>
      </c>
      <c r="GH399">
        <v>17</v>
      </c>
      <c r="HM399">
        <v>1</v>
      </c>
      <c r="IB399">
        <v>55</v>
      </c>
      <c r="ID399">
        <v>43</v>
      </c>
      <c r="IK399">
        <v>8</v>
      </c>
      <c r="IL399">
        <v>54</v>
      </c>
      <c r="IN399">
        <v>1</v>
      </c>
      <c r="JK399">
        <v>747</v>
      </c>
      <c r="JL399">
        <v>1846</v>
      </c>
      <c r="JM399">
        <v>2949</v>
      </c>
      <c r="JN399">
        <v>1644</v>
      </c>
      <c r="JO399">
        <v>3896</v>
      </c>
      <c r="JP399">
        <v>3015</v>
      </c>
      <c r="JQ399">
        <v>1801</v>
      </c>
      <c r="JR399">
        <v>720</v>
      </c>
      <c r="JS399">
        <v>4003</v>
      </c>
      <c r="JT399">
        <v>397</v>
      </c>
      <c r="JV399">
        <v>972</v>
      </c>
      <c r="JW399">
        <v>653</v>
      </c>
      <c r="JX399">
        <v>368</v>
      </c>
      <c r="JY399">
        <v>459</v>
      </c>
      <c r="JZ399">
        <v>547</v>
      </c>
      <c r="KA399">
        <v>268</v>
      </c>
      <c r="KB399">
        <v>438</v>
      </c>
      <c r="KC399">
        <v>2117</v>
      </c>
      <c r="KD399">
        <v>640</v>
      </c>
      <c r="KE399">
        <v>3</v>
      </c>
      <c r="KG399">
        <v>2480</v>
      </c>
      <c r="KH399">
        <v>3029</v>
      </c>
      <c r="KI399">
        <v>342</v>
      </c>
      <c r="KJ399">
        <v>29</v>
      </c>
      <c r="KK399">
        <v>169</v>
      </c>
      <c r="KL399">
        <v>602</v>
      </c>
      <c r="KM399">
        <v>691</v>
      </c>
      <c r="KN399">
        <v>101</v>
      </c>
      <c r="KO399">
        <v>118</v>
      </c>
      <c r="KP399">
        <v>219</v>
      </c>
      <c r="KQ399">
        <v>73</v>
      </c>
      <c r="KR399">
        <v>34</v>
      </c>
      <c r="KS399">
        <v>173</v>
      </c>
      <c r="KT399">
        <v>21</v>
      </c>
      <c r="KU399">
        <v>0</v>
      </c>
      <c r="KW399">
        <v>33</v>
      </c>
      <c r="KX399">
        <v>156</v>
      </c>
      <c r="KY399">
        <v>20</v>
      </c>
      <c r="KZ399">
        <v>796</v>
      </c>
      <c r="LA399">
        <v>420</v>
      </c>
      <c r="LB399">
        <v>0</v>
      </c>
      <c r="LC399">
        <v>731</v>
      </c>
      <c r="LD399">
        <v>694</v>
      </c>
      <c r="LE399">
        <v>1671</v>
      </c>
      <c r="LF399">
        <v>237</v>
      </c>
      <c r="LG399">
        <v>68</v>
      </c>
      <c r="LH399">
        <v>5</v>
      </c>
      <c r="LI399">
        <v>32</v>
      </c>
      <c r="LL399">
        <v>0</v>
      </c>
      <c r="LM399">
        <v>615</v>
      </c>
      <c r="LN399">
        <v>145</v>
      </c>
      <c r="LO399">
        <v>350</v>
      </c>
      <c r="LP399">
        <v>56</v>
      </c>
      <c r="LQ399">
        <v>784</v>
      </c>
      <c r="LR399">
        <v>367</v>
      </c>
      <c r="LS399">
        <v>84</v>
      </c>
      <c r="LT399">
        <v>395</v>
      </c>
      <c r="LU399">
        <v>43</v>
      </c>
      <c r="LV399">
        <v>325</v>
      </c>
      <c r="LW399">
        <v>288</v>
      </c>
      <c r="LX399">
        <v>701</v>
      </c>
      <c r="LY399">
        <v>64</v>
      </c>
      <c r="LZ399">
        <v>217</v>
      </c>
      <c r="MA399">
        <v>333</v>
      </c>
      <c r="MB399">
        <v>59</v>
      </c>
      <c r="MC399">
        <v>57</v>
      </c>
      <c r="MD399">
        <v>15</v>
      </c>
      <c r="ME399">
        <v>108</v>
      </c>
      <c r="MF399">
        <v>242</v>
      </c>
      <c r="MG399">
        <v>157</v>
      </c>
      <c r="MH399">
        <v>30</v>
      </c>
      <c r="MI399">
        <v>43</v>
      </c>
      <c r="MJ399">
        <v>14</v>
      </c>
      <c r="MK399">
        <v>539</v>
      </c>
      <c r="ML399">
        <v>109</v>
      </c>
      <c r="MM399">
        <v>64</v>
      </c>
      <c r="MN399">
        <v>143</v>
      </c>
      <c r="MO399">
        <v>130</v>
      </c>
      <c r="MP399">
        <v>13</v>
      </c>
      <c r="MQ399">
        <v>413</v>
      </c>
      <c r="MR399">
        <v>144</v>
      </c>
      <c r="MS399">
        <v>378</v>
      </c>
      <c r="MT399">
        <v>106</v>
      </c>
      <c r="MU399">
        <v>96</v>
      </c>
      <c r="MV399">
        <v>137</v>
      </c>
      <c r="MW399">
        <v>44</v>
      </c>
      <c r="MX399">
        <v>44</v>
      </c>
      <c r="MY399">
        <v>213</v>
      </c>
      <c r="MZ399">
        <v>2225</v>
      </c>
      <c r="NA399">
        <v>106</v>
      </c>
      <c r="NB399">
        <v>148</v>
      </c>
      <c r="NC399">
        <v>266</v>
      </c>
      <c r="ND399">
        <v>10</v>
      </c>
      <c r="NE399">
        <v>300</v>
      </c>
      <c r="NF399">
        <v>23</v>
      </c>
      <c r="NG399">
        <v>11</v>
      </c>
      <c r="NH399">
        <v>9</v>
      </c>
      <c r="NI399">
        <v>21</v>
      </c>
      <c r="NJ399">
        <v>89</v>
      </c>
      <c r="NK399">
        <v>6</v>
      </c>
      <c r="NL399">
        <v>2</v>
      </c>
      <c r="NM399">
        <v>72</v>
      </c>
      <c r="NN399">
        <v>755</v>
      </c>
      <c r="NO399">
        <v>2939</v>
      </c>
      <c r="NP399">
        <v>2456</v>
      </c>
      <c r="NQ399">
        <v>37</v>
      </c>
      <c r="NR399">
        <v>37</v>
      </c>
      <c r="NS399">
        <v>20</v>
      </c>
      <c r="NT399">
        <v>25</v>
      </c>
      <c r="NU399">
        <v>6</v>
      </c>
      <c r="NV399">
        <v>109</v>
      </c>
      <c r="NW399">
        <v>0</v>
      </c>
      <c r="NX399">
        <v>20</v>
      </c>
      <c r="NY399">
        <v>123</v>
      </c>
      <c r="NZ399">
        <v>252</v>
      </c>
      <c r="OA399">
        <v>101</v>
      </c>
      <c r="OB399">
        <v>46</v>
      </c>
      <c r="OD399">
        <v>1</v>
      </c>
      <c r="OE399">
        <v>107</v>
      </c>
      <c r="OF399">
        <v>0</v>
      </c>
      <c r="OG399">
        <v>21</v>
      </c>
      <c r="OH399">
        <v>61</v>
      </c>
      <c r="OI399">
        <v>324</v>
      </c>
      <c r="OJ399">
        <v>233</v>
      </c>
      <c r="OK399">
        <v>1471</v>
      </c>
      <c r="OL399">
        <v>8</v>
      </c>
      <c r="ON399">
        <v>98</v>
      </c>
      <c r="OO399">
        <v>62229</v>
      </c>
      <c r="OP399">
        <v>6914</v>
      </c>
      <c r="OV399">
        <v>710</v>
      </c>
      <c r="PI399">
        <v>69853</v>
      </c>
      <c r="PM399" t="str">
        <f>IFERROR(VLOOKUP($A399&amp;"",Key!$A:$C,3,FALSE),"")</f>
        <v>ISIC 84</v>
      </c>
    </row>
    <row r="400" spans="1:429" x14ac:dyDescent="0.25">
      <c r="A400" t="s">
        <v>628</v>
      </c>
      <c r="B400" t="s">
        <v>536</v>
      </c>
      <c r="JV400">
        <v>4</v>
      </c>
      <c r="LC400">
        <v>284</v>
      </c>
      <c r="LD400">
        <v>72</v>
      </c>
      <c r="LE400">
        <v>835</v>
      </c>
      <c r="LF400">
        <v>35</v>
      </c>
      <c r="LM400">
        <v>2</v>
      </c>
      <c r="LN400">
        <v>0</v>
      </c>
      <c r="LO400">
        <v>0</v>
      </c>
      <c r="LV400">
        <v>2</v>
      </c>
      <c r="OO400">
        <v>1233</v>
      </c>
      <c r="PI400">
        <v>1233</v>
      </c>
      <c r="PM400" t="str">
        <f>IFERROR(VLOOKUP($A400&amp;"",Key!$A:$C,3,FALSE),"")</f>
        <v>ISIC 84</v>
      </c>
    </row>
    <row r="401" spans="1:429" x14ac:dyDescent="0.25">
      <c r="A401" t="s">
        <v>629</v>
      </c>
      <c r="B401" t="s">
        <v>537</v>
      </c>
      <c r="PE401">
        <v>832472</v>
      </c>
      <c r="PI401">
        <v>832472</v>
      </c>
      <c r="PM401" t="str">
        <f>IFERROR(VLOOKUP($A401&amp;"",Key!$A:$C,3,FALSE),"")</f>
        <v>ISIC 84</v>
      </c>
    </row>
    <row r="402" spans="1:429" x14ac:dyDescent="0.25">
      <c r="A402" t="s">
        <v>630</v>
      </c>
      <c r="B402" t="s">
        <v>538</v>
      </c>
      <c r="PE402">
        <v>68698</v>
      </c>
      <c r="PI402">
        <v>68698</v>
      </c>
      <c r="PM402" t="str">
        <f>IFERROR(VLOOKUP($A402&amp;"",Key!$A:$C,3,FALSE),"")</f>
        <v>ISIC 84</v>
      </c>
    </row>
    <row r="403" spans="1:429" x14ac:dyDescent="0.25">
      <c r="A403" t="s">
        <v>631</v>
      </c>
      <c r="B403" t="s">
        <v>539</v>
      </c>
      <c r="PE403">
        <v>836043</v>
      </c>
      <c r="PI403">
        <v>836043</v>
      </c>
      <c r="PM403" t="str">
        <f>IFERROR(VLOOKUP($A403&amp;"",Key!$A:$C,3,FALSE),"")</f>
        <v>ISIC 84</v>
      </c>
    </row>
    <row r="404" spans="1:429" x14ac:dyDescent="0.25">
      <c r="A404" t="s">
        <v>634</v>
      </c>
      <c r="B404" t="s">
        <v>542</v>
      </c>
      <c r="M404">
        <v>0</v>
      </c>
      <c r="N404">
        <v>1</v>
      </c>
      <c r="X404">
        <v>176</v>
      </c>
      <c r="Y404">
        <v>25</v>
      </c>
      <c r="Z404">
        <v>176</v>
      </c>
      <c r="AM404">
        <v>13</v>
      </c>
      <c r="AN404">
        <v>18</v>
      </c>
      <c r="AO404">
        <v>14</v>
      </c>
      <c r="AP404">
        <v>14</v>
      </c>
      <c r="AQ404">
        <v>16</v>
      </c>
      <c r="AR404">
        <v>61</v>
      </c>
      <c r="AS404">
        <v>3</v>
      </c>
      <c r="AT404">
        <v>28</v>
      </c>
      <c r="AU404">
        <v>4</v>
      </c>
      <c r="AV404">
        <v>11</v>
      </c>
      <c r="AW404">
        <v>7</v>
      </c>
      <c r="AX404">
        <v>2</v>
      </c>
      <c r="AY404">
        <v>5</v>
      </c>
      <c r="AZ404">
        <v>4</v>
      </c>
      <c r="BA404">
        <v>17</v>
      </c>
      <c r="BB404">
        <v>8</v>
      </c>
      <c r="BC404">
        <v>85</v>
      </c>
      <c r="BD404">
        <v>15</v>
      </c>
      <c r="BE404">
        <v>5</v>
      </c>
      <c r="BF404">
        <v>1</v>
      </c>
      <c r="BG404">
        <v>15</v>
      </c>
      <c r="BH404">
        <v>5</v>
      </c>
      <c r="BI404">
        <v>7</v>
      </c>
      <c r="BJ404">
        <v>11</v>
      </c>
      <c r="BK404">
        <v>20</v>
      </c>
      <c r="BL404">
        <v>15</v>
      </c>
      <c r="BM404">
        <v>9</v>
      </c>
      <c r="BN404">
        <v>10</v>
      </c>
      <c r="BO404">
        <v>8</v>
      </c>
      <c r="BP404">
        <v>9</v>
      </c>
      <c r="BQ404">
        <v>19</v>
      </c>
      <c r="BR404">
        <v>20</v>
      </c>
      <c r="BS404">
        <v>6</v>
      </c>
      <c r="BT404">
        <v>4</v>
      </c>
      <c r="BU404">
        <v>5</v>
      </c>
      <c r="BV404">
        <v>7</v>
      </c>
      <c r="BW404">
        <v>5</v>
      </c>
      <c r="BX404">
        <v>24</v>
      </c>
      <c r="BY404">
        <v>24</v>
      </c>
      <c r="BZ404">
        <v>57</v>
      </c>
      <c r="CA404">
        <v>6</v>
      </c>
      <c r="CB404">
        <v>13</v>
      </c>
      <c r="CC404">
        <v>5</v>
      </c>
      <c r="CD404">
        <v>3</v>
      </c>
      <c r="CE404">
        <v>9</v>
      </c>
      <c r="CF404">
        <v>9</v>
      </c>
      <c r="CG404">
        <v>10</v>
      </c>
      <c r="CH404">
        <v>1</v>
      </c>
      <c r="CI404">
        <v>12</v>
      </c>
      <c r="CJ404">
        <v>12</v>
      </c>
      <c r="CK404">
        <v>1</v>
      </c>
      <c r="CL404">
        <v>24</v>
      </c>
      <c r="CM404">
        <v>3</v>
      </c>
      <c r="CN404">
        <v>0</v>
      </c>
      <c r="CO404">
        <v>11</v>
      </c>
      <c r="CP404">
        <v>6</v>
      </c>
      <c r="CQ404">
        <v>13</v>
      </c>
      <c r="CR404">
        <v>5</v>
      </c>
      <c r="CS404">
        <v>6</v>
      </c>
      <c r="CT404">
        <v>4</v>
      </c>
      <c r="CU404">
        <v>5</v>
      </c>
      <c r="CV404">
        <v>7</v>
      </c>
      <c r="CW404">
        <v>7</v>
      </c>
      <c r="CX404">
        <v>2</v>
      </c>
      <c r="CY404">
        <v>4</v>
      </c>
      <c r="CZ404">
        <v>14</v>
      </c>
      <c r="DA404">
        <v>3</v>
      </c>
      <c r="DB404">
        <v>11</v>
      </c>
      <c r="DC404">
        <v>10</v>
      </c>
      <c r="DD404">
        <v>1</v>
      </c>
      <c r="DE404">
        <v>3</v>
      </c>
      <c r="DF404">
        <v>2</v>
      </c>
      <c r="DG404">
        <v>15</v>
      </c>
      <c r="DH404">
        <v>7</v>
      </c>
      <c r="DI404">
        <v>0</v>
      </c>
      <c r="DJ404">
        <v>0</v>
      </c>
      <c r="DK404">
        <v>0</v>
      </c>
      <c r="DL404">
        <v>0</v>
      </c>
      <c r="DM404">
        <v>2</v>
      </c>
      <c r="DN404">
        <v>0</v>
      </c>
      <c r="DO404">
        <v>36</v>
      </c>
      <c r="DP404">
        <v>1</v>
      </c>
      <c r="DQ404">
        <v>2</v>
      </c>
      <c r="DR404">
        <v>5</v>
      </c>
      <c r="DS404">
        <v>42</v>
      </c>
      <c r="DT404">
        <v>0</v>
      </c>
      <c r="DU404">
        <v>0</v>
      </c>
      <c r="DV404">
        <v>0</v>
      </c>
      <c r="DW404">
        <v>5</v>
      </c>
      <c r="DX404">
        <v>4</v>
      </c>
      <c r="DY404">
        <v>0</v>
      </c>
      <c r="DZ404">
        <v>2</v>
      </c>
      <c r="EA404">
        <v>0</v>
      </c>
      <c r="EB404">
        <v>0</v>
      </c>
      <c r="EC404">
        <v>0</v>
      </c>
      <c r="ED404">
        <v>7</v>
      </c>
      <c r="EE404">
        <v>0</v>
      </c>
      <c r="EF404">
        <v>3</v>
      </c>
      <c r="EG404">
        <v>0</v>
      </c>
      <c r="EH404">
        <v>2</v>
      </c>
      <c r="EI404">
        <v>4</v>
      </c>
      <c r="EJ404">
        <v>1</v>
      </c>
      <c r="EK404">
        <v>4</v>
      </c>
      <c r="EL404">
        <v>0</v>
      </c>
      <c r="EM404">
        <v>2</v>
      </c>
      <c r="EN404">
        <v>4</v>
      </c>
      <c r="EO404">
        <v>6</v>
      </c>
      <c r="EP404">
        <v>5</v>
      </c>
      <c r="EQ404">
        <v>3</v>
      </c>
      <c r="ER404">
        <v>24</v>
      </c>
      <c r="ES404">
        <v>2</v>
      </c>
      <c r="ET404">
        <v>7</v>
      </c>
      <c r="EU404">
        <v>4</v>
      </c>
      <c r="EW404">
        <v>5</v>
      </c>
      <c r="EX404">
        <v>17</v>
      </c>
      <c r="EY404">
        <v>6</v>
      </c>
      <c r="EZ404">
        <v>12</v>
      </c>
      <c r="FA404">
        <v>24</v>
      </c>
      <c r="FB404">
        <v>12</v>
      </c>
      <c r="FC404">
        <v>23</v>
      </c>
      <c r="FD404">
        <v>12</v>
      </c>
      <c r="FE404">
        <v>16</v>
      </c>
      <c r="FF404">
        <v>59</v>
      </c>
      <c r="FG404">
        <v>16</v>
      </c>
      <c r="FI404">
        <v>67</v>
      </c>
      <c r="FJ404">
        <v>6</v>
      </c>
      <c r="FK404">
        <v>19</v>
      </c>
      <c r="FL404">
        <v>6</v>
      </c>
      <c r="FM404">
        <v>4</v>
      </c>
      <c r="FN404">
        <v>3</v>
      </c>
      <c r="FO404">
        <v>4</v>
      </c>
      <c r="FP404">
        <v>12</v>
      </c>
      <c r="FQ404">
        <v>6</v>
      </c>
      <c r="FR404">
        <v>1</v>
      </c>
      <c r="FS404">
        <v>3</v>
      </c>
      <c r="FT404">
        <v>2</v>
      </c>
      <c r="FU404">
        <v>4</v>
      </c>
      <c r="FV404">
        <v>13</v>
      </c>
      <c r="FW404">
        <v>6</v>
      </c>
      <c r="FX404">
        <v>20</v>
      </c>
      <c r="FY404">
        <v>21</v>
      </c>
      <c r="FZ404">
        <v>4</v>
      </c>
      <c r="GA404">
        <v>2</v>
      </c>
      <c r="GB404">
        <v>6</v>
      </c>
      <c r="GC404">
        <v>3</v>
      </c>
      <c r="GD404">
        <v>6</v>
      </c>
      <c r="GE404">
        <v>0</v>
      </c>
      <c r="GF404">
        <v>3</v>
      </c>
      <c r="GG404">
        <v>13</v>
      </c>
      <c r="GH404">
        <v>17</v>
      </c>
      <c r="GI404">
        <v>15</v>
      </c>
      <c r="GJ404">
        <v>11</v>
      </c>
      <c r="GK404">
        <v>9</v>
      </c>
      <c r="GL404">
        <v>21</v>
      </c>
      <c r="GM404">
        <v>2</v>
      </c>
      <c r="GN404">
        <v>6</v>
      </c>
      <c r="GO404">
        <v>8</v>
      </c>
      <c r="GP404">
        <v>40</v>
      </c>
      <c r="GQ404">
        <v>35</v>
      </c>
      <c r="GR404">
        <v>49</v>
      </c>
      <c r="GS404">
        <v>34</v>
      </c>
      <c r="GT404">
        <v>30</v>
      </c>
      <c r="GU404">
        <v>65</v>
      </c>
      <c r="GV404">
        <v>17</v>
      </c>
      <c r="GW404">
        <v>86</v>
      </c>
      <c r="GX404">
        <v>96</v>
      </c>
      <c r="GY404">
        <v>13</v>
      </c>
      <c r="GZ404">
        <v>44</v>
      </c>
      <c r="HA404">
        <v>23</v>
      </c>
      <c r="HB404">
        <v>34</v>
      </c>
      <c r="HC404">
        <v>5</v>
      </c>
      <c r="HD404">
        <v>13</v>
      </c>
      <c r="HE404">
        <v>21</v>
      </c>
      <c r="HF404">
        <v>34</v>
      </c>
      <c r="HG404">
        <v>65</v>
      </c>
      <c r="HH404">
        <v>39</v>
      </c>
      <c r="HI404">
        <v>10</v>
      </c>
      <c r="HJ404">
        <v>10</v>
      </c>
      <c r="HK404">
        <v>21</v>
      </c>
      <c r="HL404">
        <v>4</v>
      </c>
      <c r="HM404">
        <v>15</v>
      </c>
      <c r="HN404">
        <v>12</v>
      </c>
      <c r="HO404">
        <v>10</v>
      </c>
      <c r="HP404">
        <v>3</v>
      </c>
      <c r="HQ404">
        <v>6</v>
      </c>
      <c r="HR404">
        <v>0</v>
      </c>
      <c r="HS404">
        <v>1</v>
      </c>
      <c r="HT404">
        <v>11</v>
      </c>
      <c r="HU404">
        <v>45</v>
      </c>
      <c r="HV404">
        <v>67</v>
      </c>
      <c r="HW404">
        <v>45</v>
      </c>
      <c r="HX404">
        <v>18</v>
      </c>
      <c r="HY404">
        <v>3</v>
      </c>
      <c r="HZ404">
        <v>8</v>
      </c>
      <c r="IA404">
        <v>8</v>
      </c>
      <c r="IB404">
        <v>54</v>
      </c>
      <c r="IC404">
        <v>3</v>
      </c>
      <c r="ID404">
        <v>290</v>
      </c>
      <c r="IE404">
        <v>8</v>
      </c>
      <c r="IF404">
        <v>16</v>
      </c>
      <c r="IG404">
        <v>32</v>
      </c>
      <c r="IH404">
        <v>35</v>
      </c>
      <c r="II404">
        <v>26</v>
      </c>
      <c r="IJ404">
        <v>10</v>
      </c>
      <c r="IK404">
        <v>111</v>
      </c>
      <c r="IL404">
        <v>788</v>
      </c>
      <c r="IM404">
        <v>125</v>
      </c>
      <c r="IN404">
        <v>22</v>
      </c>
      <c r="IO404">
        <v>14</v>
      </c>
      <c r="IP404">
        <v>54</v>
      </c>
      <c r="IQ404">
        <v>6</v>
      </c>
      <c r="IR404">
        <v>30</v>
      </c>
      <c r="IS404">
        <v>12</v>
      </c>
      <c r="IT404">
        <v>16</v>
      </c>
      <c r="IU404">
        <v>23</v>
      </c>
      <c r="IV404">
        <v>15</v>
      </c>
      <c r="IW404">
        <v>28</v>
      </c>
      <c r="IX404">
        <v>16</v>
      </c>
      <c r="IY404">
        <v>3</v>
      </c>
      <c r="IZ404">
        <v>76</v>
      </c>
      <c r="JA404">
        <v>29</v>
      </c>
      <c r="JB404">
        <v>20</v>
      </c>
      <c r="JC404">
        <v>8</v>
      </c>
      <c r="JD404">
        <v>10</v>
      </c>
      <c r="JE404">
        <v>8</v>
      </c>
      <c r="JF404">
        <v>7</v>
      </c>
      <c r="JG404">
        <v>73</v>
      </c>
      <c r="JH404">
        <v>18</v>
      </c>
      <c r="JI404">
        <v>7</v>
      </c>
      <c r="JJ404">
        <v>14</v>
      </c>
      <c r="JK404">
        <v>142</v>
      </c>
      <c r="JL404">
        <v>70</v>
      </c>
      <c r="JM404">
        <v>537</v>
      </c>
      <c r="JN404">
        <v>102</v>
      </c>
      <c r="JO404">
        <v>284</v>
      </c>
      <c r="JP404">
        <v>40</v>
      </c>
      <c r="JQ404">
        <v>231</v>
      </c>
      <c r="JR404">
        <v>24</v>
      </c>
      <c r="JS404">
        <v>243</v>
      </c>
      <c r="JT404">
        <v>34</v>
      </c>
      <c r="JV404">
        <v>607</v>
      </c>
      <c r="JW404">
        <v>344</v>
      </c>
      <c r="JX404">
        <v>190</v>
      </c>
      <c r="JY404">
        <v>112</v>
      </c>
      <c r="JZ404">
        <v>124</v>
      </c>
      <c r="KA404">
        <v>314</v>
      </c>
      <c r="KB404">
        <v>107</v>
      </c>
      <c r="KC404">
        <v>81</v>
      </c>
      <c r="KD404">
        <v>207</v>
      </c>
      <c r="KE404">
        <v>4</v>
      </c>
      <c r="KH404">
        <v>420</v>
      </c>
      <c r="KI404">
        <v>6</v>
      </c>
      <c r="KJ404">
        <v>7</v>
      </c>
      <c r="KK404">
        <v>63</v>
      </c>
      <c r="KL404">
        <v>52</v>
      </c>
      <c r="KM404">
        <v>185</v>
      </c>
      <c r="KN404">
        <v>6</v>
      </c>
      <c r="KO404">
        <v>5</v>
      </c>
      <c r="KP404">
        <v>18</v>
      </c>
      <c r="KQ404">
        <v>2</v>
      </c>
      <c r="KR404">
        <v>39</v>
      </c>
      <c r="KS404">
        <v>49</v>
      </c>
      <c r="KT404">
        <v>2</v>
      </c>
      <c r="KU404">
        <v>5</v>
      </c>
      <c r="KV404">
        <v>14</v>
      </c>
      <c r="KW404">
        <v>9</v>
      </c>
      <c r="KX404">
        <v>10</v>
      </c>
      <c r="KY404">
        <v>59</v>
      </c>
      <c r="KZ404">
        <v>59</v>
      </c>
      <c r="LA404">
        <v>30</v>
      </c>
      <c r="LC404">
        <v>257</v>
      </c>
      <c r="LD404">
        <v>402</v>
      </c>
      <c r="LE404">
        <v>153</v>
      </c>
      <c r="LF404">
        <v>37</v>
      </c>
      <c r="LH404">
        <v>69</v>
      </c>
      <c r="LI404">
        <v>29</v>
      </c>
      <c r="LM404">
        <v>2086</v>
      </c>
      <c r="LN404">
        <v>975</v>
      </c>
      <c r="LO404">
        <v>66</v>
      </c>
      <c r="LP404">
        <v>22</v>
      </c>
      <c r="LQ404">
        <v>29</v>
      </c>
      <c r="LR404">
        <v>558</v>
      </c>
      <c r="LS404">
        <v>37</v>
      </c>
      <c r="LT404">
        <v>92</v>
      </c>
      <c r="LU404">
        <v>142</v>
      </c>
      <c r="LV404">
        <v>71</v>
      </c>
      <c r="LW404">
        <v>106</v>
      </c>
      <c r="LX404">
        <v>204</v>
      </c>
      <c r="LY404">
        <v>37</v>
      </c>
      <c r="LZ404">
        <v>337</v>
      </c>
      <c r="MA404">
        <v>34</v>
      </c>
      <c r="MB404">
        <v>9</v>
      </c>
      <c r="MC404">
        <v>3</v>
      </c>
      <c r="MD404">
        <v>23</v>
      </c>
      <c r="ME404">
        <v>192</v>
      </c>
      <c r="MF404">
        <v>580</v>
      </c>
      <c r="MG404">
        <v>106</v>
      </c>
      <c r="MH404">
        <v>312</v>
      </c>
      <c r="MI404">
        <v>260</v>
      </c>
      <c r="MJ404">
        <v>115</v>
      </c>
      <c r="MK404">
        <v>79</v>
      </c>
      <c r="ML404">
        <v>240</v>
      </c>
      <c r="MM404">
        <v>25</v>
      </c>
      <c r="MN404">
        <v>148</v>
      </c>
      <c r="MO404">
        <v>702</v>
      </c>
      <c r="MP404">
        <v>17</v>
      </c>
      <c r="MQ404">
        <v>14</v>
      </c>
      <c r="MR404">
        <v>103</v>
      </c>
      <c r="MS404">
        <v>369</v>
      </c>
      <c r="MT404">
        <v>38</v>
      </c>
      <c r="MU404">
        <v>80</v>
      </c>
      <c r="MV404">
        <v>125</v>
      </c>
      <c r="MW404">
        <v>28</v>
      </c>
      <c r="MX404">
        <v>39</v>
      </c>
      <c r="MY404">
        <v>22</v>
      </c>
      <c r="MZ404">
        <v>758</v>
      </c>
      <c r="NA404">
        <v>430</v>
      </c>
      <c r="NB404">
        <v>67</v>
      </c>
      <c r="NC404">
        <v>159</v>
      </c>
      <c r="ND404">
        <v>188</v>
      </c>
      <c r="NE404">
        <v>30</v>
      </c>
      <c r="NF404">
        <v>9</v>
      </c>
      <c r="NG404">
        <v>18</v>
      </c>
      <c r="NH404">
        <v>5</v>
      </c>
      <c r="NI404">
        <v>35</v>
      </c>
      <c r="NJ404">
        <v>26</v>
      </c>
      <c r="NK404">
        <v>32</v>
      </c>
      <c r="NM404">
        <v>176</v>
      </c>
      <c r="NN404">
        <v>804</v>
      </c>
      <c r="NO404">
        <v>753</v>
      </c>
      <c r="NP404">
        <v>618</v>
      </c>
      <c r="NQ404">
        <v>66</v>
      </c>
      <c r="NR404">
        <v>205</v>
      </c>
      <c r="NS404">
        <v>15</v>
      </c>
      <c r="NT404">
        <v>42</v>
      </c>
      <c r="NU404">
        <v>26</v>
      </c>
      <c r="NV404">
        <v>180</v>
      </c>
      <c r="NW404">
        <v>6</v>
      </c>
      <c r="NX404">
        <v>180</v>
      </c>
      <c r="NY404">
        <v>91</v>
      </c>
      <c r="NZ404">
        <v>26</v>
      </c>
      <c r="OA404">
        <v>8</v>
      </c>
      <c r="OB404">
        <v>359</v>
      </c>
      <c r="OD404">
        <v>1280</v>
      </c>
      <c r="OE404">
        <v>740</v>
      </c>
      <c r="OF404">
        <v>258</v>
      </c>
      <c r="OI404">
        <v>2040</v>
      </c>
      <c r="OJ404">
        <v>1387</v>
      </c>
      <c r="OK404">
        <v>2950</v>
      </c>
      <c r="OL404">
        <v>10</v>
      </c>
      <c r="ON404">
        <v>1377</v>
      </c>
      <c r="OO404">
        <v>34550</v>
      </c>
      <c r="OP404">
        <v>72509</v>
      </c>
      <c r="PI404">
        <v>107059</v>
      </c>
      <c r="PM404" t="str">
        <f>IFERROR(VLOOKUP($A404&amp;"",Key!$A:$C,3,FALSE),"")</f>
        <v>ISIC 84</v>
      </c>
    </row>
    <row r="405" spans="1:429" x14ac:dyDescent="0.25">
      <c r="A405" t="s">
        <v>664</v>
      </c>
      <c r="B405" t="s">
        <v>665</v>
      </c>
      <c r="AR405">
        <v>169</v>
      </c>
      <c r="BC405">
        <v>30485</v>
      </c>
      <c r="BD405">
        <v>1830</v>
      </c>
      <c r="BE405">
        <v>3107</v>
      </c>
      <c r="BF405">
        <v>13</v>
      </c>
      <c r="BG405">
        <v>1727</v>
      </c>
      <c r="BH405">
        <v>56</v>
      </c>
      <c r="BI405">
        <v>1423</v>
      </c>
      <c r="BJ405">
        <v>699</v>
      </c>
      <c r="BK405">
        <v>3895</v>
      </c>
      <c r="BL405">
        <v>412</v>
      </c>
      <c r="BN405">
        <v>3</v>
      </c>
      <c r="BQ405">
        <v>52</v>
      </c>
      <c r="BR405">
        <v>185</v>
      </c>
      <c r="BW405">
        <v>1</v>
      </c>
      <c r="CB405">
        <v>865</v>
      </c>
      <c r="CX405">
        <v>4</v>
      </c>
      <c r="CY405">
        <v>9</v>
      </c>
      <c r="DG405">
        <v>1</v>
      </c>
      <c r="GP405">
        <v>2</v>
      </c>
      <c r="GT405">
        <v>1</v>
      </c>
      <c r="HQ405">
        <v>35</v>
      </c>
      <c r="HT405">
        <v>216</v>
      </c>
      <c r="HU405">
        <v>779</v>
      </c>
      <c r="HV405">
        <v>2355</v>
      </c>
      <c r="HY405">
        <v>386</v>
      </c>
      <c r="IA405">
        <v>244</v>
      </c>
      <c r="IZ405">
        <v>78</v>
      </c>
      <c r="JB405">
        <v>6</v>
      </c>
      <c r="JF405">
        <v>8</v>
      </c>
      <c r="JG405">
        <v>47</v>
      </c>
      <c r="JH405">
        <v>29</v>
      </c>
      <c r="JJ405">
        <v>4</v>
      </c>
      <c r="OO405">
        <v>49124</v>
      </c>
      <c r="OP405">
        <v>-12990</v>
      </c>
      <c r="OQ405">
        <v>-9109</v>
      </c>
      <c r="OU405">
        <v>172</v>
      </c>
      <c r="OV405">
        <v>19710</v>
      </c>
      <c r="PB405">
        <v>0</v>
      </c>
      <c r="PI405">
        <v>46908</v>
      </c>
      <c r="PM405" t="str">
        <f>IFERROR(VLOOKUP($A405&amp;"",Key!$A:$C,3,FALSE),"")</f>
        <v>ISIC 45T47</v>
      </c>
    </row>
    <row r="406" spans="1:429" x14ac:dyDescent="0.25">
      <c r="A406" t="s">
        <v>666</v>
      </c>
      <c r="B406" t="s">
        <v>667</v>
      </c>
      <c r="G406">
        <v>-18</v>
      </c>
      <c r="N406">
        <v>229</v>
      </c>
      <c r="V406">
        <v>1292</v>
      </c>
      <c r="X406">
        <v>6961</v>
      </c>
      <c r="Z406">
        <v>1063</v>
      </c>
      <c r="AJ406">
        <v>1773</v>
      </c>
      <c r="AK406">
        <v>1417</v>
      </c>
      <c r="GC406">
        <v>3</v>
      </c>
      <c r="GH406">
        <v>136</v>
      </c>
      <c r="JH406">
        <v>2</v>
      </c>
      <c r="JV406">
        <v>54</v>
      </c>
      <c r="KC406">
        <v>275</v>
      </c>
      <c r="KE406">
        <v>13</v>
      </c>
      <c r="KG406">
        <v>-183</v>
      </c>
      <c r="KH406">
        <v>1024</v>
      </c>
      <c r="KI406">
        <v>6</v>
      </c>
      <c r="KJ406">
        <v>159</v>
      </c>
      <c r="KK406">
        <v>4368</v>
      </c>
      <c r="KL406">
        <v>1738</v>
      </c>
      <c r="KM406">
        <v>0</v>
      </c>
      <c r="KS406">
        <v>182</v>
      </c>
      <c r="KU406">
        <v>1</v>
      </c>
      <c r="LP406">
        <v>16</v>
      </c>
      <c r="MF406">
        <v>739</v>
      </c>
      <c r="MR406">
        <v>851</v>
      </c>
      <c r="MY406">
        <v>0</v>
      </c>
      <c r="NF406">
        <v>-139</v>
      </c>
      <c r="NJ406">
        <v>39</v>
      </c>
      <c r="NL406">
        <v>461</v>
      </c>
      <c r="NM406">
        <v>652</v>
      </c>
      <c r="NR406">
        <v>10586</v>
      </c>
      <c r="NW406">
        <v>0</v>
      </c>
      <c r="NX406">
        <v>16</v>
      </c>
      <c r="NZ406">
        <v>142</v>
      </c>
      <c r="OA406">
        <v>1</v>
      </c>
      <c r="OD406">
        <v>-43</v>
      </c>
      <c r="OO406">
        <v>33816</v>
      </c>
      <c r="OP406">
        <v>222777</v>
      </c>
      <c r="OQ406">
        <v>-97599</v>
      </c>
      <c r="OS406">
        <v>1883</v>
      </c>
      <c r="OT406">
        <v>-2586</v>
      </c>
      <c r="OU406">
        <v>3969</v>
      </c>
      <c r="OV406">
        <v>15515</v>
      </c>
      <c r="OX406">
        <v>0</v>
      </c>
      <c r="OZ406">
        <v>-4</v>
      </c>
      <c r="PB406">
        <v>-4</v>
      </c>
      <c r="PD406">
        <v>-2683</v>
      </c>
      <c r="PF406">
        <v>-14497</v>
      </c>
      <c r="PH406">
        <v>3909</v>
      </c>
      <c r="PI406">
        <v>164495</v>
      </c>
      <c r="PM406" t="str">
        <f>IFERROR(VLOOKUP($A406&amp;"",Key!$A:$C,3,FALSE),"")</f>
        <v>ISIC 45T47</v>
      </c>
    </row>
    <row r="407" spans="1:429" x14ac:dyDescent="0.25">
      <c r="A407" t="s">
        <v>668</v>
      </c>
      <c r="B407" t="s">
        <v>669</v>
      </c>
      <c r="C407">
        <v>111</v>
      </c>
      <c r="D407">
        <v>371</v>
      </c>
      <c r="I407">
        <v>181</v>
      </c>
      <c r="J407">
        <v>172</v>
      </c>
      <c r="K407">
        <v>133</v>
      </c>
      <c r="L407">
        <v>119</v>
      </c>
      <c r="M407">
        <v>2</v>
      </c>
      <c r="N407">
        <v>1</v>
      </c>
      <c r="O407">
        <v>46</v>
      </c>
      <c r="P407">
        <v>512</v>
      </c>
      <c r="Q407">
        <v>4</v>
      </c>
      <c r="R407">
        <v>9</v>
      </c>
      <c r="S407">
        <v>5</v>
      </c>
      <c r="T407">
        <v>0</v>
      </c>
      <c r="U407">
        <v>1</v>
      </c>
      <c r="V407">
        <v>74</v>
      </c>
      <c r="W407">
        <v>343</v>
      </c>
      <c r="X407">
        <v>1797</v>
      </c>
      <c r="Y407">
        <v>90</v>
      </c>
      <c r="Z407">
        <v>13</v>
      </c>
      <c r="AA407">
        <v>75</v>
      </c>
      <c r="AE407">
        <v>153</v>
      </c>
      <c r="AF407">
        <v>126</v>
      </c>
      <c r="AG407">
        <v>446</v>
      </c>
      <c r="AI407">
        <v>130</v>
      </c>
      <c r="AJ407">
        <v>223</v>
      </c>
      <c r="AK407">
        <v>366</v>
      </c>
      <c r="AL407">
        <v>263</v>
      </c>
      <c r="AM407">
        <v>68</v>
      </c>
      <c r="AN407">
        <v>44</v>
      </c>
      <c r="AO407">
        <v>50</v>
      </c>
      <c r="AP407">
        <v>30</v>
      </c>
      <c r="AQ407">
        <v>21</v>
      </c>
      <c r="AR407">
        <v>101</v>
      </c>
      <c r="AS407">
        <v>22</v>
      </c>
      <c r="AT407">
        <v>10</v>
      </c>
      <c r="AU407">
        <v>10</v>
      </c>
      <c r="AV407">
        <v>34</v>
      </c>
      <c r="AW407">
        <v>11</v>
      </c>
      <c r="AX407">
        <v>14</v>
      </c>
      <c r="AY407">
        <v>9</v>
      </c>
      <c r="AZ407">
        <v>8</v>
      </c>
      <c r="BA407">
        <v>14</v>
      </c>
      <c r="BB407">
        <v>15</v>
      </c>
      <c r="BC407">
        <v>326</v>
      </c>
      <c r="BD407">
        <v>35</v>
      </c>
      <c r="BF407">
        <v>6</v>
      </c>
      <c r="BG407">
        <v>29</v>
      </c>
      <c r="BH407">
        <v>82</v>
      </c>
      <c r="BI407">
        <v>67</v>
      </c>
      <c r="BJ407">
        <v>47</v>
      </c>
      <c r="BK407">
        <v>48</v>
      </c>
      <c r="BM407">
        <v>23</v>
      </c>
      <c r="BN407">
        <v>28</v>
      </c>
      <c r="BO407">
        <v>36</v>
      </c>
      <c r="BP407">
        <v>32</v>
      </c>
      <c r="BQ407">
        <v>166</v>
      </c>
      <c r="BR407">
        <v>111</v>
      </c>
      <c r="BS407">
        <v>29</v>
      </c>
      <c r="BT407">
        <v>12</v>
      </c>
      <c r="BU407">
        <v>71</v>
      </c>
      <c r="BV407">
        <v>20</v>
      </c>
      <c r="BW407">
        <v>23</v>
      </c>
      <c r="BY407">
        <v>32</v>
      </c>
      <c r="CA407">
        <v>22</v>
      </c>
      <c r="CB407">
        <v>90</v>
      </c>
      <c r="CC407">
        <v>17</v>
      </c>
      <c r="CE407">
        <v>13</v>
      </c>
      <c r="CF407">
        <v>46</v>
      </c>
      <c r="CG407">
        <v>130</v>
      </c>
      <c r="CH407">
        <v>35</v>
      </c>
      <c r="CI407">
        <v>161</v>
      </c>
      <c r="CJ407">
        <v>161</v>
      </c>
      <c r="CK407">
        <v>31</v>
      </c>
      <c r="CL407">
        <v>102</v>
      </c>
      <c r="CM407">
        <v>15</v>
      </c>
      <c r="CN407">
        <v>5</v>
      </c>
      <c r="CO407">
        <v>83</v>
      </c>
      <c r="CP407">
        <v>17</v>
      </c>
      <c r="CQ407">
        <v>145</v>
      </c>
      <c r="CR407">
        <v>15</v>
      </c>
      <c r="CS407">
        <v>14</v>
      </c>
      <c r="CT407">
        <v>21</v>
      </c>
      <c r="CU407">
        <v>28</v>
      </c>
      <c r="CV407">
        <v>22</v>
      </c>
      <c r="CW407">
        <v>48</v>
      </c>
      <c r="CX407">
        <v>10</v>
      </c>
      <c r="CY407">
        <v>15</v>
      </c>
      <c r="CZ407">
        <v>162</v>
      </c>
      <c r="DA407">
        <v>30</v>
      </c>
      <c r="DB407">
        <v>55</v>
      </c>
      <c r="DC407">
        <v>94</v>
      </c>
      <c r="DD407">
        <v>12</v>
      </c>
      <c r="DE407">
        <v>15</v>
      </c>
      <c r="DF407">
        <v>6</v>
      </c>
      <c r="DG407">
        <v>99</v>
      </c>
      <c r="DH407">
        <v>53</v>
      </c>
      <c r="DI407">
        <v>2</v>
      </c>
      <c r="DJ407">
        <v>4</v>
      </c>
      <c r="DK407">
        <v>12</v>
      </c>
      <c r="DL407">
        <v>81</v>
      </c>
      <c r="DM407">
        <v>356</v>
      </c>
      <c r="DN407">
        <v>22</v>
      </c>
      <c r="DO407">
        <v>127</v>
      </c>
      <c r="DP407">
        <v>64</v>
      </c>
      <c r="DQ407">
        <v>66</v>
      </c>
      <c r="DR407">
        <v>255</v>
      </c>
      <c r="DS407">
        <v>192</v>
      </c>
      <c r="DT407">
        <v>4</v>
      </c>
      <c r="DU407">
        <v>53</v>
      </c>
      <c r="DV407">
        <v>48</v>
      </c>
      <c r="DW407">
        <v>79</v>
      </c>
      <c r="DX407">
        <v>88</v>
      </c>
      <c r="DY407">
        <v>42</v>
      </c>
      <c r="DZ407">
        <v>18</v>
      </c>
      <c r="EA407">
        <v>11</v>
      </c>
      <c r="EB407">
        <v>5</v>
      </c>
      <c r="EC407">
        <v>7</v>
      </c>
      <c r="ED407">
        <v>35</v>
      </c>
      <c r="EE407">
        <v>8</v>
      </c>
      <c r="EF407">
        <v>42</v>
      </c>
      <c r="EG407">
        <v>14</v>
      </c>
      <c r="EH407">
        <v>30</v>
      </c>
      <c r="EI407">
        <v>32</v>
      </c>
      <c r="EJ407">
        <v>37</v>
      </c>
      <c r="EK407">
        <v>18</v>
      </c>
      <c r="EL407">
        <v>2</v>
      </c>
      <c r="EM407">
        <v>48</v>
      </c>
      <c r="EN407">
        <v>58</v>
      </c>
      <c r="EO407">
        <v>8</v>
      </c>
      <c r="EP407">
        <v>31</v>
      </c>
      <c r="EQ407">
        <v>237</v>
      </c>
      <c r="ER407">
        <v>333</v>
      </c>
      <c r="ES407">
        <v>66</v>
      </c>
      <c r="EX407">
        <v>149</v>
      </c>
      <c r="EY407">
        <v>45</v>
      </c>
      <c r="EZ407">
        <v>120</v>
      </c>
      <c r="FA407">
        <v>182</v>
      </c>
      <c r="FB407">
        <v>107</v>
      </c>
      <c r="FC407">
        <v>146</v>
      </c>
      <c r="FD407">
        <v>79</v>
      </c>
      <c r="FE407">
        <v>305</v>
      </c>
      <c r="FF407">
        <v>569</v>
      </c>
      <c r="FG407">
        <v>143</v>
      </c>
      <c r="FI407">
        <v>0</v>
      </c>
      <c r="FJ407">
        <v>90</v>
      </c>
      <c r="FL407">
        <v>16</v>
      </c>
      <c r="FP407">
        <v>25</v>
      </c>
      <c r="FQ407">
        <v>44</v>
      </c>
      <c r="FR407">
        <v>16</v>
      </c>
      <c r="FS407">
        <v>17</v>
      </c>
      <c r="FU407">
        <v>27</v>
      </c>
      <c r="FV407">
        <v>41</v>
      </c>
      <c r="FW407">
        <v>3</v>
      </c>
      <c r="FX407">
        <v>139</v>
      </c>
      <c r="FY407">
        <v>165</v>
      </c>
      <c r="FZ407">
        <v>19</v>
      </c>
      <c r="GA407">
        <v>19</v>
      </c>
      <c r="GB407">
        <v>12</v>
      </c>
      <c r="GC407">
        <v>40</v>
      </c>
      <c r="GD407">
        <v>36</v>
      </c>
      <c r="GE407">
        <v>3</v>
      </c>
      <c r="GF407">
        <v>8</v>
      </c>
      <c r="GG407">
        <v>44</v>
      </c>
      <c r="GH407">
        <v>69</v>
      </c>
      <c r="GI407">
        <v>70</v>
      </c>
      <c r="GJ407">
        <v>125</v>
      </c>
      <c r="GK407">
        <v>39</v>
      </c>
      <c r="GL407">
        <v>22</v>
      </c>
      <c r="GM407">
        <v>19</v>
      </c>
      <c r="GN407">
        <v>71</v>
      </c>
      <c r="GO407">
        <v>30</v>
      </c>
      <c r="GP407">
        <v>55</v>
      </c>
      <c r="GQ407">
        <v>120</v>
      </c>
      <c r="GR407">
        <v>101</v>
      </c>
      <c r="GS407">
        <v>169</v>
      </c>
      <c r="GT407">
        <v>98</v>
      </c>
      <c r="GU407">
        <v>104</v>
      </c>
      <c r="GV407">
        <v>17</v>
      </c>
      <c r="GW407">
        <v>34</v>
      </c>
      <c r="GX407">
        <v>171</v>
      </c>
      <c r="GY407">
        <v>14</v>
      </c>
      <c r="GZ407">
        <v>101</v>
      </c>
      <c r="HA407">
        <v>49</v>
      </c>
      <c r="HB407">
        <v>132</v>
      </c>
      <c r="HC407">
        <v>35</v>
      </c>
      <c r="HD407">
        <v>12</v>
      </c>
      <c r="HE407">
        <v>63</v>
      </c>
      <c r="HF407">
        <v>64</v>
      </c>
      <c r="HG407">
        <v>145</v>
      </c>
      <c r="HH407">
        <v>79</v>
      </c>
      <c r="HI407">
        <v>45</v>
      </c>
      <c r="HJ407">
        <v>22</v>
      </c>
      <c r="HK407">
        <v>145</v>
      </c>
      <c r="HL407">
        <v>15</v>
      </c>
      <c r="HM407">
        <v>36</v>
      </c>
      <c r="HN407">
        <v>5</v>
      </c>
      <c r="HO407">
        <v>23</v>
      </c>
      <c r="HP407">
        <v>7</v>
      </c>
      <c r="HQ407">
        <v>19</v>
      </c>
      <c r="HR407">
        <v>15</v>
      </c>
      <c r="HT407">
        <v>20</v>
      </c>
      <c r="HU407">
        <v>146</v>
      </c>
      <c r="HV407">
        <v>10</v>
      </c>
      <c r="HW407">
        <v>309</v>
      </c>
      <c r="HX407">
        <v>71</v>
      </c>
      <c r="HY407">
        <v>5</v>
      </c>
      <c r="HZ407">
        <v>42</v>
      </c>
      <c r="IA407">
        <v>8</v>
      </c>
      <c r="IB407">
        <v>302</v>
      </c>
      <c r="ID407">
        <v>5608</v>
      </c>
      <c r="IE407">
        <v>63</v>
      </c>
      <c r="IG407">
        <v>10</v>
      </c>
      <c r="IH407">
        <v>513</v>
      </c>
      <c r="II407">
        <v>23</v>
      </c>
      <c r="IJ407">
        <v>23</v>
      </c>
      <c r="IK407">
        <v>108</v>
      </c>
      <c r="IL407">
        <v>580</v>
      </c>
      <c r="IM407">
        <v>292</v>
      </c>
      <c r="IN407">
        <v>38</v>
      </c>
      <c r="IO407">
        <v>51</v>
      </c>
      <c r="IP407">
        <v>290</v>
      </c>
      <c r="IR407">
        <v>140</v>
      </c>
      <c r="IS407">
        <v>92</v>
      </c>
      <c r="IT407">
        <v>30</v>
      </c>
      <c r="IU407">
        <v>52</v>
      </c>
      <c r="IV407">
        <v>30</v>
      </c>
      <c r="IW407">
        <v>139</v>
      </c>
      <c r="IX407">
        <v>66</v>
      </c>
      <c r="IY407">
        <v>11</v>
      </c>
      <c r="IZ407">
        <v>82</v>
      </c>
      <c r="JA407">
        <v>121</v>
      </c>
      <c r="JB407">
        <v>62</v>
      </c>
      <c r="JF407">
        <v>51</v>
      </c>
      <c r="JG407">
        <v>344</v>
      </c>
      <c r="JH407">
        <v>58</v>
      </c>
      <c r="JI407">
        <v>19</v>
      </c>
      <c r="JJ407">
        <v>72</v>
      </c>
      <c r="JK407">
        <v>575</v>
      </c>
      <c r="JL407">
        <v>990</v>
      </c>
      <c r="JM407">
        <v>1190</v>
      </c>
      <c r="JN407">
        <v>1134</v>
      </c>
      <c r="JO407">
        <v>1011</v>
      </c>
      <c r="JP407">
        <v>434</v>
      </c>
      <c r="JQ407">
        <v>796</v>
      </c>
      <c r="JR407">
        <v>858</v>
      </c>
      <c r="JS407">
        <v>857</v>
      </c>
      <c r="JT407">
        <v>397</v>
      </c>
      <c r="JV407">
        <v>120</v>
      </c>
      <c r="JW407">
        <v>512</v>
      </c>
      <c r="JX407">
        <v>1016</v>
      </c>
      <c r="JZ407">
        <v>177</v>
      </c>
      <c r="KA407">
        <v>107</v>
      </c>
      <c r="KB407">
        <v>284</v>
      </c>
      <c r="KC407">
        <v>2601</v>
      </c>
      <c r="KD407">
        <v>139</v>
      </c>
      <c r="KE407">
        <v>15226</v>
      </c>
      <c r="KF407">
        <v>138</v>
      </c>
      <c r="KG407">
        <v>1681</v>
      </c>
      <c r="KH407">
        <v>947</v>
      </c>
      <c r="KI407">
        <v>15</v>
      </c>
      <c r="KJ407">
        <v>47</v>
      </c>
      <c r="KK407">
        <v>455</v>
      </c>
      <c r="KL407">
        <v>92</v>
      </c>
      <c r="KM407">
        <v>108</v>
      </c>
      <c r="KN407">
        <v>101</v>
      </c>
      <c r="KO407">
        <v>8</v>
      </c>
      <c r="KP407">
        <v>87</v>
      </c>
      <c r="KQ407">
        <v>34</v>
      </c>
      <c r="KR407">
        <v>663</v>
      </c>
      <c r="KS407">
        <v>274</v>
      </c>
      <c r="KT407">
        <v>45</v>
      </c>
      <c r="KU407">
        <v>49</v>
      </c>
      <c r="KV407">
        <v>159</v>
      </c>
      <c r="KW407">
        <v>2872</v>
      </c>
      <c r="KX407">
        <v>3886</v>
      </c>
      <c r="KY407">
        <v>442</v>
      </c>
      <c r="KZ407">
        <v>525</v>
      </c>
      <c r="LA407">
        <v>240</v>
      </c>
      <c r="LB407">
        <v>11</v>
      </c>
      <c r="LC407">
        <v>1719</v>
      </c>
      <c r="LD407">
        <v>2573</v>
      </c>
      <c r="LE407">
        <v>779</v>
      </c>
      <c r="LF407">
        <v>32051</v>
      </c>
      <c r="LG407">
        <v>255</v>
      </c>
      <c r="LH407">
        <v>547</v>
      </c>
      <c r="LI407">
        <v>577</v>
      </c>
      <c r="LJ407">
        <v>249</v>
      </c>
      <c r="LL407">
        <v>98</v>
      </c>
      <c r="LM407">
        <v>1316</v>
      </c>
      <c r="LN407">
        <v>49</v>
      </c>
      <c r="LO407">
        <v>468</v>
      </c>
      <c r="LP407">
        <v>126</v>
      </c>
      <c r="LQ407">
        <v>912</v>
      </c>
      <c r="LR407">
        <v>278</v>
      </c>
      <c r="LS407">
        <v>514</v>
      </c>
      <c r="LT407">
        <v>1859</v>
      </c>
      <c r="LU407">
        <v>161</v>
      </c>
      <c r="LV407">
        <v>150</v>
      </c>
      <c r="LW407">
        <v>1180</v>
      </c>
      <c r="LX407">
        <v>702</v>
      </c>
      <c r="LY407">
        <v>261</v>
      </c>
      <c r="LZ407">
        <v>321</v>
      </c>
      <c r="MA407">
        <v>260</v>
      </c>
      <c r="MB407">
        <v>11</v>
      </c>
      <c r="MC407">
        <v>42</v>
      </c>
      <c r="MD407">
        <v>117</v>
      </c>
      <c r="ME407">
        <v>218</v>
      </c>
      <c r="MF407">
        <v>2114</v>
      </c>
      <c r="MG407">
        <v>665</v>
      </c>
      <c r="MH407">
        <v>286</v>
      </c>
      <c r="MI407">
        <v>48</v>
      </c>
      <c r="MJ407">
        <v>31</v>
      </c>
      <c r="MK407">
        <v>294</v>
      </c>
      <c r="ML407">
        <v>34</v>
      </c>
      <c r="MM407">
        <v>5</v>
      </c>
      <c r="MN407">
        <v>29</v>
      </c>
      <c r="MO407">
        <v>108</v>
      </c>
      <c r="MQ407">
        <v>429</v>
      </c>
      <c r="MR407">
        <v>106</v>
      </c>
      <c r="NA407">
        <v>268</v>
      </c>
      <c r="NB407">
        <v>25</v>
      </c>
      <c r="NF407">
        <v>32</v>
      </c>
      <c r="NG407">
        <v>51</v>
      </c>
      <c r="NH407">
        <v>171</v>
      </c>
      <c r="NI407">
        <v>88</v>
      </c>
      <c r="NK407">
        <v>36</v>
      </c>
      <c r="NL407">
        <v>67</v>
      </c>
      <c r="NM407">
        <v>131</v>
      </c>
      <c r="NN407">
        <v>666</v>
      </c>
      <c r="NO407">
        <v>1074</v>
      </c>
      <c r="NP407">
        <v>764</v>
      </c>
      <c r="NQ407">
        <v>103</v>
      </c>
      <c r="NR407">
        <v>102</v>
      </c>
      <c r="NS407">
        <v>48</v>
      </c>
      <c r="NT407">
        <v>51</v>
      </c>
      <c r="NU407">
        <v>58</v>
      </c>
      <c r="NV407">
        <v>53</v>
      </c>
      <c r="NW407">
        <v>4276</v>
      </c>
      <c r="NX407">
        <v>10</v>
      </c>
      <c r="NY407">
        <v>30</v>
      </c>
      <c r="OD407">
        <v>11756</v>
      </c>
      <c r="OE407">
        <v>2797</v>
      </c>
      <c r="OF407">
        <v>8</v>
      </c>
      <c r="OO407">
        <v>142489</v>
      </c>
      <c r="OP407">
        <v>110221</v>
      </c>
      <c r="OR407">
        <v>7711</v>
      </c>
      <c r="PI407">
        <v>260421</v>
      </c>
      <c r="PM407" t="str">
        <f>IFERROR(VLOOKUP($A407&amp;"",Key!$A:$C,3,FALSE),"")</f>
        <v/>
      </c>
    </row>
    <row r="408" spans="1:429" x14ac:dyDescent="0.25">
      <c r="A408" t="s">
        <v>670</v>
      </c>
      <c r="B408" t="s">
        <v>671</v>
      </c>
      <c r="OP408">
        <v>-200997</v>
      </c>
      <c r="OV408">
        <v>204439</v>
      </c>
      <c r="PI408">
        <v>3441</v>
      </c>
      <c r="PM408" t="str">
        <f>IFERROR(VLOOKUP($A408&amp;"",Key!$A:$C,3,FALSE),"")</f>
        <v/>
      </c>
    </row>
    <row r="409" spans="1:429" x14ac:dyDescent="0.25">
      <c r="A409" t="s">
        <v>672</v>
      </c>
      <c r="B409" t="s">
        <v>673</v>
      </c>
      <c r="C409">
        <v>20547</v>
      </c>
      <c r="D409">
        <v>48075</v>
      </c>
      <c r="E409">
        <v>10655</v>
      </c>
      <c r="F409">
        <v>11723</v>
      </c>
      <c r="G409">
        <v>9635</v>
      </c>
      <c r="H409">
        <v>17494</v>
      </c>
      <c r="I409">
        <v>28922</v>
      </c>
      <c r="J409">
        <v>60750</v>
      </c>
      <c r="K409">
        <v>38756</v>
      </c>
      <c r="L409">
        <v>10239</v>
      </c>
      <c r="M409">
        <v>8139</v>
      </c>
      <c r="N409">
        <v>2043</v>
      </c>
      <c r="O409">
        <v>5093</v>
      </c>
      <c r="P409">
        <v>92883</v>
      </c>
      <c r="Q409">
        <v>17700</v>
      </c>
      <c r="R409">
        <v>6540</v>
      </c>
      <c r="S409">
        <v>9136</v>
      </c>
      <c r="T409">
        <v>7490</v>
      </c>
      <c r="U409">
        <v>8720</v>
      </c>
      <c r="V409">
        <v>13877</v>
      </c>
      <c r="W409">
        <v>39126</v>
      </c>
      <c r="X409">
        <v>130971</v>
      </c>
      <c r="Y409">
        <v>24038</v>
      </c>
      <c r="Z409">
        <v>5398</v>
      </c>
      <c r="AA409">
        <v>15711</v>
      </c>
      <c r="AB409">
        <v>41235</v>
      </c>
      <c r="AC409">
        <v>98982</v>
      </c>
      <c r="AD409">
        <v>36118</v>
      </c>
      <c r="AE409">
        <v>79023</v>
      </c>
      <c r="AF409">
        <v>34123</v>
      </c>
      <c r="AG409">
        <v>141915</v>
      </c>
      <c r="AH409">
        <v>27220</v>
      </c>
      <c r="AI409">
        <v>48243</v>
      </c>
      <c r="AJ409">
        <v>32647</v>
      </c>
      <c r="AK409">
        <v>118749</v>
      </c>
      <c r="AL409">
        <v>63781</v>
      </c>
      <c r="AM409">
        <v>23712</v>
      </c>
      <c r="AN409">
        <v>15793</v>
      </c>
      <c r="AO409">
        <v>16379</v>
      </c>
      <c r="AP409">
        <v>16883</v>
      </c>
      <c r="AQ409">
        <v>4131</v>
      </c>
      <c r="AR409">
        <v>14406</v>
      </c>
      <c r="AS409">
        <v>3796</v>
      </c>
      <c r="AT409">
        <v>20217</v>
      </c>
      <c r="AU409">
        <v>3164</v>
      </c>
      <c r="AV409">
        <v>6440</v>
      </c>
      <c r="AW409">
        <v>4076</v>
      </c>
      <c r="AX409">
        <v>1679</v>
      </c>
      <c r="AY409">
        <v>2790</v>
      </c>
      <c r="AZ409">
        <v>2352</v>
      </c>
      <c r="BA409">
        <v>3091</v>
      </c>
      <c r="BB409">
        <v>2691</v>
      </c>
      <c r="BC409">
        <v>66944</v>
      </c>
      <c r="BD409">
        <v>16165</v>
      </c>
      <c r="BE409">
        <v>5098</v>
      </c>
      <c r="BF409">
        <v>2119</v>
      </c>
      <c r="BG409">
        <v>20420</v>
      </c>
      <c r="BH409">
        <v>7187</v>
      </c>
      <c r="BI409">
        <v>17999</v>
      </c>
      <c r="BJ409">
        <v>9534</v>
      </c>
      <c r="BK409">
        <v>10059</v>
      </c>
      <c r="BL409">
        <v>7582</v>
      </c>
      <c r="BM409">
        <v>4914</v>
      </c>
      <c r="BN409">
        <v>8434</v>
      </c>
      <c r="BO409">
        <v>6626</v>
      </c>
      <c r="BP409">
        <v>5053</v>
      </c>
      <c r="BQ409">
        <v>30718</v>
      </c>
      <c r="BR409">
        <v>25612</v>
      </c>
      <c r="BS409">
        <v>4184</v>
      </c>
      <c r="BT409">
        <v>4757</v>
      </c>
      <c r="BU409">
        <v>11788</v>
      </c>
      <c r="BV409">
        <v>5665</v>
      </c>
      <c r="BW409">
        <v>5403</v>
      </c>
      <c r="BX409">
        <v>18507</v>
      </c>
      <c r="BY409">
        <v>17627</v>
      </c>
      <c r="BZ409">
        <v>13458</v>
      </c>
      <c r="CA409">
        <v>3112</v>
      </c>
      <c r="CB409">
        <v>14318</v>
      </c>
      <c r="CC409">
        <v>3137</v>
      </c>
      <c r="CD409">
        <v>3159</v>
      </c>
      <c r="CE409">
        <v>6781</v>
      </c>
      <c r="CF409">
        <v>8254</v>
      </c>
      <c r="CG409">
        <v>15334</v>
      </c>
      <c r="CH409">
        <v>5180</v>
      </c>
      <c r="CI409">
        <v>20080</v>
      </c>
      <c r="CJ409">
        <v>11428</v>
      </c>
      <c r="CK409">
        <v>3615</v>
      </c>
      <c r="CL409">
        <v>19590</v>
      </c>
      <c r="CM409">
        <v>2692</v>
      </c>
      <c r="CN409">
        <v>872</v>
      </c>
      <c r="CO409">
        <v>11856</v>
      </c>
      <c r="CP409">
        <v>2574</v>
      </c>
      <c r="CQ409">
        <v>20287</v>
      </c>
      <c r="CR409">
        <v>3497</v>
      </c>
      <c r="CS409">
        <v>3574</v>
      </c>
      <c r="CT409">
        <v>4526</v>
      </c>
      <c r="CU409">
        <v>4484</v>
      </c>
      <c r="CV409">
        <v>5365</v>
      </c>
      <c r="CW409">
        <v>7484</v>
      </c>
      <c r="CX409">
        <v>1864</v>
      </c>
      <c r="CY409">
        <v>2768</v>
      </c>
      <c r="CZ409">
        <v>19556</v>
      </c>
      <c r="DA409">
        <v>5992</v>
      </c>
      <c r="DB409">
        <v>10431</v>
      </c>
      <c r="DC409">
        <v>18849</v>
      </c>
      <c r="DD409">
        <v>1905</v>
      </c>
      <c r="DE409">
        <v>4193</v>
      </c>
      <c r="DF409">
        <v>1599</v>
      </c>
      <c r="DG409">
        <v>13678</v>
      </c>
      <c r="DH409">
        <v>7350</v>
      </c>
      <c r="DI409">
        <v>6143</v>
      </c>
      <c r="DJ409">
        <v>1576</v>
      </c>
      <c r="DK409">
        <v>3045</v>
      </c>
      <c r="DL409">
        <v>2771</v>
      </c>
      <c r="DM409">
        <v>8916</v>
      </c>
      <c r="DN409">
        <v>1699</v>
      </c>
      <c r="DO409">
        <v>15700</v>
      </c>
      <c r="DP409">
        <v>6136</v>
      </c>
      <c r="DQ409">
        <v>9007</v>
      </c>
      <c r="DR409">
        <v>12034</v>
      </c>
      <c r="DS409">
        <v>14446</v>
      </c>
      <c r="DT409">
        <v>823</v>
      </c>
      <c r="DU409">
        <v>2796</v>
      </c>
      <c r="DV409">
        <v>2709</v>
      </c>
      <c r="DW409">
        <v>3903</v>
      </c>
      <c r="DX409">
        <v>4730</v>
      </c>
      <c r="DY409">
        <v>3164</v>
      </c>
      <c r="DZ409">
        <v>4393</v>
      </c>
      <c r="EA409">
        <v>1090</v>
      </c>
      <c r="EB409">
        <v>482</v>
      </c>
      <c r="EC409">
        <v>636</v>
      </c>
      <c r="ED409">
        <v>6317</v>
      </c>
      <c r="EE409">
        <v>1671</v>
      </c>
      <c r="EF409">
        <v>9828</v>
      </c>
      <c r="EG409">
        <v>2408</v>
      </c>
      <c r="EH409">
        <v>6343</v>
      </c>
      <c r="EI409">
        <v>6644</v>
      </c>
      <c r="EJ409">
        <v>5520</v>
      </c>
      <c r="EK409">
        <v>4853</v>
      </c>
      <c r="EL409">
        <v>634</v>
      </c>
      <c r="EM409">
        <v>7503</v>
      </c>
      <c r="EN409">
        <v>6470</v>
      </c>
      <c r="EO409">
        <v>1564</v>
      </c>
      <c r="EP409">
        <v>6237</v>
      </c>
      <c r="EQ409">
        <v>28051</v>
      </c>
      <c r="ER409">
        <v>157114</v>
      </c>
      <c r="ES409">
        <v>20600</v>
      </c>
      <c r="ET409">
        <v>10773</v>
      </c>
      <c r="EU409">
        <v>8164</v>
      </c>
      <c r="EV409">
        <v>4197</v>
      </c>
      <c r="EW409">
        <v>11640</v>
      </c>
      <c r="EX409">
        <v>31083</v>
      </c>
      <c r="EY409">
        <v>17682</v>
      </c>
      <c r="EZ409">
        <v>29474</v>
      </c>
      <c r="FA409">
        <v>23691</v>
      </c>
      <c r="FB409">
        <v>26731</v>
      </c>
      <c r="FC409">
        <v>47759</v>
      </c>
      <c r="FD409">
        <v>21086</v>
      </c>
      <c r="FE409">
        <v>75146</v>
      </c>
      <c r="FF409">
        <v>28302</v>
      </c>
      <c r="FG409">
        <v>19624</v>
      </c>
      <c r="FH409">
        <v>9725</v>
      </c>
      <c r="FI409">
        <v>7025</v>
      </c>
      <c r="FJ409">
        <v>9665</v>
      </c>
      <c r="FK409">
        <v>13298</v>
      </c>
      <c r="FL409">
        <v>7735</v>
      </c>
      <c r="FM409">
        <v>3869</v>
      </c>
      <c r="FN409">
        <v>4256</v>
      </c>
      <c r="FO409">
        <v>6010</v>
      </c>
      <c r="FP409">
        <v>8330</v>
      </c>
      <c r="FQ409">
        <v>8098</v>
      </c>
      <c r="FR409">
        <v>2477</v>
      </c>
      <c r="FS409">
        <v>2992</v>
      </c>
      <c r="FT409">
        <v>2402</v>
      </c>
      <c r="FU409">
        <v>4272</v>
      </c>
      <c r="FV409">
        <v>11911</v>
      </c>
      <c r="FW409">
        <v>6904</v>
      </c>
      <c r="FX409">
        <v>15485</v>
      </c>
      <c r="FY409">
        <v>14540</v>
      </c>
      <c r="FZ409">
        <v>2267</v>
      </c>
      <c r="GA409">
        <v>2465</v>
      </c>
      <c r="GB409">
        <v>2552</v>
      </c>
      <c r="GC409">
        <v>5033</v>
      </c>
      <c r="GD409">
        <v>5504</v>
      </c>
      <c r="GE409">
        <v>713</v>
      </c>
      <c r="GF409">
        <v>1893</v>
      </c>
      <c r="GG409">
        <v>7790</v>
      </c>
      <c r="GH409">
        <v>13999</v>
      </c>
      <c r="GI409">
        <v>16958</v>
      </c>
      <c r="GJ409">
        <v>26923</v>
      </c>
      <c r="GK409">
        <v>12912</v>
      </c>
      <c r="GL409">
        <v>7503</v>
      </c>
      <c r="GM409">
        <v>8064</v>
      </c>
      <c r="GN409">
        <v>29303</v>
      </c>
      <c r="GO409">
        <v>7148</v>
      </c>
      <c r="GP409">
        <v>27224</v>
      </c>
      <c r="GQ409">
        <v>23190</v>
      </c>
      <c r="GR409">
        <v>25513</v>
      </c>
      <c r="GS409">
        <v>39784</v>
      </c>
      <c r="GT409">
        <v>16624</v>
      </c>
      <c r="GU409">
        <v>35245</v>
      </c>
      <c r="GV409">
        <v>5797</v>
      </c>
      <c r="GW409">
        <v>49784</v>
      </c>
      <c r="GX409">
        <v>123898</v>
      </c>
      <c r="GY409">
        <v>10766</v>
      </c>
      <c r="GZ409">
        <v>28176</v>
      </c>
      <c r="HA409">
        <v>17962</v>
      </c>
      <c r="HB409">
        <v>25905</v>
      </c>
      <c r="HC409">
        <v>10425</v>
      </c>
      <c r="HD409">
        <v>5905</v>
      </c>
      <c r="HE409">
        <v>14974</v>
      </c>
      <c r="HF409">
        <v>22783</v>
      </c>
      <c r="HG409">
        <v>31568</v>
      </c>
      <c r="HH409">
        <v>17524</v>
      </c>
      <c r="HI409">
        <v>12792</v>
      </c>
      <c r="HJ409">
        <v>7416</v>
      </c>
      <c r="HK409">
        <v>15789</v>
      </c>
      <c r="HL409">
        <v>5454</v>
      </c>
      <c r="HM409">
        <v>8881</v>
      </c>
      <c r="HN409">
        <v>4824</v>
      </c>
      <c r="HO409">
        <v>6186</v>
      </c>
      <c r="HP409">
        <v>2225</v>
      </c>
      <c r="HQ409">
        <v>4848</v>
      </c>
      <c r="HR409">
        <v>3668</v>
      </c>
      <c r="HS409">
        <v>2594</v>
      </c>
      <c r="HT409">
        <v>4828</v>
      </c>
      <c r="HU409">
        <v>25038</v>
      </c>
      <c r="HV409">
        <v>22022</v>
      </c>
      <c r="HW409">
        <v>48072</v>
      </c>
      <c r="HX409">
        <v>14600</v>
      </c>
      <c r="HY409">
        <v>4347</v>
      </c>
      <c r="HZ409">
        <v>7583</v>
      </c>
      <c r="IA409">
        <v>2911</v>
      </c>
      <c r="IB409">
        <v>41981</v>
      </c>
      <c r="IC409">
        <v>1340</v>
      </c>
      <c r="ID409">
        <v>397458</v>
      </c>
      <c r="IE409">
        <v>10304</v>
      </c>
      <c r="IF409">
        <v>6893</v>
      </c>
      <c r="IG409">
        <v>13483</v>
      </c>
      <c r="IH409">
        <v>31466</v>
      </c>
      <c r="II409">
        <v>6077</v>
      </c>
      <c r="IJ409">
        <v>4431</v>
      </c>
      <c r="IK409">
        <v>17113</v>
      </c>
      <c r="IL409">
        <v>85424</v>
      </c>
      <c r="IM409">
        <v>66124</v>
      </c>
      <c r="IN409">
        <v>10003</v>
      </c>
      <c r="IO409">
        <v>7585</v>
      </c>
      <c r="IP409">
        <v>71951</v>
      </c>
      <c r="IQ409">
        <v>8183</v>
      </c>
      <c r="IR409">
        <v>13945</v>
      </c>
      <c r="IS409">
        <v>9686</v>
      </c>
      <c r="IT409">
        <v>9047</v>
      </c>
      <c r="IU409">
        <v>17278</v>
      </c>
      <c r="IV409">
        <v>8934</v>
      </c>
      <c r="IW409">
        <v>19559</v>
      </c>
      <c r="IX409">
        <v>20144</v>
      </c>
      <c r="IY409">
        <v>2939</v>
      </c>
      <c r="IZ409">
        <v>27676</v>
      </c>
      <c r="JA409">
        <v>27720</v>
      </c>
      <c r="JB409">
        <v>12198</v>
      </c>
      <c r="JC409">
        <v>2612</v>
      </c>
      <c r="JD409">
        <v>7152</v>
      </c>
      <c r="JE409">
        <v>7631</v>
      </c>
      <c r="JF409">
        <v>7802</v>
      </c>
      <c r="JG409">
        <v>67072</v>
      </c>
      <c r="JH409">
        <v>13019</v>
      </c>
      <c r="JI409">
        <v>3253</v>
      </c>
      <c r="JJ409">
        <v>12100</v>
      </c>
      <c r="JK409">
        <v>69921</v>
      </c>
      <c r="JL409">
        <v>84999</v>
      </c>
      <c r="JM409">
        <v>118713</v>
      </c>
      <c r="JN409">
        <v>76097</v>
      </c>
      <c r="JO409">
        <v>133509</v>
      </c>
      <c r="JP409">
        <v>107527</v>
      </c>
      <c r="JQ409">
        <v>80140</v>
      </c>
      <c r="JR409">
        <v>26450</v>
      </c>
      <c r="JS409">
        <v>159868</v>
      </c>
      <c r="JT409">
        <v>20508</v>
      </c>
      <c r="JU409">
        <v>0</v>
      </c>
      <c r="JV409">
        <v>119953</v>
      </c>
      <c r="JW409">
        <v>87171</v>
      </c>
      <c r="JX409">
        <v>81822</v>
      </c>
      <c r="JY409">
        <v>38880</v>
      </c>
      <c r="JZ409">
        <v>37824</v>
      </c>
      <c r="KA409">
        <v>45675</v>
      </c>
      <c r="KB409">
        <v>70828</v>
      </c>
      <c r="KC409">
        <v>113633</v>
      </c>
      <c r="KD409">
        <v>72234</v>
      </c>
      <c r="KE409">
        <v>107619</v>
      </c>
      <c r="KF409">
        <v>35235</v>
      </c>
      <c r="KG409">
        <v>41020</v>
      </c>
      <c r="KH409">
        <v>189187</v>
      </c>
      <c r="KI409">
        <v>34893</v>
      </c>
      <c r="KJ409">
        <v>7067</v>
      </c>
      <c r="KK409">
        <v>73182</v>
      </c>
      <c r="KL409">
        <v>40528</v>
      </c>
      <c r="KM409">
        <v>62718</v>
      </c>
      <c r="KN409">
        <v>8175</v>
      </c>
      <c r="KO409">
        <v>10613</v>
      </c>
      <c r="KP409">
        <v>20427</v>
      </c>
      <c r="KQ409">
        <v>4469</v>
      </c>
      <c r="KR409">
        <v>105590</v>
      </c>
      <c r="KS409">
        <v>48433</v>
      </c>
      <c r="KT409">
        <v>4577</v>
      </c>
      <c r="KU409">
        <v>52005</v>
      </c>
      <c r="KV409">
        <v>47205</v>
      </c>
      <c r="KW409">
        <v>158076</v>
      </c>
      <c r="KX409">
        <v>119187</v>
      </c>
      <c r="KY409">
        <v>23453</v>
      </c>
      <c r="KZ409">
        <v>79853</v>
      </c>
      <c r="LA409">
        <v>70686</v>
      </c>
      <c r="LB409">
        <v>533</v>
      </c>
      <c r="LC409">
        <v>190188</v>
      </c>
      <c r="LD409">
        <v>218868</v>
      </c>
      <c r="LE409">
        <v>172095</v>
      </c>
      <c r="LF409">
        <v>93795</v>
      </c>
      <c r="LG409">
        <v>37055</v>
      </c>
      <c r="LH409">
        <v>273841</v>
      </c>
      <c r="LI409">
        <v>163355</v>
      </c>
      <c r="LJ409">
        <v>150527</v>
      </c>
      <c r="LK409">
        <v>212560</v>
      </c>
      <c r="LL409">
        <v>25763</v>
      </c>
      <c r="LM409">
        <v>747583</v>
      </c>
      <c r="LN409">
        <v>30603</v>
      </c>
      <c r="LO409">
        <v>39248</v>
      </c>
      <c r="LP409">
        <v>11728</v>
      </c>
      <c r="LQ409">
        <v>54885</v>
      </c>
      <c r="LR409">
        <v>88283</v>
      </c>
      <c r="LS409">
        <v>38249</v>
      </c>
      <c r="LT409">
        <v>93822</v>
      </c>
      <c r="LU409">
        <v>17586</v>
      </c>
      <c r="LV409">
        <v>46338</v>
      </c>
      <c r="LW409">
        <v>120683</v>
      </c>
      <c r="LX409">
        <v>79697</v>
      </c>
      <c r="LY409">
        <v>22011</v>
      </c>
      <c r="LZ409">
        <v>134462</v>
      </c>
      <c r="MA409">
        <v>40413</v>
      </c>
      <c r="MB409">
        <v>11146</v>
      </c>
      <c r="MC409">
        <v>5189</v>
      </c>
      <c r="MD409">
        <v>12908</v>
      </c>
      <c r="ME409">
        <v>32612</v>
      </c>
      <c r="MF409">
        <v>198490</v>
      </c>
      <c r="MG409">
        <v>137429</v>
      </c>
      <c r="MH409">
        <v>93637</v>
      </c>
      <c r="MI409">
        <v>23607</v>
      </c>
      <c r="MJ409">
        <v>16310</v>
      </c>
      <c r="MK409">
        <v>37389</v>
      </c>
      <c r="ML409">
        <v>32962</v>
      </c>
      <c r="MM409">
        <v>23171</v>
      </c>
      <c r="MN409">
        <v>25368</v>
      </c>
      <c r="MO409">
        <v>62457</v>
      </c>
      <c r="MP409">
        <v>11064</v>
      </c>
      <c r="MQ409">
        <v>65336</v>
      </c>
      <c r="MR409">
        <v>35482</v>
      </c>
      <c r="MS409">
        <v>186753</v>
      </c>
      <c r="MT409">
        <v>30505</v>
      </c>
      <c r="MU409">
        <v>26134</v>
      </c>
      <c r="MV409">
        <v>62354</v>
      </c>
      <c r="MW409">
        <v>15463</v>
      </c>
      <c r="MX409">
        <v>24955</v>
      </c>
      <c r="MY409">
        <v>16518</v>
      </c>
      <c r="MZ409">
        <v>360018</v>
      </c>
      <c r="NA409">
        <v>77963</v>
      </c>
      <c r="NB409">
        <v>18554</v>
      </c>
      <c r="NC409">
        <v>42097</v>
      </c>
      <c r="ND409">
        <v>24149</v>
      </c>
      <c r="NE409">
        <v>30061</v>
      </c>
      <c r="NF409">
        <v>11300</v>
      </c>
      <c r="NG409">
        <v>13225</v>
      </c>
      <c r="NH409">
        <v>13691</v>
      </c>
      <c r="NI409">
        <v>25272</v>
      </c>
      <c r="NJ409">
        <v>8708</v>
      </c>
      <c r="NK409">
        <v>7949</v>
      </c>
      <c r="NL409">
        <v>16151</v>
      </c>
      <c r="NM409">
        <v>42447</v>
      </c>
      <c r="NN409">
        <v>106617</v>
      </c>
      <c r="NO409">
        <v>152514</v>
      </c>
      <c r="NP409">
        <v>184662</v>
      </c>
      <c r="NQ409">
        <v>39256</v>
      </c>
      <c r="NR409">
        <v>60503</v>
      </c>
      <c r="NS409">
        <v>7818</v>
      </c>
      <c r="NT409">
        <v>18084</v>
      </c>
      <c r="NU409">
        <v>11545</v>
      </c>
      <c r="NV409">
        <v>36157</v>
      </c>
      <c r="NW409">
        <v>9564</v>
      </c>
      <c r="NX409">
        <v>9885</v>
      </c>
      <c r="NY409">
        <v>32512</v>
      </c>
      <c r="NZ409">
        <v>31179</v>
      </c>
      <c r="OA409">
        <v>20445</v>
      </c>
      <c r="OB409">
        <v>38024</v>
      </c>
      <c r="OC409">
        <v>0</v>
      </c>
      <c r="OD409">
        <v>218671</v>
      </c>
      <c r="OE409">
        <v>108827</v>
      </c>
      <c r="OF409">
        <v>12702</v>
      </c>
      <c r="OG409">
        <v>9310</v>
      </c>
      <c r="OH409">
        <v>8492</v>
      </c>
      <c r="OI409">
        <v>211797</v>
      </c>
      <c r="OJ409">
        <v>155740</v>
      </c>
      <c r="OK409">
        <v>356474</v>
      </c>
      <c r="OL409">
        <v>26997</v>
      </c>
      <c r="OM409">
        <v>33921</v>
      </c>
      <c r="ON409">
        <v>148806</v>
      </c>
      <c r="OO409">
        <v>14856027</v>
      </c>
      <c r="OP409">
        <v>13290625</v>
      </c>
      <c r="OQ409">
        <v>1159953</v>
      </c>
      <c r="OR409">
        <v>906246</v>
      </c>
      <c r="OS409">
        <v>773891</v>
      </c>
      <c r="OT409">
        <v>594900</v>
      </c>
      <c r="OU409">
        <v>32674</v>
      </c>
      <c r="OV409">
        <v>2082977</v>
      </c>
      <c r="OW409">
        <v>599358</v>
      </c>
      <c r="OX409">
        <v>77264</v>
      </c>
      <c r="OY409">
        <v>63714</v>
      </c>
      <c r="OZ409">
        <v>7956</v>
      </c>
      <c r="PA409">
        <v>379143</v>
      </c>
      <c r="PB409">
        <v>19195</v>
      </c>
      <c r="PC409">
        <v>109261</v>
      </c>
      <c r="PD409">
        <v>10161</v>
      </c>
      <c r="PE409">
        <v>1737213</v>
      </c>
      <c r="PF409">
        <v>44204</v>
      </c>
      <c r="PG409">
        <v>44768</v>
      </c>
      <c r="PH409">
        <v>304902</v>
      </c>
      <c r="PI409">
        <v>37094434</v>
      </c>
    </row>
    <row r="410" spans="1:429" x14ac:dyDescent="0.25">
      <c r="A410" t="s">
        <v>674</v>
      </c>
      <c r="B410" t="s">
        <v>675</v>
      </c>
      <c r="C410">
        <v>1062</v>
      </c>
      <c r="D410">
        <v>3149</v>
      </c>
      <c r="E410">
        <v>2497</v>
      </c>
      <c r="F410">
        <v>5182</v>
      </c>
      <c r="G410">
        <v>5456</v>
      </c>
      <c r="H410">
        <v>4823</v>
      </c>
      <c r="I410">
        <v>2179</v>
      </c>
      <c r="J410">
        <v>1231</v>
      </c>
      <c r="K410">
        <v>2521</v>
      </c>
      <c r="L410">
        <v>2761</v>
      </c>
      <c r="M410">
        <v>8288</v>
      </c>
      <c r="N410">
        <v>895</v>
      </c>
      <c r="O410">
        <v>16148</v>
      </c>
      <c r="P410">
        <v>29293</v>
      </c>
      <c r="Q410">
        <v>5561</v>
      </c>
      <c r="R410">
        <v>1562</v>
      </c>
      <c r="S410">
        <v>2866</v>
      </c>
      <c r="T410">
        <v>3221</v>
      </c>
      <c r="U410">
        <v>4414</v>
      </c>
      <c r="V410">
        <v>6659</v>
      </c>
      <c r="W410">
        <v>23306</v>
      </c>
      <c r="X410">
        <v>60608</v>
      </c>
      <c r="Y410">
        <v>16820</v>
      </c>
      <c r="Z410">
        <v>4150</v>
      </c>
      <c r="AA410">
        <v>20279</v>
      </c>
      <c r="AB410">
        <v>34543</v>
      </c>
      <c r="AC410">
        <v>61068</v>
      </c>
      <c r="AD410">
        <v>27928</v>
      </c>
      <c r="AE410">
        <v>54088</v>
      </c>
      <c r="AF410">
        <v>25691</v>
      </c>
      <c r="AG410">
        <v>52475</v>
      </c>
      <c r="AH410">
        <v>23542</v>
      </c>
      <c r="AI410">
        <v>42882</v>
      </c>
      <c r="AJ410">
        <v>38811</v>
      </c>
      <c r="AK410">
        <v>94603</v>
      </c>
      <c r="AL410">
        <v>44513</v>
      </c>
      <c r="AM410">
        <v>5479</v>
      </c>
      <c r="AN410">
        <v>4885</v>
      </c>
      <c r="AO410">
        <v>5811</v>
      </c>
      <c r="AP410">
        <v>6087</v>
      </c>
      <c r="AQ410">
        <v>2719</v>
      </c>
      <c r="AR410">
        <v>6235</v>
      </c>
      <c r="AS410">
        <v>1426</v>
      </c>
      <c r="AT410">
        <v>7003</v>
      </c>
      <c r="AU410">
        <v>1876</v>
      </c>
      <c r="AV410">
        <v>3575</v>
      </c>
      <c r="AW410">
        <v>1290</v>
      </c>
      <c r="AX410">
        <v>776</v>
      </c>
      <c r="AY410">
        <v>1699</v>
      </c>
      <c r="AZ410">
        <v>571</v>
      </c>
      <c r="BA410">
        <v>1435</v>
      </c>
      <c r="BB410">
        <v>864</v>
      </c>
      <c r="BC410">
        <v>9112</v>
      </c>
      <c r="BD410">
        <v>4560</v>
      </c>
      <c r="BE410">
        <v>378</v>
      </c>
      <c r="BF410">
        <v>489</v>
      </c>
      <c r="BG410">
        <v>3665</v>
      </c>
      <c r="BH410">
        <v>798</v>
      </c>
      <c r="BI410">
        <v>2489</v>
      </c>
      <c r="BJ410">
        <v>2057</v>
      </c>
      <c r="BK410">
        <v>4608</v>
      </c>
      <c r="BL410">
        <v>3607</v>
      </c>
      <c r="BM410">
        <v>675</v>
      </c>
      <c r="BN410">
        <v>3145</v>
      </c>
      <c r="BO410">
        <v>3491</v>
      </c>
      <c r="BP410">
        <v>2858</v>
      </c>
      <c r="BQ410">
        <v>11440</v>
      </c>
      <c r="BR410">
        <v>13208</v>
      </c>
      <c r="BS410">
        <v>1850</v>
      </c>
      <c r="BT410">
        <v>2549</v>
      </c>
      <c r="BU410">
        <v>3908</v>
      </c>
      <c r="BV410">
        <v>1987</v>
      </c>
      <c r="BW410">
        <v>2849</v>
      </c>
      <c r="BX410">
        <v>16680</v>
      </c>
      <c r="BY410">
        <v>5736</v>
      </c>
      <c r="BZ410">
        <v>8249</v>
      </c>
      <c r="CA410">
        <v>836</v>
      </c>
      <c r="CB410">
        <v>7179</v>
      </c>
      <c r="CC410">
        <v>2122</v>
      </c>
      <c r="CD410">
        <v>2316</v>
      </c>
      <c r="CE410">
        <v>3885</v>
      </c>
      <c r="CF410">
        <v>4378</v>
      </c>
      <c r="CG410">
        <v>5737</v>
      </c>
      <c r="CH410">
        <v>2002</v>
      </c>
      <c r="CI410">
        <v>6412</v>
      </c>
      <c r="CJ410">
        <v>5349</v>
      </c>
      <c r="CK410">
        <v>4183</v>
      </c>
      <c r="CL410">
        <v>7868</v>
      </c>
      <c r="CM410">
        <v>2153</v>
      </c>
      <c r="CN410">
        <v>704</v>
      </c>
      <c r="CO410">
        <v>5428</v>
      </c>
      <c r="CP410">
        <v>1003</v>
      </c>
      <c r="CQ410">
        <v>6400</v>
      </c>
      <c r="CR410">
        <v>2057</v>
      </c>
      <c r="CS410">
        <v>2714</v>
      </c>
      <c r="CT410">
        <v>4659</v>
      </c>
      <c r="CU410">
        <v>3127</v>
      </c>
      <c r="CV410">
        <v>2869</v>
      </c>
      <c r="CW410">
        <v>2892</v>
      </c>
      <c r="CX410">
        <v>940</v>
      </c>
      <c r="CY410">
        <v>1025</v>
      </c>
      <c r="CZ410">
        <v>4853</v>
      </c>
      <c r="DA410">
        <v>1972</v>
      </c>
      <c r="DB410">
        <v>2679</v>
      </c>
      <c r="DC410">
        <v>6402</v>
      </c>
      <c r="DD410">
        <v>769</v>
      </c>
      <c r="DE410">
        <v>1783</v>
      </c>
      <c r="DF410">
        <v>793</v>
      </c>
      <c r="DG410">
        <v>4891</v>
      </c>
      <c r="DH410">
        <v>3117</v>
      </c>
      <c r="DI410">
        <v>7655</v>
      </c>
      <c r="DJ410">
        <v>2274</v>
      </c>
      <c r="DK410">
        <v>3272</v>
      </c>
      <c r="DL410">
        <v>2971</v>
      </c>
      <c r="DM410">
        <v>12673</v>
      </c>
      <c r="DN410">
        <v>2233</v>
      </c>
      <c r="DO410">
        <v>26798</v>
      </c>
      <c r="DP410">
        <v>8431</v>
      </c>
      <c r="DQ410">
        <v>16720</v>
      </c>
      <c r="DR410">
        <v>11072</v>
      </c>
      <c r="DS410">
        <v>23071</v>
      </c>
      <c r="DT410">
        <v>1467</v>
      </c>
      <c r="DU410">
        <v>8013</v>
      </c>
      <c r="DV410">
        <v>1559</v>
      </c>
      <c r="DW410">
        <v>4816</v>
      </c>
      <c r="DX410">
        <v>6764</v>
      </c>
      <c r="DY410">
        <v>3723</v>
      </c>
      <c r="DZ410">
        <v>5166</v>
      </c>
      <c r="EA410">
        <v>1159</v>
      </c>
      <c r="EB410">
        <v>869</v>
      </c>
      <c r="EC410">
        <v>803</v>
      </c>
      <c r="ED410">
        <v>3406</v>
      </c>
      <c r="EE410">
        <v>1002</v>
      </c>
      <c r="EF410">
        <v>4761</v>
      </c>
      <c r="EG410">
        <v>2472</v>
      </c>
      <c r="EH410">
        <v>3097</v>
      </c>
      <c r="EI410">
        <v>3309</v>
      </c>
      <c r="EJ410">
        <v>4911</v>
      </c>
      <c r="EK410">
        <v>1839</v>
      </c>
      <c r="EL410">
        <v>1086</v>
      </c>
      <c r="EM410">
        <v>2330</v>
      </c>
      <c r="EN410">
        <v>3960</v>
      </c>
      <c r="EO410">
        <v>715</v>
      </c>
      <c r="EP410">
        <v>2767</v>
      </c>
      <c r="EQ410">
        <v>6382</v>
      </c>
      <c r="ER410">
        <v>14210</v>
      </c>
      <c r="ES410">
        <v>2619</v>
      </c>
      <c r="ET410">
        <v>3658</v>
      </c>
      <c r="EU410">
        <v>2103</v>
      </c>
      <c r="EV410">
        <v>1318</v>
      </c>
      <c r="EW410">
        <v>2885</v>
      </c>
      <c r="EX410">
        <v>5110</v>
      </c>
      <c r="EY410">
        <v>4364</v>
      </c>
      <c r="EZ410">
        <v>7132</v>
      </c>
      <c r="FA410">
        <v>4702</v>
      </c>
      <c r="FB410">
        <v>6486</v>
      </c>
      <c r="FC410">
        <v>9975</v>
      </c>
      <c r="FD410">
        <v>4394</v>
      </c>
      <c r="FE410">
        <v>29130</v>
      </c>
      <c r="FF410">
        <v>9060</v>
      </c>
      <c r="FG410">
        <v>9554</v>
      </c>
      <c r="FH410">
        <v>9833</v>
      </c>
      <c r="FI410">
        <v>1973</v>
      </c>
      <c r="FJ410">
        <v>1480</v>
      </c>
      <c r="FK410">
        <v>10395</v>
      </c>
      <c r="FL410">
        <v>2055</v>
      </c>
      <c r="FM410">
        <v>2188</v>
      </c>
      <c r="FN410">
        <v>1840</v>
      </c>
      <c r="FO410">
        <v>1457</v>
      </c>
      <c r="FP410">
        <v>6033</v>
      </c>
      <c r="FQ410">
        <v>2962</v>
      </c>
      <c r="FR410">
        <v>1502</v>
      </c>
      <c r="FS410">
        <v>1514</v>
      </c>
      <c r="FT410">
        <v>638</v>
      </c>
      <c r="FU410">
        <v>2698</v>
      </c>
      <c r="FV410">
        <v>4556</v>
      </c>
      <c r="FW410">
        <v>2055</v>
      </c>
      <c r="FX410">
        <v>15116</v>
      </c>
      <c r="FY410">
        <v>11166</v>
      </c>
      <c r="FZ410">
        <v>1477</v>
      </c>
      <c r="GA410">
        <v>2289</v>
      </c>
      <c r="GB410">
        <v>2680</v>
      </c>
      <c r="GC410">
        <v>1723</v>
      </c>
      <c r="GD410">
        <v>3403</v>
      </c>
      <c r="GE410">
        <v>1139</v>
      </c>
      <c r="GF410">
        <v>791</v>
      </c>
      <c r="GG410">
        <v>5201</v>
      </c>
      <c r="GH410">
        <v>8819</v>
      </c>
      <c r="GI410">
        <v>2252</v>
      </c>
      <c r="GJ410">
        <v>2497</v>
      </c>
      <c r="GK410">
        <v>1576</v>
      </c>
      <c r="GL410">
        <v>1565</v>
      </c>
      <c r="GM410">
        <v>538</v>
      </c>
      <c r="GN410">
        <v>716</v>
      </c>
      <c r="GO410">
        <v>1262</v>
      </c>
      <c r="GP410">
        <v>4924</v>
      </c>
      <c r="GQ410">
        <v>5260</v>
      </c>
      <c r="GR410">
        <v>4977</v>
      </c>
      <c r="GS410">
        <v>3433</v>
      </c>
      <c r="GT410">
        <v>2428</v>
      </c>
      <c r="GU410">
        <v>4483</v>
      </c>
      <c r="GV410">
        <v>1312</v>
      </c>
      <c r="GW410">
        <v>9788</v>
      </c>
      <c r="GX410">
        <v>15290</v>
      </c>
      <c r="GY410">
        <v>2049</v>
      </c>
      <c r="GZ410">
        <v>10867</v>
      </c>
      <c r="HA410">
        <v>4624</v>
      </c>
      <c r="HB410">
        <v>3548</v>
      </c>
      <c r="HC410">
        <v>1465</v>
      </c>
      <c r="HD410">
        <v>2398</v>
      </c>
      <c r="HE410">
        <v>3198</v>
      </c>
      <c r="HF410">
        <v>4562</v>
      </c>
      <c r="HG410">
        <v>7570</v>
      </c>
      <c r="HH410">
        <v>4290</v>
      </c>
      <c r="HI410">
        <v>3727</v>
      </c>
      <c r="HJ410">
        <v>1208</v>
      </c>
      <c r="HK410">
        <v>1673</v>
      </c>
      <c r="HL410">
        <v>1394</v>
      </c>
      <c r="HM410">
        <v>3137</v>
      </c>
      <c r="HN410">
        <v>1823</v>
      </c>
      <c r="HO410">
        <v>1884</v>
      </c>
      <c r="HP410">
        <v>941</v>
      </c>
      <c r="HQ410">
        <v>3122</v>
      </c>
      <c r="HR410">
        <v>6329</v>
      </c>
      <c r="HS410">
        <v>1556</v>
      </c>
      <c r="HT410">
        <v>546</v>
      </c>
      <c r="HU410">
        <v>6588</v>
      </c>
      <c r="HV410">
        <v>3313</v>
      </c>
      <c r="HW410">
        <v>11028</v>
      </c>
      <c r="HX410">
        <v>4281</v>
      </c>
      <c r="HY410">
        <v>1063</v>
      </c>
      <c r="HZ410">
        <v>2476</v>
      </c>
      <c r="IA410">
        <v>1091</v>
      </c>
      <c r="IB410">
        <v>24702</v>
      </c>
      <c r="IC410">
        <v>1531</v>
      </c>
      <c r="ID410">
        <v>14705</v>
      </c>
      <c r="IE410">
        <v>1601</v>
      </c>
      <c r="IF410">
        <v>1314</v>
      </c>
      <c r="IG410">
        <v>1810</v>
      </c>
      <c r="IH410">
        <v>4508</v>
      </c>
      <c r="II410">
        <v>2454</v>
      </c>
      <c r="IJ410">
        <v>1359</v>
      </c>
      <c r="IK410">
        <v>4986</v>
      </c>
      <c r="IL410">
        <v>6309</v>
      </c>
      <c r="IM410">
        <v>7285</v>
      </c>
      <c r="IN410">
        <v>3752</v>
      </c>
      <c r="IO410">
        <v>3941</v>
      </c>
      <c r="IP410">
        <v>31768</v>
      </c>
      <c r="IQ410">
        <v>3391</v>
      </c>
      <c r="IR410">
        <v>4648</v>
      </c>
      <c r="IS410">
        <v>2291</v>
      </c>
      <c r="IT410">
        <v>1607</v>
      </c>
      <c r="IU410">
        <v>3705</v>
      </c>
      <c r="IV410">
        <v>2209</v>
      </c>
      <c r="IW410">
        <v>5616</v>
      </c>
      <c r="IX410">
        <v>4343</v>
      </c>
      <c r="IY410">
        <v>753</v>
      </c>
      <c r="IZ410">
        <v>6756</v>
      </c>
      <c r="JA410">
        <v>6831</v>
      </c>
      <c r="JB410">
        <v>3541</v>
      </c>
      <c r="JC410">
        <v>1372</v>
      </c>
      <c r="JD410">
        <v>1959</v>
      </c>
      <c r="JE410">
        <v>2214</v>
      </c>
      <c r="JF410">
        <v>2279</v>
      </c>
      <c r="JG410">
        <v>19074</v>
      </c>
      <c r="JH410">
        <v>4568</v>
      </c>
      <c r="JI410">
        <v>1635</v>
      </c>
      <c r="JJ410">
        <v>3682</v>
      </c>
      <c r="JK410">
        <v>28670</v>
      </c>
      <c r="JL410">
        <v>81746</v>
      </c>
      <c r="JM410">
        <v>45681</v>
      </c>
      <c r="JN410">
        <v>63904</v>
      </c>
      <c r="JO410">
        <v>76780</v>
      </c>
      <c r="JP410">
        <v>43090</v>
      </c>
      <c r="JQ410">
        <v>55047</v>
      </c>
      <c r="JR410">
        <v>16763</v>
      </c>
      <c r="JS410">
        <v>97018</v>
      </c>
      <c r="JT410">
        <v>24242</v>
      </c>
      <c r="JV410">
        <v>118071</v>
      </c>
      <c r="JW410">
        <v>96461</v>
      </c>
      <c r="JX410">
        <v>93086</v>
      </c>
      <c r="JY410">
        <v>52804</v>
      </c>
      <c r="JZ410">
        <v>50169</v>
      </c>
      <c r="KA410">
        <v>24942</v>
      </c>
      <c r="KB410">
        <v>37806</v>
      </c>
      <c r="KC410">
        <v>42272</v>
      </c>
      <c r="KD410">
        <v>91257</v>
      </c>
      <c r="KE410">
        <v>57095</v>
      </c>
      <c r="KF410">
        <v>21893</v>
      </c>
      <c r="KG410">
        <v>7144</v>
      </c>
      <c r="KH410">
        <v>96307</v>
      </c>
      <c r="KI410">
        <v>21954</v>
      </c>
      <c r="KJ410">
        <v>7617</v>
      </c>
      <c r="KK410">
        <v>47282</v>
      </c>
      <c r="KL410">
        <v>38870</v>
      </c>
      <c r="KM410">
        <v>53892</v>
      </c>
      <c r="KN410">
        <v>9580</v>
      </c>
      <c r="KO410">
        <v>10016</v>
      </c>
      <c r="KP410">
        <v>5911</v>
      </c>
      <c r="KQ410">
        <v>2805</v>
      </c>
      <c r="KR410">
        <v>71879</v>
      </c>
      <c r="KS410">
        <v>33679</v>
      </c>
      <c r="KT410">
        <v>1757</v>
      </c>
      <c r="KU410">
        <v>17950</v>
      </c>
      <c r="KV410">
        <v>10426</v>
      </c>
      <c r="KW410">
        <v>61328</v>
      </c>
      <c r="KX410">
        <v>12221</v>
      </c>
      <c r="KY410">
        <v>10248</v>
      </c>
      <c r="KZ410">
        <v>42813</v>
      </c>
      <c r="LA410">
        <v>52084</v>
      </c>
      <c r="LB410">
        <v>6076</v>
      </c>
      <c r="LC410">
        <v>97437</v>
      </c>
      <c r="LD410">
        <v>165916</v>
      </c>
      <c r="LE410">
        <v>153414</v>
      </c>
      <c r="LF410">
        <v>97818</v>
      </c>
      <c r="LG410">
        <v>34310</v>
      </c>
      <c r="LH410">
        <v>116031</v>
      </c>
      <c r="LI410">
        <v>120664</v>
      </c>
      <c r="LJ410">
        <v>2059</v>
      </c>
      <c r="LL410">
        <v>18920</v>
      </c>
      <c r="LM410">
        <v>93508</v>
      </c>
      <c r="LN410">
        <v>11024</v>
      </c>
      <c r="LO410">
        <v>13103</v>
      </c>
      <c r="LP410">
        <v>9111</v>
      </c>
      <c r="LQ410">
        <v>2990</v>
      </c>
      <c r="LR410">
        <v>131525</v>
      </c>
      <c r="LS410">
        <v>99401</v>
      </c>
      <c r="LT410">
        <v>140481</v>
      </c>
      <c r="LU410">
        <v>24875</v>
      </c>
      <c r="LV410">
        <v>88558</v>
      </c>
      <c r="LW410">
        <v>149700</v>
      </c>
      <c r="LX410">
        <v>125104</v>
      </c>
      <c r="LY410">
        <v>27523</v>
      </c>
      <c r="LZ410">
        <v>97150</v>
      </c>
      <c r="MA410">
        <v>45888</v>
      </c>
      <c r="MB410">
        <v>11468</v>
      </c>
      <c r="MC410">
        <v>2172</v>
      </c>
      <c r="MD410">
        <v>19253</v>
      </c>
      <c r="ME410">
        <v>27448</v>
      </c>
      <c r="MF410">
        <v>324518</v>
      </c>
      <c r="MG410">
        <v>176327</v>
      </c>
      <c r="MH410">
        <v>75161</v>
      </c>
      <c r="MI410">
        <v>38562</v>
      </c>
      <c r="MJ410">
        <v>8062</v>
      </c>
      <c r="MK410">
        <v>33176</v>
      </c>
      <c r="ML410">
        <v>17878</v>
      </c>
      <c r="MM410">
        <v>37273</v>
      </c>
      <c r="MN410">
        <v>22892</v>
      </c>
      <c r="MO410">
        <v>30195</v>
      </c>
      <c r="MP410">
        <v>34563</v>
      </c>
      <c r="MQ410">
        <v>121810</v>
      </c>
      <c r="MR410">
        <v>36048</v>
      </c>
      <c r="MS410">
        <v>279251</v>
      </c>
      <c r="MT410">
        <v>57872</v>
      </c>
      <c r="MU410">
        <v>43302</v>
      </c>
      <c r="MV410">
        <v>73909</v>
      </c>
      <c r="MW410">
        <v>20867</v>
      </c>
      <c r="MX410">
        <v>52907</v>
      </c>
      <c r="MY410">
        <v>17101</v>
      </c>
      <c r="MZ410">
        <v>396274</v>
      </c>
      <c r="NA410">
        <v>98255</v>
      </c>
      <c r="NB410">
        <v>33285</v>
      </c>
      <c r="NC410">
        <v>68790</v>
      </c>
      <c r="ND410">
        <v>25402</v>
      </c>
      <c r="NE410">
        <v>19894</v>
      </c>
      <c r="NF410">
        <v>7264</v>
      </c>
      <c r="NG410">
        <v>25961</v>
      </c>
      <c r="NH410">
        <v>9125</v>
      </c>
      <c r="NI410">
        <v>10192</v>
      </c>
      <c r="NJ410">
        <v>6975</v>
      </c>
      <c r="NK410">
        <v>8012</v>
      </c>
      <c r="NL410">
        <v>9103</v>
      </c>
      <c r="NM410">
        <v>37082</v>
      </c>
      <c r="NN410">
        <v>82723</v>
      </c>
      <c r="NO410">
        <v>153383</v>
      </c>
      <c r="NP410">
        <v>92629</v>
      </c>
      <c r="NQ410">
        <v>52024</v>
      </c>
      <c r="NR410">
        <v>45483</v>
      </c>
      <c r="NS410">
        <v>8659</v>
      </c>
      <c r="NT410">
        <v>15059</v>
      </c>
      <c r="NU410">
        <v>6344</v>
      </c>
      <c r="NV410">
        <v>29909</v>
      </c>
      <c r="NW410">
        <v>7741</v>
      </c>
      <c r="NX410">
        <v>13444</v>
      </c>
      <c r="NY410">
        <v>18426</v>
      </c>
      <c r="NZ410">
        <v>57158</v>
      </c>
      <c r="OA410">
        <v>29428</v>
      </c>
      <c r="OB410">
        <v>55157</v>
      </c>
      <c r="OC410">
        <v>18684</v>
      </c>
      <c r="OD410">
        <v>246097</v>
      </c>
      <c r="OE410">
        <v>184220</v>
      </c>
      <c r="OF410">
        <v>54249</v>
      </c>
      <c r="OG410">
        <v>1997</v>
      </c>
      <c r="OH410">
        <v>2973</v>
      </c>
      <c r="OI410">
        <v>731648</v>
      </c>
      <c r="OJ410">
        <v>139316</v>
      </c>
      <c r="OK410">
        <v>467952</v>
      </c>
      <c r="OL410">
        <v>26850</v>
      </c>
      <c r="OM410">
        <v>10203</v>
      </c>
      <c r="ON410">
        <v>69979</v>
      </c>
      <c r="OO410">
        <v>10434980</v>
      </c>
    </row>
    <row r="411" spans="1:429" x14ac:dyDescent="0.25">
      <c r="A411" t="s">
        <v>676</v>
      </c>
      <c r="B411" t="s">
        <v>677</v>
      </c>
      <c r="C411">
        <v>1112</v>
      </c>
      <c r="D411">
        <v>1293</v>
      </c>
      <c r="E411">
        <v>489</v>
      </c>
      <c r="F411">
        <v>826</v>
      </c>
      <c r="G411">
        <v>362</v>
      </c>
      <c r="H411">
        <v>544</v>
      </c>
      <c r="I411">
        <v>853</v>
      </c>
      <c r="J411">
        <v>1890</v>
      </c>
      <c r="K411">
        <v>1051</v>
      </c>
      <c r="L411">
        <v>985</v>
      </c>
      <c r="M411">
        <v>424</v>
      </c>
      <c r="N411">
        <v>198</v>
      </c>
      <c r="O411">
        <v>561</v>
      </c>
      <c r="P411">
        <v>23283</v>
      </c>
      <c r="Q411">
        <v>1044</v>
      </c>
      <c r="R411">
        <v>381</v>
      </c>
      <c r="S411">
        <v>411</v>
      </c>
      <c r="T411">
        <v>447</v>
      </c>
      <c r="U411">
        <v>500</v>
      </c>
      <c r="V411">
        <v>538</v>
      </c>
      <c r="W411">
        <v>1488</v>
      </c>
      <c r="X411">
        <v>26174</v>
      </c>
      <c r="Y411">
        <v>5232</v>
      </c>
      <c r="Z411">
        <v>1033</v>
      </c>
      <c r="AA411">
        <v>198</v>
      </c>
      <c r="AB411">
        <v>408</v>
      </c>
      <c r="AC411">
        <v>1008</v>
      </c>
      <c r="AD411">
        <v>404</v>
      </c>
      <c r="AE411">
        <v>679</v>
      </c>
      <c r="AF411">
        <v>541</v>
      </c>
      <c r="AG411">
        <v>1484</v>
      </c>
      <c r="AH411">
        <v>293</v>
      </c>
      <c r="AI411">
        <v>627</v>
      </c>
      <c r="AJ411">
        <v>591</v>
      </c>
      <c r="AK411">
        <v>1308</v>
      </c>
      <c r="AL411">
        <v>718</v>
      </c>
      <c r="AM411">
        <v>197</v>
      </c>
      <c r="AN411">
        <v>147</v>
      </c>
      <c r="AO411">
        <v>158</v>
      </c>
      <c r="AP411">
        <v>148</v>
      </c>
      <c r="AQ411">
        <v>91</v>
      </c>
      <c r="AR411">
        <v>292</v>
      </c>
      <c r="AS411">
        <v>94</v>
      </c>
      <c r="AT411">
        <v>356</v>
      </c>
      <c r="AU411">
        <v>73</v>
      </c>
      <c r="AV411">
        <v>142</v>
      </c>
      <c r="AW411">
        <v>91</v>
      </c>
      <c r="AX411">
        <v>53</v>
      </c>
      <c r="AY411">
        <v>56</v>
      </c>
      <c r="AZ411">
        <v>49</v>
      </c>
      <c r="BA411">
        <v>69</v>
      </c>
      <c r="BB411">
        <v>57</v>
      </c>
      <c r="BC411">
        <v>982</v>
      </c>
      <c r="BD411">
        <v>240</v>
      </c>
      <c r="BE411">
        <v>61</v>
      </c>
      <c r="BF411">
        <v>31</v>
      </c>
      <c r="BG411">
        <v>280</v>
      </c>
      <c r="BH411">
        <v>109</v>
      </c>
      <c r="BI411">
        <v>220</v>
      </c>
      <c r="BJ411">
        <v>153</v>
      </c>
      <c r="BK411">
        <v>198</v>
      </c>
      <c r="BL411">
        <v>139</v>
      </c>
      <c r="BM411">
        <v>58</v>
      </c>
      <c r="BN411">
        <v>103</v>
      </c>
      <c r="BO411">
        <v>89</v>
      </c>
      <c r="BP411">
        <v>83</v>
      </c>
      <c r="BQ411">
        <v>411</v>
      </c>
      <c r="BR411">
        <v>360</v>
      </c>
      <c r="BS411">
        <v>59</v>
      </c>
      <c r="BT411">
        <v>67</v>
      </c>
      <c r="BU411">
        <v>141</v>
      </c>
      <c r="BV411">
        <v>76</v>
      </c>
      <c r="BW411">
        <v>76</v>
      </c>
      <c r="BX411">
        <v>313</v>
      </c>
      <c r="BY411">
        <v>260</v>
      </c>
      <c r="BZ411">
        <v>216</v>
      </c>
      <c r="CA411">
        <v>46</v>
      </c>
      <c r="CB411">
        <v>216</v>
      </c>
      <c r="CC411">
        <v>50</v>
      </c>
      <c r="CD411">
        <v>47</v>
      </c>
      <c r="CE411">
        <v>95</v>
      </c>
      <c r="CF411">
        <v>113</v>
      </c>
      <c r="CG411">
        <v>227</v>
      </c>
      <c r="CH411">
        <v>69</v>
      </c>
      <c r="CI411">
        <v>302</v>
      </c>
      <c r="CJ411">
        <v>164</v>
      </c>
      <c r="CK411">
        <v>71</v>
      </c>
      <c r="CL411">
        <v>240</v>
      </c>
      <c r="CM411">
        <v>43</v>
      </c>
      <c r="CN411">
        <v>15</v>
      </c>
      <c r="CO411">
        <v>188</v>
      </c>
      <c r="CP411">
        <v>42</v>
      </c>
      <c r="CQ411">
        <v>318</v>
      </c>
      <c r="CR411">
        <v>56</v>
      </c>
      <c r="CS411">
        <v>63</v>
      </c>
      <c r="CT411">
        <v>86</v>
      </c>
      <c r="CU411">
        <v>73</v>
      </c>
      <c r="CV411">
        <v>84</v>
      </c>
      <c r="CW411">
        <v>118</v>
      </c>
      <c r="CX411">
        <v>30</v>
      </c>
      <c r="CY411">
        <v>47</v>
      </c>
      <c r="CZ411">
        <v>239</v>
      </c>
      <c r="DA411">
        <v>83</v>
      </c>
      <c r="DB411">
        <v>171</v>
      </c>
      <c r="DC411">
        <v>278</v>
      </c>
      <c r="DD411">
        <v>32</v>
      </c>
      <c r="DE411">
        <v>62</v>
      </c>
      <c r="DF411">
        <v>24</v>
      </c>
      <c r="DG411">
        <v>220</v>
      </c>
      <c r="DH411">
        <v>106</v>
      </c>
      <c r="DI411">
        <v>416</v>
      </c>
      <c r="DJ411">
        <v>106</v>
      </c>
      <c r="DK411">
        <v>219</v>
      </c>
      <c r="DL411">
        <v>164</v>
      </c>
      <c r="DM411">
        <v>675</v>
      </c>
      <c r="DN411">
        <v>135</v>
      </c>
      <c r="DO411">
        <v>1420</v>
      </c>
      <c r="DP411">
        <v>367</v>
      </c>
      <c r="DQ411">
        <v>703</v>
      </c>
      <c r="DR411">
        <v>832</v>
      </c>
      <c r="DS411">
        <v>1206</v>
      </c>
      <c r="DT411">
        <v>75</v>
      </c>
      <c r="DU411">
        <v>257</v>
      </c>
      <c r="DV411">
        <v>140</v>
      </c>
      <c r="DW411">
        <v>275</v>
      </c>
      <c r="DX411">
        <v>370</v>
      </c>
      <c r="DY411">
        <v>226</v>
      </c>
      <c r="DZ411">
        <v>302</v>
      </c>
      <c r="EA411">
        <v>71</v>
      </c>
      <c r="EB411">
        <v>45</v>
      </c>
      <c r="EC411">
        <v>13</v>
      </c>
      <c r="ED411">
        <v>116</v>
      </c>
      <c r="EE411">
        <v>33</v>
      </c>
      <c r="EF411">
        <v>173</v>
      </c>
      <c r="EG411">
        <v>45</v>
      </c>
      <c r="EH411">
        <v>89</v>
      </c>
      <c r="EI411">
        <v>114</v>
      </c>
      <c r="EJ411">
        <v>96</v>
      </c>
      <c r="EK411">
        <v>68</v>
      </c>
      <c r="EL411">
        <v>14</v>
      </c>
      <c r="EM411">
        <v>102</v>
      </c>
      <c r="EN411">
        <v>130</v>
      </c>
      <c r="EO411">
        <v>30</v>
      </c>
      <c r="EP411">
        <v>99</v>
      </c>
      <c r="EQ411">
        <v>376</v>
      </c>
      <c r="ER411">
        <v>1366</v>
      </c>
      <c r="ES411">
        <v>128</v>
      </c>
      <c r="ET411">
        <v>76</v>
      </c>
      <c r="EU411">
        <v>53</v>
      </c>
      <c r="EV411">
        <v>27</v>
      </c>
      <c r="EW411">
        <v>85</v>
      </c>
      <c r="EX411">
        <v>203</v>
      </c>
      <c r="EY411">
        <v>122</v>
      </c>
      <c r="EZ411">
        <v>210</v>
      </c>
      <c r="FA411">
        <v>161</v>
      </c>
      <c r="FB411">
        <v>192</v>
      </c>
      <c r="FC411">
        <v>337</v>
      </c>
      <c r="FD411">
        <v>143</v>
      </c>
      <c r="FE411">
        <v>1185</v>
      </c>
      <c r="FF411">
        <v>311</v>
      </c>
      <c r="FG411">
        <v>293</v>
      </c>
      <c r="FH411">
        <v>163</v>
      </c>
      <c r="FI411">
        <v>78</v>
      </c>
      <c r="FJ411">
        <v>105</v>
      </c>
      <c r="FK411">
        <v>219</v>
      </c>
      <c r="FL411">
        <v>95</v>
      </c>
      <c r="FM411">
        <v>57</v>
      </c>
      <c r="FN411">
        <v>63</v>
      </c>
      <c r="FO411">
        <v>72</v>
      </c>
      <c r="FP411">
        <v>74</v>
      </c>
      <c r="FQ411">
        <v>63</v>
      </c>
      <c r="FR411">
        <v>17</v>
      </c>
      <c r="FS411">
        <v>24</v>
      </c>
      <c r="FT411">
        <v>16</v>
      </c>
      <c r="FU411">
        <v>35</v>
      </c>
      <c r="FV411">
        <v>97</v>
      </c>
      <c r="FW411">
        <v>49</v>
      </c>
      <c r="FX411">
        <v>418</v>
      </c>
      <c r="FY411">
        <v>345</v>
      </c>
      <c r="FZ411">
        <v>50</v>
      </c>
      <c r="GA411">
        <v>63</v>
      </c>
      <c r="GB411">
        <v>59</v>
      </c>
      <c r="GC411">
        <v>79</v>
      </c>
      <c r="GD411">
        <v>103</v>
      </c>
      <c r="GE411">
        <v>15</v>
      </c>
      <c r="GF411">
        <v>29</v>
      </c>
      <c r="GG411">
        <v>142</v>
      </c>
      <c r="GH411">
        <v>260</v>
      </c>
      <c r="GI411">
        <v>176</v>
      </c>
      <c r="GJ411">
        <v>214</v>
      </c>
      <c r="GK411">
        <v>114</v>
      </c>
      <c r="GL411">
        <v>67</v>
      </c>
      <c r="GM411">
        <v>67</v>
      </c>
      <c r="GN411">
        <v>239</v>
      </c>
      <c r="GO411">
        <v>72</v>
      </c>
      <c r="GP411">
        <v>251</v>
      </c>
      <c r="GQ411">
        <v>225</v>
      </c>
      <c r="GR411">
        <v>247</v>
      </c>
      <c r="GS411">
        <v>330</v>
      </c>
      <c r="GT411">
        <v>176</v>
      </c>
      <c r="GU411">
        <v>303</v>
      </c>
      <c r="GV411">
        <v>53</v>
      </c>
      <c r="GW411">
        <v>483</v>
      </c>
      <c r="GX411">
        <v>1002</v>
      </c>
      <c r="GY411">
        <v>86</v>
      </c>
      <c r="GZ411">
        <v>326</v>
      </c>
      <c r="HA411">
        <v>189</v>
      </c>
      <c r="HB411">
        <v>298</v>
      </c>
      <c r="HC411">
        <v>88</v>
      </c>
      <c r="HD411">
        <v>83</v>
      </c>
      <c r="HE411">
        <v>155</v>
      </c>
      <c r="HF411">
        <v>209</v>
      </c>
      <c r="HG411">
        <v>297</v>
      </c>
      <c r="HH411">
        <v>219</v>
      </c>
      <c r="HI411">
        <v>158</v>
      </c>
      <c r="HJ411">
        <v>145</v>
      </c>
      <c r="HK411">
        <v>512</v>
      </c>
      <c r="HL411">
        <v>87</v>
      </c>
      <c r="HM411">
        <v>163</v>
      </c>
      <c r="HN411">
        <v>81</v>
      </c>
      <c r="HO411">
        <v>116</v>
      </c>
      <c r="HP411">
        <v>41</v>
      </c>
      <c r="HQ411">
        <v>107</v>
      </c>
      <c r="HR411">
        <v>191</v>
      </c>
      <c r="HS411">
        <v>90</v>
      </c>
      <c r="HT411">
        <v>64</v>
      </c>
      <c r="HU411">
        <v>342</v>
      </c>
      <c r="HV411">
        <v>305</v>
      </c>
      <c r="HW411">
        <v>602</v>
      </c>
      <c r="HX411">
        <v>194</v>
      </c>
      <c r="HY411">
        <v>52</v>
      </c>
      <c r="HZ411">
        <v>102</v>
      </c>
      <c r="IA411">
        <v>42</v>
      </c>
      <c r="IB411">
        <v>693</v>
      </c>
      <c r="IC411">
        <v>28</v>
      </c>
      <c r="ID411">
        <v>3189</v>
      </c>
      <c r="IE411">
        <v>104</v>
      </c>
      <c r="IF411">
        <v>85</v>
      </c>
      <c r="IG411">
        <v>140</v>
      </c>
      <c r="IH411">
        <v>903</v>
      </c>
      <c r="II411">
        <v>191</v>
      </c>
      <c r="IJ411">
        <v>121</v>
      </c>
      <c r="IK411">
        <v>560</v>
      </c>
      <c r="IL411">
        <v>2040</v>
      </c>
      <c r="IM411">
        <v>1508</v>
      </c>
      <c r="IN411">
        <v>260</v>
      </c>
      <c r="IO411">
        <v>251</v>
      </c>
      <c r="IP411">
        <v>3213</v>
      </c>
      <c r="IQ411">
        <v>312</v>
      </c>
      <c r="IR411">
        <v>617</v>
      </c>
      <c r="IS411">
        <v>303</v>
      </c>
      <c r="IT411">
        <v>256</v>
      </c>
      <c r="IU411">
        <v>478</v>
      </c>
      <c r="IV411">
        <v>259</v>
      </c>
      <c r="IW411">
        <v>708</v>
      </c>
      <c r="IX411">
        <v>792</v>
      </c>
      <c r="IY411">
        <v>71</v>
      </c>
      <c r="IZ411">
        <v>746</v>
      </c>
      <c r="JA411">
        <v>254</v>
      </c>
      <c r="JB411">
        <v>127</v>
      </c>
      <c r="JC411">
        <v>29</v>
      </c>
      <c r="JD411">
        <v>63</v>
      </c>
      <c r="JE411">
        <v>70</v>
      </c>
      <c r="JF411">
        <v>71</v>
      </c>
      <c r="JG411">
        <v>669</v>
      </c>
      <c r="JH411">
        <v>125</v>
      </c>
      <c r="JI411">
        <v>33</v>
      </c>
      <c r="JJ411">
        <v>123</v>
      </c>
      <c r="JK411">
        <v>965</v>
      </c>
      <c r="JL411">
        <v>1238</v>
      </c>
      <c r="JM411">
        <v>1569</v>
      </c>
      <c r="JN411">
        <v>1088</v>
      </c>
      <c r="JO411">
        <v>1749</v>
      </c>
      <c r="JP411">
        <v>1340</v>
      </c>
      <c r="JQ411">
        <v>1123</v>
      </c>
      <c r="JR411">
        <v>966</v>
      </c>
      <c r="JS411">
        <v>2325</v>
      </c>
      <c r="JT411">
        <v>296</v>
      </c>
      <c r="JU411">
        <v>0</v>
      </c>
      <c r="JV411">
        <v>3108</v>
      </c>
      <c r="JW411">
        <v>3223</v>
      </c>
      <c r="JX411">
        <v>2493</v>
      </c>
      <c r="JY411">
        <v>1921</v>
      </c>
      <c r="JZ411">
        <v>1479</v>
      </c>
      <c r="KA411">
        <v>1419</v>
      </c>
      <c r="KB411">
        <v>1833</v>
      </c>
      <c r="KC411">
        <v>3840</v>
      </c>
      <c r="KD411">
        <v>2810</v>
      </c>
      <c r="KE411">
        <v>3542</v>
      </c>
      <c r="KF411">
        <v>1436</v>
      </c>
      <c r="KG411">
        <v>807</v>
      </c>
      <c r="KH411">
        <v>3965</v>
      </c>
      <c r="KI411">
        <v>861</v>
      </c>
      <c r="KJ411">
        <v>3256</v>
      </c>
      <c r="KK411">
        <v>1290</v>
      </c>
      <c r="KL411">
        <v>933</v>
      </c>
      <c r="KM411">
        <v>771</v>
      </c>
      <c r="KN411">
        <v>295</v>
      </c>
      <c r="KO411">
        <v>311</v>
      </c>
      <c r="KP411">
        <v>418</v>
      </c>
      <c r="KQ411">
        <v>123</v>
      </c>
      <c r="KR411">
        <v>3677</v>
      </c>
      <c r="KS411">
        <v>2627</v>
      </c>
      <c r="KT411">
        <v>975</v>
      </c>
      <c r="KU411">
        <v>209</v>
      </c>
      <c r="KV411">
        <v>654</v>
      </c>
      <c r="KW411">
        <v>1608</v>
      </c>
      <c r="KX411">
        <v>1171</v>
      </c>
      <c r="KY411">
        <v>119</v>
      </c>
      <c r="KZ411">
        <v>1696</v>
      </c>
      <c r="LA411">
        <v>1808</v>
      </c>
      <c r="LB411">
        <v>94</v>
      </c>
      <c r="LC411">
        <v>5896</v>
      </c>
      <c r="LD411">
        <v>11505</v>
      </c>
      <c r="LE411">
        <v>3013</v>
      </c>
      <c r="LF411">
        <v>1290</v>
      </c>
      <c r="LG411">
        <v>595</v>
      </c>
      <c r="LH411">
        <v>3740</v>
      </c>
      <c r="LI411">
        <v>2373</v>
      </c>
      <c r="LJ411">
        <v>701</v>
      </c>
      <c r="LK411">
        <v>178599</v>
      </c>
      <c r="LL411">
        <v>75504</v>
      </c>
      <c r="LM411">
        <v>27704</v>
      </c>
      <c r="LN411">
        <v>1616</v>
      </c>
      <c r="LO411">
        <v>2234</v>
      </c>
      <c r="LP411">
        <v>641</v>
      </c>
      <c r="LQ411">
        <v>4292</v>
      </c>
      <c r="LR411">
        <v>1243</v>
      </c>
      <c r="LS411">
        <v>646</v>
      </c>
      <c r="LT411">
        <v>1122</v>
      </c>
      <c r="LU411">
        <v>207</v>
      </c>
      <c r="LV411">
        <v>1175</v>
      </c>
      <c r="LW411">
        <v>2363</v>
      </c>
      <c r="LX411">
        <v>1813</v>
      </c>
      <c r="LY411">
        <v>390</v>
      </c>
      <c r="LZ411">
        <v>1553</v>
      </c>
      <c r="MA411">
        <v>893</v>
      </c>
      <c r="MB411">
        <v>254</v>
      </c>
      <c r="MC411">
        <v>56</v>
      </c>
      <c r="MD411">
        <v>285</v>
      </c>
      <c r="ME411">
        <v>619</v>
      </c>
      <c r="MF411">
        <v>7648</v>
      </c>
      <c r="MG411">
        <v>1547</v>
      </c>
      <c r="MH411">
        <v>805</v>
      </c>
      <c r="MI411">
        <v>271</v>
      </c>
      <c r="MJ411">
        <v>145</v>
      </c>
      <c r="MK411">
        <v>384</v>
      </c>
      <c r="ML411">
        <v>258</v>
      </c>
      <c r="MM411">
        <v>285</v>
      </c>
      <c r="MN411">
        <v>241</v>
      </c>
      <c r="MO411">
        <v>1896</v>
      </c>
      <c r="MP411">
        <v>1206</v>
      </c>
      <c r="MQ411">
        <v>5200</v>
      </c>
      <c r="MR411">
        <v>1954</v>
      </c>
      <c r="MS411">
        <v>4095</v>
      </c>
      <c r="MT411">
        <v>966</v>
      </c>
      <c r="MU411">
        <v>641</v>
      </c>
      <c r="MV411">
        <v>960</v>
      </c>
      <c r="MW411">
        <v>408</v>
      </c>
      <c r="MX411">
        <v>725</v>
      </c>
      <c r="MY411">
        <v>300</v>
      </c>
      <c r="MZ411">
        <v>11590</v>
      </c>
      <c r="NA411">
        <v>2678</v>
      </c>
      <c r="NB411">
        <v>760</v>
      </c>
      <c r="NC411">
        <v>606</v>
      </c>
      <c r="ND411">
        <v>285</v>
      </c>
      <c r="NE411">
        <v>259</v>
      </c>
      <c r="NF411">
        <v>346</v>
      </c>
      <c r="NG411">
        <v>676</v>
      </c>
      <c r="NH411">
        <v>596</v>
      </c>
      <c r="NI411">
        <v>685</v>
      </c>
      <c r="NJ411">
        <v>265</v>
      </c>
      <c r="NK411">
        <v>602</v>
      </c>
      <c r="NL411">
        <v>737</v>
      </c>
      <c r="NM411">
        <v>2310</v>
      </c>
      <c r="NN411">
        <v>5831</v>
      </c>
      <c r="NO411">
        <v>1911</v>
      </c>
      <c r="NP411">
        <v>1751</v>
      </c>
      <c r="NQ411">
        <v>540</v>
      </c>
      <c r="NR411">
        <v>2155</v>
      </c>
      <c r="NS411">
        <v>345</v>
      </c>
      <c r="NT411">
        <v>814</v>
      </c>
      <c r="NU411">
        <v>438</v>
      </c>
      <c r="NV411">
        <v>1515</v>
      </c>
      <c r="NW411">
        <v>391</v>
      </c>
      <c r="NX411">
        <v>479</v>
      </c>
      <c r="NY411">
        <v>1367</v>
      </c>
      <c r="NZ411">
        <v>234</v>
      </c>
      <c r="OA411">
        <v>918</v>
      </c>
      <c r="OB411">
        <v>1637</v>
      </c>
      <c r="OC411">
        <v>0</v>
      </c>
      <c r="OO411">
        <v>608532</v>
      </c>
    </row>
    <row r="412" spans="1:429" x14ac:dyDescent="0.25">
      <c r="A412" t="s">
        <v>678</v>
      </c>
      <c r="B412" t="s">
        <v>679</v>
      </c>
      <c r="C412">
        <v>15495</v>
      </c>
      <c r="D412">
        <v>14896</v>
      </c>
      <c r="E412">
        <v>5165</v>
      </c>
      <c r="F412">
        <v>12227</v>
      </c>
      <c r="G412">
        <v>4415</v>
      </c>
      <c r="H412">
        <v>4298</v>
      </c>
      <c r="I412">
        <v>6583</v>
      </c>
      <c r="J412">
        <v>24181</v>
      </c>
      <c r="K412">
        <v>2239</v>
      </c>
      <c r="L412">
        <v>19081</v>
      </c>
      <c r="M412">
        <v>1916</v>
      </c>
      <c r="N412">
        <v>5344</v>
      </c>
      <c r="O412">
        <v>3848</v>
      </c>
      <c r="P412">
        <v>100192</v>
      </c>
      <c r="Q412">
        <v>11518</v>
      </c>
      <c r="R412">
        <v>4873</v>
      </c>
      <c r="S412">
        <v>3212</v>
      </c>
      <c r="T412">
        <v>5303</v>
      </c>
      <c r="U412">
        <v>4575</v>
      </c>
      <c r="V412">
        <v>5888</v>
      </c>
      <c r="W412">
        <v>15832</v>
      </c>
      <c r="X412">
        <v>148096</v>
      </c>
      <c r="Y412">
        <v>18036</v>
      </c>
      <c r="Z412">
        <v>4230</v>
      </c>
      <c r="AA412">
        <v>8837</v>
      </c>
      <c r="AB412">
        <v>18600</v>
      </c>
      <c r="AC412">
        <v>39466</v>
      </c>
      <c r="AD412">
        <v>15823</v>
      </c>
      <c r="AE412">
        <v>26452</v>
      </c>
      <c r="AF412">
        <v>14739</v>
      </c>
      <c r="AG412">
        <v>54293</v>
      </c>
      <c r="AH412">
        <v>12468</v>
      </c>
      <c r="AI412">
        <v>22411</v>
      </c>
      <c r="AJ412">
        <v>30037</v>
      </c>
      <c r="AK412">
        <v>39980</v>
      </c>
      <c r="AL412">
        <v>26576</v>
      </c>
      <c r="AM412">
        <v>3580</v>
      </c>
      <c r="AN412">
        <v>3722</v>
      </c>
      <c r="AO412">
        <v>3266</v>
      </c>
      <c r="AP412">
        <v>2088</v>
      </c>
      <c r="AQ412">
        <v>1196</v>
      </c>
      <c r="AR412">
        <v>5437</v>
      </c>
      <c r="AS412">
        <v>3038</v>
      </c>
      <c r="AT412">
        <v>4092</v>
      </c>
      <c r="AU412">
        <v>1311</v>
      </c>
      <c r="AV412">
        <v>2380</v>
      </c>
      <c r="AW412">
        <v>2653</v>
      </c>
      <c r="AX412">
        <v>2328</v>
      </c>
      <c r="AY412">
        <v>481</v>
      </c>
      <c r="AZ412">
        <v>1389</v>
      </c>
      <c r="BA412">
        <v>1698</v>
      </c>
      <c r="BB412">
        <v>1455</v>
      </c>
      <c r="BC412">
        <v>11070</v>
      </c>
      <c r="BD412">
        <v>1976</v>
      </c>
      <c r="BE412">
        <v>351</v>
      </c>
      <c r="BF412">
        <v>156</v>
      </c>
      <c r="BG412">
        <v>2568</v>
      </c>
      <c r="BH412">
        <v>2157</v>
      </c>
      <c r="BI412">
        <v>1214</v>
      </c>
      <c r="BJ412">
        <v>2306</v>
      </c>
      <c r="BK412">
        <v>2223</v>
      </c>
      <c r="BL412">
        <v>1441</v>
      </c>
      <c r="BM412">
        <v>1144</v>
      </c>
      <c r="BN412">
        <v>1278</v>
      </c>
      <c r="BO412">
        <v>1025</v>
      </c>
      <c r="BP412">
        <v>1457</v>
      </c>
      <c r="BQ412">
        <v>4156</v>
      </c>
      <c r="BR412">
        <v>4299</v>
      </c>
      <c r="BS412">
        <v>1051</v>
      </c>
      <c r="BT412">
        <v>1018</v>
      </c>
      <c r="BU412">
        <v>2118</v>
      </c>
      <c r="BV412">
        <v>922</v>
      </c>
      <c r="BW412">
        <v>875</v>
      </c>
      <c r="BX412">
        <v>2440</v>
      </c>
      <c r="BY412">
        <v>5946</v>
      </c>
      <c r="BZ412">
        <v>4006</v>
      </c>
      <c r="CA412">
        <v>857</v>
      </c>
      <c r="CB412">
        <v>4356</v>
      </c>
      <c r="CC412">
        <v>889</v>
      </c>
      <c r="CD412">
        <v>674</v>
      </c>
      <c r="CE412">
        <v>2281</v>
      </c>
      <c r="CF412">
        <v>1129</v>
      </c>
      <c r="CG412">
        <v>3770</v>
      </c>
      <c r="CH412">
        <v>697</v>
      </c>
      <c r="CI412">
        <v>5691</v>
      </c>
      <c r="CJ412">
        <v>645</v>
      </c>
      <c r="CK412">
        <v>959</v>
      </c>
      <c r="CL412">
        <v>3747</v>
      </c>
      <c r="CM412">
        <v>25</v>
      </c>
      <c r="CN412">
        <v>54</v>
      </c>
      <c r="CO412">
        <v>2378</v>
      </c>
      <c r="CP412">
        <v>833</v>
      </c>
      <c r="CQ412">
        <v>6250</v>
      </c>
      <c r="CR412">
        <v>418</v>
      </c>
      <c r="CS412">
        <v>244</v>
      </c>
      <c r="CT412">
        <v>194</v>
      </c>
      <c r="CU412">
        <v>207</v>
      </c>
      <c r="CV412">
        <v>666</v>
      </c>
      <c r="CW412">
        <v>2503</v>
      </c>
      <c r="CX412">
        <v>341</v>
      </c>
      <c r="CY412">
        <v>1137</v>
      </c>
      <c r="CZ412">
        <v>1007</v>
      </c>
      <c r="DA412">
        <v>1113</v>
      </c>
      <c r="DB412">
        <v>4231</v>
      </c>
      <c r="DC412">
        <v>4818</v>
      </c>
      <c r="DD412">
        <v>648</v>
      </c>
      <c r="DE412">
        <v>967</v>
      </c>
      <c r="DF412">
        <v>236</v>
      </c>
      <c r="DG412">
        <v>4325</v>
      </c>
      <c r="DH412">
        <v>1078</v>
      </c>
      <c r="DI412">
        <v>4822</v>
      </c>
      <c r="DJ412">
        <v>1342</v>
      </c>
      <c r="DK412">
        <v>2215</v>
      </c>
      <c r="DL412">
        <v>2002</v>
      </c>
      <c r="DM412">
        <v>7477</v>
      </c>
      <c r="DN412">
        <v>1381</v>
      </c>
      <c r="DO412">
        <v>20266</v>
      </c>
      <c r="DP412">
        <v>5078</v>
      </c>
      <c r="DQ412">
        <v>3628</v>
      </c>
      <c r="DR412">
        <v>9488</v>
      </c>
      <c r="DS412">
        <v>15138</v>
      </c>
      <c r="DT412">
        <v>829</v>
      </c>
      <c r="DU412">
        <v>405</v>
      </c>
      <c r="DV412">
        <v>1497</v>
      </c>
      <c r="DW412">
        <v>3048</v>
      </c>
      <c r="DX412">
        <v>4026</v>
      </c>
      <c r="DY412">
        <v>2412</v>
      </c>
      <c r="DZ412">
        <v>3338</v>
      </c>
      <c r="EA412">
        <v>791</v>
      </c>
      <c r="EB412">
        <v>471</v>
      </c>
      <c r="EC412">
        <v>48</v>
      </c>
      <c r="ED412">
        <v>2112</v>
      </c>
      <c r="EE412">
        <v>889</v>
      </c>
      <c r="EF412">
        <v>4282</v>
      </c>
      <c r="EG412">
        <v>420</v>
      </c>
      <c r="EH412">
        <v>761</v>
      </c>
      <c r="EI412">
        <v>2026</v>
      </c>
      <c r="EJ412">
        <v>139</v>
      </c>
      <c r="EK412">
        <v>742</v>
      </c>
      <c r="EL412">
        <v>689</v>
      </c>
      <c r="EM412">
        <v>1476</v>
      </c>
      <c r="EN412">
        <v>3754</v>
      </c>
      <c r="EO412">
        <v>1131</v>
      </c>
      <c r="EP412">
        <v>1731</v>
      </c>
      <c r="EQ412">
        <v>5192</v>
      </c>
      <c r="ER412">
        <v>40156</v>
      </c>
      <c r="ES412">
        <v>2845</v>
      </c>
      <c r="ET412">
        <v>385</v>
      </c>
      <c r="EU412">
        <v>721</v>
      </c>
      <c r="EV412">
        <v>24</v>
      </c>
      <c r="EW412">
        <v>3094</v>
      </c>
      <c r="EX412">
        <v>3493</v>
      </c>
      <c r="EY412">
        <v>1857</v>
      </c>
      <c r="EZ412">
        <v>5151</v>
      </c>
      <c r="FA412">
        <v>3241</v>
      </c>
      <c r="FB412">
        <v>4501</v>
      </c>
      <c r="FC412">
        <v>7606</v>
      </c>
      <c r="FD412">
        <v>1829</v>
      </c>
      <c r="FE412">
        <v>44108</v>
      </c>
      <c r="FF412">
        <v>8994</v>
      </c>
      <c r="FG412">
        <v>7669</v>
      </c>
      <c r="FH412">
        <v>81</v>
      </c>
      <c r="FI412">
        <v>430</v>
      </c>
      <c r="FJ412">
        <v>1550</v>
      </c>
      <c r="FK412">
        <v>1610</v>
      </c>
      <c r="FL412">
        <v>581</v>
      </c>
      <c r="FM412">
        <v>1466</v>
      </c>
      <c r="FN412">
        <v>1488</v>
      </c>
      <c r="FO412">
        <v>1229</v>
      </c>
      <c r="FP412">
        <v>623</v>
      </c>
      <c r="FQ412">
        <v>1182</v>
      </c>
      <c r="FR412">
        <v>91</v>
      </c>
      <c r="FS412">
        <v>380</v>
      </c>
      <c r="FT412">
        <v>320</v>
      </c>
      <c r="FU412">
        <v>288</v>
      </c>
      <c r="FV412">
        <v>2456</v>
      </c>
      <c r="FW412">
        <v>1181</v>
      </c>
      <c r="FX412">
        <v>11929</v>
      </c>
      <c r="FY412">
        <v>9031</v>
      </c>
      <c r="FZ412">
        <v>966</v>
      </c>
      <c r="GA412">
        <v>1651</v>
      </c>
      <c r="GB412">
        <v>380</v>
      </c>
      <c r="GC412">
        <v>1115</v>
      </c>
      <c r="GD412">
        <v>1276</v>
      </c>
      <c r="GE412">
        <v>149</v>
      </c>
      <c r="GF412">
        <v>138</v>
      </c>
      <c r="GG412">
        <v>594</v>
      </c>
      <c r="GH412">
        <v>3783</v>
      </c>
      <c r="GI412">
        <v>3862</v>
      </c>
      <c r="GJ412">
        <v>1890</v>
      </c>
      <c r="GK412">
        <v>1779</v>
      </c>
      <c r="GL412">
        <v>602</v>
      </c>
      <c r="GM412">
        <v>803</v>
      </c>
      <c r="GN412">
        <v>2402</v>
      </c>
      <c r="GO412">
        <v>1657</v>
      </c>
      <c r="GP412">
        <v>4606</v>
      </c>
      <c r="GQ412">
        <v>3799</v>
      </c>
      <c r="GR412">
        <v>2779</v>
      </c>
      <c r="GS412">
        <v>4238</v>
      </c>
      <c r="GT412">
        <v>4642</v>
      </c>
      <c r="GU412">
        <v>3688</v>
      </c>
      <c r="GV412">
        <v>609</v>
      </c>
      <c r="GW412">
        <v>7504</v>
      </c>
      <c r="GX412">
        <v>8436</v>
      </c>
      <c r="GY412">
        <v>917</v>
      </c>
      <c r="GZ412">
        <v>3742</v>
      </c>
      <c r="HA412">
        <v>3600</v>
      </c>
      <c r="HB412">
        <v>9025</v>
      </c>
      <c r="HC412">
        <v>1793</v>
      </c>
      <c r="HD412">
        <v>3401</v>
      </c>
      <c r="HE412">
        <v>3400</v>
      </c>
      <c r="HF412">
        <v>2254</v>
      </c>
      <c r="HG412">
        <v>5427</v>
      </c>
      <c r="HH412">
        <v>7523</v>
      </c>
      <c r="HI412">
        <v>4507</v>
      </c>
      <c r="HJ412">
        <v>3398</v>
      </c>
      <c r="HK412">
        <v>29452</v>
      </c>
      <c r="HL412">
        <v>150</v>
      </c>
      <c r="HM412">
        <v>1092</v>
      </c>
      <c r="HN412">
        <v>307</v>
      </c>
      <c r="HO412">
        <v>1567</v>
      </c>
      <c r="HP412">
        <v>299</v>
      </c>
      <c r="HQ412">
        <v>987</v>
      </c>
      <c r="HR412">
        <v>680</v>
      </c>
      <c r="HS412">
        <v>588</v>
      </c>
      <c r="HT412">
        <v>1387</v>
      </c>
      <c r="HU412">
        <v>5773</v>
      </c>
      <c r="HV412">
        <v>7194</v>
      </c>
      <c r="HW412">
        <v>4946</v>
      </c>
      <c r="HX412">
        <v>2385</v>
      </c>
      <c r="HY412">
        <v>225</v>
      </c>
      <c r="HZ412">
        <v>1220</v>
      </c>
      <c r="IA412">
        <v>558</v>
      </c>
      <c r="IB412">
        <v>13301</v>
      </c>
      <c r="IC412">
        <v>298</v>
      </c>
      <c r="ID412">
        <v>78929</v>
      </c>
      <c r="IE412">
        <v>1194</v>
      </c>
      <c r="IF412">
        <v>2541</v>
      </c>
      <c r="IG412">
        <v>4567</v>
      </c>
      <c r="IH412">
        <v>17305</v>
      </c>
      <c r="II412">
        <v>873</v>
      </c>
      <c r="IJ412">
        <v>1058</v>
      </c>
      <c r="IK412">
        <v>8826</v>
      </c>
      <c r="IL412">
        <v>22500</v>
      </c>
      <c r="IM412">
        <v>13728</v>
      </c>
      <c r="IN412">
        <v>1119</v>
      </c>
      <c r="IO412">
        <v>3231</v>
      </c>
      <c r="IP412">
        <v>75346</v>
      </c>
      <c r="IQ412">
        <v>5736</v>
      </c>
      <c r="IR412">
        <v>16555</v>
      </c>
      <c r="IS412">
        <v>4861</v>
      </c>
      <c r="IT412">
        <v>3989</v>
      </c>
      <c r="IU412">
        <v>6356</v>
      </c>
      <c r="IV412">
        <v>3635</v>
      </c>
      <c r="IW412">
        <v>13663</v>
      </c>
      <c r="IX412">
        <v>17723</v>
      </c>
      <c r="IY412">
        <v>514</v>
      </c>
      <c r="IZ412">
        <v>7688</v>
      </c>
      <c r="JA412">
        <v>4390</v>
      </c>
      <c r="JB412">
        <v>2931</v>
      </c>
      <c r="JC412">
        <v>452</v>
      </c>
      <c r="JD412">
        <v>691</v>
      </c>
      <c r="JE412">
        <v>1015</v>
      </c>
      <c r="JF412">
        <v>980</v>
      </c>
      <c r="JG412">
        <v>12796</v>
      </c>
      <c r="JH412">
        <v>2024</v>
      </c>
      <c r="JI412">
        <v>437</v>
      </c>
      <c r="JJ412">
        <v>2352</v>
      </c>
      <c r="JK412">
        <v>33161</v>
      </c>
      <c r="JL412">
        <v>33508</v>
      </c>
      <c r="JM412">
        <v>62785</v>
      </c>
      <c r="JN412">
        <v>32627</v>
      </c>
      <c r="JO412">
        <v>58493</v>
      </c>
      <c r="JP412">
        <v>59997</v>
      </c>
      <c r="JQ412">
        <v>36990</v>
      </c>
      <c r="JR412">
        <v>17682</v>
      </c>
      <c r="JS412">
        <v>77766</v>
      </c>
      <c r="JT412">
        <v>6829</v>
      </c>
      <c r="JV412">
        <v>68657</v>
      </c>
      <c r="JW412">
        <v>40131</v>
      </c>
      <c r="JX412">
        <v>18546</v>
      </c>
      <c r="JY412">
        <v>27879</v>
      </c>
      <c r="JZ412">
        <v>13624</v>
      </c>
      <c r="KA412">
        <v>21627</v>
      </c>
      <c r="KB412">
        <v>13408</v>
      </c>
      <c r="KC412">
        <v>116764</v>
      </c>
      <c r="KD412">
        <v>18998</v>
      </c>
      <c r="KE412">
        <v>46346</v>
      </c>
      <c r="KF412">
        <v>22481</v>
      </c>
      <c r="KG412">
        <v>5828</v>
      </c>
      <c r="KH412">
        <v>77160</v>
      </c>
      <c r="KI412">
        <v>19576</v>
      </c>
      <c r="KJ412">
        <v>30054</v>
      </c>
      <c r="KK412">
        <v>19739</v>
      </c>
      <c r="KL412">
        <v>16597</v>
      </c>
      <c r="KM412">
        <v>6319</v>
      </c>
      <c r="KN412">
        <v>7987</v>
      </c>
      <c r="KO412">
        <v>6702</v>
      </c>
      <c r="KP412">
        <v>11737</v>
      </c>
      <c r="KQ412">
        <v>3445</v>
      </c>
      <c r="KR412">
        <v>99964</v>
      </c>
      <c r="KS412">
        <v>45022</v>
      </c>
      <c r="KT412">
        <v>10907</v>
      </c>
      <c r="KU412">
        <v>22637</v>
      </c>
      <c r="KV412">
        <v>49756</v>
      </c>
      <c r="KW412">
        <v>109598</v>
      </c>
      <c r="KX412">
        <v>116524</v>
      </c>
      <c r="KY412">
        <v>10336</v>
      </c>
      <c r="KZ412">
        <v>50886</v>
      </c>
      <c r="LA412">
        <v>55437</v>
      </c>
      <c r="LB412">
        <v>1740</v>
      </c>
      <c r="LC412">
        <v>105317</v>
      </c>
      <c r="LD412">
        <v>260765</v>
      </c>
      <c r="LE412">
        <v>20528</v>
      </c>
      <c r="LF412">
        <v>6083</v>
      </c>
      <c r="LG412">
        <v>16487</v>
      </c>
      <c r="LH412">
        <v>174298</v>
      </c>
      <c r="LI412">
        <v>76517</v>
      </c>
      <c r="LJ412">
        <v>4036</v>
      </c>
      <c r="LK412">
        <v>1164524</v>
      </c>
      <c r="LL412">
        <v>376515</v>
      </c>
      <c r="LM412">
        <v>396339</v>
      </c>
      <c r="LN412">
        <v>20862</v>
      </c>
      <c r="LO412">
        <v>33201</v>
      </c>
      <c r="LP412">
        <v>5895</v>
      </c>
      <c r="LQ412">
        <v>95037</v>
      </c>
      <c r="LR412">
        <v>118269</v>
      </c>
      <c r="LS412">
        <v>14390</v>
      </c>
      <c r="LT412">
        <v>34127</v>
      </c>
      <c r="LU412">
        <v>6412</v>
      </c>
      <c r="LV412">
        <v>34999</v>
      </c>
      <c r="LW412">
        <v>56463</v>
      </c>
      <c r="LX412">
        <v>45077</v>
      </c>
      <c r="LY412">
        <v>3399</v>
      </c>
      <c r="LZ412">
        <v>22155</v>
      </c>
      <c r="MA412">
        <v>41656</v>
      </c>
      <c r="MB412">
        <v>12365</v>
      </c>
      <c r="MC412">
        <v>5073</v>
      </c>
      <c r="MD412">
        <v>10043</v>
      </c>
      <c r="ME412">
        <v>27553</v>
      </c>
      <c r="MF412">
        <v>36459</v>
      </c>
      <c r="MG412">
        <v>70536</v>
      </c>
      <c r="MH412">
        <v>23875</v>
      </c>
      <c r="MI412">
        <v>2442</v>
      </c>
      <c r="MJ412">
        <v>5037</v>
      </c>
      <c r="MK412">
        <v>8578</v>
      </c>
      <c r="ML412">
        <v>7663</v>
      </c>
      <c r="MM412">
        <v>5324</v>
      </c>
      <c r="MN412">
        <v>6684</v>
      </c>
      <c r="MO412">
        <v>19317</v>
      </c>
      <c r="MP412">
        <v>1265</v>
      </c>
      <c r="MQ412">
        <v>41574</v>
      </c>
      <c r="MR412">
        <v>1090</v>
      </c>
      <c r="MS412">
        <v>24262</v>
      </c>
      <c r="MT412">
        <v>40384</v>
      </c>
      <c r="MU412">
        <v>33720</v>
      </c>
      <c r="MV412">
        <v>25868</v>
      </c>
      <c r="MW412">
        <v>18285</v>
      </c>
      <c r="MX412">
        <v>11531</v>
      </c>
      <c r="MY412">
        <v>833</v>
      </c>
      <c r="MZ412">
        <v>76051</v>
      </c>
      <c r="NA412">
        <v>7290</v>
      </c>
      <c r="NB412">
        <v>2136</v>
      </c>
      <c r="NC412">
        <v>6311</v>
      </c>
      <c r="ND412">
        <v>2826</v>
      </c>
      <c r="NE412">
        <v>2828</v>
      </c>
      <c r="NF412">
        <v>8020</v>
      </c>
      <c r="NG412">
        <v>9100</v>
      </c>
      <c r="NH412">
        <v>21794</v>
      </c>
      <c r="NI412">
        <v>15172</v>
      </c>
      <c r="NJ412">
        <v>4580</v>
      </c>
      <c r="NK412">
        <v>4595</v>
      </c>
      <c r="NL412">
        <v>9413</v>
      </c>
      <c r="NM412">
        <v>5216</v>
      </c>
      <c r="NN412">
        <v>63036</v>
      </c>
      <c r="NO412">
        <v>39297</v>
      </c>
      <c r="NP412">
        <v>38095</v>
      </c>
      <c r="NQ412">
        <v>9080</v>
      </c>
      <c r="NR412">
        <v>23211</v>
      </c>
      <c r="NS412">
        <v>4176</v>
      </c>
      <c r="NT412">
        <v>8394</v>
      </c>
      <c r="NU412">
        <v>5625</v>
      </c>
      <c r="NV412">
        <v>11995</v>
      </c>
      <c r="NW412">
        <v>5520</v>
      </c>
      <c r="NX412">
        <v>4365</v>
      </c>
      <c r="NY412">
        <v>15077</v>
      </c>
      <c r="NZ412">
        <v>11860</v>
      </c>
      <c r="OA412">
        <v>8858</v>
      </c>
      <c r="OB412">
        <v>4905</v>
      </c>
      <c r="OD412">
        <v>159521</v>
      </c>
      <c r="OE412">
        <v>112305</v>
      </c>
      <c r="OF412">
        <v>2781</v>
      </c>
      <c r="OG412">
        <v>4566</v>
      </c>
      <c r="OH412">
        <v>4080</v>
      </c>
      <c r="OI412">
        <v>76537</v>
      </c>
      <c r="OJ412">
        <v>17879</v>
      </c>
      <c r="OK412">
        <v>111540</v>
      </c>
      <c r="OL412">
        <v>-36919</v>
      </c>
      <c r="OM412">
        <v>19288</v>
      </c>
      <c r="ON412">
        <v>74058</v>
      </c>
      <c r="OO412">
        <v>7873026</v>
      </c>
    </row>
    <row r="413" spans="1:429" x14ac:dyDescent="0.25">
      <c r="A413" t="s">
        <v>680</v>
      </c>
      <c r="B413" t="s">
        <v>681</v>
      </c>
      <c r="C413">
        <v>17670</v>
      </c>
      <c r="D413">
        <v>19338</v>
      </c>
      <c r="E413">
        <v>8151</v>
      </c>
      <c r="F413">
        <v>18235</v>
      </c>
      <c r="G413">
        <v>10233</v>
      </c>
      <c r="H413">
        <v>9665</v>
      </c>
      <c r="I413">
        <v>9616</v>
      </c>
      <c r="J413">
        <v>27302</v>
      </c>
      <c r="K413">
        <v>5812</v>
      </c>
      <c r="L413">
        <v>22827</v>
      </c>
      <c r="M413">
        <v>10628</v>
      </c>
      <c r="N413">
        <v>6436</v>
      </c>
      <c r="O413">
        <v>20557</v>
      </c>
      <c r="P413">
        <v>152768</v>
      </c>
      <c r="Q413">
        <v>18123</v>
      </c>
      <c r="R413">
        <v>6815</v>
      </c>
      <c r="S413">
        <v>6489</v>
      </c>
      <c r="T413">
        <v>8971</v>
      </c>
      <c r="U413">
        <v>9488</v>
      </c>
      <c r="V413">
        <v>13085</v>
      </c>
      <c r="W413">
        <v>40626</v>
      </c>
      <c r="X413">
        <v>234877</v>
      </c>
      <c r="Y413">
        <v>40088</v>
      </c>
      <c r="Z413">
        <v>9414</v>
      </c>
      <c r="AA413">
        <v>29314</v>
      </c>
      <c r="AB413">
        <v>53551</v>
      </c>
      <c r="AC413">
        <v>101542</v>
      </c>
      <c r="AD413">
        <v>44155</v>
      </c>
      <c r="AE413">
        <v>81219</v>
      </c>
      <c r="AF413">
        <v>40970</v>
      </c>
      <c r="AG413">
        <v>108252</v>
      </c>
      <c r="AH413">
        <v>36302</v>
      </c>
      <c r="AI413">
        <v>65920</v>
      </c>
      <c r="AJ413">
        <v>69439</v>
      </c>
      <c r="AK413">
        <v>135891</v>
      </c>
      <c r="AL413">
        <v>71807</v>
      </c>
      <c r="AM413">
        <v>9256</v>
      </c>
      <c r="AN413">
        <v>8754</v>
      </c>
      <c r="AO413">
        <v>9235</v>
      </c>
      <c r="AP413">
        <v>8323</v>
      </c>
      <c r="AQ413">
        <v>4006</v>
      </c>
      <c r="AR413">
        <v>11964</v>
      </c>
      <c r="AS413">
        <v>4559</v>
      </c>
      <c r="AT413">
        <v>11451</v>
      </c>
      <c r="AU413">
        <v>3261</v>
      </c>
      <c r="AV413">
        <v>6097</v>
      </c>
      <c r="AW413">
        <v>4034</v>
      </c>
      <c r="AX413">
        <v>3157</v>
      </c>
      <c r="AY413">
        <v>2236</v>
      </c>
      <c r="AZ413">
        <v>2009</v>
      </c>
      <c r="BA413">
        <v>3202</v>
      </c>
      <c r="BB413">
        <v>2376</v>
      </c>
      <c r="BC413">
        <v>21164</v>
      </c>
      <c r="BD413">
        <v>6776</v>
      </c>
      <c r="BE413">
        <v>791</v>
      </c>
      <c r="BF413">
        <v>676</v>
      </c>
      <c r="BG413">
        <v>6513</v>
      </c>
      <c r="BH413">
        <v>3064</v>
      </c>
      <c r="BI413">
        <v>3923</v>
      </c>
      <c r="BJ413">
        <v>4516</v>
      </c>
      <c r="BK413">
        <v>7030</v>
      </c>
      <c r="BL413">
        <v>5186</v>
      </c>
      <c r="BM413">
        <v>1876</v>
      </c>
      <c r="BN413">
        <v>4526</v>
      </c>
      <c r="BO413">
        <v>4605</v>
      </c>
      <c r="BP413">
        <v>4398</v>
      </c>
      <c r="BQ413">
        <v>16007</v>
      </c>
      <c r="BR413">
        <v>17867</v>
      </c>
      <c r="BS413">
        <v>2960</v>
      </c>
      <c r="BT413">
        <v>3634</v>
      </c>
      <c r="BU413">
        <v>6167</v>
      </c>
      <c r="BV413">
        <v>2985</v>
      </c>
      <c r="BW413">
        <v>3800</v>
      </c>
      <c r="BX413">
        <v>19433</v>
      </c>
      <c r="BY413">
        <v>11942</v>
      </c>
      <c r="BZ413">
        <v>12471</v>
      </c>
      <c r="CA413">
        <v>1739</v>
      </c>
      <c r="CB413">
        <v>11751</v>
      </c>
      <c r="CC413">
        <v>3061</v>
      </c>
      <c r="CD413">
        <v>3036</v>
      </c>
      <c r="CE413">
        <v>6261</v>
      </c>
      <c r="CF413">
        <v>5621</v>
      </c>
      <c r="CG413">
        <v>9733</v>
      </c>
      <c r="CH413">
        <v>2768</v>
      </c>
      <c r="CI413">
        <v>12405</v>
      </c>
      <c r="CJ413">
        <v>6158</v>
      </c>
      <c r="CK413">
        <v>5213</v>
      </c>
      <c r="CL413">
        <v>11854</v>
      </c>
      <c r="CM413">
        <v>2220</v>
      </c>
      <c r="CN413">
        <v>773</v>
      </c>
      <c r="CO413">
        <v>7994</v>
      </c>
      <c r="CP413">
        <v>1878</v>
      </c>
      <c r="CQ413">
        <v>12968</v>
      </c>
      <c r="CR413">
        <v>2531</v>
      </c>
      <c r="CS413">
        <v>3021</v>
      </c>
      <c r="CT413">
        <v>4939</v>
      </c>
      <c r="CU413">
        <v>3407</v>
      </c>
      <c r="CV413">
        <v>3619</v>
      </c>
      <c r="CW413">
        <v>5513</v>
      </c>
      <c r="CX413">
        <v>1311</v>
      </c>
      <c r="CY413">
        <v>2208</v>
      </c>
      <c r="CZ413">
        <v>6098</v>
      </c>
      <c r="DA413">
        <v>3167</v>
      </c>
      <c r="DB413">
        <v>7082</v>
      </c>
      <c r="DC413">
        <v>11499</v>
      </c>
      <c r="DD413">
        <v>1450</v>
      </c>
      <c r="DE413">
        <v>2813</v>
      </c>
      <c r="DF413">
        <v>1053</v>
      </c>
      <c r="DG413">
        <v>9436</v>
      </c>
      <c r="DH413">
        <v>4301</v>
      </c>
      <c r="DI413">
        <v>12892</v>
      </c>
      <c r="DJ413">
        <v>3722</v>
      </c>
      <c r="DK413">
        <v>5706</v>
      </c>
      <c r="DL413">
        <v>5137</v>
      </c>
      <c r="DM413">
        <v>20825</v>
      </c>
      <c r="DN413">
        <v>3749</v>
      </c>
      <c r="DO413">
        <v>48484</v>
      </c>
      <c r="DP413">
        <v>13876</v>
      </c>
      <c r="DQ413">
        <v>21051</v>
      </c>
      <c r="DR413">
        <v>21391</v>
      </c>
      <c r="DS413">
        <v>39415</v>
      </c>
      <c r="DT413">
        <v>2371</v>
      </c>
      <c r="DU413">
        <v>8675</v>
      </c>
      <c r="DV413">
        <v>3196</v>
      </c>
      <c r="DW413">
        <v>8139</v>
      </c>
      <c r="DX413">
        <v>11160</v>
      </c>
      <c r="DY413">
        <v>6362</v>
      </c>
      <c r="DZ413">
        <v>8807</v>
      </c>
      <c r="EA413">
        <v>2021</v>
      </c>
      <c r="EB413">
        <v>1386</v>
      </c>
      <c r="EC413">
        <v>864</v>
      </c>
      <c r="ED413">
        <v>5634</v>
      </c>
      <c r="EE413">
        <v>1923</v>
      </c>
      <c r="EF413">
        <v>9217</v>
      </c>
      <c r="EG413">
        <v>2937</v>
      </c>
      <c r="EH413">
        <v>3947</v>
      </c>
      <c r="EI413">
        <v>5449</v>
      </c>
      <c r="EJ413">
        <v>5146</v>
      </c>
      <c r="EK413">
        <v>2649</v>
      </c>
      <c r="EL413">
        <v>1789</v>
      </c>
      <c r="EM413">
        <v>3908</v>
      </c>
      <c r="EN413">
        <v>7844</v>
      </c>
      <c r="EO413">
        <v>1876</v>
      </c>
      <c r="EP413">
        <v>4598</v>
      </c>
      <c r="EQ413">
        <v>11949</v>
      </c>
      <c r="ER413">
        <v>55732</v>
      </c>
      <c r="ES413">
        <v>5592</v>
      </c>
      <c r="ET413">
        <v>4119</v>
      </c>
      <c r="EU413">
        <v>2878</v>
      </c>
      <c r="EV413">
        <v>1368</v>
      </c>
      <c r="EW413">
        <v>6064</v>
      </c>
      <c r="EX413">
        <v>8805</v>
      </c>
      <c r="EY413">
        <v>6344</v>
      </c>
      <c r="EZ413">
        <v>12493</v>
      </c>
      <c r="FA413">
        <v>8104</v>
      </c>
      <c r="FB413">
        <v>11179</v>
      </c>
      <c r="FC413">
        <v>17918</v>
      </c>
      <c r="FD413">
        <v>6366</v>
      </c>
      <c r="FE413">
        <v>74423</v>
      </c>
      <c r="FF413">
        <v>18364</v>
      </c>
      <c r="FG413">
        <v>17515</v>
      </c>
      <c r="FH413">
        <v>10078</v>
      </c>
      <c r="FI413">
        <v>2481</v>
      </c>
      <c r="FJ413">
        <v>3135</v>
      </c>
      <c r="FK413">
        <v>12224</v>
      </c>
      <c r="FL413">
        <v>2732</v>
      </c>
      <c r="FM413">
        <v>3710</v>
      </c>
      <c r="FN413">
        <v>3391</v>
      </c>
      <c r="FO413">
        <v>2758</v>
      </c>
      <c r="FP413">
        <v>6730</v>
      </c>
      <c r="FQ413">
        <v>4206</v>
      </c>
      <c r="FR413">
        <v>1610</v>
      </c>
      <c r="FS413">
        <v>1919</v>
      </c>
      <c r="FT413">
        <v>975</v>
      </c>
      <c r="FU413">
        <v>3021</v>
      </c>
      <c r="FV413">
        <v>7109</v>
      </c>
      <c r="FW413">
        <v>3285</v>
      </c>
      <c r="FX413">
        <v>27463</v>
      </c>
      <c r="FY413">
        <v>20542</v>
      </c>
      <c r="FZ413">
        <v>2493</v>
      </c>
      <c r="GA413">
        <v>4002</v>
      </c>
      <c r="GB413">
        <v>3119</v>
      </c>
      <c r="GC413">
        <v>2918</v>
      </c>
      <c r="GD413">
        <v>4783</v>
      </c>
      <c r="GE413">
        <v>1303</v>
      </c>
      <c r="GF413">
        <v>958</v>
      </c>
      <c r="GG413">
        <v>5937</v>
      </c>
      <c r="GH413">
        <v>12862</v>
      </c>
      <c r="GI413">
        <v>6290</v>
      </c>
      <c r="GJ413">
        <v>4602</v>
      </c>
      <c r="GK413">
        <v>3468</v>
      </c>
      <c r="GL413">
        <v>2234</v>
      </c>
      <c r="GM413">
        <v>1407</v>
      </c>
      <c r="GN413">
        <v>3357</v>
      </c>
      <c r="GO413">
        <v>2992</v>
      </c>
      <c r="GP413">
        <v>9781</v>
      </c>
      <c r="GQ413">
        <v>9284</v>
      </c>
      <c r="GR413">
        <v>8003</v>
      </c>
      <c r="GS413">
        <v>8001</v>
      </c>
      <c r="GT413">
        <v>7247</v>
      </c>
      <c r="GU413">
        <v>8474</v>
      </c>
      <c r="GV413">
        <v>1975</v>
      </c>
      <c r="GW413">
        <v>17776</v>
      </c>
      <c r="GX413">
        <v>24729</v>
      </c>
      <c r="GY413">
        <v>3052</v>
      </c>
      <c r="GZ413">
        <v>14935</v>
      </c>
      <c r="HA413">
        <v>8414</v>
      </c>
      <c r="HB413">
        <v>12871</v>
      </c>
      <c r="HC413">
        <v>3345</v>
      </c>
      <c r="HD413">
        <v>5883</v>
      </c>
      <c r="HE413">
        <v>6753</v>
      </c>
      <c r="HF413">
        <v>7026</v>
      </c>
      <c r="HG413">
        <v>13294</v>
      </c>
      <c r="HH413">
        <v>12032</v>
      </c>
      <c r="HI413">
        <v>8392</v>
      </c>
      <c r="HJ413">
        <v>4751</v>
      </c>
      <c r="HK413">
        <v>31636</v>
      </c>
      <c r="HL413">
        <v>1631</v>
      </c>
      <c r="HM413">
        <v>4391</v>
      </c>
      <c r="HN413">
        <v>2211</v>
      </c>
      <c r="HO413">
        <v>3566</v>
      </c>
      <c r="HP413">
        <v>1281</v>
      </c>
      <c r="HQ413">
        <v>4216</v>
      </c>
      <c r="HR413">
        <v>7199</v>
      </c>
      <c r="HS413">
        <v>2235</v>
      </c>
      <c r="HT413">
        <v>1996</v>
      </c>
      <c r="HU413">
        <v>12703</v>
      </c>
      <c r="HV413">
        <v>10812</v>
      </c>
      <c r="HW413">
        <v>16577</v>
      </c>
      <c r="HX413">
        <v>6859</v>
      </c>
      <c r="HY413">
        <v>1340</v>
      </c>
      <c r="HZ413">
        <v>3798</v>
      </c>
      <c r="IA413">
        <v>1692</v>
      </c>
      <c r="IB413">
        <v>38696</v>
      </c>
      <c r="IC413">
        <v>1856</v>
      </c>
      <c r="ID413">
        <v>96823</v>
      </c>
      <c r="IE413">
        <v>2898</v>
      </c>
      <c r="IF413">
        <v>3940</v>
      </c>
      <c r="IG413">
        <v>6517</v>
      </c>
      <c r="IH413">
        <v>22717</v>
      </c>
      <c r="II413">
        <v>3518</v>
      </c>
      <c r="IJ413">
        <v>2539</v>
      </c>
      <c r="IK413">
        <v>14372</v>
      </c>
      <c r="IL413">
        <v>30849</v>
      </c>
      <c r="IM413">
        <v>22522</v>
      </c>
      <c r="IN413">
        <v>5130</v>
      </c>
      <c r="IO413">
        <v>7423</v>
      </c>
      <c r="IP413">
        <v>110326</v>
      </c>
      <c r="IQ413">
        <v>9439</v>
      </c>
      <c r="IR413">
        <v>21821</v>
      </c>
      <c r="IS413">
        <v>7455</v>
      </c>
      <c r="IT413">
        <v>5853</v>
      </c>
      <c r="IU413">
        <v>10540</v>
      </c>
      <c r="IV413">
        <v>6104</v>
      </c>
      <c r="IW413">
        <v>19987</v>
      </c>
      <c r="IX413">
        <v>22858</v>
      </c>
      <c r="IY413">
        <v>1337</v>
      </c>
      <c r="IZ413">
        <v>15190</v>
      </c>
      <c r="JA413">
        <v>11476</v>
      </c>
      <c r="JB413">
        <v>6599</v>
      </c>
      <c r="JC413">
        <v>1853</v>
      </c>
      <c r="JD413">
        <v>2713</v>
      </c>
      <c r="JE413">
        <v>3300</v>
      </c>
      <c r="JF413">
        <v>3329</v>
      </c>
      <c r="JG413">
        <v>32539</v>
      </c>
      <c r="JH413">
        <v>6716</v>
      </c>
      <c r="JI413">
        <v>2105</v>
      </c>
      <c r="JJ413">
        <v>6157</v>
      </c>
      <c r="JK413">
        <v>62796</v>
      </c>
      <c r="JL413">
        <v>116492</v>
      </c>
      <c r="JM413">
        <v>110034</v>
      </c>
      <c r="JN413">
        <v>97618</v>
      </c>
      <c r="JO413">
        <v>137022</v>
      </c>
      <c r="JP413">
        <v>104428</v>
      </c>
      <c r="JQ413">
        <v>93160</v>
      </c>
      <c r="JR413">
        <v>35411</v>
      </c>
      <c r="JS413">
        <v>177109</v>
      </c>
      <c r="JT413">
        <v>31367</v>
      </c>
      <c r="JU413">
        <v>0</v>
      </c>
      <c r="JV413">
        <v>189835</v>
      </c>
      <c r="JW413">
        <v>139814</v>
      </c>
      <c r="JX413">
        <v>114125</v>
      </c>
      <c r="JY413">
        <v>82604</v>
      </c>
      <c r="JZ413">
        <v>65272</v>
      </c>
      <c r="KA413">
        <v>47988</v>
      </c>
      <c r="KB413">
        <v>53047</v>
      </c>
      <c r="KC413">
        <v>162877</v>
      </c>
      <c r="KD413">
        <v>113065</v>
      </c>
      <c r="KE413">
        <v>106983</v>
      </c>
      <c r="KF413">
        <v>45810</v>
      </c>
      <c r="KG413">
        <v>13780</v>
      </c>
      <c r="KH413">
        <v>177432</v>
      </c>
      <c r="KI413">
        <v>42391</v>
      </c>
      <c r="KJ413">
        <v>40928</v>
      </c>
      <c r="KK413">
        <v>68311</v>
      </c>
      <c r="KL413">
        <v>56400</v>
      </c>
      <c r="KM413">
        <v>60983</v>
      </c>
      <c r="KN413">
        <v>17862</v>
      </c>
      <c r="KO413">
        <v>17029</v>
      </c>
      <c r="KP413">
        <v>18067</v>
      </c>
      <c r="KQ413">
        <v>6373</v>
      </c>
      <c r="KR413">
        <v>175519</v>
      </c>
      <c r="KS413">
        <v>81328</v>
      </c>
      <c r="KT413">
        <v>13639</v>
      </c>
      <c r="KU413">
        <v>40796</v>
      </c>
      <c r="KV413">
        <v>60835</v>
      </c>
      <c r="KW413">
        <v>172534</v>
      </c>
      <c r="KX413">
        <v>129917</v>
      </c>
      <c r="KY413">
        <v>20703</v>
      </c>
      <c r="KZ413">
        <v>95395</v>
      </c>
      <c r="LA413">
        <v>109329</v>
      </c>
      <c r="LB413">
        <v>7910</v>
      </c>
      <c r="LC413">
        <v>208650</v>
      </c>
      <c r="LD413">
        <v>438187</v>
      </c>
      <c r="LE413">
        <v>176955</v>
      </c>
      <c r="LF413">
        <v>105192</v>
      </c>
      <c r="LG413">
        <v>51392</v>
      </c>
      <c r="LH413">
        <v>294069</v>
      </c>
      <c r="LI413">
        <v>199554</v>
      </c>
      <c r="LJ413">
        <v>6796</v>
      </c>
      <c r="LK413">
        <v>1343122</v>
      </c>
      <c r="LL413">
        <v>470939</v>
      </c>
      <c r="LM413">
        <v>517552</v>
      </c>
      <c r="LN413">
        <v>33503</v>
      </c>
      <c r="LO413">
        <v>48538</v>
      </c>
      <c r="LP413">
        <v>15647</v>
      </c>
      <c r="LQ413">
        <v>102319</v>
      </c>
      <c r="LR413">
        <v>251036</v>
      </c>
      <c r="LS413">
        <v>114436</v>
      </c>
      <c r="LT413">
        <v>175730</v>
      </c>
      <c r="LU413">
        <v>31495</v>
      </c>
      <c r="LV413">
        <v>124732</v>
      </c>
      <c r="LW413">
        <v>208525</v>
      </c>
      <c r="LX413">
        <v>171994</v>
      </c>
      <c r="LY413">
        <v>31312</v>
      </c>
      <c r="LZ413">
        <v>120857</v>
      </c>
      <c r="MA413">
        <v>88436</v>
      </c>
      <c r="MB413">
        <v>24087</v>
      </c>
      <c r="MC413">
        <v>7301</v>
      </c>
      <c r="MD413">
        <v>29581</v>
      </c>
      <c r="ME413">
        <v>55620</v>
      </c>
      <c r="MF413">
        <v>368625</v>
      </c>
      <c r="MG413">
        <v>248410</v>
      </c>
      <c r="MH413">
        <v>99841</v>
      </c>
      <c r="MI413">
        <v>41275</v>
      </c>
      <c r="MJ413">
        <v>13244</v>
      </c>
      <c r="MK413">
        <v>42138</v>
      </c>
      <c r="ML413">
        <v>25800</v>
      </c>
      <c r="MM413">
        <v>42882</v>
      </c>
      <c r="MN413">
        <v>29818</v>
      </c>
      <c r="MO413">
        <v>51408</v>
      </c>
      <c r="MP413">
        <v>37035</v>
      </c>
      <c r="MQ413">
        <v>168584</v>
      </c>
      <c r="MR413">
        <v>39092</v>
      </c>
      <c r="MS413">
        <v>307608</v>
      </c>
      <c r="MT413">
        <v>99222</v>
      </c>
      <c r="MU413">
        <v>77662</v>
      </c>
      <c r="MV413">
        <v>100737</v>
      </c>
      <c r="MW413">
        <v>39559</v>
      </c>
      <c r="MX413">
        <v>65163</v>
      </c>
      <c r="MY413">
        <v>18234</v>
      </c>
      <c r="MZ413">
        <v>483915</v>
      </c>
      <c r="NA413">
        <v>108223</v>
      </c>
      <c r="NB413">
        <v>36181</v>
      </c>
      <c r="NC413">
        <v>75706</v>
      </c>
      <c r="ND413">
        <v>28514</v>
      </c>
      <c r="NE413">
        <v>22982</v>
      </c>
      <c r="NF413">
        <v>15631</v>
      </c>
      <c r="NG413">
        <v>35737</v>
      </c>
      <c r="NH413">
        <v>31515</v>
      </c>
      <c r="NI413">
        <v>26049</v>
      </c>
      <c r="NJ413">
        <v>11820</v>
      </c>
      <c r="NK413">
        <v>13209</v>
      </c>
      <c r="NL413">
        <v>19253</v>
      </c>
      <c r="NM413">
        <v>44608</v>
      </c>
      <c r="NN413">
        <v>151590</v>
      </c>
      <c r="NO413">
        <v>194591</v>
      </c>
      <c r="NP413">
        <v>132474</v>
      </c>
      <c r="NQ413">
        <v>61643</v>
      </c>
      <c r="NR413">
        <v>70849</v>
      </c>
      <c r="NS413">
        <v>13179</v>
      </c>
      <c r="NT413">
        <v>24267</v>
      </c>
      <c r="NU413">
        <v>12407</v>
      </c>
      <c r="NV413">
        <v>43418</v>
      </c>
      <c r="NW413">
        <v>13652</v>
      </c>
      <c r="NX413">
        <v>18288</v>
      </c>
      <c r="NY413">
        <v>34869</v>
      </c>
      <c r="NZ413">
        <v>69252</v>
      </c>
      <c r="OA413">
        <v>39204</v>
      </c>
      <c r="OB413">
        <v>61699</v>
      </c>
      <c r="OC413">
        <v>18684</v>
      </c>
      <c r="OD413">
        <v>405619</v>
      </c>
      <c r="OE413">
        <v>296526</v>
      </c>
      <c r="OF413">
        <v>57030</v>
      </c>
      <c r="OG413">
        <v>6563</v>
      </c>
      <c r="OH413">
        <v>7053</v>
      </c>
      <c r="OI413">
        <v>808185</v>
      </c>
      <c r="OJ413">
        <v>157195</v>
      </c>
      <c r="OK413">
        <v>579493</v>
      </c>
      <c r="OL413">
        <v>-10069</v>
      </c>
      <c r="OM413">
        <v>29491</v>
      </c>
      <c r="ON413">
        <v>144037</v>
      </c>
      <c r="OO413">
        <v>18916538</v>
      </c>
    </row>
    <row r="414" spans="1:429" x14ac:dyDescent="0.25">
      <c r="A414" t="s">
        <v>682</v>
      </c>
      <c r="B414" t="s">
        <v>683</v>
      </c>
      <c r="C414">
        <v>38216</v>
      </c>
      <c r="D414">
        <v>67413</v>
      </c>
      <c r="E414">
        <v>18806</v>
      </c>
      <c r="F414">
        <v>29958</v>
      </c>
      <c r="G414">
        <v>19868</v>
      </c>
      <c r="H414">
        <v>27160</v>
      </c>
      <c r="I414">
        <v>38538</v>
      </c>
      <c r="J414">
        <v>88052</v>
      </c>
      <c r="K414">
        <v>44568</v>
      </c>
      <c r="L414">
        <v>33065</v>
      </c>
      <c r="M414">
        <v>18766</v>
      </c>
      <c r="N414">
        <v>8480</v>
      </c>
      <c r="O414">
        <v>25650</v>
      </c>
      <c r="P414">
        <v>245652</v>
      </c>
      <c r="Q414">
        <v>35823</v>
      </c>
      <c r="R414">
        <v>13355</v>
      </c>
      <c r="S414">
        <v>15624</v>
      </c>
      <c r="T414">
        <v>16462</v>
      </c>
      <c r="U414">
        <v>18208</v>
      </c>
      <c r="V414">
        <v>26962</v>
      </c>
      <c r="W414">
        <v>79752</v>
      </c>
      <c r="X414">
        <v>365849</v>
      </c>
      <c r="Y414">
        <v>64126</v>
      </c>
      <c r="Z414">
        <v>14813</v>
      </c>
      <c r="AA414">
        <v>45025</v>
      </c>
      <c r="AB414">
        <v>94786</v>
      </c>
      <c r="AC414">
        <v>200524</v>
      </c>
      <c r="AD414">
        <v>80273</v>
      </c>
      <c r="AE414">
        <v>160242</v>
      </c>
      <c r="AF414">
        <v>75093</v>
      </c>
      <c r="AG414">
        <v>250167</v>
      </c>
      <c r="AH414">
        <v>63523</v>
      </c>
      <c r="AI414">
        <v>114163</v>
      </c>
      <c r="AJ414">
        <v>102085</v>
      </c>
      <c r="AK414">
        <v>254640</v>
      </c>
      <c r="AL414">
        <v>135588</v>
      </c>
      <c r="AM414">
        <v>32968</v>
      </c>
      <c r="AN414">
        <v>24547</v>
      </c>
      <c r="AO414">
        <v>25614</v>
      </c>
      <c r="AP414">
        <v>25206</v>
      </c>
      <c r="AQ414">
        <v>8137</v>
      </c>
      <c r="AR414">
        <v>26370</v>
      </c>
      <c r="AS414">
        <v>8355</v>
      </c>
      <c r="AT414">
        <v>31668</v>
      </c>
      <c r="AU414">
        <v>6424</v>
      </c>
      <c r="AV414">
        <v>12537</v>
      </c>
      <c r="AW414">
        <v>8110</v>
      </c>
      <c r="AX414">
        <v>4835</v>
      </c>
      <c r="AY414">
        <v>5026</v>
      </c>
      <c r="AZ414">
        <v>4361</v>
      </c>
      <c r="BA414">
        <v>6293</v>
      </c>
      <c r="BB414">
        <v>5067</v>
      </c>
      <c r="BC414">
        <v>88108</v>
      </c>
      <c r="BD414">
        <v>22941</v>
      </c>
      <c r="BE414">
        <v>5889</v>
      </c>
      <c r="BF414">
        <v>2796</v>
      </c>
      <c r="BG414">
        <v>26934</v>
      </c>
      <c r="BH414">
        <v>10252</v>
      </c>
      <c r="BI414">
        <v>21923</v>
      </c>
      <c r="BJ414">
        <v>14050</v>
      </c>
      <c r="BK414">
        <v>17089</v>
      </c>
      <c r="BL414">
        <v>12768</v>
      </c>
      <c r="BM414">
        <v>6790</v>
      </c>
      <c r="BN414">
        <v>12960</v>
      </c>
      <c r="BO414">
        <v>11231</v>
      </c>
      <c r="BP414">
        <v>9451</v>
      </c>
      <c r="BQ414">
        <v>46725</v>
      </c>
      <c r="BR414">
        <v>43479</v>
      </c>
      <c r="BS414">
        <v>7144</v>
      </c>
      <c r="BT414">
        <v>8392</v>
      </c>
      <c r="BU414">
        <v>17955</v>
      </c>
      <c r="BV414">
        <v>8650</v>
      </c>
      <c r="BW414">
        <v>9202</v>
      </c>
      <c r="BX414">
        <v>37941</v>
      </c>
      <c r="BY414">
        <v>29569</v>
      </c>
      <c r="BZ414">
        <v>25930</v>
      </c>
      <c r="CA414">
        <v>4851</v>
      </c>
      <c r="CB414">
        <v>26070</v>
      </c>
      <c r="CC414">
        <v>6198</v>
      </c>
      <c r="CD414">
        <v>6195</v>
      </c>
      <c r="CE414">
        <v>13043</v>
      </c>
      <c r="CF414">
        <v>13875</v>
      </c>
      <c r="CG414">
        <v>25067</v>
      </c>
      <c r="CH414">
        <v>7948</v>
      </c>
      <c r="CI414">
        <v>32486</v>
      </c>
      <c r="CJ414">
        <v>17586</v>
      </c>
      <c r="CK414">
        <v>8827</v>
      </c>
      <c r="CL414">
        <v>31444</v>
      </c>
      <c r="CM414">
        <v>4912</v>
      </c>
      <c r="CN414">
        <v>1645</v>
      </c>
      <c r="CO414">
        <v>19850</v>
      </c>
      <c r="CP414">
        <v>4453</v>
      </c>
      <c r="CQ414">
        <v>33255</v>
      </c>
      <c r="CR414">
        <v>6028</v>
      </c>
      <c r="CS414">
        <v>6595</v>
      </c>
      <c r="CT414">
        <v>9465</v>
      </c>
      <c r="CU414">
        <v>7891</v>
      </c>
      <c r="CV414">
        <v>8983</v>
      </c>
      <c r="CW414">
        <v>12997</v>
      </c>
      <c r="CX414">
        <v>3175</v>
      </c>
      <c r="CY414">
        <v>4976</v>
      </c>
      <c r="CZ414">
        <v>25654</v>
      </c>
      <c r="DA414">
        <v>9160</v>
      </c>
      <c r="DB414">
        <v>17513</v>
      </c>
      <c r="DC414">
        <v>30348</v>
      </c>
      <c r="DD414">
        <v>3355</v>
      </c>
      <c r="DE414">
        <v>7006</v>
      </c>
      <c r="DF414">
        <v>2653</v>
      </c>
      <c r="DG414">
        <v>23115</v>
      </c>
      <c r="DH414">
        <v>11651</v>
      </c>
      <c r="DI414">
        <v>19035</v>
      </c>
      <c r="DJ414">
        <v>5298</v>
      </c>
      <c r="DK414">
        <v>8751</v>
      </c>
      <c r="DL414">
        <v>7908</v>
      </c>
      <c r="DM414">
        <v>29741</v>
      </c>
      <c r="DN414">
        <v>5448</v>
      </c>
      <c r="DO414">
        <v>64183</v>
      </c>
      <c r="DP414">
        <v>20012</v>
      </c>
      <c r="DQ414">
        <v>30058</v>
      </c>
      <c r="DR414">
        <v>33425</v>
      </c>
      <c r="DS414">
        <v>53861</v>
      </c>
      <c r="DT414">
        <v>3195</v>
      </c>
      <c r="DU414">
        <v>11471</v>
      </c>
      <c r="DV414">
        <v>5904</v>
      </c>
      <c r="DW414">
        <v>12042</v>
      </c>
      <c r="DX414">
        <v>15890</v>
      </c>
      <c r="DY414">
        <v>9526</v>
      </c>
      <c r="DZ414">
        <v>13200</v>
      </c>
      <c r="EA414">
        <v>3111</v>
      </c>
      <c r="EB414">
        <v>1867</v>
      </c>
      <c r="EC414">
        <v>1500</v>
      </c>
      <c r="ED414">
        <v>11951</v>
      </c>
      <c r="EE414">
        <v>3595</v>
      </c>
      <c r="EF414">
        <v>19044</v>
      </c>
      <c r="EG414">
        <v>5345</v>
      </c>
      <c r="EH414">
        <v>10290</v>
      </c>
      <c r="EI414">
        <v>12093</v>
      </c>
      <c r="EJ414">
        <v>10666</v>
      </c>
      <c r="EK414">
        <v>7502</v>
      </c>
      <c r="EL414">
        <v>2423</v>
      </c>
      <c r="EM414">
        <v>11411</v>
      </c>
      <c r="EN414">
        <v>14313</v>
      </c>
      <c r="EO414">
        <v>3439</v>
      </c>
      <c r="EP414">
        <v>10835</v>
      </c>
      <c r="EQ414">
        <v>40000</v>
      </c>
      <c r="ER414">
        <v>212846</v>
      </c>
      <c r="ES414">
        <v>26192</v>
      </c>
      <c r="ET414">
        <v>14892</v>
      </c>
      <c r="EU414">
        <v>11042</v>
      </c>
      <c r="EV414">
        <v>5565</v>
      </c>
      <c r="EW414">
        <v>17704</v>
      </c>
      <c r="EX414">
        <v>39889</v>
      </c>
      <c r="EY414">
        <v>24026</v>
      </c>
      <c r="EZ414">
        <v>41967</v>
      </c>
      <c r="FA414">
        <v>31795</v>
      </c>
      <c r="FB414">
        <v>37909</v>
      </c>
      <c r="FC414">
        <v>65677</v>
      </c>
      <c r="FD414">
        <v>27452</v>
      </c>
      <c r="FE414">
        <v>149569</v>
      </c>
      <c r="FF414">
        <v>46666</v>
      </c>
      <c r="FG414">
        <v>37139</v>
      </c>
      <c r="FH414">
        <v>19803</v>
      </c>
      <c r="FI414">
        <v>9506</v>
      </c>
      <c r="FJ414">
        <v>12800</v>
      </c>
      <c r="FK414">
        <v>25522</v>
      </c>
      <c r="FL414">
        <v>10467</v>
      </c>
      <c r="FM414">
        <v>7579</v>
      </c>
      <c r="FN414">
        <v>7647</v>
      </c>
      <c r="FO414">
        <v>8768</v>
      </c>
      <c r="FP414">
        <v>15060</v>
      </c>
      <c r="FQ414">
        <v>12304</v>
      </c>
      <c r="FR414">
        <v>4086</v>
      </c>
      <c r="FS414">
        <v>4910</v>
      </c>
      <c r="FT414">
        <v>3377</v>
      </c>
      <c r="FU414">
        <v>7293</v>
      </c>
      <c r="FV414">
        <v>19020</v>
      </c>
      <c r="FW414">
        <v>10189</v>
      </c>
      <c r="FX414">
        <v>42948</v>
      </c>
      <c r="FY414">
        <v>35082</v>
      </c>
      <c r="FZ414">
        <v>4760</v>
      </c>
      <c r="GA414">
        <v>6467</v>
      </c>
      <c r="GB414">
        <v>5671</v>
      </c>
      <c r="GC414">
        <v>7951</v>
      </c>
      <c r="GD414">
        <v>10286</v>
      </c>
      <c r="GE414">
        <v>2016</v>
      </c>
      <c r="GF414">
        <v>2851</v>
      </c>
      <c r="GG414">
        <v>13727</v>
      </c>
      <c r="GH414">
        <v>26862</v>
      </c>
      <c r="GI414">
        <v>23248</v>
      </c>
      <c r="GJ414">
        <v>31524</v>
      </c>
      <c r="GK414">
        <v>16381</v>
      </c>
      <c r="GL414">
        <v>9737</v>
      </c>
      <c r="GM414">
        <v>9471</v>
      </c>
      <c r="GN414">
        <v>32660</v>
      </c>
      <c r="GO414">
        <v>10140</v>
      </c>
      <c r="GP414">
        <v>37006</v>
      </c>
      <c r="GQ414">
        <v>32474</v>
      </c>
      <c r="GR414">
        <v>33515</v>
      </c>
      <c r="GS414">
        <v>47785</v>
      </c>
      <c r="GT414">
        <v>23871</v>
      </c>
      <c r="GU414">
        <v>43719</v>
      </c>
      <c r="GV414">
        <v>7772</v>
      </c>
      <c r="GW414">
        <v>67560</v>
      </c>
      <c r="GX414">
        <v>148627</v>
      </c>
      <c r="GY414">
        <v>13818</v>
      </c>
      <c r="GZ414">
        <v>43112</v>
      </c>
      <c r="HA414">
        <v>26376</v>
      </c>
      <c r="HB414">
        <v>38776</v>
      </c>
      <c r="HC414">
        <v>13770</v>
      </c>
      <c r="HD414">
        <v>11788</v>
      </c>
      <c r="HE414">
        <v>21727</v>
      </c>
      <c r="HF414">
        <v>29809</v>
      </c>
      <c r="HG414">
        <v>44863</v>
      </c>
      <c r="HH414">
        <v>29556</v>
      </c>
      <c r="HI414">
        <v>21184</v>
      </c>
      <c r="HJ414">
        <v>12167</v>
      </c>
      <c r="HK414">
        <v>47425</v>
      </c>
      <c r="HL414">
        <v>7085</v>
      </c>
      <c r="HM414">
        <v>13273</v>
      </c>
      <c r="HN414">
        <v>7035</v>
      </c>
      <c r="HO414">
        <v>9751</v>
      </c>
      <c r="HP414">
        <v>3506</v>
      </c>
      <c r="HQ414">
        <v>9064</v>
      </c>
      <c r="HR414">
        <v>10867</v>
      </c>
      <c r="HS414">
        <v>4829</v>
      </c>
      <c r="HT414">
        <v>6825</v>
      </c>
      <c r="HU414">
        <v>37741</v>
      </c>
      <c r="HV414">
        <v>32834</v>
      </c>
      <c r="HW414">
        <v>64649</v>
      </c>
      <c r="HX414">
        <v>21459</v>
      </c>
      <c r="HY414">
        <v>5687</v>
      </c>
      <c r="HZ414">
        <v>11382</v>
      </c>
      <c r="IA414">
        <v>4603</v>
      </c>
      <c r="IB414">
        <v>80677</v>
      </c>
      <c r="IC414">
        <v>3196</v>
      </c>
      <c r="ID414">
        <v>494281</v>
      </c>
      <c r="IE414">
        <v>13203</v>
      </c>
      <c r="IF414">
        <v>10833</v>
      </c>
      <c r="IG414">
        <v>20000</v>
      </c>
      <c r="IH414">
        <v>54183</v>
      </c>
      <c r="II414">
        <v>9594</v>
      </c>
      <c r="IJ414">
        <v>6970</v>
      </c>
      <c r="IK414">
        <v>31485</v>
      </c>
      <c r="IL414">
        <v>116273</v>
      </c>
      <c r="IM414">
        <v>88646</v>
      </c>
      <c r="IN414">
        <v>15134</v>
      </c>
      <c r="IO414">
        <v>15008</v>
      </c>
      <c r="IP414">
        <v>182277</v>
      </c>
      <c r="IQ414">
        <v>17621</v>
      </c>
      <c r="IR414">
        <v>35766</v>
      </c>
      <c r="IS414">
        <v>17141</v>
      </c>
      <c r="IT414">
        <v>14900</v>
      </c>
      <c r="IU414">
        <v>27818</v>
      </c>
      <c r="IV414">
        <v>15038</v>
      </c>
      <c r="IW414">
        <v>39545</v>
      </c>
      <c r="IX414">
        <v>43002</v>
      </c>
      <c r="IY414">
        <v>4276</v>
      </c>
      <c r="IZ414">
        <v>42866</v>
      </c>
      <c r="JA414">
        <v>39196</v>
      </c>
      <c r="JB414">
        <v>18797</v>
      </c>
      <c r="JC414">
        <v>4465</v>
      </c>
      <c r="JD414">
        <v>9865</v>
      </c>
      <c r="JE414">
        <v>10931</v>
      </c>
      <c r="JF414">
        <v>11131</v>
      </c>
      <c r="JG414">
        <v>99611</v>
      </c>
      <c r="JH414">
        <v>19736</v>
      </c>
      <c r="JI414">
        <v>5359</v>
      </c>
      <c r="JJ414">
        <v>18257</v>
      </c>
      <c r="JK414">
        <v>132717</v>
      </c>
      <c r="JL414">
        <v>201491</v>
      </c>
      <c r="JM414">
        <v>228747</v>
      </c>
      <c r="JN414">
        <v>173715</v>
      </c>
      <c r="JO414">
        <v>270531</v>
      </c>
      <c r="JP414">
        <v>211954</v>
      </c>
      <c r="JQ414">
        <v>173300</v>
      </c>
      <c r="JR414">
        <v>61861</v>
      </c>
      <c r="JS414">
        <v>336977</v>
      </c>
      <c r="JT414">
        <v>51875</v>
      </c>
      <c r="JU414">
        <v>0</v>
      </c>
      <c r="JV414">
        <v>309788</v>
      </c>
      <c r="JW414">
        <v>226985</v>
      </c>
      <c r="JX414">
        <v>195946</v>
      </c>
      <c r="JY414">
        <v>121484</v>
      </c>
      <c r="JZ414">
        <v>103096</v>
      </c>
      <c r="KA414">
        <v>93663</v>
      </c>
      <c r="KB414">
        <v>123876</v>
      </c>
      <c r="KC414">
        <v>276509</v>
      </c>
      <c r="KD414">
        <v>185299</v>
      </c>
      <c r="KE414">
        <v>214601</v>
      </c>
      <c r="KF414">
        <v>81045</v>
      </c>
      <c r="KG414">
        <v>54799</v>
      </c>
      <c r="KH414">
        <v>366619</v>
      </c>
      <c r="KI414">
        <v>77284</v>
      </c>
      <c r="KJ414">
        <v>47995</v>
      </c>
      <c r="KK414">
        <v>141492</v>
      </c>
      <c r="KL414">
        <v>96928</v>
      </c>
      <c r="KM414">
        <v>123701</v>
      </c>
      <c r="KN414">
        <v>26038</v>
      </c>
      <c r="KO414">
        <v>27642</v>
      </c>
      <c r="KP414">
        <v>38494</v>
      </c>
      <c r="KQ414">
        <v>10842</v>
      </c>
      <c r="KR414">
        <v>281109</v>
      </c>
      <c r="KS414">
        <v>129761</v>
      </c>
      <c r="KT414">
        <v>18217</v>
      </c>
      <c r="KU414">
        <v>92801</v>
      </c>
      <c r="KV414">
        <v>108040</v>
      </c>
      <c r="KW414">
        <v>330610</v>
      </c>
      <c r="KX414">
        <v>249104</v>
      </c>
      <c r="KY414">
        <v>44156</v>
      </c>
      <c r="KZ414">
        <v>175248</v>
      </c>
      <c r="LA414">
        <v>180015</v>
      </c>
      <c r="LB414">
        <v>8443</v>
      </c>
      <c r="LC414">
        <v>398838</v>
      </c>
      <c r="LD414">
        <v>657055</v>
      </c>
      <c r="LE414">
        <v>349050</v>
      </c>
      <c r="LF414">
        <v>198987</v>
      </c>
      <c r="LG414">
        <v>88447</v>
      </c>
      <c r="LH414">
        <v>567910</v>
      </c>
      <c r="LI414">
        <v>362909</v>
      </c>
      <c r="LJ414">
        <v>157323</v>
      </c>
      <c r="LK414">
        <v>1555683</v>
      </c>
      <c r="LL414">
        <v>496703</v>
      </c>
      <c r="LM414">
        <v>1265134</v>
      </c>
      <c r="LN414">
        <v>64106</v>
      </c>
      <c r="LO414">
        <v>87786</v>
      </c>
      <c r="LP414">
        <v>27375</v>
      </c>
      <c r="LQ414">
        <v>157204</v>
      </c>
      <c r="LR414">
        <v>339319</v>
      </c>
      <c r="LS414">
        <v>152686</v>
      </c>
      <c r="LT414">
        <v>269552</v>
      </c>
      <c r="LU414">
        <v>49081</v>
      </c>
      <c r="LV414">
        <v>171070</v>
      </c>
      <c r="LW414">
        <v>329208</v>
      </c>
      <c r="LX414">
        <v>251691</v>
      </c>
      <c r="LY414">
        <v>53324</v>
      </c>
      <c r="LZ414">
        <v>255320</v>
      </c>
      <c r="MA414">
        <v>128849</v>
      </c>
      <c r="MB414">
        <v>35233</v>
      </c>
      <c r="MC414">
        <v>12489</v>
      </c>
      <c r="MD414">
        <v>42489</v>
      </c>
      <c r="ME414">
        <v>88232</v>
      </c>
      <c r="MF414">
        <v>567114</v>
      </c>
      <c r="MG414">
        <v>385839</v>
      </c>
      <c r="MH414">
        <v>193478</v>
      </c>
      <c r="MI414">
        <v>64882</v>
      </c>
      <c r="MJ414">
        <v>29554</v>
      </c>
      <c r="MK414">
        <v>79528</v>
      </c>
      <c r="ML414">
        <v>58762</v>
      </c>
      <c r="MM414">
        <v>66053</v>
      </c>
      <c r="MN414">
        <v>55186</v>
      </c>
      <c r="MO414">
        <v>113865</v>
      </c>
      <c r="MP414">
        <v>48099</v>
      </c>
      <c r="MQ414">
        <v>233920</v>
      </c>
      <c r="MR414">
        <v>74574</v>
      </c>
      <c r="MS414">
        <v>494361</v>
      </c>
      <c r="MT414">
        <v>129727</v>
      </c>
      <c r="MU414">
        <v>103796</v>
      </c>
      <c r="MV414">
        <v>163091</v>
      </c>
      <c r="MW414">
        <v>55022</v>
      </c>
      <c r="MX414">
        <v>90118</v>
      </c>
      <c r="MY414">
        <v>34752</v>
      </c>
      <c r="MZ414">
        <v>843933</v>
      </c>
      <c r="NA414">
        <v>186186</v>
      </c>
      <c r="NB414">
        <v>54735</v>
      </c>
      <c r="NC414">
        <v>117803</v>
      </c>
      <c r="ND414">
        <v>52663</v>
      </c>
      <c r="NE414">
        <v>53043</v>
      </c>
      <c r="NF414">
        <v>26930</v>
      </c>
      <c r="NG414">
        <v>48962</v>
      </c>
      <c r="NH414">
        <v>45205</v>
      </c>
      <c r="NI414">
        <v>51321</v>
      </c>
      <c r="NJ414">
        <v>20528</v>
      </c>
      <c r="NK414">
        <v>21158</v>
      </c>
      <c r="NL414">
        <v>35404</v>
      </c>
      <c r="NM414">
        <v>87055</v>
      </c>
      <c r="NN414">
        <v>258207</v>
      </c>
      <c r="NO414">
        <v>347105</v>
      </c>
      <c r="NP414">
        <v>317136</v>
      </c>
      <c r="NQ414">
        <v>100899</v>
      </c>
      <c r="NR414">
        <v>131352</v>
      </c>
      <c r="NS414">
        <v>20997</v>
      </c>
      <c r="NT414">
        <v>42351</v>
      </c>
      <c r="NU414">
        <v>23952</v>
      </c>
      <c r="NV414">
        <v>79575</v>
      </c>
      <c r="NW414">
        <v>23216</v>
      </c>
      <c r="NX414">
        <v>28173</v>
      </c>
      <c r="NY414">
        <v>67381</v>
      </c>
      <c r="NZ414">
        <v>100432</v>
      </c>
      <c r="OA414">
        <v>59649</v>
      </c>
      <c r="OB414">
        <v>99722</v>
      </c>
      <c r="OC414">
        <v>18684</v>
      </c>
      <c r="OD414">
        <v>624290</v>
      </c>
      <c r="OE414">
        <v>405353</v>
      </c>
      <c r="OF414">
        <v>69731</v>
      </c>
      <c r="OG414">
        <v>15873</v>
      </c>
      <c r="OH414">
        <v>15546</v>
      </c>
      <c r="OI414">
        <v>1019982</v>
      </c>
      <c r="OJ414">
        <v>312935</v>
      </c>
      <c r="OK414">
        <v>935967</v>
      </c>
      <c r="OL414">
        <v>16928</v>
      </c>
      <c r="OM414">
        <v>63412</v>
      </c>
      <c r="ON414">
        <v>292843</v>
      </c>
      <c r="OO414">
        <v>33772564</v>
      </c>
    </row>
    <row r="415" spans="1:429" x14ac:dyDescent="0.25">
      <c r="A415" t="s">
        <v>684</v>
      </c>
      <c r="B415" t="s">
        <v>685</v>
      </c>
      <c r="M415">
        <v>37</v>
      </c>
      <c r="N415">
        <v>449</v>
      </c>
      <c r="P415">
        <v>8342</v>
      </c>
      <c r="Q415">
        <v>1094</v>
      </c>
      <c r="R415">
        <v>258</v>
      </c>
      <c r="S415">
        <v>316</v>
      </c>
      <c r="T415">
        <v>289</v>
      </c>
      <c r="U415">
        <v>423</v>
      </c>
      <c r="V415">
        <v>48</v>
      </c>
      <c r="W415">
        <v>166</v>
      </c>
      <c r="X415">
        <v>23580</v>
      </c>
      <c r="Y415">
        <v>5427</v>
      </c>
      <c r="Z415">
        <v>325</v>
      </c>
      <c r="AC415">
        <v>605</v>
      </c>
      <c r="AD415">
        <v>290</v>
      </c>
      <c r="AG415">
        <v>962</v>
      </c>
      <c r="AM415">
        <v>47</v>
      </c>
      <c r="AN415">
        <v>24</v>
      </c>
      <c r="AO415">
        <v>38</v>
      </c>
      <c r="AP415">
        <v>11</v>
      </c>
      <c r="AQ415">
        <v>14</v>
      </c>
      <c r="AR415">
        <v>5</v>
      </c>
      <c r="AS415">
        <v>7</v>
      </c>
      <c r="AT415">
        <v>30</v>
      </c>
      <c r="AU415">
        <v>27</v>
      </c>
      <c r="AV415">
        <v>9</v>
      </c>
      <c r="AW415">
        <v>7</v>
      </c>
      <c r="AX415">
        <v>12</v>
      </c>
      <c r="AY415">
        <v>1</v>
      </c>
      <c r="AZ415">
        <v>2</v>
      </c>
      <c r="BA415">
        <v>4</v>
      </c>
      <c r="BB415">
        <v>19</v>
      </c>
      <c r="BC415">
        <v>14</v>
      </c>
      <c r="BD415">
        <v>14</v>
      </c>
      <c r="BE415">
        <v>6</v>
      </c>
      <c r="BF415">
        <v>0</v>
      </c>
      <c r="BG415">
        <v>32</v>
      </c>
      <c r="BH415">
        <v>3</v>
      </c>
      <c r="BI415">
        <v>19</v>
      </c>
      <c r="BJ415">
        <v>7</v>
      </c>
      <c r="BK415">
        <v>27</v>
      </c>
      <c r="BL415">
        <v>15</v>
      </c>
      <c r="BM415">
        <v>1</v>
      </c>
      <c r="BN415">
        <v>2</v>
      </c>
      <c r="BO415">
        <v>0</v>
      </c>
      <c r="BP415">
        <v>18</v>
      </c>
      <c r="BQ415">
        <v>55</v>
      </c>
      <c r="BR415">
        <v>38</v>
      </c>
      <c r="BS415">
        <v>4</v>
      </c>
      <c r="BT415">
        <v>1</v>
      </c>
      <c r="BU415">
        <v>3</v>
      </c>
      <c r="BV415">
        <v>2</v>
      </c>
      <c r="BW415">
        <v>3</v>
      </c>
      <c r="BX415">
        <v>2</v>
      </c>
      <c r="BY415">
        <v>16</v>
      </c>
      <c r="BZ415">
        <v>4</v>
      </c>
      <c r="CA415">
        <v>7</v>
      </c>
      <c r="CB415">
        <v>18</v>
      </c>
      <c r="CC415">
        <v>1</v>
      </c>
      <c r="CD415">
        <v>4</v>
      </c>
      <c r="CE415">
        <v>440</v>
      </c>
      <c r="CF415">
        <v>9</v>
      </c>
      <c r="CG415">
        <v>4</v>
      </c>
      <c r="CH415">
        <v>0</v>
      </c>
      <c r="CI415">
        <v>16</v>
      </c>
      <c r="CJ415">
        <v>4</v>
      </c>
      <c r="CK415">
        <v>11</v>
      </c>
      <c r="CL415">
        <v>13</v>
      </c>
      <c r="CM415">
        <v>0</v>
      </c>
      <c r="CN415">
        <v>0</v>
      </c>
      <c r="CO415">
        <v>3</v>
      </c>
      <c r="CP415">
        <v>9</v>
      </c>
      <c r="CQ415">
        <v>17</v>
      </c>
      <c r="CR415">
        <v>9</v>
      </c>
      <c r="CS415">
        <v>2</v>
      </c>
      <c r="CT415">
        <v>10</v>
      </c>
      <c r="CU415">
        <v>4</v>
      </c>
      <c r="CV415">
        <v>12</v>
      </c>
      <c r="CW415">
        <v>4</v>
      </c>
      <c r="CX415">
        <v>0</v>
      </c>
      <c r="CY415">
        <v>0</v>
      </c>
      <c r="CZ415">
        <v>2</v>
      </c>
      <c r="DA415">
        <v>2</v>
      </c>
      <c r="DB415">
        <v>18</v>
      </c>
      <c r="DC415">
        <v>39</v>
      </c>
      <c r="DD415">
        <v>7</v>
      </c>
      <c r="DE415">
        <v>5</v>
      </c>
      <c r="DF415">
        <v>1</v>
      </c>
      <c r="DG415">
        <v>14</v>
      </c>
      <c r="DH415">
        <v>22</v>
      </c>
      <c r="DI415">
        <v>18</v>
      </c>
      <c r="DJ415">
        <v>3</v>
      </c>
      <c r="DK415">
        <v>12</v>
      </c>
      <c r="DL415">
        <v>5</v>
      </c>
      <c r="DM415">
        <v>1</v>
      </c>
      <c r="DN415">
        <v>8</v>
      </c>
      <c r="DO415">
        <v>59</v>
      </c>
      <c r="DP415">
        <v>42</v>
      </c>
      <c r="DQ415">
        <v>39</v>
      </c>
      <c r="DR415">
        <v>104</v>
      </c>
      <c r="DS415">
        <v>19</v>
      </c>
      <c r="DT415">
        <v>4</v>
      </c>
      <c r="DU415">
        <v>7</v>
      </c>
      <c r="DV415">
        <v>10</v>
      </c>
      <c r="DW415">
        <v>4</v>
      </c>
      <c r="DX415">
        <v>19</v>
      </c>
      <c r="DY415">
        <v>6</v>
      </c>
      <c r="DZ415">
        <v>6</v>
      </c>
      <c r="EA415">
        <v>12</v>
      </c>
      <c r="EB415">
        <v>1</v>
      </c>
      <c r="EC415">
        <v>3</v>
      </c>
      <c r="ED415">
        <v>24</v>
      </c>
      <c r="EE415">
        <v>10</v>
      </c>
      <c r="EF415">
        <v>14</v>
      </c>
      <c r="EG415">
        <v>3</v>
      </c>
      <c r="EH415">
        <v>4</v>
      </c>
      <c r="EI415">
        <v>14</v>
      </c>
      <c r="EJ415">
        <v>5</v>
      </c>
      <c r="EK415">
        <v>6</v>
      </c>
      <c r="EL415">
        <v>0</v>
      </c>
      <c r="EM415">
        <v>7</v>
      </c>
      <c r="EN415">
        <v>16</v>
      </c>
      <c r="EO415">
        <v>5</v>
      </c>
      <c r="EP415">
        <v>1</v>
      </c>
      <c r="EQ415">
        <v>26</v>
      </c>
      <c r="ER415">
        <v>0</v>
      </c>
      <c r="ES415">
        <v>3</v>
      </c>
      <c r="ET415">
        <v>6</v>
      </c>
      <c r="EU415">
        <v>2</v>
      </c>
      <c r="EV415">
        <v>0</v>
      </c>
      <c r="EW415">
        <v>3</v>
      </c>
      <c r="EX415">
        <v>10</v>
      </c>
      <c r="EY415">
        <v>24</v>
      </c>
      <c r="EZ415">
        <v>13</v>
      </c>
      <c r="FA415">
        <v>0</v>
      </c>
      <c r="FB415">
        <v>12</v>
      </c>
      <c r="FC415">
        <v>91</v>
      </c>
      <c r="FD415">
        <v>23</v>
      </c>
      <c r="FE415">
        <v>29</v>
      </c>
      <c r="FF415">
        <v>24</v>
      </c>
      <c r="FG415">
        <v>8</v>
      </c>
      <c r="FH415">
        <v>0</v>
      </c>
      <c r="FI415">
        <v>0</v>
      </c>
      <c r="FJ415">
        <v>2</v>
      </c>
      <c r="FK415">
        <v>0</v>
      </c>
      <c r="FL415">
        <v>18</v>
      </c>
      <c r="FM415">
        <v>1</v>
      </c>
      <c r="FN415">
        <v>17</v>
      </c>
      <c r="FO415">
        <v>1</v>
      </c>
      <c r="FP415">
        <v>1</v>
      </c>
      <c r="FQ415">
        <v>9</v>
      </c>
      <c r="FR415">
        <v>3</v>
      </c>
      <c r="FS415">
        <v>3</v>
      </c>
      <c r="FT415">
        <v>6</v>
      </c>
      <c r="FU415">
        <v>7</v>
      </c>
      <c r="FV415">
        <v>11</v>
      </c>
      <c r="FW415">
        <v>3</v>
      </c>
      <c r="FX415">
        <v>21</v>
      </c>
      <c r="FY415">
        <v>51</v>
      </c>
      <c r="FZ415">
        <v>10</v>
      </c>
      <c r="GA415">
        <v>13</v>
      </c>
      <c r="GB415">
        <v>1</v>
      </c>
      <c r="GC415">
        <v>5</v>
      </c>
      <c r="GD415">
        <v>108</v>
      </c>
      <c r="GE415">
        <v>2</v>
      </c>
      <c r="GF415">
        <v>3</v>
      </c>
      <c r="GG415">
        <v>2</v>
      </c>
      <c r="GH415">
        <v>12</v>
      </c>
      <c r="GI415">
        <v>41</v>
      </c>
      <c r="GJ415">
        <v>167</v>
      </c>
      <c r="GK415">
        <v>36</v>
      </c>
      <c r="GL415">
        <v>10</v>
      </c>
      <c r="GM415">
        <v>23</v>
      </c>
      <c r="GN415">
        <v>526</v>
      </c>
      <c r="GO415">
        <v>2</v>
      </c>
      <c r="GP415">
        <v>49</v>
      </c>
      <c r="GQ415">
        <v>3</v>
      </c>
      <c r="GR415">
        <v>12</v>
      </c>
      <c r="GS415">
        <v>94</v>
      </c>
      <c r="GT415">
        <v>7</v>
      </c>
      <c r="GU415">
        <v>145</v>
      </c>
      <c r="GV415">
        <v>18</v>
      </c>
      <c r="GW415">
        <v>6</v>
      </c>
      <c r="GX415">
        <v>66</v>
      </c>
      <c r="GY415">
        <v>19</v>
      </c>
      <c r="GZ415">
        <v>90</v>
      </c>
      <c r="HA415">
        <v>192</v>
      </c>
      <c r="HB415">
        <v>214</v>
      </c>
      <c r="HC415">
        <v>29</v>
      </c>
      <c r="HD415">
        <v>8</v>
      </c>
      <c r="HE415">
        <v>40</v>
      </c>
      <c r="HF415">
        <v>23</v>
      </c>
      <c r="HG415">
        <v>174</v>
      </c>
      <c r="HH415">
        <v>2913</v>
      </c>
      <c r="HI415">
        <v>890</v>
      </c>
      <c r="HJ415">
        <v>4121</v>
      </c>
      <c r="HK415">
        <v>13345</v>
      </c>
      <c r="HL415">
        <v>0</v>
      </c>
      <c r="HM415">
        <v>2</v>
      </c>
      <c r="HN415">
        <v>2</v>
      </c>
      <c r="HO415">
        <v>6</v>
      </c>
      <c r="HP415">
        <v>2</v>
      </c>
      <c r="HQ415">
        <v>4</v>
      </c>
      <c r="HR415">
        <v>10</v>
      </c>
      <c r="HS415">
        <v>5</v>
      </c>
      <c r="HT415">
        <v>0</v>
      </c>
      <c r="HU415">
        <v>1</v>
      </c>
      <c r="HV415">
        <v>2</v>
      </c>
      <c r="HW415">
        <v>90</v>
      </c>
      <c r="HX415">
        <v>9</v>
      </c>
      <c r="HY415">
        <v>5</v>
      </c>
      <c r="HZ415">
        <v>9</v>
      </c>
      <c r="IA415">
        <v>2</v>
      </c>
      <c r="IB415">
        <v>55</v>
      </c>
      <c r="IC415">
        <v>1</v>
      </c>
      <c r="ID415">
        <v>397</v>
      </c>
      <c r="IE415">
        <v>26</v>
      </c>
      <c r="IF415">
        <v>51</v>
      </c>
      <c r="IG415">
        <v>4</v>
      </c>
      <c r="IH415">
        <v>29</v>
      </c>
      <c r="II415">
        <v>5</v>
      </c>
      <c r="IJ415">
        <v>12</v>
      </c>
      <c r="IK415">
        <v>20</v>
      </c>
      <c r="IL415">
        <v>88</v>
      </c>
      <c r="IM415">
        <v>71</v>
      </c>
      <c r="IN415">
        <v>21</v>
      </c>
      <c r="IO415">
        <v>0</v>
      </c>
      <c r="IP415">
        <v>4151</v>
      </c>
      <c r="IQ415">
        <v>1</v>
      </c>
      <c r="IR415">
        <v>216</v>
      </c>
      <c r="IS415">
        <v>18</v>
      </c>
      <c r="IT415">
        <v>6</v>
      </c>
      <c r="IU415">
        <v>49</v>
      </c>
      <c r="IV415">
        <v>7</v>
      </c>
      <c r="IW415">
        <v>88</v>
      </c>
      <c r="IX415">
        <v>255</v>
      </c>
      <c r="IY415">
        <v>10</v>
      </c>
      <c r="IZ415">
        <v>76</v>
      </c>
      <c r="JA415">
        <v>38</v>
      </c>
      <c r="JB415">
        <v>12</v>
      </c>
      <c r="JC415">
        <v>1</v>
      </c>
      <c r="JD415">
        <v>0</v>
      </c>
      <c r="JE415">
        <v>5</v>
      </c>
      <c r="JF415">
        <v>0</v>
      </c>
      <c r="JG415">
        <v>29</v>
      </c>
      <c r="JH415">
        <v>309</v>
      </c>
      <c r="JI415">
        <v>4</v>
      </c>
      <c r="JJ415">
        <v>18</v>
      </c>
      <c r="JK415">
        <v>5256</v>
      </c>
      <c r="JL415">
        <v>7063</v>
      </c>
      <c r="JM415">
        <v>6991</v>
      </c>
      <c r="JN415">
        <v>7743</v>
      </c>
      <c r="JO415">
        <v>16113</v>
      </c>
      <c r="JP415">
        <v>2783</v>
      </c>
      <c r="JQ415">
        <v>2363</v>
      </c>
      <c r="JR415">
        <v>88362</v>
      </c>
      <c r="JS415">
        <v>35487</v>
      </c>
      <c r="JT415">
        <v>33</v>
      </c>
      <c r="JU415">
        <v>38513</v>
      </c>
      <c r="JV415">
        <v>45947</v>
      </c>
      <c r="JW415">
        <v>22253</v>
      </c>
      <c r="JX415">
        <v>37990</v>
      </c>
      <c r="JY415">
        <v>21701</v>
      </c>
      <c r="JZ415">
        <v>6833</v>
      </c>
      <c r="KA415">
        <v>12963</v>
      </c>
      <c r="KB415">
        <v>17160</v>
      </c>
      <c r="KC415">
        <v>20524</v>
      </c>
      <c r="KD415">
        <v>24926</v>
      </c>
      <c r="KE415">
        <v>21938</v>
      </c>
      <c r="KF415">
        <v>787</v>
      </c>
      <c r="KG415">
        <v>224</v>
      </c>
      <c r="KH415">
        <v>535</v>
      </c>
      <c r="KI415">
        <v>1017</v>
      </c>
      <c r="KJ415">
        <v>77</v>
      </c>
      <c r="KK415">
        <v>153</v>
      </c>
      <c r="KL415">
        <v>132</v>
      </c>
      <c r="KM415">
        <v>133</v>
      </c>
      <c r="KN415">
        <v>66</v>
      </c>
      <c r="KO415">
        <v>38</v>
      </c>
      <c r="KP415">
        <v>85</v>
      </c>
      <c r="KQ415">
        <v>19</v>
      </c>
      <c r="KR415">
        <v>958</v>
      </c>
      <c r="KS415">
        <v>2624</v>
      </c>
      <c r="KT415">
        <v>134</v>
      </c>
      <c r="KU415">
        <v>2011</v>
      </c>
      <c r="KV415">
        <v>775</v>
      </c>
      <c r="KW415">
        <v>17233</v>
      </c>
      <c r="KX415">
        <v>12438</v>
      </c>
      <c r="KY415">
        <v>4886</v>
      </c>
      <c r="KZ415">
        <v>990</v>
      </c>
      <c r="LA415">
        <v>525</v>
      </c>
      <c r="LB415">
        <v>14</v>
      </c>
      <c r="LC415">
        <v>2524</v>
      </c>
      <c r="LD415">
        <v>46</v>
      </c>
      <c r="LE415">
        <v>1182</v>
      </c>
      <c r="LF415">
        <v>99</v>
      </c>
      <c r="LG415">
        <v>3405</v>
      </c>
      <c r="LH415">
        <v>20469</v>
      </c>
      <c r="LI415">
        <v>0</v>
      </c>
      <c r="LJ415">
        <v>38</v>
      </c>
      <c r="LM415">
        <v>1309</v>
      </c>
      <c r="LN415">
        <v>4637</v>
      </c>
      <c r="LO415">
        <v>5531</v>
      </c>
      <c r="LP415">
        <v>2082</v>
      </c>
      <c r="LQ415">
        <v>2</v>
      </c>
      <c r="LR415">
        <v>15394</v>
      </c>
      <c r="LS415">
        <v>1360</v>
      </c>
      <c r="LT415">
        <v>2828</v>
      </c>
      <c r="LU415">
        <v>524</v>
      </c>
      <c r="LV415">
        <v>449</v>
      </c>
      <c r="LW415">
        <v>1363</v>
      </c>
      <c r="LX415">
        <v>938</v>
      </c>
      <c r="LY415">
        <v>106</v>
      </c>
      <c r="LZ415">
        <v>87</v>
      </c>
      <c r="MA415">
        <v>830</v>
      </c>
      <c r="MB415">
        <v>934</v>
      </c>
      <c r="MC415">
        <v>443</v>
      </c>
      <c r="MD415">
        <v>123</v>
      </c>
      <c r="ME415">
        <v>120</v>
      </c>
      <c r="MF415">
        <v>1509</v>
      </c>
      <c r="MG415">
        <v>781</v>
      </c>
      <c r="MH415">
        <v>2489</v>
      </c>
      <c r="MI415">
        <v>214</v>
      </c>
      <c r="MJ415">
        <v>102</v>
      </c>
      <c r="MK415">
        <v>806</v>
      </c>
      <c r="ML415">
        <v>340</v>
      </c>
      <c r="MM415">
        <v>1118</v>
      </c>
      <c r="MN415">
        <v>450</v>
      </c>
      <c r="MO415">
        <v>1751</v>
      </c>
      <c r="MP415">
        <v>4</v>
      </c>
      <c r="MQ415">
        <v>459</v>
      </c>
      <c r="MR415">
        <v>414</v>
      </c>
      <c r="MS415">
        <v>308</v>
      </c>
      <c r="MT415">
        <v>4</v>
      </c>
      <c r="MU415">
        <v>679</v>
      </c>
      <c r="MV415">
        <v>241</v>
      </c>
      <c r="MW415">
        <v>54</v>
      </c>
      <c r="MX415">
        <v>129</v>
      </c>
      <c r="MY415">
        <v>59</v>
      </c>
      <c r="MZ415">
        <v>2616</v>
      </c>
      <c r="NA415">
        <v>2532</v>
      </c>
      <c r="NB415">
        <v>431</v>
      </c>
      <c r="NC415">
        <v>408</v>
      </c>
      <c r="ND415">
        <v>383</v>
      </c>
      <c r="NE415">
        <v>162</v>
      </c>
      <c r="NF415">
        <v>972</v>
      </c>
      <c r="NG415">
        <v>1899</v>
      </c>
      <c r="NH415">
        <v>1247</v>
      </c>
      <c r="NI415">
        <v>1462</v>
      </c>
      <c r="NJ415">
        <v>472</v>
      </c>
      <c r="NK415">
        <v>2811</v>
      </c>
      <c r="NL415">
        <v>1393</v>
      </c>
      <c r="NM415">
        <v>5677</v>
      </c>
      <c r="NN415">
        <v>24709</v>
      </c>
      <c r="NO415">
        <v>24646</v>
      </c>
      <c r="NP415">
        <v>23633</v>
      </c>
      <c r="NQ415">
        <v>4112</v>
      </c>
      <c r="NR415">
        <v>6420</v>
      </c>
      <c r="NS415">
        <v>466</v>
      </c>
      <c r="NT415">
        <v>741</v>
      </c>
      <c r="NU415">
        <v>990</v>
      </c>
      <c r="NV415">
        <v>1407</v>
      </c>
      <c r="NW415">
        <v>482</v>
      </c>
      <c r="NX415">
        <v>1220</v>
      </c>
      <c r="NY415">
        <v>1338</v>
      </c>
      <c r="OA415">
        <v>10</v>
      </c>
      <c r="OB415">
        <v>323</v>
      </c>
      <c r="ON415">
        <v>538</v>
      </c>
      <c r="OO415">
        <v>755440</v>
      </c>
    </row>
    <row r="416" spans="1:429" x14ac:dyDescent="0.25">
      <c r="A416" t="s">
        <v>686</v>
      </c>
      <c r="B416" t="s">
        <v>687</v>
      </c>
      <c r="D416">
        <v>9531</v>
      </c>
      <c r="H416">
        <v>585</v>
      </c>
      <c r="X416">
        <v>0</v>
      </c>
      <c r="EL416">
        <v>264</v>
      </c>
      <c r="HQ416">
        <v>27</v>
      </c>
      <c r="ID416">
        <v>0</v>
      </c>
      <c r="IR416">
        <v>14</v>
      </c>
      <c r="JV416">
        <v>0</v>
      </c>
      <c r="KE416">
        <v>238</v>
      </c>
      <c r="KF416">
        <v>2263</v>
      </c>
      <c r="KG416">
        <v>47</v>
      </c>
      <c r="KH416">
        <v>0</v>
      </c>
      <c r="KV416">
        <v>11</v>
      </c>
      <c r="LD416">
        <v>546</v>
      </c>
      <c r="LK416">
        <v>2441</v>
      </c>
      <c r="LL416">
        <v>16307</v>
      </c>
      <c r="LM416">
        <v>1417</v>
      </c>
      <c r="MZ416">
        <v>375</v>
      </c>
      <c r="OH416">
        <v>6339</v>
      </c>
      <c r="OL416">
        <v>0</v>
      </c>
      <c r="ON416">
        <v>19471</v>
      </c>
      <c r="OO416">
        <v>59875</v>
      </c>
    </row>
    <row r="417" spans="1:405" x14ac:dyDescent="0.25">
      <c r="A417" t="s">
        <v>688</v>
      </c>
      <c r="B417" t="s">
        <v>689</v>
      </c>
      <c r="C417">
        <v>17670</v>
      </c>
      <c r="D417">
        <v>9807</v>
      </c>
      <c r="E417">
        <v>8151</v>
      </c>
      <c r="F417">
        <v>18235</v>
      </c>
      <c r="G417">
        <v>10233</v>
      </c>
      <c r="H417">
        <v>9081</v>
      </c>
      <c r="I417">
        <v>9616</v>
      </c>
      <c r="J417">
        <v>27302</v>
      </c>
      <c r="K417">
        <v>5812</v>
      </c>
      <c r="L417">
        <v>22827</v>
      </c>
      <c r="M417">
        <v>10665</v>
      </c>
      <c r="N417">
        <v>6886</v>
      </c>
      <c r="O417">
        <v>20557</v>
      </c>
      <c r="P417">
        <v>161111</v>
      </c>
      <c r="Q417">
        <v>19217</v>
      </c>
      <c r="R417">
        <v>7073</v>
      </c>
      <c r="S417">
        <v>6804</v>
      </c>
      <c r="T417">
        <v>9260</v>
      </c>
      <c r="U417">
        <v>9911</v>
      </c>
      <c r="V417">
        <v>13134</v>
      </c>
      <c r="W417">
        <v>40792</v>
      </c>
      <c r="X417">
        <v>258457</v>
      </c>
      <c r="Y417">
        <v>45515</v>
      </c>
      <c r="Z417">
        <v>9739</v>
      </c>
      <c r="AA417">
        <v>29314</v>
      </c>
      <c r="AB417">
        <v>53551</v>
      </c>
      <c r="AC417">
        <v>102147</v>
      </c>
      <c r="AD417">
        <v>44445</v>
      </c>
      <c r="AE417">
        <v>81219</v>
      </c>
      <c r="AF417">
        <v>40970</v>
      </c>
      <c r="AG417">
        <v>109213</v>
      </c>
      <c r="AH417">
        <v>36302</v>
      </c>
      <c r="AI417">
        <v>65920</v>
      </c>
      <c r="AJ417">
        <v>69439</v>
      </c>
      <c r="AK417">
        <v>135891</v>
      </c>
      <c r="AL417">
        <v>71807</v>
      </c>
      <c r="AM417">
        <v>9303</v>
      </c>
      <c r="AN417">
        <v>8778</v>
      </c>
      <c r="AO417">
        <v>9273</v>
      </c>
      <c r="AP417">
        <v>8333</v>
      </c>
      <c r="AQ417">
        <v>4020</v>
      </c>
      <c r="AR417">
        <v>11968</v>
      </c>
      <c r="AS417">
        <v>4566</v>
      </c>
      <c r="AT417">
        <v>11481</v>
      </c>
      <c r="AU417">
        <v>3288</v>
      </c>
      <c r="AV417">
        <v>6106</v>
      </c>
      <c r="AW417">
        <v>4041</v>
      </c>
      <c r="AX417">
        <v>3168</v>
      </c>
      <c r="AY417">
        <v>2237</v>
      </c>
      <c r="AZ417">
        <v>2011</v>
      </c>
      <c r="BA417">
        <v>3207</v>
      </c>
      <c r="BB417">
        <v>2395</v>
      </c>
      <c r="BC417">
        <v>21178</v>
      </c>
      <c r="BD417">
        <v>6790</v>
      </c>
      <c r="BE417">
        <v>797</v>
      </c>
      <c r="BF417">
        <v>676</v>
      </c>
      <c r="BG417">
        <v>6545</v>
      </c>
      <c r="BH417">
        <v>3068</v>
      </c>
      <c r="BI417">
        <v>3942</v>
      </c>
      <c r="BJ417">
        <v>4523</v>
      </c>
      <c r="BK417">
        <v>7057</v>
      </c>
      <c r="BL417">
        <v>5201</v>
      </c>
      <c r="BM417">
        <v>1877</v>
      </c>
      <c r="BN417">
        <v>4529</v>
      </c>
      <c r="BO417">
        <v>4605</v>
      </c>
      <c r="BP417">
        <v>4416</v>
      </c>
      <c r="BQ417">
        <v>16061</v>
      </c>
      <c r="BR417">
        <v>17906</v>
      </c>
      <c r="BS417">
        <v>2965</v>
      </c>
      <c r="BT417">
        <v>3635</v>
      </c>
      <c r="BU417">
        <v>6170</v>
      </c>
      <c r="BV417">
        <v>2986</v>
      </c>
      <c r="BW417">
        <v>3802</v>
      </c>
      <c r="BX417">
        <v>19435</v>
      </c>
      <c r="BY417">
        <v>11958</v>
      </c>
      <c r="BZ417">
        <v>12476</v>
      </c>
      <c r="CA417">
        <v>1746</v>
      </c>
      <c r="CB417">
        <v>11769</v>
      </c>
      <c r="CC417">
        <v>3062</v>
      </c>
      <c r="CD417">
        <v>3040</v>
      </c>
      <c r="CE417">
        <v>6702</v>
      </c>
      <c r="CF417">
        <v>5630</v>
      </c>
      <c r="CG417">
        <v>9737</v>
      </c>
      <c r="CH417">
        <v>2768</v>
      </c>
      <c r="CI417">
        <v>12421</v>
      </c>
      <c r="CJ417">
        <v>6162</v>
      </c>
      <c r="CK417">
        <v>5224</v>
      </c>
      <c r="CL417">
        <v>11868</v>
      </c>
      <c r="CM417">
        <v>2221</v>
      </c>
      <c r="CN417">
        <v>774</v>
      </c>
      <c r="CO417">
        <v>7997</v>
      </c>
      <c r="CP417">
        <v>1887</v>
      </c>
      <c r="CQ417">
        <v>12984</v>
      </c>
      <c r="CR417">
        <v>2540</v>
      </c>
      <c r="CS417">
        <v>3023</v>
      </c>
      <c r="CT417">
        <v>4949</v>
      </c>
      <c r="CU417">
        <v>3411</v>
      </c>
      <c r="CV417">
        <v>3631</v>
      </c>
      <c r="CW417">
        <v>5517</v>
      </c>
      <c r="CX417">
        <v>1311</v>
      </c>
      <c r="CY417">
        <v>2208</v>
      </c>
      <c r="CZ417">
        <v>6100</v>
      </c>
      <c r="DA417">
        <v>3170</v>
      </c>
      <c r="DB417">
        <v>7100</v>
      </c>
      <c r="DC417">
        <v>11538</v>
      </c>
      <c r="DD417">
        <v>1457</v>
      </c>
      <c r="DE417">
        <v>2818</v>
      </c>
      <c r="DF417">
        <v>1054</v>
      </c>
      <c r="DG417">
        <v>9450</v>
      </c>
      <c r="DH417">
        <v>4324</v>
      </c>
      <c r="DI417">
        <v>12910</v>
      </c>
      <c r="DJ417">
        <v>3724</v>
      </c>
      <c r="DK417">
        <v>5718</v>
      </c>
      <c r="DL417">
        <v>5142</v>
      </c>
      <c r="DM417">
        <v>20825</v>
      </c>
      <c r="DN417">
        <v>3756</v>
      </c>
      <c r="DO417">
        <v>48543</v>
      </c>
      <c r="DP417">
        <v>13917</v>
      </c>
      <c r="DQ417">
        <v>21090</v>
      </c>
      <c r="DR417">
        <v>21495</v>
      </c>
      <c r="DS417">
        <v>39434</v>
      </c>
      <c r="DT417">
        <v>2375</v>
      </c>
      <c r="DU417">
        <v>8682</v>
      </c>
      <c r="DV417">
        <v>3206</v>
      </c>
      <c r="DW417">
        <v>8143</v>
      </c>
      <c r="DX417">
        <v>11179</v>
      </c>
      <c r="DY417">
        <v>6368</v>
      </c>
      <c r="DZ417">
        <v>8813</v>
      </c>
      <c r="EA417">
        <v>2032</v>
      </c>
      <c r="EB417">
        <v>1387</v>
      </c>
      <c r="EC417">
        <v>866</v>
      </c>
      <c r="ED417">
        <v>5658</v>
      </c>
      <c r="EE417">
        <v>1933</v>
      </c>
      <c r="EF417">
        <v>9231</v>
      </c>
      <c r="EG417">
        <v>2940</v>
      </c>
      <c r="EH417">
        <v>3951</v>
      </c>
      <c r="EI417">
        <v>5463</v>
      </c>
      <c r="EJ417">
        <v>5151</v>
      </c>
      <c r="EK417">
        <v>2655</v>
      </c>
      <c r="EL417">
        <v>1525</v>
      </c>
      <c r="EM417">
        <v>3915</v>
      </c>
      <c r="EN417">
        <v>7860</v>
      </c>
      <c r="EO417">
        <v>1881</v>
      </c>
      <c r="EP417">
        <v>4599</v>
      </c>
      <c r="EQ417">
        <v>11976</v>
      </c>
      <c r="ER417">
        <v>55732</v>
      </c>
      <c r="ES417">
        <v>5595</v>
      </c>
      <c r="ET417">
        <v>4125</v>
      </c>
      <c r="EU417">
        <v>2880</v>
      </c>
      <c r="EV417">
        <v>1368</v>
      </c>
      <c r="EW417">
        <v>6067</v>
      </c>
      <c r="EX417">
        <v>8815</v>
      </c>
      <c r="EY417">
        <v>6368</v>
      </c>
      <c r="EZ417">
        <v>12506</v>
      </c>
      <c r="FA417">
        <v>8104</v>
      </c>
      <c r="FB417">
        <v>11191</v>
      </c>
      <c r="FC417">
        <v>18009</v>
      </c>
      <c r="FD417">
        <v>6389</v>
      </c>
      <c r="FE417">
        <v>74452</v>
      </c>
      <c r="FF417">
        <v>18388</v>
      </c>
      <c r="FG417">
        <v>17523</v>
      </c>
      <c r="FH417">
        <v>10078</v>
      </c>
      <c r="FI417">
        <v>2481</v>
      </c>
      <c r="FJ417">
        <v>3137</v>
      </c>
      <c r="FK417">
        <v>12224</v>
      </c>
      <c r="FL417">
        <v>2750</v>
      </c>
      <c r="FM417">
        <v>3711</v>
      </c>
      <c r="FN417">
        <v>3408</v>
      </c>
      <c r="FO417">
        <v>2759</v>
      </c>
      <c r="FP417">
        <v>6731</v>
      </c>
      <c r="FQ417">
        <v>4216</v>
      </c>
      <c r="FR417">
        <v>1613</v>
      </c>
      <c r="FS417">
        <v>1921</v>
      </c>
      <c r="FT417">
        <v>981</v>
      </c>
      <c r="FU417">
        <v>3028</v>
      </c>
      <c r="FV417">
        <v>7120</v>
      </c>
      <c r="FW417">
        <v>3288</v>
      </c>
      <c r="FX417">
        <v>27484</v>
      </c>
      <c r="FY417">
        <v>20593</v>
      </c>
      <c r="FZ417">
        <v>2503</v>
      </c>
      <c r="GA417">
        <v>4016</v>
      </c>
      <c r="GB417">
        <v>3120</v>
      </c>
      <c r="GC417">
        <v>2922</v>
      </c>
      <c r="GD417">
        <v>4890</v>
      </c>
      <c r="GE417">
        <v>1305</v>
      </c>
      <c r="GF417">
        <v>961</v>
      </c>
      <c r="GG417">
        <v>5939</v>
      </c>
      <c r="GH417">
        <v>12875</v>
      </c>
      <c r="GI417">
        <v>6330</v>
      </c>
      <c r="GJ417">
        <v>4769</v>
      </c>
      <c r="GK417">
        <v>3504</v>
      </c>
      <c r="GL417">
        <v>2244</v>
      </c>
      <c r="GM417">
        <v>1430</v>
      </c>
      <c r="GN417">
        <v>3883</v>
      </c>
      <c r="GO417">
        <v>2993</v>
      </c>
      <c r="GP417">
        <v>9830</v>
      </c>
      <c r="GQ417">
        <v>9287</v>
      </c>
      <c r="GR417">
        <v>8015</v>
      </c>
      <c r="GS417">
        <v>8096</v>
      </c>
      <c r="GT417">
        <v>7254</v>
      </c>
      <c r="GU417">
        <v>8618</v>
      </c>
      <c r="GV417">
        <v>1993</v>
      </c>
      <c r="GW417">
        <v>17782</v>
      </c>
      <c r="GX417">
        <v>24794</v>
      </c>
      <c r="GY417">
        <v>3071</v>
      </c>
      <c r="GZ417">
        <v>15025</v>
      </c>
      <c r="HA417">
        <v>8606</v>
      </c>
      <c r="HB417">
        <v>13086</v>
      </c>
      <c r="HC417">
        <v>3374</v>
      </c>
      <c r="HD417">
        <v>5891</v>
      </c>
      <c r="HE417">
        <v>6793</v>
      </c>
      <c r="HF417">
        <v>7049</v>
      </c>
      <c r="HG417">
        <v>13468</v>
      </c>
      <c r="HH417">
        <v>14945</v>
      </c>
      <c r="HI417">
        <v>9282</v>
      </c>
      <c r="HJ417">
        <v>8872</v>
      </c>
      <c r="HK417">
        <v>44981</v>
      </c>
      <c r="HL417">
        <v>1632</v>
      </c>
      <c r="HM417">
        <v>4394</v>
      </c>
      <c r="HN417">
        <v>2213</v>
      </c>
      <c r="HO417">
        <v>3572</v>
      </c>
      <c r="HP417">
        <v>1283</v>
      </c>
      <c r="HQ417">
        <v>4193</v>
      </c>
      <c r="HR417">
        <v>7209</v>
      </c>
      <c r="HS417">
        <v>2240</v>
      </c>
      <c r="HT417">
        <v>1997</v>
      </c>
      <c r="HU417">
        <v>12704</v>
      </c>
      <c r="HV417">
        <v>10814</v>
      </c>
      <c r="HW417">
        <v>16667</v>
      </c>
      <c r="HX417">
        <v>6868</v>
      </c>
      <c r="HY417">
        <v>1345</v>
      </c>
      <c r="HZ417">
        <v>3807</v>
      </c>
      <c r="IA417">
        <v>1694</v>
      </c>
      <c r="IB417">
        <v>38751</v>
      </c>
      <c r="IC417">
        <v>1857</v>
      </c>
      <c r="ID417">
        <v>97220</v>
      </c>
      <c r="IE417">
        <v>2924</v>
      </c>
      <c r="IF417">
        <v>3991</v>
      </c>
      <c r="IG417">
        <v>6521</v>
      </c>
      <c r="IH417">
        <v>22746</v>
      </c>
      <c r="II417">
        <v>3522</v>
      </c>
      <c r="IJ417">
        <v>2551</v>
      </c>
      <c r="IK417">
        <v>14392</v>
      </c>
      <c r="IL417">
        <v>30937</v>
      </c>
      <c r="IM417">
        <v>22592</v>
      </c>
      <c r="IN417">
        <v>5151</v>
      </c>
      <c r="IO417">
        <v>7423</v>
      </c>
      <c r="IP417">
        <v>114477</v>
      </c>
      <c r="IQ417">
        <v>9440</v>
      </c>
      <c r="IR417">
        <v>22023</v>
      </c>
      <c r="IS417">
        <v>7473</v>
      </c>
      <c r="IT417">
        <v>5859</v>
      </c>
      <c r="IU417">
        <v>10589</v>
      </c>
      <c r="IV417">
        <v>6110</v>
      </c>
      <c r="IW417">
        <v>20074</v>
      </c>
      <c r="IX417">
        <v>23113</v>
      </c>
      <c r="IY417">
        <v>1347</v>
      </c>
      <c r="IZ417">
        <v>15266</v>
      </c>
      <c r="JA417">
        <v>11513</v>
      </c>
      <c r="JB417">
        <v>6611</v>
      </c>
      <c r="JC417">
        <v>1854</v>
      </c>
      <c r="JD417">
        <v>2713</v>
      </c>
      <c r="JE417">
        <v>3304</v>
      </c>
      <c r="JF417">
        <v>3329</v>
      </c>
      <c r="JG417">
        <v>32568</v>
      </c>
      <c r="JH417">
        <v>7025</v>
      </c>
      <c r="JI417">
        <v>2110</v>
      </c>
      <c r="JJ417">
        <v>6174</v>
      </c>
      <c r="JK417">
        <v>68051</v>
      </c>
      <c r="JL417">
        <v>123555</v>
      </c>
      <c r="JM417">
        <v>117026</v>
      </c>
      <c r="JN417">
        <v>105361</v>
      </c>
      <c r="JO417">
        <v>153136</v>
      </c>
      <c r="JP417">
        <v>107211</v>
      </c>
      <c r="JQ417">
        <v>95524</v>
      </c>
      <c r="JR417">
        <v>123774</v>
      </c>
      <c r="JS417">
        <v>212596</v>
      </c>
      <c r="JT417">
        <v>31400</v>
      </c>
      <c r="JU417">
        <v>38513</v>
      </c>
      <c r="JV417">
        <v>235782</v>
      </c>
      <c r="JW417">
        <v>162067</v>
      </c>
      <c r="JX417">
        <v>152115</v>
      </c>
      <c r="JY417">
        <v>104305</v>
      </c>
      <c r="JZ417">
        <v>72105</v>
      </c>
      <c r="KA417">
        <v>60950</v>
      </c>
      <c r="KB417">
        <v>70208</v>
      </c>
      <c r="KC417">
        <v>183401</v>
      </c>
      <c r="KD417">
        <v>137990</v>
      </c>
      <c r="KE417">
        <v>128682</v>
      </c>
      <c r="KF417">
        <v>44334</v>
      </c>
      <c r="KG417">
        <v>13957</v>
      </c>
      <c r="KH417">
        <v>177967</v>
      </c>
      <c r="KI417">
        <v>43408</v>
      </c>
      <c r="KJ417">
        <v>41004</v>
      </c>
      <c r="KK417">
        <v>68464</v>
      </c>
      <c r="KL417">
        <v>56532</v>
      </c>
      <c r="KM417">
        <v>61116</v>
      </c>
      <c r="KN417">
        <v>17928</v>
      </c>
      <c r="KO417">
        <v>17067</v>
      </c>
      <c r="KP417">
        <v>18152</v>
      </c>
      <c r="KQ417">
        <v>6392</v>
      </c>
      <c r="KR417">
        <v>176477</v>
      </c>
      <c r="KS417">
        <v>83952</v>
      </c>
      <c r="KT417">
        <v>13773</v>
      </c>
      <c r="KU417">
        <v>42807</v>
      </c>
      <c r="KV417">
        <v>61599</v>
      </c>
      <c r="KW417">
        <v>189767</v>
      </c>
      <c r="KX417">
        <v>142354</v>
      </c>
      <c r="KY417">
        <v>25589</v>
      </c>
      <c r="KZ417">
        <v>96385</v>
      </c>
      <c r="LA417">
        <v>109854</v>
      </c>
      <c r="LB417">
        <v>7924</v>
      </c>
      <c r="LC417">
        <v>211174</v>
      </c>
      <c r="LD417">
        <v>437687</v>
      </c>
      <c r="LE417">
        <v>178136</v>
      </c>
      <c r="LF417">
        <v>105291</v>
      </c>
      <c r="LG417">
        <v>54796</v>
      </c>
      <c r="LH417">
        <v>314538</v>
      </c>
      <c r="LI417">
        <v>199554</v>
      </c>
      <c r="LJ417">
        <v>6835</v>
      </c>
      <c r="LK417">
        <v>1340682</v>
      </c>
      <c r="LL417">
        <v>454633</v>
      </c>
      <c r="LM417">
        <v>517444</v>
      </c>
      <c r="LN417">
        <v>38140</v>
      </c>
      <c r="LO417">
        <v>54069</v>
      </c>
      <c r="LP417">
        <v>17729</v>
      </c>
      <c r="LQ417">
        <v>102321</v>
      </c>
      <c r="LR417">
        <v>266430</v>
      </c>
      <c r="LS417">
        <v>115796</v>
      </c>
      <c r="LT417">
        <v>178559</v>
      </c>
      <c r="LU417">
        <v>32019</v>
      </c>
      <c r="LV417">
        <v>125181</v>
      </c>
      <c r="LW417">
        <v>209889</v>
      </c>
      <c r="LX417">
        <v>172932</v>
      </c>
      <c r="LY417">
        <v>31418</v>
      </c>
      <c r="LZ417">
        <v>120944</v>
      </c>
      <c r="MA417">
        <v>89266</v>
      </c>
      <c r="MB417">
        <v>25021</v>
      </c>
      <c r="MC417">
        <v>7744</v>
      </c>
      <c r="MD417">
        <v>29704</v>
      </c>
      <c r="ME417">
        <v>55740</v>
      </c>
      <c r="MF417">
        <v>370134</v>
      </c>
      <c r="MG417">
        <v>249191</v>
      </c>
      <c r="MH417">
        <v>102331</v>
      </c>
      <c r="MI417">
        <v>41489</v>
      </c>
      <c r="MJ417">
        <v>13346</v>
      </c>
      <c r="MK417">
        <v>42944</v>
      </c>
      <c r="ML417">
        <v>26140</v>
      </c>
      <c r="MM417">
        <v>44000</v>
      </c>
      <c r="MN417">
        <v>30268</v>
      </c>
      <c r="MO417">
        <v>53159</v>
      </c>
      <c r="MP417">
        <v>37038</v>
      </c>
      <c r="MQ417">
        <v>169043</v>
      </c>
      <c r="MR417">
        <v>39506</v>
      </c>
      <c r="MS417">
        <v>307916</v>
      </c>
      <c r="MT417">
        <v>99226</v>
      </c>
      <c r="MU417">
        <v>78341</v>
      </c>
      <c r="MV417">
        <v>100978</v>
      </c>
      <c r="MW417">
        <v>39613</v>
      </c>
      <c r="MX417">
        <v>65291</v>
      </c>
      <c r="MY417">
        <v>18293</v>
      </c>
      <c r="MZ417">
        <v>486155</v>
      </c>
      <c r="NA417">
        <v>110755</v>
      </c>
      <c r="NB417">
        <v>36612</v>
      </c>
      <c r="NC417">
        <v>76113</v>
      </c>
      <c r="ND417">
        <v>28896</v>
      </c>
      <c r="NE417">
        <v>23144</v>
      </c>
      <c r="NF417">
        <v>16602</v>
      </c>
      <c r="NG417">
        <v>37635</v>
      </c>
      <c r="NH417">
        <v>32762</v>
      </c>
      <c r="NI417">
        <v>27511</v>
      </c>
      <c r="NJ417">
        <v>12292</v>
      </c>
      <c r="NK417">
        <v>16020</v>
      </c>
      <c r="NL417">
        <v>20646</v>
      </c>
      <c r="NM417">
        <v>50285</v>
      </c>
      <c r="NN417">
        <v>176299</v>
      </c>
      <c r="NO417">
        <v>219237</v>
      </c>
      <c r="NP417">
        <v>156107</v>
      </c>
      <c r="NQ417">
        <v>65755</v>
      </c>
      <c r="NR417">
        <v>77269</v>
      </c>
      <c r="NS417">
        <v>13645</v>
      </c>
      <c r="NT417">
        <v>25008</v>
      </c>
      <c r="NU417">
        <v>13397</v>
      </c>
      <c r="NV417">
        <v>44825</v>
      </c>
      <c r="NW417">
        <v>14134</v>
      </c>
      <c r="NX417">
        <v>19508</v>
      </c>
      <c r="NY417">
        <v>36207</v>
      </c>
      <c r="NZ417">
        <v>69252</v>
      </c>
      <c r="OA417">
        <v>39214</v>
      </c>
      <c r="OB417">
        <v>62022</v>
      </c>
      <c r="OC417">
        <v>18684</v>
      </c>
      <c r="OD417">
        <v>405619</v>
      </c>
      <c r="OE417">
        <v>296526</v>
      </c>
      <c r="OF417">
        <v>57030</v>
      </c>
      <c r="OG417">
        <v>6563</v>
      </c>
      <c r="OH417">
        <v>714</v>
      </c>
      <c r="OI417">
        <v>808185</v>
      </c>
      <c r="OJ417">
        <v>157195</v>
      </c>
      <c r="OK417">
        <v>579493</v>
      </c>
      <c r="OL417">
        <v>-10069</v>
      </c>
      <c r="OM417">
        <v>29491</v>
      </c>
      <c r="ON417">
        <v>125103</v>
      </c>
      <c r="OO417">
        <v>19612103</v>
      </c>
    </row>
    <row r="419" spans="1:405" x14ac:dyDescent="0.25">
      <c r="A419" t="s">
        <v>690</v>
      </c>
    </row>
    <row r="438" spans="1:427" x14ac:dyDescent="0.25">
      <c r="A438" s="5" t="s">
        <v>691</v>
      </c>
      <c r="C438" t="str">
        <f>IFERROR(VLOOKUP(C$6&amp;"",Key!$A:$C,3,FALSE),"")</f>
        <v>ISIC 01</v>
      </c>
      <c r="D438" t="str">
        <f>IFERROR(VLOOKUP(D$6&amp;"",Key!$A:$C,3,FALSE),"")</f>
        <v>ISIC 01</v>
      </c>
      <c r="E438" t="str">
        <f>IFERROR(VLOOKUP(E$6&amp;"",Key!$A:$C,3,FALSE),"")</f>
        <v>ISIC 01</v>
      </c>
      <c r="F438" t="str">
        <f>IFERROR(VLOOKUP(F$6&amp;"",Key!$A:$C,3,FALSE),"")</f>
        <v>ISIC 01</v>
      </c>
      <c r="G438" t="str">
        <f>IFERROR(VLOOKUP(G$6&amp;"",Key!$A:$C,3,FALSE),"")</f>
        <v>ISIC 01</v>
      </c>
      <c r="H438" t="str">
        <f>IFERROR(VLOOKUP(H$6&amp;"",Key!$A:$C,3,FALSE),"")</f>
        <v>ISIC 01</v>
      </c>
      <c r="I438" t="str">
        <f>IFERROR(VLOOKUP(I$6&amp;"",Key!$A:$C,3,FALSE),"")</f>
        <v>ISIC 01</v>
      </c>
      <c r="J438" t="str">
        <f>IFERROR(VLOOKUP(J$6&amp;"",Key!$A:$C,3,FALSE),"")</f>
        <v>ISIC 01</v>
      </c>
      <c r="K438" t="str">
        <f>IFERROR(VLOOKUP(K$6&amp;"",Key!$A:$C,3,FALSE),"")</f>
        <v>ISIC 01</v>
      </c>
      <c r="L438" t="str">
        <f>IFERROR(VLOOKUP(L$6&amp;"",Key!$A:$C,3,FALSE),"")</f>
        <v>ISIC 01</v>
      </c>
      <c r="M438" t="str">
        <f>IFERROR(VLOOKUP(M$6&amp;"",Key!$A:$C,3,FALSE),"")</f>
        <v>ISIC 02</v>
      </c>
      <c r="N438" t="str">
        <f>IFERROR(VLOOKUP(N$6&amp;"",Key!$A:$C,3,FALSE),"")</f>
        <v>ISIC 03</v>
      </c>
      <c r="O438" t="str">
        <f>IFERROR(VLOOKUP(O$6&amp;"",Key!$A:$C,3,FALSE),"")</f>
        <v>ISIC 01</v>
      </c>
      <c r="P438" t="str">
        <f>IFERROR(VLOOKUP(P$6&amp;"",Key!$A:$C,3,FALSE),"")</f>
        <v>ISIC 06</v>
      </c>
      <c r="Q438" t="str">
        <f>IFERROR(VLOOKUP(Q$6&amp;"",Key!$A:$C,3,FALSE),"")</f>
        <v>ISIC 05</v>
      </c>
      <c r="R438" t="str">
        <f>IFERROR(VLOOKUP(R$6&amp;"",Key!$A:$C,3,FALSE),"")</f>
        <v>ISIC 07</v>
      </c>
      <c r="S438" t="str">
        <f>IFERROR(VLOOKUP(S$6&amp;"",Key!$A:$C,3,FALSE),"")</f>
        <v>ISIC 07</v>
      </c>
      <c r="T438" t="str">
        <f>IFERROR(VLOOKUP(T$6&amp;"",Key!$A:$C,3,FALSE),"")</f>
        <v>ISIC 08</v>
      </c>
      <c r="U438" t="str">
        <f>IFERROR(VLOOKUP(U$6&amp;"",Key!$A:$C,3,FALSE),"")</f>
        <v>ISIC 08</v>
      </c>
      <c r="V438" t="str">
        <f>IFERROR(VLOOKUP(V$6&amp;"",Key!$A:$C,3,FALSE),"")</f>
        <v>ISIC 09</v>
      </c>
      <c r="W438" t="str">
        <f>IFERROR(VLOOKUP(W$6&amp;"",Key!$A:$C,3,FALSE),"")</f>
        <v>ISIC 09</v>
      </c>
      <c r="X438" t="str">
        <f>IFERROR(VLOOKUP(X$6&amp;"",Key!$A:$C,3,FALSE),"")</f>
        <v>ISIC 351</v>
      </c>
      <c r="Y438" t="str">
        <f>IFERROR(VLOOKUP(Y$6&amp;"",Key!$A:$C,3,FALSE),"")</f>
        <v>ISIC 352T353</v>
      </c>
      <c r="Z438" t="str">
        <f>IFERROR(VLOOKUP(Z$6&amp;"",Key!$A:$C,3,FALSE),"")</f>
        <v>ISIC 36T39</v>
      </c>
      <c r="AA438" t="str">
        <f>IFERROR(VLOOKUP(AA$6&amp;"",Key!$A:$C,3,FALSE),"")</f>
        <v>ISIC 41T43</v>
      </c>
      <c r="AB438" t="str">
        <f>IFERROR(VLOOKUP(AB$6&amp;"",Key!$A:$C,3,FALSE),"")</f>
        <v>ISIC 41T43</v>
      </c>
      <c r="AC438" t="str">
        <f>IFERROR(VLOOKUP(AC$6&amp;"",Key!$A:$C,3,FALSE),"")</f>
        <v>ISIC 41T43</v>
      </c>
      <c r="AD438" t="str">
        <f>IFERROR(VLOOKUP(AD$6&amp;"",Key!$A:$C,3,FALSE),"")</f>
        <v>ISIC 41T43</v>
      </c>
      <c r="AE438" t="str">
        <f>IFERROR(VLOOKUP(AE$6&amp;"",Key!$A:$C,3,FALSE),"")</f>
        <v>ISIC 41T43</v>
      </c>
      <c r="AF438" t="str">
        <f>IFERROR(VLOOKUP(AF$6&amp;"",Key!$A:$C,3,FALSE),"")</f>
        <v>ISIC 41T43</v>
      </c>
      <c r="AG438" t="str">
        <f>IFERROR(VLOOKUP(AG$6&amp;"",Key!$A:$C,3,FALSE),"")</f>
        <v>ISIC 41T43</v>
      </c>
      <c r="AH438" t="str">
        <f>IFERROR(VLOOKUP(AH$6&amp;"",Key!$A:$C,3,FALSE),"")</f>
        <v>ISIC 41T43</v>
      </c>
      <c r="AI438" t="str">
        <f>IFERROR(VLOOKUP(AI$6&amp;"",Key!$A:$C,3,FALSE),"")</f>
        <v>ISIC 41T43</v>
      </c>
      <c r="AJ438" t="str">
        <f>IFERROR(VLOOKUP(AJ$6&amp;"",Key!$A:$C,3,FALSE),"")</f>
        <v>ISIC 41T43</v>
      </c>
      <c r="AK438" t="str">
        <f>IFERROR(VLOOKUP(AK$6&amp;"",Key!$A:$C,3,FALSE),"")</f>
        <v>ISIC 41T43</v>
      </c>
      <c r="AL438" t="str">
        <f>IFERROR(VLOOKUP(AL$6&amp;"",Key!$A:$C,3,FALSE),"")</f>
        <v>ISIC 41T43</v>
      </c>
      <c r="AM438" t="str">
        <f>IFERROR(VLOOKUP(AM$6&amp;"",Key!$A:$C,3,FALSE),"")</f>
        <v>ISIC 16</v>
      </c>
      <c r="AN438" t="str">
        <f>IFERROR(VLOOKUP(AN$6&amp;"",Key!$A:$C,3,FALSE),"")</f>
        <v>ISIC 16</v>
      </c>
      <c r="AO438" t="str">
        <f>IFERROR(VLOOKUP(AO$6&amp;"",Key!$A:$C,3,FALSE),"")</f>
        <v>ISIC 16</v>
      </c>
      <c r="AP438" t="str">
        <f>IFERROR(VLOOKUP(AP$6&amp;"",Key!$A:$C,3,FALSE),"")</f>
        <v>ISIC 16</v>
      </c>
      <c r="AQ438" t="str">
        <f>IFERROR(VLOOKUP(AQ$6&amp;"",Key!$A:$C,3,FALSE),"")</f>
        <v>ISIC 239</v>
      </c>
      <c r="AR438" t="str">
        <f>IFERROR(VLOOKUP(AR$6&amp;"",Key!$A:$C,3,FALSE),"")</f>
        <v>ISIC 231</v>
      </c>
      <c r="AS438" t="str">
        <f>IFERROR(VLOOKUP(AS$6&amp;"",Key!$A:$C,3,FALSE),"")</f>
        <v>ISIC 239</v>
      </c>
      <c r="AT438" t="str">
        <f>IFERROR(VLOOKUP(AT$6&amp;"",Key!$A:$C,3,FALSE),"")</f>
        <v>ISIC 239</v>
      </c>
      <c r="AU438" t="str">
        <f>IFERROR(VLOOKUP(AU$6&amp;"",Key!$A:$C,3,FALSE),"")</f>
        <v>ISIC 239</v>
      </c>
      <c r="AV438" t="str">
        <f>IFERROR(VLOOKUP(AV$6&amp;"",Key!$A:$C,3,FALSE),"")</f>
        <v>ISIC 239</v>
      </c>
      <c r="AW438" t="str">
        <f>IFERROR(VLOOKUP(AW$6&amp;"",Key!$A:$C,3,FALSE),"")</f>
        <v>ISIC 239</v>
      </c>
      <c r="AX438" t="str">
        <f>IFERROR(VLOOKUP(AX$6&amp;"",Key!$A:$C,3,FALSE),"")</f>
        <v>ISIC 239</v>
      </c>
      <c r="AY438" t="str">
        <f>IFERROR(VLOOKUP(AY$6&amp;"",Key!$A:$C,3,FALSE),"")</f>
        <v>ISIC 239</v>
      </c>
      <c r="AZ438" t="str">
        <f>IFERROR(VLOOKUP(AZ$6&amp;"",Key!$A:$C,3,FALSE),"")</f>
        <v>ISIC 239</v>
      </c>
      <c r="BA438" t="str">
        <f>IFERROR(VLOOKUP(BA$6&amp;"",Key!$A:$C,3,FALSE),"")</f>
        <v>ISIC 239</v>
      </c>
      <c r="BB438" t="str">
        <f>IFERROR(VLOOKUP(BB$6&amp;"",Key!$A:$C,3,FALSE),"")</f>
        <v>ISIC 239</v>
      </c>
      <c r="BC438" t="str">
        <f>IFERROR(VLOOKUP(BC$6&amp;"",Key!$A:$C,3,FALSE),"")</f>
        <v>ISIC 241</v>
      </c>
      <c r="BD438" t="str">
        <f>IFERROR(VLOOKUP(BD$6&amp;"",Key!$A:$C,3,FALSE),"")</f>
        <v>ISIC 241</v>
      </c>
      <c r="BE438" t="str">
        <f>IFERROR(VLOOKUP(BE$6&amp;"",Key!$A:$C,3,FALSE),"")</f>
        <v>ISIC 242</v>
      </c>
      <c r="BF438" t="str">
        <f>IFERROR(VLOOKUP(BF$6&amp;"",Key!$A:$C,3,FALSE),"")</f>
        <v>ISIC 242</v>
      </c>
      <c r="BG438" t="str">
        <f>IFERROR(VLOOKUP(BG$6&amp;"",Key!$A:$C,3,FALSE),"")</f>
        <v>ISIC 242</v>
      </c>
      <c r="BH438" t="str">
        <f>IFERROR(VLOOKUP(BH$6&amp;"",Key!$A:$C,3,FALSE),"")</f>
        <v>ISIC 242</v>
      </c>
      <c r="BI438" t="str">
        <f>IFERROR(VLOOKUP(BI$6&amp;"",Key!$A:$C,3,FALSE),"")</f>
        <v>ISIC 242</v>
      </c>
      <c r="BJ438" t="str">
        <f>IFERROR(VLOOKUP(BJ$6&amp;"",Key!$A:$C,3,FALSE),"")</f>
        <v>ISIC 242</v>
      </c>
      <c r="BK438" t="str">
        <f>IFERROR(VLOOKUP(BK$6&amp;"",Key!$A:$C,3,FALSE),"")</f>
        <v>ISIC 241</v>
      </c>
      <c r="BL438" t="str">
        <f>IFERROR(VLOOKUP(BL$6&amp;"",Key!$A:$C,3,FALSE),"")</f>
        <v>ISIC 242</v>
      </c>
      <c r="BM438" t="str">
        <f>IFERROR(VLOOKUP(BM$6&amp;"",Key!$A:$C,3,FALSE),"")</f>
        <v>ISIC 25</v>
      </c>
      <c r="BN438" t="str">
        <f>IFERROR(VLOOKUP(BN$6&amp;"",Key!$A:$C,3,FALSE),"")</f>
        <v>ISIC 25</v>
      </c>
      <c r="BO438" t="str">
        <f>IFERROR(VLOOKUP(BO$6&amp;"",Key!$A:$C,3,FALSE),"")</f>
        <v>ISIC 25</v>
      </c>
      <c r="BP438" t="str">
        <f>IFERROR(VLOOKUP(BP$6&amp;"",Key!$A:$C,3,FALSE),"")</f>
        <v>ISIC 25</v>
      </c>
      <c r="BQ438" t="str">
        <f>IFERROR(VLOOKUP(BQ$6&amp;"",Key!$A:$C,3,FALSE),"")</f>
        <v>ISIC 25</v>
      </c>
      <c r="BR438" t="str">
        <f>IFERROR(VLOOKUP(BR$6&amp;"",Key!$A:$C,3,FALSE),"")</f>
        <v>ISIC 25</v>
      </c>
      <c r="BS438" t="str">
        <f>IFERROR(VLOOKUP(BS$6&amp;"",Key!$A:$C,3,FALSE),"")</f>
        <v>ISIC 25</v>
      </c>
      <c r="BT438" t="str">
        <f>IFERROR(VLOOKUP(BT$6&amp;"",Key!$A:$C,3,FALSE),"")</f>
        <v>ISIC 25</v>
      </c>
      <c r="BU438" t="str">
        <f>IFERROR(VLOOKUP(BU$6&amp;"",Key!$A:$C,3,FALSE),"")</f>
        <v>ISIC 25</v>
      </c>
      <c r="BV438" t="str">
        <f>IFERROR(VLOOKUP(BV$6&amp;"",Key!$A:$C,3,FALSE),"")</f>
        <v>ISIC 25</v>
      </c>
      <c r="BW438" t="str">
        <f>IFERROR(VLOOKUP(BW$6&amp;"",Key!$A:$C,3,FALSE),"")</f>
        <v>ISIC 25</v>
      </c>
      <c r="BX438" t="str">
        <f>IFERROR(VLOOKUP(BX$6&amp;"",Key!$A:$C,3,FALSE),"")</f>
        <v>ISIC 25</v>
      </c>
      <c r="BY438" t="str">
        <f>IFERROR(VLOOKUP(BY$6&amp;"",Key!$A:$C,3,FALSE),"")</f>
        <v>ISIC 25</v>
      </c>
      <c r="BZ438" t="str">
        <f>IFERROR(VLOOKUP(BZ$6&amp;"",Key!$A:$C,3,FALSE),"")</f>
        <v>ISIC 25</v>
      </c>
      <c r="CA438" t="str">
        <f>IFERROR(VLOOKUP(CA$6&amp;"",Key!$A:$C,3,FALSE),"")</f>
        <v>ISIC 25</v>
      </c>
      <c r="CB438" t="str">
        <f>IFERROR(VLOOKUP(CB$6&amp;"",Key!$A:$C,3,FALSE),"")</f>
        <v>ISIC 25</v>
      </c>
      <c r="CC438" t="str">
        <f>IFERROR(VLOOKUP(CC$6&amp;"",Key!$A:$C,3,FALSE),"")</f>
        <v>ISIC 25</v>
      </c>
      <c r="CD438" t="str">
        <f>IFERROR(VLOOKUP(CD$6&amp;"",Key!$A:$C,3,FALSE),"")</f>
        <v>ISIC 25</v>
      </c>
      <c r="CE438" t="str">
        <f>IFERROR(VLOOKUP(CE$6&amp;"",Key!$A:$C,3,FALSE),"")</f>
        <v>ISIC 25</v>
      </c>
      <c r="CF438" t="str">
        <f>IFERROR(VLOOKUP(CF$6&amp;"",Key!$A:$C,3,FALSE),"")</f>
        <v>ISIC 25</v>
      </c>
      <c r="CG438" t="str">
        <f>IFERROR(VLOOKUP(CG$6&amp;"",Key!$A:$C,3,FALSE),"")</f>
        <v>ISIC 28</v>
      </c>
      <c r="CH438" t="str">
        <f>IFERROR(VLOOKUP(CH$6&amp;"",Key!$A:$C,3,FALSE),"")</f>
        <v>ISIC 28</v>
      </c>
      <c r="CI438" t="str">
        <f>IFERROR(VLOOKUP(CI$6&amp;"",Key!$A:$C,3,FALSE),"")</f>
        <v>ISIC 28</v>
      </c>
      <c r="CJ438" t="str">
        <f>IFERROR(VLOOKUP(CJ$6&amp;"",Key!$A:$C,3,FALSE),"")</f>
        <v>ISIC 28</v>
      </c>
      <c r="CK438" t="str">
        <f>IFERROR(VLOOKUP(CK$6&amp;"",Key!$A:$C,3,FALSE),"")</f>
        <v>ISIC 28</v>
      </c>
      <c r="CL438" t="str">
        <f>IFERROR(VLOOKUP(CL$6&amp;"",Key!$A:$C,3,FALSE),"")</f>
        <v>ISIC 28</v>
      </c>
      <c r="CM438" t="str">
        <f>IFERROR(VLOOKUP(CM$6&amp;"",Key!$A:$C,3,FALSE),"")</f>
        <v>ISIC 28</v>
      </c>
      <c r="CN438" t="str">
        <f>IFERROR(VLOOKUP(CN$6&amp;"",Key!$A:$C,3,FALSE),"")</f>
        <v>ISIC 28</v>
      </c>
      <c r="CO438" t="str">
        <f>IFERROR(VLOOKUP(CO$6&amp;"",Key!$A:$C,3,FALSE),"")</f>
        <v>ISIC 28</v>
      </c>
      <c r="CP438" t="str">
        <f>IFERROR(VLOOKUP(CP$6&amp;"",Key!$A:$C,3,FALSE),"")</f>
        <v>ISIC 28</v>
      </c>
      <c r="CQ438" t="str">
        <f>IFERROR(VLOOKUP(CQ$6&amp;"",Key!$A:$C,3,FALSE),"")</f>
        <v>ISIC 28</v>
      </c>
      <c r="CR438" t="str">
        <f>IFERROR(VLOOKUP(CR$6&amp;"",Key!$A:$C,3,FALSE),"")</f>
        <v>ISIC 28</v>
      </c>
      <c r="CS438" t="str">
        <f>IFERROR(VLOOKUP(CS$6&amp;"",Key!$A:$C,3,FALSE),"")</f>
        <v>ISIC 28</v>
      </c>
      <c r="CT438" t="str">
        <f>IFERROR(VLOOKUP(CT$6&amp;"",Key!$A:$C,3,FALSE),"")</f>
        <v>ISIC 28</v>
      </c>
      <c r="CU438" t="str">
        <f>IFERROR(VLOOKUP(CU$6&amp;"",Key!$A:$C,3,FALSE),"")</f>
        <v>ISIC 28</v>
      </c>
      <c r="CV438" t="str">
        <f>IFERROR(VLOOKUP(CV$6&amp;"",Key!$A:$C,3,FALSE),"")</f>
        <v>ISIC 28</v>
      </c>
      <c r="CW438" t="str">
        <f>IFERROR(VLOOKUP(CW$6&amp;"",Key!$A:$C,3,FALSE),"")</f>
        <v>ISIC 28</v>
      </c>
      <c r="CX438" t="str">
        <f>IFERROR(VLOOKUP(CX$6&amp;"",Key!$A:$C,3,FALSE),"")</f>
        <v>ISIC 28</v>
      </c>
      <c r="CY438" t="str">
        <f>IFERROR(VLOOKUP(CY$6&amp;"",Key!$A:$C,3,FALSE),"")</f>
        <v>ISIC 28</v>
      </c>
      <c r="CZ438" t="str">
        <f>IFERROR(VLOOKUP(CZ$6&amp;"",Key!$A:$C,3,FALSE),"")</f>
        <v>ISIC 28</v>
      </c>
      <c r="DA438" t="str">
        <f>IFERROR(VLOOKUP(DA$6&amp;"",Key!$A:$C,3,FALSE),"")</f>
        <v>ISIC 28</v>
      </c>
      <c r="DB438" t="str">
        <f>IFERROR(VLOOKUP(DB$6&amp;"",Key!$A:$C,3,FALSE),"")</f>
        <v>ISIC 28</v>
      </c>
      <c r="DC438" t="str">
        <f>IFERROR(VLOOKUP(DC$6&amp;"",Key!$A:$C,3,FALSE),"")</f>
        <v>ISIC 28</v>
      </c>
      <c r="DD438" t="str">
        <f>IFERROR(VLOOKUP(DD$6&amp;"",Key!$A:$C,3,FALSE),"")</f>
        <v>ISIC 28</v>
      </c>
      <c r="DE438" t="str">
        <f>IFERROR(VLOOKUP(DE$6&amp;"",Key!$A:$C,3,FALSE),"")</f>
        <v>ISIC 28</v>
      </c>
      <c r="DF438" t="str">
        <f>IFERROR(VLOOKUP(DF$6&amp;"",Key!$A:$C,3,FALSE),"")</f>
        <v>ISIC 28</v>
      </c>
      <c r="DG438" t="str">
        <f>IFERROR(VLOOKUP(DG$6&amp;"",Key!$A:$C,3,FALSE),"")</f>
        <v>ISIC 28</v>
      </c>
      <c r="DH438" t="str">
        <f>IFERROR(VLOOKUP(DH$6&amp;"",Key!$A:$C,3,FALSE),"")</f>
        <v>ISIC 28</v>
      </c>
      <c r="DI438" t="str">
        <f>IFERROR(VLOOKUP(DI$6&amp;"",Key!$A:$C,3,FALSE),"")</f>
        <v>ISIC 26</v>
      </c>
      <c r="DJ438" t="str">
        <f>IFERROR(VLOOKUP(DJ$6&amp;"",Key!$A:$C,3,FALSE),"")</f>
        <v>ISIC 26</v>
      </c>
      <c r="DK438" t="str">
        <f>IFERROR(VLOOKUP(DK$6&amp;"",Key!$A:$C,3,FALSE),"")</f>
        <v>ISIC 26</v>
      </c>
      <c r="DL438" t="str">
        <f>IFERROR(VLOOKUP(DL$6&amp;"",Key!$A:$C,3,FALSE),"")</f>
        <v>ISIC 26</v>
      </c>
      <c r="DM438" t="str">
        <f>IFERROR(VLOOKUP(DM$6&amp;"",Key!$A:$C,3,FALSE),"")</f>
        <v>ISIC 26</v>
      </c>
      <c r="DN438" t="str">
        <f>IFERROR(VLOOKUP(DN$6&amp;"",Key!$A:$C,3,FALSE),"")</f>
        <v>ISIC 26</v>
      </c>
      <c r="DO438" t="str">
        <f>IFERROR(VLOOKUP(DO$6&amp;"",Key!$A:$C,3,FALSE),"")</f>
        <v>ISIC 26</v>
      </c>
      <c r="DP438" t="str">
        <f>IFERROR(VLOOKUP(DP$6&amp;"",Key!$A:$C,3,FALSE),"")</f>
        <v>ISIC 26</v>
      </c>
      <c r="DQ438" t="str">
        <f>IFERROR(VLOOKUP(DQ$6&amp;"",Key!$A:$C,3,FALSE),"")</f>
        <v>ISIC 26</v>
      </c>
      <c r="DR438" t="str">
        <f>IFERROR(VLOOKUP(DR$6&amp;"",Key!$A:$C,3,FALSE),"")</f>
        <v>ISIC 26</v>
      </c>
      <c r="DS438" t="str">
        <f>IFERROR(VLOOKUP(DS$6&amp;"",Key!$A:$C,3,FALSE),"")</f>
        <v>ISIC 26</v>
      </c>
      <c r="DT438" t="str">
        <f>IFERROR(VLOOKUP(DT$6&amp;"",Key!$A:$C,3,FALSE),"")</f>
        <v>ISIC 26</v>
      </c>
      <c r="DU438" t="str">
        <f>IFERROR(VLOOKUP(DU$6&amp;"",Key!$A:$C,3,FALSE),"")</f>
        <v>ISIC 26</v>
      </c>
      <c r="DV438" t="str">
        <f>IFERROR(VLOOKUP(DV$6&amp;"",Key!$A:$C,3,FALSE),"")</f>
        <v>ISIC 26</v>
      </c>
      <c r="DW438" t="str">
        <f>IFERROR(VLOOKUP(DW$6&amp;"",Key!$A:$C,3,FALSE),"")</f>
        <v>ISIC 26</v>
      </c>
      <c r="DX438" t="str">
        <f>IFERROR(VLOOKUP(DX$6&amp;"",Key!$A:$C,3,FALSE),"")</f>
        <v>ISIC 26</v>
      </c>
      <c r="DY438" t="str">
        <f>IFERROR(VLOOKUP(DY$6&amp;"",Key!$A:$C,3,FALSE),"")</f>
        <v>ISIC 26</v>
      </c>
      <c r="DZ438" t="str">
        <f>IFERROR(VLOOKUP(DZ$6&amp;"",Key!$A:$C,3,FALSE),"")</f>
        <v>ISIC 26</v>
      </c>
      <c r="EA438" t="str">
        <f>IFERROR(VLOOKUP(EA$6&amp;"",Key!$A:$C,3,FALSE),"")</f>
        <v>ISIC 26</v>
      </c>
      <c r="EB438" t="str">
        <f>IFERROR(VLOOKUP(EB$6&amp;"",Key!$A:$C,3,FALSE),"")</f>
        <v>ISIC 26</v>
      </c>
      <c r="EC438" t="str">
        <f>IFERROR(VLOOKUP(EC$6&amp;"",Key!$A:$C,3,FALSE),"")</f>
        <v>ISIC 27</v>
      </c>
      <c r="ED438" t="str">
        <f>IFERROR(VLOOKUP(ED$6&amp;"",Key!$A:$C,3,FALSE),"")</f>
        <v>ISIC 27</v>
      </c>
      <c r="EE438" t="str">
        <f>IFERROR(VLOOKUP(EE$6&amp;"",Key!$A:$C,3,FALSE),"")</f>
        <v>ISIC 27</v>
      </c>
      <c r="EF438" t="str">
        <f>IFERROR(VLOOKUP(EF$6&amp;"",Key!$A:$C,3,FALSE),"")</f>
        <v>ISIC 27</v>
      </c>
      <c r="EG438" t="str">
        <f>IFERROR(VLOOKUP(EG$6&amp;"",Key!$A:$C,3,FALSE),"")</f>
        <v>ISIC 27</v>
      </c>
      <c r="EH438" t="str">
        <f>IFERROR(VLOOKUP(EH$6&amp;"",Key!$A:$C,3,FALSE),"")</f>
        <v>ISIC 27</v>
      </c>
      <c r="EI438" t="str">
        <f>IFERROR(VLOOKUP(EI$6&amp;"",Key!$A:$C,3,FALSE),"")</f>
        <v>ISIC 27</v>
      </c>
      <c r="EJ438" t="str">
        <f>IFERROR(VLOOKUP(EJ$6&amp;"",Key!$A:$C,3,FALSE),"")</f>
        <v>ISIC 27</v>
      </c>
      <c r="EK438" t="str">
        <f>IFERROR(VLOOKUP(EK$6&amp;"",Key!$A:$C,3,FALSE),"")</f>
        <v>ISIC 27</v>
      </c>
      <c r="EL438" t="str">
        <f>IFERROR(VLOOKUP(EL$6&amp;"",Key!$A:$C,3,FALSE),"")</f>
        <v>ISIC 27</v>
      </c>
      <c r="EM438" t="str">
        <f>IFERROR(VLOOKUP(EM$6&amp;"",Key!$A:$C,3,FALSE),"")</f>
        <v>ISIC 27</v>
      </c>
      <c r="EN438" t="str">
        <f>IFERROR(VLOOKUP(EN$6&amp;"",Key!$A:$C,3,FALSE),"")</f>
        <v>ISIC 27</v>
      </c>
      <c r="EO438" t="str">
        <f>IFERROR(VLOOKUP(EO$6&amp;"",Key!$A:$C,3,FALSE),"")</f>
        <v>ISIC 27</v>
      </c>
      <c r="EP438" t="str">
        <f>IFERROR(VLOOKUP(EP$6&amp;"",Key!$A:$C,3,FALSE),"")</f>
        <v>ISIC 27</v>
      </c>
      <c r="EQ438" t="str">
        <f>IFERROR(VLOOKUP(EQ$6&amp;"",Key!$A:$C,3,FALSE),"")</f>
        <v>ISIC 29</v>
      </c>
      <c r="ER438" t="str">
        <f>IFERROR(VLOOKUP(ER$6&amp;"",Key!$A:$C,3,FALSE),"")</f>
        <v>ISIC 29</v>
      </c>
      <c r="ES438" t="str">
        <f>IFERROR(VLOOKUP(ES$6&amp;"",Key!$A:$C,3,FALSE),"")</f>
        <v>ISIC 29</v>
      </c>
      <c r="ET438" t="str">
        <f>IFERROR(VLOOKUP(ET$6&amp;"",Key!$A:$C,3,FALSE),"")</f>
        <v>ISIC 29</v>
      </c>
      <c r="EU438" t="str">
        <f>IFERROR(VLOOKUP(EU$6&amp;"",Key!$A:$C,3,FALSE),"")</f>
        <v>ISIC 29</v>
      </c>
      <c r="EV438" t="str">
        <f>IFERROR(VLOOKUP(EV$6&amp;"",Key!$A:$C,3,FALSE),"")</f>
        <v>ISIC 29</v>
      </c>
      <c r="EW438" t="str">
        <f>IFERROR(VLOOKUP(EW$6&amp;"",Key!$A:$C,3,FALSE),"")</f>
        <v>ISIC 29</v>
      </c>
      <c r="EX438" t="str">
        <f>IFERROR(VLOOKUP(EX$6&amp;"",Key!$A:$C,3,FALSE),"")</f>
        <v>ISIC 29</v>
      </c>
      <c r="EY438" t="str">
        <f>IFERROR(VLOOKUP(EY$6&amp;"",Key!$A:$C,3,FALSE),"")</f>
        <v>ISIC 29</v>
      </c>
      <c r="EZ438" t="str">
        <f>IFERROR(VLOOKUP(EZ$6&amp;"",Key!$A:$C,3,FALSE),"")</f>
        <v>ISIC 29</v>
      </c>
      <c r="FA438" t="str">
        <f>IFERROR(VLOOKUP(FA$6&amp;"",Key!$A:$C,3,FALSE),"")</f>
        <v>ISIC 29</v>
      </c>
      <c r="FB438" t="str">
        <f>IFERROR(VLOOKUP(FB$6&amp;"",Key!$A:$C,3,FALSE),"")</f>
        <v>ISIC 29</v>
      </c>
      <c r="FC438" t="str">
        <f>IFERROR(VLOOKUP(FC$6&amp;"",Key!$A:$C,3,FALSE),"")</f>
        <v>ISIC 29</v>
      </c>
      <c r="FD438" t="str">
        <f>IFERROR(VLOOKUP(FD$6&amp;"",Key!$A:$C,3,FALSE),"")</f>
        <v>ISIC 29</v>
      </c>
      <c r="FE438" t="str">
        <f>IFERROR(VLOOKUP(FE$6&amp;"",Key!$A:$C,3,FALSE),"")</f>
        <v>ISIC 302T309</v>
      </c>
      <c r="FF438" t="str">
        <f>IFERROR(VLOOKUP(FF$6&amp;"",Key!$A:$C,3,FALSE),"")</f>
        <v>ISIC 302T309</v>
      </c>
      <c r="FG438" t="str">
        <f>IFERROR(VLOOKUP(FG$6&amp;"",Key!$A:$C,3,FALSE),"")</f>
        <v>ISIC 302T309</v>
      </c>
      <c r="FH438" t="str">
        <f>IFERROR(VLOOKUP(FH$6&amp;"",Key!$A:$C,3,FALSE),"")</f>
        <v>ISIC 302T309</v>
      </c>
      <c r="FI438" t="str">
        <f>IFERROR(VLOOKUP(FI$6&amp;"",Key!$A:$C,3,FALSE),"")</f>
        <v>ISIC 302T309</v>
      </c>
      <c r="FJ438" t="str">
        <f>IFERROR(VLOOKUP(FJ$6&amp;"",Key!$A:$C,3,FALSE),"")</f>
        <v>ISIC 302T309</v>
      </c>
      <c r="FK438" t="str">
        <f>IFERROR(VLOOKUP(FK$6&amp;"",Key!$A:$C,3,FALSE),"")</f>
        <v>ISIC 301</v>
      </c>
      <c r="FL438" t="str">
        <f>IFERROR(VLOOKUP(FL$6&amp;"",Key!$A:$C,3,FALSE),"")</f>
        <v>ISIC 301</v>
      </c>
      <c r="FM438" t="str">
        <f>IFERROR(VLOOKUP(FM$6&amp;"",Key!$A:$C,3,FALSE),"")</f>
        <v>ISIC 302T309</v>
      </c>
      <c r="FN438" t="str">
        <f>IFERROR(VLOOKUP(FN$6&amp;"",Key!$A:$C,3,FALSE),"")</f>
        <v>ISIC 302T309</v>
      </c>
      <c r="FO438" t="str">
        <f>IFERROR(VLOOKUP(FO$6&amp;"",Key!$A:$C,3,FALSE),"")</f>
        <v>ISIC 302T309</v>
      </c>
      <c r="FP438" t="str">
        <f>IFERROR(VLOOKUP(FP$6&amp;"",Key!$A:$C,3,FALSE),"")</f>
        <v>ISIC 31T33</v>
      </c>
      <c r="FQ438" t="str">
        <f>IFERROR(VLOOKUP(FQ$6&amp;"",Key!$A:$C,3,FALSE),"")</f>
        <v>ISIC 31T33</v>
      </c>
      <c r="FR438" t="str">
        <f>IFERROR(VLOOKUP(FR$6&amp;"",Key!$A:$C,3,FALSE),"")</f>
        <v>ISIC 31T33</v>
      </c>
      <c r="FS438" t="str">
        <f>IFERROR(VLOOKUP(FS$6&amp;"",Key!$A:$C,3,FALSE),"")</f>
        <v>ISIC 31T33</v>
      </c>
      <c r="FT438" t="str">
        <f>IFERROR(VLOOKUP(FT$6&amp;"",Key!$A:$C,3,FALSE),"")</f>
        <v>ISIC 31T33</v>
      </c>
      <c r="FU438" t="str">
        <f>IFERROR(VLOOKUP(FU$6&amp;"",Key!$A:$C,3,FALSE),"")</f>
        <v>ISIC 31T33</v>
      </c>
      <c r="FV438" t="str">
        <f>IFERROR(VLOOKUP(FV$6&amp;"",Key!$A:$C,3,FALSE),"")</f>
        <v>ISIC 31T33</v>
      </c>
      <c r="FW438" t="str">
        <f>IFERROR(VLOOKUP(FW$6&amp;"",Key!$A:$C,3,FALSE),"")</f>
        <v>ISIC 31T33</v>
      </c>
      <c r="FX438" t="str">
        <f>IFERROR(VLOOKUP(FX$6&amp;"",Key!$A:$C,3,FALSE),"")</f>
        <v>ISIC 31T33</v>
      </c>
      <c r="FY438" t="str">
        <f>IFERROR(VLOOKUP(FY$6&amp;"",Key!$A:$C,3,FALSE),"")</f>
        <v>ISIC 31T33</v>
      </c>
      <c r="FZ438" t="str">
        <f>IFERROR(VLOOKUP(FZ$6&amp;"",Key!$A:$C,3,FALSE),"")</f>
        <v>ISIC 31T33</v>
      </c>
      <c r="GA438" t="str">
        <f>IFERROR(VLOOKUP(GA$6&amp;"",Key!$A:$C,3,FALSE),"")</f>
        <v>ISIC 31T33</v>
      </c>
      <c r="GB438" t="str">
        <f>IFERROR(VLOOKUP(GB$6&amp;"",Key!$A:$C,3,FALSE),"")</f>
        <v>ISIC 31T33</v>
      </c>
      <c r="GC438" t="str">
        <f>IFERROR(VLOOKUP(GC$6&amp;"",Key!$A:$C,3,FALSE),"")</f>
        <v>ISIC 31T33</v>
      </c>
      <c r="GD438" t="str">
        <f>IFERROR(VLOOKUP(GD$6&amp;"",Key!$A:$C,3,FALSE),"")</f>
        <v>ISIC 31T33</v>
      </c>
      <c r="GE438" t="str">
        <f>IFERROR(VLOOKUP(GE$6&amp;"",Key!$A:$C,3,FALSE),"")</f>
        <v>ISIC 31T33</v>
      </c>
      <c r="GF438" t="str">
        <f>IFERROR(VLOOKUP(GF$6&amp;"",Key!$A:$C,3,FALSE),"")</f>
        <v>ISIC 31T33</v>
      </c>
      <c r="GG438" t="str">
        <f>IFERROR(VLOOKUP(GG$6&amp;"",Key!$A:$C,3,FALSE),"")</f>
        <v>ISIC 31T33</v>
      </c>
      <c r="GH438" t="str">
        <f>IFERROR(VLOOKUP(GH$6&amp;"",Key!$A:$C,3,FALSE),"")</f>
        <v>ISIC 31T33</v>
      </c>
      <c r="GI438" t="str">
        <f>IFERROR(VLOOKUP(GI$6&amp;"",Key!$A:$C,3,FALSE),"")</f>
        <v>ISIC 10T12</v>
      </c>
      <c r="GJ438" t="str">
        <f>IFERROR(VLOOKUP(GJ$6&amp;"",Key!$A:$C,3,FALSE),"")</f>
        <v>ISIC 10T12</v>
      </c>
      <c r="GK438" t="str">
        <f>IFERROR(VLOOKUP(GK$6&amp;"",Key!$A:$C,3,FALSE),"")</f>
        <v>ISIC 10T12</v>
      </c>
      <c r="GL438" t="str">
        <f>IFERROR(VLOOKUP(GL$6&amp;"",Key!$A:$C,3,FALSE),"")</f>
        <v>ISIC 10T12</v>
      </c>
      <c r="GM438" t="str">
        <f>IFERROR(VLOOKUP(GM$6&amp;"",Key!$A:$C,3,FALSE),"")</f>
        <v>ISIC 10T12</v>
      </c>
      <c r="GN438" t="str">
        <f>IFERROR(VLOOKUP(GN$6&amp;"",Key!$A:$C,3,FALSE),"")</f>
        <v>ISIC 10T12</v>
      </c>
      <c r="GO438" t="str">
        <f>IFERROR(VLOOKUP(GO$6&amp;"",Key!$A:$C,3,FALSE),"")</f>
        <v>ISIC 10T12</v>
      </c>
      <c r="GP438" t="str">
        <f>IFERROR(VLOOKUP(GP$6&amp;"",Key!$A:$C,3,FALSE),"")</f>
        <v>ISIC 10T12</v>
      </c>
      <c r="GQ438" t="str">
        <f>IFERROR(VLOOKUP(GQ$6&amp;"",Key!$A:$C,3,FALSE),"")</f>
        <v>ISIC 10T12</v>
      </c>
      <c r="GR438" t="str">
        <f>IFERROR(VLOOKUP(GR$6&amp;"",Key!$A:$C,3,FALSE),"")</f>
        <v>ISIC 10T12</v>
      </c>
      <c r="GS438" t="str">
        <f>IFERROR(VLOOKUP(GS$6&amp;"",Key!$A:$C,3,FALSE),"")</f>
        <v>ISIC 10T12</v>
      </c>
      <c r="GT438" t="str">
        <f>IFERROR(VLOOKUP(GT$6&amp;"",Key!$A:$C,3,FALSE),"")</f>
        <v>ISIC 10T12</v>
      </c>
      <c r="GU438" t="str">
        <f>IFERROR(VLOOKUP(GU$6&amp;"",Key!$A:$C,3,FALSE),"")</f>
        <v>ISIC 10T12</v>
      </c>
      <c r="GV438" t="str">
        <f>IFERROR(VLOOKUP(GV$6&amp;"",Key!$A:$C,3,FALSE),"")</f>
        <v>ISIC 10T12</v>
      </c>
      <c r="GW438" t="str">
        <f>IFERROR(VLOOKUP(GW$6&amp;"",Key!$A:$C,3,FALSE),"")</f>
        <v>ISIC 10T12</v>
      </c>
      <c r="GX438" t="str">
        <f>IFERROR(VLOOKUP(GX$6&amp;"",Key!$A:$C,3,FALSE),"")</f>
        <v>ISIC 10T12</v>
      </c>
      <c r="GY438" t="str">
        <f>IFERROR(VLOOKUP(GY$6&amp;"",Key!$A:$C,3,FALSE),"")</f>
        <v>ISIC 10T12</v>
      </c>
      <c r="GZ438" t="str">
        <f>IFERROR(VLOOKUP(GZ$6&amp;"",Key!$A:$C,3,FALSE),"")</f>
        <v>ISIC 10T12</v>
      </c>
      <c r="HA438" t="str">
        <f>IFERROR(VLOOKUP(HA$6&amp;"",Key!$A:$C,3,FALSE),"")</f>
        <v>ISIC 10T12</v>
      </c>
      <c r="HB438" t="str">
        <f>IFERROR(VLOOKUP(HB$6&amp;"",Key!$A:$C,3,FALSE),"")</f>
        <v>ISIC 10T12</v>
      </c>
      <c r="HC438" t="str">
        <f>IFERROR(VLOOKUP(HC$6&amp;"",Key!$A:$C,3,FALSE),"")</f>
        <v>ISIC 10T12</v>
      </c>
      <c r="HD438" t="str">
        <f>IFERROR(VLOOKUP(HD$6&amp;"",Key!$A:$C,3,FALSE),"")</f>
        <v>ISIC 10T12</v>
      </c>
      <c r="HE438" t="str">
        <f>IFERROR(VLOOKUP(HE$6&amp;"",Key!$A:$C,3,FALSE),"")</f>
        <v>ISIC 10T12</v>
      </c>
      <c r="HF438" t="str">
        <f>IFERROR(VLOOKUP(HF$6&amp;"",Key!$A:$C,3,FALSE),"")</f>
        <v>ISIC 10T12</v>
      </c>
      <c r="HG438" t="str">
        <f>IFERROR(VLOOKUP(HG$6&amp;"",Key!$A:$C,3,FALSE),"")</f>
        <v>ISIC 10T12</v>
      </c>
      <c r="HH438" t="str">
        <f>IFERROR(VLOOKUP(HH$6&amp;"",Key!$A:$C,3,FALSE),"")</f>
        <v>ISIC 10T12</v>
      </c>
      <c r="HI438" t="str">
        <f>IFERROR(VLOOKUP(HI$6&amp;"",Key!$A:$C,3,FALSE),"")</f>
        <v>ISIC 10T12</v>
      </c>
      <c r="HJ438" t="str">
        <f>IFERROR(VLOOKUP(HJ$6&amp;"",Key!$A:$C,3,FALSE),"")</f>
        <v>ISIC 10T12</v>
      </c>
      <c r="HK438" t="str">
        <f>IFERROR(VLOOKUP(HK$6&amp;"",Key!$A:$C,3,FALSE),"")</f>
        <v>ISIC 10T12</v>
      </c>
      <c r="HL438" t="str">
        <f>IFERROR(VLOOKUP(HL$6&amp;"",Key!$A:$C,3,FALSE),"")</f>
        <v>ISIC 13T15</v>
      </c>
      <c r="HM438" t="str">
        <f>IFERROR(VLOOKUP(HM$6&amp;"",Key!$A:$C,3,FALSE),"")</f>
        <v>ISIC 13T15</v>
      </c>
      <c r="HN438" t="str">
        <f>IFERROR(VLOOKUP(HN$6&amp;"",Key!$A:$C,3,FALSE),"")</f>
        <v>ISIC 13T15</v>
      </c>
      <c r="HO438" t="str">
        <f>IFERROR(VLOOKUP(HO$6&amp;"",Key!$A:$C,3,FALSE),"")</f>
        <v>ISIC 13T15</v>
      </c>
      <c r="HP438" t="str">
        <f>IFERROR(VLOOKUP(HP$6&amp;"",Key!$A:$C,3,FALSE),"")</f>
        <v>ISIC 13T15</v>
      </c>
      <c r="HQ438" t="str">
        <f>IFERROR(VLOOKUP(HQ$6&amp;"",Key!$A:$C,3,FALSE),"")</f>
        <v>ISIC 13T15</v>
      </c>
      <c r="HR438" t="str">
        <f>IFERROR(VLOOKUP(HR$6&amp;"",Key!$A:$C,3,FALSE),"")</f>
        <v>ISIC 13T15</v>
      </c>
      <c r="HS438" t="str">
        <f>IFERROR(VLOOKUP(HS$6&amp;"",Key!$A:$C,3,FALSE),"")</f>
        <v>ISIC 13T15</v>
      </c>
      <c r="HT438" t="str">
        <f>IFERROR(VLOOKUP(HT$6&amp;"",Key!$A:$C,3,FALSE),"")</f>
        <v>ISIC 17T18</v>
      </c>
      <c r="HU438" t="str">
        <f>IFERROR(VLOOKUP(HU$6&amp;"",Key!$A:$C,3,FALSE),"")</f>
        <v>ISIC 17T18</v>
      </c>
      <c r="HV438" t="str">
        <f>IFERROR(VLOOKUP(HV$6&amp;"",Key!$A:$C,3,FALSE),"")</f>
        <v>ISIC 17T18</v>
      </c>
      <c r="HW438" t="str">
        <f>IFERROR(VLOOKUP(HW$6&amp;"",Key!$A:$C,3,FALSE),"")</f>
        <v>ISIC 17T18</v>
      </c>
      <c r="HX438" t="str">
        <f>IFERROR(VLOOKUP(HX$6&amp;"",Key!$A:$C,3,FALSE),"")</f>
        <v>ISIC 17T18</v>
      </c>
      <c r="HY438" t="str">
        <f>IFERROR(VLOOKUP(HY$6&amp;"",Key!$A:$C,3,FALSE),"")</f>
        <v>ISIC 17T18</v>
      </c>
      <c r="HZ438" t="str">
        <f>IFERROR(VLOOKUP(HZ$6&amp;"",Key!$A:$C,3,FALSE),"")</f>
        <v>ISIC 17T18</v>
      </c>
      <c r="IA438" t="str">
        <f>IFERROR(VLOOKUP(IA$6&amp;"",Key!$A:$C,3,FALSE),"")</f>
        <v>ISIC 17T18</v>
      </c>
      <c r="IB438" t="str">
        <f>IFERROR(VLOOKUP(IB$6&amp;"",Key!$A:$C,3,FALSE),"")</f>
        <v>ISIC 17T18</v>
      </c>
      <c r="IC438" t="str">
        <f>IFERROR(VLOOKUP(IC$6&amp;"",Key!$A:$C,3,FALSE),"")</f>
        <v>ISIC 17T18</v>
      </c>
      <c r="ID438" t="str">
        <f>IFERROR(VLOOKUP(ID$6&amp;"",Key!$A:$C,3,FALSE),"")</f>
        <v>ISIC 19</v>
      </c>
      <c r="IE438" t="str">
        <f>IFERROR(VLOOKUP(IE$6&amp;"",Key!$A:$C,3,FALSE),"")</f>
        <v>ISIC 19</v>
      </c>
      <c r="IF438" t="str">
        <f>IFERROR(VLOOKUP(IF$6&amp;"",Key!$A:$C,3,FALSE),"")</f>
        <v>ISIC 19</v>
      </c>
      <c r="IG438" t="str">
        <f>IFERROR(VLOOKUP(IG$6&amp;"",Key!$A:$C,3,FALSE),"")</f>
        <v>ISIC 241</v>
      </c>
      <c r="IH438" t="str">
        <f>IFERROR(VLOOKUP(IH$6&amp;"",Key!$A:$C,3,FALSE),"")</f>
        <v>ISIC 20</v>
      </c>
      <c r="II438" t="str">
        <f>IFERROR(VLOOKUP(II$6&amp;"",Key!$A:$C,3,FALSE),"")</f>
        <v>ISIC 20</v>
      </c>
      <c r="IJ438" t="str">
        <f>IFERROR(VLOOKUP(IJ$6&amp;"",Key!$A:$C,3,FALSE),"")</f>
        <v>ISIC 20</v>
      </c>
      <c r="IK438" t="str">
        <f>IFERROR(VLOOKUP(IK$6&amp;"",Key!$A:$C,3,FALSE),"")</f>
        <v>ISIC 20</v>
      </c>
      <c r="IL438" t="str">
        <f>IFERROR(VLOOKUP(IL$6&amp;"",Key!$A:$C,3,FALSE),"")</f>
        <v>ISIC 20</v>
      </c>
      <c r="IM438" t="str">
        <f>IFERROR(VLOOKUP(IM$6&amp;"",Key!$A:$C,3,FALSE),"")</f>
        <v>ISIC 20</v>
      </c>
      <c r="IN438" t="str">
        <f>IFERROR(VLOOKUP(IN$6&amp;"",Key!$A:$C,3,FALSE),"")</f>
        <v>ISIC 20</v>
      </c>
      <c r="IO438" t="str">
        <f>IFERROR(VLOOKUP(IO$6&amp;"",Key!$A:$C,3,FALSE),"")</f>
        <v>ISIC 21</v>
      </c>
      <c r="IP438" t="str">
        <f>IFERROR(VLOOKUP(IP$6&amp;"",Key!$A:$C,3,FALSE),"")</f>
        <v>ISIC 21</v>
      </c>
      <c r="IQ438" t="str">
        <f>IFERROR(VLOOKUP(IQ$6&amp;"",Key!$A:$C,3,FALSE),"")</f>
        <v>ISIC 21</v>
      </c>
      <c r="IR438" t="str">
        <f>IFERROR(VLOOKUP(IR$6&amp;"",Key!$A:$C,3,FALSE),"")</f>
        <v>ISIC 21</v>
      </c>
      <c r="IS438" t="str">
        <f>IFERROR(VLOOKUP(IS$6&amp;"",Key!$A:$C,3,FALSE),"")</f>
        <v>ISIC 20</v>
      </c>
      <c r="IT438" t="str">
        <f>IFERROR(VLOOKUP(IT$6&amp;"",Key!$A:$C,3,FALSE),"")</f>
        <v>ISIC 20</v>
      </c>
      <c r="IU438" t="str">
        <f>IFERROR(VLOOKUP(IU$6&amp;"",Key!$A:$C,3,FALSE),"")</f>
        <v>ISIC 20</v>
      </c>
      <c r="IV438" t="str">
        <f>IFERROR(VLOOKUP(IV$6&amp;"",Key!$A:$C,3,FALSE),"")</f>
        <v>ISIC 20</v>
      </c>
      <c r="IW438" t="str">
        <f>IFERROR(VLOOKUP(IW$6&amp;"",Key!$A:$C,3,FALSE),"")</f>
        <v>ISIC 20</v>
      </c>
      <c r="IX438" t="str">
        <f>IFERROR(VLOOKUP(IX$6&amp;"",Key!$A:$C,3,FALSE),"")</f>
        <v>ISIC 20</v>
      </c>
      <c r="IY438" t="str">
        <f>IFERROR(VLOOKUP(IY$6&amp;"",Key!$A:$C,3,FALSE),"")</f>
        <v>ISIC 20</v>
      </c>
      <c r="IZ438" t="str">
        <f>IFERROR(VLOOKUP(IZ$6&amp;"",Key!$A:$C,3,FALSE),"")</f>
        <v>ISIC 20</v>
      </c>
      <c r="JA438" t="str">
        <f>IFERROR(VLOOKUP(JA$6&amp;"",Key!$A:$C,3,FALSE),"")</f>
        <v>ISIC 22</v>
      </c>
      <c r="JB438" t="str">
        <f>IFERROR(VLOOKUP(JB$6&amp;"",Key!$A:$C,3,FALSE),"")</f>
        <v>ISIC 22</v>
      </c>
      <c r="JC438" t="str">
        <f>IFERROR(VLOOKUP(JC$6&amp;"",Key!$A:$C,3,FALSE),"")</f>
        <v>ISIC 22</v>
      </c>
      <c r="JD438" t="str">
        <f>IFERROR(VLOOKUP(JD$6&amp;"",Key!$A:$C,3,FALSE),"")</f>
        <v>ISIC 22</v>
      </c>
      <c r="JE438" t="str">
        <f>IFERROR(VLOOKUP(JE$6&amp;"",Key!$A:$C,3,FALSE),"")</f>
        <v>ISIC 22</v>
      </c>
      <c r="JF438" t="str">
        <f>IFERROR(VLOOKUP(JF$6&amp;"",Key!$A:$C,3,FALSE),"")</f>
        <v>ISIC 22</v>
      </c>
      <c r="JG438" t="str">
        <f>IFERROR(VLOOKUP(JG$6&amp;"",Key!$A:$C,3,FALSE),"")</f>
        <v>ISIC 22</v>
      </c>
      <c r="JH438" t="str">
        <f>IFERROR(VLOOKUP(JH$6&amp;"",Key!$A:$C,3,FALSE),"")</f>
        <v>ISIC 22</v>
      </c>
      <c r="JI438" t="str">
        <f>IFERROR(VLOOKUP(JI$6&amp;"",Key!$A:$C,3,FALSE),"")</f>
        <v>ISIC 22</v>
      </c>
      <c r="JJ438" t="str">
        <f>IFERROR(VLOOKUP(JJ$6&amp;"",Key!$A:$C,3,FALSE),"")</f>
        <v>ISIC 22</v>
      </c>
      <c r="JK438" t="str">
        <f>IFERROR(VLOOKUP(JK$6&amp;"",Key!$A:$C,3,FALSE),"")</f>
        <v>ISIC 45T47</v>
      </c>
      <c r="JL438" t="str">
        <f>IFERROR(VLOOKUP(JL$6&amp;"",Key!$A:$C,3,FALSE),"")</f>
        <v>ISIC 45T47</v>
      </c>
      <c r="JM438" t="str">
        <f>IFERROR(VLOOKUP(JM$6&amp;"",Key!$A:$C,3,FALSE),"")</f>
        <v>ISIC 45T47</v>
      </c>
      <c r="JN438" t="str">
        <f>IFERROR(VLOOKUP(JN$6&amp;"",Key!$A:$C,3,FALSE),"")</f>
        <v>ISIC 45T47</v>
      </c>
      <c r="JO438" t="str">
        <f>IFERROR(VLOOKUP(JO$6&amp;"",Key!$A:$C,3,FALSE),"")</f>
        <v>ISIC 45T47</v>
      </c>
      <c r="JP438" t="str">
        <f>IFERROR(VLOOKUP(JP$6&amp;"",Key!$A:$C,3,FALSE),"")</f>
        <v>ISIC 45T47</v>
      </c>
      <c r="JQ438" t="str">
        <f>IFERROR(VLOOKUP(JQ$6&amp;"",Key!$A:$C,3,FALSE),"")</f>
        <v>ISIC 45T47</v>
      </c>
      <c r="JR438" t="str">
        <f>IFERROR(VLOOKUP(JR$6&amp;"",Key!$A:$C,3,FALSE),"")</f>
        <v>ISIC 45T47</v>
      </c>
      <c r="JS438" t="str">
        <f>IFERROR(VLOOKUP(JS$6&amp;"",Key!$A:$C,3,FALSE),"")</f>
        <v>ISIC 45T47</v>
      </c>
      <c r="JT438" t="str">
        <f>IFERROR(VLOOKUP(JT$6&amp;"",Key!$A:$C,3,FALSE),"")</f>
        <v>ISIC 45T47</v>
      </c>
      <c r="JU438" t="str">
        <f>IFERROR(VLOOKUP(JU$6&amp;"",Key!$A:$C,3,FALSE),"")</f>
        <v>ISIC 45T47</v>
      </c>
      <c r="JV438" t="str">
        <f>IFERROR(VLOOKUP(JV$6&amp;"",Key!$A:$C,3,FALSE),"")</f>
        <v>ISIC 45T47</v>
      </c>
      <c r="JW438" t="str">
        <f>IFERROR(VLOOKUP(JW$6&amp;"",Key!$A:$C,3,FALSE),"")</f>
        <v>ISIC 45T47</v>
      </c>
      <c r="JX438" t="str">
        <f>IFERROR(VLOOKUP(JX$6&amp;"",Key!$A:$C,3,FALSE),"")</f>
        <v>ISIC 45T47</v>
      </c>
      <c r="JY438" t="str">
        <f>IFERROR(VLOOKUP(JY$6&amp;"",Key!$A:$C,3,FALSE),"")</f>
        <v>ISIC 45T47</v>
      </c>
      <c r="JZ438" t="str">
        <f>IFERROR(VLOOKUP(JZ$6&amp;"",Key!$A:$C,3,FALSE),"")</f>
        <v>ISIC 45T47</v>
      </c>
      <c r="KA438" t="str">
        <f>IFERROR(VLOOKUP(KA$6&amp;"",Key!$A:$C,3,FALSE),"")</f>
        <v>ISIC 45T47</v>
      </c>
      <c r="KB438" t="str">
        <f>IFERROR(VLOOKUP(KB$6&amp;"",Key!$A:$C,3,FALSE),"")</f>
        <v>ISIC 45T47</v>
      </c>
      <c r="KC438" t="str">
        <f>IFERROR(VLOOKUP(KC$6&amp;"",Key!$A:$C,3,FALSE),"")</f>
        <v>ISIC 45T47</v>
      </c>
      <c r="KD438" t="str">
        <f>IFERROR(VLOOKUP(KD$6&amp;"",Key!$A:$C,3,FALSE),"")</f>
        <v>ISIC 45T47</v>
      </c>
      <c r="KE438" t="str">
        <f>IFERROR(VLOOKUP(KE$6&amp;"",Key!$A:$C,3,FALSE),"")</f>
        <v>ISIC 51</v>
      </c>
      <c r="KF438" t="str">
        <f>IFERROR(VLOOKUP(KF$6&amp;"",Key!$A:$C,3,FALSE),"")</f>
        <v>ISIC 49</v>
      </c>
      <c r="KG438" t="str">
        <f>IFERROR(VLOOKUP(KG$6&amp;"",Key!$A:$C,3,FALSE),"")</f>
        <v>ISIC 50</v>
      </c>
      <c r="KH438" t="str">
        <f>IFERROR(VLOOKUP(KH$6&amp;"",Key!$A:$C,3,FALSE),"")</f>
        <v>ISIC 49</v>
      </c>
      <c r="KI438" t="str">
        <f>IFERROR(VLOOKUP(KI$6&amp;"",Key!$A:$C,3,FALSE),"")</f>
        <v>ISIC 49</v>
      </c>
      <c r="KJ438" t="str">
        <f>IFERROR(VLOOKUP(KJ$6&amp;"",Key!$A:$C,3,FALSE),"")</f>
        <v>ISIC 49</v>
      </c>
      <c r="KK438" t="str">
        <f>IFERROR(VLOOKUP(KK$6&amp;"",Key!$A:$C,3,FALSE),"")</f>
        <v>ISIC 52</v>
      </c>
      <c r="KL438" t="str">
        <f>IFERROR(VLOOKUP(KL$6&amp;"",Key!$A:$C,3,FALSE),"")</f>
        <v>ISIC 53</v>
      </c>
      <c r="KM438" t="str">
        <f>IFERROR(VLOOKUP(KM$6&amp;"",Key!$A:$C,3,FALSE),"")</f>
        <v>ISIC 52</v>
      </c>
      <c r="KN438" t="str">
        <f>IFERROR(VLOOKUP(KN$6&amp;"",Key!$A:$C,3,FALSE),"")</f>
        <v>ISIC 58T60</v>
      </c>
      <c r="KO438" t="str">
        <f>IFERROR(VLOOKUP(KO$6&amp;"",Key!$A:$C,3,FALSE),"")</f>
        <v>ISIC 58T60</v>
      </c>
      <c r="KP438" t="str">
        <f>IFERROR(VLOOKUP(KP$6&amp;"",Key!$A:$C,3,FALSE),"")</f>
        <v>ISIC 58T60</v>
      </c>
      <c r="KQ438" t="str">
        <f>IFERROR(VLOOKUP(KQ$6&amp;"",Key!$A:$C,3,FALSE),"")</f>
        <v>ISIC 58T60</v>
      </c>
      <c r="KR438" t="str">
        <f>IFERROR(VLOOKUP(KR$6&amp;"",Key!$A:$C,3,FALSE),"")</f>
        <v>ISIC 58T60</v>
      </c>
      <c r="KS438" t="str">
        <f>IFERROR(VLOOKUP(KS$6&amp;"",Key!$A:$C,3,FALSE),"")</f>
        <v>ISIC 58T60</v>
      </c>
      <c r="KT438" t="str">
        <f>IFERROR(VLOOKUP(KT$6&amp;"",Key!$A:$C,3,FALSE),"")</f>
        <v>ISIC 58T60</v>
      </c>
      <c r="KU438" t="str">
        <f>IFERROR(VLOOKUP(KU$6&amp;"",Key!$A:$C,3,FALSE),"")</f>
        <v>ISIC 58T60</v>
      </c>
      <c r="KV438" t="str">
        <f>IFERROR(VLOOKUP(KV$6&amp;"",Key!$A:$C,3,FALSE),"")</f>
        <v>ISIC 58T60</v>
      </c>
      <c r="KW438" t="str">
        <f>IFERROR(VLOOKUP(KW$6&amp;"",Key!$A:$C,3,FALSE),"")</f>
        <v>ISIC 61</v>
      </c>
      <c r="KX438" t="str">
        <f>IFERROR(VLOOKUP(KX$6&amp;"",Key!$A:$C,3,FALSE),"")</f>
        <v>ISIC 61</v>
      </c>
      <c r="KY438" t="str">
        <f>IFERROR(VLOOKUP(KY$6&amp;"",Key!$A:$C,3,FALSE),"")</f>
        <v>ISIC 61</v>
      </c>
      <c r="KZ438" t="str">
        <f>IFERROR(VLOOKUP(KZ$6&amp;"",Key!$A:$C,3,FALSE),"")</f>
        <v>ISIC 62T63</v>
      </c>
      <c r="LA438" t="str">
        <f>IFERROR(VLOOKUP(LA$6&amp;"",Key!$A:$C,3,FALSE),"")</f>
        <v>ISIC 62T63</v>
      </c>
      <c r="LB438" t="str">
        <f>IFERROR(VLOOKUP(LB$6&amp;"",Key!$A:$C,3,FALSE),"")</f>
        <v>ISIC 62T63</v>
      </c>
      <c r="LC438" t="str">
        <f>IFERROR(VLOOKUP(LC$6&amp;"",Key!$A:$C,3,FALSE),"")</f>
        <v>ISIC 64T66</v>
      </c>
      <c r="LD438" t="str">
        <f>IFERROR(VLOOKUP(LD$6&amp;"",Key!$A:$C,3,FALSE),"")</f>
        <v>ISIC 64T66</v>
      </c>
      <c r="LE438" t="str">
        <f>IFERROR(VLOOKUP(LE$6&amp;"",Key!$A:$C,3,FALSE),"")</f>
        <v>ISIC 64T66</v>
      </c>
      <c r="LF438" t="str">
        <f>IFERROR(VLOOKUP(LF$6&amp;"",Key!$A:$C,3,FALSE),"")</f>
        <v>ISIC 64T66</v>
      </c>
      <c r="LG438" t="str">
        <f>IFERROR(VLOOKUP(LG$6&amp;"",Key!$A:$C,3,FALSE),"")</f>
        <v>ISIC 64T66</v>
      </c>
      <c r="LH438" t="str">
        <f>IFERROR(VLOOKUP(LH$6&amp;"",Key!$A:$C,3,FALSE),"")</f>
        <v>ISIC 64T66</v>
      </c>
      <c r="LI438" t="str">
        <f>IFERROR(VLOOKUP(LI$6&amp;"",Key!$A:$C,3,FALSE),"")</f>
        <v>ISIC 64T66</v>
      </c>
      <c r="LJ438" t="str">
        <f>IFERROR(VLOOKUP(LJ$6&amp;"",Key!$A:$C,3,FALSE),"")</f>
        <v>ISIC 64T66</v>
      </c>
      <c r="LK438" t="str">
        <f>IFERROR(VLOOKUP(LK$6&amp;"",Key!$A:$C,3,FALSE),"")</f>
        <v>ISIC 68</v>
      </c>
      <c r="LL438" t="str">
        <f>IFERROR(VLOOKUP(LL$6&amp;"",Key!$A:$C,3,FALSE),"")</f>
        <v>ISIC 68</v>
      </c>
      <c r="LM438" t="str">
        <f>IFERROR(VLOOKUP(LM$6&amp;"",Key!$A:$C,3,FALSE),"")</f>
        <v>ISIC 68</v>
      </c>
      <c r="LN438" t="str">
        <f>IFERROR(VLOOKUP(LN$6&amp;"",Key!$A:$C,3,FALSE),"")</f>
        <v>ISIC 68</v>
      </c>
      <c r="LO438" t="str">
        <f>IFERROR(VLOOKUP(LO$6&amp;"",Key!$A:$C,3,FALSE),"")</f>
        <v>ISIC 68</v>
      </c>
      <c r="LP438" t="str">
        <f>IFERROR(VLOOKUP(LP$6&amp;"",Key!$A:$C,3,FALSE),"")</f>
        <v>ISIC 68</v>
      </c>
      <c r="LQ438" t="str">
        <f>IFERROR(VLOOKUP(LQ$6&amp;"",Key!$A:$C,3,FALSE),"")</f>
        <v>ISIC 68</v>
      </c>
      <c r="LR438" t="str">
        <f>IFERROR(VLOOKUP(LR$6&amp;"",Key!$A:$C,3,FALSE),"")</f>
        <v>ISIC 69T75</v>
      </c>
      <c r="LS438" t="str">
        <f>IFERROR(VLOOKUP(LS$6&amp;"",Key!$A:$C,3,FALSE),"")</f>
        <v>ISIC 62T63</v>
      </c>
      <c r="LT438" t="str">
        <f>IFERROR(VLOOKUP(LT$6&amp;"",Key!$A:$C,3,FALSE),"")</f>
        <v>ISIC 62T63</v>
      </c>
      <c r="LU438" t="str">
        <f>IFERROR(VLOOKUP(LU$6&amp;"",Key!$A:$C,3,FALSE),"")</f>
        <v>ISIC 62T63</v>
      </c>
      <c r="LV438" t="str">
        <f>IFERROR(VLOOKUP(LV$6&amp;"",Key!$A:$C,3,FALSE),"")</f>
        <v>ISIC 69T75</v>
      </c>
      <c r="LW438" t="str">
        <f>IFERROR(VLOOKUP(LW$6&amp;"",Key!$A:$C,3,FALSE),"")</f>
        <v>ISIC 69T75</v>
      </c>
      <c r="LX438" t="str">
        <f>IFERROR(VLOOKUP(LX$6&amp;"",Key!$A:$C,3,FALSE),"")</f>
        <v>ISIC 69T75</v>
      </c>
      <c r="LY438" t="str">
        <f>IFERROR(VLOOKUP(LY$6&amp;"",Key!$A:$C,3,FALSE),"")</f>
        <v>ISIC 69T75</v>
      </c>
      <c r="LZ438" t="str">
        <f>IFERROR(VLOOKUP(LZ$6&amp;"",Key!$A:$C,3,FALSE),"")</f>
        <v>ISIC 69T75</v>
      </c>
      <c r="MA438" t="str">
        <f>IFERROR(VLOOKUP(MA$6&amp;"",Key!$A:$C,3,FALSE),"")</f>
        <v>ISIC 69T75</v>
      </c>
      <c r="MB438" t="str">
        <f>IFERROR(VLOOKUP(MB$6&amp;"",Key!$A:$C,3,FALSE),"")</f>
        <v>ISIC 69T75</v>
      </c>
      <c r="MC438" t="str">
        <f>IFERROR(VLOOKUP(MC$6&amp;"",Key!$A:$C,3,FALSE),"")</f>
        <v>ISIC 69T75</v>
      </c>
      <c r="MD438" t="str">
        <f>IFERROR(VLOOKUP(MD$6&amp;"",Key!$A:$C,3,FALSE),"")</f>
        <v>ISIC 69T75</v>
      </c>
      <c r="ME438" t="str">
        <f>IFERROR(VLOOKUP(ME$6&amp;"",Key!$A:$C,3,FALSE),"")</f>
        <v>ISIC 69T75</v>
      </c>
      <c r="MF438" t="str">
        <f>IFERROR(VLOOKUP(MF$6&amp;"",Key!$A:$C,3,FALSE),"")</f>
        <v>ISIC 69T75</v>
      </c>
      <c r="MG438" t="str">
        <f>IFERROR(VLOOKUP(MG$6&amp;"",Key!$A:$C,3,FALSE),"")</f>
        <v>ISIC 77T82</v>
      </c>
      <c r="MH438" t="str">
        <f>IFERROR(VLOOKUP(MH$6&amp;"",Key!$A:$C,3,FALSE),"")</f>
        <v>ISIC 77T82</v>
      </c>
      <c r="MI438" t="str">
        <f>IFERROR(VLOOKUP(MI$6&amp;"",Key!$A:$C,3,FALSE),"")</f>
        <v>ISIC 77T82</v>
      </c>
      <c r="MJ438" t="str">
        <f>IFERROR(VLOOKUP(MJ$6&amp;"",Key!$A:$C,3,FALSE),"")</f>
        <v>ISIC 77T82</v>
      </c>
      <c r="MK438" t="str">
        <f>IFERROR(VLOOKUP(MK$6&amp;"",Key!$A:$C,3,FALSE),"")</f>
        <v>ISIC 77T82</v>
      </c>
      <c r="ML438" t="str">
        <f>IFERROR(VLOOKUP(ML$6&amp;"",Key!$A:$C,3,FALSE),"")</f>
        <v>ISIC 77T82</v>
      </c>
      <c r="MM438" t="str">
        <f>IFERROR(VLOOKUP(MM$6&amp;"",Key!$A:$C,3,FALSE),"")</f>
        <v>ISIC 77T82</v>
      </c>
      <c r="MN438" t="str">
        <f>IFERROR(VLOOKUP(MN$6&amp;"",Key!$A:$C,3,FALSE),"")</f>
        <v>ISIC 77T82</v>
      </c>
      <c r="MO438" t="str">
        <f>IFERROR(VLOOKUP(MO$6&amp;"",Key!$A:$C,3,FALSE),"")</f>
        <v>ISIC 36T39</v>
      </c>
      <c r="MP438" t="str">
        <f>IFERROR(VLOOKUP(MP$6&amp;"",Key!$A:$C,3,FALSE),"")</f>
        <v>ISIC 85</v>
      </c>
      <c r="MQ438" t="str">
        <f>IFERROR(VLOOKUP(MQ$6&amp;"",Key!$A:$C,3,FALSE),"")</f>
        <v>ISIC 85</v>
      </c>
      <c r="MR438" t="str">
        <f>IFERROR(VLOOKUP(MR$6&amp;"",Key!$A:$C,3,FALSE),"")</f>
        <v>ISIC 85</v>
      </c>
      <c r="MS438" t="str">
        <f>IFERROR(VLOOKUP(MS$6&amp;"",Key!$A:$C,3,FALSE),"")</f>
        <v>ISIC 86T88</v>
      </c>
      <c r="MT438" t="str">
        <f>IFERROR(VLOOKUP(MT$6&amp;"",Key!$A:$C,3,FALSE),"")</f>
        <v>ISIC 86T88</v>
      </c>
      <c r="MU438" t="str">
        <f>IFERROR(VLOOKUP(MU$6&amp;"",Key!$A:$C,3,FALSE),"")</f>
        <v>ISIC 86T88</v>
      </c>
      <c r="MV438" t="str">
        <f>IFERROR(VLOOKUP(MV$6&amp;"",Key!$A:$C,3,FALSE),"")</f>
        <v>ISIC 86T88</v>
      </c>
      <c r="MW438" t="str">
        <f>IFERROR(VLOOKUP(MW$6&amp;"",Key!$A:$C,3,FALSE),"")</f>
        <v>ISIC 86T88</v>
      </c>
      <c r="MX438" t="str">
        <f>IFERROR(VLOOKUP(MX$6&amp;"",Key!$A:$C,3,FALSE),"")</f>
        <v>ISIC 86T88</v>
      </c>
      <c r="MY438" t="str">
        <f>IFERROR(VLOOKUP(MY$6&amp;"",Key!$A:$C,3,FALSE),"")</f>
        <v>ISIC 86T88</v>
      </c>
      <c r="MZ438" t="str">
        <f>IFERROR(VLOOKUP(MZ$6&amp;"",Key!$A:$C,3,FALSE),"")</f>
        <v>ISIC 86T88</v>
      </c>
      <c r="NA438" t="str">
        <f>IFERROR(VLOOKUP(NA$6&amp;"",Key!$A:$C,3,FALSE),"")</f>
        <v>ISIC 86T88</v>
      </c>
      <c r="NB438" t="str">
        <f>IFERROR(VLOOKUP(NB$6&amp;"",Key!$A:$C,3,FALSE),"")</f>
        <v>ISIC 86T88</v>
      </c>
      <c r="NC438" t="str">
        <f>IFERROR(VLOOKUP(NC$6&amp;"",Key!$A:$C,3,FALSE),"")</f>
        <v>ISIC 86T88</v>
      </c>
      <c r="ND438" t="str">
        <f>IFERROR(VLOOKUP(ND$6&amp;"",Key!$A:$C,3,FALSE),"")</f>
        <v>ISIC 86T88</v>
      </c>
      <c r="NE438" t="str">
        <f>IFERROR(VLOOKUP(NE$6&amp;"",Key!$A:$C,3,FALSE),"")</f>
        <v>ISIC 86T88</v>
      </c>
      <c r="NF438" t="str">
        <f>IFERROR(VLOOKUP(NF$6&amp;"",Key!$A:$C,3,FALSE),"")</f>
        <v>ISIC 90T93</v>
      </c>
      <c r="NG438" t="str">
        <f>IFERROR(VLOOKUP(NG$6&amp;"",Key!$A:$C,3,FALSE),"")</f>
        <v>ISIC 90T93</v>
      </c>
      <c r="NH438" t="str">
        <f>IFERROR(VLOOKUP(NH$6&amp;"",Key!$A:$C,3,FALSE),"")</f>
        <v>ISIC 90T93</v>
      </c>
      <c r="NI438" t="str">
        <f>IFERROR(VLOOKUP(NI$6&amp;"",Key!$A:$C,3,FALSE),"")</f>
        <v>ISIC 90T93</v>
      </c>
      <c r="NJ438" t="str">
        <f>IFERROR(VLOOKUP(NJ$6&amp;"",Key!$A:$C,3,FALSE),"")</f>
        <v>ISIC 90T93</v>
      </c>
      <c r="NK438" t="str">
        <f>IFERROR(VLOOKUP(NK$6&amp;"",Key!$A:$C,3,FALSE),"")</f>
        <v>ISIC 90T93</v>
      </c>
      <c r="NL438" t="str">
        <f>IFERROR(VLOOKUP(NL$6&amp;"",Key!$A:$C,3,FALSE),"")</f>
        <v>ISIC 90T93</v>
      </c>
      <c r="NM438" t="str">
        <f>IFERROR(VLOOKUP(NM$6&amp;"",Key!$A:$C,3,FALSE),"")</f>
        <v>ISIC 90T93</v>
      </c>
      <c r="NN438" t="str">
        <f>IFERROR(VLOOKUP(NN$6&amp;"",Key!$A:$C,3,FALSE),"")</f>
        <v>ISIC 55T56</v>
      </c>
      <c r="NO438" t="str">
        <f>IFERROR(VLOOKUP(NO$6&amp;"",Key!$A:$C,3,FALSE),"")</f>
        <v>ISIC 55T56</v>
      </c>
      <c r="NP438" t="str">
        <f>IFERROR(VLOOKUP(NP$6&amp;"",Key!$A:$C,3,FALSE),"")</f>
        <v>ISIC 55T56</v>
      </c>
      <c r="NQ438" t="str">
        <f>IFERROR(VLOOKUP(NQ$6&amp;"",Key!$A:$C,3,FALSE),"")</f>
        <v>ISIC 55T56</v>
      </c>
      <c r="NR438" t="str">
        <f>IFERROR(VLOOKUP(NR$6&amp;"",Key!$A:$C,3,FALSE),"")</f>
        <v>ISIC 45T47</v>
      </c>
      <c r="NS438" t="str">
        <f>IFERROR(VLOOKUP(NS$6&amp;"",Key!$A:$C,3,FALSE),"")</f>
        <v>ISIC 94T96</v>
      </c>
      <c r="NT438" t="str">
        <f>IFERROR(VLOOKUP(NT$6&amp;"",Key!$A:$C,3,FALSE),"")</f>
        <v>ISIC 31T33</v>
      </c>
      <c r="NU438" t="str">
        <f>IFERROR(VLOOKUP(NU$6&amp;"",Key!$A:$C,3,FALSE),"")</f>
        <v>ISIC 94T96</v>
      </c>
      <c r="NV438" t="str">
        <f>IFERROR(VLOOKUP(NV$6&amp;"",Key!$A:$C,3,FALSE),"")</f>
        <v>ISIC 94T96</v>
      </c>
      <c r="NW438" t="str">
        <f>IFERROR(VLOOKUP(NW$6&amp;"",Key!$A:$C,3,FALSE),"")</f>
        <v>ISIC 94T96</v>
      </c>
      <c r="NX438" t="str">
        <f>IFERROR(VLOOKUP(NX$6&amp;"",Key!$A:$C,3,FALSE),"")</f>
        <v>ISIC 94T96</v>
      </c>
      <c r="NY438" t="str">
        <f>IFERROR(VLOOKUP(NY$6&amp;"",Key!$A:$C,3,FALSE),"")</f>
        <v>ISIC 94T96</v>
      </c>
      <c r="NZ438" t="str">
        <f>IFERROR(VLOOKUP(NZ$6&amp;"",Key!$A:$C,3,FALSE),"")</f>
        <v>ISIC 94T96</v>
      </c>
      <c r="OA438" t="str">
        <f>IFERROR(VLOOKUP(OA$6&amp;"",Key!$A:$C,3,FALSE),"")</f>
        <v>ISIC 94T96</v>
      </c>
      <c r="OB438" t="str">
        <f>IFERROR(VLOOKUP(OB$6&amp;"",Key!$A:$C,3,FALSE),"")</f>
        <v>ISIC 94T96</v>
      </c>
      <c r="OC438" t="str">
        <f>IFERROR(VLOOKUP(OC$6&amp;"",Key!$A:$C,3,FALSE),"")</f>
        <v>ISIC 97T98</v>
      </c>
      <c r="OD438" t="str">
        <f>IFERROR(VLOOKUP(OD$6&amp;"",Key!$A:$C,3,FALSE),"")</f>
        <v>ISIC 84</v>
      </c>
      <c r="OE438" t="str">
        <f>IFERROR(VLOOKUP(OE$6&amp;"",Key!$A:$C,3,FALSE),"")</f>
        <v>ISIC 84</v>
      </c>
      <c r="OF438" t="str">
        <f>IFERROR(VLOOKUP(OF$6&amp;"",Key!$A:$C,3,FALSE),"")</f>
        <v>ISIC 84</v>
      </c>
      <c r="OG438" t="str">
        <f>IFERROR(VLOOKUP(OG$6&amp;"",Key!$A:$C,3,FALSE),"")</f>
        <v>ISIC 84</v>
      </c>
      <c r="OH438" t="str">
        <f>IFERROR(VLOOKUP(OH$6&amp;"",Key!$A:$C,3,FALSE),"")</f>
        <v>ISIC 84</v>
      </c>
      <c r="OI438" t="str">
        <f>IFERROR(VLOOKUP(OI$6&amp;"",Key!$A:$C,3,FALSE),"")</f>
        <v>ISIC 84</v>
      </c>
      <c r="OJ438" t="str">
        <f>IFERROR(VLOOKUP(OJ$6&amp;"",Key!$A:$C,3,FALSE),"")</f>
        <v>ISIC 84</v>
      </c>
      <c r="OK438" t="str">
        <f>IFERROR(VLOOKUP(OK$6&amp;"",Key!$A:$C,3,FALSE),"")</f>
        <v>ISIC 84</v>
      </c>
      <c r="OL438" t="str">
        <f>IFERROR(VLOOKUP(OL$6&amp;"",Key!$A:$C,3,FALSE),"")</f>
        <v>ISIC 84</v>
      </c>
      <c r="OM438" t="str">
        <f>IFERROR(VLOOKUP(OM$6&amp;"",Key!$A:$C,3,FALSE),"")</f>
        <v>ISIC 84</v>
      </c>
      <c r="ON438" t="str">
        <f>IFERROR(VLOOKUP(ON$6&amp;"",Key!$A:$C,3,FALSE),"")</f>
        <v>ISIC 84</v>
      </c>
      <c r="OO438" t="str">
        <f>IFERROR(VLOOKUP(OO$6&amp;"",Key!$A:$C,3,FALSE),"")</f>
        <v/>
      </c>
      <c r="OP438" t="str">
        <f>IFERROR(VLOOKUP(OP$6&amp;"",Key!$A:$C,3,FALSE),"")</f>
        <v/>
      </c>
      <c r="OQ438" t="str">
        <f>IFERROR(VLOOKUP(OQ$6&amp;"",Key!$A:$C,3,FALSE),"")</f>
        <v/>
      </c>
      <c r="OR438" t="str">
        <f>IFERROR(VLOOKUP(OR$6&amp;"",Key!$A:$C,3,FALSE),"")</f>
        <v/>
      </c>
      <c r="OS438" t="str">
        <f>IFERROR(VLOOKUP(OS$6&amp;"",Key!$A:$C,3,FALSE),"")</f>
        <v/>
      </c>
      <c r="OT438" t="str">
        <f>IFERROR(VLOOKUP(OT$6&amp;"",Key!$A:$C,3,FALSE),"")</f>
        <v/>
      </c>
      <c r="OU438" t="str">
        <f>IFERROR(VLOOKUP(OU$6&amp;"",Key!$A:$C,3,FALSE),"")</f>
        <v/>
      </c>
      <c r="OV438" t="str">
        <f>IFERROR(VLOOKUP(OV$6&amp;"",Key!$A:$C,3,FALSE),"")</f>
        <v/>
      </c>
      <c r="OW438" t="str">
        <f>IFERROR(VLOOKUP(OW$6&amp;"",Key!$A:$C,3,FALSE),"")</f>
        <v/>
      </c>
      <c r="OX438" t="str">
        <f>IFERROR(VLOOKUP(OX$6&amp;"",Key!$A:$C,3,FALSE),"")</f>
        <v/>
      </c>
      <c r="OY438" t="str">
        <f>IFERROR(VLOOKUP(OY$6&amp;"",Key!$A:$C,3,FALSE),"")</f>
        <v/>
      </c>
      <c r="OZ438" t="str">
        <f>IFERROR(VLOOKUP(OZ$6&amp;"",Key!$A:$C,3,FALSE),"")</f>
        <v/>
      </c>
      <c r="PA438" t="str">
        <f>IFERROR(VLOOKUP(PA$6&amp;"",Key!$A:$C,3,FALSE),"")</f>
        <v/>
      </c>
      <c r="PB438" t="str">
        <f>IFERROR(VLOOKUP(PB$6&amp;"",Key!$A:$C,3,FALSE),"")</f>
        <v/>
      </c>
      <c r="PC438" t="str">
        <f>IFERROR(VLOOKUP(PC$6&amp;"",Key!$A:$C,3,FALSE),"")</f>
        <v/>
      </c>
      <c r="PD438" t="str">
        <f>IFERROR(VLOOKUP(PD$6&amp;"",Key!$A:$C,3,FALSE),"")</f>
        <v/>
      </c>
      <c r="PE438" t="str">
        <f>IFERROR(VLOOKUP(PE$6&amp;"",Key!$A:$C,3,FALSE),"")</f>
        <v/>
      </c>
      <c r="PF438" t="str">
        <f>IFERROR(VLOOKUP(PF$6&amp;"",Key!$A:$C,3,FALSE),"")</f>
        <v/>
      </c>
      <c r="PG438" t="str">
        <f>IFERROR(VLOOKUP(PG$6&amp;"",Key!$A:$C,3,FALSE),"")</f>
        <v/>
      </c>
      <c r="PH438" t="str">
        <f>IFERROR(VLOOKUP(PH$6&amp;"",Key!$A:$C,3,FALSE),"")</f>
        <v/>
      </c>
      <c r="PI438" t="str">
        <f>IFERROR(VLOOKUP(PI$6&amp;"",Key!$A:$C,3,FALSE),"")</f>
        <v/>
      </c>
      <c r="PJ438" t="str">
        <f>IFERROR(VLOOKUP(PJ$6&amp;"",Key!$A:$C,3,FALSE),"")</f>
        <v/>
      </c>
      <c r="PK438" t="str">
        <f>IFERROR(VLOOKUP(PK$6&amp;"",Key!$A:$C,3,FALSE),"")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60" customWidth="1"/>
    <col min="3" max="3" width="18" customWidth="1"/>
    <col min="6" max="6" width="16" customWidth="1"/>
    <col min="7" max="7" width="28" customWidth="1"/>
  </cols>
  <sheetData>
    <row r="1" spans="1:11" x14ac:dyDescent="0.25">
      <c r="A1" s="1" t="s">
        <v>692</v>
      </c>
      <c r="B1" s="1" t="s">
        <v>693</v>
      </c>
      <c r="C1" s="1" t="s">
        <v>694</v>
      </c>
      <c r="E1" s="1" t="s">
        <v>695</v>
      </c>
      <c r="F1" s="1" t="s">
        <v>696</v>
      </c>
      <c r="G1" s="1" t="s">
        <v>697</v>
      </c>
      <c r="I1" s="1" t="s">
        <v>698</v>
      </c>
      <c r="J1" s="1" t="s">
        <v>699</v>
      </c>
      <c r="K1" s="1" t="s">
        <v>700</v>
      </c>
    </row>
    <row r="2" spans="1:11" x14ac:dyDescent="0.25">
      <c r="A2" t="s">
        <v>566</v>
      </c>
      <c r="B2" t="s">
        <v>141</v>
      </c>
      <c r="C2" t="s">
        <v>701</v>
      </c>
      <c r="E2">
        <v>1</v>
      </c>
      <c r="F2" t="s">
        <v>701</v>
      </c>
      <c r="G2" t="s">
        <v>18</v>
      </c>
      <c r="I2" t="s">
        <v>34</v>
      </c>
      <c r="J2" t="s">
        <v>702</v>
      </c>
      <c r="K2" t="s">
        <v>703</v>
      </c>
    </row>
    <row r="3" spans="1:11" x14ac:dyDescent="0.25">
      <c r="A3" t="s">
        <v>567</v>
      </c>
      <c r="B3" t="s">
        <v>142</v>
      </c>
      <c r="C3" t="s">
        <v>701</v>
      </c>
      <c r="E3">
        <v>2</v>
      </c>
      <c r="F3" t="s">
        <v>704</v>
      </c>
      <c r="G3" t="s">
        <v>19</v>
      </c>
      <c r="I3" t="s">
        <v>45</v>
      </c>
      <c r="J3" t="s">
        <v>705</v>
      </c>
      <c r="K3" t="s">
        <v>706</v>
      </c>
    </row>
    <row r="4" spans="1:11" x14ac:dyDescent="0.25">
      <c r="A4" t="s">
        <v>707</v>
      </c>
      <c r="B4" t="s">
        <v>143</v>
      </c>
      <c r="C4" t="s">
        <v>701</v>
      </c>
      <c r="E4">
        <v>3</v>
      </c>
      <c r="F4" t="s">
        <v>708</v>
      </c>
      <c r="G4" t="s">
        <v>20</v>
      </c>
    </row>
    <row r="5" spans="1:11" x14ac:dyDescent="0.25">
      <c r="A5" t="s">
        <v>709</v>
      </c>
      <c r="B5" t="s">
        <v>144</v>
      </c>
      <c r="C5" t="s">
        <v>701</v>
      </c>
      <c r="E5">
        <v>4</v>
      </c>
      <c r="F5" t="s">
        <v>710</v>
      </c>
      <c r="G5" t="s">
        <v>21</v>
      </c>
    </row>
    <row r="6" spans="1:11" x14ac:dyDescent="0.25">
      <c r="A6" t="s">
        <v>711</v>
      </c>
      <c r="B6" t="s">
        <v>145</v>
      </c>
      <c r="C6" t="s">
        <v>701</v>
      </c>
      <c r="E6">
        <v>5</v>
      </c>
      <c r="F6" t="s">
        <v>712</v>
      </c>
      <c r="G6" t="s">
        <v>22</v>
      </c>
    </row>
    <row r="7" spans="1:11" x14ac:dyDescent="0.25">
      <c r="A7" t="s">
        <v>713</v>
      </c>
      <c r="B7" t="s">
        <v>146</v>
      </c>
      <c r="C7" t="s">
        <v>701</v>
      </c>
      <c r="E7">
        <v>6</v>
      </c>
      <c r="F7" t="s">
        <v>714</v>
      </c>
      <c r="G7" t="s">
        <v>23</v>
      </c>
    </row>
    <row r="8" spans="1:11" x14ac:dyDescent="0.25">
      <c r="A8" t="s">
        <v>715</v>
      </c>
      <c r="B8" t="s">
        <v>147</v>
      </c>
      <c r="C8" t="s">
        <v>701</v>
      </c>
      <c r="E8">
        <v>7</v>
      </c>
      <c r="F8" t="s">
        <v>716</v>
      </c>
      <c r="G8" t="s">
        <v>24</v>
      </c>
    </row>
    <row r="9" spans="1:11" x14ac:dyDescent="0.25">
      <c r="A9" t="s">
        <v>568</v>
      </c>
      <c r="B9" t="s">
        <v>148</v>
      </c>
      <c r="C9" t="s">
        <v>701</v>
      </c>
      <c r="E9">
        <v>8</v>
      </c>
      <c r="F9" t="s">
        <v>717</v>
      </c>
      <c r="G9" t="s">
        <v>25</v>
      </c>
    </row>
    <row r="10" spans="1:11" x14ac:dyDescent="0.25">
      <c r="A10" t="s">
        <v>718</v>
      </c>
      <c r="B10" t="s">
        <v>149</v>
      </c>
      <c r="C10" t="s">
        <v>701</v>
      </c>
      <c r="E10">
        <v>9</v>
      </c>
      <c r="F10" t="s">
        <v>719</v>
      </c>
      <c r="G10" t="s">
        <v>26</v>
      </c>
    </row>
    <row r="11" spans="1:11" x14ac:dyDescent="0.25">
      <c r="A11" t="s">
        <v>569</v>
      </c>
      <c r="B11" t="s">
        <v>150</v>
      </c>
      <c r="C11" t="s">
        <v>701</v>
      </c>
      <c r="E11">
        <v>10</v>
      </c>
      <c r="F11" t="s">
        <v>720</v>
      </c>
      <c r="G11" t="s">
        <v>27</v>
      </c>
    </row>
    <row r="12" spans="1:11" x14ac:dyDescent="0.25">
      <c r="A12" t="s">
        <v>721</v>
      </c>
      <c r="B12" t="s">
        <v>151</v>
      </c>
      <c r="C12" t="s">
        <v>704</v>
      </c>
      <c r="E12">
        <v>11</v>
      </c>
      <c r="F12" t="s">
        <v>722</v>
      </c>
      <c r="G12" t="s">
        <v>28</v>
      </c>
    </row>
    <row r="13" spans="1:11" x14ac:dyDescent="0.25">
      <c r="A13" t="s">
        <v>723</v>
      </c>
      <c r="B13" t="s">
        <v>152</v>
      </c>
      <c r="C13" t="s">
        <v>708</v>
      </c>
      <c r="E13">
        <v>12</v>
      </c>
      <c r="F13" t="s">
        <v>724</v>
      </c>
      <c r="G13" t="s">
        <v>29</v>
      </c>
    </row>
    <row r="14" spans="1:11" x14ac:dyDescent="0.25">
      <c r="A14" t="s">
        <v>725</v>
      </c>
      <c r="B14" t="s">
        <v>153</v>
      </c>
      <c r="C14" t="s">
        <v>701</v>
      </c>
      <c r="E14">
        <v>13</v>
      </c>
      <c r="F14" t="s">
        <v>726</v>
      </c>
      <c r="G14" t="s">
        <v>30</v>
      </c>
    </row>
    <row r="15" spans="1:11" x14ac:dyDescent="0.25">
      <c r="A15" t="s">
        <v>727</v>
      </c>
      <c r="B15" t="s">
        <v>154</v>
      </c>
      <c r="C15" t="s">
        <v>712</v>
      </c>
      <c r="E15">
        <v>14</v>
      </c>
      <c r="F15" t="s">
        <v>728</v>
      </c>
      <c r="G15" t="s">
        <v>31</v>
      </c>
    </row>
    <row r="16" spans="1:11" x14ac:dyDescent="0.25">
      <c r="A16" t="s">
        <v>729</v>
      </c>
      <c r="B16" t="s">
        <v>155</v>
      </c>
      <c r="C16" t="s">
        <v>710</v>
      </c>
      <c r="E16">
        <v>15</v>
      </c>
      <c r="F16" t="s">
        <v>730</v>
      </c>
      <c r="G16" t="s">
        <v>32</v>
      </c>
    </row>
    <row r="17" spans="1:7" x14ac:dyDescent="0.25">
      <c r="A17" t="s">
        <v>731</v>
      </c>
      <c r="B17" t="s">
        <v>156</v>
      </c>
      <c r="C17" t="s">
        <v>714</v>
      </c>
      <c r="E17">
        <v>16</v>
      </c>
      <c r="F17" t="s">
        <v>732</v>
      </c>
      <c r="G17" t="s">
        <v>33</v>
      </c>
    </row>
    <row r="18" spans="1:7" x14ac:dyDescent="0.25">
      <c r="A18" t="s">
        <v>570</v>
      </c>
      <c r="B18" t="s">
        <v>157</v>
      </c>
      <c r="C18" t="s">
        <v>714</v>
      </c>
      <c r="E18">
        <v>17</v>
      </c>
      <c r="F18" t="s">
        <v>702</v>
      </c>
    </row>
    <row r="19" spans="1:7" x14ac:dyDescent="0.25">
      <c r="A19" t="s">
        <v>733</v>
      </c>
      <c r="B19" t="s">
        <v>158</v>
      </c>
      <c r="C19" t="s">
        <v>716</v>
      </c>
      <c r="E19">
        <v>18</v>
      </c>
      <c r="F19" t="s">
        <v>703</v>
      </c>
    </row>
    <row r="20" spans="1:7" x14ac:dyDescent="0.25">
      <c r="A20" t="s">
        <v>571</v>
      </c>
      <c r="B20" t="s">
        <v>159</v>
      </c>
      <c r="C20" t="s">
        <v>716</v>
      </c>
      <c r="E20">
        <v>19</v>
      </c>
      <c r="F20" t="s">
        <v>734</v>
      </c>
      <c r="G20" t="s">
        <v>35</v>
      </c>
    </row>
    <row r="21" spans="1:7" x14ac:dyDescent="0.25">
      <c r="A21" t="s">
        <v>735</v>
      </c>
      <c r="B21" t="s">
        <v>160</v>
      </c>
      <c r="C21" t="s">
        <v>717</v>
      </c>
      <c r="E21">
        <v>20</v>
      </c>
      <c r="F21" t="s">
        <v>736</v>
      </c>
      <c r="G21" t="s">
        <v>36</v>
      </c>
    </row>
    <row r="22" spans="1:7" x14ac:dyDescent="0.25">
      <c r="A22" t="s">
        <v>572</v>
      </c>
      <c r="B22" t="s">
        <v>161</v>
      </c>
      <c r="C22" t="s">
        <v>717</v>
      </c>
      <c r="E22">
        <v>21</v>
      </c>
      <c r="F22" t="s">
        <v>737</v>
      </c>
      <c r="G22" t="s">
        <v>37</v>
      </c>
    </row>
    <row r="23" spans="1:7" x14ac:dyDescent="0.25">
      <c r="A23" t="s">
        <v>738</v>
      </c>
      <c r="B23" t="s">
        <v>162</v>
      </c>
      <c r="C23" t="s">
        <v>705</v>
      </c>
      <c r="E23">
        <v>22</v>
      </c>
      <c r="F23" t="s">
        <v>739</v>
      </c>
      <c r="G23" t="s">
        <v>38</v>
      </c>
    </row>
    <row r="24" spans="1:7" x14ac:dyDescent="0.25">
      <c r="A24" t="s">
        <v>740</v>
      </c>
      <c r="B24" t="s">
        <v>163</v>
      </c>
      <c r="C24" t="s">
        <v>706</v>
      </c>
      <c r="E24">
        <v>23</v>
      </c>
      <c r="F24" t="s">
        <v>741</v>
      </c>
      <c r="G24" t="s">
        <v>39</v>
      </c>
    </row>
    <row r="25" spans="1:7" x14ac:dyDescent="0.25">
      <c r="A25" t="s">
        <v>742</v>
      </c>
      <c r="B25" t="s">
        <v>164</v>
      </c>
      <c r="C25" t="s">
        <v>743</v>
      </c>
      <c r="E25">
        <v>24</v>
      </c>
      <c r="F25" t="s">
        <v>744</v>
      </c>
      <c r="G25" t="s">
        <v>40</v>
      </c>
    </row>
    <row r="26" spans="1:7" x14ac:dyDescent="0.25">
      <c r="A26" t="s">
        <v>745</v>
      </c>
      <c r="B26" t="s">
        <v>167</v>
      </c>
      <c r="C26" t="s">
        <v>746</v>
      </c>
      <c r="E26">
        <v>25</v>
      </c>
      <c r="F26" t="s">
        <v>747</v>
      </c>
      <c r="G26" t="s">
        <v>41</v>
      </c>
    </row>
    <row r="27" spans="1:7" x14ac:dyDescent="0.25">
      <c r="A27" t="s">
        <v>748</v>
      </c>
      <c r="B27" t="s">
        <v>168</v>
      </c>
      <c r="C27" t="s">
        <v>746</v>
      </c>
      <c r="E27">
        <v>26</v>
      </c>
      <c r="F27" t="s">
        <v>749</v>
      </c>
      <c r="G27" t="s">
        <v>42</v>
      </c>
    </row>
    <row r="28" spans="1:7" x14ac:dyDescent="0.25">
      <c r="A28" t="s">
        <v>750</v>
      </c>
      <c r="B28" t="s">
        <v>165</v>
      </c>
      <c r="C28" t="s">
        <v>746</v>
      </c>
      <c r="E28">
        <v>27</v>
      </c>
      <c r="F28" t="s">
        <v>751</v>
      </c>
      <c r="G28" t="s">
        <v>43</v>
      </c>
    </row>
    <row r="29" spans="1:7" x14ac:dyDescent="0.25">
      <c r="A29" t="s">
        <v>752</v>
      </c>
      <c r="B29" t="s">
        <v>172</v>
      </c>
      <c r="C29" t="s">
        <v>746</v>
      </c>
      <c r="E29">
        <v>28</v>
      </c>
      <c r="F29" t="s">
        <v>753</v>
      </c>
      <c r="G29" t="s">
        <v>44</v>
      </c>
    </row>
    <row r="30" spans="1:7" x14ac:dyDescent="0.25">
      <c r="A30" t="s">
        <v>754</v>
      </c>
      <c r="B30" t="s">
        <v>174</v>
      </c>
      <c r="C30" t="s">
        <v>746</v>
      </c>
      <c r="E30">
        <v>29</v>
      </c>
      <c r="F30" t="s">
        <v>705</v>
      </c>
    </row>
    <row r="31" spans="1:7" x14ac:dyDescent="0.25">
      <c r="A31" t="s">
        <v>755</v>
      </c>
      <c r="B31" t="s">
        <v>166</v>
      </c>
      <c r="C31" t="s">
        <v>746</v>
      </c>
      <c r="E31">
        <v>30</v>
      </c>
      <c r="F31" t="s">
        <v>706</v>
      </c>
    </row>
    <row r="32" spans="1:7" x14ac:dyDescent="0.25">
      <c r="A32" t="s">
        <v>573</v>
      </c>
      <c r="B32" t="s">
        <v>169</v>
      </c>
      <c r="C32" t="s">
        <v>746</v>
      </c>
      <c r="E32">
        <v>31</v>
      </c>
      <c r="F32" t="s">
        <v>743</v>
      </c>
      <c r="G32" t="s">
        <v>46</v>
      </c>
    </row>
    <row r="33" spans="1:7" x14ac:dyDescent="0.25">
      <c r="A33" t="s">
        <v>576</v>
      </c>
      <c r="B33" t="s">
        <v>176</v>
      </c>
      <c r="C33" t="s">
        <v>746</v>
      </c>
      <c r="E33">
        <v>32</v>
      </c>
      <c r="F33" t="s">
        <v>746</v>
      </c>
      <c r="G33" t="s">
        <v>47</v>
      </c>
    </row>
    <row r="34" spans="1:7" x14ac:dyDescent="0.25">
      <c r="A34" t="s">
        <v>575</v>
      </c>
      <c r="B34" t="s">
        <v>173</v>
      </c>
      <c r="C34" t="s">
        <v>746</v>
      </c>
      <c r="E34">
        <v>33</v>
      </c>
      <c r="F34" t="s">
        <v>756</v>
      </c>
      <c r="G34" t="s">
        <v>48</v>
      </c>
    </row>
    <row r="35" spans="1:7" x14ac:dyDescent="0.25">
      <c r="A35" t="s">
        <v>757</v>
      </c>
      <c r="B35" t="s">
        <v>175</v>
      </c>
      <c r="C35" t="s">
        <v>746</v>
      </c>
      <c r="E35">
        <v>34</v>
      </c>
      <c r="F35" t="s">
        <v>758</v>
      </c>
      <c r="G35" t="s">
        <v>49</v>
      </c>
    </row>
    <row r="36" spans="1:7" x14ac:dyDescent="0.25">
      <c r="A36" t="s">
        <v>759</v>
      </c>
      <c r="B36" t="s">
        <v>170</v>
      </c>
      <c r="C36" t="s">
        <v>746</v>
      </c>
      <c r="E36">
        <v>35</v>
      </c>
      <c r="F36" t="s">
        <v>760</v>
      </c>
      <c r="G36" t="s">
        <v>50</v>
      </c>
    </row>
    <row r="37" spans="1:7" x14ac:dyDescent="0.25">
      <c r="A37" t="s">
        <v>574</v>
      </c>
      <c r="B37" t="s">
        <v>171</v>
      </c>
      <c r="C37" t="s">
        <v>746</v>
      </c>
      <c r="E37">
        <v>36</v>
      </c>
      <c r="F37" t="s">
        <v>761</v>
      </c>
      <c r="G37" t="s">
        <v>51</v>
      </c>
    </row>
    <row r="38" spans="1:7" x14ac:dyDescent="0.25">
      <c r="A38" t="s">
        <v>762</v>
      </c>
      <c r="B38" t="s">
        <v>329</v>
      </c>
      <c r="C38" t="s">
        <v>719</v>
      </c>
      <c r="E38">
        <v>37</v>
      </c>
      <c r="F38" t="s">
        <v>763</v>
      </c>
      <c r="G38" t="s">
        <v>52</v>
      </c>
    </row>
    <row r="39" spans="1:7" x14ac:dyDescent="0.25">
      <c r="A39" t="s">
        <v>764</v>
      </c>
      <c r="B39" t="s">
        <v>330</v>
      </c>
      <c r="C39" t="s">
        <v>719</v>
      </c>
      <c r="E39">
        <v>38</v>
      </c>
      <c r="F39" t="s">
        <v>765</v>
      </c>
      <c r="G39" t="s">
        <v>53</v>
      </c>
    </row>
    <row r="40" spans="1:7" x14ac:dyDescent="0.25">
      <c r="A40" t="s">
        <v>766</v>
      </c>
      <c r="B40" t="s">
        <v>331</v>
      </c>
      <c r="C40" t="s">
        <v>719</v>
      </c>
      <c r="E40">
        <v>39</v>
      </c>
      <c r="F40" t="s">
        <v>767</v>
      </c>
      <c r="G40" t="s">
        <v>54</v>
      </c>
    </row>
    <row r="41" spans="1:7" x14ac:dyDescent="0.25">
      <c r="A41" t="s">
        <v>768</v>
      </c>
      <c r="B41" t="s">
        <v>332</v>
      </c>
      <c r="C41" t="s">
        <v>719</v>
      </c>
      <c r="E41">
        <v>40</v>
      </c>
      <c r="F41" t="s">
        <v>769</v>
      </c>
      <c r="G41" t="s">
        <v>55</v>
      </c>
    </row>
    <row r="42" spans="1:7" x14ac:dyDescent="0.25">
      <c r="A42" t="s">
        <v>770</v>
      </c>
      <c r="B42" t="s">
        <v>334</v>
      </c>
      <c r="C42" t="s">
        <v>719</v>
      </c>
      <c r="E42">
        <v>41</v>
      </c>
      <c r="F42" t="s">
        <v>771</v>
      </c>
      <c r="G42" t="s">
        <v>56</v>
      </c>
    </row>
    <row r="43" spans="1:7" x14ac:dyDescent="0.25">
      <c r="A43" t="s">
        <v>772</v>
      </c>
      <c r="B43" t="s">
        <v>333</v>
      </c>
      <c r="C43" t="s">
        <v>719</v>
      </c>
      <c r="E43">
        <v>42</v>
      </c>
      <c r="F43" t="s">
        <v>773</v>
      </c>
      <c r="G43" t="s">
        <v>57</v>
      </c>
    </row>
    <row r="44" spans="1:7" x14ac:dyDescent="0.25">
      <c r="A44" t="s">
        <v>774</v>
      </c>
      <c r="B44" t="s">
        <v>335</v>
      </c>
      <c r="C44" t="s">
        <v>719</v>
      </c>
      <c r="E44">
        <v>43</v>
      </c>
      <c r="F44" t="s">
        <v>775</v>
      </c>
      <c r="G44" t="s">
        <v>58</v>
      </c>
    </row>
    <row r="45" spans="1:7" x14ac:dyDescent="0.25">
      <c r="A45" t="s">
        <v>776</v>
      </c>
      <c r="B45" t="s">
        <v>336</v>
      </c>
      <c r="C45" t="s">
        <v>719</v>
      </c>
      <c r="E45">
        <v>44</v>
      </c>
      <c r="F45" t="s">
        <v>777</v>
      </c>
      <c r="G45" t="s">
        <v>59</v>
      </c>
    </row>
    <row r="46" spans="1:7" x14ac:dyDescent="0.25">
      <c r="A46" t="s">
        <v>778</v>
      </c>
      <c r="B46" t="s">
        <v>337</v>
      </c>
      <c r="C46" t="s">
        <v>719</v>
      </c>
      <c r="E46">
        <v>45</v>
      </c>
      <c r="F46" t="s">
        <v>779</v>
      </c>
      <c r="G46" t="s">
        <v>60</v>
      </c>
    </row>
    <row r="47" spans="1:7" x14ac:dyDescent="0.25">
      <c r="A47" t="s">
        <v>780</v>
      </c>
      <c r="B47" t="s">
        <v>338</v>
      </c>
      <c r="C47" t="s">
        <v>719</v>
      </c>
      <c r="E47">
        <v>46</v>
      </c>
      <c r="F47" t="s">
        <v>781</v>
      </c>
      <c r="G47" t="s">
        <v>61</v>
      </c>
    </row>
    <row r="48" spans="1:7" x14ac:dyDescent="0.25">
      <c r="A48" t="s">
        <v>782</v>
      </c>
      <c r="B48" t="s">
        <v>339</v>
      </c>
      <c r="C48" t="s">
        <v>719</v>
      </c>
      <c r="E48">
        <v>47</v>
      </c>
      <c r="F48" t="s">
        <v>783</v>
      </c>
      <c r="G48" t="s">
        <v>62</v>
      </c>
    </row>
    <row r="49" spans="1:7" x14ac:dyDescent="0.25">
      <c r="A49" t="s">
        <v>784</v>
      </c>
      <c r="B49" t="s">
        <v>340</v>
      </c>
      <c r="C49" t="s">
        <v>719</v>
      </c>
      <c r="E49">
        <v>48</v>
      </c>
      <c r="F49" t="s">
        <v>785</v>
      </c>
      <c r="G49" t="s">
        <v>63</v>
      </c>
    </row>
    <row r="50" spans="1:7" x14ac:dyDescent="0.25">
      <c r="A50" t="s">
        <v>592</v>
      </c>
      <c r="B50" t="s">
        <v>341</v>
      </c>
      <c r="C50" t="s">
        <v>719</v>
      </c>
      <c r="E50">
        <v>49</v>
      </c>
      <c r="F50" t="s">
        <v>786</v>
      </c>
      <c r="G50" t="s">
        <v>64</v>
      </c>
    </row>
    <row r="51" spans="1:7" x14ac:dyDescent="0.25">
      <c r="A51" t="s">
        <v>787</v>
      </c>
      <c r="B51" t="s">
        <v>342</v>
      </c>
      <c r="C51" t="s">
        <v>719</v>
      </c>
      <c r="E51">
        <v>50</v>
      </c>
      <c r="F51" t="s">
        <v>788</v>
      </c>
      <c r="G51" t="s">
        <v>65</v>
      </c>
    </row>
    <row r="52" spans="1:7" x14ac:dyDescent="0.25">
      <c r="A52" t="s">
        <v>789</v>
      </c>
      <c r="B52" t="s">
        <v>343</v>
      </c>
      <c r="C52" t="s">
        <v>719</v>
      </c>
      <c r="E52">
        <v>51</v>
      </c>
      <c r="F52" t="s">
        <v>790</v>
      </c>
      <c r="G52" t="s">
        <v>66</v>
      </c>
    </row>
    <row r="53" spans="1:7" x14ac:dyDescent="0.25">
      <c r="A53" t="s">
        <v>593</v>
      </c>
      <c r="B53" t="s">
        <v>344</v>
      </c>
      <c r="C53" t="s">
        <v>719</v>
      </c>
      <c r="E53">
        <v>52</v>
      </c>
      <c r="F53" t="s">
        <v>791</v>
      </c>
      <c r="G53" t="s">
        <v>67</v>
      </c>
    </row>
    <row r="54" spans="1:7" x14ac:dyDescent="0.25">
      <c r="A54" t="s">
        <v>792</v>
      </c>
      <c r="B54" t="s">
        <v>345</v>
      </c>
      <c r="C54" t="s">
        <v>719</v>
      </c>
    </row>
    <row r="55" spans="1:7" x14ac:dyDescent="0.25">
      <c r="A55" t="s">
        <v>793</v>
      </c>
      <c r="B55" t="s">
        <v>346</v>
      </c>
      <c r="C55" t="s">
        <v>719</v>
      </c>
    </row>
    <row r="56" spans="1:7" x14ac:dyDescent="0.25">
      <c r="A56" t="s">
        <v>594</v>
      </c>
      <c r="B56" t="s">
        <v>347</v>
      </c>
      <c r="C56" t="s">
        <v>719</v>
      </c>
    </row>
    <row r="57" spans="1:7" x14ac:dyDescent="0.25">
      <c r="A57" t="s">
        <v>794</v>
      </c>
      <c r="B57" t="s">
        <v>348</v>
      </c>
      <c r="C57" t="s">
        <v>719</v>
      </c>
    </row>
    <row r="58" spans="1:7" x14ac:dyDescent="0.25">
      <c r="A58" t="s">
        <v>795</v>
      </c>
      <c r="B58" t="s">
        <v>349</v>
      </c>
      <c r="C58" t="s">
        <v>719</v>
      </c>
    </row>
    <row r="59" spans="1:7" x14ac:dyDescent="0.25">
      <c r="A59" t="s">
        <v>796</v>
      </c>
      <c r="B59" t="s">
        <v>350</v>
      </c>
      <c r="C59" t="s">
        <v>719</v>
      </c>
    </row>
    <row r="60" spans="1:7" x14ac:dyDescent="0.25">
      <c r="A60" t="s">
        <v>797</v>
      </c>
      <c r="B60" t="s">
        <v>351</v>
      </c>
      <c r="C60" t="s">
        <v>719</v>
      </c>
    </row>
    <row r="61" spans="1:7" x14ac:dyDescent="0.25">
      <c r="A61" t="s">
        <v>798</v>
      </c>
      <c r="B61" t="s">
        <v>352</v>
      </c>
      <c r="C61" t="s">
        <v>719</v>
      </c>
    </row>
    <row r="62" spans="1:7" x14ac:dyDescent="0.25">
      <c r="A62" t="s">
        <v>799</v>
      </c>
      <c r="B62" t="s">
        <v>353</v>
      </c>
      <c r="C62" t="s">
        <v>719</v>
      </c>
    </row>
    <row r="63" spans="1:7" x14ac:dyDescent="0.25">
      <c r="A63" t="s">
        <v>800</v>
      </c>
      <c r="B63" t="s">
        <v>354</v>
      </c>
      <c r="C63" t="s">
        <v>719</v>
      </c>
    </row>
    <row r="64" spans="1:7" x14ac:dyDescent="0.25">
      <c r="A64" t="s">
        <v>801</v>
      </c>
      <c r="B64" t="s">
        <v>355</v>
      </c>
      <c r="C64" t="s">
        <v>719</v>
      </c>
    </row>
    <row r="65" spans="1:3" x14ac:dyDescent="0.25">
      <c r="A65" t="s">
        <v>802</v>
      </c>
      <c r="B65" t="s">
        <v>356</v>
      </c>
      <c r="C65" t="s">
        <v>719</v>
      </c>
    </row>
    <row r="66" spans="1:3" x14ac:dyDescent="0.25">
      <c r="A66" t="s">
        <v>803</v>
      </c>
      <c r="B66" t="s">
        <v>357</v>
      </c>
      <c r="C66" t="s">
        <v>719</v>
      </c>
    </row>
    <row r="67" spans="1:3" x14ac:dyDescent="0.25">
      <c r="A67" t="s">
        <v>804</v>
      </c>
      <c r="B67" t="s">
        <v>358</v>
      </c>
      <c r="C67" t="s">
        <v>720</v>
      </c>
    </row>
    <row r="68" spans="1:3" x14ac:dyDescent="0.25">
      <c r="A68" t="s">
        <v>805</v>
      </c>
      <c r="B68" t="s">
        <v>359</v>
      </c>
      <c r="C68" t="s">
        <v>720</v>
      </c>
    </row>
    <row r="69" spans="1:3" x14ac:dyDescent="0.25">
      <c r="A69" t="s">
        <v>806</v>
      </c>
      <c r="B69" t="s">
        <v>360</v>
      </c>
      <c r="C69" t="s">
        <v>720</v>
      </c>
    </row>
    <row r="70" spans="1:3" x14ac:dyDescent="0.25">
      <c r="A70" t="s">
        <v>807</v>
      </c>
      <c r="B70" t="s">
        <v>361</v>
      </c>
      <c r="C70" t="s">
        <v>720</v>
      </c>
    </row>
    <row r="71" spans="1:3" x14ac:dyDescent="0.25">
      <c r="A71" t="s">
        <v>808</v>
      </c>
      <c r="B71" t="s">
        <v>362</v>
      </c>
      <c r="C71" t="s">
        <v>720</v>
      </c>
    </row>
    <row r="72" spans="1:3" x14ac:dyDescent="0.25">
      <c r="A72" t="s">
        <v>809</v>
      </c>
      <c r="B72" t="s">
        <v>363</v>
      </c>
      <c r="C72" t="s">
        <v>720</v>
      </c>
    </row>
    <row r="73" spans="1:3" x14ac:dyDescent="0.25">
      <c r="A73" t="s">
        <v>810</v>
      </c>
      <c r="B73" t="s">
        <v>364</v>
      </c>
      <c r="C73" t="s">
        <v>720</v>
      </c>
    </row>
    <row r="74" spans="1:3" x14ac:dyDescent="0.25">
      <c r="A74" t="s">
        <v>811</v>
      </c>
      <c r="B74" t="s">
        <v>365</v>
      </c>
      <c r="C74" t="s">
        <v>720</v>
      </c>
    </row>
    <row r="75" spans="1:3" x14ac:dyDescent="0.25">
      <c r="A75" t="s">
        <v>812</v>
      </c>
      <c r="B75" t="s">
        <v>177</v>
      </c>
      <c r="C75" t="s">
        <v>722</v>
      </c>
    </row>
    <row r="76" spans="1:3" x14ac:dyDescent="0.25">
      <c r="A76" t="s">
        <v>813</v>
      </c>
      <c r="B76" t="s">
        <v>178</v>
      </c>
      <c r="C76" t="s">
        <v>722</v>
      </c>
    </row>
    <row r="77" spans="1:3" x14ac:dyDescent="0.25">
      <c r="A77" t="s">
        <v>814</v>
      </c>
      <c r="B77" t="s">
        <v>179</v>
      </c>
      <c r="C77" t="s">
        <v>722</v>
      </c>
    </row>
    <row r="78" spans="1:3" x14ac:dyDescent="0.25">
      <c r="A78" t="s">
        <v>577</v>
      </c>
      <c r="B78" t="s">
        <v>180</v>
      </c>
      <c r="C78" t="s">
        <v>722</v>
      </c>
    </row>
    <row r="79" spans="1:3" x14ac:dyDescent="0.25">
      <c r="A79" t="s">
        <v>815</v>
      </c>
      <c r="B79" t="s">
        <v>366</v>
      </c>
      <c r="C79" t="s">
        <v>724</v>
      </c>
    </row>
    <row r="80" spans="1:3" x14ac:dyDescent="0.25">
      <c r="A80" t="s">
        <v>816</v>
      </c>
      <c r="B80" t="s">
        <v>367</v>
      </c>
      <c r="C80" t="s">
        <v>724</v>
      </c>
    </row>
    <row r="81" spans="1:3" x14ac:dyDescent="0.25">
      <c r="A81" t="s">
        <v>817</v>
      </c>
      <c r="B81" t="s">
        <v>368</v>
      </c>
      <c r="C81" t="s">
        <v>724</v>
      </c>
    </row>
    <row r="82" spans="1:3" x14ac:dyDescent="0.25">
      <c r="A82" t="s">
        <v>818</v>
      </c>
      <c r="B82" t="s">
        <v>369</v>
      </c>
      <c r="C82" t="s">
        <v>724</v>
      </c>
    </row>
    <row r="83" spans="1:3" x14ac:dyDescent="0.25">
      <c r="A83" t="s">
        <v>819</v>
      </c>
      <c r="B83" t="s">
        <v>370</v>
      </c>
      <c r="C83" t="s">
        <v>724</v>
      </c>
    </row>
    <row r="84" spans="1:3" x14ac:dyDescent="0.25">
      <c r="A84" t="s">
        <v>820</v>
      </c>
      <c r="B84" t="s">
        <v>371</v>
      </c>
      <c r="C84" t="s">
        <v>724</v>
      </c>
    </row>
    <row r="85" spans="1:3" x14ac:dyDescent="0.25">
      <c r="A85" t="s">
        <v>821</v>
      </c>
      <c r="B85" t="s">
        <v>372</v>
      </c>
      <c r="C85" t="s">
        <v>724</v>
      </c>
    </row>
    <row r="86" spans="1:3" x14ac:dyDescent="0.25">
      <c r="A86" t="s">
        <v>822</v>
      </c>
      <c r="B86" t="s">
        <v>373</v>
      </c>
      <c r="C86" t="s">
        <v>724</v>
      </c>
    </row>
    <row r="87" spans="1:3" x14ac:dyDescent="0.25">
      <c r="A87" t="s">
        <v>823</v>
      </c>
      <c r="B87" t="s">
        <v>374</v>
      </c>
      <c r="C87" t="s">
        <v>724</v>
      </c>
    </row>
    <row r="88" spans="1:3" x14ac:dyDescent="0.25">
      <c r="A88" t="s">
        <v>824</v>
      </c>
      <c r="B88" t="s">
        <v>375</v>
      </c>
      <c r="C88" t="s">
        <v>724</v>
      </c>
    </row>
    <row r="89" spans="1:3" x14ac:dyDescent="0.25">
      <c r="A89" t="s">
        <v>825</v>
      </c>
      <c r="B89" t="s">
        <v>376</v>
      </c>
      <c r="C89" t="s">
        <v>726</v>
      </c>
    </row>
    <row r="90" spans="1:3" x14ac:dyDescent="0.25">
      <c r="A90" t="s">
        <v>826</v>
      </c>
      <c r="B90" t="s">
        <v>377</v>
      </c>
      <c r="C90" t="s">
        <v>726</v>
      </c>
    </row>
    <row r="91" spans="1:3" x14ac:dyDescent="0.25">
      <c r="A91" t="s">
        <v>827</v>
      </c>
      <c r="B91" t="s">
        <v>378</v>
      </c>
      <c r="C91" t="s">
        <v>726</v>
      </c>
    </row>
    <row r="92" spans="1:3" x14ac:dyDescent="0.25">
      <c r="A92" t="s">
        <v>828</v>
      </c>
      <c r="B92" t="s">
        <v>379</v>
      </c>
      <c r="C92" t="s">
        <v>734</v>
      </c>
    </row>
    <row r="93" spans="1:3" x14ac:dyDescent="0.25">
      <c r="A93" t="s">
        <v>829</v>
      </c>
      <c r="B93" t="s">
        <v>380</v>
      </c>
      <c r="C93" t="s">
        <v>728</v>
      </c>
    </row>
    <row r="94" spans="1:3" x14ac:dyDescent="0.25">
      <c r="A94" t="s">
        <v>830</v>
      </c>
      <c r="B94" t="s">
        <v>381</v>
      </c>
      <c r="C94" t="s">
        <v>728</v>
      </c>
    </row>
    <row r="95" spans="1:3" x14ac:dyDescent="0.25">
      <c r="A95" t="s">
        <v>831</v>
      </c>
      <c r="B95" t="s">
        <v>382</v>
      </c>
      <c r="C95" t="s">
        <v>728</v>
      </c>
    </row>
    <row r="96" spans="1:3" x14ac:dyDescent="0.25">
      <c r="A96" t="s">
        <v>832</v>
      </c>
      <c r="B96" t="s">
        <v>383</v>
      </c>
      <c r="C96" t="s">
        <v>728</v>
      </c>
    </row>
    <row r="97" spans="1:3" x14ac:dyDescent="0.25">
      <c r="A97" t="s">
        <v>833</v>
      </c>
      <c r="B97" t="s">
        <v>384</v>
      </c>
      <c r="C97" t="s">
        <v>728</v>
      </c>
    </row>
    <row r="98" spans="1:3" x14ac:dyDescent="0.25">
      <c r="A98" t="s">
        <v>834</v>
      </c>
      <c r="B98" t="s">
        <v>385</v>
      </c>
      <c r="C98" t="s">
        <v>728</v>
      </c>
    </row>
    <row r="99" spans="1:3" x14ac:dyDescent="0.25">
      <c r="A99" t="s">
        <v>595</v>
      </c>
      <c r="B99" t="s">
        <v>386</v>
      </c>
      <c r="C99" t="s">
        <v>728</v>
      </c>
    </row>
    <row r="100" spans="1:3" x14ac:dyDescent="0.25">
      <c r="A100" t="s">
        <v>835</v>
      </c>
      <c r="B100" t="s">
        <v>391</v>
      </c>
      <c r="C100" t="s">
        <v>728</v>
      </c>
    </row>
    <row r="101" spans="1:3" x14ac:dyDescent="0.25">
      <c r="A101" t="s">
        <v>836</v>
      </c>
      <c r="B101" t="s">
        <v>392</v>
      </c>
      <c r="C101" t="s">
        <v>728</v>
      </c>
    </row>
    <row r="102" spans="1:3" x14ac:dyDescent="0.25">
      <c r="A102" t="s">
        <v>837</v>
      </c>
      <c r="B102" t="s">
        <v>387</v>
      </c>
      <c r="C102" t="s">
        <v>730</v>
      </c>
    </row>
    <row r="103" spans="1:3" x14ac:dyDescent="0.25">
      <c r="A103" t="s">
        <v>838</v>
      </c>
      <c r="B103" t="s">
        <v>388</v>
      </c>
      <c r="C103" t="s">
        <v>730</v>
      </c>
    </row>
    <row r="104" spans="1:3" x14ac:dyDescent="0.25">
      <c r="A104" t="s">
        <v>839</v>
      </c>
      <c r="B104" t="s">
        <v>389</v>
      </c>
      <c r="C104" t="s">
        <v>730</v>
      </c>
    </row>
    <row r="105" spans="1:3" x14ac:dyDescent="0.25">
      <c r="A105" t="s">
        <v>840</v>
      </c>
      <c r="B105" t="s">
        <v>390</v>
      </c>
      <c r="C105" t="s">
        <v>730</v>
      </c>
    </row>
    <row r="106" spans="1:3" x14ac:dyDescent="0.25">
      <c r="A106" t="s">
        <v>841</v>
      </c>
      <c r="B106" t="s">
        <v>393</v>
      </c>
      <c r="C106" t="s">
        <v>728</v>
      </c>
    </row>
    <row r="107" spans="1:3" x14ac:dyDescent="0.25">
      <c r="A107" t="s">
        <v>842</v>
      </c>
      <c r="B107" t="s">
        <v>394</v>
      </c>
      <c r="C107" t="s">
        <v>728</v>
      </c>
    </row>
    <row r="108" spans="1:3" x14ac:dyDescent="0.25">
      <c r="A108" t="s">
        <v>843</v>
      </c>
      <c r="B108" t="s">
        <v>395</v>
      </c>
      <c r="C108" t="s">
        <v>728</v>
      </c>
    </row>
    <row r="109" spans="1:3" x14ac:dyDescent="0.25">
      <c r="A109" t="s">
        <v>844</v>
      </c>
      <c r="B109" t="s">
        <v>396</v>
      </c>
      <c r="C109" t="s">
        <v>728</v>
      </c>
    </row>
    <row r="110" spans="1:3" x14ac:dyDescent="0.25">
      <c r="A110" t="s">
        <v>845</v>
      </c>
      <c r="B110" t="s">
        <v>397</v>
      </c>
      <c r="C110" t="s">
        <v>728</v>
      </c>
    </row>
    <row r="111" spans="1:3" x14ac:dyDescent="0.25">
      <c r="A111" t="s">
        <v>596</v>
      </c>
      <c r="B111" t="s">
        <v>398</v>
      </c>
      <c r="C111" t="s">
        <v>728</v>
      </c>
    </row>
    <row r="112" spans="1:3" x14ac:dyDescent="0.25">
      <c r="A112" t="s">
        <v>846</v>
      </c>
      <c r="B112" t="s">
        <v>399</v>
      </c>
      <c r="C112" t="s">
        <v>732</v>
      </c>
    </row>
    <row r="113" spans="1:3" x14ac:dyDescent="0.25">
      <c r="A113" t="s">
        <v>847</v>
      </c>
      <c r="B113" t="s">
        <v>400</v>
      </c>
      <c r="C113" t="s">
        <v>732</v>
      </c>
    </row>
    <row r="114" spans="1:3" x14ac:dyDescent="0.25">
      <c r="A114" t="s">
        <v>848</v>
      </c>
      <c r="B114" t="s">
        <v>401</v>
      </c>
      <c r="C114" t="s">
        <v>732</v>
      </c>
    </row>
    <row r="115" spans="1:3" x14ac:dyDescent="0.25">
      <c r="A115" t="s">
        <v>849</v>
      </c>
      <c r="B115" t="s">
        <v>402</v>
      </c>
      <c r="C115" t="s">
        <v>732</v>
      </c>
    </row>
    <row r="116" spans="1:3" x14ac:dyDescent="0.25">
      <c r="A116" t="s">
        <v>850</v>
      </c>
      <c r="B116" t="s">
        <v>403</v>
      </c>
      <c r="C116" t="s">
        <v>732</v>
      </c>
    </row>
    <row r="117" spans="1:3" x14ac:dyDescent="0.25">
      <c r="A117" t="s">
        <v>851</v>
      </c>
      <c r="B117" t="s">
        <v>404</v>
      </c>
      <c r="C117" t="s">
        <v>732</v>
      </c>
    </row>
    <row r="118" spans="1:3" x14ac:dyDescent="0.25">
      <c r="A118" t="s">
        <v>852</v>
      </c>
      <c r="B118" t="s">
        <v>405</v>
      </c>
      <c r="C118" t="s">
        <v>732</v>
      </c>
    </row>
    <row r="119" spans="1:3" x14ac:dyDescent="0.25">
      <c r="A119" t="s">
        <v>853</v>
      </c>
      <c r="B119" t="s">
        <v>406</v>
      </c>
      <c r="C119" t="s">
        <v>732</v>
      </c>
    </row>
    <row r="120" spans="1:3" x14ac:dyDescent="0.25">
      <c r="A120" t="s">
        <v>854</v>
      </c>
      <c r="B120" t="s">
        <v>407</v>
      </c>
      <c r="C120" t="s">
        <v>732</v>
      </c>
    </row>
    <row r="121" spans="1:3" x14ac:dyDescent="0.25">
      <c r="A121" t="s">
        <v>855</v>
      </c>
      <c r="B121" t="s">
        <v>408</v>
      </c>
      <c r="C121" t="s">
        <v>732</v>
      </c>
    </row>
    <row r="122" spans="1:3" x14ac:dyDescent="0.25">
      <c r="A122" t="s">
        <v>856</v>
      </c>
      <c r="B122" t="s">
        <v>181</v>
      </c>
      <c r="C122" t="s">
        <v>703</v>
      </c>
    </row>
    <row r="123" spans="1:3" x14ac:dyDescent="0.25">
      <c r="A123" t="s">
        <v>857</v>
      </c>
      <c r="B123" t="s">
        <v>182</v>
      </c>
      <c r="C123" t="s">
        <v>702</v>
      </c>
    </row>
    <row r="124" spans="1:3" x14ac:dyDescent="0.25">
      <c r="A124" t="s">
        <v>858</v>
      </c>
      <c r="B124" t="s">
        <v>183</v>
      </c>
      <c r="C124" t="s">
        <v>703</v>
      </c>
    </row>
    <row r="125" spans="1:3" x14ac:dyDescent="0.25">
      <c r="A125" t="s">
        <v>859</v>
      </c>
      <c r="B125" t="s">
        <v>184</v>
      </c>
      <c r="C125" t="s">
        <v>703</v>
      </c>
    </row>
    <row r="126" spans="1:3" x14ac:dyDescent="0.25">
      <c r="A126" t="s">
        <v>860</v>
      </c>
      <c r="B126" t="s">
        <v>185</v>
      </c>
      <c r="C126" t="s">
        <v>703</v>
      </c>
    </row>
    <row r="127" spans="1:3" x14ac:dyDescent="0.25">
      <c r="A127" t="s">
        <v>861</v>
      </c>
      <c r="B127" t="s">
        <v>186</v>
      </c>
      <c r="C127" t="s">
        <v>703</v>
      </c>
    </row>
    <row r="128" spans="1:3" x14ac:dyDescent="0.25">
      <c r="A128" t="s">
        <v>862</v>
      </c>
      <c r="B128" t="s">
        <v>187</v>
      </c>
      <c r="C128" t="s">
        <v>703</v>
      </c>
    </row>
    <row r="129" spans="1:3" x14ac:dyDescent="0.25">
      <c r="A129" t="s">
        <v>863</v>
      </c>
      <c r="B129" t="s">
        <v>188</v>
      </c>
      <c r="C129" t="s">
        <v>703</v>
      </c>
    </row>
    <row r="130" spans="1:3" x14ac:dyDescent="0.25">
      <c r="A130" t="s">
        <v>864</v>
      </c>
      <c r="B130" t="s">
        <v>189</v>
      </c>
      <c r="C130" t="s">
        <v>703</v>
      </c>
    </row>
    <row r="131" spans="1:3" x14ac:dyDescent="0.25">
      <c r="A131" t="s">
        <v>865</v>
      </c>
      <c r="B131" t="s">
        <v>190</v>
      </c>
      <c r="C131" t="s">
        <v>703</v>
      </c>
    </row>
    <row r="132" spans="1:3" x14ac:dyDescent="0.25">
      <c r="A132" t="s">
        <v>866</v>
      </c>
      <c r="B132" t="s">
        <v>191</v>
      </c>
      <c r="C132" t="s">
        <v>703</v>
      </c>
    </row>
    <row r="133" spans="1:3" x14ac:dyDescent="0.25">
      <c r="A133" t="s">
        <v>867</v>
      </c>
      <c r="B133" t="s">
        <v>192</v>
      </c>
      <c r="C133" t="s">
        <v>703</v>
      </c>
    </row>
    <row r="134" spans="1:3" x14ac:dyDescent="0.25">
      <c r="A134" t="s">
        <v>868</v>
      </c>
      <c r="B134" t="s">
        <v>193</v>
      </c>
      <c r="C134" t="s">
        <v>734</v>
      </c>
    </row>
    <row r="135" spans="1:3" x14ac:dyDescent="0.25">
      <c r="A135" t="s">
        <v>869</v>
      </c>
      <c r="B135" t="s">
        <v>194</v>
      </c>
      <c r="C135" t="s">
        <v>734</v>
      </c>
    </row>
    <row r="136" spans="1:3" x14ac:dyDescent="0.25">
      <c r="A136" t="s">
        <v>870</v>
      </c>
      <c r="B136" t="s">
        <v>196</v>
      </c>
      <c r="C136" t="s">
        <v>736</v>
      </c>
    </row>
    <row r="137" spans="1:3" x14ac:dyDescent="0.25">
      <c r="A137" t="s">
        <v>871</v>
      </c>
      <c r="B137" t="s">
        <v>195</v>
      </c>
      <c r="C137" t="s">
        <v>736</v>
      </c>
    </row>
    <row r="138" spans="1:3" x14ac:dyDescent="0.25">
      <c r="A138" t="s">
        <v>578</v>
      </c>
      <c r="B138" t="s">
        <v>197</v>
      </c>
      <c r="C138" t="s">
        <v>736</v>
      </c>
    </row>
    <row r="139" spans="1:3" x14ac:dyDescent="0.25">
      <c r="A139" t="s">
        <v>872</v>
      </c>
      <c r="B139" t="s">
        <v>198</v>
      </c>
      <c r="C139" t="s">
        <v>736</v>
      </c>
    </row>
    <row r="140" spans="1:3" x14ac:dyDescent="0.25">
      <c r="A140" t="s">
        <v>873</v>
      </c>
      <c r="B140" t="s">
        <v>199</v>
      </c>
      <c r="C140" t="s">
        <v>736</v>
      </c>
    </row>
    <row r="141" spans="1:3" x14ac:dyDescent="0.25">
      <c r="A141" t="s">
        <v>874</v>
      </c>
      <c r="B141" t="s">
        <v>200</v>
      </c>
      <c r="C141" t="s">
        <v>736</v>
      </c>
    </row>
    <row r="142" spans="1:3" x14ac:dyDescent="0.25">
      <c r="A142" t="s">
        <v>875</v>
      </c>
      <c r="B142" t="s">
        <v>201</v>
      </c>
      <c r="C142" t="s">
        <v>734</v>
      </c>
    </row>
    <row r="143" spans="1:3" x14ac:dyDescent="0.25">
      <c r="A143" t="s">
        <v>876</v>
      </c>
      <c r="B143" t="s">
        <v>202</v>
      </c>
      <c r="C143" t="s">
        <v>736</v>
      </c>
    </row>
    <row r="144" spans="1:3" x14ac:dyDescent="0.25">
      <c r="A144" t="s">
        <v>877</v>
      </c>
      <c r="B144" t="s">
        <v>203</v>
      </c>
      <c r="C144" t="s">
        <v>737</v>
      </c>
    </row>
    <row r="145" spans="1:3" x14ac:dyDescent="0.25">
      <c r="A145" t="s">
        <v>878</v>
      </c>
      <c r="B145" t="s">
        <v>205</v>
      </c>
      <c r="C145" t="s">
        <v>737</v>
      </c>
    </row>
    <row r="146" spans="1:3" x14ac:dyDescent="0.25">
      <c r="A146" t="s">
        <v>579</v>
      </c>
      <c r="B146" t="s">
        <v>204</v>
      </c>
      <c r="C146" t="s">
        <v>737</v>
      </c>
    </row>
    <row r="147" spans="1:3" x14ac:dyDescent="0.25">
      <c r="A147" t="s">
        <v>879</v>
      </c>
      <c r="B147" t="s">
        <v>206</v>
      </c>
      <c r="C147" t="s">
        <v>737</v>
      </c>
    </row>
    <row r="148" spans="1:3" x14ac:dyDescent="0.25">
      <c r="A148" t="s">
        <v>880</v>
      </c>
      <c r="B148" t="s">
        <v>207</v>
      </c>
      <c r="C148" t="s">
        <v>737</v>
      </c>
    </row>
    <row r="149" spans="1:3" x14ac:dyDescent="0.25">
      <c r="A149" t="s">
        <v>881</v>
      </c>
      <c r="B149" t="s">
        <v>208</v>
      </c>
      <c r="C149" t="s">
        <v>737</v>
      </c>
    </row>
    <row r="150" spans="1:3" x14ac:dyDescent="0.25">
      <c r="A150" t="s">
        <v>882</v>
      </c>
      <c r="B150" t="s">
        <v>209</v>
      </c>
      <c r="C150" t="s">
        <v>737</v>
      </c>
    </row>
    <row r="151" spans="1:3" x14ac:dyDescent="0.25">
      <c r="A151" t="s">
        <v>883</v>
      </c>
      <c r="B151" t="s">
        <v>210</v>
      </c>
      <c r="C151" t="s">
        <v>737</v>
      </c>
    </row>
    <row r="152" spans="1:3" x14ac:dyDescent="0.25">
      <c r="A152" t="s">
        <v>884</v>
      </c>
      <c r="B152" t="s">
        <v>211</v>
      </c>
      <c r="C152" t="s">
        <v>737</v>
      </c>
    </row>
    <row r="153" spans="1:3" x14ac:dyDescent="0.25">
      <c r="A153" t="s">
        <v>885</v>
      </c>
      <c r="B153" t="s">
        <v>212</v>
      </c>
      <c r="C153" t="s">
        <v>737</v>
      </c>
    </row>
    <row r="154" spans="1:3" x14ac:dyDescent="0.25">
      <c r="A154" t="s">
        <v>886</v>
      </c>
      <c r="B154" t="s">
        <v>213</v>
      </c>
      <c r="C154" t="s">
        <v>737</v>
      </c>
    </row>
    <row r="155" spans="1:3" x14ac:dyDescent="0.25">
      <c r="A155" t="s">
        <v>887</v>
      </c>
      <c r="B155" t="s">
        <v>214</v>
      </c>
      <c r="C155" t="s">
        <v>737</v>
      </c>
    </row>
    <row r="156" spans="1:3" x14ac:dyDescent="0.25">
      <c r="A156" t="s">
        <v>888</v>
      </c>
      <c r="B156" t="s">
        <v>215</v>
      </c>
      <c r="C156" t="s">
        <v>737</v>
      </c>
    </row>
    <row r="157" spans="1:3" x14ac:dyDescent="0.25">
      <c r="A157" t="s">
        <v>889</v>
      </c>
      <c r="B157" t="s">
        <v>216</v>
      </c>
      <c r="C157" t="s">
        <v>737</v>
      </c>
    </row>
    <row r="158" spans="1:3" x14ac:dyDescent="0.25">
      <c r="A158" t="s">
        <v>890</v>
      </c>
      <c r="B158" t="s">
        <v>217</v>
      </c>
      <c r="C158" t="s">
        <v>737</v>
      </c>
    </row>
    <row r="159" spans="1:3" x14ac:dyDescent="0.25">
      <c r="A159" t="s">
        <v>580</v>
      </c>
      <c r="B159" t="s">
        <v>218</v>
      </c>
      <c r="C159" t="s">
        <v>737</v>
      </c>
    </row>
    <row r="160" spans="1:3" x14ac:dyDescent="0.25">
      <c r="A160" t="s">
        <v>891</v>
      </c>
      <c r="B160" t="s">
        <v>219</v>
      </c>
      <c r="C160" t="s">
        <v>737</v>
      </c>
    </row>
    <row r="161" spans="1:3" x14ac:dyDescent="0.25">
      <c r="A161" t="s">
        <v>892</v>
      </c>
      <c r="B161" t="s">
        <v>220</v>
      </c>
      <c r="C161" t="s">
        <v>737</v>
      </c>
    </row>
    <row r="162" spans="1:3" x14ac:dyDescent="0.25">
      <c r="A162" t="s">
        <v>893</v>
      </c>
      <c r="B162" t="s">
        <v>222</v>
      </c>
      <c r="C162" t="s">
        <v>737</v>
      </c>
    </row>
    <row r="163" spans="1:3" x14ac:dyDescent="0.25">
      <c r="A163" t="s">
        <v>581</v>
      </c>
      <c r="B163" t="s">
        <v>221</v>
      </c>
      <c r="C163" t="s">
        <v>737</v>
      </c>
    </row>
    <row r="164" spans="1:3" x14ac:dyDescent="0.25">
      <c r="A164" t="s">
        <v>894</v>
      </c>
      <c r="B164" t="s">
        <v>223</v>
      </c>
      <c r="C164" t="s">
        <v>744</v>
      </c>
    </row>
    <row r="165" spans="1:3" x14ac:dyDescent="0.25">
      <c r="A165" t="s">
        <v>895</v>
      </c>
      <c r="B165" t="s">
        <v>224</v>
      </c>
      <c r="C165" t="s">
        <v>744</v>
      </c>
    </row>
    <row r="166" spans="1:3" x14ac:dyDescent="0.25">
      <c r="A166" t="s">
        <v>896</v>
      </c>
      <c r="B166" t="s">
        <v>225</v>
      </c>
      <c r="C166" t="s">
        <v>744</v>
      </c>
    </row>
    <row r="167" spans="1:3" x14ac:dyDescent="0.25">
      <c r="A167" t="s">
        <v>897</v>
      </c>
      <c r="B167" t="s">
        <v>226</v>
      </c>
      <c r="C167" t="s">
        <v>744</v>
      </c>
    </row>
    <row r="168" spans="1:3" x14ac:dyDescent="0.25">
      <c r="A168" t="s">
        <v>898</v>
      </c>
      <c r="B168" t="s">
        <v>227</v>
      </c>
      <c r="C168" t="s">
        <v>744</v>
      </c>
    </row>
    <row r="169" spans="1:3" x14ac:dyDescent="0.25">
      <c r="A169" t="s">
        <v>582</v>
      </c>
      <c r="B169" t="s">
        <v>228</v>
      </c>
      <c r="C169" t="s">
        <v>744</v>
      </c>
    </row>
    <row r="170" spans="1:3" x14ac:dyDescent="0.25">
      <c r="A170" t="s">
        <v>899</v>
      </c>
      <c r="B170" t="s">
        <v>229</v>
      </c>
      <c r="C170" t="s">
        <v>744</v>
      </c>
    </row>
    <row r="171" spans="1:3" x14ac:dyDescent="0.25">
      <c r="A171" t="s">
        <v>900</v>
      </c>
      <c r="B171" t="s">
        <v>230</v>
      </c>
      <c r="C171" t="s">
        <v>744</v>
      </c>
    </row>
    <row r="172" spans="1:3" x14ac:dyDescent="0.25">
      <c r="A172" t="s">
        <v>901</v>
      </c>
      <c r="B172" t="s">
        <v>231</v>
      </c>
      <c r="C172" t="s">
        <v>744</v>
      </c>
    </row>
    <row r="173" spans="1:3" x14ac:dyDescent="0.25">
      <c r="A173" t="s">
        <v>902</v>
      </c>
      <c r="B173" t="s">
        <v>234</v>
      </c>
      <c r="C173" t="s">
        <v>744</v>
      </c>
    </row>
    <row r="174" spans="1:3" x14ac:dyDescent="0.25">
      <c r="A174" t="s">
        <v>903</v>
      </c>
      <c r="B174" t="s">
        <v>232</v>
      </c>
      <c r="C174" t="s">
        <v>744</v>
      </c>
    </row>
    <row r="175" spans="1:3" x14ac:dyDescent="0.25">
      <c r="A175" t="s">
        <v>904</v>
      </c>
      <c r="B175" t="s">
        <v>233</v>
      </c>
      <c r="C175" t="s">
        <v>744</v>
      </c>
    </row>
    <row r="176" spans="1:3" x14ac:dyDescent="0.25">
      <c r="A176" t="s">
        <v>905</v>
      </c>
      <c r="B176" t="s">
        <v>235</v>
      </c>
      <c r="C176" t="s">
        <v>744</v>
      </c>
    </row>
    <row r="177" spans="1:3" x14ac:dyDescent="0.25">
      <c r="A177" t="s">
        <v>906</v>
      </c>
      <c r="B177" t="s">
        <v>236</v>
      </c>
      <c r="C177" t="s">
        <v>744</v>
      </c>
    </row>
    <row r="178" spans="1:3" x14ac:dyDescent="0.25">
      <c r="A178" t="s">
        <v>907</v>
      </c>
      <c r="B178" t="s">
        <v>237</v>
      </c>
      <c r="C178" t="s">
        <v>744</v>
      </c>
    </row>
    <row r="179" spans="1:3" x14ac:dyDescent="0.25">
      <c r="A179" t="s">
        <v>583</v>
      </c>
      <c r="B179" t="s">
        <v>238</v>
      </c>
      <c r="C179" t="s">
        <v>744</v>
      </c>
    </row>
    <row r="180" spans="1:3" x14ac:dyDescent="0.25">
      <c r="A180" t="s">
        <v>908</v>
      </c>
      <c r="B180" t="s">
        <v>239</v>
      </c>
      <c r="C180" t="s">
        <v>744</v>
      </c>
    </row>
    <row r="181" spans="1:3" x14ac:dyDescent="0.25">
      <c r="A181" t="s">
        <v>909</v>
      </c>
      <c r="B181" t="s">
        <v>240</v>
      </c>
      <c r="C181" t="s">
        <v>744</v>
      </c>
    </row>
    <row r="182" spans="1:3" x14ac:dyDescent="0.25">
      <c r="A182" t="s">
        <v>910</v>
      </c>
      <c r="B182" t="s">
        <v>241</v>
      </c>
      <c r="C182" t="s">
        <v>744</v>
      </c>
    </row>
    <row r="183" spans="1:3" x14ac:dyDescent="0.25">
      <c r="A183" t="s">
        <v>911</v>
      </c>
      <c r="B183" t="s">
        <v>242</v>
      </c>
      <c r="C183" t="s">
        <v>744</v>
      </c>
    </row>
    <row r="184" spans="1:3" x14ac:dyDescent="0.25">
      <c r="A184" t="s">
        <v>912</v>
      </c>
      <c r="B184" t="s">
        <v>243</v>
      </c>
      <c r="C184" t="s">
        <v>744</v>
      </c>
    </row>
    <row r="185" spans="1:3" x14ac:dyDescent="0.25">
      <c r="A185" t="s">
        <v>913</v>
      </c>
      <c r="B185" t="s">
        <v>244</v>
      </c>
      <c r="C185" t="s">
        <v>744</v>
      </c>
    </row>
    <row r="186" spans="1:3" x14ac:dyDescent="0.25">
      <c r="A186" t="s">
        <v>914</v>
      </c>
      <c r="C186" t="s">
        <v>744</v>
      </c>
    </row>
    <row r="187" spans="1:3" x14ac:dyDescent="0.25">
      <c r="A187" t="s">
        <v>915</v>
      </c>
      <c r="B187" t="s">
        <v>245</v>
      </c>
      <c r="C187" t="s">
        <v>744</v>
      </c>
    </row>
    <row r="188" spans="1:3" x14ac:dyDescent="0.25">
      <c r="A188" t="s">
        <v>916</v>
      </c>
      <c r="B188" t="s">
        <v>246</v>
      </c>
      <c r="C188" t="s">
        <v>744</v>
      </c>
    </row>
    <row r="189" spans="1:3" x14ac:dyDescent="0.25">
      <c r="A189" t="s">
        <v>917</v>
      </c>
      <c r="B189" t="s">
        <v>247</v>
      </c>
      <c r="C189" t="s">
        <v>744</v>
      </c>
    </row>
    <row r="190" spans="1:3" x14ac:dyDescent="0.25">
      <c r="A190" t="s">
        <v>918</v>
      </c>
      <c r="B190" t="s">
        <v>248</v>
      </c>
      <c r="C190" t="s">
        <v>744</v>
      </c>
    </row>
    <row r="191" spans="1:3" x14ac:dyDescent="0.25">
      <c r="A191" t="s">
        <v>584</v>
      </c>
      <c r="B191" t="s">
        <v>249</v>
      </c>
      <c r="C191" t="s">
        <v>744</v>
      </c>
    </row>
    <row r="192" spans="1:3" x14ac:dyDescent="0.25">
      <c r="A192" t="s">
        <v>585</v>
      </c>
      <c r="B192" t="s">
        <v>250</v>
      </c>
      <c r="C192" t="s">
        <v>744</v>
      </c>
    </row>
    <row r="193" spans="1:3" x14ac:dyDescent="0.25">
      <c r="A193" t="s">
        <v>919</v>
      </c>
      <c r="B193" t="s">
        <v>251</v>
      </c>
      <c r="C193" t="s">
        <v>739</v>
      </c>
    </row>
    <row r="194" spans="1:3" x14ac:dyDescent="0.25">
      <c r="A194" t="s">
        <v>920</v>
      </c>
      <c r="B194" t="s">
        <v>252</v>
      </c>
      <c r="C194" t="s">
        <v>739</v>
      </c>
    </row>
    <row r="195" spans="1:3" x14ac:dyDescent="0.25">
      <c r="A195" t="s">
        <v>921</v>
      </c>
      <c r="B195" t="s">
        <v>253</v>
      </c>
      <c r="C195" t="s">
        <v>739</v>
      </c>
    </row>
    <row r="196" spans="1:3" x14ac:dyDescent="0.25">
      <c r="A196" t="s">
        <v>922</v>
      </c>
      <c r="B196" t="s">
        <v>254</v>
      </c>
      <c r="C196" t="s">
        <v>739</v>
      </c>
    </row>
    <row r="197" spans="1:3" x14ac:dyDescent="0.25">
      <c r="A197" t="s">
        <v>923</v>
      </c>
      <c r="B197" t="s">
        <v>255</v>
      </c>
      <c r="C197" t="s">
        <v>739</v>
      </c>
    </row>
    <row r="198" spans="1:3" x14ac:dyDescent="0.25">
      <c r="A198" t="s">
        <v>924</v>
      </c>
      <c r="B198" t="s">
        <v>256</v>
      </c>
      <c r="C198" t="s">
        <v>739</v>
      </c>
    </row>
    <row r="199" spans="1:3" x14ac:dyDescent="0.25">
      <c r="A199" t="s">
        <v>925</v>
      </c>
      <c r="B199" t="s">
        <v>269</v>
      </c>
      <c r="C199" t="s">
        <v>739</v>
      </c>
    </row>
    <row r="200" spans="1:3" x14ac:dyDescent="0.25">
      <c r="A200" t="s">
        <v>926</v>
      </c>
      <c r="B200" t="s">
        <v>257</v>
      </c>
      <c r="C200" t="s">
        <v>739</v>
      </c>
    </row>
    <row r="201" spans="1:3" x14ac:dyDescent="0.25">
      <c r="A201" t="s">
        <v>927</v>
      </c>
      <c r="B201" t="s">
        <v>258</v>
      </c>
      <c r="C201" t="s">
        <v>739</v>
      </c>
    </row>
    <row r="202" spans="1:3" x14ac:dyDescent="0.25">
      <c r="A202" t="s">
        <v>586</v>
      </c>
      <c r="B202" t="s">
        <v>259</v>
      </c>
      <c r="C202" t="s">
        <v>739</v>
      </c>
    </row>
    <row r="203" spans="1:3" x14ac:dyDescent="0.25">
      <c r="A203" t="s">
        <v>928</v>
      </c>
      <c r="B203" t="s">
        <v>260</v>
      </c>
      <c r="C203" t="s">
        <v>739</v>
      </c>
    </row>
    <row r="204" spans="1:3" x14ac:dyDescent="0.25">
      <c r="A204" t="s">
        <v>929</v>
      </c>
      <c r="B204" t="s">
        <v>261</v>
      </c>
      <c r="C204" t="s">
        <v>739</v>
      </c>
    </row>
    <row r="205" spans="1:3" x14ac:dyDescent="0.25">
      <c r="A205" t="s">
        <v>930</v>
      </c>
      <c r="B205" t="s">
        <v>262</v>
      </c>
      <c r="C205" t="s">
        <v>739</v>
      </c>
    </row>
    <row r="206" spans="1:3" x14ac:dyDescent="0.25">
      <c r="A206" t="s">
        <v>931</v>
      </c>
      <c r="B206" t="s">
        <v>263</v>
      </c>
      <c r="C206" t="s">
        <v>739</v>
      </c>
    </row>
    <row r="207" spans="1:3" x14ac:dyDescent="0.25">
      <c r="A207" t="s">
        <v>932</v>
      </c>
      <c r="B207" t="s">
        <v>264</v>
      </c>
      <c r="C207" t="s">
        <v>739</v>
      </c>
    </row>
    <row r="208" spans="1:3" x14ac:dyDescent="0.25">
      <c r="A208" t="s">
        <v>933</v>
      </c>
      <c r="B208" t="s">
        <v>265</v>
      </c>
      <c r="C208" t="s">
        <v>739</v>
      </c>
    </row>
    <row r="209" spans="1:3" x14ac:dyDescent="0.25">
      <c r="A209" t="s">
        <v>934</v>
      </c>
      <c r="B209" t="s">
        <v>266</v>
      </c>
      <c r="C209" t="s">
        <v>739</v>
      </c>
    </row>
    <row r="210" spans="1:3" x14ac:dyDescent="0.25">
      <c r="A210" t="s">
        <v>935</v>
      </c>
      <c r="B210" t="s">
        <v>267</v>
      </c>
      <c r="C210" t="s">
        <v>739</v>
      </c>
    </row>
    <row r="211" spans="1:3" x14ac:dyDescent="0.25">
      <c r="A211" t="s">
        <v>587</v>
      </c>
      <c r="B211" t="s">
        <v>268</v>
      </c>
      <c r="C211" t="s">
        <v>739</v>
      </c>
    </row>
    <row r="212" spans="1:3" x14ac:dyDescent="0.25">
      <c r="A212" t="s">
        <v>936</v>
      </c>
      <c r="B212" t="s">
        <v>270</v>
      </c>
      <c r="C212" t="s">
        <v>739</v>
      </c>
    </row>
    <row r="213" spans="1:3" x14ac:dyDescent="0.25">
      <c r="A213" t="s">
        <v>937</v>
      </c>
      <c r="B213" t="s">
        <v>271</v>
      </c>
      <c r="C213" t="s">
        <v>741</v>
      </c>
    </row>
    <row r="214" spans="1:3" x14ac:dyDescent="0.25">
      <c r="A214" t="s">
        <v>938</v>
      </c>
      <c r="B214" t="s">
        <v>272</v>
      </c>
      <c r="C214" t="s">
        <v>741</v>
      </c>
    </row>
    <row r="215" spans="1:3" x14ac:dyDescent="0.25">
      <c r="A215" t="s">
        <v>939</v>
      </c>
      <c r="B215" t="s">
        <v>273</v>
      </c>
      <c r="C215" t="s">
        <v>741</v>
      </c>
    </row>
    <row r="216" spans="1:3" x14ac:dyDescent="0.25">
      <c r="A216" t="s">
        <v>940</v>
      </c>
      <c r="B216" t="s">
        <v>274</v>
      </c>
      <c r="C216" t="s">
        <v>741</v>
      </c>
    </row>
    <row r="217" spans="1:3" x14ac:dyDescent="0.25">
      <c r="A217" t="s">
        <v>941</v>
      </c>
      <c r="C217" t="s">
        <v>741</v>
      </c>
    </row>
    <row r="218" spans="1:3" x14ac:dyDescent="0.25">
      <c r="A218" t="s">
        <v>942</v>
      </c>
      <c r="C218" t="s">
        <v>741</v>
      </c>
    </row>
    <row r="219" spans="1:3" x14ac:dyDescent="0.25">
      <c r="A219" t="s">
        <v>943</v>
      </c>
      <c r="C219" t="s">
        <v>741</v>
      </c>
    </row>
    <row r="220" spans="1:3" x14ac:dyDescent="0.25">
      <c r="A220" t="s">
        <v>944</v>
      </c>
      <c r="C220" t="s">
        <v>741</v>
      </c>
    </row>
    <row r="221" spans="1:3" x14ac:dyDescent="0.25">
      <c r="A221" t="s">
        <v>945</v>
      </c>
      <c r="B221" t="s">
        <v>275</v>
      </c>
      <c r="C221" t="s">
        <v>741</v>
      </c>
    </row>
    <row r="222" spans="1:3" x14ac:dyDescent="0.25">
      <c r="A222" t="s">
        <v>946</v>
      </c>
      <c r="B222" t="s">
        <v>276</v>
      </c>
      <c r="C222" t="s">
        <v>741</v>
      </c>
    </row>
    <row r="223" spans="1:3" x14ac:dyDescent="0.25">
      <c r="A223" t="s">
        <v>947</v>
      </c>
      <c r="B223" t="s">
        <v>277</v>
      </c>
      <c r="C223" t="s">
        <v>741</v>
      </c>
    </row>
    <row r="224" spans="1:3" x14ac:dyDescent="0.25">
      <c r="A224" t="s">
        <v>948</v>
      </c>
      <c r="B224" t="s">
        <v>278</v>
      </c>
      <c r="C224" t="s">
        <v>741</v>
      </c>
    </row>
    <row r="225" spans="1:3" x14ac:dyDescent="0.25">
      <c r="A225" t="s">
        <v>949</v>
      </c>
      <c r="B225" t="s">
        <v>279</v>
      </c>
      <c r="C225" t="s">
        <v>741</v>
      </c>
    </row>
    <row r="226" spans="1:3" x14ac:dyDescent="0.25">
      <c r="A226" t="s">
        <v>950</v>
      </c>
      <c r="B226" t="s">
        <v>280</v>
      </c>
      <c r="C226" t="s">
        <v>741</v>
      </c>
    </row>
    <row r="227" spans="1:3" x14ac:dyDescent="0.25">
      <c r="A227" t="s">
        <v>951</v>
      </c>
      <c r="B227" t="s">
        <v>281</v>
      </c>
      <c r="C227" t="s">
        <v>741</v>
      </c>
    </row>
    <row r="228" spans="1:3" x14ac:dyDescent="0.25">
      <c r="A228" t="s">
        <v>952</v>
      </c>
      <c r="B228" t="s">
        <v>282</v>
      </c>
      <c r="C228" t="s">
        <v>741</v>
      </c>
    </row>
    <row r="229" spans="1:3" x14ac:dyDescent="0.25">
      <c r="A229" t="s">
        <v>953</v>
      </c>
      <c r="B229" t="s">
        <v>283</v>
      </c>
      <c r="C229" t="s">
        <v>741</v>
      </c>
    </row>
    <row r="230" spans="1:3" x14ac:dyDescent="0.25">
      <c r="A230" t="s">
        <v>954</v>
      </c>
      <c r="B230" t="s">
        <v>284</v>
      </c>
      <c r="C230" t="s">
        <v>741</v>
      </c>
    </row>
    <row r="231" spans="1:3" x14ac:dyDescent="0.25">
      <c r="A231" t="s">
        <v>955</v>
      </c>
      <c r="B231" t="s">
        <v>285</v>
      </c>
      <c r="C231" t="s">
        <v>747</v>
      </c>
    </row>
    <row r="232" spans="1:3" x14ac:dyDescent="0.25">
      <c r="A232" t="s">
        <v>956</v>
      </c>
      <c r="B232" t="s">
        <v>286</v>
      </c>
      <c r="C232" t="s">
        <v>747</v>
      </c>
    </row>
    <row r="233" spans="1:3" x14ac:dyDescent="0.25">
      <c r="A233" t="s">
        <v>957</v>
      </c>
      <c r="B233" t="s">
        <v>287</v>
      </c>
      <c r="C233" t="s">
        <v>747</v>
      </c>
    </row>
    <row r="234" spans="1:3" x14ac:dyDescent="0.25">
      <c r="A234" t="s">
        <v>958</v>
      </c>
      <c r="B234" t="s">
        <v>288</v>
      </c>
      <c r="C234" t="s">
        <v>747</v>
      </c>
    </row>
    <row r="235" spans="1:3" x14ac:dyDescent="0.25">
      <c r="A235" t="s">
        <v>959</v>
      </c>
      <c r="B235" t="s">
        <v>289</v>
      </c>
      <c r="C235" t="s">
        <v>747</v>
      </c>
    </row>
    <row r="236" spans="1:3" x14ac:dyDescent="0.25">
      <c r="A236" t="s">
        <v>960</v>
      </c>
      <c r="B236" t="s">
        <v>290</v>
      </c>
      <c r="C236" t="s">
        <v>747</v>
      </c>
    </row>
    <row r="237" spans="1:3" x14ac:dyDescent="0.25">
      <c r="A237" t="s">
        <v>961</v>
      </c>
      <c r="B237" t="s">
        <v>291</v>
      </c>
      <c r="C237" t="s">
        <v>747</v>
      </c>
    </row>
    <row r="238" spans="1:3" x14ac:dyDescent="0.25">
      <c r="A238" t="s">
        <v>962</v>
      </c>
      <c r="B238" t="s">
        <v>292</v>
      </c>
      <c r="C238" t="s">
        <v>747</v>
      </c>
    </row>
    <row r="239" spans="1:3" x14ac:dyDescent="0.25">
      <c r="A239" t="s">
        <v>963</v>
      </c>
      <c r="B239" t="s">
        <v>293</v>
      </c>
      <c r="C239" t="s">
        <v>747</v>
      </c>
    </row>
    <row r="240" spans="1:3" x14ac:dyDescent="0.25">
      <c r="A240" t="s">
        <v>964</v>
      </c>
      <c r="B240" t="s">
        <v>294</v>
      </c>
      <c r="C240" t="s">
        <v>747</v>
      </c>
    </row>
    <row r="241" spans="1:3" x14ac:dyDescent="0.25">
      <c r="A241" t="s">
        <v>965</v>
      </c>
      <c r="B241" t="s">
        <v>295</v>
      </c>
      <c r="C241" t="s">
        <v>747</v>
      </c>
    </row>
    <row r="242" spans="1:3" x14ac:dyDescent="0.25">
      <c r="A242" t="s">
        <v>966</v>
      </c>
      <c r="B242" t="s">
        <v>296</v>
      </c>
      <c r="C242" t="s">
        <v>747</v>
      </c>
    </row>
    <row r="243" spans="1:3" x14ac:dyDescent="0.25">
      <c r="A243" t="s">
        <v>967</v>
      </c>
      <c r="B243" t="s">
        <v>297</v>
      </c>
      <c r="C243" t="s">
        <v>747</v>
      </c>
    </row>
    <row r="244" spans="1:3" x14ac:dyDescent="0.25">
      <c r="A244" t="s">
        <v>588</v>
      </c>
      <c r="B244" t="s">
        <v>298</v>
      </c>
      <c r="C244" t="s">
        <v>747</v>
      </c>
    </row>
    <row r="245" spans="1:3" x14ac:dyDescent="0.25">
      <c r="A245" t="s">
        <v>968</v>
      </c>
      <c r="B245" t="s">
        <v>299</v>
      </c>
      <c r="C245" t="s">
        <v>751</v>
      </c>
    </row>
    <row r="246" spans="1:3" x14ac:dyDescent="0.25">
      <c r="A246" t="s">
        <v>969</v>
      </c>
      <c r="B246" t="s">
        <v>300</v>
      </c>
      <c r="C246" t="s">
        <v>751</v>
      </c>
    </row>
    <row r="247" spans="1:3" x14ac:dyDescent="0.25">
      <c r="A247" t="s">
        <v>970</v>
      </c>
      <c r="B247" t="s">
        <v>301</v>
      </c>
      <c r="C247" t="s">
        <v>751</v>
      </c>
    </row>
    <row r="248" spans="1:3" x14ac:dyDescent="0.25">
      <c r="A248" t="s">
        <v>971</v>
      </c>
      <c r="B248" t="s">
        <v>302</v>
      </c>
      <c r="C248" t="s">
        <v>751</v>
      </c>
    </row>
    <row r="249" spans="1:3" x14ac:dyDescent="0.25">
      <c r="A249" t="s">
        <v>589</v>
      </c>
      <c r="B249" t="s">
        <v>303</v>
      </c>
      <c r="C249" t="s">
        <v>751</v>
      </c>
    </row>
    <row r="250" spans="1:3" x14ac:dyDescent="0.25">
      <c r="A250" t="s">
        <v>972</v>
      </c>
      <c r="B250" t="s">
        <v>304</v>
      </c>
      <c r="C250" t="s">
        <v>751</v>
      </c>
    </row>
    <row r="251" spans="1:3" x14ac:dyDescent="0.25">
      <c r="A251" t="s">
        <v>973</v>
      </c>
      <c r="B251" t="s">
        <v>305</v>
      </c>
      <c r="C251" t="s">
        <v>749</v>
      </c>
    </row>
    <row r="252" spans="1:3" x14ac:dyDescent="0.25">
      <c r="A252" t="s">
        <v>974</v>
      </c>
      <c r="B252" t="s">
        <v>306</v>
      </c>
      <c r="C252" t="s">
        <v>749</v>
      </c>
    </row>
    <row r="253" spans="1:3" x14ac:dyDescent="0.25">
      <c r="A253" t="s">
        <v>975</v>
      </c>
      <c r="B253" t="s">
        <v>307</v>
      </c>
      <c r="C253" t="s">
        <v>751</v>
      </c>
    </row>
    <row r="254" spans="1:3" x14ac:dyDescent="0.25">
      <c r="A254" t="s">
        <v>976</v>
      </c>
      <c r="B254" t="s">
        <v>308</v>
      </c>
      <c r="C254" t="s">
        <v>751</v>
      </c>
    </row>
    <row r="255" spans="1:3" x14ac:dyDescent="0.25">
      <c r="A255" t="s">
        <v>977</v>
      </c>
      <c r="B255" t="s">
        <v>309</v>
      </c>
      <c r="C255" t="s">
        <v>751</v>
      </c>
    </row>
    <row r="256" spans="1:3" x14ac:dyDescent="0.25">
      <c r="A256" t="s">
        <v>978</v>
      </c>
      <c r="B256" t="s">
        <v>310</v>
      </c>
      <c r="C256" t="s">
        <v>753</v>
      </c>
    </row>
    <row r="257" spans="1:3" x14ac:dyDescent="0.25">
      <c r="A257" t="s">
        <v>979</v>
      </c>
      <c r="B257" t="s">
        <v>311</v>
      </c>
      <c r="C257" t="s">
        <v>753</v>
      </c>
    </row>
    <row r="258" spans="1:3" x14ac:dyDescent="0.25">
      <c r="A258" t="s">
        <v>980</v>
      </c>
      <c r="B258" t="s">
        <v>312</v>
      </c>
      <c r="C258" t="s">
        <v>753</v>
      </c>
    </row>
    <row r="259" spans="1:3" x14ac:dyDescent="0.25">
      <c r="A259" t="s">
        <v>981</v>
      </c>
      <c r="B259" t="s">
        <v>313</v>
      </c>
      <c r="C259" t="s">
        <v>753</v>
      </c>
    </row>
    <row r="260" spans="1:3" x14ac:dyDescent="0.25">
      <c r="A260" t="s">
        <v>590</v>
      </c>
      <c r="B260" t="s">
        <v>314</v>
      </c>
      <c r="C260" t="s">
        <v>753</v>
      </c>
    </row>
    <row r="261" spans="1:3" x14ac:dyDescent="0.25">
      <c r="A261" t="s">
        <v>982</v>
      </c>
      <c r="B261" t="s">
        <v>315</v>
      </c>
      <c r="C261" t="s">
        <v>753</v>
      </c>
    </row>
    <row r="262" spans="1:3" x14ac:dyDescent="0.25">
      <c r="A262" t="s">
        <v>591</v>
      </c>
      <c r="B262" t="s">
        <v>316</v>
      </c>
      <c r="C262" t="s">
        <v>753</v>
      </c>
    </row>
    <row r="263" spans="1:3" x14ac:dyDescent="0.25">
      <c r="A263" t="s">
        <v>983</v>
      </c>
      <c r="B263" t="s">
        <v>317</v>
      </c>
      <c r="C263" t="s">
        <v>753</v>
      </c>
    </row>
    <row r="264" spans="1:3" x14ac:dyDescent="0.25">
      <c r="A264" t="s">
        <v>984</v>
      </c>
      <c r="B264" t="s">
        <v>318</v>
      </c>
      <c r="C264" t="s">
        <v>753</v>
      </c>
    </row>
    <row r="265" spans="1:3" x14ac:dyDescent="0.25">
      <c r="A265" t="s">
        <v>985</v>
      </c>
      <c r="B265" t="s">
        <v>319</v>
      </c>
      <c r="C265" t="s">
        <v>753</v>
      </c>
    </row>
    <row r="266" spans="1:3" x14ac:dyDescent="0.25">
      <c r="A266" t="s">
        <v>986</v>
      </c>
      <c r="B266" t="s">
        <v>320</v>
      </c>
      <c r="C266" t="s">
        <v>753</v>
      </c>
    </row>
    <row r="267" spans="1:3" x14ac:dyDescent="0.25">
      <c r="A267" t="s">
        <v>987</v>
      </c>
      <c r="B267" t="s">
        <v>321</v>
      </c>
      <c r="C267" t="s">
        <v>753</v>
      </c>
    </row>
    <row r="268" spans="1:3" x14ac:dyDescent="0.25">
      <c r="A268" t="s">
        <v>988</v>
      </c>
      <c r="B268" t="s">
        <v>322</v>
      </c>
      <c r="C268" t="s">
        <v>753</v>
      </c>
    </row>
    <row r="269" spans="1:3" x14ac:dyDescent="0.25">
      <c r="A269" t="s">
        <v>989</v>
      </c>
      <c r="B269" t="s">
        <v>323</v>
      </c>
      <c r="C269" t="s">
        <v>753</v>
      </c>
    </row>
    <row r="270" spans="1:3" x14ac:dyDescent="0.25">
      <c r="A270" t="s">
        <v>990</v>
      </c>
      <c r="B270" t="s">
        <v>324</v>
      </c>
      <c r="C270" t="s">
        <v>753</v>
      </c>
    </row>
    <row r="271" spans="1:3" x14ac:dyDescent="0.25">
      <c r="A271" t="s">
        <v>991</v>
      </c>
      <c r="B271" t="s">
        <v>325</v>
      </c>
      <c r="C271" t="s">
        <v>753</v>
      </c>
    </row>
    <row r="272" spans="1:3" x14ac:dyDescent="0.25">
      <c r="A272" t="s">
        <v>992</v>
      </c>
      <c r="B272" t="s">
        <v>326</v>
      </c>
      <c r="C272" t="s">
        <v>753</v>
      </c>
    </row>
    <row r="273" spans="1:3" x14ac:dyDescent="0.25">
      <c r="A273" t="s">
        <v>993</v>
      </c>
      <c r="B273" t="s">
        <v>327</v>
      </c>
      <c r="C273" t="s">
        <v>753</v>
      </c>
    </row>
    <row r="274" spans="1:3" x14ac:dyDescent="0.25">
      <c r="A274" t="s">
        <v>994</v>
      </c>
      <c r="B274" t="s">
        <v>328</v>
      </c>
      <c r="C274" t="s">
        <v>753</v>
      </c>
    </row>
    <row r="275" spans="1:3" x14ac:dyDescent="0.25">
      <c r="A275" t="s">
        <v>599</v>
      </c>
      <c r="B275" t="s">
        <v>419</v>
      </c>
      <c r="C275" t="s">
        <v>756</v>
      </c>
    </row>
    <row r="276" spans="1:3" x14ac:dyDescent="0.25">
      <c r="A276" t="s">
        <v>995</v>
      </c>
      <c r="B276" t="s">
        <v>409</v>
      </c>
      <c r="C276" t="s">
        <v>756</v>
      </c>
    </row>
    <row r="277" spans="1:3" x14ac:dyDescent="0.25">
      <c r="A277" t="s">
        <v>996</v>
      </c>
      <c r="B277" t="s">
        <v>410</v>
      </c>
      <c r="C277" t="s">
        <v>756</v>
      </c>
    </row>
    <row r="278" spans="1:3" x14ac:dyDescent="0.25">
      <c r="A278" t="s">
        <v>997</v>
      </c>
      <c r="B278" t="s">
        <v>998</v>
      </c>
      <c r="C278" t="s">
        <v>756</v>
      </c>
    </row>
    <row r="279" spans="1:3" x14ac:dyDescent="0.25">
      <c r="A279" t="s">
        <v>999</v>
      </c>
      <c r="B279" t="s">
        <v>412</v>
      </c>
      <c r="C279" t="s">
        <v>756</v>
      </c>
    </row>
    <row r="280" spans="1:3" x14ac:dyDescent="0.25">
      <c r="A280" t="s">
        <v>597</v>
      </c>
      <c r="B280" t="s">
        <v>413</v>
      </c>
      <c r="C280" t="s">
        <v>756</v>
      </c>
    </row>
    <row r="281" spans="1:3" x14ac:dyDescent="0.25">
      <c r="A281" t="s">
        <v>1000</v>
      </c>
      <c r="B281" t="s">
        <v>414</v>
      </c>
      <c r="C281" t="s">
        <v>756</v>
      </c>
    </row>
    <row r="282" spans="1:3" x14ac:dyDescent="0.25">
      <c r="A282" t="s">
        <v>1001</v>
      </c>
      <c r="B282" t="s">
        <v>1002</v>
      </c>
      <c r="C282" t="s">
        <v>756</v>
      </c>
    </row>
    <row r="283" spans="1:3" x14ac:dyDescent="0.25">
      <c r="A283" t="s">
        <v>1003</v>
      </c>
      <c r="B283" t="s">
        <v>416</v>
      </c>
      <c r="C283" t="s">
        <v>756</v>
      </c>
    </row>
    <row r="284" spans="1:3" x14ac:dyDescent="0.25">
      <c r="A284" t="s">
        <v>598</v>
      </c>
      <c r="B284" t="s">
        <v>417</v>
      </c>
      <c r="C284" t="s">
        <v>756</v>
      </c>
    </row>
    <row r="285" spans="1:3" x14ac:dyDescent="0.25">
      <c r="A285" t="s">
        <v>1004</v>
      </c>
      <c r="B285" t="s">
        <v>418</v>
      </c>
      <c r="C285" t="s">
        <v>756</v>
      </c>
    </row>
    <row r="286" spans="1:3" x14ac:dyDescent="0.25">
      <c r="A286" t="s">
        <v>657</v>
      </c>
      <c r="B286" t="s">
        <v>420</v>
      </c>
      <c r="C286" t="s">
        <v>756</v>
      </c>
    </row>
    <row r="287" spans="1:3" x14ac:dyDescent="0.25">
      <c r="A287" t="s">
        <v>660</v>
      </c>
      <c r="B287" t="s">
        <v>423</v>
      </c>
      <c r="C287" t="s">
        <v>756</v>
      </c>
    </row>
    <row r="288" spans="1:3" x14ac:dyDescent="0.25">
      <c r="A288" t="s">
        <v>658</v>
      </c>
      <c r="B288" t="s">
        <v>421</v>
      </c>
      <c r="C288" t="s">
        <v>756</v>
      </c>
    </row>
    <row r="289" spans="1:3" x14ac:dyDescent="0.25">
      <c r="A289" t="s">
        <v>661</v>
      </c>
      <c r="B289" t="s">
        <v>424</v>
      </c>
      <c r="C289" t="s">
        <v>756</v>
      </c>
    </row>
    <row r="290" spans="1:3" x14ac:dyDescent="0.25">
      <c r="A290" t="s">
        <v>662</v>
      </c>
      <c r="B290" t="s">
        <v>425</v>
      </c>
      <c r="C290" t="s">
        <v>756</v>
      </c>
    </row>
    <row r="291" spans="1:3" x14ac:dyDescent="0.25">
      <c r="A291" t="s">
        <v>663</v>
      </c>
      <c r="B291" t="s">
        <v>426</v>
      </c>
      <c r="C291" t="s">
        <v>756</v>
      </c>
    </row>
    <row r="292" spans="1:3" x14ac:dyDescent="0.25">
      <c r="A292" t="s">
        <v>659</v>
      </c>
      <c r="B292" t="s">
        <v>422</v>
      </c>
      <c r="C292" t="s">
        <v>756</v>
      </c>
    </row>
    <row r="293" spans="1:3" x14ac:dyDescent="0.25">
      <c r="A293" t="s">
        <v>1005</v>
      </c>
      <c r="B293" t="s">
        <v>427</v>
      </c>
      <c r="C293" t="s">
        <v>756</v>
      </c>
    </row>
    <row r="294" spans="1:3" x14ac:dyDescent="0.25">
      <c r="A294" t="s">
        <v>1006</v>
      </c>
      <c r="B294" t="s">
        <v>429</v>
      </c>
      <c r="C294" t="s">
        <v>761</v>
      </c>
    </row>
    <row r="295" spans="1:3" x14ac:dyDescent="0.25">
      <c r="A295" t="s">
        <v>1007</v>
      </c>
      <c r="B295" t="s">
        <v>430</v>
      </c>
      <c r="C295" t="s">
        <v>758</v>
      </c>
    </row>
    <row r="296" spans="1:3" x14ac:dyDescent="0.25">
      <c r="A296" t="s">
        <v>1008</v>
      </c>
      <c r="B296" t="s">
        <v>431</v>
      </c>
      <c r="C296" t="s">
        <v>760</v>
      </c>
    </row>
    <row r="297" spans="1:3" x14ac:dyDescent="0.25">
      <c r="A297" t="s">
        <v>1009</v>
      </c>
      <c r="B297" t="s">
        <v>432</v>
      </c>
      <c r="C297" t="s">
        <v>758</v>
      </c>
    </row>
    <row r="298" spans="1:3" x14ac:dyDescent="0.25">
      <c r="A298" t="s">
        <v>1010</v>
      </c>
      <c r="B298" t="s">
        <v>433</v>
      </c>
      <c r="C298" t="s">
        <v>758</v>
      </c>
    </row>
    <row r="299" spans="1:3" x14ac:dyDescent="0.25">
      <c r="A299" t="s">
        <v>1011</v>
      </c>
      <c r="B299" t="s">
        <v>434</v>
      </c>
      <c r="C299" t="s">
        <v>758</v>
      </c>
    </row>
    <row r="300" spans="1:3" x14ac:dyDescent="0.25">
      <c r="A300" t="s">
        <v>601</v>
      </c>
      <c r="B300" t="s">
        <v>435</v>
      </c>
      <c r="C300" t="s">
        <v>763</v>
      </c>
    </row>
    <row r="301" spans="1:3" x14ac:dyDescent="0.25">
      <c r="A301" t="s">
        <v>1012</v>
      </c>
      <c r="B301" t="s">
        <v>534</v>
      </c>
      <c r="C301" t="s">
        <v>783</v>
      </c>
    </row>
    <row r="302" spans="1:3" x14ac:dyDescent="0.25">
      <c r="A302" t="s">
        <v>1013</v>
      </c>
      <c r="B302" t="s">
        <v>436</v>
      </c>
      <c r="C302" t="s">
        <v>765</v>
      </c>
    </row>
    <row r="303" spans="1:3" x14ac:dyDescent="0.25">
      <c r="A303" t="s">
        <v>1014</v>
      </c>
      <c r="B303" t="s">
        <v>437</v>
      </c>
      <c r="C303" t="s">
        <v>763</v>
      </c>
    </row>
    <row r="304" spans="1:3" x14ac:dyDescent="0.25">
      <c r="A304" t="s">
        <v>600</v>
      </c>
      <c r="B304" t="s">
        <v>428</v>
      </c>
      <c r="C304" t="s">
        <v>756</v>
      </c>
    </row>
    <row r="305" spans="1:3" x14ac:dyDescent="0.25">
      <c r="A305" t="s">
        <v>1015</v>
      </c>
      <c r="B305" t="s">
        <v>438</v>
      </c>
      <c r="C305" t="s">
        <v>769</v>
      </c>
    </row>
    <row r="306" spans="1:3" x14ac:dyDescent="0.25">
      <c r="A306" t="s">
        <v>1016</v>
      </c>
      <c r="B306" t="s">
        <v>439</v>
      </c>
      <c r="C306" t="s">
        <v>769</v>
      </c>
    </row>
    <row r="307" spans="1:3" x14ac:dyDescent="0.25">
      <c r="A307" t="s">
        <v>1017</v>
      </c>
      <c r="B307" t="s">
        <v>440</v>
      </c>
      <c r="C307" t="s">
        <v>769</v>
      </c>
    </row>
    <row r="308" spans="1:3" x14ac:dyDescent="0.25">
      <c r="A308" t="s">
        <v>602</v>
      </c>
      <c r="B308" t="s">
        <v>441</v>
      </c>
      <c r="C308" t="s">
        <v>769</v>
      </c>
    </row>
    <row r="309" spans="1:3" x14ac:dyDescent="0.25">
      <c r="A309" t="s">
        <v>1018</v>
      </c>
      <c r="B309" t="s">
        <v>442</v>
      </c>
      <c r="C309" t="s">
        <v>769</v>
      </c>
    </row>
    <row r="310" spans="1:3" x14ac:dyDescent="0.25">
      <c r="A310" t="s">
        <v>1019</v>
      </c>
      <c r="B310" t="s">
        <v>443</v>
      </c>
      <c r="C310" t="s">
        <v>769</v>
      </c>
    </row>
    <row r="311" spans="1:3" x14ac:dyDescent="0.25">
      <c r="A311" t="s">
        <v>1020</v>
      </c>
      <c r="B311" t="s">
        <v>444</v>
      </c>
      <c r="C311" t="s">
        <v>769</v>
      </c>
    </row>
    <row r="312" spans="1:3" x14ac:dyDescent="0.25">
      <c r="A312" t="s">
        <v>1021</v>
      </c>
      <c r="B312" t="s">
        <v>445</v>
      </c>
      <c r="C312" t="s">
        <v>769</v>
      </c>
    </row>
    <row r="313" spans="1:3" x14ac:dyDescent="0.25">
      <c r="A313" t="s">
        <v>1022</v>
      </c>
      <c r="B313" t="s">
        <v>446</v>
      </c>
      <c r="C313" t="s">
        <v>769</v>
      </c>
    </row>
    <row r="314" spans="1:3" x14ac:dyDescent="0.25">
      <c r="A314" t="s">
        <v>1023</v>
      </c>
      <c r="B314" t="s">
        <v>447</v>
      </c>
      <c r="C314" t="s">
        <v>771</v>
      </c>
    </row>
    <row r="315" spans="1:3" x14ac:dyDescent="0.25">
      <c r="A315" t="s">
        <v>1024</v>
      </c>
      <c r="B315" t="s">
        <v>448</v>
      </c>
      <c r="C315" t="s">
        <v>771</v>
      </c>
    </row>
    <row r="316" spans="1:3" x14ac:dyDescent="0.25">
      <c r="A316" t="s">
        <v>603</v>
      </c>
      <c r="B316" t="s">
        <v>449</v>
      </c>
      <c r="C316" t="s">
        <v>771</v>
      </c>
    </row>
    <row r="317" spans="1:3" x14ac:dyDescent="0.25">
      <c r="A317" t="s">
        <v>1025</v>
      </c>
      <c r="B317" t="s">
        <v>450</v>
      </c>
      <c r="C317" t="s">
        <v>773</v>
      </c>
    </row>
    <row r="318" spans="1:3" x14ac:dyDescent="0.25">
      <c r="A318" t="s">
        <v>1026</v>
      </c>
      <c r="B318" t="s">
        <v>451</v>
      </c>
      <c r="C318" t="s">
        <v>773</v>
      </c>
    </row>
    <row r="319" spans="1:3" x14ac:dyDescent="0.25">
      <c r="A319" t="s">
        <v>604</v>
      </c>
      <c r="B319" t="s">
        <v>452</v>
      </c>
      <c r="C319" t="s">
        <v>773</v>
      </c>
    </row>
    <row r="320" spans="1:3" x14ac:dyDescent="0.25">
      <c r="A320" t="s">
        <v>605</v>
      </c>
      <c r="B320" t="s">
        <v>453</v>
      </c>
      <c r="C320" t="s">
        <v>775</v>
      </c>
    </row>
    <row r="321" spans="1:3" x14ac:dyDescent="0.25">
      <c r="A321" t="s">
        <v>1027</v>
      </c>
      <c r="B321" t="s">
        <v>455</v>
      </c>
      <c r="C321" t="s">
        <v>775</v>
      </c>
    </row>
    <row r="322" spans="1:3" x14ac:dyDescent="0.25">
      <c r="A322" t="s">
        <v>607</v>
      </c>
      <c r="B322" t="s">
        <v>456</v>
      </c>
      <c r="C322" t="s">
        <v>775</v>
      </c>
    </row>
    <row r="323" spans="1:3" x14ac:dyDescent="0.25">
      <c r="A323" t="s">
        <v>1028</v>
      </c>
      <c r="B323" t="s">
        <v>457</v>
      </c>
      <c r="C323" t="s">
        <v>775</v>
      </c>
    </row>
    <row r="324" spans="1:3" x14ac:dyDescent="0.25">
      <c r="A324" t="s">
        <v>608</v>
      </c>
      <c r="B324" t="s">
        <v>458</v>
      </c>
      <c r="C324" t="s">
        <v>775</v>
      </c>
    </row>
    <row r="325" spans="1:3" x14ac:dyDescent="0.25">
      <c r="A325" t="s">
        <v>1029</v>
      </c>
      <c r="B325" t="s">
        <v>459</v>
      </c>
      <c r="C325" t="s">
        <v>775</v>
      </c>
    </row>
    <row r="326" spans="1:3" x14ac:dyDescent="0.25">
      <c r="A326" t="s">
        <v>1030</v>
      </c>
      <c r="B326" t="s">
        <v>460</v>
      </c>
      <c r="C326" t="s">
        <v>775</v>
      </c>
    </row>
    <row r="327" spans="1:3" x14ac:dyDescent="0.25">
      <c r="A327" t="s">
        <v>606</v>
      </c>
      <c r="B327" t="s">
        <v>454</v>
      </c>
      <c r="C327" t="s">
        <v>775</v>
      </c>
    </row>
    <row r="328" spans="1:3" x14ac:dyDescent="0.25">
      <c r="A328" t="s">
        <v>609</v>
      </c>
      <c r="B328" t="s">
        <v>461</v>
      </c>
      <c r="C328" t="s">
        <v>777</v>
      </c>
    </row>
    <row r="329" spans="1:3" x14ac:dyDescent="0.25">
      <c r="A329" t="s">
        <v>610</v>
      </c>
      <c r="B329" t="s">
        <v>462</v>
      </c>
      <c r="C329" t="s">
        <v>777</v>
      </c>
    </row>
    <row r="330" spans="1:3" x14ac:dyDescent="0.25">
      <c r="A330" t="s">
        <v>611</v>
      </c>
      <c r="B330" t="s">
        <v>463</v>
      </c>
      <c r="C330" t="s">
        <v>777</v>
      </c>
    </row>
    <row r="331" spans="1:3" x14ac:dyDescent="0.25">
      <c r="A331" t="s">
        <v>1031</v>
      </c>
      <c r="B331" t="s">
        <v>464</v>
      </c>
      <c r="C331" t="s">
        <v>777</v>
      </c>
    </row>
    <row r="332" spans="1:3" x14ac:dyDescent="0.25">
      <c r="A332" t="s">
        <v>1032</v>
      </c>
      <c r="B332" t="s">
        <v>465</v>
      </c>
      <c r="C332" t="s">
        <v>777</v>
      </c>
    </row>
    <row r="333" spans="1:3" x14ac:dyDescent="0.25">
      <c r="A333" t="s">
        <v>612</v>
      </c>
      <c r="B333" t="s">
        <v>466</v>
      </c>
      <c r="C333" t="s">
        <v>777</v>
      </c>
    </row>
    <row r="334" spans="1:3" x14ac:dyDescent="0.25">
      <c r="A334" t="s">
        <v>1033</v>
      </c>
      <c r="B334" t="s">
        <v>467</v>
      </c>
      <c r="C334" t="s">
        <v>777</v>
      </c>
    </row>
    <row r="335" spans="1:3" x14ac:dyDescent="0.25">
      <c r="A335" t="s">
        <v>1034</v>
      </c>
      <c r="B335" t="s">
        <v>468</v>
      </c>
      <c r="C335" t="s">
        <v>779</v>
      </c>
    </row>
    <row r="336" spans="1:3" x14ac:dyDescent="0.25">
      <c r="A336" t="s">
        <v>1035</v>
      </c>
      <c r="B336" t="s">
        <v>472</v>
      </c>
      <c r="C336" t="s">
        <v>779</v>
      </c>
    </row>
    <row r="337" spans="1:3" x14ac:dyDescent="0.25">
      <c r="A337" t="s">
        <v>1036</v>
      </c>
      <c r="B337" t="s">
        <v>473</v>
      </c>
      <c r="C337" t="s">
        <v>779</v>
      </c>
    </row>
    <row r="338" spans="1:3" x14ac:dyDescent="0.25">
      <c r="A338" t="s">
        <v>1037</v>
      </c>
      <c r="B338" t="s">
        <v>478</v>
      </c>
      <c r="C338" t="s">
        <v>779</v>
      </c>
    </row>
    <row r="339" spans="1:3" x14ac:dyDescent="0.25">
      <c r="A339" t="s">
        <v>1038</v>
      </c>
      <c r="B339" t="s">
        <v>469</v>
      </c>
      <c r="C339" t="s">
        <v>773</v>
      </c>
    </row>
    <row r="340" spans="1:3" x14ac:dyDescent="0.25">
      <c r="A340" t="s">
        <v>1039</v>
      </c>
      <c r="B340" t="s">
        <v>470</v>
      </c>
      <c r="C340" t="s">
        <v>773</v>
      </c>
    </row>
    <row r="341" spans="1:3" x14ac:dyDescent="0.25">
      <c r="A341" t="s">
        <v>613</v>
      </c>
      <c r="B341" t="s">
        <v>471</v>
      </c>
      <c r="C341" t="s">
        <v>773</v>
      </c>
    </row>
    <row r="342" spans="1:3" x14ac:dyDescent="0.25">
      <c r="A342" t="s">
        <v>1040</v>
      </c>
      <c r="B342" t="s">
        <v>474</v>
      </c>
      <c r="C342" t="s">
        <v>779</v>
      </c>
    </row>
    <row r="343" spans="1:3" x14ac:dyDescent="0.25">
      <c r="A343" t="s">
        <v>614</v>
      </c>
      <c r="B343" t="s">
        <v>475</v>
      </c>
      <c r="C343" t="s">
        <v>779</v>
      </c>
    </row>
    <row r="344" spans="1:3" x14ac:dyDescent="0.25">
      <c r="A344" t="s">
        <v>1041</v>
      </c>
      <c r="B344" t="s">
        <v>476</v>
      </c>
      <c r="C344" t="s">
        <v>779</v>
      </c>
    </row>
    <row r="345" spans="1:3" x14ac:dyDescent="0.25">
      <c r="A345" t="s">
        <v>1042</v>
      </c>
      <c r="B345" t="s">
        <v>477</v>
      </c>
      <c r="C345" t="s">
        <v>779</v>
      </c>
    </row>
    <row r="346" spans="1:3" x14ac:dyDescent="0.25">
      <c r="A346" t="s">
        <v>1043</v>
      </c>
      <c r="B346" t="s">
        <v>479</v>
      </c>
      <c r="C346" t="s">
        <v>779</v>
      </c>
    </row>
    <row r="347" spans="1:3" x14ac:dyDescent="0.25">
      <c r="A347" t="s">
        <v>1044</v>
      </c>
      <c r="B347" t="s">
        <v>480</v>
      </c>
      <c r="C347" t="s">
        <v>779</v>
      </c>
    </row>
    <row r="348" spans="1:3" x14ac:dyDescent="0.25">
      <c r="A348" t="s">
        <v>615</v>
      </c>
      <c r="B348" t="s">
        <v>1045</v>
      </c>
      <c r="C348" t="s">
        <v>779</v>
      </c>
    </row>
    <row r="349" spans="1:3" x14ac:dyDescent="0.25">
      <c r="A349" t="s">
        <v>1046</v>
      </c>
      <c r="B349" t="s">
        <v>482</v>
      </c>
      <c r="C349" t="s">
        <v>779</v>
      </c>
    </row>
    <row r="350" spans="1:3" x14ac:dyDescent="0.25">
      <c r="A350" t="s">
        <v>1047</v>
      </c>
      <c r="B350" t="s">
        <v>485</v>
      </c>
      <c r="C350" t="s">
        <v>781</v>
      </c>
    </row>
    <row r="351" spans="1:3" x14ac:dyDescent="0.25">
      <c r="A351" t="s">
        <v>1048</v>
      </c>
      <c r="B351" t="s">
        <v>486</v>
      </c>
      <c r="C351" t="s">
        <v>781</v>
      </c>
    </row>
    <row r="352" spans="1:3" x14ac:dyDescent="0.25">
      <c r="A352" t="s">
        <v>1049</v>
      </c>
      <c r="B352" t="s">
        <v>483</v>
      </c>
      <c r="C352" t="s">
        <v>781</v>
      </c>
    </row>
    <row r="353" spans="1:3" x14ac:dyDescent="0.25">
      <c r="A353" t="s">
        <v>1050</v>
      </c>
      <c r="B353" t="s">
        <v>487</v>
      </c>
      <c r="C353" t="s">
        <v>781</v>
      </c>
    </row>
    <row r="354" spans="1:3" x14ac:dyDescent="0.25">
      <c r="A354" t="s">
        <v>1051</v>
      </c>
      <c r="B354" t="s">
        <v>488</v>
      </c>
      <c r="C354" t="s">
        <v>781</v>
      </c>
    </row>
    <row r="355" spans="1:3" x14ac:dyDescent="0.25">
      <c r="A355" t="s">
        <v>1052</v>
      </c>
      <c r="B355" t="s">
        <v>489</v>
      </c>
      <c r="C355" t="s">
        <v>781</v>
      </c>
    </row>
    <row r="356" spans="1:3" x14ac:dyDescent="0.25">
      <c r="A356" t="s">
        <v>1053</v>
      </c>
      <c r="B356" t="s">
        <v>484</v>
      </c>
      <c r="C356" t="s">
        <v>781</v>
      </c>
    </row>
    <row r="357" spans="1:3" x14ac:dyDescent="0.25">
      <c r="A357" t="s">
        <v>1054</v>
      </c>
      <c r="B357" t="s">
        <v>490</v>
      </c>
      <c r="C357" t="s">
        <v>781</v>
      </c>
    </row>
    <row r="358" spans="1:3" x14ac:dyDescent="0.25">
      <c r="A358" t="s">
        <v>1055</v>
      </c>
      <c r="B358" t="s">
        <v>491</v>
      </c>
      <c r="C358" t="s">
        <v>743</v>
      </c>
    </row>
    <row r="359" spans="1:3" x14ac:dyDescent="0.25">
      <c r="A359" t="s">
        <v>1056</v>
      </c>
      <c r="B359" t="s">
        <v>492</v>
      </c>
      <c r="C359" t="s">
        <v>785</v>
      </c>
    </row>
    <row r="360" spans="1:3" x14ac:dyDescent="0.25">
      <c r="A360" t="s">
        <v>616</v>
      </c>
      <c r="B360" t="s">
        <v>493</v>
      </c>
      <c r="C360" t="s">
        <v>785</v>
      </c>
    </row>
    <row r="361" spans="1:3" x14ac:dyDescent="0.25">
      <c r="A361" t="s">
        <v>617</v>
      </c>
      <c r="B361" t="s">
        <v>494</v>
      </c>
      <c r="C361" t="s">
        <v>785</v>
      </c>
    </row>
    <row r="362" spans="1:3" x14ac:dyDescent="0.25">
      <c r="A362" t="s">
        <v>1057</v>
      </c>
      <c r="B362" t="s">
        <v>495</v>
      </c>
      <c r="C362" t="s">
        <v>786</v>
      </c>
    </row>
    <row r="363" spans="1:3" x14ac:dyDescent="0.25">
      <c r="A363" t="s">
        <v>1058</v>
      </c>
      <c r="B363" t="s">
        <v>496</v>
      </c>
      <c r="C363" t="s">
        <v>786</v>
      </c>
    </row>
    <row r="364" spans="1:3" x14ac:dyDescent="0.25">
      <c r="A364" t="s">
        <v>1059</v>
      </c>
      <c r="B364" t="s">
        <v>497</v>
      </c>
      <c r="C364" t="s">
        <v>786</v>
      </c>
    </row>
    <row r="365" spans="1:3" x14ac:dyDescent="0.25">
      <c r="A365" t="s">
        <v>1060</v>
      </c>
      <c r="B365" t="s">
        <v>498</v>
      </c>
      <c r="C365" t="s">
        <v>786</v>
      </c>
    </row>
    <row r="366" spans="1:3" x14ac:dyDescent="0.25">
      <c r="A366" t="s">
        <v>1061</v>
      </c>
      <c r="B366" t="s">
        <v>499</v>
      </c>
      <c r="C366" t="s">
        <v>786</v>
      </c>
    </row>
    <row r="367" spans="1:3" x14ac:dyDescent="0.25">
      <c r="A367" t="s">
        <v>1062</v>
      </c>
      <c r="B367" t="s">
        <v>500</v>
      </c>
      <c r="C367" t="s">
        <v>786</v>
      </c>
    </row>
    <row r="368" spans="1:3" x14ac:dyDescent="0.25">
      <c r="A368" t="s">
        <v>1063</v>
      </c>
      <c r="B368" t="s">
        <v>501</v>
      </c>
      <c r="C368" t="s">
        <v>786</v>
      </c>
    </row>
    <row r="369" spans="1:3" x14ac:dyDescent="0.25">
      <c r="A369" t="s">
        <v>1064</v>
      </c>
      <c r="B369" t="s">
        <v>502</v>
      </c>
      <c r="C369" t="s">
        <v>786</v>
      </c>
    </row>
    <row r="370" spans="1:3" x14ac:dyDescent="0.25">
      <c r="A370" t="s">
        <v>618</v>
      </c>
      <c r="B370" t="s">
        <v>503</v>
      </c>
      <c r="C370" t="s">
        <v>786</v>
      </c>
    </row>
    <row r="371" spans="1:3" x14ac:dyDescent="0.25">
      <c r="A371" t="s">
        <v>619</v>
      </c>
      <c r="B371" t="s">
        <v>504</v>
      </c>
      <c r="C371" t="s">
        <v>786</v>
      </c>
    </row>
    <row r="372" spans="1:3" x14ac:dyDescent="0.25">
      <c r="A372" t="s">
        <v>1065</v>
      </c>
      <c r="B372" t="s">
        <v>505</v>
      </c>
      <c r="C372" t="s">
        <v>786</v>
      </c>
    </row>
    <row r="373" spans="1:3" x14ac:dyDescent="0.25">
      <c r="A373" t="s">
        <v>1066</v>
      </c>
      <c r="B373" t="s">
        <v>506</v>
      </c>
      <c r="C373" t="s">
        <v>786</v>
      </c>
    </row>
    <row r="374" spans="1:3" x14ac:dyDescent="0.25">
      <c r="A374" t="s">
        <v>620</v>
      </c>
      <c r="B374" t="s">
        <v>507</v>
      </c>
      <c r="C374" t="s">
        <v>786</v>
      </c>
    </row>
    <row r="375" spans="1:3" x14ac:dyDescent="0.25">
      <c r="A375" t="s">
        <v>1067</v>
      </c>
      <c r="B375" t="s">
        <v>508</v>
      </c>
      <c r="C375" t="s">
        <v>788</v>
      </c>
    </row>
    <row r="376" spans="1:3" x14ac:dyDescent="0.25">
      <c r="A376" t="s">
        <v>1068</v>
      </c>
      <c r="B376" t="s">
        <v>509</v>
      </c>
      <c r="C376" t="s">
        <v>788</v>
      </c>
    </row>
    <row r="377" spans="1:3" x14ac:dyDescent="0.25">
      <c r="A377" t="s">
        <v>1069</v>
      </c>
      <c r="B377" t="s">
        <v>510</v>
      </c>
      <c r="C377" t="s">
        <v>788</v>
      </c>
    </row>
    <row r="378" spans="1:3" x14ac:dyDescent="0.25">
      <c r="A378" t="s">
        <v>621</v>
      </c>
      <c r="B378" t="s">
        <v>511</v>
      </c>
      <c r="C378" t="s">
        <v>788</v>
      </c>
    </row>
    <row r="379" spans="1:3" x14ac:dyDescent="0.25">
      <c r="A379" t="s">
        <v>1070</v>
      </c>
      <c r="B379" t="s">
        <v>512</v>
      </c>
      <c r="C379" t="s">
        <v>788</v>
      </c>
    </row>
    <row r="380" spans="1:3" x14ac:dyDescent="0.25">
      <c r="A380" t="s">
        <v>1071</v>
      </c>
      <c r="B380" t="s">
        <v>513</v>
      </c>
      <c r="C380" t="s">
        <v>788</v>
      </c>
    </row>
    <row r="381" spans="1:3" x14ac:dyDescent="0.25">
      <c r="A381" t="s">
        <v>1072</v>
      </c>
      <c r="B381" t="s">
        <v>514</v>
      </c>
      <c r="C381" t="s">
        <v>788</v>
      </c>
    </row>
    <row r="382" spans="1:3" x14ac:dyDescent="0.25">
      <c r="A382" t="s">
        <v>1073</v>
      </c>
      <c r="B382" t="s">
        <v>515</v>
      </c>
      <c r="C382" t="s">
        <v>788</v>
      </c>
    </row>
    <row r="383" spans="1:3" x14ac:dyDescent="0.25">
      <c r="A383" t="s">
        <v>1074</v>
      </c>
      <c r="B383" t="s">
        <v>516</v>
      </c>
      <c r="C383" t="s">
        <v>767</v>
      </c>
    </row>
    <row r="384" spans="1:3" x14ac:dyDescent="0.25">
      <c r="A384" t="s">
        <v>1075</v>
      </c>
      <c r="B384" t="s">
        <v>517</v>
      </c>
      <c r="C384" t="s">
        <v>767</v>
      </c>
    </row>
    <row r="385" spans="1:3" x14ac:dyDescent="0.25">
      <c r="A385" t="s">
        <v>1076</v>
      </c>
      <c r="B385" t="s">
        <v>518</v>
      </c>
      <c r="C385" t="s">
        <v>767</v>
      </c>
    </row>
    <row r="386" spans="1:3" x14ac:dyDescent="0.25">
      <c r="A386" t="s">
        <v>622</v>
      </c>
      <c r="B386" t="s">
        <v>519</v>
      </c>
      <c r="C386" t="s">
        <v>767</v>
      </c>
    </row>
    <row r="387" spans="1:3" x14ac:dyDescent="0.25">
      <c r="A387" t="s">
        <v>1077</v>
      </c>
      <c r="B387" t="s">
        <v>520</v>
      </c>
      <c r="C387" t="s">
        <v>756</v>
      </c>
    </row>
    <row r="388" spans="1:3" x14ac:dyDescent="0.25">
      <c r="A388" t="s">
        <v>1078</v>
      </c>
      <c r="B388" t="s">
        <v>521</v>
      </c>
      <c r="C388" t="s">
        <v>790</v>
      </c>
    </row>
    <row r="389" spans="1:3" x14ac:dyDescent="0.25">
      <c r="A389" t="s">
        <v>1079</v>
      </c>
      <c r="B389" t="s">
        <v>522</v>
      </c>
      <c r="C389" t="s">
        <v>753</v>
      </c>
    </row>
    <row r="390" spans="1:3" x14ac:dyDescent="0.25">
      <c r="A390" t="s">
        <v>1080</v>
      </c>
      <c r="B390" t="s">
        <v>523</v>
      </c>
      <c r="C390" t="s">
        <v>790</v>
      </c>
    </row>
    <row r="391" spans="1:3" x14ac:dyDescent="0.25">
      <c r="A391" t="s">
        <v>1081</v>
      </c>
      <c r="B391" t="s">
        <v>524</v>
      </c>
      <c r="C391" t="s">
        <v>790</v>
      </c>
    </row>
    <row r="392" spans="1:3" x14ac:dyDescent="0.25">
      <c r="A392" t="s">
        <v>1082</v>
      </c>
      <c r="B392" t="s">
        <v>525</v>
      </c>
      <c r="C392" t="s">
        <v>790</v>
      </c>
    </row>
    <row r="393" spans="1:3" x14ac:dyDescent="0.25">
      <c r="A393" t="s">
        <v>1083</v>
      </c>
      <c r="B393" t="s">
        <v>526</v>
      </c>
      <c r="C393" t="s">
        <v>790</v>
      </c>
    </row>
    <row r="394" spans="1:3" x14ac:dyDescent="0.25">
      <c r="A394" t="s">
        <v>1084</v>
      </c>
      <c r="B394" t="s">
        <v>527</v>
      </c>
      <c r="C394" t="s">
        <v>790</v>
      </c>
    </row>
    <row r="395" spans="1:3" x14ac:dyDescent="0.25">
      <c r="A395" t="s">
        <v>1085</v>
      </c>
      <c r="B395" t="s">
        <v>528</v>
      </c>
      <c r="C395" t="s">
        <v>790</v>
      </c>
    </row>
    <row r="396" spans="1:3" x14ac:dyDescent="0.25">
      <c r="A396" t="s">
        <v>623</v>
      </c>
      <c r="B396" t="s">
        <v>529</v>
      </c>
      <c r="C396" t="s">
        <v>790</v>
      </c>
    </row>
    <row r="397" spans="1:3" x14ac:dyDescent="0.25">
      <c r="A397" t="s">
        <v>624</v>
      </c>
      <c r="B397" t="s">
        <v>530</v>
      </c>
      <c r="C397" t="s">
        <v>790</v>
      </c>
    </row>
    <row r="398" spans="1:3" x14ac:dyDescent="0.25">
      <c r="A398" t="s">
        <v>1086</v>
      </c>
      <c r="B398" t="s">
        <v>531</v>
      </c>
      <c r="C398" t="s">
        <v>791</v>
      </c>
    </row>
    <row r="399" spans="1:3" x14ac:dyDescent="0.25">
      <c r="A399" t="s">
        <v>629</v>
      </c>
      <c r="B399" t="s">
        <v>537</v>
      </c>
      <c r="C399" t="s">
        <v>783</v>
      </c>
    </row>
    <row r="400" spans="1:3" x14ac:dyDescent="0.25">
      <c r="A400" t="s">
        <v>630</v>
      </c>
      <c r="B400" t="s">
        <v>538</v>
      </c>
      <c r="C400" t="s">
        <v>783</v>
      </c>
    </row>
    <row r="401" spans="1:3" x14ac:dyDescent="0.25">
      <c r="A401" t="s">
        <v>631</v>
      </c>
      <c r="B401" t="s">
        <v>539</v>
      </c>
      <c r="C401" t="s">
        <v>783</v>
      </c>
    </row>
    <row r="402" spans="1:3" x14ac:dyDescent="0.25">
      <c r="A402" t="s">
        <v>627</v>
      </c>
      <c r="B402" t="s">
        <v>535</v>
      </c>
      <c r="C402" t="s">
        <v>783</v>
      </c>
    </row>
    <row r="403" spans="1:3" x14ac:dyDescent="0.25">
      <c r="A403" t="s">
        <v>628</v>
      </c>
      <c r="B403" t="s">
        <v>536</v>
      </c>
      <c r="C403" t="s">
        <v>783</v>
      </c>
    </row>
    <row r="404" spans="1:3" x14ac:dyDescent="0.25">
      <c r="A404" t="s">
        <v>632</v>
      </c>
      <c r="B404" t="s">
        <v>540</v>
      </c>
      <c r="C404" t="s">
        <v>783</v>
      </c>
    </row>
    <row r="405" spans="1:3" x14ac:dyDescent="0.25">
      <c r="A405" t="s">
        <v>633</v>
      </c>
      <c r="B405" t="s">
        <v>541</v>
      </c>
      <c r="C405" t="s">
        <v>783</v>
      </c>
    </row>
    <row r="406" spans="1:3" x14ac:dyDescent="0.25">
      <c r="A406" t="s">
        <v>634</v>
      </c>
      <c r="B406" t="s">
        <v>542</v>
      </c>
      <c r="C406" t="s">
        <v>783</v>
      </c>
    </row>
    <row r="407" spans="1:3" x14ac:dyDescent="0.25">
      <c r="A407" t="s">
        <v>664</v>
      </c>
      <c r="B407" t="s">
        <v>665</v>
      </c>
      <c r="C407" t="s">
        <v>756</v>
      </c>
    </row>
    <row r="408" spans="1:3" x14ac:dyDescent="0.25">
      <c r="A408" t="s">
        <v>666</v>
      </c>
      <c r="B408" t="s">
        <v>667</v>
      </c>
      <c r="C408" t="s">
        <v>756</v>
      </c>
    </row>
    <row r="409" spans="1:3" x14ac:dyDescent="0.25">
      <c r="A409" t="s">
        <v>625</v>
      </c>
      <c r="B409" t="s">
        <v>532</v>
      </c>
      <c r="C409" t="s">
        <v>783</v>
      </c>
    </row>
    <row r="410" spans="1:3" x14ac:dyDescent="0.25">
      <c r="A410" t="s">
        <v>626</v>
      </c>
      <c r="B410" t="s">
        <v>533</v>
      </c>
      <c r="C410" t="s">
        <v>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5" x14ac:dyDescent="0.25"/>
  <sheetData>
    <row r="1" spans="1:5" x14ac:dyDescent="0.25">
      <c r="A1" s="1" t="s">
        <v>1087</v>
      </c>
    </row>
    <row r="2" spans="1:5" x14ac:dyDescent="0.25">
      <c r="A2" s="1" t="s">
        <v>1088</v>
      </c>
      <c r="B2" s="1" t="s">
        <v>1089</v>
      </c>
      <c r="C2" s="1" t="s">
        <v>1090</v>
      </c>
      <c r="D2" s="1" t="s">
        <v>1091</v>
      </c>
      <c r="E2" s="1" t="s">
        <v>1092</v>
      </c>
    </row>
    <row r="3" spans="1:5" x14ac:dyDescent="0.25">
      <c r="A3" t="s">
        <v>702</v>
      </c>
      <c r="B3">
        <f>SUMIFS('BEA Use 2017'!$OW$7:$OW$408,'BEA Use 2017'!$PM$7:$PM$408,$A3)+SUMIFS('BEA Use 2017'!$OX$7:$OX$408,'BEA Use 2017'!$PM$7:$PM$408,$A3)+SUMIFS('BEA Use 2017'!$OY$7:$OY$408,'BEA Use 2017'!$PM$7:$PM$408,$A3)+SUMIFS('BEA Use 2017'!$OZ$7:$OZ$408,'BEA Use 2017'!$PM$7:$PM$408,$A3)+SUMIFS('BEA Use 2017'!$PA$7:$PA$408,'BEA Use 2017'!$PM$7:$PM$408,$A3)+SUMIFS('BEA Use 2017'!$PB$7:$PB$408,'BEA Use 2017'!$PM$7:$PM$408,$A3)+SUMIFS('BEA Use 2017'!$PC$7:$PC$408,'BEA Use 2017'!$PM$7:$PM$408,$A3)+SUMIFS('BEA Use 2017'!$PD$7:$PD$408,'BEA Use 2017'!$PM$7:$PM$408,$A3)+SUMIFS('BEA Use 2017'!$PE$7:$PE$408,'BEA Use 2017'!$PM$7:$PM$408,$A3)+SUMIFS('BEA Use 2017'!$PF$7:$PF$408,'BEA Use 2017'!$PM$7:$PM$408,$A3)+SUMIFS('BEA Use 2017'!$PG$7:$PG$408,'BEA Use 2017'!$PM$7:$PM$408,$A3)+SUMIFS('BEA Use 2017'!$PH$7:$PH$408,'BEA Use 2017'!$PM$7:$PM$408,$A3)</f>
        <v>0</v>
      </c>
      <c r="C3">
        <f>SUMIFS('BEA Use 2017'!$OP$7:$OP$408,'BEA Use 2017'!$PM$7:$PM$408,$A3)</f>
        <v>10837</v>
      </c>
      <c r="D3">
        <f>IF((B3+B4)&gt;0,B3/(B3+B4),0.5)</f>
        <v>0.5</v>
      </c>
      <c r="E3">
        <f>IF((C3+C4)&gt;0,C3/(C3+C4),0.5)</f>
        <v>0.50882711991736318</v>
      </c>
    </row>
    <row r="4" spans="1:5" x14ac:dyDescent="0.25">
      <c r="A4" t="s">
        <v>703</v>
      </c>
      <c r="B4">
        <f>SUMIFS('BEA Use 2017'!$OW$7:$OW$408,'BEA Use 2017'!$PM$7:$PM$408,$A4)+SUMIFS('BEA Use 2017'!$OX$7:$OX$408,'BEA Use 2017'!$PM$7:$PM$408,$A4)+SUMIFS('BEA Use 2017'!$OY$7:$OY$408,'BEA Use 2017'!$PM$7:$PM$408,$A4)+SUMIFS('BEA Use 2017'!$OZ$7:$OZ$408,'BEA Use 2017'!$PM$7:$PM$408,$A4)+SUMIFS('BEA Use 2017'!$PA$7:$PA$408,'BEA Use 2017'!$PM$7:$PM$408,$A4)+SUMIFS('BEA Use 2017'!$PB$7:$PB$408,'BEA Use 2017'!$PM$7:$PM$408,$A4)+SUMIFS('BEA Use 2017'!$PC$7:$PC$408,'BEA Use 2017'!$PM$7:$PM$408,$A4)+SUMIFS('BEA Use 2017'!$PD$7:$PD$408,'BEA Use 2017'!$PM$7:$PM$408,$A4)+SUMIFS('BEA Use 2017'!$PE$7:$PE$408,'BEA Use 2017'!$PM$7:$PM$408,$A4)+SUMIFS('BEA Use 2017'!$PF$7:$PF$408,'BEA Use 2017'!$PM$7:$PM$408,$A4)+SUMIFS('BEA Use 2017'!$PG$7:$PG$408,'BEA Use 2017'!$PM$7:$PM$408,$A4)+SUMIFS('BEA Use 2017'!$PH$7:$PH$408,'BEA Use 2017'!$PM$7:$PM$408,$A4)</f>
        <v>0</v>
      </c>
      <c r="C4">
        <f>SUMIFS('BEA Use 2017'!$OP$7:$OP$408,'BEA Use 2017'!$PM$7:$PM$408,$A4)</f>
        <v>10461</v>
      </c>
      <c r="D4">
        <f>IF((B4+B3)&gt;0,B4/(B4+B3),0.5)</f>
        <v>0.5</v>
      </c>
      <c r="E4">
        <f>IF((C4+C3)&gt;0,C4/(C4+C3),0.5)</f>
        <v>0.49117288008263688</v>
      </c>
    </row>
    <row r="5" spans="1:5" x14ac:dyDescent="0.25">
      <c r="A5" t="s">
        <v>705</v>
      </c>
      <c r="B5">
        <f>SUMIFS('BEA Use 2017'!$OW$7:$OW$408,'BEA Use 2017'!$PM$7:$PM$408,$A5)+SUMIFS('BEA Use 2017'!$OX$7:$OX$408,'BEA Use 2017'!$PM$7:$PM$408,$A5)+SUMIFS('BEA Use 2017'!$OY$7:$OY$408,'BEA Use 2017'!$PM$7:$PM$408,$A5)+SUMIFS('BEA Use 2017'!$OZ$7:$OZ$408,'BEA Use 2017'!$PM$7:$PM$408,$A5)+SUMIFS('BEA Use 2017'!$PA$7:$PA$408,'BEA Use 2017'!$PM$7:$PM$408,$A5)+SUMIFS('BEA Use 2017'!$PB$7:$PB$408,'BEA Use 2017'!$PM$7:$PM$408,$A5)+SUMIFS('BEA Use 2017'!$PC$7:$PC$408,'BEA Use 2017'!$PM$7:$PM$408,$A5)+SUMIFS('BEA Use 2017'!$PD$7:$PD$408,'BEA Use 2017'!$PM$7:$PM$408,$A5)+SUMIFS('BEA Use 2017'!$PE$7:$PE$408,'BEA Use 2017'!$PM$7:$PM$408,$A5)+SUMIFS('BEA Use 2017'!$PF$7:$PF$408,'BEA Use 2017'!$PM$7:$PM$408,$A5)+SUMIFS('BEA Use 2017'!$PG$7:$PG$408,'BEA Use 2017'!$PM$7:$PM$408,$A5)+SUMIFS('BEA Use 2017'!$PH$7:$PH$408,'BEA Use 2017'!$PM$7:$PM$408,$A5)</f>
        <v>0</v>
      </c>
      <c r="C5">
        <f>SUMIFS('BEA Use 2017'!$OP$7:$OP$408,'BEA Use 2017'!$PM$7:$PM$408,$A5)</f>
        <v>177661</v>
      </c>
      <c r="D5">
        <f>IF((B5+B6)&gt;0,B5/(B5+B6),0.5)</f>
        <v>0.5</v>
      </c>
      <c r="E5">
        <f>IF((C5+C6)&gt;0,C5/(C5+C6),0.5)</f>
        <v>0.78676161248466647</v>
      </c>
    </row>
    <row r="6" spans="1:5" x14ac:dyDescent="0.25">
      <c r="A6" t="s">
        <v>706</v>
      </c>
      <c r="B6">
        <f>SUMIFS('BEA Use 2017'!$OW$7:$OW$408,'BEA Use 2017'!$PM$7:$PM$408,$A6)+SUMIFS('BEA Use 2017'!$OX$7:$OX$408,'BEA Use 2017'!$PM$7:$PM$408,$A6)+SUMIFS('BEA Use 2017'!$OY$7:$OY$408,'BEA Use 2017'!$PM$7:$PM$408,$A6)+SUMIFS('BEA Use 2017'!$OZ$7:$OZ$408,'BEA Use 2017'!$PM$7:$PM$408,$A6)+SUMIFS('BEA Use 2017'!$PA$7:$PA$408,'BEA Use 2017'!$PM$7:$PM$408,$A6)+SUMIFS('BEA Use 2017'!$PB$7:$PB$408,'BEA Use 2017'!$PM$7:$PM$408,$A6)+SUMIFS('BEA Use 2017'!$PC$7:$PC$408,'BEA Use 2017'!$PM$7:$PM$408,$A6)+SUMIFS('BEA Use 2017'!$PD$7:$PD$408,'BEA Use 2017'!$PM$7:$PM$408,$A6)+SUMIFS('BEA Use 2017'!$PE$7:$PE$408,'BEA Use 2017'!$PM$7:$PM$408,$A6)+SUMIFS('BEA Use 2017'!$PF$7:$PF$408,'BEA Use 2017'!$PM$7:$PM$408,$A6)+SUMIFS('BEA Use 2017'!$PG$7:$PG$408,'BEA Use 2017'!$PM$7:$PM$408,$A6)+SUMIFS('BEA Use 2017'!$PH$7:$PH$408,'BEA Use 2017'!$PM$7:$PM$408,$A6)</f>
        <v>0</v>
      </c>
      <c r="C6">
        <f>SUMIFS('BEA Use 2017'!$OP$7:$OP$408,'BEA Use 2017'!$PM$7:$PM$408,$A6)</f>
        <v>48152</v>
      </c>
      <c r="D6">
        <f>IF((B6+B5)&gt;0,B6/(B6+B5),0.5)</f>
        <v>0.5</v>
      </c>
      <c r="E6">
        <f>IF((C6+C5)&gt;0,C6/(C6+C5),0.5)</f>
        <v>0.21323838751533347</v>
      </c>
    </row>
    <row r="9" spans="1:5" x14ac:dyDescent="0.25">
      <c r="A9" s="1" t="s">
        <v>1093</v>
      </c>
      <c r="B9">
        <f>SUM(OECD_TTL!$B$55:$AY$55)*10^6*About!$A$20</f>
        <v>19484506061600.516</v>
      </c>
    </row>
    <row r="10" spans="1:5" x14ac:dyDescent="0.25">
      <c r="A10" s="1" t="s">
        <v>1094</v>
      </c>
      <c r="B10">
        <v>21825500000000</v>
      </c>
    </row>
    <row r="11" spans="1:5" x14ac:dyDescent="0.25">
      <c r="A11" s="1" t="s">
        <v>1095</v>
      </c>
      <c r="B11">
        <f>B10/B9</f>
        <v>1.1201464348646253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5" x14ac:dyDescent="0.25"/>
  <cols>
    <col min="1" max="1" width="45" customWidth="1"/>
  </cols>
  <sheetData>
    <row r="1" spans="1:3" x14ac:dyDescent="0.25">
      <c r="A1" s="1" t="s">
        <v>1096</v>
      </c>
    </row>
    <row r="3" spans="1:3" x14ac:dyDescent="0.25">
      <c r="A3" t="s">
        <v>1097</v>
      </c>
    </row>
    <row r="4" spans="1:3" x14ac:dyDescent="0.25">
      <c r="A4" t="s">
        <v>1098</v>
      </c>
      <c r="B4">
        <f>ABS(('GaHEbIC-government'!O2+'GaHEbIC-government'!P2)/(INDEX(OECD_TTL!$B$2:$BI$60,MATCH("TTL_C23",OECD_TTL!$A$2:$A$60,0),MATCH("GGFC",OECD_TTL!$B$1:$BI$1,0))*10^6*About!$A$20*Calculations!$B$11)-1)</f>
        <v>0</v>
      </c>
      <c r="C4" s="1" t="str">
        <f>IF(B4&lt;0.000000001,"PASS","FAIL")</f>
        <v>PASS</v>
      </c>
    </row>
    <row r="5" spans="1:3" x14ac:dyDescent="0.25">
      <c r="A5" t="s">
        <v>1099</v>
      </c>
      <c r="B5">
        <f>ABS(('GaHEbIC-household'!O2+'GaHEbIC-household'!P2)/(INDEX(OECD_TTL!$B$2:$BI$60,MATCH("TTL_C23",OECD_TTL!$A$2:$A$60,0),MATCH("HFCE",OECD_TTL!$B$1:$BI$1,0))*10^6*About!$A$20*Calculations!$B$11)-1)</f>
        <v>0</v>
      </c>
      <c r="C5" s="1" t="str">
        <f>IF(B5&lt;0.000000001,"PASS","FAIL")</f>
        <v>PASS</v>
      </c>
    </row>
    <row r="6" spans="1:3" x14ac:dyDescent="0.25">
      <c r="A6" t="s">
        <v>1100</v>
      </c>
      <c r="B6">
        <f>ABS(('GaHEbIC-government'!Z2+'GaHEbIC-government'!AA2)/(INDEX(OECD_TTL!$B$2:$BI$60,MATCH("TTL_D",OECD_TTL!$A$2:$A$60,0),MATCH("GGFC",OECD_TTL!$B$1:$BI$1,0))*10^6*About!$A$20*Calculations!$B$11)-1)</f>
        <v>0</v>
      </c>
      <c r="C6" s="1" t="str">
        <f>IF(B6&lt;0.000000001,"PASS","FAIL")</f>
        <v>PASS</v>
      </c>
    </row>
    <row r="7" spans="1:3" x14ac:dyDescent="0.25">
      <c r="A7" t="s">
        <v>1101</v>
      </c>
      <c r="B7">
        <f>ABS(('GaHEbIC-household'!Z2+'GaHEbIC-household'!AA2)/(INDEX(OECD_TTL!$B$2:$BI$60,MATCH("TTL_D",OECD_TTL!$A$2:$A$60,0),MATCH("HFCE",OECD_TTL!$B$1:$BI$1,0))*10^6*About!$A$20*Calculations!$B$11)-1)</f>
        <v>2.2204460492503131E-16</v>
      </c>
      <c r="C7" s="1" t="str">
        <f>IF(B7&lt;0.000000001,"PASS","FAIL")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AQ2"/>
  <sheetViews>
    <sheetView workbookViewId="0"/>
  </sheetViews>
  <sheetFormatPr defaultRowHeight="15" x14ac:dyDescent="0.25"/>
  <sheetData>
    <row r="1" spans="1:43" x14ac:dyDescent="0.25">
      <c r="A1" t="s">
        <v>1102</v>
      </c>
      <c r="B1" s="1" t="s">
        <v>1103</v>
      </c>
      <c r="C1" s="1" t="s">
        <v>710</v>
      </c>
      <c r="D1" s="1" t="s">
        <v>712</v>
      </c>
      <c r="E1" s="1" t="s">
        <v>1104</v>
      </c>
      <c r="F1" s="1" t="s">
        <v>717</v>
      </c>
      <c r="G1" s="1" t="s">
        <v>719</v>
      </c>
      <c r="H1" s="1" t="s">
        <v>720</v>
      </c>
      <c r="I1" s="1" t="s">
        <v>722</v>
      </c>
      <c r="J1" s="1" t="s">
        <v>724</v>
      </c>
      <c r="K1" s="1" t="s">
        <v>726</v>
      </c>
      <c r="L1" s="1" t="s">
        <v>728</v>
      </c>
      <c r="M1" s="1" t="s">
        <v>730</v>
      </c>
      <c r="N1" s="1" t="s">
        <v>732</v>
      </c>
      <c r="O1" s="1" t="s">
        <v>702</v>
      </c>
      <c r="P1" s="1" t="s">
        <v>703</v>
      </c>
      <c r="Q1" s="1" t="s">
        <v>734</v>
      </c>
      <c r="R1" s="1" t="s">
        <v>736</v>
      </c>
      <c r="S1" s="1" t="s">
        <v>737</v>
      </c>
      <c r="T1" s="1" t="s">
        <v>739</v>
      </c>
      <c r="U1" s="1" t="s">
        <v>741</v>
      </c>
      <c r="V1" s="1" t="s">
        <v>744</v>
      </c>
      <c r="W1" s="1" t="s">
        <v>747</v>
      </c>
      <c r="X1" s="1" t="s">
        <v>1105</v>
      </c>
      <c r="Y1" s="1" t="s">
        <v>753</v>
      </c>
      <c r="Z1" s="1" t="s">
        <v>705</v>
      </c>
      <c r="AA1" s="1" t="s">
        <v>706</v>
      </c>
      <c r="AB1" s="1" t="s">
        <v>743</v>
      </c>
      <c r="AC1" s="1" t="s">
        <v>746</v>
      </c>
      <c r="AD1" s="1" t="s">
        <v>756</v>
      </c>
      <c r="AE1" s="1" t="s">
        <v>1106</v>
      </c>
      <c r="AF1" s="1" t="s">
        <v>767</v>
      </c>
      <c r="AG1" s="1" t="s">
        <v>769</v>
      </c>
      <c r="AH1" s="1" t="s">
        <v>771</v>
      </c>
      <c r="AI1" s="1" t="s">
        <v>773</v>
      </c>
      <c r="AJ1" s="1" t="s">
        <v>775</v>
      </c>
      <c r="AK1" s="1" t="s">
        <v>777</v>
      </c>
      <c r="AL1" s="1" t="s">
        <v>1107</v>
      </c>
      <c r="AM1" s="1" t="s">
        <v>783</v>
      </c>
      <c r="AN1" s="1" t="s">
        <v>785</v>
      </c>
      <c r="AO1" s="1" t="s">
        <v>786</v>
      </c>
      <c r="AP1" s="1" t="s">
        <v>1108</v>
      </c>
      <c r="AQ1" s="1" t="s">
        <v>791</v>
      </c>
    </row>
    <row r="2" spans="1:43" x14ac:dyDescent="0.25">
      <c r="A2" t="s">
        <v>1109</v>
      </c>
      <c r="B2">
        <f>(INDEX(OECD_TTL!$B$2:$BI$60,MATCH("TTL_A01",OECD_TTL!$A$2:$A$60,0),MATCH("GGFC",OECD_TTL!$B$1:$BI$1,0))+INDEX(OECD_TTL!$B$2:$BI$60,MATCH("TTL_A02",OECD_TTL!$A$2:$A$60,0),MATCH("GGFC",OECD_TTL!$B$1:$BI$1,0))+INDEX(OECD_TTL!$B$2:$BI$60,MATCH("TTL_A03",OECD_TTL!$A$2:$A$60,0),MATCH("GGFC",OECD_TTL!$B$1:$BI$1,0)))*10^6*About!$A$20*Calculations!$B$11</f>
        <v>481570.5780196382</v>
      </c>
      <c r="C2">
        <f>INDEX(OECD_TTL!$B$2:$BI$60,MATCH("TTL_B05",OECD_TTL!$A$2:$A$60,0),MATCH("GGFC",OECD_TTL!$B$1:$BI$1,0))*10^6*About!$A$20*Calculations!$B$11</f>
        <v>28999.688092423468</v>
      </c>
      <c r="D2">
        <f>INDEX(OECD_TTL!$B$2:$BI$60,MATCH("TTL_B06",OECD_TTL!$A$2:$A$60,0),MATCH("GGFC",OECD_TTL!$B$1:$BI$1,0))*10^6*About!$A$20*Calculations!$B$11</f>
        <v>362935.49036881491</v>
      </c>
      <c r="E2">
        <f>(INDEX(OECD_TTL!$B$2:$BI$60,MATCH("TTL_B07",OECD_TTL!$A$2:$A$60,0),MATCH("GGFC",OECD_TTL!$B$1:$BI$1,0))+INDEX(OECD_TTL!$B$2:$BI$60,MATCH("TTL_B08",OECD_TTL!$A$2:$A$60,0),MATCH("GGFC",OECD_TTL!$B$1:$BI$1,0)))*10^6*About!$A$20*Calculations!$B$11</f>
        <v>207391.70878217998</v>
      </c>
      <c r="F2">
        <f>INDEX(OECD_TTL!$B$2:$BI$60,MATCH("TTL_B09",OECD_TTL!$A$2:$A$60,0),MATCH("GGFC",OECD_TTL!$B$1:$BI$1,0))*10^6*About!$A$20*Calculations!$B$11</f>
        <v>210028.04406330935</v>
      </c>
      <c r="G2">
        <f>INDEX(OECD_TTL!$B$2:$BI$60,MATCH("TTL_C10T12",OECD_TTL!$A$2:$A$60,0),MATCH("GGFC",OECD_TTL!$B$1:$BI$1,0))*10^6*About!$A$20*Calculations!$B$11</f>
        <v>3227753.1625294364</v>
      </c>
      <c r="H2">
        <f>INDEX(OECD_TTL!$B$2:$BI$60,MATCH("TTL_C13T15",OECD_TTL!$A$2:$A$60,0),MATCH("GGFC",OECD_TTL!$B$1:$BI$1,0))*10^6*About!$A$20*Calculations!$B$11</f>
        <v>2200461.1813160111</v>
      </c>
      <c r="I2">
        <f>INDEX(OECD_TTL!$B$2:$BI$60,MATCH("TTL_C16",OECD_TTL!$A$2:$A$60,0),MATCH("GGFC",OECD_TTL!$B$1:$BI$1,0))*10^6*About!$A$20*Calculations!$B$11</f>
        <v>11690389.41495483</v>
      </c>
      <c r="J2">
        <f>INDEX(OECD_TTL!$B$2:$BI$60,MATCH("TTL_C17_18",OECD_TTL!$A$2:$A$60,0),MATCH("GGFC",OECD_TTL!$B$1:$BI$1,0))*10^6*About!$A$20*Calculations!$B$11</f>
        <v>8184942.2694797628</v>
      </c>
      <c r="K2">
        <f>INDEX(OECD_TTL!$B$2:$BI$60,MATCH("TTL_C19",OECD_TTL!$A$2:$A$60,0),MATCH("GGFC",OECD_TTL!$B$1:$BI$1,0))*10^6*About!$A$20*Calculations!$B$11</f>
        <v>2312944.8199775326</v>
      </c>
      <c r="L2">
        <f>INDEX(OECD_TTL!$B$2:$BI$60,MATCH("TTL_C20",OECD_TTL!$A$2:$A$60,0),MATCH("GGFC",OECD_TTL!$B$1:$BI$1,0))*10^6*About!$A$20*Calculations!$B$11</f>
        <v>6482748.4562972095</v>
      </c>
      <c r="M2">
        <f>INDEX(OECD_TTL!$B$2:$BI$60,MATCH("TTL_C21",OECD_TTL!$A$2:$A$60,0),MATCH("GGFC",OECD_TTL!$B$1:$BI$1,0))*10^6*About!$A$20*Calculations!$B$11</f>
        <v>7264861.2563655991</v>
      </c>
      <c r="N2">
        <f>INDEX(OECD_TTL!$B$2:$BI$60,MATCH("TTL_C22",OECD_TTL!$A$2:$A$60,0),MATCH("GGFC",OECD_TTL!$B$1:$BI$1,0))*10^6*About!$A$20*Calculations!$B$11</f>
        <v>13579763.033097571</v>
      </c>
      <c r="O2">
        <f>INDEX(OECD_TTL!$B$2:$BI$60,MATCH("TTL_C23",OECD_TTL!$A$2:$A$60,0),MATCH("GGFC",OECD_TTL!$B$1:$BI$1,0))*Calculations!$D$3*10^6*About!$A$20*Calculations!$B$11</f>
        <v>1044867.5497542879</v>
      </c>
      <c r="P2">
        <f>INDEX(OECD_TTL!$B$2:$BI$60,MATCH("TTL_C23",OECD_TTL!$A$2:$A$60,0),MATCH("GGFC",OECD_TTL!$B$1:$BI$1,0))*Calculations!$D$4*10^6*About!$A$20*Calculations!$B$11</f>
        <v>1044867.5497542879</v>
      </c>
      <c r="Q2">
        <f>INDEX(OECD_TTL!$B$2:$BI$60,MATCH("TTL_C24A",OECD_TTL!$A$2:$A$60,0),MATCH("GGFC",OECD_TTL!$B$1:$BI$1,0))*10^6*About!$A$20*Calculations!$B$11</f>
        <v>441146.77037565393</v>
      </c>
      <c r="R2">
        <f>INDEX(OECD_TTL!$B$2:$BI$60,MATCH("TTL_C24B",OECD_TTL!$A$2:$A$60,0),MATCH("GGFC",OECD_TTL!$B$1:$BI$1,0))*10^6*About!$A$20*Calculations!$B$11</f>
        <v>13260766.464080913</v>
      </c>
      <c r="S2">
        <f>INDEX(OECD_TTL!$B$2:$BI$60,MATCH("TTL_C25",OECD_TTL!$A$2:$A$60,0),MATCH("GGFC",OECD_TTL!$B$1:$BI$1,0))*10^6*About!$A$20*Calculations!$B$11</f>
        <v>6435294.4212368811</v>
      </c>
      <c r="T2">
        <f>INDEX(OECD_TTL!$B$2:$BI$60,MATCH("TTL_C26",OECD_TTL!$A$2:$A$60,0),MATCH("GGFC",OECD_TTL!$B$1:$BI$1,0))*10^6*About!$A$20*Calculations!$B$11</f>
        <v>37406082.525518104</v>
      </c>
      <c r="U2">
        <f>INDEX(OECD_TTL!$B$2:$BI$60,MATCH("TTL_C27",OECD_TTL!$A$2:$A$60,0),MATCH("GGFC",OECD_TTL!$B$1:$BI$1,0))*10^6*About!$A$20*Calculations!$B$11</f>
        <v>3262025.5211841189</v>
      </c>
      <c r="V2">
        <f>INDEX(OECD_TTL!$B$2:$BI$60,MATCH("TTL_C28",OECD_TTL!$A$2:$A$60,0),MATCH("GGFC",OECD_TTL!$B$1:$BI$1,0))*10^6*About!$A$20*Calculations!$B$11</f>
        <v>6786805.7920541344</v>
      </c>
      <c r="W2">
        <f>INDEX(OECD_TTL!$B$2:$BI$60,MATCH("TTL_C29",OECD_TTL!$A$2:$A$60,0),MATCH("GGFC",OECD_TTL!$B$1:$BI$1,0))*10^6*About!$A$20*Calculations!$B$11</f>
        <v>1131866.6140315584</v>
      </c>
      <c r="X2">
        <f>(INDEX(OECD_TTL!$B$2:$BI$60,MATCH("TTL_C301",OECD_TTL!$A$2:$A$60,0),MATCH("GGFC",OECD_TTL!$B$1:$BI$1,0))+INDEX(OECD_TTL!$B$2:$BI$60,MATCH("TTL_C302T309",OECD_TTL!$A$2:$A$60,0),MATCH("GGFC",OECD_TTL!$B$1:$BI$1,0)))*10^6*About!$A$20*Calculations!$B$11</f>
        <v>1189865.9902164051</v>
      </c>
      <c r="Y2">
        <f>INDEX(OECD_TTL!$B$2:$BI$60,MATCH("TTL_C31T33",OECD_TTL!$A$2:$A$60,0),MATCH("GGFC",OECD_TTL!$B$1:$BI$1,0))*10^6*About!$A$20*Calculations!$B$11</f>
        <v>1401925770.0030386</v>
      </c>
      <c r="Z2">
        <f>INDEX(OECD_TTL!$B$2:$BI$60,MATCH("TTL_D",OECD_TTL!$A$2:$A$60,0),MATCH("GGFC",OECD_TTL!$B$1:$BI$1,0))*Calculations!$D$5*10^6*About!$A$20*Calculations!$B$11</f>
        <v>710052.9690508534</v>
      </c>
      <c r="AA2">
        <f>INDEX(OECD_TTL!$B$2:$BI$60,MATCH("TTL_D",OECD_TTL!$A$2:$A$60,0),MATCH("GGFC",OECD_TTL!$B$1:$BI$1,0))*Calculations!$D$6*10^6*About!$A$20*Calculations!$B$11</f>
        <v>710052.9690508534</v>
      </c>
      <c r="AB2">
        <f>INDEX(OECD_TTL!$B$2:$BI$60,MATCH("TTL_E",OECD_TTL!$A$2:$A$60,0),MATCH("GGFC",OECD_TTL!$B$1:$BI$1,0))*10^6*About!$A$20*Calculations!$B$11</f>
        <v>19358173216.45499</v>
      </c>
      <c r="AC2">
        <f>INDEX(OECD_TTL!$B$2:$BI$60,MATCH("TTL_F",OECD_TTL!$A$2:$A$60,0),MATCH("GGFC",OECD_TTL!$B$1:$BI$1,0))*10^6*About!$A$20*Calculations!$B$11</f>
        <v>926232.46210346476</v>
      </c>
      <c r="AD2">
        <f>INDEX(OECD_TTL!$B$2:$BI$60,MATCH("TTL_G",OECD_TTL!$A$2:$A$60,0),MATCH("GGFC",OECD_TTL!$B$1:$BI$1,0))*10^6*About!$A$20*Calculations!$B$11</f>
        <v>2082423662.9955771</v>
      </c>
      <c r="AE2">
        <f>(INDEX(OECD_TTL!$B$2:$BI$60,MATCH("TTL_H49",OECD_TTL!$A$2:$A$60,0),MATCH("GGFC",OECD_TTL!$B$1:$BI$1,0))+INDEX(OECD_TTL!$B$2:$BI$60,MATCH("TTL_H50",OECD_TTL!$A$2:$A$60,0),MATCH("GGFC",OECD_TTL!$B$1:$BI$1,0))+INDEX(OECD_TTL!$B$2:$BI$60,MATCH("TTL_H51",OECD_TTL!$A$2:$A$60,0),MATCH("GGFC",OECD_TTL!$B$1:$BI$1,0))+INDEX(OECD_TTL!$B$2:$BI$60,MATCH("TTL_H52",OECD_TTL!$A$2:$A$60,0),MATCH("GGFC",OECD_TTL!$B$1:$BI$1,0))+INDEX(OECD_TTL!$B$2:$BI$60,MATCH("TTL_H53",OECD_TTL!$A$2:$A$60,0),MATCH("GGFC",OECD_TTL!$B$1:$BI$1,0)))*10^6*About!$A$20*Calculations!$B$11</f>
        <v>929161430.60079956</v>
      </c>
      <c r="AF2">
        <f>INDEX(OECD_TTL!$B$2:$BI$60,MATCH("TTL_I",OECD_TTL!$A$2:$A$60,0),MATCH("GGFC",OECD_TTL!$B$1:$BI$1,0))*10^6*About!$A$20*Calculations!$B$11</f>
        <v>5324524640.9033461</v>
      </c>
      <c r="AG2">
        <f>INDEX(OECD_TTL!$B$2:$BI$60,MATCH("TTL_J58T60",OECD_TTL!$A$2:$A$60,0),MATCH("GGFC",OECD_TTL!$B$1:$BI$1,0))*10^6*About!$A$20*Calculations!$B$11</f>
        <v>24394174687.856255</v>
      </c>
      <c r="AH2">
        <f>INDEX(OECD_TTL!$B$2:$BI$60,MATCH("TTL_J61",OECD_TTL!$A$2:$A$60,0),MATCH("GGFC",OECD_TTL!$B$1:$BI$1,0))*10^6*About!$A$20*Calculations!$B$11</f>
        <v>2729485.7943959786</v>
      </c>
      <c r="AI2">
        <f>INDEX(OECD_TTL!$B$2:$BI$60,MATCH("TTL_J62_63",OECD_TTL!$A$2:$A$60,0),MATCH("GGFC",OECD_TTL!$B$1:$BI$1,0))*10^6*About!$A$20*Calculations!$B$11</f>
        <v>7494812086.1484051</v>
      </c>
      <c r="AJ2">
        <f>INDEX(OECD_TTL!$B$2:$BI$60,MATCH("TTL_K",OECD_TTL!$A$2:$A$60,0),MATCH("GGFC",OECD_TTL!$B$1:$BI$1,0))*10^6*About!$A$20*Calculations!$B$11</f>
        <v>12403957.497713856</v>
      </c>
      <c r="AK2">
        <f>INDEX(OECD_TTL!$B$2:$BI$60,MATCH("TTL_L",OECD_TTL!$A$2:$A$60,0),MATCH("GGFC",OECD_TTL!$B$1:$BI$1,0))*10^6*About!$A$20*Calculations!$B$11</f>
        <v>585266.43241072819</v>
      </c>
      <c r="AL2">
        <f>(INDEX(OECD_TTL!$B$2:$BI$60,MATCH("TTL_M",OECD_TTL!$A$2:$A$60,0),MATCH("GGFC",OECD_TTL!$B$1:$BI$1,0))+INDEX(OECD_TTL!$B$2:$BI$60,MATCH("TTL_N",OECD_TTL!$A$2:$A$60,0),MATCH("GGFC",OECD_TTL!$B$1:$BI$1,0)))*10^6*About!$A$20*Calculations!$B$11</f>
        <v>8898989286.4815273</v>
      </c>
      <c r="AM2">
        <f>INDEX(OECD_TTL!$B$2:$BI$60,MATCH("TTL_O",OECD_TTL!$A$2:$A$60,0),MATCH("GGFC",OECD_TTL!$B$1:$BI$1,0))*10^6*About!$A$20*Calculations!$B$11</f>
        <v>2129296626032.928</v>
      </c>
      <c r="AN2">
        <f>INDEX(OECD_TTL!$B$2:$BI$60,MATCH("TTL_P",OECD_TTL!$A$2:$A$60,0),MATCH("GGFC",OECD_TTL!$B$1:$BI$1,0))*10^6*About!$A$20*Calculations!$B$11</f>
        <v>734952326214.28552</v>
      </c>
      <c r="AO2">
        <f>INDEX(OECD_TTL!$B$2:$BI$60,MATCH("TTL_Q",OECD_TTL!$A$2:$A$60,0),MATCH("GGFC",OECD_TTL!$B$1:$BI$1,0))*10^6*About!$A$20*Calculations!$B$11</f>
        <v>185964469334.82047</v>
      </c>
      <c r="AP2">
        <f>(INDEX(OECD_TTL!$B$2:$BI$60,MATCH("TTL_R",OECD_TTL!$A$2:$A$60,0),MATCH("GGFC",OECD_TTL!$B$1:$BI$1,0))+INDEX(OECD_TTL!$B$2:$BI$60,MATCH("TTL_S",OECD_TTL!$A$2:$A$60,0),MATCH("GGFC",OECD_TTL!$B$1:$BI$1,0)))*10^6*About!$A$20*Calculations!$B$11</f>
        <v>17145566438.498816</v>
      </c>
      <c r="AQ2">
        <f>INDEX(OECD_TTL!$B$2:$BI$60,MATCH("TTL_T",OECD_TTL!$A$2:$A$60,0),MATCH("GGFC",OECD_TTL!$B$1:$BI$1,0))*10^6*About!$A$20*Calculations!$B$11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AQ2"/>
  <sheetViews>
    <sheetView workbookViewId="0"/>
  </sheetViews>
  <sheetFormatPr defaultRowHeight="15" x14ac:dyDescent="0.25"/>
  <sheetData>
    <row r="1" spans="1:43" x14ac:dyDescent="0.25">
      <c r="A1" t="s">
        <v>1102</v>
      </c>
      <c r="B1" s="1" t="s">
        <v>1103</v>
      </c>
      <c r="C1" s="1" t="s">
        <v>710</v>
      </c>
      <c r="D1" s="1" t="s">
        <v>712</v>
      </c>
      <c r="E1" s="1" t="s">
        <v>1104</v>
      </c>
      <c r="F1" s="1" t="s">
        <v>717</v>
      </c>
      <c r="G1" s="1" t="s">
        <v>719</v>
      </c>
      <c r="H1" s="1" t="s">
        <v>720</v>
      </c>
      <c r="I1" s="1" t="s">
        <v>722</v>
      </c>
      <c r="J1" s="1" t="s">
        <v>724</v>
      </c>
      <c r="K1" s="1" t="s">
        <v>726</v>
      </c>
      <c r="L1" s="1" t="s">
        <v>728</v>
      </c>
      <c r="M1" s="1" t="s">
        <v>730</v>
      </c>
      <c r="N1" s="1" t="s">
        <v>732</v>
      </c>
      <c r="O1" s="1" t="s">
        <v>702</v>
      </c>
      <c r="P1" s="1" t="s">
        <v>703</v>
      </c>
      <c r="Q1" s="1" t="s">
        <v>734</v>
      </c>
      <c r="R1" s="1" t="s">
        <v>736</v>
      </c>
      <c r="S1" s="1" t="s">
        <v>737</v>
      </c>
      <c r="T1" s="1" t="s">
        <v>739</v>
      </c>
      <c r="U1" s="1" t="s">
        <v>741</v>
      </c>
      <c r="V1" s="1" t="s">
        <v>744</v>
      </c>
      <c r="W1" s="1" t="s">
        <v>747</v>
      </c>
      <c r="X1" s="1" t="s">
        <v>1105</v>
      </c>
      <c r="Y1" s="1" t="s">
        <v>753</v>
      </c>
      <c r="Z1" s="1" t="s">
        <v>705</v>
      </c>
      <c r="AA1" s="1" t="s">
        <v>706</v>
      </c>
      <c r="AB1" s="1" t="s">
        <v>743</v>
      </c>
      <c r="AC1" s="1" t="s">
        <v>746</v>
      </c>
      <c r="AD1" s="1" t="s">
        <v>756</v>
      </c>
      <c r="AE1" s="1" t="s">
        <v>1106</v>
      </c>
      <c r="AF1" s="1" t="s">
        <v>767</v>
      </c>
      <c r="AG1" s="1" t="s">
        <v>769</v>
      </c>
      <c r="AH1" s="1" t="s">
        <v>771</v>
      </c>
      <c r="AI1" s="1" t="s">
        <v>773</v>
      </c>
      <c r="AJ1" s="1" t="s">
        <v>775</v>
      </c>
      <c r="AK1" s="1" t="s">
        <v>777</v>
      </c>
      <c r="AL1" s="1" t="s">
        <v>1107</v>
      </c>
      <c r="AM1" s="1" t="s">
        <v>783</v>
      </c>
      <c r="AN1" s="1" t="s">
        <v>785</v>
      </c>
      <c r="AO1" s="1" t="s">
        <v>786</v>
      </c>
      <c r="AP1" s="1" t="s">
        <v>1108</v>
      </c>
      <c r="AQ1" s="1" t="s">
        <v>791</v>
      </c>
    </row>
    <row r="2" spans="1:43" x14ac:dyDescent="0.25">
      <c r="A2" t="s">
        <v>1110</v>
      </c>
      <c r="B2">
        <f>(INDEX(OECD_TTL!$B$2:$BI$60,MATCH("TTL_A01",OECD_TTL!$A$2:$A$60,0),MATCH("HFCE",OECD_TTL!$B$1:$BI$1,0))+INDEX(OECD_TTL!$B$2:$BI$60,MATCH("TTL_A02",OECD_TTL!$A$2:$A$60,0),MATCH("HFCE",OECD_TTL!$B$1:$BI$1,0))+INDEX(OECD_TTL!$B$2:$BI$60,MATCH("TTL_A03",OECD_TTL!$A$2:$A$60,0),MATCH("HFCE",OECD_TTL!$B$1:$BI$1,0)))*10^6*About!$A$20*Calculations!$B$11</f>
        <v>205928882788.40439</v>
      </c>
      <c r="C2">
        <f>INDEX(OECD_TTL!$B$2:$BI$60,MATCH("TTL_B05",OECD_TTL!$A$2:$A$60,0),MATCH("HFCE",OECD_TTL!$B$1:$BI$1,0))*10^6*About!$A$20*Calculations!$B$11</f>
        <v>15919949.984313441</v>
      </c>
      <c r="D2">
        <f>INDEX(OECD_TTL!$B$2:$BI$60,MATCH("TTL_B06",OECD_TTL!$A$2:$A$60,0),MATCH("HFCE",OECD_TTL!$B$1:$BI$1,0))*10^6*About!$A$20*Calculations!$B$11</f>
        <v>14024316827.434872</v>
      </c>
      <c r="E2">
        <f>(INDEX(OECD_TTL!$B$2:$BI$60,MATCH("TTL_B07",OECD_TTL!$A$2:$A$60,0),MATCH("HFCE",OECD_TTL!$B$1:$BI$1,0))+INDEX(OECD_TTL!$B$2:$BI$60,MATCH("TTL_B08",OECD_TTL!$A$2:$A$60,0),MATCH("HFCE",OECD_TTL!$B$1:$BI$1,0)))*10^6*About!$A$20*Calculations!$B$11</f>
        <v>750482049.36539996</v>
      </c>
      <c r="F2">
        <f>INDEX(OECD_TTL!$B$2:$BI$60,MATCH("TTL_B09",OECD_TTL!$A$2:$A$60,0),MATCH("HFCE",OECD_TTL!$B$1:$BI$1,0))*10^6*About!$A$20*Calculations!$B$11</f>
        <v>278542882.90615445</v>
      </c>
      <c r="G2">
        <f>INDEX(OECD_TTL!$B$2:$BI$60,MATCH("TTL_C10T12",OECD_TTL!$A$2:$A$60,0),MATCH("HFCE",OECD_TTL!$B$1:$BI$1,0))*10^6*About!$A$20*Calculations!$B$11</f>
        <v>851351110826.86731</v>
      </c>
      <c r="H2">
        <f>INDEX(OECD_TTL!$B$2:$BI$60,MATCH("TTL_C13T15",OECD_TTL!$A$2:$A$60,0),MATCH("HFCE",OECD_TTL!$B$1:$BI$1,0))*10^6*About!$A$20*Calculations!$B$11</f>
        <v>165165228678.44348</v>
      </c>
      <c r="I2">
        <f>INDEX(OECD_TTL!$B$2:$BI$60,MATCH("TTL_C16",OECD_TTL!$A$2:$A$60,0),MATCH("HFCE",OECD_TTL!$B$1:$BI$1,0))*10^6*About!$A$20*Calculations!$B$11</f>
        <v>11574025969.537912</v>
      </c>
      <c r="J2">
        <f>INDEX(OECD_TTL!$B$2:$BI$60,MATCH("TTL_C17_18",OECD_TTL!$A$2:$A$60,0),MATCH("HFCE",OECD_TTL!$B$1:$BI$1,0))*10^6*About!$A$20*Calculations!$B$11</f>
        <v>54992655129.844246</v>
      </c>
      <c r="K2">
        <f>INDEX(OECD_TTL!$B$2:$BI$60,MATCH("TTL_C19",OECD_TTL!$A$2:$A$60,0),MATCH("HFCE",OECD_TTL!$B$1:$BI$1,0))*10^6*About!$A$20*Calculations!$B$11</f>
        <v>197234317575.95691</v>
      </c>
      <c r="L2">
        <f>INDEX(OECD_TTL!$B$2:$BI$60,MATCH("TTL_C20",OECD_TTL!$A$2:$A$60,0),MATCH("HFCE",OECD_TTL!$B$1:$BI$1,0))*10^6*About!$A$20*Calculations!$B$11</f>
        <v>157297639662.32181</v>
      </c>
      <c r="M2">
        <f>INDEX(OECD_TTL!$B$2:$BI$60,MATCH("TTL_C21",OECD_TTL!$A$2:$A$60,0),MATCH("HFCE",OECD_TTL!$B$1:$BI$1,0))*10^6*About!$A$20*Calculations!$B$11</f>
        <v>265384733156.55621</v>
      </c>
      <c r="N2">
        <f>INDEX(OECD_TTL!$B$2:$BI$60,MATCH("TTL_C22",OECD_TTL!$A$2:$A$60,0),MATCH("HFCE",OECD_TTL!$B$1:$BI$1,0))*10^6*About!$A$20*Calculations!$B$11</f>
        <v>68092259781.854439</v>
      </c>
      <c r="O2">
        <f>INDEX(OECD_TTL!$B$2:$BI$60,MATCH("TTL_C23",OECD_TTL!$A$2:$A$60,0),MATCH("HFCE",OECD_TTL!$B$1:$BI$1,0))*Calculations!$E$3*10^6*About!$A$20*Calculations!$B$11</f>
        <v>12264078206.897993</v>
      </c>
      <c r="P2">
        <f>INDEX(OECD_TTL!$B$2:$BI$60,MATCH("TTL_C23",OECD_TTL!$A$2:$A$60,0),MATCH("HFCE",OECD_TTL!$B$1:$BI$1,0))*Calculations!$E$4*10^6*About!$A$20*Calculations!$B$11</f>
        <v>11838564374.121983</v>
      </c>
      <c r="Q2">
        <f>INDEX(OECD_TTL!$B$2:$BI$60,MATCH("TTL_C24A",OECD_TTL!$A$2:$A$60,0),MATCH("HFCE",OECD_TTL!$B$1:$BI$1,0))*10^6*About!$A$20*Calculations!$B$11</f>
        <v>1024150348.3367461</v>
      </c>
      <c r="R2">
        <f>INDEX(OECD_TTL!$B$2:$BI$60,MATCH("TTL_C24B",OECD_TTL!$A$2:$A$60,0),MATCH("HFCE",OECD_TTL!$B$1:$BI$1,0))*10^6*About!$A$20*Calculations!$B$11</f>
        <v>2683661014.5393872</v>
      </c>
      <c r="S2">
        <f>INDEX(OECD_TTL!$B$2:$BI$60,MATCH("TTL_C25",OECD_TTL!$A$2:$A$60,0),MATCH("HFCE",OECD_TTL!$B$1:$BI$1,0))*10^6*About!$A$20*Calculations!$B$11</f>
        <v>58861369943.93354</v>
      </c>
      <c r="T2">
        <f>INDEX(OECD_TTL!$B$2:$BI$60,MATCH("TTL_C26",OECD_TTL!$A$2:$A$60,0),MATCH("HFCE",OECD_TTL!$B$1:$BI$1,0))*10^6*About!$A$20*Calculations!$B$11</f>
        <v>130130484041.82309</v>
      </c>
      <c r="U2">
        <f>INDEX(OECD_TTL!$B$2:$BI$60,MATCH("TTL_C27",OECD_TTL!$A$2:$A$60,0),MATCH("HFCE",OECD_TTL!$B$1:$BI$1,0))*10^6*About!$A$20*Calculations!$B$11</f>
        <v>81893095346.286392</v>
      </c>
      <c r="V2">
        <f>INDEX(OECD_TTL!$B$2:$BI$60,MATCH("TTL_C28",OECD_TTL!$A$2:$A$60,0),MATCH("HFCE",OECD_TTL!$B$1:$BI$1,0))*10^6*About!$A$20*Calculations!$B$11</f>
        <v>25389078411.362576</v>
      </c>
      <c r="W2">
        <f>INDEX(OECD_TTL!$B$2:$BI$60,MATCH("TTL_C29",OECD_TTL!$A$2:$A$60,0),MATCH("HFCE",OECD_TTL!$B$1:$BI$1,0))*10^6*About!$A$20*Calculations!$B$11</f>
        <v>272088117391.3096</v>
      </c>
      <c r="X2">
        <f>(INDEX(OECD_TTL!$B$2:$BI$60,MATCH("TTL_C301",OECD_TTL!$A$2:$A$60,0),MATCH("HFCE",OECD_TTL!$B$1:$BI$1,0))+INDEX(OECD_TTL!$B$2:$BI$60,MATCH("TTL_C302T309",OECD_TTL!$A$2:$A$60,0),MATCH("HFCE",OECD_TTL!$B$1:$BI$1,0)))*10^6*About!$A$20*Calculations!$B$11</f>
        <v>43841603671.589149</v>
      </c>
      <c r="Y2">
        <f>INDEX(OECD_TTL!$B$2:$BI$60,MATCH("TTL_C31T33",OECD_TTL!$A$2:$A$60,0),MATCH("HFCE",OECD_TTL!$B$1:$BI$1,0))*10^6*About!$A$20*Calculations!$B$11</f>
        <v>174525438670.90961</v>
      </c>
      <c r="Z2">
        <f>INDEX(OECD_TTL!$B$2:$BI$60,MATCH("TTL_D",OECD_TTL!$A$2:$A$60,0),MATCH("HFCE",OECD_TTL!$B$1:$BI$1,0))*Calculations!$E$5*10^6*About!$A$20*Calculations!$B$11</f>
        <v>149740911694.09909</v>
      </c>
      <c r="AA2">
        <f>INDEX(OECD_TTL!$B$2:$BI$60,MATCH("TTL_D",OECD_TTL!$A$2:$A$60,0),MATCH("HFCE",OECD_TTL!$B$1:$BI$1,0))*Calculations!$E$6*10^6*About!$A$20*Calculations!$B$11</f>
        <v>40584733733.876648</v>
      </c>
      <c r="AB2">
        <f>INDEX(OECD_TTL!$B$2:$BI$60,MATCH("TTL_E",OECD_TTL!$A$2:$A$60,0),MATCH("HFCE",OECD_TTL!$B$1:$BI$1,0))*10^6*About!$A$20*Calculations!$B$11</f>
        <v>53236131719.188179</v>
      </c>
      <c r="AC2">
        <f>INDEX(OECD_TTL!$B$2:$BI$60,MATCH("TTL_F",OECD_TTL!$A$2:$A$60,0),MATCH("HFCE",OECD_TTL!$B$1:$BI$1,0))*10^6*About!$A$20*Calculations!$B$11</f>
        <v>410493221.2835353</v>
      </c>
      <c r="AD2">
        <f>INDEX(OECD_TTL!$B$2:$BI$60,MATCH("TTL_G",OECD_TTL!$A$2:$A$60,0),MATCH("HFCE",OECD_TTL!$B$1:$BI$1,0))*10^6*About!$A$20*Calculations!$B$11</f>
        <v>1752800103793.188</v>
      </c>
      <c r="AE2">
        <f>(INDEX(OECD_TTL!$B$2:$BI$60,MATCH("TTL_H49",OECD_TTL!$A$2:$A$60,0),MATCH("HFCE",OECD_TTL!$B$1:$BI$1,0))+INDEX(OECD_TTL!$B$2:$BI$60,MATCH("TTL_H50",OECD_TTL!$A$2:$A$60,0),MATCH("HFCE",OECD_TTL!$B$1:$BI$1,0))+INDEX(OECD_TTL!$B$2:$BI$60,MATCH("TTL_H51",OECD_TTL!$A$2:$A$60,0),MATCH("HFCE",OECD_TTL!$B$1:$BI$1,0))+INDEX(OECD_TTL!$B$2:$BI$60,MATCH("TTL_H52",OECD_TTL!$A$2:$A$60,0),MATCH("HFCE",OECD_TTL!$B$1:$BI$1,0))+INDEX(OECD_TTL!$B$2:$BI$60,MATCH("TTL_H53",OECD_TTL!$A$2:$A$60,0),MATCH("HFCE",OECD_TTL!$B$1:$BI$1,0)))*10^6*About!$A$20*Calculations!$B$11</f>
        <v>361679578907.13562</v>
      </c>
      <c r="AF2">
        <f>INDEX(OECD_TTL!$B$2:$BI$60,MATCH("TTL_I",OECD_TTL!$A$2:$A$60,0),MATCH("HFCE",OECD_TTL!$B$1:$BI$1,0))*10^6*About!$A$20*Calculations!$B$11</f>
        <v>1018522217173.4189</v>
      </c>
      <c r="AG2">
        <f>INDEX(OECD_TTL!$B$2:$BI$60,MATCH("TTL_J58T60",OECD_TTL!$A$2:$A$60,0),MATCH("HFCE",OECD_TTL!$B$1:$BI$1,0))*10^6*About!$A$20*Calculations!$B$11</f>
        <v>179500770158.48627</v>
      </c>
      <c r="AH2">
        <f>INDEX(OECD_TTL!$B$2:$BI$60,MATCH("TTL_J61",OECD_TTL!$A$2:$A$60,0),MATCH("HFCE",OECD_TTL!$B$1:$BI$1,0))*10^6*About!$A$20*Calculations!$B$11</f>
        <v>332738024643.9964</v>
      </c>
      <c r="AI2">
        <f>INDEX(OECD_TTL!$B$2:$BI$60,MATCH("TTL_J62_63",OECD_TTL!$A$2:$A$60,0),MATCH("HFCE",OECD_TTL!$B$1:$BI$1,0))*10^6*About!$A$20*Calculations!$B$11</f>
        <v>37144673185.604004</v>
      </c>
      <c r="AJ2">
        <f>INDEX(OECD_TTL!$B$2:$BI$60,MATCH("TTL_K",OECD_TTL!$A$2:$A$60,0),MATCH("HFCE",OECD_TTL!$B$1:$BI$1,0))*10^6*About!$A$20*Calculations!$B$11</f>
        <v>1182736064508.7339</v>
      </c>
      <c r="AK2">
        <f>INDEX(OECD_TTL!$B$2:$BI$60,MATCH("TTL_L",OECD_TTL!$A$2:$A$60,0),MATCH("HFCE",OECD_TTL!$B$1:$BI$1,0))*10^6*About!$A$20*Calculations!$B$11</f>
        <v>2335238509469.3818</v>
      </c>
      <c r="AL2">
        <f>(INDEX(OECD_TTL!$B$2:$BI$60,MATCH("TTL_M",OECD_TTL!$A$2:$A$60,0),MATCH("HFCE",OECD_TTL!$B$1:$BI$1,0))+INDEX(OECD_TTL!$B$2:$BI$60,MATCH("TTL_N",OECD_TTL!$A$2:$A$60,0),MATCH("HFCE",OECD_TTL!$B$1:$BI$1,0)))*10^6*About!$A$20*Calculations!$B$11</f>
        <v>292435723056.78412</v>
      </c>
      <c r="AM2">
        <f>INDEX(OECD_TTL!$B$2:$BI$60,MATCH("TTL_O",OECD_TTL!$A$2:$A$60,0),MATCH("HFCE",OECD_TTL!$B$1:$BI$1,0))*10^6*About!$A$20*Calculations!$B$11</f>
        <v>397546199808.59106</v>
      </c>
      <c r="AN2">
        <f>INDEX(OECD_TTL!$B$2:$BI$60,MATCH("TTL_P",OECD_TTL!$A$2:$A$60,0),MATCH("HFCE",OECD_TTL!$B$1:$BI$1,0))*10^6*About!$A$20*Calculations!$B$11</f>
        <v>547298777955.52771</v>
      </c>
      <c r="AO2">
        <f>INDEX(OECD_TTL!$B$2:$BI$60,MATCH("TTL_Q",OECD_TTL!$A$2:$A$60,0),MATCH("HFCE",OECD_TTL!$B$1:$BI$1,0))*10^6*About!$A$20*Calculations!$B$11</f>
        <v>2105062226444.7847</v>
      </c>
      <c r="AP2">
        <f>(INDEX(OECD_TTL!$B$2:$BI$60,MATCH("TTL_R",OECD_TTL!$A$2:$A$60,0),MATCH("HFCE",OECD_TTL!$B$1:$BI$1,0))+INDEX(OECD_TTL!$B$2:$BI$60,MATCH("TTL_S",OECD_TTL!$A$2:$A$60,0),MATCH("HFCE",OECD_TTL!$B$1:$BI$1,0)))*10^6*About!$A$20*Calculations!$B$11</f>
        <v>535658444638.55566</v>
      </c>
      <c r="AQ2">
        <f>INDEX(OECD_TTL!$B$2:$BI$60,MATCH("TTL_T",OECD_TTL!$A$2:$A$60,0),MATCH("HFCE",OECD_TTL!$B$1:$BI$1,0))*10^6*About!$A$20*Calculations!$B$11</f>
        <v>22150732453.673561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OECD_TTL</vt:lpstr>
      <vt:lpstr>BEA Use 2017</vt:lpstr>
      <vt:lpstr>Key</vt:lpstr>
      <vt:lpstr>Calculations</vt:lpstr>
      <vt:lpstr>Checks</vt:lpstr>
      <vt:lpstr>GaHEbIC-government</vt:lpstr>
      <vt:lpstr>GaHEbIC-household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2026-07-21T19:30:37Z</dcterms:created>
  <dcterms:modified xsi:type="dcterms:W3CDTF">2026-07-21T20:46:14Z</dcterms:modified>
</cp:coreProperties>
</file>