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BObIC\"/>
    </mc:Choice>
  </mc:AlternateContent>
  <xr:revisionPtr revIDLastSave="0" documentId="11_B9A142F9AADC72B8D178F7DD50A2EFB301958EB0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2024 Data" sheetId="2" r:id="rId2"/>
    <sheet name="BLS Table 2.11" sheetId="3" r:id="rId3"/>
    <sheet name="AEO25 Table 23" sheetId="4" r:id="rId4"/>
    <sheet name="AEO 2026 Table 23 " sheetId="5" r:id="rId5"/>
    <sheet name="g2025 derivation" sheetId="6" r:id="rId6"/>
    <sheet name="Calculations" sheetId="7" r:id="rId7"/>
    <sheet name="Checks" sheetId="8" r:id="rId8"/>
    <sheet name="SYObIC" sheetId="9" r:id="rId9"/>
    <sheet name="BObIC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9" l="1"/>
  <c r="W2" i="9"/>
  <c r="V2" i="9"/>
  <c r="U2" i="9"/>
  <c r="T2" i="9"/>
  <c r="D2" i="9"/>
  <c r="C2" i="9"/>
  <c r="B4" i="8"/>
  <c r="B7" i="8" s="1"/>
  <c r="C7" i="8" s="1"/>
  <c r="AX4" i="7"/>
  <c r="AO2" i="9" s="1"/>
  <c r="AW4" i="7"/>
  <c r="AN2" i="9" s="1"/>
  <c r="AV4" i="7"/>
  <c r="AM2" i="9" s="1"/>
  <c r="AU4" i="7"/>
  <c r="AT4" i="7"/>
  <c r="AS4" i="7"/>
  <c r="AK2" i="9" s="1"/>
  <c r="AR4" i="7"/>
  <c r="AJ2" i="9" s="1"/>
  <c r="AQ4" i="7"/>
  <c r="AQ5" i="7" s="1"/>
  <c r="AI2" i="10" s="1"/>
  <c r="AB4" i="7"/>
  <c r="AB5" i="7" s="1"/>
  <c r="AA4" i="7"/>
  <c r="AA5" i="7" s="1"/>
  <c r="X2" i="10" s="1"/>
  <c r="Z4" i="7"/>
  <c r="Y4" i="7"/>
  <c r="X4" i="7"/>
  <c r="W4" i="7"/>
  <c r="W5" i="7" s="1"/>
  <c r="T2" i="10" s="1"/>
  <c r="V4" i="7"/>
  <c r="S2" i="9" s="1"/>
  <c r="U4" i="7"/>
  <c r="R2" i="9" s="1"/>
  <c r="F4" i="7"/>
  <c r="E4" i="7"/>
  <c r="D4" i="7"/>
  <c r="C4" i="7"/>
  <c r="B4" i="7"/>
  <c r="BA3" i="7"/>
  <c r="BA4" i="7" s="1"/>
  <c r="AZ3" i="7"/>
  <c r="AZ4" i="7" s="1"/>
  <c r="AZ5" i="7" s="1"/>
  <c r="AY3" i="7"/>
  <c r="AY4" i="7" s="1"/>
  <c r="AX3" i="7"/>
  <c r="AW3" i="7"/>
  <c r="AV3" i="7"/>
  <c r="AU3" i="7"/>
  <c r="AT3" i="7"/>
  <c r="AS3" i="7"/>
  <c r="AR3" i="7"/>
  <c r="AQ3" i="7"/>
  <c r="AP3" i="7"/>
  <c r="AP4" i="7" s="1"/>
  <c r="AO3" i="7"/>
  <c r="AO4" i="7" s="1"/>
  <c r="AN3" i="7"/>
  <c r="AN4" i="7" s="1"/>
  <c r="AM3" i="7"/>
  <c r="AM4" i="7" s="1"/>
  <c r="AM5" i="7" s="1"/>
  <c r="AL3" i="7"/>
  <c r="AL4" i="7" s="1"/>
  <c r="AL5" i="7" s="1"/>
  <c r="AK3" i="7"/>
  <c r="AK4" i="7" s="1"/>
  <c r="AK5" i="7" s="1"/>
  <c r="AJ3" i="7"/>
  <c r="AJ4" i="7" s="1"/>
  <c r="AI3" i="7"/>
  <c r="AI4" i="7" s="1"/>
  <c r="AH3" i="7"/>
  <c r="AH4" i="7" s="1"/>
  <c r="AG3" i="7"/>
  <c r="AG4" i="7" s="1"/>
  <c r="AF3" i="7"/>
  <c r="AF4" i="7" s="1"/>
  <c r="AE3" i="7"/>
  <c r="AE4" i="7" s="1"/>
  <c r="AD3" i="7"/>
  <c r="AD4" i="7" s="1"/>
  <c r="AC3" i="7"/>
  <c r="AC4" i="7" s="1"/>
  <c r="AB3" i="7"/>
  <c r="AA3" i="7"/>
  <c r="Z3" i="7"/>
  <c r="Y3" i="7"/>
  <c r="X3" i="7"/>
  <c r="W3" i="7"/>
  <c r="V3" i="7"/>
  <c r="U3" i="7"/>
  <c r="T3" i="7"/>
  <c r="T4" i="7" s="1"/>
  <c r="S3" i="7"/>
  <c r="S4" i="7" s="1"/>
  <c r="R3" i="7"/>
  <c r="R4" i="7" s="1"/>
  <c r="Q3" i="7"/>
  <c r="Q4" i="7" s="1"/>
  <c r="P3" i="7"/>
  <c r="P4" i="7" s="1"/>
  <c r="O3" i="7"/>
  <c r="O4" i="7" s="1"/>
  <c r="N3" i="7"/>
  <c r="N4" i="7" s="1"/>
  <c r="M3" i="7"/>
  <c r="M4" i="7" s="1"/>
  <c r="L3" i="7"/>
  <c r="L4" i="7" s="1"/>
  <c r="K3" i="7"/>
  <c r="K4" i="7" s="1"/>
  <c r="J3" i="7"/>
  <c r="J4" i="7" s="1"/>
  <c r="I3" i="7"/>
  <c r="I4" i="7" s="1"/>
  <c r="H3" i="7"/>
  <c r="H4" i="7" s="1"/>
  <c r="H5" i="7" s="1"/>
  <c r="G3" i="7"/>
  <c r="G4" i="7" s="1"/>
  <c r="F3" i="7"/>
  <c r="E3" i="7"/>
  <c r="D3" i="7"/>
  <c r="C3" i="7"/>
  <c r="B3" i="7"/>
  <c r="AR6" i="6"/>
  <c r="AQ6" i="6"/>
  <c r="AP6" i="6"/>
  <c r="AO6" i="6"/>
  <c r="AN6" i="6"/>
  <c r="AM6" i="6"/>
  <c r="AL6" i="6"/>
  <c r="AK6" i="6"/>
  <c r="V6" i="6"/>
  <c r="U6" i="6"/>
  <c r="T6" i="6"/>
  <c r="S6" i="6"/>
  <c r="R6" i="6"/>
  <c r="Q6" i="6"/>
  <c r="P6" i="6"/>
  <c r="O6" i="6"/>
  <c r="BA5" i="6"/>
  <c r="BA6" i="6" s="1"/>
  <c r="AZ5" i="6"/>
  <c r="AZ6" i="6" s="1"/>
  <c r="AY5" i="6"/>
  <c r="AY6" i="6" s="1"/>
  <c r="AX5" i="6"/>
  <c r="AX6" i="6" s="1"/>
  <c r="AW5" i="6"/>
  <c r="AW6" i="6" s="1"/>
  <c r="AV5" i="6"/>
  <c r="AV6" i="6" s="1"/>
  <c r="AU5" i="6"/>
  <c r="AU6" i="6" s="1"/>
  <c r="AT5" i="6"/>
  <c r="AT6" i="6" s="1"/>
  <c r="AS5" i="6"/>
  <c r="AS6" i="6" s="1"/>
  <c r="AR5" i="6"/>
  <c r="AQ5" i="6"/>
  <c r="AP5" i="6"/>
  <c r="AO5" i="6"/>
  <c r="AN5" i="6"/>
  <c r="AM5" i="6"/>
  <c r="AL5" i="6"/>
  <c r="AK5" i="6"/>
  <c r="AJ5" i="6"/>
  <c r="AJ6" i="6" s="1"/>
  <c r="AI5" i="6"/>
  <c r="AI6" i="6" s="1"/>
  <c r="AH5" i="6"/>
  <c r="AH6" i="6" s="1"/>
  <c r="AG5" i="6"/>
  <c r="AG6" i="6" s="1"/>
  <c r="AF5" i="6"/>
  <c r="AF6" i="6" s="1"/>
  <c r="AE5" i="6"/>
  <c r="AE6" i="6" s="1"/>
  <c r="AD5" i="6"/>
  <c r="AD6" i="6" s="1"/>
  <c r="AC5" i="6"/>
  <c r="AC6" i="6" s="1"/>
  <c r="AB5" i="6"/>
  <c r="AB6" i="6" s="1"/>
  <c r="AA5" i="6"/>
  <c r="AA6" i="6" s="1"/>
  <c r="Z5" i="6"/>
  <c r="Z6" i="6" s="1"/>
  <c r="Y5" i="6"/>
  <c r="Y6" i="6" s="1"/>
  <c r="X5" i="6"/>
  <c r="X6" i="6" s="1"/>
  <c r="W5" i="6"/>
  <c r="W6" i="6" s="1"/>
  <c r="V5" i="6"/>
  <c r="U5" i="6"/>
  <c r="T5" i="6"/>
  <c r="S5" i="6"/>
  <c r="R5" i="6"/>
  <c r="Q5" i="6"/>
  <c r="P5" i="6"/>
  <c r="O5" i="6"/>
  <c r="N5" i="6"/>
  <c r="N6" i="6" s="1"/>
  <c r="M5" i="6"/>
  <c r="M6" i="6" s="1"/>
  <c r="L5" i="6"/>
  <c r="L6" i="6" s="1"/>
  <c r="K5" i="6"/>
  <c r="K6" i="6" s="1"/>
  <c r="J5" i="6"/>
  <c r="J6" i="6" s="1"/>
  <c r="I5" i="6"/>
  <c r="I6" i="6" s="1"/>
  <c r="H5" i="6"/>
  <c r="H6" i="6" s="1"/>
  <c r="G5" i="6"/>
  <c r="G6" i="6" s="1"/>
  <c r="F5" i="6"/>
  <c r="F6" i="6" s="1"/>
  <c r="E5" i="6"/>
  <c r="E6" i="6" s="1"/>
  <c r="D5" i="6"/>
  <c r="D6" i="6" s="1"/>
  <c r="C5" i="6"/>
  <c r="C6" i="6" s="1"/>
  <c r="B5" i="6"/>
  <c r="B6" i="6" s="1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O2" i="9" l="1"/>
  <c r="R5" i="7"/>
  <c r="O2" i="10" s="1"/>
  <c r="AF2" i="9"/>
  <c r="AN5" i="7"/>
  <c r="AF2" i="10" s="1"/>
  <c r="X5" i="7"/>
  <c r="U2" i="10" s="1"/>
  <c r="S5" i="7"/>
  <c r="P2" i="10" s="1"/>
  <c r="P2" i="9"/>
  <c r="AO5" i="7"/>
  <c r="AG2" i="10" s="1"/>
  <c r="AG2" i="9"/>
  <c r="Y5" i="7"/>
  <c r="V2" i="10" s="1"/>
  <c r="Q2" i="9"/>
  <c r="T5" i="7"/>
  <c r="Q2" i="10" s="1"/>
  <c r="AP5" i="7"/>
  <c r="AH2" i="10" s="1"/>
  <c r="AH2" i="9"/>
  <c r="Z5" i="7"/>
  <c r="W2" i="10" s="1"/>
  <c r="AU5" i="7"/>
  <c r="AT5" i="7"/>
  <c r="AL2" i="10" s="1"/>
  <c r="G5" i="7"/>
  <c r="E2" i="10" s="1"/>
  <c r="E2" i="9"/>
  <c r="AC5" i="7"/>
  <c r="Y2" i="10" s="1"/>
  <c r="Y2" i="9"/>
  <c r="AP2" i="9"/>
  <c r="AY5" i="7"/>
  <c r="AP2" i="10" s="1"/>
  <c r="I5" i="7"/>
  <c r="F2" i="10" s="1"/>
  <c r="F2" i="9"/>
  <c r="BA5" i="7"/>
  <c r="AQ2" i="10" s="1"/>
  <c r="AQ2" i="9"/>
  <c r="J5" i="7"/>
  <c r="G2" i="10" s="1"/>
  <c r="G2" i="9"/>
  <c r="K5" i="7"/>
  <c r="H2" i="10" s="1"/>
  <c r="H2" i="9"/>
  <c r="C5" i="7"/>
  <c r="L5" i="7"/>
  <c r="I2" i="10" s="1"/>
  <c r="I2" i="9"/>
  <c r="D5" i="7"/>
  <c r="M5" i="7"/>
  <c r="J2" i="10" s="1"/>
  <c r="J2" i="9"/>
  <c r="AE2" i="9"/>
  <c r="AI5" i="7"/>
  <c r="AE2" i="10" s="1"/>
  <c r="E5" i="7"/>
  <c r="C2" i="10" s="1"/>
  <c r="AH5" i="7"/>
  <c r="AD2" i="10" s="1"/>
  <c r="AD2" i="9"/>
  <c r="K2" i="9"/>
  <c r="N5" i="7"/>
  <c r="K2" i="10" s="1"/>
  <c r="AJ5" i="7"/>
  <c r="F5" i="7"/>
  <c r="D2" i="10" s="1"/>
  <c r="N2" i="9"/>
  <c r="Q5" i="7"/>
  <c r="N2" i="10" s="1"/>
  <c r="Z2" i="9"/>
  <c r="AD5" i="7"/>
  <c r="Z2" i="10" s="1"/>
  <c r="AE5" i="7"/>
  <c r="AA2" i="10" s="1"/>
  <c r="AA2" i="9"/>
  <c r="AF5" i="7"/>
  <c r="AB2" i="10" s="1"/>
  <c r="AB2" i="9"/>
  <c r="AG5" i="7"/>
  <c r="AC2" i="10" s="1"/>
  <c r="AC2" i="9"/>
  <c r="B5" i="7"/>
  <c r="B2" i="10" s="1"/>
  <c r="L2" i="9"/>
  <c r="O5" i="7"/>
  <c r="L2" i="10" s="1"/>
  <c r="M2" i="9"/>
  <c r="P5" i="7"/>
  <c r="M2" i="10" s="1"/>
  <c r="V5" i="7"/>
  <c r="S2" i="10" s="1"/>
  <c r="AR5" i="7"/>
  <c r="AJ2" i="10" s="1"/>
  <c r="AS5" i="7"/>
  <c r="AK2" i="10" s="1"/>
  <c r="U5" i="7"/>
  <c r="R2" i="10" s="1"/>
  <c r="AW5" i="7"/>
  <c r="AN2" i="10" s="1"/>
  <c r="AX5" i="7"/>
  <c r="AO2" i="10" s="1"/>
  <c r="AI2" i="9"/>
  <c r="B2" i="9"/>
  <c r="AV5" i="7"/>
  <c r="AM2" i="10" s="1"/>
  <c r="AL2" i="9"/>
  <c r="C4" i="8"/>
  <c r="B10" i="8" l="1"/>
  <c r="C10" i="8" s="1"/>
  <c r="B13" i="8"/>
</calcChain>
</file>

<file path=xl/sharedStrings.xml><?xml version="1.0" encoding="utf-8"?>
<sst xmlns="http://schemas.openxmlformats.org/spreadsheetml/2006/main" count="3509" uniqueCount="1642">
  <si>
    <t>BObIC BAU Output by ISIC Code</t>
  </si>
  <si>
    <t>Sources:</t>
  </si>
  <si>
    <t>Gross output by industry, detail level (2024) -&gt; SYObIC</t>
  </si>
  <si>
    <t>BEA</t>
  </si>
  <si>
    <t>Underlying Detail: Gross Output by Industry (Industry File Download), September 2025 revision</t>
  </si>
  <si>
    <t>https://apps.bea.gov/histdata/index.cfm</t>
  </si>
  <si>
    <t>Tab '2024 Data', verbatim; column E = editable 52-code assignment (486000 Pipeline transportation -&gt; ISIC 352T353, matching the energy side). IT-YEAR CONVENTION: model Initial Time = 2025; 'SY Start Year' variables hold 2024. SYObIC = this 2024 data. The 42 output tabs sum each parent's 52 children.</t>
  </si>
  <si>
    <t>2024-&gt;2025 growth per code -&gt; BObIC</t>
  </si>
  <si>
    <t>Energy Innovation, io-model/BPCiOaDCSbIC</t>
  </si>
  <si>
    <t>Scaled 2025 growth (AEO 2026 ELECTRNP / BLS 2.11 with the per-year GDP-fit factor)</t>
  </si>
  <si>
    <t>https://www.eia.gov/outlooks/aeo/tables_ref.php</t>
  </si>
  <si>
    <t>Tab 'g2025 derivation' — computed LIVE from embedded raw sources (BLS 2.11 + both AEO tabs); only imported number is the single 2025 GDP-fit scalar (cell B2, provenance noted). BObIC = SYObIC x (1+g2025), summed to 42.</t>
  </si>
  <si>
    <t>Notes:</t>
  </si>
  <si>
    <t>Currency</t>
  </si>
  <si>
    <t>2024 USD -&gt; 2012 USD factor below (editable; CPI-U from InputData/cpi.xlsx):</t>
  </si>
  <si>
    <t>2012 USD per 2024 USD</t>
  </si>
  <si>
    <t>Export</t>
  </si>
  <si>
    <t>SYObIC.csv = tab SYObIC; BObIC.csv = tab BObIC. Canonical 42-code column order.</t>
  </si>
  <si>
    <t>U.Real Gross Output by Industry - Detail Level (BEA, Sep 2025 revision) — pasted from stock workbook. Col E = 52-code ISIC assignment (486000 Pipeline transportation -&gt; ISIC 352T353).</t>
  </si>
  <si>
    <t>Line</t>
  </si>
  <si>
    <t>Industry</t>
  </si>
  <si>
    <t>2024 (millions of 2024 USD)</t>
  </si>
  <si>
    <t>ISIC Code (52, editable)</t>
  </si>
  <si>
    <t>Oilseed farming</t>
  </si>
  <si>
    <t>ISIC 01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</si>
  <si>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</si>
  <si>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</si>
  <si>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</si>
  <si>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</si>
  <si>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</si>
  <si>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</si>
  <si>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</si>
  <si>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</si>
  <si>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</si>
  <si>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</si>
  <si>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ISIC 02</t>
  </si>
  <si>
    <t>Fishing, hunting and trapping</t>
  </si>
  <si>
    <t>ISIC 03</t>
  </si>
  <si>
    <t>Support activities for agriculture and forestry</t>
  </si>
  <si>
    <t>Oil and gas extraction</t>
  </si>
  <si>
    <t>ISIC 06</t>
  </si>
  <si>
    <t>Coal mining</t>
  </si>
  <si>
    <t>ISIC 05</t>
  </si>
  <si>
    <t>Copper, nickel, lead, and zinc mining</t>
  </si>
  <si>
    <t>ISIC 07</t>
  </si>
  <si>
    <t>Iron, gold, silver, and other metal ore mining</t>
  </si>
  <si>
    <t>Stone mining and quarrying</t>
  </si>
  <si>
    <t>ISIC 08</t>
  </si>
  <si>
    <t>Other nonmetallic mineral mining and quarrying</t>
  </si>
  <si>
    <t>Drilling oil and gas wells</t>
  </si>
  <si>
    <t>ISIC 09</t>
  </si>
  <si>
    <t>Other support activities for mining</t>
  </si>
  <si>
    <t>Hydroelectric power generation</t>
  </si>
  <si>
    <t>ISIC 351</t>
  </si>
  <si>
    <t>Fossil fuel electric power generation</t>
  </si>
  <si>
    <t>Nuclear electric power generation</t>
  </si>
  <si>
    <t>Solar electric power generation</t>
  </si>
  <si>
    <t>Wind electric power generation</t>
  </si>
  <si>
    <t>Geothermal electric power generation</t>
  </si>
  <si>
    <t>Biomass electric power generation</t>
  </si>
  <si>
    <t>Other electric power generation</t>
  </si>
  <si>
    <t>Electric bulk power transmission and control</t>
  </si>
  <si>
    <t>Electric power distribution</t>
  </si>
  <si>
    <t>Natural gas distribution</t>
  </si>
  <si>
    <t>ISIC 352T353</t>
  </si>
  <si>
    <t>Water, sewage and other systems</t>
  </si>
  <si>
    <t>ISIC 36T39</t>
  </si>
  <si>
    <t>Health care structures</t>
  </si>
  <si>
    <t>ISIC 41T43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</si>
  <si>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</si>
  <si>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</si>
  <si>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</si>
  <si>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</si>
  <si>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</si>
  <si>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</si>
  <si>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</si>
  <si>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</si>
  <si>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</si>
  <si>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</si>
  <si>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</si>
  <si>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</si>
  <si>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ISIC 16</t>
  </si>
  <si>
    <t>Veneer, plywood, and engineered wood product manufacturing</t>
  </si>
  <si>
    <t>Millwork</t>
  </si>
  <si>
    <t>All other wood product manufacturing</t>
  </si>
  <si>
    <t>Clay product and refractory manufacturing</t>
  </si>
  <si>
    <t>ISIC 239</t>
  </si>
  <si>
    <t>Glass and glass product manufacturing</t>
  </si>
  <si>
    <t>ISIC 231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</si>
  <si>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</si>
  <si>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</si>
  <si>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</si>
  <si>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</si>
  <si>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</si>
  <si>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</si>
  <si>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</si>
  <si>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</si>
  <si>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</si>
  <si>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</si>
  <si>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</si>
  <si>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ISIC 241</t>
  </si>
  <si>
    <t>Steel product manufacturing from purchased steel</t>
  </si>
  <si>
    <t>Secondary smelting and alloying of aluminum</t>
  </si>
  <si>
    <t>ISIC 242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</si>
  <si>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</si>
  <si>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</si>
  <si>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</si>
  <si>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</si>
  <si>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</si>
  <si>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</si>
  <si>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</si>
  <si>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</si>
  <si>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ISIC 25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</si>
  <si>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</si>
  <si>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</si>
  <si>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</si>
  <si>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</si>
  <si>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</si>
  <si>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</si>
  <si>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</si>
  <si>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</si>
  <si>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</si>
  <si>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</si>
  <si>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</si>
  <si>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</si>
  <si>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</si>
  <si>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</si>
  <si>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</si>
  <si>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</si>
  <si>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</si>
  <si>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</si>
  <si>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</si>
  <si>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</si>
  <si>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ISIC 28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</si>
  <si>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</si>
  <si>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</si>
  <si>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</si>
  <si>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</si>
  <si>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</si>
  <si>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</si>
  <si>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</si>
  <si>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</si>
  <si>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</si>
  <si>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</si>
  <si>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</si>
  <si>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</si>
  <si>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</si>
  <si>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</si>
  <si>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</si>
  <si>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</si>
  <si>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</si>
  <si>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</si>
  <si>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</si>
  <si>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</si>
  <si>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</si>
  <si>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</si>
  <si>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</si>
  <si>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</si>
  <si>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</si>
  <si>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</si>
  <si>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</si>
  <si>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</si>
  <si>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ISIC 26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</si>
  <si>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</si>
  <si>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</si>
  <si>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</si>
  <si>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</si>
  <si>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</si>
  <si>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</si>
  <si>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</si>
  <si>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</si>
  <si>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</si>
  <si>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</si>
  <si>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</si>
  <si>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</si>
  <si>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</si>
  <si>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</si>
  <si>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</si>
  <si>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</si>
  <si>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</si>
  <si>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</si>
  <si>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</si>
  <si>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</si>
  <si>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ISIC 27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</si>
  <si>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</si>
  <si>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</si>
  <si>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</si>
  <si>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</si>
  <si>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</si>
  <si>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</si>
  <si>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</si>
  <si>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</si>
  <si>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</si>
  <si>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</si>
  <si>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</si>
  <si>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</si>
  <si>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</si>
  <si>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</si>
  <si>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ISIC 29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</si>
  <si>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</si>
  <si>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</si>
  <si>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</si>
  <si>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</si>
  <si>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</si>
  <si>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</si>
  <si>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</si>
  <si>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</si>
  <si>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</si>
  <si>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</si>
  <si>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</si>
  <si>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</si>
  <si>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</si>
  <si>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</si>
  <si>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ISIC 302T309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</si>
  <si>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</si>
  <si>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</si>
  <si>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</si>
  <si>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</si>
  <si>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</si>
  <si>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</si>
  <si>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ISIC 301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</si>
  <si>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</si>
  <si>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</si>
  <si>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</si>
  <si>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</si>
  <si>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</si>
  <si>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ISIC 31T33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</si>
  <si>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</si>
  <si>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</si>
  <si>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</si>
  <si>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</si>
  <si>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</si>
  <si>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</si>
  <si>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</si>
  <si>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</si>
  <si>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</si>
  <si>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</si>
  <si>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</si>
  <si>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</si>
  <si>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</si>
  <si>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</si>
  <si>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</si>
  <si>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</si>
  <si>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</si>
  <si>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</si>
  <si>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</si>
  <si>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ISIC 10T12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</si>
  <si>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</si>
  <si>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</si>
  <si>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</si>
  <si>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</si>
  <si>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</si>
  <si>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</si>
  <si>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</si>
  <si>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</si>
  <si>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</si>
  <si>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</si>
  <si>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</si>
  <si>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</si>
  <si>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</si>
  <si>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</si>
  <si>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</si>
  <si>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</si>
  <si>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</si>
  <si>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</si>
  <si>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</si>
  <si>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</si>
  <si>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</si>
  <si>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</si>
  <si>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</si>
  <si>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</si>
  <si>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</si>
  <si>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</si>
  <si>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</si>
  <si>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</si>
  <si>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</si>
  <si>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ISIC 13T15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</si>
  <si>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</si>
  <si>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</si>
  <si>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</si>
  <si>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</si>
  <si>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</si>
  <si>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</si>
  <si>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</si>
  <si>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</si>
  <si>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ISIC 17T18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</si>
  <si>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</si>
  <si>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</si>
  <si>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</si>
  <si>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</si>
  <si>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</si>
  <si>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</si>
  <si>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</si>
  <si>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</si>
  <si>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</si>
  <si>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</si>
  <si>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ISIC 19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</si>
  <si>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</si>
  <si>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</si>
  <si>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</si>
  <si>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</si>
  <si>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ISIC 20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</si>
  <si>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</si>
  <si>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</si>
  <si>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</si>
  <si>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</si>
  <si>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</si>
  <si>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</si>
  <si>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</si>
  <si>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ISIC 21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</si>
  <si>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</si>
  <si>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</si>
  <si>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</si>
  <si>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</si>
  <si>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</si>
  <si>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</si>
  <si>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</si>
  <si>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</si>
  <si>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</si>
  <si>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</si>
  <si>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</si>
  <si>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</si>
  <si>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ISIC 22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</si>
  <si>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</si>
  <si>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</si>
  <si>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</si>
  <si>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</si>
  <si>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</si>
  <si>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</si>
  <si>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</si>
  <si>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</si>
  <si>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</si>
  <si>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</si>
  <si>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ISIC 45T47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</si>
  <si>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</si>
  <si>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</si>
  <si>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</si>
  <si>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</si>
  <si>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</si>
  <si>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</si>
  <si>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</si>
  <si>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</si>
  <si>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</si>
  <si>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</si>
  <si>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</si>
  <si>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</si>
  <si>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</si>
  <si>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</si>
  <si>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</si>
  <si>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</si>
  <si>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</si>
  <si>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</si>
  <si>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</si>
  <si>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</si>
  <si>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</si>
  <si>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</si>
  <si>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</si>
  <si>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ISIC 51</t>
  </si>
  <si>
    <t>Rail transportation</t>
  </si>
  <si>
    <t>ISIC 49</t>
  </si>
  <si>
    <t>Water transportation</t>
  </si>
  <si>
    <t>ISIC 50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</si>
  <si>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</si>
  <si>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</si>
  <si>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</si>
  <si>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</si>
  <si>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ISIC 52</t>
  </si>
  <si>
    <t>Couriers and messengers</t>
  </si>
  <si>
    <t>ISIC 53</t>
  </si>
  <si>
    <t>Warehousing and storage</t>
  </si>
  <si>
    <t>Newspaper publishers</t>
  </si>
  <si>
    <t>ISIC 58T60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</si>
  <si>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</si>
  <si>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</si>
  <si>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</si>
  <si>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</si>
  <si>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</si>
  <si>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</si>
  <si>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</si>
  <si>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</si>
  <si>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</si>
  <si>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ISIC 61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</si>
  <si>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</si>
  <si>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</si>
  <si>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</si>
  <si>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ISIC 62T63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</si>
  <si>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</si>
  <si>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</si>
  <si>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</si>
  <si>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ISIC 64T66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</si>
  <si>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</si>
  <si>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</si>
  <si>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</si>
  <si>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</si>
  <si>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</si>
  <si>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</si>
  <si>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</si>
  <si>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</si>
  <si>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ISIC 68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</si>
  <si>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</si>
  <si>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</si>
  <si>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</si>
  <si>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</si>
  <si>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</si>
  <si>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</si>
  <si>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</si>
  <si>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ISIC 69T75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</si>
  <si>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</si>
  <si>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</si>
  <si>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</si>
  <si>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</si>
  <si>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</si>
  <si>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</si>
  <si>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</si>
  <si>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</si>
  <si>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</si>
  <si>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</si>
  <si>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</si>
  <si>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</si>
  <si>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</si>
  <si>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</si>
  <si>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</si>
  <si>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ISIC 77T82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</si>
  <si>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</si>
  <si>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</si>
  <si>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</si>
  <si>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</si>
  <si>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</si>
  <si>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</si>
  <si>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</si>
  <si>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</si>
  <si>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</si>
  <si>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ISIC 85</t>
  </si>
  <si>
    <t>Junior colleges, colleges, universities, and professional schools</t>
  </si>
  <si>
    <t>Other educational services</t>
  </si>
  <si>
    <t>Offices of physicians</t>
  </si>
  <si>
    <t>ISIC 86T88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</si>
  <si>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</si>
  <si>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</si>
  <si>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</si>
  <si>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</si>
  <si>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</si>
  <si>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</si>
  <si>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</si>
  <si>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</si>
  <si>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</si>
  <si>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</si>
  <si>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</si>
  <si>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</si>
  <si>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</si>
  <si>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ISIC 90T93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</si>
  <si>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</si>
  <si>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</si>
  <si>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</si>
  <si>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</si>
  <si>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</si>
  <si>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</si>
  <si>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</si>
  <si>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</si>
  <si>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ISIC 55T56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</si>
  <si>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</si>
  <si>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</si>
  <si>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</si>
  <si>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</si>
  <si>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</si>
  <si>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ISIC 94T96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</si>
  <si>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</si>
  <si>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</si>
  <si>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</si>
  <si>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</si>
  <si>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</si>
  <si>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</si>
  <si>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</si>
  <si>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</si>
  <si>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</si>
  <si>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</si>
  <si>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ISIC 97T98</t>
  </si>
  <si>
    <t>Federal general government (defense)</t>
  </si>
  <si>
    <t>ISIC 84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</si>
  <si>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</si>
  <si>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</si>
  <si>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</si>
  <si>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</si>
  <si>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</si>
  <si>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</si>
  <si>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</si>
  <si>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</si>
  <si>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</si>
  <si>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</si>
  <si>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</si>
  <si>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</si>
  <si>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</si>
  <si>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</si>
  <si>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</si>
  <si>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</si>
  <si>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</si>
  <si>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</si>
  <si>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</si>
  <si>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</si>
  <si>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</si>
  <si>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</si>
  <si>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</si>
  <si>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</si>
  <si>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</si>
  <si>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</si>
  <si>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</si>
  <si>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</si>
  <si>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</si>
  <si>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</si>
  <si>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</si>
  <si>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</si>
  <si>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</si>
  <si>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</si>
  <si>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</si>
  <si>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</si>
  <si>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</si>
  <si>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</si>
  <si>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</si>
  <si>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>113000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</si>
  <si>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</si>
  <si>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</si>
  <si>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</si>
  <si>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</si>
  <si>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</si>
  <si>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>114000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</si>
  <si>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</si>
  <si>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</si>
  <si>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</si>
  <si>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</si>
  <si>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</si>
  <si>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</si>
  <si>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</si>
  <si>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</si>
  <si>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</si>
  <si>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</si>
  <si>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</si>
  <si>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</si>
  <si>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</si>
  <si>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</si>
  <si>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</si>
  <si>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</si>
  <si>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</si>
  <si>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</si>
  <si>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</si>
  <si>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</si>
  <si>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</si>
  <si>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</si>
  <si>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</si>
  <si>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</si>
  <si>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</si>
  <si>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</si>
  <si>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</si>
  <si>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</si>
  <si>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</si>
  <si>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</si>
  <si>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</si>
  <si>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</si>
  <si>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</si>
  <si>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</si>
  <si>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</si>
  <si>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</si>
  <si>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</si>
  <si>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</si>
  <si>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</si>
  <si>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</si>
  <si>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</si>
  <si>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</si>
  <si>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</si>
  <si>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</si>
  <si>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</si>
  <si>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</si>
  <si>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</si>
  <si>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</si>
  <si>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</si>
  <si>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</si>
  <si>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</si>
  <si>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</si>
  <si>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</si>
  <si>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</si>
  <si>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</si>
  <si>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</si>
  <si>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</si>
  <si>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</si>
  <si>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</si>
  <si>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</si>
  <si>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</si>
  <si>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</si>
  <si>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</si>
  <si>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</si>
  <si>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</si>
  <si>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</si>
  <si>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</si>
  <si>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</si>
  <si>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</si>
  <si>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</si>
  <si>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</si>
  <si>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</si>
  <si>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</si>
  <si>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</si>
  <si>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</si>
  <si>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</si>
  <si>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</si>
  <si>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</si>
  <si>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</si>
  <si>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</si>
  <si>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</si>
  <si>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</si>
  <si>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</si>
  <si>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</si>
  <si>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</si>
  <si>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</si>
  <si>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</si>
  <si>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</si>
  <si>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</si>
  <si>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</si>
  <si>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</si>
  <si>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</si>
  <si>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</si>
  <si>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</si>
  <si>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</si>
  <si>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</si>
  <si>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</si>
  <si>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</si>
  <si>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</si>
  <si>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</si>
  <si>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</si>
  <si>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</si>
  <si>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</si>
  <si>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</si>
  <si>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</si>
  <si>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</si>
  <si>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</si>
  <si>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</si>
  <si>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</si>
  <si>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</si>
  <si>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</si>
  <si>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</si>
  <si>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</si>
  <si>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</si>
  <si>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</si>
  <si>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</si>
  <si>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</si>
  <si>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</si>
  <si>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</si>
  <si>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</si>
  <si>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</si>
  <si>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</si>
  <si>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</si>
  <si>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</si>
  <si>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</si>
  <si>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</si>
  <si>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</si>
  <si>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</si>
  <si>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</si>
  <si>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</si>
  <si>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</si>
  <si>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</si>
  <si>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</si>
  <si>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</si>
  <si>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</si>
  <si>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</si>
  <si>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</si>
  <si>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</si>
  <si>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</si>
  <si>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</si>
  <si>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</si>
  <si>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</si>
  <si>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</si>
  <si>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</si>
  <si>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</si>
  <si>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</si>
  <si>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</si>
  <si>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</si>
  <si>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</si>
  <si>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</si>
  <si>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</si>
  <si>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</si>
  <si>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</si>
  <si>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</si>
  <si>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</si>
  <si>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</si>
  <si>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</si>
  <si>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</si>
  <si>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</si>
  <si>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</si>
  <si>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</si>
  <si>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</si>
  <si>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</si>
  <si>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</si>
  <si>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</si>
  <si>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</si>
  <si>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</si>
  <si>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</si>
  <si>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</si>
  <si>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</si>
  <si>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</si>
  <si>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</si>
  <si>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</si>
  <si>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</si>
  <si>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</si>
  <si>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</si>
  <si>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</si>
  <si>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</si>
  <si>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</si>
  <si>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</si>
  <si>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</si>
  <si>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</si>
  <si>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</si>
  <si>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</si>
  <si>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</si>
  <si>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</si>
  <si>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</si>
  <si>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</si>
  <si>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</si>
  <si>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</si>
  <si>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</si>
  <si>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</si>
  <si>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</si>
  <si>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</si>
  <si>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</si>
  <si>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</si>
  <si>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</si>
  <si>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</si>
  <si>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</si>
  <si>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</si>
  <si>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</si>
  <si>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</si>
  <si>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</si>
  <si>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</si>
  <si>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</si>
  <si>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</si>
  <si>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</si>
  <si>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</si>
  <si>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</si>
  <si>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</si>
  <si>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</si>
  <si>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</si>
  <si>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</si>
  <si>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</si>
  <si>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</si>
  <si>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</si>
  <si>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</si>
  <si>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</si>
  <si>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</si>
  <si>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</si>
  <si>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</si>
  <si>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</si>
  <si>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</si>
  <si>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</si>
  <si>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</si>
  <si>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</si>
  <si>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</si>
  <si>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</si>
  <si>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</si>
  <si>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</si>
  <si>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</si>
  <si>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</si>
  <si>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</si>
  <si>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</si>
  <si>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</si>
  <si>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</si>
  <si>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</si>
  <si>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</si>
  <si>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</si>
  <si>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</si>
  <si>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</si>
  <si>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</si>
  <si>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</si>
  <si>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</si>
  <si>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</si>
  <si>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</si>
  <si>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</si>
  <si>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</si>
  <si>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</si>
  <si>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</si>
  <si>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</si>
  <si>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</si>
  <si>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</si>
  <si>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</si>
  <si>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</si>
  <si>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</si>
  <si>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</si>
  <si>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</si>
  <si>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</si>
  <si>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</si>
  <si>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</si>
  <si>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</si>
  <si>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</si>
  <si>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</si>
  <si>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</si>
  <si>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</si>
  <si>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</si>
  <si>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</si>
  <si>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</si>
  <si>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</si>
  <si>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</si>
  <si>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</si>
  <si>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</si>
  <si>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</si>
  <si>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</si>
  <si>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</si>
  <si>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</si>
  <si>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</si>
  <si>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</si>
  <si>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</si>
  <si>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</si>
  <si>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</si>
  <si>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</si>
  <si>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</si>
  <si>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</si>
  <si>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</si>
  <si>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</si>
  <si>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</si>
  <si>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</si>
  <si>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</si>
  <si>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</si>
  <si>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</si>
  <si>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</si>
  <si>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</si>
  <si>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</si>
  <si>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</si>
  <si>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</si>
  <si>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</si>
  <si>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</si>
  <si>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</si>
  <si>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</si>
  <si>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</si>
  <si>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</si>
  <si>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</si>
  <si>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</si>
  <si>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</si>
  <si>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</si>
  <si>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</si>
  <si>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</si>
  <si>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</si>
  <si>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</si>
  <si>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</si>
  <si>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</si>
  <si>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</si>
  <si>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</si>
  <si>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</si>
  <si>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</si>
  <si>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</si>
  <si>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</si>
  <si>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</si>
  <si>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</si>
  <si>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</si>
  <si>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</si>
  <si>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</si>
  <si>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</si>
  <si>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</si>
  <si>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</si>
  <si>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</si>
  <si>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</si>
  <si>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</si>
  <si>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</si>
  <si>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</si>
  <si>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</si>
  <si>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</si>
  <si>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</si>
  <si>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</si>
  <si>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</si>
  <si>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</si>
  <si>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</si>
  <si>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</si>
  <si>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</si>
  <si>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</si>
  <si>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</si>
  <si>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</si>
  <si>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</si>
  <si>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481000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</si>
  <si>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</si>
  <si>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</si>
  <si>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</si>
  <si>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</si>
  <si>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</si>
  <si>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482000</t>
  </si>
  <si>
    <t xml:space="preserve">      Water transportation</t>
  </si>
  <si>
    <t>483000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</si>
  <si>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</si>
  <si>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</si>
  <si>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</si>
  <si>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</si>
  <si>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</si>
  <si>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>484000</t>
  </si>
  <si>
    <t xml:space="preserve">      Transit and ground passenger transportation</t>
  </si>
  <si>
    <t>485000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</si>
  <si>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</si>
  <si>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</si>
  <si>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</si>
  <si>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</si>
  <si>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</si>
  <si>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</si>
  <si>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</si>
  <si>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</si>
  <si>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</si>
  <si>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</si>
  <si>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</si>
  <si>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</si>
  <si>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</si>
  <si>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>486000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</si>
  <si>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</si>
  <si>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</si>
  <si>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</si>
  <si>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</si>
  <si>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</si>
  <si>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</si>
  <si>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</si>
  <si>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</si>
  <si>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</si>
  <si>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</si>
  <si>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</si>
  <si>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</si>
  <si>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</si>
  <si>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</si>
  <si>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</si>
  <si>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</si>
  <si>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</si>
  <si>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</si>
  <si>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</si>
  <si>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</si>
  <si>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</si>
  <si>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</si>
  <si>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</si>
  <si>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</si>
  <si>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</si>
  <si>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</si>
  <si>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</si>
  <si>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</si>
  <si>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</si>
  <si>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</si>
  <si>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</si>
  <si>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492000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</si>
  <si>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</si>
  <si>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</si>
  <si>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</si>
  <si>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</si>
  <si>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</si>
  <si>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493000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</si>
  <si>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</si>
  <si>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</si>
  <si>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</si>
  <si>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</si>
  <si>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</si>
  <si>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</si>
  <si>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</si>
  <si>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</si>
  <si>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</si>
  <si>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</si>
  <si>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</si>
  <si>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</si>
  <si>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</si>
  <si>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</si>
  <si>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</si>
  <si>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</si>
  <si>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</si>
  <si>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</si>
  <si>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</si>
  <si>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</si>
  <si>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</si>
  <si>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</si>
  <si>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</si>
  <si>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</si>
  <si>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</si>
  <si>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</si>
  <si>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</si>
  <si>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</si>
  <si>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</si>
  <si>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</si>
  <si>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</si>
  <si>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</si>
  <si>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</si>
  <si>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</si>
  <si>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</si>
  <si>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</si>
  <si>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</si>
  <si>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</si>
  <si>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</si>
  <si>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</si>
  <si>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</si>
  <si>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</si>
  <si>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</si>
  <si>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</si>
  <si>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</si>
  <si>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</si>
  <si>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</si>
  <si>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</si>
  <si>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</si>
  <si>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</si>
  <si>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</si>
  <si>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</si>
  <si>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</si>
  <si>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</si>
  <si>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</si>
  <si>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</si>
  <si>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</si>
  <si>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</si>
  <si>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</si>
  <si>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</si>
  <si>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</si>
  <si>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</si>
  <si>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</si>
  <si>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</si>
  <si>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</si>
  <si>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</si>
  <si>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</si>
  <si>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</si>
  <si>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</si>
  <si>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</si>
  <si>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</si>
  <si>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</si>
  <si>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</si>
  <si>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</si>
  <si>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</si>
  <si>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</si>
  <si>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</si>
  <si>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</si>
  <si>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</si>
  <si>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</si>
  <si>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</si>
  <si>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</si>
  <si>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</si>
  <si>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</si>
  <si>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</si>
  <si>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</si>
  <si>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</si>
  <si>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</si>
  <si>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</si>
  <si>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</si>
  <si>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</si>
  <si>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</si>
  <si>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</si>
  <si>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</si>
  <si>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</si>
  <si>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</si>
  <si>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</si>
  <si>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</si>
  <si>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</si>
  <si>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</si>
  <si>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</si>
  <si>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</si>
  <si>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</si>
  <si>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</si>
  <si>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</si>
  <si>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</si>
  <si>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</si>
  <si>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</si>
  <si>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</si>
  <si>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</si>
  <si>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</si>
  <si>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</si>
  <si>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</si>
  <si>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</si>
  <si>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</si>
  <si>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</si>
  <si>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</si>
  <si>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</si>
  <si>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</si>
  <si>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</si>
  <si>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</si>
  <si>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</si>
  <si>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</si>
  <si>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</si>
  <si>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</si>
  <si>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</si>
  <si>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</si>
  <si>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</si>
  <si>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</si>
  <si>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</si>
  <si>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</si>
  <si>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</si>
  <si>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</si>
  <si>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</si>
  <si>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</si>
  <si>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</si>
  <si>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</si>
  <si>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</si>
  <si>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</si>
  <si>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</si>
  <si>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</si>
  <si>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</si>
  <si>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</si>
  <si>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</si>
  <si>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</si>
  <si>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</si>
  <si>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</si>
  <si>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</si>
  <si>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</si>
  <si>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</si>
  <si>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</si>
  <si>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</si>
  <si>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</si>
  <si>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</si>
  <si>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</si>
  <si>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</si>
  <si>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</si>
  <si>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</si>
  <si>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</si>
  <si>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</si>
  <si>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</si>
  <si>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</si>
  <si>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</si>
  <si>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</si>
  <si>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</si>
  <si>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</si>
  <si>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</si>
  <si>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</si>
  <si>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</si>
  <si>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</si>
  <si>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</si>
  <si>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</si>
  <si>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</si>
  <si>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</si>
  <si>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</si>
  <si>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</si>
  <si>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</si>
  <si>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</si>
  <si>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</si>
  <si>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</si>
  <si>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</si>
  <si>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</si>
  <si>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</si>
  <si>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</si>
  <si>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</si>
  <si>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</si>
  <si>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</si>
  <si>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</si>
  <si>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</si>
  <si>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</si>
  <si>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</si>
  <si>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</si>
  <si>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</si>
  <si>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</si>
  <si>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</si>
  <si>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</si>
  <si>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</si>
  <si>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</si>
  <si>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</si>
  <si>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</si>
  <si>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</si>
  <si>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</si>
  <si>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</si>
  <si>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</si>
  <si>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</si>
  <si>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</si>
  <si>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</si>
  <si>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</si>
  <si>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</si>
  <si>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</si>
  <si>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</si>
  <si>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</si>
  <si>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</si>
  <si>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</si>
  <si>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</si>
  <si>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</si>
  <si>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</si>
  <si>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</si>
  <si>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</si>
  <si>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</si>
  <si>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</si>
  <si>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</si>
  <si>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</si>
  <si>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</si>
  <si>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</si>
  <si>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</si>
  <si>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</si>
  <si>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</si>
  <si>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</si>
  <si>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</si>
  <si>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</si>
  <si>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</si>
  <si>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</si>
  <si>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</si>
  <si>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</si>
  <si>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</si>
  <si>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</si>
  <si>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</si>
  <si>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</si>
  <si>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</si>
  <si>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</si>
  <si>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</si>
  <si>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</si>
  <si>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</si>
  <si>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</si>
  <si>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</si>
  <si>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</si>
  <si>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</si>
  <si>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</si>
  <si>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</si>
  <si>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</si>
  <si>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</si>
  <si>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</si>
  <si>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</si>
  <si>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</si>
  <si>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</si>
  <si>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</si>
  <si>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</si>
  <si>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</si>
  <si>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</si>
  <si>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</si>
  <si>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</si>
  <si>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</si>
  <si>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</si>
  <si>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</si>
  <si>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</si>
  <si>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</si>
  <si>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</si>
  <si>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</si>
  <si>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</si>
  <si>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</si>
  <si>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</si>
  <si>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</si>
  <si>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</si>
  <si>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</si>
  <si>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</si>
  <si>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</si>
  <si>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</si>
  <si>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</si>
  <si>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</si>
  <si>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</si>
  <si>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</si>
  <si>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</si>
  <si>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</si>
  <si>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</si>
  <si>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</si>
  <si>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</si>
  <si>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</si>
  <si>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</si>
  <si>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</si>
  <si>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</si>
  <si>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</si>
  <si>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</si>
  <si>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</si>
  <si>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</si>
  <si>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</si>
  <si>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</si>
  <si>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</si>
  <si>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</si>
  <si>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</si>
  <si>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</si>
  <si>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</si>
  <si>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</si>
  <si>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</si>
  <si>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</si>
  <si>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</si>
  <si>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</si>
  <si>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</si>
  <si>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</si>
  <si>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</si>
  <si>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</si>
  <si>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</si>
  <si>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</si>
  <si>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</si>
  <si>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</si>
  <si>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</si>
  <si>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</si>
  <si>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</si>
  <si>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</si>
  <si>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</si>
  <si>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</si>
  <si>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</si>
  <si>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</si>
  <si>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</si>
  <si>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</si>
  <si>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</si>
  <si>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</si>
  <si>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</si>
  <si>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</si>
  <si>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</si>
  <si>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</si>
  <si>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</si>
  <si>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</si>
  <si>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</si>
  <si>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</si>
  <si>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</si>
  <si>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</si>
  <si>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</si>
  <si>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</si>
  <si>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</si>
  <si>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</si>
  <si>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</si>
  <si>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</si>
  <si>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</si>
  <si>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</si>
  <si>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</si>
  <si>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</si>
  <si>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</si>
  <si>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</si>
  <si>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</si>
  <si>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</si>
  <si>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</si>
  <si>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</si>
  <si>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</si>
  <si>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</si>
  <si>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</si>
  <si>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</si>
  <si>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</si>
  <si>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</si>
  <si>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</si>
  <si>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</si>
  <si>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</si>
  <si>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</si>
  <si>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</si>
  <si>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</si>
  <si>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</si>
  <si>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</si>
  <si>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</si>
  <si>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</si>
  <si>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</si>
  <si>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</si>
  <si>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</si>
  <si>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</si>
  <si>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</si>
  <si>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</si>
  <si>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</si>
  <si>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</si>
  <si>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</si>
  <si>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</si>
  <si>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</si>
  <si>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</si>
  <si>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</si>
  <si>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</si>
  <si>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</si>
  <si>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</si>
  <si>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</si>
  <si>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</si>
  <si>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</si>
  <si>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</si>
  <si>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</si>
  <si>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</si>
  <si>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</si>
  <si>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</si>
  <si>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</si>
  <si>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</si>
  <si>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</si>
  <si>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</si>
  <si>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</si>
  <si>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</si>
  <si>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</si>
  <si>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</si>
  <si>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</si>
  <si>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</si>
  <si>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</si>
  <si>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</si>
  <si>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</si>
  <si>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</si>
  <si>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</si>
  <si>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</si>
  <si>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</si>
  <si>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</si>
  <si>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</si>
  <si>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</si>
  <si>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</si>
  <si>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</si>
  <si>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</si>
  <si>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</si>
  <si>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</si>
  <si>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</si>
  <si>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</si>
  <si>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</si>
  <si>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</si>
  <si>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</si>
  <si>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</si>
  <si>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</si>
  <si>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</si>
  <si>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</si>
  <si>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</si>
  <si>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</si>
  <si>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</si>
  <si>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</si>
  <si>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</si>
  <si>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</si>
  <si>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</si>
  <si>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</si>
  <si>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</si>
  <si>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</si>
  <si>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</si>
  <si>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</si>
  <si>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</si>
  <si>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</si>
  <si>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</si>
  <si>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</si>
  <si>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</si>
  <si>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</si>
  <si>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</si>
  <si>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Construction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</si>
  <si>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</si>
  <si>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</si>
  <si>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</si>
  <si>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</si>
  <si>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</si>
  <si>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</si>
  <si>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</si>
  <si>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</si>
  <si>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</si>
  <si>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</si>
  <si>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</si>
  <si>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</si>
  <si>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</si>
  <si>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</si>
  <si>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</si>
  <si>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</si>
  <si>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</si>
  <si>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</si>
  <si>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</si>
  <si>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</si>
  <si>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</si>
  <si>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</si>
  <si>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</si>
  <si>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</si>
  <si>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</si>
  <si>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</si>
  <si>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</si>
  <si>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</si>
  <si>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</si>
  <si>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</si>
  <si>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</si>
  <si>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</si>
  <si>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</si>
  <si>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</si>
  <si>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</si>
  <si>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</si>
  <si>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</si>
  <si>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</si>
  <si>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</si>
  <si>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</si>
  <si>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</si>
  <si>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</si>
  <si>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</si>
  <si>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</si>
  <si>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</si>
  <si>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</si>
  <si>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</si>
  <si>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</si>
  <si>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</si>
  <si>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</si>
  <si>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</si>
  <si>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</si>
  <si>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</si>
  <si>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</si>
  <si>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</si>
  <si>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</si>
  <si>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</si>
  <si>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</si>
  <si>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</si>
  <si>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</si>
  <si>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</si>
  <si>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</si>
  <si>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</si>
  <si>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</si>
  <si>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</si>
  <si>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</si>
  <si>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</si>
  <si>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</si>
  <si>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</si>
  <si>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</si>
  <si>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</si>
  <si>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</si>
  <si>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</si>
  <si>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</si>
  <si>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</si>
  <si>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</si>
  <si>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</si>
  <si>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</si>
  <si>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</si>
  <si>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</si>
  <si>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</si>
  <si>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</si>
  <si>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</si>
  <si>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</si>
  <si>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</si>
  <si>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</si>
  <si>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</si>
  <si>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</si>
  <si>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</si>
  <si>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</si>
  <si>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</si>
  <si>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</si>
  <si>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</si>
  <si>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</si>
  <si>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</si>
  <si>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</si>
  <si>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</si>
  <si>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</si>
  <si>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</si>
  <si>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</si>
  <si>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</si>
  <si>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</si>
  <si>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</si>
  <si>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</si>
  <si>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</si>
  <si>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</si>
  <si>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</si>
  <si>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</si>
  <si>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</si>
  <si>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</si>
  <si>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</si>
  <si>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</si>
  <si>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</si>
  <si>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</si>
  <si>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</si>
  <si>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</si>
  <si>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</si>
  <si>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</si>
  <si>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</si>
  <si>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</si>
  <si>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</si>
  <si>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</si>
  <si>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</si>
  <si>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</si>
  <si>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</si>
  <si>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</si>
  <si>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</si>
  <si>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Machinery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</si>
  <si>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</si>
  <si>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</si>
  <si>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</si>
  <si>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</si>
  <si>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</si>
  <si>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</si>
  <si>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</si>
  <si>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</si>
  <si>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</si>
  <si>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</si>
  <si>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</si>
  <si>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</si>
  <si>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</si>
  <si>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</si>
  <si>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</si>
  <si>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</si>
  <si>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</si>
  <si>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</si>
  <si>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</si>
  <si>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</si>
  <si>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</si>
  <si>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</si>
  <si>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</si>
  <si>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</si>
  <si>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</si>
  <si>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</si>
  <si>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</si>
  <si>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</si>
  <si>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</si>
  <si>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</si>
  <si>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</si>
  <si>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</si>
  <si>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</si>
  <si>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</si>
  <si>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</si>
  <si>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</si>
  <si>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</si>
  <si>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</si>
  <si>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</si>
  <si>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</si>
  <si>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</si>
  <si>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</si>
  <si>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</si>
  <si>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</si>
  <si>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</si>
  <si>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</si>
  <si>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</si>
  <si>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</si>
  <si>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</si>
  <si>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</si>
  <si>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</si>
  <si>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</si>
  <si>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</si>
  <si>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</si>
  <si>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</si>
  <si>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</si>
  <si>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</si>
  <si>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</si>
  <si>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</si>
  <si>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</si>
  <si>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</si>
  <si>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</si>
  <si>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</si>
  <si>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</si>
  <si>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</si>
  <si>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</si>
  <si>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</si>
  <si>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</si>
  <si>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</si>
  <si>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</si>
  <si>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</si>
  <si>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</si>
  <si>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</si>
  <si>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</si>
  <si>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</si>
  <si>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</si>
  <si>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</si>
  <si>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</si>
  <si>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</si>
  <si>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</si>
  <si>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</si>
  <si>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</si>
  <si>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</si>
  <si>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</si>
  <si>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</si>
  <si>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</si>
  <si>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</si>
  <si>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</si>
  <si>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</si>
  <si>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</si>
  <si>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</si>
  <si>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</si>
  <si>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</si>
  <si>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</si>
  <si>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</si>
  <si>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</si>
  <si>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</si>
  <si>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</si>
  <si>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</si>
  <si>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</si>
  <si>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</si>
  <si>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</si>
  <si>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</si>
  <si>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</si>
  <si>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</si>
  <si>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</si>
  <si>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</si>
  <si>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</si>
  <si>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</si>
  <si>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</si>
  <si>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Per-52-code 2024 gross output, then SYObIC (2024) and BObIC (2025) at 52 codes; the 42 output tabs sum each parent's children.</t>
  </si>
  <si>
    <t>ISIC (52)</t>
  </si>
  <si>
    <t>2024 output (millions)</t>
  </si>
  <si>
    <t>SYObIC (2024, USD)</t>
  </si>
  <si>
    <t>BObIC (2025, USD)</t>
  </si>
  <si>
    <t>Validation checks</t>
  </si>
  <si>
    <t>Unassigned 2024 output (value but no ISIC code) — should be 0</t>
  </si>
  <si>
    <t>Coverage: 52-code 2024 sum = assigned rows total</t>
  </si>
  <si>
    <t>42 SYObIC total = 52 SYObIC total (collapse conserves the level)</t>
  </si>
  <si>
    <t>BObIC/SYObIC economy growth (should be ~1-2%)</t>
  </si>
  <si>
    <t>Unit: USD</t>
  </si>
  <si>
    <t>ISIC 01T03</t>
  </si>
  <si>
    <t>ISIC 07T08</t>
  </si>
  <si>
    <t>ISIC 30</t>
  </si>
  <si>
    <t>ISIC 49T53</t>
  </si>
  <si>
    <t>ISIC 69T82</t>
  </si>
  <si>
    <t>ISIC 90T96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</si>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</sst>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apps.bea.gov/histdata/index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2025</v>
      </c>
    </row>
    <row r="7" spans="1:2" x14ac:dyDescent="0.25">
      <c r="B7" s="4" t="s">
        <v>5</v>
      </c>
    </row>
    <row r="8" spans="1:2" ht="45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2026</v>
      </c>
    </row>
    <row r="14" spans="1:2" x14ac:dyDescent="0.25">
      <c r="B14" s="4" t="s">
        <v>10</v>
      </c>
    </row>
    <row r="15" spans="1:2" ht="30" x14ac:dyDescent="0.25">
      <c r="B15" s="3" t="s">
        <v>11</v>
      </c>
    </row>
    <row r="18" spans="1:2" x14ac:dyDescent="0.25">
      <c r="A18" s="1" t="s">
        <v>12</v>
      </c>
    </row>
    <row r="19" spans="1:2" x14ac:dyDescent="0.25">
      <c r="A19" s="1" t="s">
        <v>13</v>
      </c>
      <c r="B19" s="3" t="s">
        <v>14</v>
      </c>
    </row>
    <row r="20" spans="1:2" x14ac:dyDescent="0.25">
      <c r="A20">
        <v>0.73191600598044548</v>
      </c>
      <c r="B20" s="3" t="s">
        <v>15</v>
      </c>
    </row>
    <row r="21" spans="1:2" x14ac:dyDescent="0.25">
      <c r="A21" s="1" t="s">
        <v>16</v>
      </c>
      <c r="B21" s="3" t="s">
        <v>17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7"/>
  <sheetViews>
    <sheetView workbookViewId="0">
      <pane ySplit="3" topLeftCell="A4" activePane="bottomLeft" state="frozen"/>
      <selection pane="bottomLeft"/>
    </sheetView>
  </sheetViews>
  <sheetFormatPr defaultRowHeight="15" x14ac:dyDescent="0.25"/>
  <sheetData>
    <row r="1" spans="1:5" x14ac:dyDescent="0.25">
      <c r="A1" s="1" t="s">
        <v>18</v>
      </c>
    </row>
    <row r="3" spans="1:5" x14ac:dyDescent="0.25">
      <c r="A3" s="1" t="s">
        <v>19</v>
      </c>
      <c r="B3" s="1" t="s">
        <v>20</v>
      </c>
      <c r="C3" s="1" t="s">
        <v>21</v>
      </c>
      <c r="D3" s="1"/>
      <c r="E3" s="1" t="s">
        <v>22</v>
      </c>
    </row>
    <row r="4" spans="1:5" x14ac:dyDescent="0.25">
      <c r="A4">
        <v>1</v>
      </c>
      <c r="B4" t="s">
        <v>23</v>
      </c>
      <c r="C4">
        <v>50014</v>
      </c>
      <c r="E4" t="s">
        <v>24</v>
      </c>
    </row>
    <row r="5" spans="1:5" x14ac:dyDescent="0.25">
      <c r="A5">
        <v>2</v>
      </c>
      <c r="B5" t="s">
        <v>25</v>
      </c>
      <c r="C5">
        <v>82647</v>
      </c>
      <c r="E5" t="s">
        <v>24</v>
      </c>
    </row>
    <row r="6" spans="1:5" x14ac:dyDescent="0.25">
      <c r="A6">
        <v>3</v>
      </c>
      <c r="B6" t="s">
        <v>26</v>
      </c>
      <c r="C6">
        <v>26862</v>
      </c>
      <c r="E6" t="s">
        <v>24</v>
      </c>
    </row>
    <row r="7" spans="1:5" x14ac:dyDescent="0.25">
      <c r="A7">
        <v>4</v>
      </c>
      <c r="B7" t="s">
        <v>27</v>
      </c>
      <c r="C7">
        <v>30307</v>
      </c>
      <c r="E7" t="s">
        <v>24</v>
      </c>
    </row>
    <row r="8" spans="1:5" x14ac:dyDescent="0.25">
      <c r="A8">
        <v>5</v>
      </c>
      <c r="B8" t="s">
        <v>28</v>
      </c>
      <c r="C8">
        <v>31895</v>
      </c>
      <c r="E8" t="s">
        <v>24</v>
      </c>
    </row>
    <row r="9" spans="1:5" x14ac:dyDescent="0.25">
      <c r="A9">
        <v>6</v>
      </c>
      <c r="B9" t="s">
        <v>29</v>
      </c>
      <c r="C9">
        <v>29353</v>
      </c>
      <c r="E9" t="s">
        <v>24</v>
      </c>
    </row>
    <row r="10" spans="1:5" x14ac:dyDescent="0.25">
      <c r="A10">
        <v>7</v>
      </c>
      <c r="B10" t="s">
        <v>30</v>
      </c>
      <c r="C10">
        <v>52126</v>
      </c>
      <c r="E10" t="s">
        <v>24</v>
      </c>
    </row>
    <row r="11" spans="1:5" x14ac:dyDescent="0.25">
      <c r="A11">
        <v>8</v>
      </c>
      <c r="B11" t="s">
        <v>31</v>
      </c>
      <c r="C11">
        <v>141304</v>
      </c>
      <c r="E11" t="s">
        <v>24</v>
      </c>
    </row>
    <row r="12" spans="1:5" x14ac:dyDescent="0.25">
      <c r="A12">
        <v>9</v>
      </c>
      <c r="B12" t="s">
        <v>32</v>
      </c>
      <c r="C12">
        <v>75391</v>
      </c>
      <c r="E12" t="s">
        <v>24</v>
      </c>
    </row>
    <row r="13" spans="1:5" x14ac:dyDescent="0.25">
      <c r="A13">
        <v>10</v>
      </c>
      <c r="B13" t="s">
        <v>33</v>
      </c>
      <c r="C13">
        <v>45807</v>
      </c>
      <c r="E13" t="s">
        <v>24</v>
      </c>
    </row>
    <row r="14" spans="1:5" x14ac:dyDescent="0.25">
      <c r="A14">
        <v>11</v>
      </c>
      <c r="B14" t="s">
        <v>34</v>
      </c>
      <c r="C14">
        <v>26473</v>
      </c>
      <c r="E14" t="s">
        <v>35</v>
      </c>
    </row>
    <row r="15" spans="1:5" x14ac:dyDescent="0.25">
      <c r="A15">
        <v>12</v>
      </c>
      <c r="B15" t="s">
        <v>36</v>
      </c>
      <c r="C15">
        <v>9657</v>
      </c>
      <c r="E15" t="s">
        <v>37</v>
      </c>
    </row>
    <row r="16" spans="1:5" x14ac:dyDescent="0.25">
      <c r="A16">
        <v>13</v>
      </c>
      <c r="B16" t="s">
        <v>38</v>
      </c>
      <c r="C16">
        <v>32009</v>
      </c>
      <c r="E16" t="s">
        <v>24</v>
      </c>
    </row>
    <row r="17" spans="1:5" x14ac:dyDescent="0.25">
      <c r="A17">
        <v>14</v>
      </c>
      <c r="B17" t="s">
        <v>39</v>
      </c>
      <c r="C17">
        <v>455994</v>
      </c>
      <c r="E17" t="s">
        <v>40</v>
      </c>
    </row>
    <row r="18" spans="1:5" x14ac:dyDescent="0.25">
      <c r="A18">
        <v>15</v>
      </c>
      <c r="B18" t="s">
        <v>41</v>
      </c>
      <c r="C18">
        <v>46019</v>
      </c>
      <c r="E18" t="s">
        <v>42</v>
      </c>
    </row>
    <row r="19" spans="1:5" x14ac:dyDescent="0.25">
      <c r="A19">
        <v>16</v>
      </c>
      <c r="B19" t="s">
        <v>43</v>
      </c>
      <c r="C19">
        <v>17136</v>
      </c>
      <c r="E19" t="s">
        <v>44</v>
      </c>
    </row>
    <row r="20" spans="1:5" x14ac:dyDescent="0.25">
      <c r="A20">
        <v>17</v>
      </c>
      <c r="B20" t="s">
        <v>45</v>
      </c>
      <c r="C20">
        <v>23469</v>
      </c>
      <c r="E20" t="s">
        <v>44</v>
      </c>
    </row>
    <row r="21" spans="1:5" x14ac:dyDescent="0.25">
      <c r="A21">
        <v>18</v>
      </c>
      <c r="B21" t="s">
        <v>46</v>
      </c>
      <c r="C21">
        <v>27727</v>
      </c>
      <c r="E21" t="s">
        <v>47</v>
      </c>
    </row>
    <row r="22" spans="1:5" x14ac:dyDescent="0.25">
      <c r="A22">
        <v>19</v>
      </c>
      <c r="B22" t="s">
        <v>48</v>
      </c>
      <c r="C22">
        <v>25501</v>
      </c>
      <c r="E22" t="s">
        <v>47</v>
      </c>
    </row>
    <row r="23" spans="1:5" x14ac:dyDescent="0.25">
      <c r="A23">
        <v>20</v>
      </c>
      <c r="B23" t="s">
        <v>49</v>
      </c>
      <c r="C23">
        <v>18933</v>
      </c>
      <c r="E23" t="s">
        <v>50</v>
      </c>
    </row>
    <row r="24" spans="1:5" x14ac:dyDescent="0.25">
      <c r="A24">
        <v>21</v>
      </c>
      <c r="B24" t="s">
        <v>51</v>
      </c>
      <c r="C24">
        <v>91628</v>
      </c>
      <c r="E24" t="s">
        <v>50</v>
      </c>
    </row>
    <row r="25" spans="1:5" x14ac:dyDescent="0.25">
      <c r="A25">
        <v>22</v>
      </c>
      <c r="B25" t="s">
        <v>52</v>
      </c>
      <c r="C25">
        <v>4372</v>
      </c>
      <c r="E25" t="s">
        <v>53</v>
      </c>
    </row>
    <row r="26" spans="1:5" x14ac:dyDescent="0.25">
      <c r="A26">
        <v>23</v>
      </c>
      <c r="B26" t="s">
        <v>54</v>
      </c>
      <c r="C26">
        <v>96665</v>
      </c>
      <c r="E26" t="s">
        <v>53</v>
      </c>
    </row>
    <row r="27" spans="1:5" x14ac:dyDescent="0.25">
      <c r="A27">
        <v>24</v>
      </c>
      <c r="B27" t="s">
        <v>55</v>
      </c>
      <c r="C27">
        <v>36967</v>
      </c>
      <c r="E27" t="s">
        <v>53</v>
      </c>
    </row>
    <row r="28" spans="1:5" x14ac:dyDescent="0.25">
      <c r="A28">
        <v>25</v>
      </c>
      <c r="B28" t="s">
        <v>56</v>
      </c>
      <c r="C28">
        <v>2569</v>
      </c>
      <c r="E28" t="s">
        <v>53</v>
      </c>
    </row>
    <row r="29" spans="1:5" x14ac:dyDescent="0.25">
      <c r="A29">
        <v>26</v>
      </c>
      <c r="B29" t="s">
        <v>57</v>
      </c>
      <c r="C29">
        <v>10114</v>
      </c>
      <c r="E29" t="s">
        <v>53</v>
      </c>
    </row>
    <row r="30" spans="1:5" x14ac:dyDescent="0.25">
      <c r="A30">
        <v>27</v>
      </c>
      <c r="B30" t="s">
        <v>58</v>
      </c>
      <c r="C30">
        <v>1393</v>
      </c>
      <c r="E30" t="s">
        <v>53</v>
      </c>
    </row>
    <row r="31" spans="1:5" x14ac:dyDescent="0.25">
      <c r="A31">
        <v>28</v>
      </c>
      <c r="B31" t="s">
        <v>59</v>
      </c>
      <c r="C31">
        <v>1686</v>
      </c>
      <c r="E31" t="s">
        <v>53</v>
      </c>
    </row>
    <row r="32" spans="1:5" x14ac:dyDescent="0.25">
      <c r="A32">
        <v>29</v>
      </c>
      <c r="B32" t="s">
        <v>60</v>
      </c>
      <c r="C32">
        <v>197</v>
      </c>
      <c r="E32" t="s">
        <v>53</v>
      </c>
    </row>
    <row r="33" spans="1:5" x14ac:dyDescent="0.25">
      <c r="A33">
        <v>30</v>
      </c>
      <c r="B33" t="s">
        <v>61</v>
      </c>
      <c r="C33">
        <v>21051</v>
      </c>
      <c r="E33" t="s">
        <v>53</v>
      </c>
    </row>
    <row r="34" spans="1:5" x14ac:dyDescent="0.25">
      <c r="A34">
        <v>31</v>
      </c>
      <c r="B34" t="s">
        <v>62</v>
      </c>
      <c r="C34">
        <v>327897</v>
      </c>
      <c r="E34" t="s">
        <v>53</v>
      </c>
    </row>
    <row r="35" spans="1:5" x14ac:dyDescent="0.25">
      <c r="A35">
        <v>32</v>
      </c>
      <c r="B35" t="s">
        <v>63</v>
      </c>
      <c r="C35">
        <v>118202</v>
      </c>
      <c r="E35" t="s">
        <v>64</v>
      </c>
    </row>
    <row r="36" spans="1:5" x14ac:dyDescent="0.25">
      <c r="A36">
        <v>33</v>
      </c>
      <c r="B36" t="s">
        <v>65</v>
      </c>
      <c r="C36">
        <v>22159</v>
      </c>
      <c r="E36" t="s">
        <v>66</v>
      </c>
    </row>
    <row r="37" spans="1:5" x14ac:dyDescent="0.25">
      <c r="A37">
        <v>34</v>
      </c>
      <c r="B37" t="s">
        <v>67</v>
      </c>
      <c r="C37">
        <v>73390</v>
      </c>
      <c r="E37" t="s">
        <v>68</v>
      </c>
    </row>
    <row r="38" spans="1:5" x14ac:dyDescent="0.25">
      <c r="A38">
        <v>35</v>
      </c>
      <c r="B38" t="s">
        <v>69</v>
      </c>
      <c r="C38">
        <v>146059</v>
      </c>
      <c r="E38" t="s">
        <v>68</v>
      </c>
    </row>
    <row r="39" spans="1:5" x14ac:dyDescent="0.25">
      <c r="A39">
        <v>36</v>
      </c>
      <c r="B39" t="s">
        <v>70</v>
      </c>
      <c r="C39">
        <v>285660</v>
      </c>
      <c r="E39" t="s">
        <v>68</v>
      </c>
    </row>
    <row r="40" spans="1:5" x14ac:dyDescent="0.25">
      <c r="A40">
        <v>37</v>
      </c>
      <c r="B40" t="s">
        <v>71</v>
      </c>
      <c r="C40">
        <v>92630</v>
      </c>
      <c r="E40" t="s">
        <v>68</v>
      </c>
    </row>
    <row r="41" spans="1:5" x14ac:dyDescent="0.25">
      <c r="A41">
        <v>38</v>
      </c>
      <c r="B41" t="s">
        <v>72</v>
      </c>
      <c r="C41">
        <v>244750</v>
      </c>
      <c r="E41" t="s">
        <v>68</v>
      </c>
    </row>
    <row r="42" spans="1:5" x14ac:dyDescent="0.25">
      <c r="A42">
        <v>39</v>
      </c>
      <c r="B42" t="s">
        <v>73</v>
      </c>
      <c r="C42">
        <v>121220</v>
      </c>
      <c r="E42" t="s">
        <v>68</v>
      </c>
    </row>
    <row r="43" spans="1:5" x14ac:dyDescent="0.25">
      <c r="A43">
        <v>40</v>
      </c>
      <c r="B43" t="s">
        <v>74</v>
      </c>
      <c r="C43">
        <v>420544</v>
      </c>
      <c r="E43" t="s">
        <v>68</v>
      </c>
    </row>
    <row r="44" spans="1:5" x14ac:dyDescent="0.25">
      <c r="A44">
        <v>41</v>
      </c>
      <c r="B44" t="s">
        <v>75</v>
      </c>
      <c r="C44">
        <v>214762</v>
      </c>
      <c r="E44" t="s">
        <v>68</v>
      </c>
    </row>
    <row r="45" spans="1:5" x14ac:dyDescent="0.25">
      <c r="A45">
        <v>42</v>
      </c>
      <c r="B45" t="s">
        <v>76</v>
      </c>
      <c r="C45">
        <v>152595</v>
      </c>
      <c r="E45" t="s">
        <v>68</v>
      </c>
    </row>
    <row r="46" spans="1:5" x14ac:dyDescent="0.25">
      <c r="A46">
        <v>43</v>
      </c>
      <c r="B46" t="s">
        <v>77</v>
      </c>
      <c r="C46">
        <v>149282</v>
      </c>
      <c r="E46" t="s">
        <v>68</v>
      </c>
    </row>
    <row r="47" spans="1:5" x14ac:dyDescent="0.25">
      <c r="A47">
        <v>44</v>
      </c>
      <c r="B47" t="s">
        <v>78</v>
      </c>
      <c r="C47">
        <v>415640</v>
      </c>
      <c r="E47" t="s">
        <v>68</v>
      </c>
    </row>
    <row r="48" spans="1:5" x14ac:dyDescent="0.25">
      <c r="A48">
        <v>45</v>
      </c>
      <c r="B48" t="s">
        <v>79</v>
      </c>
      <c r="C48">
        <v>194976</v>
      </c>
      <c r="E48" t="s">
        <v>68</v>
      </c>
    </row>
    <row r="49" spans="1:5" x14ac:dyDescent="0.25">
      <c r="A49">
        <v>46</v>
      </c>
      <c r="B49" t="s">
        <v>80</v>
      </c>
      <c r="C49">
        <v>48917</v>
      </c>
      <c r="E49" t="s">
        <v>81</v>
      </c>
    </row>
    <row r="50" spans="1:5" x14ac:dyDescent="0.25">
      <c r="A50">
        <v>47</v>
      </c>
      <c r="B50" t="s">
        <v>82</v>
      </c>
      <c r="C50">
        <v>38846</v>
      </c>
      <c r="E50" t="s">
        <v>81</v>
      </c>
    </row>
    <row r="51" spans="1:5" x14ac:dyDescent="0.25">
      <c r="A51">
        <v>48</v>
      </c>
      <c r="B51" t="s">
        <v>83</v>
      </c>
      <c r="C51">
        <v>38334</v>
      </c>
      <c r="E51" t="s">
        <v>81</v>
      </c>
    </row>
    <row r="52" spans="1:5" x14ac:dyDescent="0.25">
      <c r="A52">
        <v>49</v>
      </c>
      <c r="B52" t="s">
        <v>84</v>
      </c>
      <c r="C52">
        <v>48059</v>
      </c>
      <c r="E52" t="s">
        <v>81</v>
      </c>
    </row>
    <row r="53" spans="1:5" x14ac:dyDescent="0.25">
      <c r="A53">
        <v>50</v>
      </c>
      <c r="B53" t="s">
        <v>85</v>
      </c>
      <c r="C53">
        <v>10481</v>
      </c>
      <c r="E53" t="s">
        <v>86</v>
      </c>
    </row>
    <row r="54" spans="1:5" x14ac:dyDescent="0.25">
      <c r="A54">
        <v>51</v>
      </c>
      <c r="B54" t="s">
        <v>87</v>
      </c>
      <c r="C54">
        <v>33702</v>
      </c>
      <c r="E54" t="s">
        <v>88</v>
      </c>
    </row>
    <row r="55" spans="1:5" x14ac:dyDescent="0.25">
      <c r="A55">
        <v>52</v>
      </c>
      <c r="B55" t="s">
        <v>89</v>
      </c>
      <c r="C55">
        <v>12485</v>
      </c>
      <c r="E55" t="s">
        <v>86</v>
      </c>
    </row>
    <row r="56" spans="1:5" x14ac:dyDescent="0.25">
      <c r="A56">
        <v>53</v>
      </c>
      <c r="B56" t="s">
        <v>90</v>
      </c>
      <c r="C56">
        <v>44436</v>
      </c>
      <c r="E56" t="s">
        <v>86</v>
      </c>
    </row>
    <row r="57" spans="1:5" x14ac:dyDescent="0.25">
      <c r="A57">
        <v>54</v>
      </c>
      <c r="B57" t="s">
        <v>91</v>
      </c>
      <c r="C57">
        <v>8962</v>
      </c>
      <c r="E57" t="s">
        <v>86</v>
      </c>
    </row>
    <row r="58" spans="1:5" x14ac:dyDescent="0.25">
      <c r="A58">
        <v>55</v>
      </c>
      <c r="B58" t="s">
        <v>92</v>
      </c>
      <c r="C58">
        <v>18579</v>
      </c>
      <c r="E58" t="s">
        <v>86</v>
      </c>
    </row>
    <row r="59" spans="1:5" x14ac:dyDescent="0.25">
      <c r="A59">
        <v>56</v>
      </c>
      <c r="B59" t="s">
        <v>93</v>
      </c>
      <c r="C59">
        <v>12494</v>
      </c>
      <c r="E59" t="s">
        <v>86</v>
      </c>
    </row>
    <row r="60" spans="1:5" x14ac:dyDescent="0.25">
      <c r="A60">
        <v>57</v>
      </c>
      <c r="B60" t="s">
        <v>94</v>
      </c>
      <c r="C60">
        <v>3977</v>
      </c>
      <c r="E60" t="s">
        <v>86</v>
      </c>
    </row>
    <row r="61" spans="1:5" x14ac:dyDescent="0.25">
      <c r="A61">
        <v>58</v>
      </c>
      <c r="B61" t="s">
        <v>95</v>
      </c>
      <c r="C61">
        <v>7393</v>
      </c>
      <c r="E61" t="s">
        <v>86</v>
      </c>
    </row>
    <row r="62" spans="1:5" x14ac:dyDescent="0.25">
      <c r="A62">
        <v>59</v>
      </c>
      <c r="B62" t="s">
        <v>96</v>
      </c>
      <c r="C62">
        <v>5963</v>
      </c>
      <c r="E62" t="s">
        <v>86</v>
      </c>
    </row>
    <row r="63" spans="1:5" x14ac:dyDescent="0.25">
      <c r="A63">
        <v>60</v>
      </c>
      <c r="B63" t="s">
        <v>97</v>
      </c>
      <c r="C63">
        <v>11488</v>
      </c>
      <c r="E63" t="s">
        <v>86</v>
      </c>
    </row>
    <row r="64" spans="1:5" x14ac:dyDescent="0.25">
      <c r="A64">
        <v>61</v>
      </c>
      <c r="B64" t="s">
        <v>98</v>
      </c>
      <c r="C64">
        <v>5328</v>
      </c>
      <c r="E64" t="s">
        <v>86</v>
      </c>
    </row>
    <row r="65" spans="1:5" x14ac:dyDescent="0.25">
      <c r="A65">
        <v>62</v>
      </c>
      <c r="B65" t="s">
        <v>99</v>
      </c>
      <c r="C65">
        <v>128733</v>
      </c>
      <c r="E65" t="s">
        <v>100</v>
      </c>
    </row>
    <row r="66" spans="1:5" x14ac:dyDescent="0.25">
      <c r="A66">
        <v>63</v>
      </c>
      <c r="B66" t="s">
        <v>101</v>
      </c>
      <c r="C66">
        <v>40764</v>
      </c>
      <c r="E66" t="s">
        <v>100</v>
      </c>
    </row>
    <row r="67" spans="1:5" x14ac:dyDescent="0.25">
      <c r="A67">
        <v>64</v>
      </c>
      <c r="B67" t="s">
        <v>102</v>
      </c>
      <c r="C67">
        <v>7930</v>
      </c>
      <c r="E67" t="s">
        <v>103</v>
      </c>
    </row>
    <row r="68" spans="1:5" x14ac:dyDescent="0.25">
      <c r="A68">
        <v>65</v>
      </c>
      <c r="B68" t="s">
        <v>104</v>
      </c>
      <c r="C68">
        <v>2255</v>
      </c>
      <c r="E68" t="s">
        <v>103</v>
      </c>
    </row>
    <row r="69" spans="1:5" x14ac:dyDescent="0.25">
      <c r="A69">
        <v>66</v>
      </c>
      <c r="B69" t="s">
        <v>105</v>
      </c>
      <c r="C69">
        <v>35240</v>
      </c>
      <c r="E69" t="s">
        <v>103</v>
      </c>
    </row>
    <row r="70" spans="1:5" x14ac:dyDescent="0.25">
      <c r="A70">
        <v>67</v>
      </c>
      <c r="B70" t="s">
        <v>106</v>
      </c>
      <c r="C70">
        <v>10489</v>
      </c>
      <c r="E70" t="s">
        <v>103</v>
      </c>
    </row>
    <row r="71" spans="1:5" x14ac:dyDescent="0.25">
      <c r="A71">
        <v>68</v>
      </c>
      <c r="B71" t="s">
        <v>107</v>
      </c>
      <c r="C71">
        <v>30862</v>
      </c>
      <c r="E71" t="s">
        <v>103</v>
      </c>
    </row>
    <row r="72" spans="1:5" x14ac:dyDescent="0.25">
      <c r="A72">
        <v>69</v>
      </c>
      <c r="B72" t="s">
        <v>108</v>
      </c>
      <c r="C72">
        <v>12637</v>
      </c>
      <c r="E72" t="s">
        <v>103</v>
      </c>
    </row>
    <row r="73" spans="1:5" x14ac:dyDescent="0.25">
      <c r="A73">
        <v>70</v>
      </c>
      <c r="B73" t="s">
        <v>109</v>
      </c>
      <c r="C73">
        <v>19725</v>
      </c>
      <c r="E73" t="s">
        <v>100</v>
      </c>
    </row>
    <row r="74" spans="1:5" x14ac:dyDescent="0.25">
      <c r="A74">
        <v>71</v>
      </c>
      <c r="B74" t="s">
        <v>110</v>
      </c>
      <c r="C74">
        <v>13464</v>
      </c>
      <c r="E74" t="s">
        <v>103</v>
      </c>
    </row>
    <row r="75" spans="1:5" x14ac:dyDescent="0.25">
      <c r="A75">
        <v>72</v>
      </c>
      <c r="B75" t="s">
        <v>111</v>
      </c>
      <c r="C75">
        <v>7154</v>
      </c>
      <c r="E75" t="s">
        <v>112</v>
      </c>
    </row>
    <row r="76" spans="1:5" x14ac:dyDescent="0.25">
      <c r="A76">
        <v>73</v>
      </c>
      <c r="B76" t="s">
        <v>113</v>
      </c>
      <c r="C76">
        <v>11906</v>
      </c>
      <c r="E76" t="s">
        <v>112</v>
      </c>
    </row>
    <row r="77" spans="1:5" x14ac:dyDescent="0.25">
      <c r="A77">
        <v>74</v>
      </c>
      <c r="B77" t="s">
        <v>114</v>
      </c>
      <c r="C77">
        <v>15210</v>
      </c>
      <c r="E77" t="s">
        <v>112</v>
      </c>
    </row>
    <row r="78" spans="1:5" x14ac:dyDescent="0.25">
      <c r="A78">
        <v>75</v>
      </c>
      <c r="B78" t="s">
        <v>115</v>
      </c>
      <c r="C78">
        <v>10305</v>
      </c>
      <c r="E78" t="s">
        <v>112</v>
      </c>
    </row>
    <row r="79" spans="1:5" x14ac:dyDescent="0.25">
      <c r="A79">
        <v>76</v>
      </c>
      <c r="B79" t="s">
        <v>116</v>
      </c>
      <c r="C79">
        <v>74843</v>
      </c>
      <c r="E79" t="s">
        <v>112</v>
      </c>
    </row>
    <row r="80" spans="1:5" x14ac:dyDescent="0.25">
      <c r="A80">
        <v>77</v>
      </c>
      <c r="B80" t="s">
        <v>117</v>
      </c>
      <c r="C80">
        <v>63070</v>
      </c>
      <c r="E80" t="s">
        <v>112</v>
      </c>
    </row>
    <row r="81" spans="1:5" x14ac:dyDescent="0.25">
      <c r="A81">
        <v>78</v>
      </c>
      <c r="B81" t="s">
        <v>118</v>
      </c>
      <c r="C81">
        <v>6027</v>
      </c>
      <c r="E81" t="s">
        <v>112</v>
      </c>
    </row>
    <row r="82" spans="1:5" x14ac:dyDescent="0.25">
      <c r="A82">
        <v>79</v>
      </c>
      <c r="B82" t="s">
        <v>119</v>
      </c>
      <c r="C82">
        <v>10216</v>
      </c>
      <c r="E82" t="s">
        <v>112</v>
      </c>
    </row>
    <row r="83" spans="1:5" x14ac:dyDescent="0.25">
      <c r="A83">
        <v>80</v>
      </c>
      <c r="B83" t="s">
        <v>120</v>
      </c>
      <c r="C83">
        <v>26116</v>
      </c>
      <c r="E83" t="s">
        <v>112</v>
      </c>
    </row>
    <row r="84" spans="1:5" x14ac:dyDescent="0.25">
      <c r="A84">
        <v>81</v>
      </c>
      <c r="B84" t="s">
        <v>121</v>
      </c>
      <c r="C84">
        <v>10520</v>
      </c>
      <c r="E84" t="s">
        <v>112</v>
      </c>
    </row>
    <row r="85" spans="1:5" x14ac:dyDescent="0.25">
      <c r="A85">
        <v>82</v>
      </c>
      <c r="B85" t="s">
        <v>122</v>
      </c>
      <c r="C85">
        <v>10643</v>
      </c>
      <c r="E85" t="s">
        <v>112</v>
      </c>
    </row>
    <row r="86" spans="1:5" x14ac:dyDescent="0.25">
      <c r="A86">
        <v>83</v>
      </c>
      <c r="B86" t="s">
        <v>123</v>
      </c>
      <c r="C86">
        <v>45342</v>
      </c>
      <c r="E86" t="s">
        <v>112</v>
      </c>
    </row>
    <row r="87" spans="1:5" x14ac:dyDescent="0.25">
      <c r="A87">
        <v>84</v>
      </c>
      <c r="B87" t="s">
        <v>124</v>
      </c>
      <c r="C87">
        <v>33604</v>
      </c>
      <c r="E87" t="s">
        <v>112</v>
      </c>
    </row>
    <row r="88" spans="1:5" x14ac:dyDescent="0.25">
      <c r="A88">
        <v>85</v>
      </c>
      <c r="B88" t="s">
        <v>125</v>
      </c>
      <c r="C88">
        <v>32129</v>
      </c>
      <c r="E88" t="s">
        <v>112</v>
      </c>
    </row>
    <row r="89" spans="1:5" x14ac:dyDescent="0.25">
      <c r="A89">
        <v>86</v>
      </c>
      <c r="B89" t="s">
        <v>126</v>
      </c>
      <c r="C89">
        <v>6559</v>
      </c>
      <c r="E89" t="s">
        <v>112</v>
      </c>
    </row>
    <row r="90" spans="1:5" x14ac:dyDescent="0.25">
      <c r="A90">
        <v>87</v>
      </c>
      <c r="B90" t="s">
        <v>127</v>
      </c>
      <c r="C90">
        <v>32432</v>
      </c>
      <c r="E90" t="s">
        <v>112</v>
      </c>
    </row>
    <row r="91" spans="1:5" x14ac:dyDescent="0.25">
      <c r="A91">
        <v>88</v>
      </c>
      <c r="B91" t="s">
        <v>128</v>
      </c>
      <c r="C91">
        <v>5847</v>
      </c>
      <c r="E91" t="s">
        <v>112</v>
      </c>
    </row>
    <row r="92" spans="1:5" x14ac:dyDescent="0.25">
      <c r="A92">
        <v>89</v>
      </c>
      <c r="B92" t="s">
        <v>129</v>
      </c>
      <c r="C92">
        <v>7465</v>
      </c>
      <c r="E92" t="s">
        <v>112</v>
      </c>
    </row>
    <row r="93" spans="1:5" x14ac:dyDescent="0.25">
      <c r="A93">
        <v>90</v>
      </c>
      <c r="B93" t="s">
        <v>130</v>
      </c>
      <c r="C93">
        <v>30598</v>
      </c>
      <c r="E93" t="s">
        <v>112</v>
      </c>
    </row>
    <row r="94" spans="1:5" x14ac:dyDescent="0.25">
      <c r="A94">
        <v>91</v>
      </c>
      <c r="B94" t="s">
        <v>131</v>
      </c>
      <c r="C94">
        <v>20509</v>
      </c>
      <c r="E94" t="s">
        <v>112</v>
      </c>
    </row>
    <row r="95" spans="1:5" x14ac:dyDescent="0.25">
      <c r="A95">
        <v>92</v>
      </c>
      <c r="B95" t="s">
        <v>132</v>
      </c>
      <c r="C95">
        <v>34572</v>
      </c>
      <c r="E95" t="s">
        <v>133</v>
      </c>
    </row>
    <row r="96" spans="1:5" x14ac:dyDescent="0.25">
      <c r="A96">
        <v>93</v>
      </c>
      <c r="B96" t="s">
        <v>134</v>
      </c>
      <c r="C96">
        <v>11185</v>
      </c>
      <c r="E96" t="s">
        <v>133</v>
      </c>
    </row>
    <row r="97" spans="1:5" x14ac:dyDescent="0.25">
      <c r="A97">
        <v>94</v>
      </c>
      <c r="B97" t="s">
        <v>135</v>
      </c>
      <c r="C97">
        <v>42306</v>
      </c>
      <c r="E97" t="s">
        <v>133</v>
      </c>
    </row>
    <row r="98" spans="1:5" x14ac:dyDescent="0.25">
      <c r="A98">
        <v>95</v>
      </c>
      <c r="B98" t="s">
        <v>136</v>
      </c>
      <c r="C98">
        <v>15772</v>
      </c>
      <c r="E98" t="s">
        <v>133</v>
      </c>
    </row>
    <row r="99" spans="1:5" x14ac:dyDescent="0.25">
      <c r="A99">
        <v>96</v>
      </c>
      <c r="B99" t="s">
        <v>137</v>
      </c>
      <c r="C99">
        <v>12903</v>
      </c>
      <c r="E99" t="s">
        <v>133</v>
      </c>
    </row>
    <row r="100" spans="1:5" x14ac:dyDescent="0.25">
      <c r="A100">
        <v>97</v>
      </c>
      <c r="B100" t="s">
        <v>138</v>
      </c>
      <c r="C100">
        <v>26973</v>
      </c>
      <c r="E100" t="s">
        <v>133</v>
      </c>
    </row>
    <row r="101" spans="1:5" x14ac:dyDescent="0.25">
      <c r="A101">
        <v>98</v>
      </c>
      <c r="B101" t="s">
        <v>139</v>
      </c>
      <c r="C101">
        <v>7250</v>
      </c>
      <c r="E101" t="s">
        <v>133</v>
      </c>
    </row>
    <row r="102" spans="1:5" x14ac:dyDescent="0.25">
      <c r="A102">
        <v>99</v>
      </c>
      <c r="B102" t="s">
        <v>140</v>
      </c>
      <c r="C102">
        <v>1355</v>
      </c>
      <c r="E102" t="s">
        <v>133</v>
      </c>
    </row>
    <row r="103" spans="1:5" x14ac:dyDescent="0.25">
      <c r="A103">
        <v>100</v>
      </c>
      <c r="B103" t="s">
        <v>141</v>
      </c>
      <c r="C103">
        <v>19944</v>
      </c>
      <c r="E103" t="s">
        <v>133</v>
      </c>
    </row>
    <row r="104" spans="1:5" x14ac:dyDescent="0.25">
      <c r="A104">
        <v>101</v>
      </c>
      <c r="B104" t="s">
        <v>142</v>
      </c>
      <c r="C104">
        <v>7572</v>
      </c>
      <c r="E104" t="s">
        <v>133</v>
      </c>
    </row>
    <row r="105" spans="1:5" x14ac:dyDescent="0.25">
      <c r="A105">
        <v>102</v>
      </c>
      <c r="B105" t="s">
        <v>143</v>
      </c>
      <c r="C105">
        <v>45873</v>
      </c>
      <c r="E105" t="s">
        <v>133</v>
      </c>
    </row>
    <row r="106" spans="1:5" x14ac:dyDescent="0.25">
      <c r="A106">
        <v>103</v>
      </c>
      <c r="B106" t="s">
        <v>144</v>
      </c>
      <c r="C106">
        <v>10205</v>
      </c>
      <c r="E106" t="s">
        <v>133</v>
      </c>
    </row>
    <row r="107" spans="1:5" x14ac:dyDescent="0.25">
      <c r="A107">
        <v>104</v>
      </c>
      <c r="B107" t="s">
        <v>145</v>
      </c>
      <c r="C107">
        <v>6495</v>
      </c>
      <c r="E107" t="s">
        <v>133</v>
      </c>
    </row>
    <row r="108" spans="1:5" x14ac:dyDescent="0.25">
      <c r="A108">
        <v>105</v>
      </c>
      <c r="B108" t="s">
        <v>146</v>
      </c>
      <c r="C108">
        <v>9296</v>
      </c>
      <c r="E108" t="s">
        <v>133</v>
      </c>
    </row>
    <row r="109" spans="1:5" x14ac:dyDescent="0.25">
      <c r="A109">
        <v>106</v>
      </c>
      <c r="B109" t="s">
        <v>147</v>
      </c>
      <c r="C109">
        <v>9133</v>
      </c>
      <c r="E109" t="s">
        <v>133</v>
      </c>
    </row>
    <row r="110" spans="1:5" x14ac:dyDescent="0.25">
      <c r="A110">
        <v>107</v>
      </c>
      <c r="B110" t="s">
        <v>148</v>
      </c>
      <c r="C110">
        <v>8764</v>
      </c>
      <c r="E110" t="s">
        <v>133</v>
      </c>
    </row>
    <row r="111" spans="1:5" x14ac:dyDescent="0.25">
      <c r="A111">
        <v>108</v>
      </c>
      <c r="B111" t="s">
        <v>149</v>
      </c>
      <c r="C111">
        <v>11003</v>
      </c>
      <c r="E111" t="s">
        <v>133</v>
      </c>
    </row>
    <row r="112" spans="1:5" x14ac:dyDescent="0.25">
      <c r="A112">
        <v>109</v>
      </c>
      <c r="B112" t="s">
        <v>150</v>
      </c>
      <c r="C112">
        <v>4552</v>
      </c>
      <c r="E112" t="s">
        <v>133</v>
      </c>
    </row>
    <row r="113" spans="1:5" x14ac:dyDescent="0.25">
      <c r="A113">
        <v>110</v>
      </c>
      <c r="B113" t="s">
        <v>151</v>
      </c>
      <c r="C113">
        <v>5592</v>
      </c>
      <c r="E113" t="s">
        <v>133</v>
      </c>
    </row>
    <row r="114" spans="1:5" x14ac:dyDescent="0.25">
      <c r="A114">
        <v>111</v>
      </c>
      <c r="B114" t="s">
        <v>152</v>
      </c>
      <c r="C114">
        <v>30699</v>
      </c>
      <c r="E114" t="s">
        <v>133</v>
      </c>
    </row>
    <row r="115" spans="1:5" x14ac:dyDescent="0.25">
      <c r="A115">
        <v>112</v>
      </c>
      <c r="B115" t="s">
        <v>153</v>
      </c>
      <c r="C115">
        <v>9217</v>
      </c>
      <c r="E115" t="s">
        <v>133</v>
      </c>
    </row>
    <row r="116" spans="1:5" x14ac:dyDescent="0.25">
      <c r="A116">
        <v>113</v>
      </c>
      <c r="B116" t="s">
        <v>154</v>
      </c>
      <c r="C116">
        <v>16519</v>
      </c>
      <c r="E116" t="s">
        <v>133</v>
      </c>
    </row>
    <row r="117" spans="1:5" x14ac:dyDescent="0.25">
      <c r="A117">
        <v>114</v>
      </c>
      <c r="B117" t="s">
        <v>155</v>
      </c>
      <c r="C117">
        <v>33966</v>
      </c>
      <c r="E117" t="s">
        <v>133</v>
      </c>
    </row>
    <row r="118" spans="1:5" x14ac:dyDescent="0.25">
      <c r="A118">
        <v>115</v>
      </c>
      <c r="B118" t="s">
        <v>156</v>
      </c>
      <c r="C118">
        <v>2886</v>
      </c>
      <c r="E118" t="s">
        <v>133</v>
      </c>
    </row>
    <row r="119" spans="1:5" x14ac:dyDescent="0.25">
      <c r="A119">
        <v>116</v>
      </c>
      <c r="B119" t="s">
        <v>157</v>
      </c>
      <c r="C119">
        <v>8975</v>
      </c>
      <c r="E119" t="s">
        <v>133</v>
      </c>
    </row>
    <row r="120" spans="1:5" x14ac:dyDescent="0.25">
      <c r="A120">
        <v>117</v>
      </c>
      <c r="B120" t="s">
        <v>158</v>
      </c>
      <c r="C120">
        <v>3558</v>
      </c>
      <c r="E120" t="s">
        <v>133</v>
      </c>
    </row>
    <row r="121" spans="1:5" x14ac:dyDescent="0.25">
      <c r="A121">
        <v>118</v>
      </c>
      <c r="B121" t="s">
        <v>159</v>
      </c>
      <c r="C121">
        <v>27091</v>
      </c>
      <c r="E121" t="s">
        <v>133</v>
      </c>
    </row>
    <row r="122" spans="1:5" x14ac:dyDescent="0.25">
      <c r="A122">
        <v>119</v>
      </c>
      <c r="B122" t="s">
        <v>160</v>
      </c>
      <c r="C122">
        <v>13068</v>
      </c>
      <c r="E122" t="s">
        <v>133</v>
      </c>
    </row>
    <row r="123" spans="1:5" x14ac:dyDescent="0.25">
      <c r="A123">
        <v>120</v>
      </c>
      <c r="B123" t="s">
        <v>161</v>
      </c>
      <c r="C123">
        <v>29563</v>
      </c>
      <c r="E123" t="s">
        <v>162</v>
      </c>
    </row>
    <row r="124" spans="1:5" x14ac:dyDescent="0.25">
      <c r="A124">
        <v>121</v>
      </c>
      <c r="B124" t="s">
        <v>163</v>
      </c>
      <c r="C124">
        <v>7751</v>
      </c>
      <c r="E124" t="s">
        <v>162</v>
      </c>
    </row>
    <row r="125" spans="1:5" x14ac:dyDescent="0.25">
      <c r="A125">
        <v>122</v>
      </c>
      <c r="B125" t="s">
        <v>164</v>
      </c>
      <c r="C125">
        <v>8786</v>
      </c>
      <c r="E125" t="s">
        <v>162</v>
      </c>
    </row>
    <row r="126" spans="1:5" x14ac:dyDescent="0.25">
      <c r="A126">
        <v>123</v>
      </c>
      <c r="B126" t="s">
        <v>165</v>
      </c>
      <c r="C126">
        <v>7479</v>
      </c>
      <c r="E126" t="s">
        <v>162</v>
      </c>
    </row>
    <row r="127" spans="1:5" x14ac:dyDescent="0.25">
      <c r="A127">
        <v>124</v>
      </c>
      <c r="B127" t="s">
        <v>166</v>
      </c>
      <c r="C127">
        <v>37746</v>
      </c>
      <c r="E127" t="s">
        <v>162</v>
      </c>
    </row>
    <row r="128" spans="1:5" x14ac:dyDescent="0.25">
      <c r="A128">
        <v>125</v>
      </c>
      <c r="B128" t="s">
        <v>167</v>
      </c>
      <c r="C128">
        <v>4928</v>
      </c>
      <c r="E128" t="s">
        <v>162</v>
      </c>
    </row>
    <row r="129" spans="1:5" x14ac:dyDescent="0.25">
      <c r="A129">
        <v>126</v>
      </c>
      <c r="B129" t="s">
        <v>168</v>
      </c>
      <c r="C129">
        <v>76111</v>
      </c>
      <c r="E129" t="s">
        <v>162</v>
      </c>
    </row>
    <row r="130" spans="1:5" x14ac:dyDescent="0.25">
      <c r="A130">
        <v>127</v>
      </c>
      <c r="B130" t="s">
        <v>169</v>
      </c>
      <c r="C130">
        <v>28409</v>
      </c>
      <c r="E130" t="s">
        <v>162</v>
      </c>
    </row>
    <row r="131" spans="1:5" x14ac:dyDescent="0.25">
      <c r="A131">
        <v>128</v>
      </c>
      <c r="B131" t="s">
        <v>170</v>
      </c>
      <c r="C131">
        <v>35732</v>
      </c>
      <c r="E131" t="s">
        <v>162</v>
      </c>
    </row>
    <row r="132" spans="1:5" x14ac:dyDescent="0.25">
      <c r="A132">
        <v>129</v>
      </c>
      <c r="B132" t="s">
        <v>171</v>
      </c>
      <c r="C132">
        <v>38687</v>
      </c>
      <c r="E132" t="s">
        <v>162</v>
      </c>
    </row>
    <row r="133" spans="1:5" x14ac:dyDescent="0.25">
      <c r="A133">
        <v>130</v>
      </c>
      <c r="B133" t="s">
        <v>172</v>
      </c>
      <c r="C133">
        <v>54919</v>
      </c>
      <c r="E133" t="s">
        <v>162</v>
      </c>
    </row>
    <row r="134" spans="1:5" x14ac:dyDescent="0.25">
      <c r="A134">
        <v>131</v>
      </c>
      <c r="B134" t="s">
        <v>173</v>
      </c>
      <c r="C134">
        <v>2603</v>
      </c>
      <c r="E134" t="s">
        <v>162</v>
      </c>
    </row>
    <row r="135" spans="1:5" x14ac:dyDescent="0.25">
      <c r="A135">
        <v>132</v>
      </c>
      <c r="B135" t="s">
        <v>174</v>
      </c>
      <c r="C135">
        <v>14161</v>
      </c>
      <c r="E135" t="s">
        <v>162</v>
      </c>
    </row>
    <row r="136" spans="1:5" x14ac:dyDescent="0.25">
      <c r="A136">
        <v>133</v>
      </c>
      <c r="B136" t="s">
        <v>175</v>
      </c>
      <c r="C136">
        <v>5419</v>
      </c>
      <c r="E136" t="s">
        <v>162</v>
      </c>
    </row>
    <row r="137" spans="1:5" x14ac:dyDescent="0.25">
      <c r="A137">
        <v>134</v>
      </c>
      <c r="B137" t="s">
        <v>176</v>
      </c>
      <c r="C137">
        <v>13082</v>
      </c>
      <c r="E137" t="s">
        <v>162</v>
      </c>
    </row>
    <row r="138" spans="1:5" x14ac:dyDescent="0.25">
      <c r="A138">
        <v>135</v>
      </c>
      <c r="B138" t="s">
        <v>177</v>
      </c>
      <c r="C138">
        <v>18044</v>
      </c>
      <c r="E138" t="s">
        <v>162</v>
      </c>
    </row>
    <row r="139" spans="1:5" x14ac:dyDescent="0.25">
      <c r="A139">
        <v>136</v>
      </c>
      <c r="B139" t="s">
        <v>178</v>
      </c>
      <c r="C139">
        <v>7731</v>
      </c>
      <c r="E139" t="s">
        <v>162</v>
      </c>
    </row>
    <row r="140" spans="1:5" x14ac:dyDescent="0.25">
      <c r="A140">
        <v>137</v>
      </c>
      <c r="B140" t="s">
        <v>179</v>
      </c>
      <c r="C140">
        <v>14823</v>
      </c>
      <c r="E140" t="s">
        <v>162</v>
      </c>
    </row>
    <row r="141" spans="1:5" x14ac:dyDescent="0.25">
      <c r="A141">
        <v>138</v>
      </c>
      <c r="B141" t="s">
        <v>180</v>
      </c>
      <c r="C141">
        <v>5104</v>
      </c>
      <c r="E141" t="s">
        <v>162</v>
      </c>
    </row>
    <row r="142" spans="1:5" x14ac:dyDescent="0.25">
      <c r="A142">
        <v>139</v>
      </c>
      <c r="B142" t="s">
        <v>181</v>
      </c>
      <c r="C142">
        <v>1513</v>
      </c>
      <c r="E142" t="s">
        <v>162</v>
      </c>
    </row>
    <row r="143" spans="1:5" x14ac:dyDescent="0.25">
      <c r="A143">
        <v>140</v>
      </c>
      <c r="B143" t="s">
        <v>182</v>
      </c>
      <c r="C143">
        <v>1003</v>
      </c>
      <c r="E143" t="s">
        <v>183</v>
      </c>
    </row>
    <row r="144" spans="1:5" x14ac:dyDescent="0.25">
      <c r="A144">
        <v>141</v>
      </c>
      <c r="B144" t="s">
        <v>184</v>
      </c>
      <c r="C144">
        <v>15453</v>
      </c>
      <c r="E144" t="s">
        <v>183</v>
      </c>
    </row>
    <row r="145" spans="1:5" x14ac:dyDescent="0.25">
      <c r="A145">
        <v>142</v>
      </c>
      <c r="B145" t="s">
        <v>185</v>
      </c>
      <c r="C145">
        <v>2949</v>
      </c>
      <c r="E145" t="s">
        <v>183</v>
      </c>
    </row>
    <row r="146" spans="1:5" x14ac:dyDescent="0.25">
      <c r="A146">
        <v>143</v>
      </c>
      <c r="B146" t="s">
        <v>186</v>
      </c>
      <c r="C146">
        <v>23129</v>
      </c>
      <c r="E146" t="s">
        <v>183</v>
      </c>
    </row>
    <row r="147" spans="1:5" x14ac:dyDescent="0.25">
      <c r="A147">
        <v>144</v>
      </c>
      <c r="B147" t="s">
        <v>187</v>
      </c>
      <c r="C147">
        <v>9679</v>
      </c>
      <c r="E147" t="s">
        <v>183</v>
      </c>
    </row>
    <row r="148" spans="1:5" x14ac:dyDescent="0.25">
      <c r="A148">
        <v>145</v>
      </c>
      <c r="B148" t="s">
        <v>188</v>
      </c>
      <c r="C148">
        <v>15322</v>
      </c>
      <c r="E148" t="s">
        <v>183</v>
      </c>
    </row>
    <row r="149" spans="1:5" x14ac:dyDescent="0.25">
      <c r="A149">
        <v>146</v>
      </c>
      <c r="B149" t="s">
        <v>189</v>
      </c>
      <c r="C149">
        <v>16157</v>
      </c>
      <c r="E149" t="s">
        <v>183</v>
      </c>
    </row>
    <row r="150" spans="1:5" x14ac:dyDescent="0.25">
      <c r="A150">
        <v>147</v>
      </c>
      <c r="B150" t="s">
        <v>190</v>
      </c>
      <c r="C150">
        <v>11034</v>
      </c>
      <c r="E150" t="s">
        <v>183</v>
      </c>
    </row>
    <row r="151" spans="1:5" x14ac:dyDescent="0.25">
      <c r="A151">
        <v>148</v>
      </c>
      <c r="B151" t="s">
        <v>191</v>
      </c>
      <c r="C151">
        <v>35254</v>
      </c>
      <c r="E151" t="s">
        <v>183</v>
      </c>
    </row>
    <row r="152" spans="1:5" x14ac:dyDescent="0.25">
      <c r="A152">
        <v>149</v>
      </c>
      <c r="B152" t="s">
        <v>192</v>
      </c>
      <c r="C152">
        <v>11328</v>
      </c>
      <c r="E152" t="s">
        <v>183</v>
      </c>
    </row>
    <row r="153" spans="1:5" x14ac:dyDescent="0.25">
      <c r="A153">
        <v>150</v>
      </c>
      <c r="B153" t="s">
        <v>193</v>
      </c>
      <c r="C153">
        <v>13595</v>
      </c>
      <c r="E153" t="s">
        <v>183</v>
      </c>
    </row>
    <row r="154" spans="1:5" x14ac:dyDescent="0.25">
      <c r="A154">
        <v>151</v>
      </c>
      <c r="B154" t="s">
        <v>194</v>
      </c>
      <c r="C154">
        <v>17306</v>
      </c>
      <c r="E154" t="s">
        <v>183</v>
      </c>
    </row>
    <row r="155" spans="1:5" x14ac:dyDescent="0.25">
      <c r="A155">
        <v>152</v>
      </c>
      <c r="B155" t="s">
        <v>195</v>
      </c>
      <c r="C155">
        <v>3768</v>
      </c>
      <c r="E155" t="s">
        <v>183</v>
      </c>
    </row>
    <row r="156" spans="1:5" x14ac:dyDescent="0.25">
      <c r="A156">
        <v>153</v>
      </c>
      <c r="B156" t="s">
        <v>196</v>
      </c>
      <c r="C156">
        <v>16718</v>
      </c>
      <c r="E156" t="s">
        <v>183</v>
      </c>
    </row>
    <row r="157" spans="1:5" x14ac:dyDescent="0.25">
      <c r="A157">
        <v>154</v>
      </c>
      <c r="B157" t="s">
        <v>197</v>
      </c>
      <c r="C157">
        <v>28276</v>
      </c>
      <c r="E157" t="s">
        <v>198</v>
      </c>
    </row>
    <row r="158" spans="1:5" x14ac:dyDescent="0.25">
      <c r="A158">
        <v>155</v>
      </c>
      <c r="B158" t="s">
        <v>199</v>
      </c>
      <c r="C158">
        <v>347142</v>
      </c>
      <c r="E158" t="s">
        <v>198</v>
      </c>
    </row>
    <row r="159" spans="1:5" x14ac:dyDescent="0.25">
      <c r="A159">
        <v>156</v>
      </c>
      <c r="B159" t="s">
        <v>200</v>
      </c>
      <c r="C159">
        <v>39749</v>
      </c>
      <c r="E159" t="s">
        <v>198</v>
      </c>
    </row>
    <row r="160" spans="1:5" x14ac:dyDescent="0.25">
      <c r="A160">
        <v>157</v>
      </c>
      <c r="B160" t="s">
        <v>201</v>
      </c>
      <c r="C160">
        <v>18790</v>
      </c>
      <c r="E160" t="s">
        <v>198</v>
      </c>
    </row>
    <row r="161" spans="1:5" x14ac:dyDescent="0.25">
      <c r="A161">
        <v>158</v>
      </c>
      <c r="B161" t="s">
        <v>202</v>
      </c>
      <c r="C161">
        <v>15287</v>
      </c>
      <c r="E161" t="s">
        <v>198</v>
      </c>
    </row>
    <row r="162" spans="1:5" x14ac:dyDescent="0.25">
      <c r="A162">
        <v>159</v>
      </c>
      <c r="B162" t="s">
        <v>203</v>
      </c>
      <c r="C162">
        <v>7669</v>
      </c>
      <c r="E162" t="s">
        <v>198</v>
      </c>
    </row>
    <row r="163" spans="1:5" x14ac:dyDescent="0.25">
      <c r="A163">
        <v>160</v>
      </c>
      <c r="B163" t="s">
        <v>204</v>
      </c>
      <c r="C163">
        <v>28438</v>
      </c>
      <c r="E163" t="s">
        <v>198</v>
      </c>
    </row>
    <row r="164" spans="1:5" x14ac:dyDescent="0.25">
      <c r="A164">
        <v>161</v>
      </c>
      <c r="B164" t="s">
        <v>205</v>
      </c>
      <c r="C164">
        <v>38549</v>
      </c>
      <c r="E164" t="s">
        <v>198</v>
      </c>
    </row>
    <row r="165" spans="1:5" x14ac:dyDescent="0.25">
      <c r="A165">
        <v>162</v>
      </c>
      <c r="B165" t="s">
        <v>206</v>
      </c>
      <c r="C165">
        <v>29094</v>
      </c>
      <c r="E165" t="s">
        <v>198</v>
      </c>
    </row>
    <row r="166" spans="1:5" x14ac:dyDescent="0.25">
      <c r="A166">
        <v>163</v>
      </c>
      <c r="B166" t="s">
        <v>207</v>
      </c>
      <c r="C166">
        <v>48972</v>
      </c>
      <c r="E166" t="s">
        <v>198</v>
      </c>
    </row>
    <row r="167" spans="1:5" x14ac:dyDescent="0.25">
      <c r="A167">
        <v>164</v>
      </c>
      <c r="B167" t="s">
        <v>208</v>
      </c>
      <c r="C167">
        <v>30887</v>
      </c>
      <c r="E167" t="s">
        <v>198</v>
      </c>
    </row>
    <row r="168" spans="1:5" x14ac:dyDescent="0.25">
      <c r="A168">
        <v>165</v>
      </c>
      <c r="B168" t="s">
        <v>209</v>
      </c>
      <c r="C168">
        <v>43591</v>
      </c>
      <c r="E168" t="s">
        <v>198</v>
      </c>
    </row>
    <row r="169" spans="1:5" x14ac:dyDescent="0.25">
      <c r="A169">
        <v>166</v>
      </c>
      <c r="B169" t="s">
        <v>210</v>
      </c>
      <c r="C169">
        <v>64775</v>
      </c>
      <c r="E169" t="s">
        <v>198</v>
      </c>
    </row>
    <row r="170" spans="1:5" x14ac:dyDescent="0.25">
      <c r="A170">
        <v>167</v>
      </c>
      <c r="B170" t="s">
        <v>211</v>
      </c>
      <c r="C170">
        <v>29748</v>
      </c>
      <c r="E170" t="s">
        <v>198</v>
      </c>
    </row>
    <row r="171" spans="1:5" x14ac:dyDescent="0.25">
      <c r="A171">
        <v>168</v>
      </c>
      <c r="B171" t="s">
        <v>212</v>
      </c>
      <c r="C171">
        <v>133065</v>
      </c>
      <c r="E171" t="s">
        <v>213</v>
      </c>
    </row>
    <row r="172" spans="1:5" x14ac:dyDescent="0.25">
      <c r="A172">
        <v>169</v>
      </c>
      <c r="B172" t="s">
        <v>214</v>
      </c>
      <c r="C172">
        <v>73199</v>
      </c>
      <c r="E172" t="s">
        <v>213</v>
      </c>
    </row>
    <row r="173" spans="1:5" x14ac:dyDescent="0.25">
      <c r="A173">
        <v>170</v>
      </c>
      <c r="B173" t="s">
        <v>215</v>
      </c>
      <c r="C173">
        <v>41882</v>
      </c>
      <c r="E173" t="s">
        <v>213</v>
      </c>
    </row>
    <row r="174" spans="1:5" x14ac:dyDescent="0.25">
      <c r="A174">
        <v>171</v>
      </c>
      <c r="B174" t="s">
        <v>216</v>
      </c>
      <c r="C174">
        <v>24793</v>
      </c>
      <c r="E174" t="s">
        <v>213</v>
      </c>
    </row>
    <row r="175" spans="1:5" x14ac:dyDescent="0.25">
      <c r="A175">
        <v>172</v>
      </c>
      <c r="B175" t="s">
        <v>217</v>
      </c>
      <c r="C175">
        <v>23078</v>
      </c>
      <c r="E175" t="s">
        <v>213</v>
      </c>
    </row>
    <row r="176" spans="1:5" x14ac:dyDescent="0.25">
      <c r="A176">
        <v>173</v>
      </c>
      <c r="B176" t="s">
        <v>218</v>
      </c>
      <c r="C176">
        <v>11960</v>
      </c>
      <c r="E176" t="s">
        <v>213</v>
      </c>
    </row>
    <row r="177" spans="1:5" x14ac:dyDescent="0.25">
      <c r="A177">
        <v>174</v>
      </c>
      <c r="B177" t="s">
        <v>219</v>
      </c>
      <c r="C177">
        <v>28157</v>
      </c>
      <c r="E177" t="s">
        <v>220</v>
      </c>
    </row>
    <row r="178" spans="1:5" x14ac:dyDescent="0.25">
      <c r="A178">
        <v>175</v>
      </c>
      <c r="B178" t="s">
        <v>221</v>
      </c>
      <c r="C178">
        <v>16020</v>
      </c>
      <c r="E178" t="s">
        <v>220</v>
      </c>
    </row>
    <row r="179" spans="1:5" x14ac:dyDescent="0.25">
      <c r="A179">
        <v>176</v>
      </c>
      <c r="B179" t="s">
        <v>222</v>
      </c>
      <c r="C179">
        <v>6342</v>
      </c>
      <c r="E179" t="s">
        <v>213</v>
      </c>
    </row>
    <row r="180" spans="1:5" x14ac:dyDescent="0.25">
      <c r="A180">
        <v>177</v>
      </c>
      <c r="B180" t="s">
        <v>223</v>
      </c>
      <c r="C180">
        <v>7109</v>
      </c>
      <c r="E180" t="s">
        <v>213</v>
      </c>
    </row>
    <row r="181" spans="1:5" x14ac:dyDescent="0.25">
      <c r="A181">
        <v>178</v>
      </c>
      <c r="B181" t="s">
        <v>224</v>
      </c>
      <c r="C181">
        <v>11535</v>
      </c>
      <c r="E181" t="s">
        <v>213</v>
      </c>
    </row>
    <row r="182" spans="1:5" x14ac:dyDescent="0.25">
      <c r="A182">
        <v>179</v>
      </c>
      <c r="B182" t="s">
        <v>225</v>
      </c>
      <c r="C182">
        <v>18907</v>
      </c>
      <c r="E182" t="s">
        <v>226</v>
      </c>
    </row>
    <row r="183" spans="1:5" x14ac:dyDescent="0.25">
      <c r="A183">
        <v>180</v>
      </c>
      <c r="B183" t="s">
        <v>227</v>
      </c>
      <c r="C183">
        <v>13026</v>
      </c>
      <c r="E183" t="s">
        <v>226</v>
      </c>
    </row>
    <row r="184" spans="1:5" x14ac:dyDescent="0.25">
      <c r="A184">
        <v>181</v>
      </c>
      <c r="B184" t="s">
        <v>228</v>
      </c>
      <c r="C184">
        <v>4036</v>
      </c>
      <c r="E184" t="s">
        <v>226</v>
      </c>
    </row>
    <row r="185" spans="1:5" x14ac:dyDescent="0.25">
      <c r="A185">
        <v>182</v>
      </c>
      <c r="B185" t="s">
        <v>229</v>
      </c>
      <c r="C185">
        <v>5528</v>
      </c>
      <c r="E185" t="s">
        <v>226</v>
      </c>
    </row>
    <row r="186" spans="1:5" x14ac:dyDescent="0.25">
      <c r="A186">
        <v>183</v>
      </c>
      <c r="B186" t="s">
        <v>230</v>
      </c>
      <c r="C186">
        <v>3549</v>
      </c>
      <c r="E186" t="s">
        <v>226</v>
      </c>
    </row>
    <row r="187" spans="1:5" x14ac:dyDescent="0.25">
      <c r="A187">
        <v>184</v>
      </c>
      <c r="B187" t="s">
        <v>231</v>
      </c>
      <c r="C187">
        <v>9895</v>
      </c>
      <c r="E187" t="s">
        <v>226</v>
      </c>
    </row>
    <row r="188" spans="1:5" x14ac:dyDescent="0.25">
      <c r="A188">
        <v>185</v>
      </c>
      <c r="B188" t="s">
        <v>232</v>
      </c>
      <c r="C188">
        <v>19221</v>
      </c>
      <c r="E188" t="s">
        <v>226</v>
      </c>
    </row>
    <row r="189" spans="1:5" x14ac:dyDescent="0.25">
      <c r="A189">
        <v>186</v>
      </c>
      <c r="B189" t="s">
        <v>233</v>
      </c>
      <c r="C189">
        <v>10447</v>
      </c>
      <c r="E189" t="s">
        <v>226</v>
      </c>
    </row>
    <row r="190" spans="1:5" x14ac:dyDescent="0.25">
      <c r="A190">
        <v>187</v>
      </c>
      <c r="B190" t="s">
        <v>234</v>
      </c>
      <c r="C190">
        <v>44053</v>
      </c>
      <c r="E190" t="s">
        <v>226</v>
      </c>
    </row>
    <row r="191" spans="1:5" x14ac:dyDescent="0.25">
      <c r="A191">
        <v>188</v>
      </c>
      <c r="B191" t="s">
        <v>235</v>
      </c>
      <c r="C191">
        <v>38273</v>
      </c>
      <c r="E191" t="s">
        <v>226</v>
      </c>
    </row>
    <row r="192" spans="1:5" x14ac:dyDescent="0.25">
      <c r="A192">
        <v>189</v>
      </c>
      <c r="B192" t="s">
        <v>236</v>
      </c>
      <c r="C192">
        <v>5984</v>
      </c>
      <c r="E192" t="s">
        <v>226</v>
      </c>
    </row>
    <row r="193" spans="1:5" x14ac:dyDescent="0.25">
      <c r="A193">
        <v>190</v>
      </c>
      <c r="B193" t="s">
        <v>237</v>
      </c>
      <c r="C193">
        <v>8816</v>
      </c>
      <c r="E193" t="s">
        <v>226</v>
      </c>
    </row>
    <row r="194" spans="1:5" x14ac:dyDescent="0.25">
      <c r="A194">
        <v>191</v>
      </c>
      <c r="B194" t="s">
        <v>238</v>
      </c>
      <c r="C194">
        <v>7031</v>
      </c>
      <c r="E194" t="s">
        <v>226</v>
      </c>
    </row>
    <row r="195" spans="1:5" x14ac:dyDescent="0.25">
      <c r="A195">
        <v>192</v>
      </c>
      <c r="B195" t="s">
        <v>239</v>
      </c>
      <c r="C195">
        <v>9344</v>
      </c>
      <c r="E195" t="s">
        <v>226</v>
      </c>
    </row>
    <row r="196" spans="1:5" x14ac:dyDescent="0.25">
      <c r="A196">
        <v>193</v>
      </c>
      <c r="B196" t="s">
        <v>240</v>
      </c>
      <c r="C196">
        <v>10794</v>
      </c>
      <c r="E196" t="s">
        <v>226</v>
      </c>
    </row>
    <row r="197" spans="1:5" x14ac:dyDescent="0.25">
      <c r="A197">
        <v>194</v>
      </c>
      <c r="B197" t="s">
        <v>241</v>
      </c>
      <c r="C197">
        <v>1532</v>
      </c>
      <c r="E197" t="s">
        <v>226</v>
      </c>
    </row>
    <row r="198" spans="1:5" x14ac:dyDescent="0.25">
      <c r="A198">
        <v>195</v>
      </c>
      <c r="B198" t="s">
        <v>242</v>
      </c>
      <c r="C198">
        <v>2896</v>
      </c>
      <c r="E198" t="s">
        <v>226</v>
      </c>
    </row>
    <row r="199" spans="1:5" x14ac:dyDescent="0.25">
      <c r="A199">
        <v>196</v>
      </c>
      <c r="B199" t="s">
        <v>243</v>
      </c>
      <c r="C199">
        <v>15817</v>
      </c>
      <c r="E199" t="s">
        <v>226</v>
      </c>
    </row>
    <row r="200" spans="1:5" x14ac:dyDescent="0.25">
      <c r="A200">
        <v>197</v>
      </c>
      <c r="B200" t="s">
        <v>244</v>
      </c>
      <c r="C200">
        <v>33634</v>
      </c>
      <c r="E200" t="s">
        <v>226</v>
      </c>
    </row>
    <row r="201" spans="1:5" x14ac:dyDescent="0.25">
      <c r="A201">
        <v>198</v>
      </c>
      <c r="B201" t="s">
        <v>245</v>
      </c>
      <c r="C201">
        <v>29547</v>
      </c>
      <c r="E201" t="s">
        <v>246</v>
      </c>
    </row>
    <row r="202" spans="1:5" x14ac:dyDescent="0.25">
      <c r="A202">
        <v>199</v>
      </c>
      <c r="B202" t="s">
        <v>247</v>
      </c>
      <c r="C202">
        <v>51236</v>
      </c>
      <c r="E202" t="s">
        <v>246</v>
      </c>
    </row>
    <row r="203" spans="1:5" x14ac:dyDescent="0.25">
      <c r="A203">
        <v>200</v>
      </c>
      <c r="B203" t="s">
        <v>248</v>
      </c>
      <c r="C203">
        <v>21058</v>
      </c>
      <c r="E203" t="s">
        <v>246</v>
      </c>
    </row>
    <row r="204" spans="1:5" x14ac:dyDescent="0.25">
      <c r="A204">
        <v>201</v>
      </c>
      <c r="B204" t="s">
        <v>249</v>
      </c>
      <c r="C204">
        <v>16316</v>
      </c>
      <c r="E204" t="s">
        <v>246</v>
      </c>
    </row>
    <row r="205" spans="1:5" x14ac:dyDescent="0.25">
      <c r="A205">
        <v>202</v>
      </c>
      <c r="B205" t="s">
        <v>250</v>
      </c>
      <c r="C205">
        <v>17421</v>
      </c>
      <c r="E205" t="s">
        <v>246</v>
      </c>
    </row>
    <row r="206" spans="1:5" x14ac:dyDescent="0.25">
      <c r="A206">
        <v>203</v>
      </c>
      <c r="B206" t="s">
        <v>251</v>
      </c>
      <c r="C206">
        <v>49161</v>
      </c>
      <c r="E206" t="s">
        <v>246</v>
      </c>
    </row>
    <row r="207" spans="1:5" x14ac:dyDescent="0.25">
      <c r="A207">
        <v>204</v>
      </c>
      <c r="B207" t="s">
        <v>252</v>
      </c>
      <c r="C207">
        <v>9910</v>
      </c>
      <c r="E207" t="s">
        <v>246</v>
      </c>
    </row>
    <row r="208" spans="1:5" x14ac:dyDescent="0.25">
      <c r="A208">
        <v>205</v>
      </c>
      <c r="B208" t="s">
        <v>253</v>
      </c>
      <c r="C208">
        <v>44612</v>
      </c>
      <c r="E208" t="s">
        <v>246</v>
      </c>
    </row>
    <row r="209" spans="1:5" x14ac:dyDescent="0.25">
      <c r="A209">
        <v>206</v>
      </c>
      <c r="B209" t="s">
        <v>254</v>
      </c>
      <c r="C209">
        <v>45944</v>
      </c>
      <c r="E209" t="s">
        <v>246</v>
      </c>
    </row>
    <row r="210" spans="1:5" x14ac:dyDescent="0.25">
      <c r="A210">
        <v>207</v>
      </c>
      <c r="B210" t="s">
        <v>255</v>
      </c>
      <c r="C210">
        <v>39515</v>
      </c>
      <c r="E210" t="s">
        <v>246</v>
      </c>
    </row>
    <row r="211" spans="1:5" x14ac:dyDescent="0.25">
      <c r="A211">
        <v>208</v>
      </c>
      <c r="B211" t="s">
        <v>256</v>
      </c>
      <c r="C211">
        <v>68417</v>
      </c>
      <c r="E211" t="s">
        <v>246</v>
      </c>
    </row>
    <row r="212" spans="1:5" x14ac:dyDescent="0.25">
      <c r="A212">
        <v>209</v>
      </c>
      <c r="B212" t="s">
        <v>257</v>
      </c>
      <c r="C212">
        <v>30465</v>
      </c>
      <c r="E212" t="s">
        <v>246</v>
      </c>
    </row>
    <row r="213" spans="1:5" x14ac:dyDescent="0.25">
      <c r="A213">
        <v>210</v>
      </c>
      <c r="B213" t="s">
        <v>258</v>
      </c>
      <c r="C213">
        <v>61149</v>
      </c>
      <c r="E213" t="s">
        <v>246</v>
      </c>
    </row>
    <row r="214" spans="1:5" x14ac:dyDescent="0.25">
      <c r="A214">
        <v>211</v>
      </c>
      <c r="B214" t="s">
        <v>259</v>
      </c>
      <c r="C214">
        <v>8979</v>
      </c>
      <c r="E214" t="s">
        <v>246</v>
      </c>
    </row>
    <row r="215" spans="1:5" x14ac:dyDescent="0.25">
      <c r="A215">
        <v>212</v>
      </c>
      <c r="B215" t="s">
        <v>260</v>
      </c>
      <c r="C215">
        <v>84243</v>
      </c>
      <c r="E215" t="s">
        <v>246</v>
      </c>
    </row>
    <row r="216" spans="1:5" x14ac:dyDescent="0.25">
      <c r="A216">
        <v>213</v>
      </c>
      <c r="B216" t="s">
        <v>261</v>
      </c>
      <c r="C216">
        <v>204880</v>
      </c>
      <c r="E216" t="s">
        <v>246</v>
      </c>
    </row>
    <row r="217" spans="1:5" x14ac:dyDescent="0.25">
      <c r="A217">
        <v>214</v>
      </c>
      <c r="B217" t="s">
        <v>262</v>
      </c>
      <c r="C217">
        <v>14247</v>
      </c>
      <c r="E217" t="s">
        <v>246</v>
      </c>
    </row>
    <row r="218" spans="1:5" x14ac:dyDescent="0.25">
      <c r="A218">
        <v>215</v>
      </c>
      <c r="B218" t="s">
        <v>263</v>
      </c>
      <c r="C218">
        <v>54822</v>
      </c>
      <c r="E218" t="s">
        <v>246</v>
      </c>
    </row>
    <row r="219" spans="1:5" x14ac:dyDescent="0.25">
      <c r="A219">
        <v>216</v>
      </c>
      <c r="B219" t="s">
        <v>264</v>
      </c>
      <c r="C219">
        <v>35687</v>
      </c>
      <c r="E219" t="s">
        <v>246</v>
      </c>
    </row>
    <row r="220" spans="1:5" x14ac:dyDescent="0.25">
      <c r="A220">
        <v>217</v>
      </c>
      <c r="B220" t="s">
        <v>265</v>
      </c>
      <c r="C220">
        <v>45626</v>
      </c>
      <c r="E220" t="s">
        <v>246</v>
      </c>
    </row>
    <row r="221" spans="1:5" x14ac:dyDescent="0.25">
      <c r="A221">
        <v>218</v>
      </c>
      <c r="B221" t="s">
        <v>266</v>
      </c>
      <c r="C221">
        <v>17069</v>
      </c>
      <c r="E221" t="s">
        <v>246</v>
      </c>
    </row>
    <row r="222" spans="1:5" x14ac:dyDescent="0.25">
      <c r="A222">
        <v>219</v>
      </c>
      <c r="B222" t="s">
        <v>267</v>
      </c>
      <c r="C222">
        <v>12849</v>
      </c>
      <c r="E222" t="s">
        <v>246</v>
      </c>
    </row>
    <row r="223" spans="1:5" x14ac:dyDescent="0.25">
      <c r="A223">
        <v>220</v>
      </c>
      <c r="B223" t="s">
        <v>268</v>
      </c>
      <c r="C223">
        <v>31183</v>
      </c>
      <c r="E223" t="s">
        <v>246</v>
      </c>
    </row>
    <row r="224" spans="1:5" x14ac:dyDescent="0.25">
      <c r="A224">
        <v>221</v>
      </c>
      <c r="B224" t="s">
        <v>269</v>
      </c>
      <c r="C224">
        <v>44462</v>
      </c>
      <c r="E224" t="s">
        <v>246</v>
      </c>
    </row>
    <row r="225" spans="1:5" x14ac:dyDescent="0.25">
      <c r="A225">
        <v>222</v>
      </c>
      <c r="B225" t="s">
        <v>270</v>
      </c>
      <c r="C225">
        <v>54906</v>
      </c>
      <c r="E225" t="s">
        <v>246</v>
      </c>
    </row>
    <row r="226" spans="1:5" x14ac:dyDescent="0.25">
      <c r="A226">
        <v>223</v>
      </c>
      <c r="B226" t="s">
        <v>271</v>
      </c>
      <c r="C226">
        <v>35330</v>
      </c>
      <c r="E226" t="s">
        <v>246</v>
      </c>
    </row>
    <row r="227" spans="1:5" x14ac:dyDescent="0.25">
      <c r="A227">
        <v>224</v>
      </c>
      <c r="B227" t="s">
        <v>272</v>
      </c>
      <c r="C227">
        <v>28260</v>
      </c>
      <c r="E227" t="s">
        <v>246</v>
      </c>
    </row>
    <row r="228" spans="1:5" x14ac:dyDescent="0.25">
      <c r="A228">
        <v>225</v>
      </c>
      <c r="B228" t="s">
        <v>273</v>
      </c>
      <c r="C228">
        <v>26403</v>
      </c>
      <c r="E228" t="s">
        <v>246</v>
      </c>
    </row>
    <row r="229" spans="1:5" x14ac:dyDescent="0.25">
      <c r="A229">
        <v>226</v>
      </c>
      <c r="B229" t="s">
        <v>274</v>
      </c>
      <c r="C229">
        <v>69178</v>
      </c>
      <c r="E229" t="s">
        <v>246</v>
      </c>
    </row>
    <row r="230" spans="1:5" x14ac:dyDescent="0.25">
      <c r="A230">
        <v>227</v>
      </c>
      <c r="B230" t="s">
        <v>275</v>
      </c>
      <c r="C230">
        <v>6175</v>
      </c>
      <c r="E230" t="s">
        <v>276</v>
      </c>
    </row>
    <row r="231" spans="1:5" x14ac:dyDescent="0.25">
      <c r="A231">
        <v>228</v>
      </c>
      <c r="B231" t="s">
        <v>277</v>
      </c>
      <c r="C231">
        <v>12212</v>
      </c>
      <c r="E231" t="s">
        <v>276</v>
      </c>
    </row>
    <row r="232" spans="1:5" x14ac:dyDescent="0.25">
      <c r="A232">
        <v>229</v>
      </c>
      <c r="B232" t="s">
        <v>278</v>
      </c>
      <c r="C232">
        <v>6542</v>
      </c>
      <c r="E232" t="s">
        <v>276</v>
      </c>
    </row>
    <row r="233" spans="1:5" x14ac:dyDescent="0.25">
      <c r="A233">
        <v>230</v>
      </c>
      <c r="B233" t="s">
        <v>279</v>
      </c>
      <c r="C233">
        <v>8551</v>
      </c>
      <c r="E233" t="s">
        <v>276</v>
      </c>
    </row>
    <row r="234" spans="1:5" x14ac:dyDescent="0.25">
      <c r="A234">
        <v>231</v>
      </c>
      <c r="B234" t="s">
        <v>280</v>
      </c>
      <c r="C234">
        <v>3265</v>
      </c>
      <c r="E234" t="s">
        <v>276</v>
      </c>
    </row>
    <row r="235" spans="1:5" x14ac:dyDescent="0.25">
      <c r="A235">
        <v>232</v>
      </c>
      <c r="B235" t="s">
        <v>281</v>
      </c>
      <c r="C235">
        <v>10081</v>
      </c>
      <c r="E235" t="s">
        <v>276</v>
      </c>
    </row>
    <row r="236" spans="1:5" x14ac:dyDescent="0.25">
      <c r="A236">
        <v>233</v>
      </c>
      <c r="B236" t="s">
        <v>282</v>
      </c>
      <c r="C236">
        <v>11865</v>
      </c>
      <c r="E236" t="s">
        <v>276</v>
      </c>
    </row>
    <row r="237" spans="1:5" x14ac:dyDescent="0.25">
      <c r="A237">
        <v>234</v>
      </c>
      <c r="B237" t="s">
        <v>283</v>
      </c>
      <c r="C237">
        <v>10017</v>
      </c>
      <c r="E237" t="s">
        <v>276</v>
      </c>
    </row>
    <row r="238" spans="1:5" x14ac:dyDescent="0.25">
      <c r="A238">
        <v>235</v>
      </c>
      <c r="B238" t="s">
        <v>284</v>
      </c>
      <c r="C238">
        <v>7579</v>
      </c>
      <c r="E238" t="s">
        <v>285</v>
      </c>
    </row>
    <row r="239" spans="1:5" x14ac:dyDescent="0.25">
      <c r="A239">
        <v>236</v>
      </c>
      <c r="B239" t="s">
        <v>286</v>
      </c>
      <c r="C239">
        <v>32805</v>
      </c>
      <c r="E239" t="s">
        <v>285</v>
      </c>
    </row>
    <row r="240" spans="1:5" x14ac:dyDescent="0.25">
      <c r="A240">
        <v>237</v>
      </c>
      <c r="B240" t="s">
        <v>287</v>
      </c>
      <c r="C240">
        <v>39425</v>
      </c>
      <c r="E240" t="s">
        <v>285</v>
      </c>
    </row>
    <row r="241" spans="1:5" x14ac:dyDescent="0.25">
      <c r="A241">
        <v>238</v>
      </c>
      <c r="B241" t="s">
        <v>288</v>
      </c>
      <c r="C241">
        <v>86934</v>
      </c>
      <c r="E241" t="s">
        <v>285</v>
      </c>
    </row>
    <row r="242" spans="1:5" x14ac:dyDescent="0.25">
      <c r="A242">
        <v>239</v>
      </c>
      <c r="B242" t="s">
        <v>289</v>
      </c>
      <c r="C242">
        <v>25121</v>
      </c>
      <c r="E242" t="s">
        <v>285</v>
      </c>
    </row>
    <row r="243" spans="1:5" x14ac:dyDescent="0.25">
      <c r="A243">
        <v>240</v>
      </c>
      <c r="B243" t="s">
        <v>290</v>
      </c>
      <c r="C243">
        <v>5883</v>
      </c>
      <c r="E243" t="s">
        <v>285</v>
      </c>
    </row>
    <row r="244" spans="1:5" x14ac:dyDescent="0.25">
      <c r="A244">
        <v>241</v>
      </c>
      <c r="B244" t="s">
        <v>291</v>
      </c>
      <c r="C244">
        <v>13959</v>
      </c>
      <c r="E244" t="s">
        <v>285</v>
      </c>
    </row>
    <row r="245" spans="1:5" x14ac:dyDescent="0.25">
      <c r="A245">
        <v>242</v>
      </c>
      <c r="B245" t="s">
        <v>292</v>
      </c>
      <c r="C245">
        <v>7128</v>
      </c>
      <c r="E245" t="s">
        <v>285</v>
      </c>
    </row>
    <row r="246" spans="1:5" x14ac:dyDescent="0.25">
      <c r="A246">
        <v>243</v>
      </c>
      <c r="B246" t="s">
        <v>293</v>
      </c>
      <c r="C246">
        <v>81430</v>
      </c>
      <c r="E246" t="s">
        <v>285</v>
      </c>
    </row>
    <row r="247" spans="1:5" x14ac:dyDescent="0.25">
      <c r="A247">
        <v>244</v>
      </c>
      <c r="B247" t="s">
        <v>294</v>
      </c>
      <c r="C247">
        <v>2982</v>
      </c>
      <c r="E247" t="s">
        <v>285</v>
      </c>
    </row>
    <row r="248" spans="1:5" x14ac:dyDescent="0.25">
      <c r="A248">
        <v>245</v>
      </c>
      <c r="B248" t="s">
        <v>295</v>
      </c>
      <c r="C248">
        <v>592319</v>
      </c>
      <c r="E248" t="s">
        <v>296</v>
      </c>
    </row>
    <row r="249" spans="1:5" x14ac:dyDescent="0.25">
      <c r="A249">
        <v>246</v>
      </c>
      <c r="B249" t="s">
        <v>297</v>
      </c>
      <c r="C249">
        <v>18352</v>
      </c>
      <c r="E249" t="s">
        <v>296</v>
      </c>
    </row>
    <row r="250" spans="1:5" x14ac:dyDescent="0.25">
      <c r="A250">
        <v>247</v>
      </c>
      <c r="B250" t="s">
        <v>298</v>
      </c>
      <c r="C250">
        <v>15265</v>
      </c>
      <c r="E250" t="s">
        <v>296</v>
      </c>
    </row>
    <row r="251" spans="1:5" x14ac:dyDescent="0.25">
      <c r="A251">
        <v>248</v>
      </c>
      <c r="B251" t="s">
        <v>299</v>
      </c>
      <c r="C251">
        <v>24695</v>
      </c>
      <c r="E251" t="s">
        <v>100</v>
      </c>
    </row>
    <row r="252" spans="1:5" x14ac:dyDescent="0.25">
      <c r="A252">
        <v>249</v>
      </c>
      <c r="B252" t="s">
        <v>300</v>
      </c>
      <c r="C252">
        <v>74900</v>
      </c>
      <c r="E252" t="s">
        <v>301</v>
      </c>
    </row>
    <row r="253" spans="1:5" x14ac:dyDescent="0.25">
      <c r="A253">
        <v>250</v>
      </c>
      <c r="B253" t="s">
        <v>302</v>
      </c>
      <c r="C253">
        <v>13703</v>
      </c>
      <c r="E253" t="s">
        <v>301</v>
      </c>
    </row>
    <row r="254" spans="1:5" x14ac:dyDescent="0.25">
      <c r="A254">
        <v>251</v>
      </c>
      <c r="B254" t="s">
        <v>303</v>
      </c>
      <c r="C254">
        <v>6194</v>
      </c>
      <c r="E254" t="s">
        <v>301</v>
      </c>
    </row>
    <row r="255" spans="1:5" x14ac:dyDescent="0.25">
      <c r="A255">
        <v>252</v>
      </c>
      <c r="B255" t="s">
        <v>304</v>
      </c>
      <c r="C255">
        <v>40633</v>
      </c>
      <c r="E255" t="s">
        <v>301</v>
      </c>
    </row>
    <row r="256" spans="1:5" x14ac:dyDescent="0.25">
      <c r="A256">
        <v>253</v>
      </c>
      <c r="B256" t="s">
        <v>305</v>
      </c>
      <c r="C256">
        <v>150723</v>
      </c>
      <c r="E256" t="s">
        <v>301</v>
      </c>
    </row>
    <row r="257" spans="1:5" x14ac:dyDescent="0.25">
      <c r="A257">
        <v>254</v>
      </c>
      <c r="B257" t="s">
        <v>306</v>
      </c>
      <c r="C257">
        <v>114055</v>
      </c>
      <c r="E257" t="s">
        <v>301</v>
      </c>
    </row>
    <row r="258" spans="1:5" x14ac:dyDescent="0.25">
      <c r="A258">
        <v>255</v>
      </c>
      <c r="B258" t="s">
        <v>307</v>
      </c>
      <c r="C258">
        <v>15212</v>
      </c>
      <c r="E258" t="s">
        <v>301</v>
      </c>
    </row>
    <row r="259" spans="1:5" x14ac:dyDescent="0.25">
      <c r="A259">
        <v>256</v>
      </c>
      <c r="B259" t="s">
        <v>308</v>
      </c>
      <c r="C259">
        <v>21109</v>
      </c>
      <c r="E259" t="s">
        <v>309</v>
      </c>
    </row>
    <row r="260" spans="1:5" x14ac:dyDescent="0.25">
      <c r="A260">
        <v>257</v>
      </c>
      <c r="B260" t="s">
        <v>310</v>
      </c>
      <c r="C260">
        <v>232338</v>
      </c>
      <c r="E260" t="s">
        <v>309</v>
      </c>
    </row>
    <row r="261" spans="1:5" x14ac:dyDescent="0.25">
      <c r="A261">
        <v>258</v>
      </c>
      <c r="B261" t="s">
        <v>311</v>
      </c>
      <c r="C261">
        <v>28229</v>
      </c>
      <c r="E261" t="s">
        <v>309</v>
      </c>
    </row>
    <row r="262" spans="1:5" x14ac:dyDescent="0.25">
      <c r="A262">
        <v>259</v>
      </c>
      <c r="B262" t="s">
        <v>312</v>
      </c>
      <c r="C262">
        <v>51716</v>
      </c>
      <c r="E262" t="s">
        <v>309</v>
      </c>
    </row>
    <row r="263" spans="1:5" x14ac:dyDescent="0.25">
      <c r="A263">
        <v>260</v>
      </c>
      <c r="B263" t="s">
        <v>313</v>
      </c>
      <c r="C263">
        <v>32221</v>
      </c>
      <c r="E263" t="s">
        <v>301</v>
      </c>
    </row>
    <row r="264" spans="1:5" x14ac:dyDescent="0.25">
      <c r="A264">
        <v>261</v>
      </c>
      <c r="B264" t="s">
        <v>314</v>
      </c>
      <c r="C264">
        <v>21722</v>
      </c>
      <c r="E264" t="s">
        <v>301</v>
      </c>
    </row>
    <row r="265" spans="1:5" x14ac:dyDescent="0.25">
      <c r="A265">
        <v>262</v>
      </c>
      <c r="B265" t="s">
        <v>315</v>
      </c>
      <c r="C265">
        <v>33363</v>
      </c>
      <c r="E265" t="s">
        <v>301</v>
      </c>
    </row>
    <row r="266" spans="1:5" x14ac:dyDescent="0.25">
      <c r="A266">
        <v>263</v>
      </c>
      <c r="B266" t="s">
        <v>316</v>
      </c>
      <c r="C266">
        <v>19008</v>
      </c>
      <c r="E266" t="s">
        <v>301</v>
      </c>
    </row>
    <row r="267" spans="1:5" x14ac:dyDescent="0.25">
      <c r="A267">
        <v>264</v>
      </c>
      <c r="B267" t="s">
        <v>317</v>
      </c>
      <c r="C267">
        <v>45339</v>
      </c>
      <c r="E267" t="s">
        <v>301</v>
      </c>
    </row>
    <row r="268" spans="1:5" x14ac:dyDescent="0.25">
      <c r="A268">
        <v>265</v>
      </c>
      <c r="B268" t="s">
        <v>318</v>
      </c>
      <c r="C268">
        <v>41356</v>
      </c>
      <c r="E268" t="s">
        <v>301</v>
      </c>
    </row>
    <row r="269" spans="1:5" x14ac:dyDescent="0.25">
      <c r="A269">
        <v>266</v>
      </c>
      <c r="B269" t="s">
        <v>319</v>
      </c>
      <c r="C269">
        <v>4597</v>
      </c>
      <c r="E269" t="s">
        <v>301</v>
      </c>
    </row>
    <row r="270" spans="1:5" x14ac:dyDescent="0.25">
      <c r="A270">
        <v>267</v>
      </c>
      <c r="B270" t="s">
        <v>320</v>
      </c>
      <c r="C270">
        <v>49406</v>
      </c>
      <c r="E270" t="s">
        <v>301</v>
      </c>
    </row>
    <row r="271" spans="1:5" x14ac:dyDescent="0.25">
      <c r="A271">
        <v>268</v>
      </c>
      <c r="B271" t="s">
        <v>321</v>
      </c>
      <c r="C271">
        <v>49529</v>
      </c>
      <c r="E271" t="s">
        <v>322</v>
      </c>
    </row>
    <row r="272" spans="1:5" x14ac:dyDescent="0.25">
      <c r="A272">
        <v>269</v>
      </c>
      <c r="B272" t="s">
        <v>323</v>
      </c>
      <c r="C272">
        <v>27859</v>
      </c>
      <c r="E272" t="s">
        <v>322</v>
      </c>
    </row>
    <row r="273" spans="1:5" x14ac:dyDescent="0.25">
      <c r="A273">
        <v>270</v>
      </c>
      <c r="B273" t="s">
        <v>324</v>
      </c>
      <c r="C273">
        <v>4263</v>
      </c>
      <c r="E273" t="s">
        <v>322</v>
      </c>
    </row>
    <row r="274" spans="1:5" x14ac:dyDescent="0.25">
      <c r="A274">
        <v>271</v>
      </c>
      <c r="B274" t="s">
        <v>325</v>
      </c>
      <c r="C274">
        <v>11726</v>
      </c>
      <c r="E274" t="s">
        <v>322</v>
      </c>
    </row>
    <row r="275" spans="1:5" x14ac:dyDescent="0.25">
      <c r="A275">
        <v>272</v>
      </c>
      <c r="B275" t="s">
        <v>326</v>
      </c>
      <c r="C275">
        <v>13411</v>
      </c>
      <c r="E275" t="s">
        <v>322</v>
      </c>
    </row>
    <row r="276" spans="1:5" x14ac:dyDescent="0.25">
      <c r="A276">
        <v>273</v>
      </c>
      <c r="B276" t="s">
        <v>327</v>
      </c>
      <c r="C276">
        <v>16534</v>
      </c>
      <c r="E276" t="s">
        <v>322</v>
      </c>
    </row>
    <row r="277" spans="1:5" x14ac:dyDescent="0.25">
      <c r="A277">
        <v>274</v>
      </c>
      <c r="B277" t="s">
        <v>328</v>
      </c>
      <c r="C277">
        <v>127540</v>
      </c>
      <c r="E277" t="s">
        <v>322</v>
      </c>
    </row>
    <row r="278" spans="1:5" x14ac:dyDescent="0.25">
      <c r="A278">
        <v>275</v>
      </c>
      <c r="B278" t="s">
        <v>329</v>
      </c>
      <c r="C278">
        <v>21521</v>
      </c>
      <c r="E278" t="s">
        <v>322</v>
      </c>
    </row>
    <row r="279" spans="1:5" x14ac:dyDescent="0.25">
      <c r="A279">
        <v>276</v>
      </c>
      <c r="B279" t="s">
        <v>330</v>
      </c>
      <c r="C279">
        <v>6976</v>
      </c>
      <c r="E279" t="s">
        <v>322</v>
      </c>
    </row>
    <row r="280" spans="1:5" x14ac:dyDescent="0.25">
      <c r="A280">
        <v>277</v>
      </c>
      <c r="B280" t="s">
        <v>331</v>
      </c>
      <c r="C280">
        <v>19017</v>
      </c>
      <c r="E280" t="s">
        <v>322</v>
      </c>
    </row>
    <row r="281" spans="1:5" x14ac:dyDescent="0.25">
      <c r="A281">
        <v>278</v>
      </c>
      <c r="B281" t="s">
        <v>332</v>
      </c>
      <c r="C281">
        <v>228345</v>
      </c>
      <c r="E281" t="s">
        <v>333</v>
      </c>
    </row>
    <row r="282" spans="1:5" x14ac:dyDescent="0.25">
      <c r="A282">
        <v>279</v>
      </c>
      <c r="B282" t="s">
        <v>334</v>
      </c>
      <c r="C282">
        <v>270522</v>
      </c>
      <c r="E282" t="s">
        <v>333</v>
      </c>
    </row>
    <row r="283" spans="1:5" x14ac:dyDescent="0.25">
      <c r="A283">
        <v>280</v>
      </c>
      <c r="B283" t="s">
        <v>335</v>
      </c>
      <c r="C283">
        <v>371711</v>
      </c>
      <c r="E283" t="s">
        <v>333</v>
      </c>
    </row>
    <row r="284" spans="1:5" x14ac:dyDescent="0.25">
      <c r="A284">
        <v>281</v>
      </c>
      <c r="B284" t="s">
        <v>336</v>
      </c>
      <c r="C284">
        <v>274798</v>
      </c>
      <c r="E284" t="s">
        <v>333</v>
      </c>
    </row>
    <row r="285" spans="1:5" x14ac:dyDescent="0.25">
      <c r="A285">
        <v>282</v>
      </c>
      <c r="B285" t="s">
        <v>337</v>
      </c>
      <c r="C285">
        <v>411607</v>
      </c>
      <c r="E285" t="s">
        <v>333</v>
      </c>
    </row>
    <row r="286" spans="1:5" x14ac:dyDescent="0.25">
      <c r="A286">
        <v>283</v>
      </c>
      <c r="B286" t="s">
        <v>338</v>
      </c>
      <c r="C286">
        <v>338016</v>
      </c>
      <c r="E286" t="s">
        <v>333</v>
      </c>
    </row>
    <row r="287" spans="1:5" x14ac:dyDescent="0.25">
      <c r="A287">
        <v>284</v>
      </c>
      <c r="B287" t="s">
        <v>339</v>
      </c>
      <c r="C287">
        <v>248250</v>
      </c>
      <c r="E287" t="s">
        <v>333</v>
      </c>
    </row>
    <row r="288" spans="1:5" x14ac:dyDescent="0.25">
      <c r="A288">
        <v>285</v>
      </c>
      <c r="B288" t="s">
        <v>340</v>
      </c>
      <c r="C288">
        <v>204610</v>
      </c>
      <c r="E288" t="s">
        <v>333</v>
      </c>
    </row>
    <row r="289" spans="1:5" x14ac:dyDescent="0.25">
      <c r="A289">
        <v>286</v>
      </c>
      <c r="B289" t="s">
        <v>341</v>
      </c>
      <c r="C289">
        <v>440780</v>
      </c>
      <c r="E289" t="s">
        <v>333</v>
      </c>
    </row>
    <row r="290" spans="1:5" x14ac:dyDescent="0.25">
      <c r="A290">
        <v>287</v>
      </c>
      <c r="B290" t="s">
        <v>342</v>
      </c>
      <c r="C290">
        <v>67279</v>
      </c>
      <c r="E290" t="s">
        <v>333</v>
      </c>
    </row>
    <row r="291" spans="1:5" x14ac:dyDescent="0.25">
      <c r="A291">
        <v>288</v>
      </c>
      <c r="B291" t="s">
        <v>343</v>
      </c>
      <c r="C291">
        <v>83587</v>
      </c>
      <c r="E291" t="s">
        <v>333</v>
      </c>
    </row>
    <row r="292" spans="1:5" x14ac:dyDescent="0.25">
      <c r="A292">
        <v>289</v>
      </c>
      <c r="B292" t="s">
        <v>344</v>
      </c>
      <c r="C292">
        <v>551804</v>
      </c>
      <c r="E292" t="s">
        <v>333</v>
      </c>
    </row>
    <row r="293" spans="1:5" x14ac:dyDescent="0.25">
      <c r="A293">
        <v>290</v>
      </c>
      <c r="B293" t="s">
        <v>345</v>
      </c>
      <c r="C293">
        <v>350863</v>
      </c>
      <c r="E293" t="s">
        <v>333</v>
      </c>
    </row>
    <row r="294" spans="1:5" x14ac:dyDescent="0.25">
      <c r="A294">
        <v>291</v>
      </c>
      <c r="B294" t="s">
        <v>346</v>
      </c>
      <c r="C294">
        <v>308464</v>
      </c>
      <c r="E294" t="s">
        <v>333</v>
      </c>
    </row>
    <row r="295" spans="1:5" x14ac:dyDescent="0.25">
      <c r="A295">
        <v>292</v>
      </c>
      <c r="B295" t="s">
        <v>347</v>
      </c>
      <c r="C295">
        <v>199346</v>
      </c>
      <c r="E295" t="s">
        <v>333</v>
      </c>
    </row>
    <row r="296" spans="1:5" x14ac:dyDescent="0.25">
      <c r="A296">
        <v>293</v>
      </c>
      <c r="B296" t="s">
        <v>348</v>
      </c>
      <c r="C296">
        <v>157624</v>
      </c>
      <c r="E296" t="s">
        <v>333</v>
      </c>
    </row>
    <row r="297" spans="1:5" x14ac:dyDescent="0.25">
      <c r="A297">
        <v>294</v>
      </c>
      <c r="B297" t="s">
        <v>349</v>
      </c>
      <c r="C297">
        <v>149847</v>
      </c>
      <c r="E297" t="s">
        <v>333</v>
      </c>
    </row>
    <row r="298" spans="1:5" x14ac:dyDescent="0.25">
      <c r="A298">
        <v>295</v>
      </c>
      <c r="B298" t="s">
        <v>350</v>
      </c>
      <c r="C298">
        <v>181336</v>
      </c>
      <c r="E298" t="s">
        <v>333</v>
      </c>
    </row>
    <row r="299" spans="1:5" x14ac:dyDescent="0.25">
      <c r="A299">
        <v>296</v>
      </c>
      <c r="B299" t="s">
        <v>351</v>
      </c>
      <c r="C299">
        <v>668146</v>
      </c>
      <c r="E299" t="s">
        <v>333</v>
      </c>
    </row>
    <row r="300" spans="1:5" x14ac:dyDescent="0.25">
      <c r="A300">
        <v>297</v>
      </c>
      <c r="B300" t="s">
        <v>352</v>
      </c>
      <c r="C300">
        <v>76386</v>
      </c>
      <c r="E300" t="s">
        <v>333</v>
      </c>
    </row>
    <row r="301" spans="1:5" x14ac:dyDescent="0.25">
      <c r="A301">
        <v>298</v>
      </c>
      <c r="B301" t="s">
        <v>353</v>
      </c>
      <c r="C301">
        <v>34486</v>
      </c>
      <c r="E301" t="s">
        <v>333</v>
      </c>
    </row>
    <row r="302" spans="1:5" x14ac:dyDescent="0.25">
      <c r="A302">
        <v>299</v>
      </c>
      <c r="B302" t="s">
        <v>354</v>
      </c>
      <c r="C302">
        <v>51007</v>
      </c>
      <c r="E302" t="s">
        <v>333</v>
      </c>
    </row>
    <row r="303" spans="1:5" x14ac:dyDescent="0.25">
      <c r="A303">
        <v>300</v>
      </c>
      <c r="B303" t="s">
        <v>355</v>
      </c>
      <c r="C303">
        <v>104696</v>
      </c>
      <c r="E303" t="s">
        <v>333</v>
      </c>
    </row>
    <row r="304" spans="1:5" x14ac:dyDescent="0.25">
      <c r="A304">
        <v>301</v>
      </c>
      <c r="B304" t="s">
        <v>356</v>
      </c>
      <c r="C304">
        <v>329276</v>
      </c>
      <c r="E304" t="s">
        <v>357</v>
      </c>
    </row>
    <row r="305" spans="1:5" x14ac:dyDescent="0.25">
      <c r="A305">
        <v>302</v>
      </c>
      <c r="B305" t="s">
        <v>358</v>
      </c>
      <c r="C305">
        <v>92458</v>
      </c>
      <c r="E305" t="s">
        <v>359</v>
      </c>
    </row>
    <row r="306" spans="1:5" x14ac:dyDescent="0.25">
      <c r="A306">
        <v>303</v>
      </c>
      <c r="B306" t="s">
        <v>360</v>
      </c>
      <c r="C306">
        <v>77558</v>
      </c>
      <c r="E306" t="s">
        <v>361</v>
      </c>
    </row>
    <row r="307" spans="1:5" x14ac:dyDescent="0.25">
      <c r="A307">
        <v>304</v>
      </c>
      <c r="B307" t="s">
        <v>362</v>
      </c>
      <c r="C307">
        <v>526947</v>
      </c>
      <c r="E307" t="s">
        <v>359</v>
      </c>
    </row>
    <row r="308" spans="1:5" x14ac:dyDescent="0.25">
      <c r="A308">
        <v>305</v>
      </c>
      <c r="B308" t="s">
        <v>363</v>
      </c>
      <c r="C308">
        <v>178213</v>
      </c>
      <c r="E308" t="s">
        <v>359</v>
      </c>
    </row>
    <row r="309" spans="1:5" x14ac:dyDescent="0.25">
      <c r="A309">
        <v>306</v>
      </c>
      <c r="B309" t="s">
        <v>364</v>
      </c>
      <c r="C309">
        <v>73211</v>
      </c>
      <c r="E309" t="s">
        <v>64</v>
      </c>
    </row>
    <row r="310" spans="1:5" x14ac:dyDescent="0.25">
      <c r="A310">
        <v>307</v>
      </c>
      <c r="B310" t="s">
        <v>365</v>
      </c>
      <c r="C310">
        <v>200945</v>
      </c>
      <c r="E310" t="s">
        <v>366</v>
      </c>
    </row>
    <row r="311" spans="1:5" x14ac:dyDescent="0.25">
      <c r="A311">
        <v>308</v>
      </c>
      <c r="B311" t="s">
        <v>367</v>
      </c>
      <c r="C311">
        <v>153965</v>
      </c>
      <c r="E311" t="s">
        <v>368</v>
      </c>
    </row>
    <row r="312" spans="1:5" x14ac:dyDescent="0.25">
      <c r="A312">
        <v>309</v>
      </c>
      <c r="B312" t="s">
        <v>369</v>
      </c>
      <c r="C312">
        <v>188619</v>
      </c>
      <c r="E312" t="s">
        <v>366</v>
      </c>
    </row>
    <row r="313" spans="1:5" x14ac:dyDescent="0.25">
      <c r="A313">
        <v>310</v>
      </c>
      <c r="B313" t="s">
        <v>370</v>
      </c>
      <c r="C313">
        <v>23066</v>
      </c>
      <c r="E313" t="s">
        <v>371</v>
      </c>
    </row>
    <row r="314" spans="1:5" x14ac:dyDescent="0.25">
      <c r="A314">
        <v>311</v>
      </c>
      <c r="B314" t="s">
        <v>372</v>
      </c>
      <c r="C314">
        <v>29260</v>
      </c>
      <c r="E314" t="s">
        <v>371</v>
      </c>
    </row>
    <row r="315" spans="1:5" x14ac:dyDescent="0.25">
      <c r="A315">
        <v>312</v>
      </c>
      <c r="B315" t="s">
        <v>373</v>
      </c>
      <c r="C315">
        <v>40219</v>
      </c>
      <c r="E315" t="s">
        <v>371</v>
      </c>
    </row>
    <row r="316" spans="1:5" x14ac:dyDescent="0.25">
      <c r="A316">
        <v>313</v>
      </c>
      <c r="B316" t="s">
        <v>374</v>
      </c>
      <c r="C316">
        <v>9634</v>
      </c>
      <c r="E316" t="s">
        <v>371</v>
      </c>
    </row>
    <row r="317" spans="1:5" x14ac:dyDescent="0.25">
      <c r="A317">
        <v>314</v>
      </c>
      <c r="B317" t="s">
        <v>375</v>
      </c>
      <c r="C317">
        <v>549438</v>
      </c>
      <c r="E317" t="s">
        <v>371</v>
      </c>
    </row>
    <row r="318" spans="1:5" x14ac:dyDescent="0.25">
      <c r="A318">
        <v>315</v>
      </c>
      <c r="B318" t="s">
        <v>376</v>
      </c>
      <c r="C318">
        <v>175273</v>
      </c>
      <c r="E318" t="s">
        <v>371</v>
      </c>
    </row>
    <row r="319" spans="1:5" x14ac:dyDescent="0.25">
      <c r="A319">
        <v>316</v>
      </c>
      <c r="B319" t="s">
        <v>377</v>
      </c>
      <c r="C319">
        <v>31711</v>
      </c>
      <c r="E319" t="s">
        <v>371</v>
      </c>
    </row>
    <row r="320" spans="1:5" x14ac:dyDescent="0.25">
      <c r="A320">
        <v>317</v>
      </c>
      <c r="B320" t="s">
        <v>378</v>
      </c>
      <c r="C320">
        <v>121492</v>
      </c>
      <c r="E320" t="s">
        <v>371</v>
      </c>
    </row>
    <row r="321" spans="1:5" x14ac:dyDescent="0.25">
      <c r="A321">
        <v>318</v>
      </c>
      <c r="B321" t="s">
        <v>379</v>
      </c>
      <c r="C321">
        <v>110342</v>
      </c>
      <c r="E321" t="s">
        <v>371</v>
      </c>
    </row>
    <row r="322" spans="1:5" x14ac:dyDescent="0.25">
      <c r="A322">
        <v>319</v>
      </c>
      <c r="B322" t="s">
        <v>380</v>
      </c>
      <c r="C322">
        <v>327995</v>
      </c>
      <c r="E322" t="s">
        <v>381</v>
      </c>
    </row>
    <row r="323" spans="1:5" x14ac:dyDescent="0.25">
      <c r="A323">
        <v>320</v>
      </c>
      <c r="B323" t="s">
        <v>382</v>
      </c>
      <c r="C323">
        <v>320702</v>
      </c>
      <c r="E323" t="s">
        <v>381</v>
      </c>
    </row>
    <row r="324" spans="1:5" x14ac:dyDescent="0.25">
      <c r="A324">
        <v>321</v>
      </c>
      <c r="B324" t="s">
        <v>383</v>
      </c>
      <c r="C324">
        <v>58032</v>
      </c>
      <c r="E324" t="s">
        <v>381</v>
      </c>
    </row>
    <row r="325" spans="1:5" x14ac:dyDescent="0.25">
      <c r="A325">
        <v>322</v>
      </c>
      <c r="B325" t="s">
        <v>384</v>
      </c>
      <c r="C325">
        <v>425922</v>
      </c>
      <c r="E325" t="s">
        <v>385</v>
      </c>
    </row>
    <row r="326" spans="1:5" x14ac:dyDescent="0.25">
      <c r="A326">
        <v>323</v>
      </c>
      <c r="B326" t="s">
        <v>386</v>
      </c>
      <c r="C326">
        <v>449536</v>
      </c>
      <c r="E326" t="s">
        <v>385</v>
      </c>
    </row>
    <row r="327" spans="1:5" x14ac:dyDescent="0.25">
      <c r="A327">
        <v>324</v>
      </c>
      <c r="B327" t="s">
        <v>387</v>
      </c>
      <c r="C327">
        <v>14595</v>
      </c>
      <c r="E327" t="s">
        <v>385</v>
      </c>
    </row>
    <row r="328" spans="1:5" x14ac:dyDescent="0.25">
      <c r="A328">
        <v>325</v>
      </c>
      <c r="B328" t="s">
        <v>388</v>
      </c>
      <c r="C328">
        <v>415849</v>
      </c>
      <c r="E328" t="s">
        <v>389</v>
      </c>
    </row>
    <row r="329" spans="1:5" x14ac:dyDescent="0.25">
      <c r="A329">
        <v>326</v>
      </c>
      <c r="B329" t="s">
        <v>390</v>
      </c>
      <c r="C329">
        <v>1008046</v>
      </c>
      <c r="E329" t="s">
        <v>389</v>
      </c>
    </row>
    <row r="330" spans="1:5" x14ac:dyDescent="0.25">
      <c r="A330">
        <v>327</v>
      </c>
      <c r="B330" t="s">
        <v>391</v>
      </c>
      <c r="C330">
        <v>577488</v>
      </c>
      <c r="E330" t="s">
        <v>389</v>
      </c>
    </row>
    <row r="331" spans="1:5" x14ac:dyDescent="0.25">
      <c r="A331">
        <v>328</v>
      </c>
      <c r="B331" t="s">
        <v>392</v>
      </c>
      <c r="C331">
        <v>355168</v>
      </c>
      <c r="E331" t="s">
        <v>389</v>
      </c>
    </row>
    <row r="332" spans="1:5" x14ac:dyDescent="0.25">
      <c r="A332">
        <v>329</v>
      </c>
      <c r="B332" t="s">
        <v>393</v>
      </c>
      <c r="C332">
        <v>126350</v>
      </c>
      <c r="E332" t="s">
        <v>389</v>
      </c>
    </row>
    <row r="333" spans="1:5" x14ac:dyDescent="0.25">
      <c r="A333">
        <v>330</v>
      </c>
      <c r="B333" t="s">
        <v>394</v>
      </c>
      <c r="C333">
        <v>800638</v>
      </c>
      <c r="E333" t="s">
        <v>389</v>
      </c>
    </row>
    <row r="334" spans="1:5" x14ac:dyDescent="0.25">
      <c r="A334">
        <v>331</v>
      </c>
      <c r="B334" t="s">
        <v>395</v>
      </c>
      <c r="C334">
        <v>609011</v>
      </c>
      <c r="E334" t="s">
        <v>389</v>
      </c>
    </row>
    <row r="335" spans="1:5" x14ac:dyDescent="0.25">
      <c r="A335">
        <v>332</v>
      </c>
      <c r="B335" t="s">
        <v>396</v>
      </c>
      <c r="C335">
        <v>264739</v>
      </c>
      <c r="E335" t="s">
        <v>389</v>
      </c>
    </row>
    <row r="336" spans="1:5" x14ac:dyDescent="0.25">
      <c r="A336">
        <v>333</v>
      </c>
      <c r="B336" t="s">
        <v>397</v>
      </c>
      <c r="C336">
        <v>2402445</v>
      </c>
      <c r="E336" t="s">
        <v>398</v>
      </c>
    </row>
    <row r="337" spans="1:5" x14ac:dyDescent="0.25">
      <c r="A337">
        <v>334</v>
      </c>
      <c r="B337" t="s">
        <v>399</v>
      </c>
      <c r="C337">
        <v>761290</v>
      </c>
      <c r="E337" t="s">
        <v>398</v>
      </c>
    </row>
    <row r="338" spans="1:5" x14ac:dyDescent="0.25">
      <c r="A338">
        <v>335</v>
      </c>
      <c r="B338" t="s">
        <v>400</v>
      </c>
      <c r="C338">
        <v>2046947</v>
      </c>
      <c r="E338" t="s">
        <v>398</v>
      </c>
    </row>
    <row r="339" spans="1:5" x14ac:dyDescent="0.25">
      <c r="A339">
        <v>336</v>
      </c>
      <c r="B339" t="s">
        <v>401</v>
      </c>
      <c r="C339">
        <v>101557</v>
      </c>
      <c r="E339" t="s">
        <v>398</v>
      </c>
    </row>
    <row r="340" spans="1:5" x14ac:dyDescent="0.25">
      <c r="A340">
        <v>337</v>
      </c>
      <c r="B340" t="s">
        <v>402</v>
      </c>
      <c r="C340">
        <v>141457</v>
      </c>
      <c r="E340" t="s">
        <v>398</v>
      </c>
    </row>
    <row r="341" spans="1:5" x14ac:dyDescent="0.25">
      <c r="A341">
        <v>338</v>
      </c>
      <c r="B341" t="s">
        <v>403</v>
      </c>
      <c r="C341">
        <v>38280</v>
      </c>
      <c r="E341" t="s">
        <v>398</v>
      </c>
    </row>
    <row r="342" spans="1:5" x14ac:dyDescent="0.25">
      <c r="A342">
        <v>339</v>
      </c>
      <c r="B342" t="s">
        <v>404</v>
      </c>
      <c r="C342">
        <v>389050</v>
      </c>
      <c r="E342" t="s">
        <v>398</v>
      </c>
    </row>
    <row r="343" spans="1:5" x14ac:dyDescent="0.25">
      <c r="A343">
        <v>340</v>
      </c>
      <c r="B343" t="s">
        <v>405</v>
      </c>
      <c r="C343">
        <v>482885</v>
      </c>
      <c r="E343" t="s">
        <v>406</v>
      </c>
    </row>
    <row r="344" spans="1:5" x14ac:dyDescent="0.25">
      <c r="A344">
        <v>341</v>
      </c>
      <c r="B344" t="s">
        <v>407</v>
      </c>
      <c r="C344">
        <v>281141</v>
      </c>
      <c r="E344" t="s">
        <v>385</v>
      </c>
    </row>
    <row r="345" spans="1:5" x14ac:dyDescent="0.25">
      <c r="A345">
        <v>342</v>
      </c>
      <c r="B345" t="s">
        <v>408</v>
      </c>
      <c r="C345">
        <v>378412</v>
      </c>
      <c r="E345" t="s">
        <v>385</v>
      </c>
    </row>
    <row r="346" spans="1:5" x14ac:dyDescent="0.25">
      <c r="A346">
        <v>343</v>
      </c>
      <c r="B346" t="s">
        <v>409</v>
      </c>
      <c r="C346">
        <v>74688</v>
      </c>
      <c r="E346" t="s">
        <v>385</v>
      </c>
    </row>
    <row r="347" spans="1:5" x14ac:dyDescent="0.25">
      <c r="A347">
        <v>344</v>
      </c>
      <c r="B347" t="s">
        <v>410</v>
      </c>
      <c r="C347">
        <v>243033</v>
      </c>
      <c r="E347" t="s">
        <v>406</v>
      </c>
    </row>
    <row r="348" spans="1:5" x14ac:dyDescent="0.25">
      <c r="A348">
        <v>345</v>
      </c>
      <c r="B348" t="s">
        <v>411</v>
      </c>
      <c r="C348">
        <v>502889</v>
      </c>
      <c r="E348" t="s">
        <v>406</v>
      </c>
    </row>
    <row r="349" spans="1:5" x14ac:dyDescent="0.25">
      <c r="A349">
        <v>346</v>
      </c>
      <c r="B349" t="s">
        <v>412</v>
      </c>
      <c r="C349">
        <v>411001</v>
      </c>
      <c r="E349" t="s">
        <v>406</v>
      </c>
    </row>
    <row r="350" spans="1:5" x14ac:dyDescent="0.25">
      <c r="A350">
        <v>347</v>
      </c>
      <c r="B350" t="s">
        <v>413</v>
      </c>
      <c r="C350">
        <v>90414</v>
      </c>
      <c r="E350" t="s">
        <v>406</v>
      </c>
    </row>
    <row r="351" spans="1:5" x14ac:dyDescent="0.25">
      <c r="A351">
        <v>348</v>
      </c>
      <c r="B351" t="s">
        <v>414</v>
      </c>
      <c r="C351">
        <v>484104</v>
      </c>
      <c r="E351" t="s">
        <v>406</v>
      </c>
    </row>
    <row r="352" spans="1:5" x14ac:dyDescent="0.25">
      <c r="A352">
        <v>349</v>
      </c>
      <c r="B352" t="s">
        <v>415</v>
      </c>
      <c r="C352">
        <v>220452</v>
      </c>
      <c r="E352" t="s">
        <v>406</v>
      </c>
    </row>
    <row r="353" spans="1:5" x14ac:dyDescent="0.25">
      <c r="A353">
        <v>350</v>
      </c>
      <c r="B353" t="s">
        <v>416</v>
      </c>
      <c r="C353">
        <v>60874</v>
      </c>
      <c r="E353" t="s">
        <v>406</v>
      </c>
    </row>
    <row r="354" spans="1:5" x14ac:dyDescent="0.25">
      <c r="A354">
        <v>351</v>
      </c>
      <c r="B354" t="s">
        <v>417</v>
      </c>
      <c r="C354">
        <v>20000</v>
      </c>
      <c r="E354" t="s">
        <v>406</v>
      </c>
    </row>
    <row r="355" spans="1:5" x14ac:dyDescent="0.25">
      <c r="A355">
        <v>352</v>
      </c>
      <c r="B355" t="s">
        <v>418</v>
      </c>
      <c r="C355">
        <v>76582</v>
      </c>
      <c r="E355" t="s">
        <v>406</v>
      </c>
    </row>
    <row r="356" spans="1:5" x14ac:dyDescent="0.25">
      <c r="A356">
        <v>353</v>
      </c>
      <c r="B356" t="s">
        <v>419</v>
      </c>
      <c r="C356">
        <v>163023</v>
      </c>
      <c r="E356" t="s">
        <v>406</v>
      </c>
    </row>
    <row r="357" spans="1:5" x14ac:dyDescent="0.25">
      <c r="A357">
        <v>354</v>
      </c>
      <c r="B357" t="s">
        <v>420</v>
      </c>
      <c r="C357">
        <v>857963</v>
      </c>
      <c r="E357" t="s">
        <v>406</v>
      </c>
    </row>
    <row r="358" spans="1:5" x14ac:dyDescent="0.25">
      <c r="A358">
        <v>355</v>
      </c>
      <c r="B358" t="s">
        <v>421</v>
      </c>
      <c r="C358">
        <v>454789</v>
      </c>
      <c r="E358" t="s">
        <v>422</v>
      </c>
    </row>
    <row r="359" spans="1:5" x14ac:dyDescent="0.25">
      <c r="A359">
        <v>356</v>
      </c>
      <c r="B359" t="s">
        <v>423</v>
      </c>
      <c r="C359">
        <v>357845</v>
      </c>
      <c r="E359" t="s">
        <v>422</v>
      </c>
    </row>
    <row r="360" spans="1:5" x14ac:dyDescent="0.25">
      <c r="A360">
        <v>357</v>
      </c>
      <c r="B360" t="s">
        <v>424</v>
      </c>
      <c r="C360">
        <v>109702</v>
      </c>
      <c r="E360" t="s">
        <v>422</v>
      </c>
    </row>
    <row r="361" spans="1:5" x14ac:dyDescent="0.25">
      <c r="A361">
        <v>358</v>
      </c>
      <c r="B361" t="s">
        <v>425</v>
      </c>
      <c r="C361">
        <v>37068</v>
      </c>
      <c r="E361" t="s">
        <v>422</v>
      </c>
    </row>
    <row r="362" spans="1:5" x14ac:dyDescent="0.25">
      <c r="A362">
        <v>359</v>
      </c>
      <c r="B362" t="s">
        <v>426</v>
      </c>
      <c r="C362">
        <v>99658</v>
      </c>
      <c r="E362" t="s">
        <v>422</v>
      </c>
    </row>
    <row r="363" spans="1:5" x14ac:dyDescent="0.25">
      <c r="A363">
        <v>360</v>
      </c>
      <c r="B363" t="s">
        <v>427</v>
      </c>
      <c r="C363">
        <v>95287</v>
      </c>
      <c r="E363" t="s">
        <v>422</v>
      </c>
    </row>
    <row r="364" spans="1:5" x14ac:dyDescent="0.25">
      <c r="A364">
        <v>361</v>
      </c>
      <c r="B364" t="s">
        <v>428</v>
      </c>
      <c r="C364">
        <v>86455</v>
      </c>
      <c r="E364" t="s">
        <v>422</v>
      </c>
    </row>
    <row r="365" spans="1:5" x14ac:dyDescent="0.25">
      <c r="A365">
        <v>362</v>
      </c>
      <c r="B365" t="s">
        <v>429</v>
      </c>
      <c r="C365">
        <v>96800</v>
      </c>
      <c r="E365" t="s">
        <v>422</v>
      </c>
    </row>
    <row r="366" spans="1:5" x14ac:dyDescent="0.25">
      <c r="A366">
        <v>363</v>
      </c>
      <c r="B366" t="s">
        <v>430</v>
      </c>
      <c r="C366">
        <v>177538</v>
      </c>
      <c r="E366" t="s">
        <v>66</v>
      </c>
    </row>
    <row r="367" spans="1:5" x14ac:dyDescent="0.25">
      <c r="A367">
        <v>364</v>
      </c>
      <c r="B367" t="s">
        <v>431</v>
      </c>
      <c r="C367">
        <v>70755</v>
      </c>
      <c r="E367" t="s">
        <v>432</v>
      </c>
    </row>
    <row r="368" spans="1:5" x14ac:dyDescent="0.25">
      <c r="A368">
        <v>365</v>
      </c>
      <c r="B368" t="s">
        <v>433</v>
      </c>
      <c r="C368">
        <v>290574</v>
      </c>
      <c r="E368" t="s">
        <v>432</v>
      </c>
    </row>
    <row r="369" spans="1:5" x14ac:dyDescent="0.25">
      <c r="A369">
        <v>366</v>
      </c>
      <c r="B369" t="s">
        <v>434</v>
      </c>
      <c r="C369">
        <v>134428</v>
      </c>
      <c r="E369" t="s">
        <v>432</v>
      </c>
    </row>
    <row r="370" spans="1:5" x14ac:dyDescent="0.25">
      <c r="A370">
        <v>367</v>
      </c>
      <c r="B370" t="s">
        <v>435</v>
      </c>
      <c r="C370">
        <v>709535</v>
      </c>
      <c r="E370" t="s">
        <v>436</v>
      </c>
    </row>
    <row r="371" spans="1:5" x14ac:dyDescent="0.25">
      <c r="A371">
        <v>368</v>
      </c>
      <c r="B371" t="s">
        <v>437</v>
      </c>
      <c r="C371">
        <v>186253</v>
      </c>
      <c r="E371" t="s">
        <v>436</v>
      </c>
    </row>
    <row r="372" spans="1:5" x14ac:dyDescent="0.25">
      <c r="A372">
        <v>369</v>
      </c>
      <c r="B372" t="s">
        <v>438</v>
      </c>
      <c r="C372">
        <v>189447</v>
      </c>
      <c r="E372" t="s">
        <v>436</v>
      </c>
    </row>
    <row r="373" spans="1:5" x14ac:dyDescent="0.25">
      <c r="A373">
        <v>370</v>
      </c>
      <c r="B373" t="s">
        <v>439</v>
      </c>
      <c r="C373">
        <v>255195</v>
      </c>
      <c r="E373" t="s">
        <v>436</v>
      </c>
    </row>
    <row r="374" spans="1:5" x14ac:dyDescent="0.25">
      <c r="A374">
        <v>371</v>
      </c>
      <c r="B374" t="s">
        <v>440</v>
      </c>
      <c r="C374">
        <v>74455</v>
      </c>
      <c r="E374" t="s">
        <v>436</v>
      </c>
    </row>
    <row r="375" spans="1:5" x14ac:dyDescent="0.25">
      <c r="A375">
        <v>372</v>
      </c>
      <c r="B375" t="s">
        <v>441</v>
      </c>
      <c r="C375">
        <v>152470</v>
      </c>
      <c r="E375" t="s">
        <v>436</v>
      </c>
    </row>
    <row r="376" spans="1:5" x14ac:dyDescent="0.25">
      <c r="A376">
        <v>373</v>
      </c>
      <c r="B376" t="s">
        <v>442</v>
      </c>
      <c r="C376">
        <v>58595</v>
      </c>
      <c r="E376" t="s">
        <v>436</v>
      </c>
    </row>
    <row r="377" spans="1:5" x14ac:dyDescent="0.25">
      <c r="A377">
        <v>374</v>
      </c>
      <c r="B377" t="s">
        <v>443</v>
      </c>
      <c r="C377">
        <v>1260793</v>
      </c>
      <c r="E377" t="s">
        <v>436</v>
      </c>
    </row>
    <row r="378" spans="1:5" x14ac:dyDescent="0.25">
      <c r="A378">
        <v>375</v>
      </c>
      <c r="B378" t="s">
        <v>444</v>
      </c>
      <c r="C378">
        <v>265155</v>
      </c>
      <c r="E378" t="s">
        <v>436</v>
      </c>
    </row>
    <row r="379" spans="1:5" x14ac:dyDescent="0.25">
      <c r="A379">
        <v>376</v>
      </c>
      <c r="B379" t="s">
        <v>445</v>
      </c>
      <c r="C379">
        <v>81862</v>
      </c>
      <c r="E379" t="s">
        <v>436</v>
      </c>
    </row>
    <row r="380" spans="1:5" x14ac:dyDescent="0.25">
      <c r="A380">
        <v>377</v>
      </c>
      <c r="B380" t="s">
        <v>446</v>
      </c>
      <c r="C380">
        <v>197760</v>
      </c>
      <c r="E380" t="s">
        <v>436</v>
      </c>
    </row>
    <row r="381" spans="1:5" x14ac:dyDescent="0.25">
      <c r="A381">
        <v>378</v>
      </c>
      <c r="B381" t="s">
        <v>447</v>
      </c>
      <c r="C381">
        <v>84581</v>
      </c>
      <c r="E381" t="s">
        <v>436</v>
      </c>
    </row>
    <row r="382" spans="1:5" x14ac:dyDescent="0.25">
      <c r="A382">
        <v>379</v>
      </c>
      <c r="B382" t="s">
        <v>448</v>
      </c>
      <c r="C382">
        <v>72091</v>
      </c>
      <c r="E382" t="s">
        <v>436</v>
      </c>
    </row>
    <row r="383" spans="1:5" x14ac:dyDescent="0.25">
      <c r="A383">
        <v>380</v>
      </c>
      <c r="B383" t="s">
        <v>449</v>
      </c>
      <c r="C383">
        <v>39438</v>
      </c>
      <c r="E383" t="s">
        <v>450</v>
      </c>
    </row>
    <row r="384" spans="1:5" x14ac:dyDescent="0.25">
      <c r="A384">
        <v>381</v>
      </c>
      <c r="B384" t="s">
        <v>451</v>
      </c>
      <c r="C384">
        <v>72032</v>
      </c>
      <c r="E384" t="s">
        <v>450</v>
      </c>
    </row>
    <row r="385" spans="1:5" x14ac:dyDescent="0.25">
      <c r="A385">
        <v>382</v>
      </c>
      <c r="B385" t="s">
        <v>452</v>
      </c>
      <c r="C385">
        <v>80522</v>
      </c>
      <c r="E385" t="s">
        <v>450</v>
      </c>
    </row>
    <row r="386" spans="1:5" x14ac:dyDescent="0.25">
      <c r="A386">
        <v>383</v>
      </c>
      <c r="B386" t="s">
        <v>453</v>
      </c>
      <c r="C386">
        <v>98282</v>
      </c>
      <c r="E386" t="s">
        <v>450</v>
      </c>
    </row>
    <row r="387" spans="1:5" x14ac:dyDescent="0.25">
      <c r="A387">
        <v>384</v>
      </c>
      <c r="B387" t="s">
        <v>454</v>
      </c>
      <c r="C387">
        <v>29328</v>
      </c>
      <c r="E387" t="s">
        <v>450</v>
      </c>
    </row>
    <row r="388" spans="1:5" x14ac:dyDescent="0.25">
      <c r="A388">
        <v>385</v>
      </c>
      <c r="B388" t="s">
        <v>455</v>
      </c>
      <c r="C388">
        <v>38539</v>
      </c>
      <c r="E388" t="s">
        <v>450</v>
      </c>
    </row>
    <row r="389" spans="1:5" x14ac:dyDescent="0.25">
      <c r="A389">
        <v>386</v>
      </c>
      <c r="B389" t="s">
        <v>456</v>
      </c>
      <c r="C389">
        <v>58161</v>
      </c>
      <c r="E389" t="s">
        <v>450</v>
      </c>
    </row>
    <row r="390" spans="1:5" x14ac:dyDescent="0.25">
      <c r="A390">
        <v>387</v>
      </c>
      <c r="B390" t="s">
        <v>457</v>
      </c>
      <c r="C390">
        <v>154520</v>
      </c>
      <c r="E390" t="s">
        <v>450</v>
      </c>
    </row>
    <row r="391" spans="1:5" x14ac:dyDescent="0.25">
      <c r="A391">
        <v>388</v>
      </c>
      <c r="B391" t="s">
        <v>458</v>
      </c>
      <c r="C391">
        <v>384400</v>
      </c>
      <c r="E391" t="s">
        <v>459</v>
      </c>
    </row>
    <row r="392" spans="1:5" x14ac:dyDescent="0.25">
      <c r="A392">
        <v>389</v>
      </c>
      <c r="B392" t="s">
        <v>460</v>
      </c>
      <c r="C392">
        <v>610266</v>
      </c>
      <c r="E392" t="s">
        <v>459</v>
      </c>
    </row>
    <row r="393" spans="1:5" x14ac:dyDescent="0.25">
      <c r="A393">
        <v>390</v>
      </c>
      <c r="B393" t="s">
        <v>461</v>
      </c>
      <c r="C393">
        <v>577136</v>
      </c>
      <c r="E393" t="s">
        <v>459</v>
      </c>
    </row>
    <row r="394" spans="1:5" x14ac:dyDescent="0.25">
      <c r="A394">
        <v>391</v>
      </c>
      <c r="B394" t="s">
        <v>462</v>
      </c>
      <c r="C394">
        <v>174570</v>
      </c>
      <c r="E394" t="s">
        <v>459</v>
      </c>
    </row>
    <row r="395" spans="1:5" x14ac:dyDescent="0.25">
      <c r="A395">
        <v>392</v>
      </c>
      <c r="B395" t="s">
        <v>463</v>
      </c>
      <c r="C395">
        <v>222830</v>
      </c>
      <c r="E395" t="s">
        <v>333</v>
      </c>
    </row>
    <row r="396" spans="1:5" x14ac:dyDescent="0.25">
      <c r="A396">
        <v>393</v>
      </c>
      <c r="B396" t="s">
        <v>464</v>
      </c>
      <c r="C396">
        <v>26448</v>
      </c>
      <c r="E396" t="s">
        <v>465</v>
      </c>
    </row>
    <row r="397" spans="1:5" x14ac:dyDescent="0.25">
      <c r="A397">
        <v>394</v>
      </c>
      <c r="B397" t="s">
        <v>466</v>
      </c>
      <c r="C397">
        <v>62196</v>
      </c>
      <c r="E397" t="s">
        <v>226</v>
      </c>
    </row>
    <row r="398" spans="1:5" x14ac:dyDescent="0.25">
      <c r="A398">
        <v>395</v>
      </c>
      <c r="B398" t="s">
        <v>467</v>
      </c>
      <c r="C398">
        <v>39064</v>
      </c>
      <c r="E398" t="s">
        <v>465</v>
      </c>
    </row>
    <row r="399" spans="1:5" x14ac:dyDescent="0.25">
      <c r="A399">
        <v>396</v>
      </c>
      <c r="B399" t="s">
        <v>468</v>
      </c>
      <c r="C399">
        <v>124412</v>
      </c>
      <c r="E399" t="s">
        <v>465</v>
      </c>
    </row>
    <row r="400" spans="1:5" x14ac:dyDescent="0.25">
      <c r="A400">
        <v>397</v>
      </c>
      <c r="B400" t="s">
        <v>469</v>
      </c>
      <c r="C400">
        <v>26472</v>
      </c>
      <c r="E400" t="s">
        <v>465</v>
      </c>
    </row>
    <row r="401" spans="1:5" x14ac:dyDescent="0.25">
      <c r="A401">
        <v>398</v>
      </c>
      <c r="B401" t="s">
        <v>470</v>
      </c>
      <c r="C401">
        <v>40354</v>
      </c>
      <c r="E401" t="s">
        <v>465</v>
      </c>
    </row>
    <row r="402" spans="1:5" x14ac:dyDescent="0.25">
      <c r="A402">
        <v>399</v>
      </c>
      <c r="B402" t="s">
        <v>471</v>
      </c>
      <c r="C402">
        <v>139743</v>
      </c>
      <c r="E402" t="s">
        <v>465</v>
      </c>
    </row>
    <row r="403" spans="1:5" x14ac:dyDescent="0.25">
      <c r="A403">
        <v>400</v>
      </c>
      <c r="B403" t="s">
        <v>472</v>
      </c>
      <c r="C403">
        <v>118995</v>
      </c>
      <c r="E403" t="s">
        <v>465</v>
      </c>
    </row>
    <row r="404" spans="1:5" x14ac:dyDescent="0.25">
      <c r="A404">
        <v>401</v>
      </c>
      <c r="B404" t="s">
        <v>473</v>
      </c>
      <c r="C404">
        <v>102641</v>
      </c>
      <c r="E404" t="s">
        <v>465</v>
      </c>
    </row>
    <row r="405" spans="1:5" x14ac:dyDescent="0.25">
      <c r="A405">
        <v>402</v>
      </c>
      <c r="B405" t="s">
        <v>474</v>
      </c>
      <c r="C405">
        <v>164911</v>
      </c>
      <c r="E405" t="s">
        <v>465</v>
      </c>
    </row>
    <row r="406" spans="1:5" x14ac:dyDescent="0.25">
      <c r="A406">
        <v>403</v>
      </c>
      <c r="B406" t="s">
        <v>475</v>
      </c>
      <c r="C406">
        <v>27382</v>
      </c>
      <c r="E406" t="s">
        <v>476</v>
      </c>
    </row>
    <row r="407" spans="1:5" x14ac:dyDescent="0.25">
      <c r="A407">
        <v>404</v>
      </c>
      <c r="B407" t="s">
        <v>477</v>
      </c>
      <c r="C407">
        <v>891867</v>
      </c>
      <c r="E407" t="s">
        <v>478</v>
      </c>
    </row>
    <row r="408" spans="1:5" x14ac:dyDescent="0.25">
      <c r="A408">
        <v>405</v>
      </c>
      <c r="B408" t="s">
        <v>479</v>
      </c>
      <c r="C408">
        <v>629608</v>
      </c>
      <c r="E408" t="s">
        <v>478</v>
      </c>
    </row>
    <row r="409" spans="1:5" x14ac:dyDescent="0.25">
      <c r="A409">
        <v>406</v>
      </c>
      <c r="B409" t="s">
        <v>480</v>
      </c>
      <c r="C409">
        <v>81469</v>
      </c>
      <c r="E409" t="s">
        <v>478</v>
      </c>
    </row>
    <row r="410" spans="1:5" x14ac:dyDescent="0.25">
      <c r="A410">
        <v>407</v>
      </c>
      <c r="B410" t="s">
        <v>481</v>
      </c>
      <c r="C410">
        <v>18283</v>
      </c>
      <c r="E410" t="s">
        <v>478</v>
      </c>
    </row>
    <row r="411" spans="1:5" x14ac:dyDescent="0.25">
      <c r="A411">
        <v>408</v>
      </c>
      <c r="B411" t="s">
        <v>482</v>
      </c>
      <c r="C411">
        <v>10927</v>
      </c>
      <c r="E411" t="s">
        <v>478</v>
      </c>
    </row>
    <row r="412" spans="1:5" x14ac:dyDescent="0.25">
      <c r="A412">
        <v>409</v>
      </c>
      <c r="B412" t="s">
        <v>483</v>
      </c>
      <c r="C412">
        <v>1457648</v>
      </c>
      <c r="E412" t="s">
        <v>478</v>
      </c>
    </row>
    <row r="413" spans="1:5" x14ac:dyDescent="0.25">
      <c r="A413">
        <v>410</v>
      </c>
      <c r="B413" t="s">
        <v>484</v>
      </c>
      <c r="C413">
        <v>462628</v>
      </c>
      <c r="E413" t="s">
        <v>478</v>
      </c>
    </row>
    <row r="414" spans="1:5" x14ac:dyDescent="0.25">
      <c r="A414">
        <v>411</v>
      </c>
      <c r="B414" t="s">
        <v>485</v>
      </c>
      <c r="C414">
        <v>1376800</v>
      </c>
      <c r="E414" t="s">
        <v>478</v>
      </c>
    </row>
    <row r="415" spans="1:5" x14ac:dyDescent="0.25">
      <c r="A415">
        <v>412</v>
      </c>
      <c r="B415" t="s">
        <v>486</v>
      </c>
      <c r="C415">
        <v>14553</v>
      </c>
      <c r="E415" t="s">
        <v>478</v>
      </c>
    </row>
    <row r="416" spans="1:5" x14ac:dyDescent="0.25">
      <c r="A416">
        <v>413</v>
      </c>
      <c r="B416" t="s">
        <v>487</v>
      </c>
      <c r="C416">
        <v>85347</v>
      </c>
      <c r="E416" t="s">
        <v>478</v>
      </c>
    </row>
    <row r="417" spans="1:5" x14ac:dyDescent="0.25">
      <c r="A417">
        <v>414</v>
      </c>
      <c r="B417" t="s">
        <v>488</v>
      </c>
      <c r="C417">
        <v>398367</v>
      </c>
      <c r="E417" t="s">
        <v>478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489</v>
      </c>
    </row>
    <row r="2" spans="1:12" x14ac:dyDescent="0.25">
      <c r="A2" t="s">
        <v>490</v>
      </c>
      <c r="B2" t="s">
        <v>491</v>
      </c>
      <c r="C2" t="s">
        <v>492</v>
      </c>
      <c r="D2" t="s">
        <v>493</v>
      </c>
      <c r="E2" t="s">
        <v>494</v>
      </c>
      <c r="F2" t="s">
        <v>495</v>
      </c>
      <c r="G2" t="s">
        <v>496</v>
      </c>
      <c r="H2" t="s">
        <v>497</v>
      </c>
      <c r="I2" t="s">
        <v>498</v>
      </c>
      <c r="J2" t="s">
        <v>499</v>
      </c>
      <c r="K2" t="s">
        <v>500</v>
      </c>
      <c r="L2" s="5" t="s">
        <v>501</v>
      </c>
    </row>
    <row r="3" spans="1:12" x14ac:dyDescent="0.25">
      <c r="A3" t="s">
        <v>502</v>
      </c>
      <c r="B3" t="s">
        <v>503</v>
      </c>
      <c r="C3" t="s">
        <v>504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505</v>
      </c>
      <c r="B4" t="s">
        <v>506</v>
      </c>
      <c r="C4" t="s">
        <v>507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508</v>
      </c>
      <c r="J4" t="s">
        <v>508</v>
      </c>
      <c r="K4" t="s">
        <v>508</v>
      </c>
    </row>
    <row r="5" spans="1:12" x14ac:dyDescent="0.25">
      <c r="A5" t="s">
        <v>509</v>
      </c>
      <c r="B5" t="s">
        <v>510</v>
      </c>
      <c r="C5" t="s">
        <v>504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508</v>
      </c>
      <c r="J5" t="s">
        <v>508</v>
      </c>
      <c r="K5" t="s">
        <v>508</v>
      </c>
    </row>
    <row r="6" spans="1:12" x14ac:dyDescent="0.25">
      <c r="A6" t="s">
        <v>511</v>
      </c>
      <c r="B6" t="s">
        <v>512</v>
      </c>
      <c r="C6" t="s">
        <v>504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513</v>
      </c>
      <c r="B7" t="s">
        <v>514</v>
      </c>
      <c r="C7" t="s">
        <v>507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24</v>
      </c>
    </row>
    <row r="8" spans="1:12" x14ac:dyDescent="0.25">
      <c r="A8" t="s">
        <v>515</v>
      </c>
      <c r="B8" t="s">
        <v>516</v>
      </c>
      <c r="C8" t="s">
        <v>507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24</v>
      </c>
    </row>
    <row r="9" spans="1:12" x14ac:dyDescent="0.25">
      <c r="A9" t="s">
        <v>517</v>
      </c>
      <c r="B9" t="s">
        <v>518</v>
      </c>
      <c r="C9" t="s">
        <v>504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508</v>
      </c>
      <c r="J9" t="s">
        <v>508</v>
      </c>
      <c r="K9" t="s">
        <v>508</v>
      </c>
    </row>
    <row r="10" spans="1:12" x14ac:dyDescent="0.25">
      <c r="A10" t="s">
        <v>519</v>
      </c>
      <c r="B10" t="s">
        <v>520</v>
      </c>
      <c r="C10" t="s">
        <v>507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35</v>
      </c>
    </row>
    <row r="11" spans="1:12" x14ac:dyDescent="0.25">
      <c r="A11" t="s">
        <v>521</v>
      </c>
      <c r="B11" t="s">
        <v>522</v>
      </c>
      <c r="C11" t="s">
        <v>507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35</v>
      </c>
    </row>
    <row r="12" spans="1:12" x14ac:dyDescent="0.25">
      <c r="A12" t="s">
        <v>523</v>
      </c>
      <c r="B12" t="s">
        <v>524</v>
      </c>
      <c r="C12" t="s">
        <v>507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37</v>
      </c>
    </row>
    <row r="13" spans="1:12" x14ac:dyDescent="0.25">
      <c r="A13" t="s">
        <v>525</v>
      </c>
      <c r="B13" t="s">
        <v>526</v>
      </c>
      <c r="C13" t="s">
        <v>507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24</v>
      </c>
    </row>
    <row r="14" spans="1:12" x14ac:dyDescent="0.25">
      <c r="A14" t="s">
        <v>527</v>
      </c>
      <c r="B14" t="s">
        <v>528</v>
      </c>
      <c r="C14" t="s">
        <v>504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529</v>
      </c>
      <c r="B15" t="s">
        <v>530</v>
      </c>
      <c r="C15" t="s">
        <v>507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40</v>
      </c>
    </row>
    <row r="16" spans="1:12" x14ac:dyDescent="0.25">
      <c r="A16" t="s">
        <v>531</v>
      </c>
      <c r="B16" t="s">
        <v>532</v>
      </c>
      <c r="C16" t="s">
        <v>504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533</v>
      </c>
      <c r="B17" t="s">
        <v>534</v>
      </c>
      <c r="C17" t="s">
        <v>507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42</v>
      </c>
    </row>
    <row r="18" spans="1:12" x14ac:dyDescent="0.25">
      <c r="A18" t="s">
        <v>535</v>
      </c>
      <c r="B18" t="s">
        <v>536</v>
      </c>
      <c r="C18" t="s">
        <v>507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44</v>
      </c>
    </row>
    <row r="19" spans="1:12" x14ac:dyDescent="0.25">
      <c r="A19" t="s">
        <v>537</v>
      </c>
      <c r="B19" t="s">
        <v>538</v>
      </c>
      <c r="C19" t="s">
        <v>507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47</v>
      </c>
    </row>
    <row r="20" spans="1:12" x14ac:dyDescent="0.25">
      <c r="A20" t="s">
        <v>539</v>
      </c>
      <c r="B20" t="s">
        <v>540</v>
      </c>
      <c r="C20" t="s">
        <v>507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50</v>
      </c>
    </row>
    <row r="21" spans="1:12" x14ac:dyDescent="0.25">
      <c r="A21" t="s">
        <v>541</v>
      </c>
      <c r="B21" t="s">
        <v>542</v>
      </c>
      <c r="C21" t="s">
        <v>504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543</v>
      </c>
      <c r="B22" t="s">
        <v>544</v>
      </c>
      <c r="C22" t="s">
        <v>504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545</v>
      </c>
      <c r="B23" t="s">
        <v>546</v>
      </c>
      <c r="C23" t="s">
        <v>504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53</v>
      </c>
    </row>
    <row r="24" spans="1:12" x14ac:dyDescent="0.25">
      <c r="A24" t="s">
        <v>547</v>
      </c>
      <c r="B24" t="s">
        <v>548</v>
      </c>
      <c r="C24" t="s">
        <v>504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508</v>
      </c>
      <c r="J24" t="s">
        <v>508</v>
      </c>
      <c r="K24" t="s">
        <v>508</v>
      </c>
    </row>
    <row r="25" spans="1:12" x14ac:dyDescent="0.25">
      <c r="A25" t="s">
        <v>549</v>
      </c>
      <c r="B25" t="s">
        <v>550</v>
      </c>
      <c r="C25" t="s">
        <v>507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508</v>
      </c>
      <c r="J25" t="s">
        <v>508</v>
      </c>
      <c r="K25" t="s">
        <v>508</v>
      </c>
    </row>
    <row r="26" spans="1:12" x14ac:dyDescent="0.25">
      <c r="A26" t="s">
        <v>551</v>
      </c>
      <c r="B26" t="s">
        <v>552</v>
      </c>
      <c r="C26" t="s">
        <v>507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508</v>
      </c>
      <c r="J26" t="s">
        <v>508</v>
      </c>
      <c r="K26" t="s">
        <v>508</v>
      </c>
    </row>
    <row r="27" spans="1:12" x14ac:dyDescent="0.25">
      <c r="A27" t="s">
        <v>553</v>
      </c>
      <c r="B27" t="s">
        <v>554</v>
      </c>
      <c r="C27" t="s">
        <v>507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508</v>
      </c>
      <c r="J27" t="s">
        <v>508</v>
      </c>
      <c r="K27" t="s">
        <v>508</v>
      </c>
    </row>
    <row r="28" spans="1:12" x14ac:dyDescent="0.25">
      <c r="A28" t="s">
        <v>555</v>
      </c>
      <c r="B28" t="s">
        <v>556</v>
      </c>
      <c r="C28" t="s">
        <v>507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508</v>
      </c>
      <c r="J28" t="s">
        <v>508</v>
      </c>
      <c r="K28" t="s">
        <v>508</v>
      </c>
    </row>
    <row r="29" spans="1:12" x14ac:dyDescent="0.25">
      <c r="A29" t="s">
        <v>557</v>
      </c>
      <c r="B29" t="s">
        <v>558</v>
      </c>
      <c r="C29" t="s">
        <v>507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508</v>
      </c>
      <c r="J29" t="s">
        <v>508</v>
      </c>
      <c r="K29" t="s">
        <v>508</v>
      </c>
    </row>
    <row r="30" spans="1:12" x14ac:dyDescent="0.25">
      <c r="A30" t="s">
        <v>559</v>
      </c>
      <c r="B30" t="s">
        <v>560</v>
      </c>
      <c r="C30" t="s">
        <v>507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508</v>
      </c>
      <c r="J30" t="s">
        <v>508</v>
      </c>
      <c r="K30" t="s">
        <v>508</v>
      </c>
    </row>
    <row r="31" spans="1:12" x14ac:dyDescent="0.25">
      <c r="A31" t="s">
        <v>561</v>
      </c>
      <c r="B31" t="s">
        <v>562</v>
      </c>
      <c r="C31" t="s">
        <v>507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508</v>
      </c>
      <c r="J31" t="s">
        <v>508</v>
      </c>
      <c r="K31" t="s">
        <v>508</v>
      </c>
    </row>
    <row r="32" spans="1:12" x14ac:dyDescent="0.25">
      <c r="A32" t="s">
        <v>563</v>
      </c>
      <c r="B32" t="s">
        <v>564</v>
      </c>
      <c r="C32" t="s">
        <v>507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508</v>
      </c>
      <c r="J32" t="s">
        <v>508</v>
      </c>
      <c r="K32" t="s">
        <v>508</v>
      </c>
    </row>
    <row r="33" spans="1:12" x14ac:dyDescent="0.25">
      <c r="A33" t="s">
        <v>565</v>
      </c>
      <c r="B33" t="s">
        <v>566</v>
      </c>
      <c r="C33" t="s">
        <v>507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64</v>
      </c>
    </row>
    <row r="34" spans="1:12" x14ac:dyDescent="0.25">
      <c r="A34" t="s">
        <v>567</v>
      </c>
      <c r="B34" t="s">
        <v>568</v>
      </c>
      <c r="C34" t="s">
        <v>507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66</v>
      </c>
    </row>
    <row r="35" spans="1:12" x14ac:dyDescent="0.25">
      <c r="A35" t="s">
        <v>569</v>
      </c>
      <c r="B35" t="s">
        <v>570</v>
      </c>
      <c r="C35" t="s">
        <v>504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68</v>
      </c>
    </row>
    <row r="36" spans="1:12" x14ac:dyDescent="0.25">
      <c r="A36" t="s">
        <v>571</v>
      </c>
      <c r="B36" t="s">
        <v>572</v>
      </c>
      <c r="C36" t="s">
        <v>504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508</v>
      </c>
      <c r="J36" t="s">
        <v>508</v>
      </c>
      <c r="K36" t="s">
        <v>508</v>
      </c>
    </row>
    <row r="37" spans="1:12" x14ac:dyDescent="0.25">
      <c r="A37" t="s">
        <v>573</v>
      </c>
      <c r="B37" t="s">
        <v>574</v>
      </c>
      <c r="C37" t="s">
        <v>507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508</v>
      </c>
      <c r="J37" t="s">
        <v>508</v>
      </c>
      <c r="K37" t="s">
        <v>508</v>
      </c>
    </row>
    <row r="38" spans="1:12" x14ac:dyDescent="0.25">
      <c r="A38" t="s">
        <v>575</v>
      </c>
      <c r="B38" t="s">
        <v>576</v>
      </c>
      <c r="C38" t="s">
        <v>507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508</v>
      </c>
      <c r="J38" t="s">
        <v>508</v>
      </c>
      <c r="K38" t="s">
        <v>508</v>
      </c>
    </row>
    <row r="39" spans="1:12" x14ac:dyDescent="0.25">
      <c r="A39" t="s">
        <v>577</v>
      </c>
      <c r="B39" t="s">
        <v>578</v>
      </c>
      <c r="C39" t="s">
        <v>504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508</v>
      </c>
      <c r="J39" t="s">
        <v>508</v>
      </c>
      <c r="K39" t="s">
        <v>508</v>
      </c>
    </row>
    <row r="40" spans="1:12" x14ac:dyDescent="0.25">
      <c r="A40" t="s">
        <v>579</v>
      </c>
      <c r="B40" t="s">
        <v>580</v>
      </c>
      <c r="C40" t="s">
        <v>504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508</v>
      </c>
      <c r="J40" t="s">
        <v>508</v>
      </c>
      <c r="K40" t="s">
        <v>508</v>
      </c>
    </row>
    <row r="41" spans="1:12" x14ac:dyDescent="0.25">
      <c r="A41" t="s">
        <v>581</v>
      </c>
      <c r="B41" t="s">
        <v>582</v>
      </c>
      <c r="C41" t="s">
        <v>507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508</v>
      </c>
      <c r="J41" t="s">
        <v>508</v>
      </c>
      <c r="K41" t="s">
        <v>508</v>
      </c>
    </row>
    <row r="42" spans="1:12" x14ac:dyDescent="0.25">
      <c r="A42" t="s">
        <v>583</v>
      </c>
      <c r="B42" t="s">
        <v>584</v>
      </c>
      <c r="C42" t="s">
        <v>507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508</v>
      </c>
      <c r="J42" t="s">
        <v>508</v>
      </c>
      <c r="K42" t="s">
        <v>508</v>
      </c>
    </row>
    <row r="43" spans="1:12" x14ac:dyDescent="0.25">
      <c r="A43" t="s">
        <v>585</v>
      </c>
      <c r="B43" t="s">
        <v>586</v>
      </c>
      <c r="C43" t="s">
        <v>507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508</v>
      </c>
      <c r="J43" t="s">
        <v>508</v>
      </c>
      <c r="K43" t="s">
        <v>508</v>
      </c>
    </row>
    <row r="44" spans="1:12" x14ac:dyDescent="0.25">
      <c r="A44" t="s">
        <v>587</v>
      </c>
      <c r="B44" t="s">
        <v>588</v>
      </c>
      <c r="C44" t="s">
        <v>507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508</v>
      </c>
      <c r="J44" t="s">
        <v>508</v>
      </c>
      <c r="K44" t="s">
        <v>508</v>
      </c>
    </row>
    <row r="45" spans="1:12" x14ac:dyDescent="0.25">
      <c r="A45" t="s">
        <v>589</v>
      </c>
      <c r="B45" t="s">
        <v>590</v>
      </c>
      <c r="C45" t="s">
        <v>504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508</v>
      </c>
      <c r="J45" t="s">
        <v>508</v>
      </c>
      <c r="K45" t="s">
        <v>508</v>
      </c>
    </row>
    <row r="46" spans="1:12" x14ac:dyDescent="0.25">
      <c r="A46" t="s">
        <v>591</v>
      </c>
      <c r="B46" t="s">
        <v>592</v>
      </c>
      <c r="C46" t="s">
        <v>504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508</v>
      </c>
      <c r="J46" t="s">
        <v>508</v>
      </c>
      <c r="K46" t="s">
        <v>508</v>
      </c>
    </row>
    <row r="47" spans="1:12" x14ac:dyDescent="0.25">
      <c r="A47" t="s">
        <v>593</v>
      </c>
      <c r="B47" t="s">
        <v>594</v>
      </c>
      <c r="C47" t="s">
        <v>507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508</v>
      </c>
      <c r="J47" t="s">
        <v>508</v>
      </c>
      <c r="K47" t="s">
        <v>508</v>
      </c>
    </row>
    <row r="48" spans="1:12" x14ac:dyDescent="0.25">
      <c r="A48" t="s">
        <v>595</v>
      </c>
      <c r="B48" t="s">
        <v>596</v>
      </c>
      <c r="C48" t="s">
        <v>507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508</v>
      </c>
      <c r="J48" t="s">
        <v>508</v>
      </c>
      <c r="K48" t="s">
        <v>508</v>
      </c>
    </row>
    <row r="49" spans="1:12" x14ac:dyDescent="0.25">
      <c r="A49" t="s">
        <v>597</v>
      </c>
      <c r="B49" t="s">
        <v>598</v>
      </c>
      <c r="C49" t="s">
        <v>507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508</v>
      </c>
      <c r="J49" t="s">
        <v>508</v>
      </c>
      <c r="K49" t="s">
        <v>508</v>
      </c>
    </row>
    <row r="50" spans="1:12" x14ac:dyDescent="0.25">
      <c r="A50" t="s">
        <v>599</v>
      </c>
      <c r="B50" t="s">
        <v>600</v>
      </c>
      <c r="C50" t="s">
        <v>504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508</v>
      </c>
      <c r="J50" t="s">
        <v>508</v>
      </c>
      <c r="K50" t="s">
        <v>508</v>
      </c>
    </row>
    <row r="51" spans="1:12" x14ac:dyDescent="0.25">
      <c r="A51" t="s">
        <v>601</v>
      </c>
      <c r="B51" t="s">
        <v>602</v>
      </c>
      <c r="C51" t="s">
        <v>507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508</v>
      </c>
      <c r="J51" t="s">
        <v>508</v>
      </c>
      <c r="K51" t="s">
        <v>508</v>
      </c>
    </row>
    <row r="52" spans="1:12" x14ac:dyDescent="0.25">
      <c r="A52" t="s">
        <v>603</v>
      </c>
      <c r="B52" t="s">
        <v>604</v>
      </c>
      <c r="C52" t="s">
        <v>507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508</v>
      </c>
      <c r="J52" t="s">
        <v>508</v>
      </c>
      <c r="K52" t="s">
        <v>508</v>
      </c>
    </row>
    <row r="53" spans="1:12" x14ac:dyDescent="0.25">
      <c r="A53" t="s">
        <v>605</v>
      </c>
      <c r="B53" t="s">
        <v>606</v>
      </c>
      <c r="C53" t="s">
        <v>507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508</v>
      </c>
      <c r="J53" t="s">
        <v>508</v>
      </c>
      <c r="K53" t="s">
        <v>508</v>
      </c>
    </row>
    <row r="54" spans="1:12" x14ac:dyDescent="0.25">
      <c r="A54" t="s">
        <v>607</v>
      </c>
      <c r="B54" t="s">
        <v>608</v>
      </c>
      <c r="C54" t="s">
        <v>504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508</v>
      </c>
      <c r="J54" t="s">
        <v>508</v>
      </c>
      <c r="K54" t="s">
        <v>508</v>
      </c>
    </row>
    <row r="55" spans="1:12" x14ac:dyDescent="0.25">
      <c r="A55" t="s">
        <v>609</v>
      </c>
      <c r="B55" t="s">
        <v>610</v>
      </c>
      <c r="C55" t="s">
        <v>507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508</v>
      </c>
      <c r="J55" t="s">
        <v>508</v>
      </c>
      <c r="K55" t="s">
        <v>508</v>
      </c>
    </row>
    <row r="56" spans="1:12" x14ac:dyDescent="0.25">
      <c r="A56" t="s">
        <v>611</v>
      </c>
      <c r="B56" t="s">
        <v>612</v>
      </c>
      <c r="C56" t="s">
        <v>507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508</v>
      </c>
      <c r="J56" t="s">
        <v>508</v>
      </c>
      <c r="K56" t="s">
        <v>508</v>
      </c>
    </row>
    <row r="57" spans="1:12" x14ac:dyDescent="0.25">
      <c r="A57" t="s">
        <v>613</v>
      </c>
      <c r="B57" t="s">
        <v>614</v>
      </c>
      <c r="C57" t="s">
        <v>507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508</v>
      </c>
      <c r="J57" t="s">
        <v>508</v>
      </c>
      <c r="K57" t="s">
        <v>508</v>
      </c>
    </row>
    <row r="58" spans="1:12" x14ac:dyDescent="0.25">
      <c r="A58" t="s">
        <v>615</v>
      </c>
      <c r="B58" t="s">
        <v>616</v>
      </c>
      <c r="C58" t="s">
        <v>504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617</v>
      </c>
      <c r="B59" t="s">
        <v>618</v>
      </c>
      <c r="C59" t="s">
        <v>504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246</v>
      </c>
    </row>
    <row r="60" spans="1:12" x14ac:dyDescent="0.25">
      <c r="A60" t="s">
        <v>619</v>
      </c>
      <c r="B60" t="s">
        <v>620</v>
      </c>
      <c r="C60" t="s">
        <v>507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621</v>
      </c>
      <c r="B61" t="s">
        <v>622</v>
      </c>
      <c r="C61" t="s">
        <v>507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623</v>
      </c>
      <c r="B62" t="s">
        <v>624</v>
      </c>
      <c r="C62" t="s">
        <v>507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625</v>
      </c>
      <c r="B63" t="s">
        <v>626</v>
      </c>
      <c r="C63" t="s">
        <v>507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627</v>
      </c>
      <c r="B64" t="s">
        <v>628</v>
      </c>
      <c r="C64" t="s">
        <v>507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629</v>
      </c>
      <c r="B65" t="s">
        <v>630</v>
      </c>
      <c r="C65" t="s">
        <v>507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631</v>
      </c>
      <c r="B66" t="s">
        <v>632</v>
      </c>
      <c r="C66" t="s">
        <v>507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633</v>
      </c>
      <c r="B67" t="s">
        <v>634</v>
      </c>
      <c r="C67" t="s">
        <v>507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635</v>
      </c>
      <c r="B68" t="s">
        <v>636</v>
      </c>
      <c r="C68" t="s">
        <v>507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637</v>
      </c>
      <c r="B69" t="s">
        <v>638</v>
      </c>
      <c r="C69" t="s">
        <v>504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246</v>
      </c>
    </row>
    <row r="70" spans="1:12" x14ac:dyDescent="0.25">
      <c r="A70" t="s">
        <v>639</v>
      </c>
      <c r="B70" t="s">
        <v>640</v>
      </c>
      <c r="C70" t="s">
        <v>507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641</v>
      </c>
      <c r="B71" t="s">
        <v>642</v>
      </c>
      <c r="C71" t="s">
        <v>507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643</v>
      </c>
      <c r="B72" t="s">
        <v>644</v>
      </c>
      <c r="C72" t="s">
        <v>507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276</v>
      </c>
    </row>
    <row r="73" spans="1:12" x14ac:dyDescent="0.25">
      <c r="A73" t="s">
        <v>645</v>
      </c>
      <c r="B73" t="s">
        <v>646</v>
      </c>
      <c r="C73" t="s">
        <v>507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276</v>
      </c>
    </row>
    <row r="74" spans="1:12" x14ac:dyDescent="0.25">
      <c r="A74" t="s">
        <v>647</v>
      </c>
      <c r="B74" t="s">
        <v>648</v>
      </c>
      <c r="C74" t="s">
        <v>507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276</v>
      </c>
    </row>
    <row r="75" spans="1:12" x14ac:dyDescent="0.25">
      <c r="A75" t="s">
        <v>649</v>
      </c>
      <c r="B75" t="s">
        <v>650</v>
      </c>
      <c r="C75" t="s">
        <v>507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276</v>
      </c>
    </row>
    <row r="76" spans="1:12" x14ac:dyDescent="0.25">
      <c r="A76" t="s">
        <v>651</v>
      </c>
      <c r="B76" t="s">
        <v>652</v>
      </c>
      <c r="C76" t="s">
        <v>504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81</v>
      </c>
    </row>
    <row r="77" spans="1:12" x14ac:dyDescent="0.25">
      <c r="A77" t="s">
        <v>653</v>
      </c>
      <c r="B77" t="s">
        <v>654</v>
      </c>
      <c r="C77" t="s">
        <v>507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655</v>
      </c>
      <c r="B78" t="s">
        <v>656</v>
      </c>
      <c r="C78" t="s">
        <v>507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657</v>
      </c>
      <c r="B79" t="s">
        <v>658</v>
      </c>
      <c r="C79" t="s">
        <v>507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659</v>
      </c>
      <c r="B80" t="s">
        <v>660</v>
      </c>
      <c r="C80" t="s">
        <v>504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285</v>
      </c>
    </row>
    <row r="81" spans="1:12" x14ac:dyDescent="0.25">
      <c r="A81" t="s">
        <v>661</v>
      </c>
      <c r="B81" t="s">
        <v>662</v>
      </c>
      <c r="C81" t="s">
        <v>507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663</v>
      </c>
      <c r="B82" t="s">
        <v>664</v>
      </c>
      <c r="C82" t="s">
        <v>507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665</v>
      </c>
      <c r="B83" t="s">
        <v>666</v>
      </c>
      <c r="C83" t="s">
        <v>507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285</v>
      </c>
    </row>
    <row r="84" spans="1:12" x14ac:dyDescent="0.25">
      <c r="A84" t="s">
        <v>667</v>
      </c>
      <c r="B84" t="s">
        <v>668</v>
      </c>
      <c r="C84" t="s">
        <v>507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296</v>
      </c>
    </row>
    <row r="85" spans="1:12" x14ac:dyDescent="0.25">
      <c r="A85" t="s">
        <v>669</v>
      </c>
      <c r="B85" t="s">
        <v>670</v>
      </c>
      <c r="C85" t="s">
        <v>504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671</v>
      </c>
      <c r="B86" t="s">
        <v>672</v>
      </c>
      <c r="C86" t="s">
        <v>507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301</v>
      </c>
    </row>
    <row r="87" spans="1:12" x14ac:dyDescent="0.25">
      <c r="A87" t="s">
        <v>673</v>
      </c>
      <c r="B87" t="s">
        <v>674</v>
      </c>
      <c r="C87" t="s">
        <v>507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301</v>
      </c>
    </row>
    <row r="88" spans="1:12" x14ac:dyDescent="0.25">
      <c r="A88" t="s">
        <v>675</v>
      </c>
      <c r="B88" t="s">
        <v>676</v>
      </c>
      <c r="C88" t="s">
        <v>507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309</v>
      </c>
    </row>
    <row r="89" spans="1:12" x14ac:dyDescent="0.25">
      <c r="A89" t="s">
        <v>677</v>
      </c>
      <c r="B89" t="s">
        <v>678</v>
      </c>
      <c r="C89" t="s">
        <v>504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322</v>
      </c>
    </row>
    <row r="90" spans="1:12" x14ac:dyDescent="0.25">
      <c r="A90" t="s">
        <v>679</v>
      </c>
      <c r="B90" t="s">
        <v>680</v>
      </c>
      <c r="C90" t="s">
        <v>507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681</v>
      </c>
      <c r="B91" t="s">
        <v>682</v>
      </c>
      <c r="C91" t="s">
        <v>507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683</v>
      </c>
      <c r="B92" t="s">
        <v>684</v>
      </c>
      <c r="C92" t="s">
        <v>507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86</v>
      </c>
    </row>
    <row r="93" spans="1:12" x14ac:dyDescent="0.25">
      <c r="A93" t="s">
        <v>685</v>
      </c>
      <c r="B93" t="s">
        <v>686</v>
      </c>
      <c r="C93" t="s">
        <v>504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687</v>
      </c>
      <c r="B94" t="s">
        <v>688</v>
      </c>
      <c r="C94" t="s">
        <v>507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100</v>
      </c>
    </row>
    <row r="95" spans="1:12" x14ac:dyDescent="0.25">
      <c r="A95" t="s">
        <v>689</v>
      </c>
      <c r="B95" t="s">
        <v>690</v>
      </c>
      <c r="C95" t="s">
        <v>507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100</v>
      </c>
    </row>
    <row r="96" spans="1:12" x14ac:dyDescent="0.25">
      <c r="A96" t="s">
        <v>691</v>
      </c>
      <c r="B96" t="s">
        <v>692</v>
      </c>
      <c r="C96" t="s">
        <v>507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103</v>
      </c>
    </row>
    <row r="97" spans="1:12" x14ac:dyDescent="0.25">
      <c r="A97" t="s">
        <v>693</v>
      </c>
      <c r="B97" t="s">
        <v>694</v>
      </c>
      <c r="C97" t="s">
        <v>507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103</v>
      </c>
    </row>
    <row r="98" spans="1:12" x14ac:dyDescent="0.25">
      <c r="A98" t="s">
        <v>695</v>
      </c>
      <c r="B98" t="s">
        <v>696</v>
      </c>
      <c r="C98" t="s">
        <v>507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697</v>
      </c>
      <c r="B99" t="s">
        <v>698</v>
      </c>
      <c r="C99" t="s">
        <v>504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112</v>
      </c>
    </row>
    <row r="100" spans="1:12" x14ac:dyDescent="0.25">
      <c r="A100" t="s">
        <v>699</v>
      </c>
      <c r="B100" t="s">
        <v>700</v>
      </c>
      <c r="C100" t="s">
        <v>507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701</v>
      </c>
      <c r="B101" t="s">
        <v>702</v>
      </c>
      <c r="C101" t="s">
        <v>507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703</v>
      </c>
      <c r="B102" t="s">
        <v>704</v>
      </c>
      <c r="C102" t="s">
        <v>504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705</v>
      </c>
      <c r="B103" t="s">
        <v>706</v>
      </c>
      <c r="C103" t="s">
        <v>507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707</v>
      </c>
      <c r="B104" t="s">
        <v>708</v>
      </c>
      <c r="C104" t="s">
        <v>507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709</v>
      </c>
      <c r="B105" t="s">
        <v>710</v>
      </c>
      <c r="C105" t="s">
        <v>507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711</v>
      </c>
      <c r="B106" t="s">
        <v>712</v>
      </c>
      <c r="C106" t="s">
        <v>504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133</v>
      </c>
    </row>
    <row r="107" spans="1:12" x14ac:dyDescent="0.25">
      <c r="A107" t="s">
        <v>713</v>
      </c>
      <c r="B107" t="s">
        <v>714</v>
      </c>
      <c r="C107" t="s">
        <v>507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715</v>
      </c>
      <c r="B108" t="s">
        <v>716</v>
      </c>
      <c r="C108" t="s">
        <v>507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717</v>
      </c>
      <c r="B109" t="s">
        <v>718</v>
      </c>
      <c r="C109" t="s">
        <v>507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719</v>
      </c>
      <c r="B110" t="s">
        <v>720</v>
      </c>
      <c r="C110" t="s">
        <v>507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721</v>
      </c>
      <c r="B111" t="s">
        <v>722</v>
      </c>
      <c r="C111" t="s">
        <v>504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162</v>
      </c>
    </row>
    <row r="112" spans="1:12" x14ac:dyDescent="0.25">
      <c r="A112" t="s">
        <v>723</v>
      </c>
      <c r="B112" t="s">
        <v>724</v>
      </c>
      <c r="C112" t="s">
        <v>507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725</v>
      </c>
      <c r="B113" t="s">
        <v>726</v>
      </c>
      <c r="C113" t="s">
        <v>507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727</v>
      </c>
      <c r="B114" t="s">
        <v>728</v>
      </c>
      <c r="C114" t="s">
        <v>507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729</v>
      </c>
      <c r="B115" t="s">
        <v>730</v>
      </c>
      <c r="C115" t="s">
        <v>507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731</v>
      </c>
      <c r="B116" t="s">
        <v>732</v>
      </c>
      <c r="C116" t="s">
        <v>507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733</v>
      </c>
      <c r="B117" t="s">
        <v>734</v>
      </c>
      <c r="C117" t="s">
        <v>507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735</v>
      </c>
      <c r="B118" t="s">
        <v>736</v>
      </c>
      <c r="C118" t="s">
        <v>504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183</v>
      </c>
    </row>
    <row r="119" spans="1:12" x14ac:dyDescent="0.25">
      <c r="A119" t="s">
        <v>737</v>
      </c>
      <c r="B119" t="s">
        <v>738</v>
      </c>
      <c r="C119" t="s">
        <v>507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739</v>
      </c>
      <c r="B120" t="s">
        <v>740</v>
      </c>
      <c r="C120" t="s">
        <v>507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741</v>
      </c>
      <c r="B121" t="s">
        <v>742</v>
      </c>
      <c r="C121" t="s">
        <v>507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743</v>
      </c>
      <c r="B122" t="s">
        <v>744</v>
      </c>
      <c r="C122" t="s">
        <v>507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745</v>
      </c>
      <c r="B123" t="s">
        <v>746</v>
      </c>
      <c r="C123" t="s">
        <v>504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747</v>
      </c>
      <c r="B124" t="s">
        <v>748</v>
      </c>
      <c r="C124" t="s">
        <v>507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198</v>
      </c>
    </row>
    <row r="125" spans="1:12" x14ac:dyDescent="0.25">
      <c r="A125" t="s">
        <v>749</v>
      </c>
      <c r="B125" t="s">
        <v>750</v>
      </c>
      <c r="C125" t="s">
        <v>507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198</v>
      </c>
    </row>
    <row r="126" spans="1:12" x14ac:dyDescent="0.25">
      <c r="A126" t="s">
        <v>751</v>
      </c>
      <c r="B126" t="s">
        <v>752</v>
      </c>
      <c r="C126" t="s">
        <v>507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198</v>
      </c>
    </row>
    <row r="127" spans="1:12" x14ac:dyDescent="0.25">
      <c r="A127" t="s">
        <v>753</v>
      </c>
      <c r="B127" t="s">
        <v>754</v>
      </c>
      <c r="C127" t="s">
        <v>507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213</v>
      </c>
    </row>
    <row r="128" spans="1:12" x14ac:dyDescent="0.25">
      <c r="A128" t="s">
        <v>755</v>
      </c>
      <c r="B128" t="s">
        <v>756</v>
      </c>
      <c r="C128" t="s">
        <v>507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213</v>
      </c>
    </row>
    <row r="129" spans="1:12" x14ac:dyDescent="0.25">
      <c r="A129" t="s">
        <v>757</v>
      </c>
      <c r="B129" t="s">
        <v>758</v>
      </c>
      <c r="C129" t="s">
        <v>507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220</v>
      </c>
    </row>
    <row r="130" spans="1:12" x14ac:dyDescent="0.25">
      <c r="A130" t="s">
        <v>759</v>
      </c>
      <c r="B130" t="s">
        <v>760</v>
      </c>
      <c r="C130" t="s">
        <v>507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213</v>
      </c>
    </row>
    <row r="131" spans="1:12" x14ac:dyDescent="0.25">
      <c r="A131" t="s">
        <v>761</v>
      </c>
      <c r="B131" t="s">
        <v>762</v>
      </c>
      <c r="C131" t="s">
        <v>504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226</v>
      </c>
    </row>
    <row r="132" spans="1:12" x14ac:dyDescent="0.25">
      <c r="A132" t="s">
        <v>763</v>
      </c>
      <c r="B132" t="s">
        <v>764</v>
      </c>
      <c r="C132" t="s">
        <v>507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765</v>
      </c>
      <c r="B133" t="s">
        <v>766</v>
      </c>
      <c r="C133" t="s">
        <v>507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767</v>
      </c>
      <c r="B134" t="s">
        <v>768</v>
      </c>
      <c r="C134" t="s">
        <v>504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226</v>
      </c>
    </row>
    <row r="135" spans="1:12" x14ac:dyDescent="0.25">
      <c r="A135" t="s">
        <v>769</v>
      </c>
      <c r="B135" t="s">
        <v>770</v>
      </c>
      <c r="C135" t="s">
        <v>507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771</v>
      </c>
      <c r="B136" t="s">
        <v>772</v>
      </c>
      <c r="C136" t="s">
        <v>504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773</v>
      </c>
      <c r="B137" t="s">
        <v>774</v>
      </c>
      <c r="C137" t="s">
        <v>507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775</v>
      </c>
      <c r="B138" t="s">
        <v>776</v>
      </c>
      <c r="C138" t="s">
        <v>504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333</v>
      </c>
    </row>
    <row r="139" spans="1:12" x14ac:dyDescent="0.25">
      <c r="A139" t="s">
        <v>777</v>
      </c>
      <c r="B139" t="s">
        <v>778</v>
      </c>
      <c r="C139" t="s">
        <v>504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508</v>
      </c>
      <c r="J139" t="s">
        <v>508</v>
      </c>
      <c r="K139" t="s">
        <v>508</v>
      </c>
    </row>
    <row r="140" spans="1:12" x14ac:dyDescent="0.25">
      <c r="A140" t="s">
        <v>779</v>
      </c>
      <c r="B140" t="s">
        <v>780</v>
      </c>
      <c r="C140" t="s">
        <v>507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508</v>
      </c>
      <c r="J140" t="s">
        <v>508</v>
      </c>
      <c r="K140" t="s">
        <v>508</v>
      </c>
    </row>
    <row r="141" spans="1:12" x14ac:dyDescent="0.25">
      <c r="A141" t="s">
        <v>781</v>
      </c>
      <c r="B141" t="s">
        <v>782</v>
      </c>
      <c r="C141" t="s">
        <v>507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508</v>
      </c>
      <c r="J141" t="s">
        <v>508</v>
      </c>
      <c r="K141" t="s">
        <v>508</v>
      </c>
    </row>
    <row r="142" spans="1:12" x14ac:dyDescent="0.25">
      <c r="A142" t="s">
        <v>783</v>
      </c>
      <c r="B142" t="s">
        <v>784</v>
      </c>
      <c r="C142" t="s">
        <v>507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508</v>
      </c>
      <c r="J142" t="s">
        <v>508</v>
      </c>
      <c r="K142" t="s">
        <v>508</v>
      </c>
    </row>
    <row r="143" spans="1:12" x14ac:dyDescent="0.25">
      <c r="A143" t="s">
        <v>785</v>
      </c>
      <c r="B143" t="s">
        <v>786</v>
      </c>
      <c r="C143" t="s">
        <v>504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508</v>
      </c>
      <c r="J143" t="s">
        <v>508</v>
      </c>
      <c r="K143" t="s">
        <v>508</v>
      </c>
    </row>
    <row r="144" spans="1:12" x14ac:dyDescent="0.25">
      <c r="A144" t="s">
        <v>787</v>
      </c>
      <c r="B144" t="s">
        <v>788</v>
      </c>
      <c r="C144" t="s">
        <v>507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508</v>
      </c>
      <c r="J144" t="s">
        <v>508</v>
      </c>
      <c r="K144" t="s">
        <v>508</v>
      </c>
    </row>
    <row r="145" spans="1:12" x14ac:dyDescent="0.25">
      <c r="A145" t="s">
        <v>789</v>
      </c>
      <c r="B145" t="s">
        <v>790</v>
      </c>
      <c r="C145" t="s">
        <v>504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508</v>
      </c>
      <c r="J145" t="s">
        <v>508</v>
      </c>
      <c r="K145" t="s">
        <v>508</v>
      </c>
    </row>
    <row r="146" spans="1:12" x14ac:dyDescent="0.25">
      <c r="A146" t="s">
        <v>791</v>
      </c>
      <c r="B146" t="s">
        <v>792</v>
      </c>
      <c r="C146" t="s">
        <v>507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508</v>
      </c>
      <c r="J146" t="s">
        <v>508</v>
      </c>
      <c r="K146" t="s">
        <v>508</v>
      </c>
    </row>
    <row r="147" spans="1:12" x14ac:dyDescent="0.25">
      <c r="A147" t="s">
        <v>793</v>
      </c>
      <c r="B147" t="s">
        <v>794</v>
      </c>
      <c r="C147" t="s">
        <v>507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508</v>
      </c>
      <c r="J147" t="s">
        <v>508</v>
      </c>
      <c r="K147" t="s">
        <v>508</v>
      </c>
    </row>
    <row r="148" spans="1:12" x14ac:dyDescent="0.25">
      <c r="A148" t="s">
        <v>795</v>
      </c>
      <c r="B148" t="s">
        <v>796</v>
      </c>
      <c r="C148" t="s">
        <v>507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508</v>
      </c>
      <c r="J148" t="s">
        <v>508</v>
      </c>
      <c r="K148" t="s">
        <v>508</v>
      </c>
    </row>
    <row r="149" spans="1:12" x14ac:dyDescent="0.25">
      <c r="A149" t="s">
        <v>797</v>
      </c>
      <c r="B149" t="s">
        <v>798</v>
      </c>
      <c r="C149" t="s">
        <v>507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508</v>
      </c>
      <c r="J149" t="s">
        <v>508</v>
      </c>
      <c r="K149" t="s">
        <v>508</v>
      </c>
    </row>
    <row r="150" spans="1:12" x14ac:dyDescent="0.25">
      <c r="A150" t="s">
        <v>799</v>
      </c>
      <c r="B150" t="s">
        <v>800</v>
      </c>
      <c r="C150" t="s">
        <v>507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508</v>
      </c>
      <c r="J150" t="s">
        <v>508</v>
      </c>
      <c r="K150" t="s">
        <v>508</v>
      </c>
    </row>
    <row r="151" spans="1:12" x14ac:dyDescent="0.25">
      <c r="A151" t="s">
        <v>801</v>
      </c>
      <c r="B151" t="s">
        <v>802</v>
      </c>
      <c r="C151" t="s">
        <v>507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508</v>
      </c>
      <c r="J151" t="s">
        <v>508</v>
      </c>
      <c r="K151" t="s">
        <v>508</v>
      </c>
    </row>
    <row r="152" spans="1:12" x14ac:dyDescent="0.25">
      <c r="A152" t="s">
        <v>803</v>
      </c>
      <c r="B152" t="s">
        <v>804</v>
      </c>
      <c r="C152" t="s">
        <v>504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333</v>
      </c>
    </row>
    <row r="153" spans="1:12" x14ac:dyDescent="0.25">
      <c r="A153" t="s">
        <v>805</v>
      </c>
      <c r="B153" t="s">
        <v>806</v>
      </c>
      <c r="C153" t="s">
        <v>504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807</v>
      </c>
      <c r="B154" t="s">
        <v>808</v>
      </c>
      <c r="C154" t="s">
        <v>507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508</v>
      </c>
      <c r="J154" t="s">
        <v>508</v>
      </c>
      <c r="K154" t="s">
        <v>508</v>
      </c>
    </row>
    <row r="155" spans="1:12" x14ac:dyDescent="0.25">
      <c r="A155" t="s">
        <v>809</v>
      </c>
      <c r="B155" t="s">
        <v>810</v>
      </c>
      <c r="C155" t="s">
        <v>507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508</v>
      </c>
      <c r="J155" t="s">
        <v>508</v>
      </c>
      <c r="K155" t="s">
        <v>508</v>
      </c>
    </row>
    <row r="156" spans="1:12" x14ac:dyDescent="0.25">
      <c r="A156" t="s">
        <v>811</v>
      </c>
      <c r="B156" t="s">
        <v>812</v>
      </c>
      <c r="C156" t="s">
        <v>507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508</v>
      </c>
      <c r="J156" t="s">
        <v>508</v>
      </c>
      <c r="K156" t="s">
        <v>508</v>
      </c>
    </row>
    <row r="157" spans="1:12" x14ac:dyDescent="0.25">
      <c r="A157" t="s">
        <v>813</v>
      </c>
      <c r="B157" t="s">
        <v>814</v>
      </c>
      <c r="C157" t="s">
        <v>504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815</v>
      </c>
      <c r="B158" t="s">
        <v>816</v>
      </c>
      <c r="C158" t="s">
        <v>507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508</v>
      </c>
      <c r="J158" t="s">
        <v>508</v>
      </c>
      <c r="K158" t="s">
        <v>508</v>
      </c>
    </row>
    <row r="159" spans="1:12" x14ac:dyDescent="0.25">
      <c r="A159" t="s">
        <v>817</v>
      </c>
      <c r="B159" t="s">
        <v>818</v>
      </c>
      <c r="C159" t="s">
        <v>507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508</v>
      </c>
      <c r="J159" t="s">
        <v>508</v>
      </c>
      <c r="K159" t="s">
        <v>508</v>
      </c>
    </row>
    <row r="160" spans="1:12" x14ac:dyDescent="0.25">
      <c r="A160" t="s">
        <v>819</v>
      </c>
      <c r="B160" t="s">
        <v>820</v>
      </c>
      <c r="C160" t="s">
        <v>507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821</v>
      </c>
      <c r="B161" t="s">
        <v>822</v>
      </c>
      <c r="C161" t="s">
        <v>504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823</v>
      </c>
      <c r="B162" t="s">
        <v>824</v>
      </c>
      <c r="C162" t="s">
        <v>504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508</v>
      </c>
      <c r="J162" t="s">
        <v>508</v>
      </c>
      <c r="K162" t="s">
        <v>508</v>
      </c>
    </row>
    <row r="163" spans="1:11" x14ac:dyDescent="0.25">
      <c r="A163" t="s">
        <v>825</v>
      </c>
      <c r="B163" t="s">
        <v>826</v>
      </c>
      <c r="C163" t="s">
        <v>507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508</v>
      </c>
      <c r="J163" t="s">
        <v>508</v>
      </c>
      <c r="K163" t="s">
        <v>508</v>
      </c>
    </row>
    <row r="164" spans="1:11" x14ac:dyDescent="0.25">
      <c r="A164" t="s">
        <v>827</v>
      </c>
      <c r="B164" t="s">
        <v>828</v>
      </c>
      <c r="C164" t="s">
        <v>507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508</v>
      </c>
      <c r="J164" t="s">
        <v>508</v>
      </c>
      <c r="K164" t="s">
        <v>508</v>
      </c>
    </row>
    <row r="165" spans="1:11" x14ac:dyDescent="0.25">
      <c r="A165" t="s">
        <v>829</v>
      </c>
      <c r="B165" t="s">
        <v>830</v>
      </c>
      <c r="C165" t="s">
        <v>504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508</v>
      </c>
      <c r="J165" t="s">
        <v>508</v>
      </c>
      <c r="K165" t="s">
        <v>508</v>
      </c>
    </row>
    <row r="166" spans="1:11" x14ac:dyDescent="0.25">
      <c r="A166" t="s">
        <v>831</v>
      </c>
      <c r="B166" t="s">
        <v>832</v>
      </c>
      <c r="C166" t="s">
        <v>507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508</v>
      </c>
      <c r="J166" t="s">
        <v>508</v>
      </c>
      <c r="K166" t="s">
        <v>508</v>
      </c>
    </row>
    <row r="167" spans="1:11" x14ac:dyDescent="0.25">
      <c r="A167" t="s">
        <v>833</v>
      </c>
      <c r="B167" t="s">
        <v>834</v>
      </c>
      <c r="C167" t="s">
        <v>507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508</v>
      </c>
      <c r="J167" t="s">
        <v>508</v>
      </c>
      <c r="K167" t="s">
        <v>508</v>
      </c>
    </row>
    <row r="168" spans="1:11" x14ac:dyDescent="0.25">
      <c r="A168" t="s">
        <v>835</v>
      </c>
      <c r="B168" t="s">
        <v>836</v>
      </c>
      <c r="C168" t="s">
        <v>504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508</v>
      </c>
      <c r="J168" t="s">
        <v>508</v>
      </c>
      <c r="K168" t="s">
        <v>508</v>
      </c>
    </row>
    <row r="169" spans="1:11" x14ac:dyDescent="0.25">
      <c r="A169" t="s">
        <v>837</v>
      </c>
      <c r="B169" t="s">
        <v>838</v>
      </c>
      <c r="C169" t="s">
        <v>504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508</v>
      </c>
      <c r="J169" t="s">
        <v>508</v>
      </c>
      <c r="K169" t="s">
        <v>508</v>
      </c>
    </row>
    <row r="170" spans="1:11" x14ac:dyDescent="0.25">
      <c r="A170" t="s">
        <v>839</v>
      </c>
      <c r="B170" t="s">
        <v>840</v>
      </c>
      <c r="C170" t="s">
        <v>507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508</v>
      </c>
      <c r="J170" t="s">
        <v>508</v>
      </c>
      <c r="K170" t="s">
        <v>508</v>
      </c>
    </row>
    <row r="171" spans="1:11" x14ac:dyDescent="0.25">
      <c r="A171" t="s">
        <v>841</v>
      </c>
      <c r="B171" t="s">
        <v>842</v>
      </c>
      <c r="C171" t="s">
        <v>504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508</v>
      </c>
      <c r="J171" t="s">
        <v>508</v>
      </c>
      <c r="K171" t="s">
        <v>508</v>
      </c>
    </row>
    <row r="172" spans="1:11" x14ac:dyDescent="0.25">
      <c r="A172" t="s">
        <v>843</v>
      </c>
      <c r="B172" t="s">
        <v>844</v>
      </c>
      <c r="C172" t="s">
        <v>507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508</v>
      </c>
      <c r="J172" t="s">
        <v>508</v>
      </c>
      <c r="K172" t="s">
        <v>508</v>
      </c>
    </row>
    <row r="173" spans="1:11" x14ac:dyDescent="0.25">
      <c r="A173" t="s">
        <v>845</v>
      </c>
      <c r="B173" t="s">
        <v>846</v>
      </c>
      <c r="C173" t="s">
        <v>507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508</v>
      </c>
      <c r="J173" t="s">
        <v>508</v>
      </c>
      <c r="K173" t="s">
        <v>508</v>
      </c>
    </row>
    <row r="174" spans="1:11" x14ac:dyDescent="0.25">
      <c r="A174" t="s">
        <v>847</v>
      </c>
      <c r="B174" t="s">
        <v>848</v>
      </c>
      <c r="C174" t="s">
        <v>504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508</v>
      </c>
      <c r="J174" t="s">
        <v>508</v>
      </c>
      <c r="K174" t="s">
        <v>508</v>
      </c>
    </row>
    <row r="175" spans="1:11" x14ac:dyDescent="0.25">
      <c r="A175" t="s">
        <v>849</v>
      </c>
      <c r="B175" t="s">
        <v>850</v>
      </c>
      <c r="C175" t="s">
        <v>507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508</v>
      </c>
      <c r="J175" t="s">
        <v>508</v>
      </c>
      <c r="K175" t="s">
        <v>508</v>
      </c>
    </row>
    <row r="176" spans="1:11" x14ac:dyDescent="0.25">
      <c r="A176" t="s">
        <v>851</v>
      </c>
      <c r="B176" t="s">
        <v>852</v>
      </c>
      <c r="C176" t="s">
        <v>507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508</v>
      </c>
      <c r="J176" t="s">
        <v>508</v>
      </c>
      <c r="K176" t="s">
        <v>508</v>
      </c>
    </row>
    <row r="177" spans="1:12" x14ac:dyDescent="0.25">
      <c r="A177" t="s">
        <v>853</v>
      </c>
      <c r="B177" t="s">
        <v>854</v>
      </c>
      <c r="C177" t="s">
        <v>507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508</v>
      </c>
      <c r="J177" t="s">
        <v>508</v>
      </c>
      <c r="K177" t="s">
        <v>508</v>
      </c>
    </row>
    <row r="178" spans="1:12" x14ac:dyDescent="0.25">
      <c r="A178" t="s">
        <v>855</v>
      </c>
      <c r="B178" t="s">
        <v>856</v>
      </c>
      <c r="C178" t="s">
        <v>504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508</v>
      </c>
      <c r="J178" t="s">
        <v>508</v>
      </c>
      <c r="K178" t="s">
        <v>508</v>
      </c>
    </row>
    <row r="179" spans="1:12" x14ac:dyDescent="0.25">
      <c r="A179" t="s">
        <v>857</v>
      </c>
      <c r="B179" t="s">
        <v>858</v>
      </c>
      <c r="C179" t="s">
        <v>507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508</v>
      </c>
      <c r="J179" t="s">
        <v>508</v>
      </c>
      <c r="K179" t="s">
        <v>508</v>
      </c>
    </row>
    <row r="180" spans="1:12" x14ac:dyDescent="0.25">
      <c r="A180" t="s">
        <v>859</v>
      </c>
      <c r="B180" t="s">
        <v>860</v>
      </c>
      <c r="C180" t="s">
        <v>507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508</v>
      </c>
      <c r="J180" t="s">
        <v>508</v>
      </c>
      <c r="K180" t="s">
        <v>508</v>
      </c>
    </row>
    <row r="181" spans="1:12" x14ac:dyDescent="0.25">
      <c r="A181" t="s">
        <v>861</v>
      </c>
      <c r="B181" t="s">
        <v>862</v>
      </c>
      <c r="C181" t="s">
        <v>507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508</v>
      </c>
      <c r="J181" t="s">
        <v>508</v>
      </c>
      <c r="K181" t="s">
        <v>508</v>
      </c>
    </row>
    <row r="182" spans="1:12" x14ac:dyDescent="0.25">
      <c r="A182" t="s">
        <v>863</v>
      </c>
      <c r="B182" t="s">
        <v>864</v>
      </c>
      <c r="C182" t="s">
        <v>507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508</v>
      </c>
      <c r="J182" t="s">
        <v>508</v>
      </c>
      <c r="K182" t="s">
        <v>508</v>
      </c>
    </row>
    <row r="183" spans="1:12" x14ac:dyDescent="0.25">
      <c r="A183" t="s">
        <v>865</v>
      </c>
      <c r="B183" t="s">
        <v>866</v>
      </c>
      <c r="C183" t="s">
        <v>507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508</v>
      </c>
      <c r="J183" t="s">
        <v>508</v>
      </c>
      <c r="K183" t="s">
        <v>508</v>
      </c>
    </row>
    <row r="184" spans="1:12" x14ac:dyDescent="0.25">
      <c r="A184" t="s">
        <v>867</v>
      </c>
      <c r="B184" t="s">
        <v>868</v>
      </c>
      <c r="C184" t="s">
        <v>504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869</v>
      </c>
      <c r="B185" t="s">
        <v>870</v>
      </c>
      <c r="C185" t="s">
        <v>504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357</v>
      </c>
    </row>
    <row r="186" spans="1:12" x14ac:dyDescent="0.25">
      <c r="A186" t="s">
        <v>871</v>
      </c>
      <c r="B186" t="s">
        <v>872</v>
      </c>
      <c r="C186" t="s">
        <v>507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508</v>
      </c>
      <c r="J186" t="s">
        <v>508</v>
      </c>
      <c r="K186" t="s">
        <v>508</v>
      </c>
    </row>
    <row r="187" spans="1:12" x14ac:dyDescent="0.25">
      <c r="A187" t="s">
        <v>873</v>
      </c>
      <c r="B187" t="s">
        <v>874</v>
      </c>
      <c r="C187" t="s">
        <v>507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508</v>
      </c>
      <c r="J187" t="s">
        <v>508</v>
      </c>
      <c r="K187" t="s">
        <v>508</v>
      </c>
    </row>
    <row r="188" spans="1:12" x14ac:dyDescent="0.25">
      <c r="A188" t="s">
        <v>875</v>
      </c>
      <c r="B188" t="s">
        <v>876</v>
      </c>
      <c r="C188" t="s">
        <v>507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359</v>
      </c>
    </row>
    <row r="189" spans="1:12" x14ac:dyDescent="0.25">
      <c r="A189" t="s">
        <v>877</v>
      </c>
      <c r="B189" t="s">
        <v>878</v>
      </c>
      <c r="C189" t="s">
        <v>504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361</v>
      </c>
    </row>
    <row r="190" spans="1:12" x14ac:dyDescent="0.25">
      <c r="A190" t="s">
        <v>879</v>
      </c>
      <c r="B190" t="s">
        <v>880</v>
      </c>
      <c r="C190" t="s">
        <v>507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508</v>
      </c>
      <c r="J190" t="s">
        <v>508</v>
      </c>
      <c r="K190" t="s">
        <v>508</v>
      </c>
    </row>
    <row r="191" spans="1:12" x14ac:dyDescent="0.25">
      <c r="A191" t="s">
        <v>881</v>
      </c>
      <c r="B191" t="s">
        <v>882</v>
      </c>
      <c r="C191" t="s">
        <v>507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508</v>
      </c>
      <c r="J191" t="s">
        <v>508</v>
      </c>
      <c r="K191" t="s">
        <v>508</v>
      </c>
    </row>
    <row r="192" spans="1:12" x14ac:dyDescent="0.25">
      <c r="A192" t="s">
        <v>883</v>
      </c>
      <c r="B192" t="s">
        <v>884</v>
      </c>
      <c r="C192" t="s">
        <v>507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359</v>
      </c>
    </row>
    <row r="193" spans="1:12" x14ac:dyDescent="0.25">
      <c r="A193" t="s">
        <v>885</v>
      </c>
      <c r="B193" t="s">
        <v>886</v>
      </c>
      <c r="C193" t="s">
        <v>504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359</v>
      </c>
    </row>
    <row r="194" spans="1:12" x14ac:dyDescent="0.25">
      <c r="A194" t="s">
        <v>887</v>
      </c>
      <c r="B194" t="s">
        <v>888</v>
      </c>
      <c r="C194" t="s">
        <v>507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508</v>
      </c>
      <c r="J194" t="s">
        <v>508</v>
      </c>
      <c r="K194" t="s">
        <v>508</v>
      </c>
    </row>
    <row r="195" spans="1:12" x14ac:dyDescent="0.25">
      <c r="A195" t="s">
        <v>889</v>
      </c>
      <c r="B195" t="s">
        <v>890</v>
      </c>
      <c r="C195" t="s">
        <v>507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508</v>
      </c>
      <c r="J195" t="s">
        <v>508</v>
      </c>
      <c r="K195" t="s">
        <v>508</v>
      </c>
    </row>
    <row r="196" spans="1:12" x14ac:dyDescent="0.25">
      <c r="A196" t="s">
        <v>891</v>
      </c>
      <c r="B196" t="s">
        <v>892</v>
      </c>
      <c r="C196" t="s">
        <v>507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508</v>
      </c>
      <c r="J196" t="s">
        <v>508</v>
      </c>
      <c r="K196" t="s">
        <v>508</v>
      </c>
    </row>
    <row r="197" spans="1:12" x14ac:dyDescent="0.25">
      <c r="A197" t="s">
        <v>893</v>
      </c>
      <c r="B197" t="s">
        <v>894</v>
      </c>
      <c r="C197" t="s">
        <v>507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508</v>
      </c>
      <c r="J197" t="s">
        <v>508</v>
      </c>
      <c r="K197" t="s">
        <v>508</v>
      </c>
    </row>
    <row r="198" spans="1:12" x14ac:dyDescent="0.25">
      <c r="A198" t="s">
        <v>895</v>
      </c>
      <c r="B198" t="s">
        <v>896</v>
      </c>
      <c r="C198" t="s">
        <v>507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508</v>
      </c>
      <c r="J198" t="s">
        <v>508</v>
      </c>
      <c r="K198" t="s">
        <v>508</v>
      </c>
    </row>
    <row r="199" spans="1:12" x14ac:dyDescent="0.25">
      <c r="A199" t="s">
        <v>897</v>
      </c>
      <c r="B199" t="s">
        <v>898</v>
      </c>
      <c r="C199" t="s">
        <v>507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508</v>
      </c>
      <c r="J199" t="s">
        <v>508</v>
      </c>
      <c r="K199" t="s">
        <v>508</v>
      </c>
    </row>
    <row r="200" spans="1:12" x14ac:dyDescent="0.25">
      <c r="A200" t="s">
        <v>899</v>
      </c>
      <c r="B200" t="s">
        <v>900</v>
      </c>
      <c r="C200" t="s">
        <v>504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64</v>
      </c>
    </row>
    <row r="201" spans="1:12" x14ac:dyDescent="0.25">
      <c r="A201" t="s">
        <v>901</v>
      </c>
      <c r="B201" t="s">
        <v>902</v>
      </c>
      <c r="C201" t="s">
        <v>507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508</v>
      </c>
      <c r="J201" t="s">
        <v>508</v>
      </c>
      <c r="K201" t="s">
        <v>508</v>
      </c>
    </row>
    <row r="202" spans="1:12" x14ac:dyDescent="0.25">
      <c r="A202" t="s">
        <v>903</v>
      </c>
      <c r="B202" t="s">
        <v>904</v>
      </c>
      <c r="C202" t="s">
        <v>507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508</v>
      </c>
      <c r="J202" t="s">
        <v>508</v>
      </c>
      <c r="K202" t="s">
        <v>508</v>
      </c>
    </row>
    <row r="203" spans="1:12" x14ac:dyDescent="0.25">
      <c r="A203" t="s">
        <v>905</v>
      </c>
      <c r="B203" t="s">
        <v>906</v>
      </c>
      <c r="C203" t="s">
        <v>507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508</v>
      </c>
      <c r="J203" t="s">
        <v>508</v>
      </c>
      <c r="K203" t="s">
        <v>508</v>
      </c>
    </row>
    <row r="204" spans="1:12" x14ac:dyDescent="0.25">
      <c r="A204" t="s">
        <v>907</v>
      </c>
      <c r="B204" t="s">
        <v>908</v>
      </c>
      <c r="C204" t="s">
        <v>504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366</v>
      </c>
    </row>
    <row r="205" spans="1:12" x14ac:dyDescent="0.25">
      <c r="A205" t="s">
        <v>909</v>
      </c>
      <c r="B205" t="s">
        <v>910</v>
      </c>
      <c r="C205" t="s">
        <v>504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508</v>
      </c>
      <c r="J205" t="s">
        <v>508</v>
      </c>
      <c r="K205" t="s">
        <v>508</v>
      </c>
    </row>
    <row r="206" spans="1:12" x14ac:dyDescent="0.25">
      <c r="A206" t="s">
        <v>911</v>
      </c>
      <c r="B206" t="s">
        <v>912</v>
      </c>
      <c r="C206" t="s">
        <v>507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508</v>
      </c>
      <c r="J206" t="s">
        <v>508</v>
      </c>
      <c r="K206" t="s">
        <v>508</v>
      </c>
    </row>
    <row r="207" spans="1:12" x14ac:dyDescent="0.25">
      <c r="A207" t="s">
        <v>913</v>
      </c>
      <c r="B207" t="s">
        <v>914</v>
      </c>
      <c r="C207" t="s">
        <v>507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508</v>
      </c>
      <c r="J207" t="s">
        <v>508</v>
      </c>
      <c r="K207" t="s">
        <v>508</v>
      </c>
    </row>
    <row r="208" spans="1:12" x14ac:dyDescent="0.25">
      <c r="A208" t="s">
        <v>915</v>
      </c>
      <c r="B208" t="s">
        <v>916</v>
      </c>
      <c r="C208" t="s">
        <v>507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508</v>
      </c>
      <c r="J208" t="s">
        <v>508</v>
      </c>
      <c r="K208" t="s">
        <v>508</v>
      </c>
    </row>
    <row r="209" spans="1:12" x14ac:dyDescent="0.25">
      <c r="A209" t="s">
        <v>917</v>
      </c>
      <c r="B209" t="s">
        <v>918</v>
      </c>
      <c r="C209" t="s">
        <v>504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508</v>
      </c>
      <c r="J209" t="s">
        <v>508</v>
      </c>
      <c r="K209" t="s">
        <v>508</v>
      </c>
    </row>
    <row r="210" spans="1:12" x14ac:dyDescent="0.25">
      <c r="A210" t="s">
        <v>919</v>
      </c>
      <c r="B210" t="s">
        <v>920</v>
      </c>
      <c r="C210" t="s">
        <v>507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508</v>
      </c>
      <c r="J210" t="s">
        <v>508</v>
      </c>
      <c r="K210" t="s">
        <v>508</v>
      </c>
    </row>
    <row r="211" spans="1:12" x14ac:dyDescent="0.25">
      <c r="A211" t="s">
        <v>921</v>
      </c>
      <c r="B211" t="s">
        <v>922</v>
      </c>
      <c r="C211" t="s">
        <v>507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508</v>
      </c>
      <c r="J211" t="s">
        <v>508</v>
      </c>
      <c r="K211" t="s">
        <v>508</v>
      </c>
    </row>
    <row r="212" spans="1:12" x14ac:dyDescent="0.25">
      <c r="A212" t="s">
        <v>923</v>
      </c>
      <c r="B212" t="s">
        <v>924</v>
      </c>
      <c r="C212" t="s">
        <v>507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508</v>
      </c>
      <c r="J212" t="s">
        <v>508</v>
      </c>
      <c r="K212" t="s">
        <v>508</v>
      </c>
    </row>
    <row r="213" spans="1:12" x14ac:dyDescent="0.25">
      <c r="A213" t="s">
        <v>925</v>
      </c>
      <c r="B213" t="s">
        <v>926</v>
      </c>
      <c r="C213" t="s">
        <v>507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508</v>
      </c>
      <c r="J213" t="s">
        <v>508</v>
      </c>
      <c r="K213" t="s">
        <v>508</v>
      </c>
    </row>
    <row r="214" spans="1:12" x14ac:dyDescent="0.25">
      <c r="A214" t="s">
        <v>927</v>
      </c>
      <c r="B214" t="s">
        <v>928</v>
      </c>
      <c r="C214" t="s">
        <v>507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508</v>
      </c>
      <c r="J214" t="s">
        <v>508</v>
      </c>
      <c r="K214" t="s">
        <v>508</v>
      </c>
    </row>
    <row r="215" spans="1:12" x14ac:dyDescent="0.25">
      <c r="A215" t="s">
        <v>929</v>
      </c>
      <c r="B215" t="s">
        <v>930</v>
      </c>
      <c r="C215" t="s">
        <v>507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508</v>
      </c>
      <c r="J215" t="s">
        <v>508</v>
      </c>
      <c r="K215" t="s">
        <v>508</v>
      </c>
    </row>
    <row r="216" spans="1:12" x14ac:dyDescent="0.25">
      <c r="A216" t="s">
        <v>931</v>
      </c>
      <c r="B216" t="s">
        <v>932</v>
      </c>
      <c r="C216" t="s">
        <v>504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368</v>
      </c>
    </row>
    <row r="217" spans="1:12" x14ac:dyDescent="0.25">
      <c r="A217" t="s">
        <v>933</v>
      </c>
      <c r="B217" t="s">
        <v>934</v>
      </c>
      <c r="C217" t="s">
        <v>507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508</v>
      </c>
      <c r="J217" t="s">
        <v>508</v>
      </c>
      <c r="K217" t="s">
        <v>508</v>
      </c>
    </row>
    <row r="218" spans="1:12" x14ac:dyDescent="0.25">
      <c r="A218" t="s">
        <v>935</v>
      </c>
      <c r="B218" t="s">
        <v>936</v>
      </c>
      <c r="C218" t="s">
        <v>507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508</v>
      </c>
      <c r="J218" t="s">
        <v>508</v>
      </c>
      <c r="K218" t="s">
        <v>508</v>
      </c>
    </row>
    <row r="219" spans="1:12" x14ac:dyDescent="0.25">
      <c r="A219" t="s">
        <v>937</v>
      </c>
      <c r="B219" t="s">
        <v>938</v>
      </c>
      <c r="C219" t="s">
        <v>507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366</v>
      </c>
    </row>
    <row r="220" spans="1:12" x14ac:dyDescent="0.25">
      <c r="A220" t="s">
        <v>939</v>
      </c>
      <c r="B220" t="s">
        <v>940</v>
      </c>
      <c r="C220" t="s">
        <v>504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941</v>
      </c>
      <c r="B221" t="s">
        <v>942</v>
      </c>
      <c r="C221" t="s">
        <v>504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371</v>
      </c>
    </row>
    <row r="222" spans="1:12" x14ac:dyDescent="0.25">
      <c r="A222" t="s">
        <v>943</v>
      </c>
      <c r="B222" t="s">
        <v>944</v>
      </c>
      <c r="C222" t="s">
        <v>504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945</v>
      </c>
      <c r="B223" t="s">
        <v>946</v>
      </c>
      <c r="C223" t="s">
        <v>507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508</v>
      </c>
      <c r="J223" t="s">
        <v>508</v>
      </c>
      <c r="K223" t="s">
        <v>508</v>
      </c>
    </row>
    <row r="224" spans="1:12" x14ac:dyDescent="0.25">
      <c r="A224" t="s">
        <v>947</v>
      </c>
      <c r="B224" t="s">
        <v>948</v>
      </c>
      <c r="C224" t="s">
        <v>507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949</v>
      </c>
      <c r="B225" t="s">
        <v>950</v>
      </c>
      <c r="C225" t="s">
        <v>504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951</v>
      </c>
      <c r="B226" t="s">
        <v>952</v>
      </c>
      <c r="C226" t="s">
        <v>507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371</v>
      </c>
    </row>
    <row r="227" spans="1:12" x14ac:dyDescent="0.25">
      <c r="A227" t="s">
        <v>953</v>
      </c>
      <c r="B227" t="s">
        <v>954</v>
      </c>
      <c r="C227" t="s">
        <v>504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371</v>
      </c>
    </row>
    <row r="228" spans="1:12" x14ac:dyDescent="0.25">
      <c r="A228" t="s">
        <v>955</v>
      </c>
      <c r="B228" t="s">
        <v>956</v>
      </c>
      <c r="C228" t="s">
        <v>504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508</v>
      </c>
      <c r="J228" t="s">
        <v>508</v>
      </c>
      <c r="K228" t="s">
        <v>508</v>
      </c>
    </row>
    <row r="229" spans="1:12" x14ac:dyDescent="0.25">
      <c r="A229" t="s">
        <v>957</v>
      </c>
      <c r="B229" t="s">
        <v>958</v>
      </c>
      <c r="C229" t="s">
        <v>507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508</v>
      </c>
      <c r="J229" t="s">
        <v>508</v>
      </c>
      <c r="K229" t="s">
        <v>508</v>
      </c>
    </row>
    <row r="230" spans="1:12" x14ac:dyDescent="0.25">
      <c r="A230" t="s">
        <v>959</v>
      </c>
      <c r="B230" t="s">
        <v>960</v>
      </c>
      <c r="C230" t="s">
        <v>504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508</v>
      </c>
      <c r="J230" t="s">
        <v>508</v>
      </c>
      <c r="K230" t="s">
        <v>508</v>
      </c>
    </row>
    <row r="231" spans="1:12" x14ac:dyDescent="0.25">
      <c r="A231" t="s">
        <v>961</v>
      </c>
      <c r="B231" t="s">
        <v>962</v>
      </c>
      <c r="C231" t="s">
        <v>504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508</v>
      </c>
      <c r="J231" t="s">
        <v>508</v>
      </c>
      <c r="K231" t="s">
        <v>508</v>
      </c>
    </row>
    <row r="232" spans="1:12" x14ac:dyDescent="0.25">
      <c r="A232" t="s">
        <v>963</v>
      </c>
      <c r="B232" t="s">
        <v>964</v>
      </c>
      <c r="C232" t="s">
        <v>507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508</v>
      </c>
      <c r="J232" t="s">
        <v>508</v>
      </c>
      <c r="K232" t="s">
        <v>508</v>
      </c>
    </row>
    <row r="233" spans="1:12" x14ac:dyDescent="0.25">
      <c r="A233" t="s">
        <v>965</v>
      </c>
      <c r="B233" t="s">
        <v>966</v>
      </c>
      <c r="C233" t="s">
        <v>507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508</v>
      </c>
      <c r="J233" t="s">
        <v>508</v>
      </c>
      <c r="K233" t="s">
        <v>508</v>
      </c>
    </row>
    <row r="234" spans="1:12" x14ac:dyDescent="0.25">
      <c r="A234" t="s">
        <v>967</v>
      </c>
      <c r="B234" t="s">
        <v>968</v>
      </c>
      <c r="C234" t="s">
        <v>507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508</v>
      </c>
      <c r="J234" t="s">
        <v>508</v>
      </c>
      <c r="K234" t="s">
        <v>508</v>
      </c>
    </row>
    <row r="235" spans="1:12" x14ac:dyDescent="0.25">
      <c r="A235" t="s">
        <v>969</v>
      </c>
      <c r="B235" t="s">
        <v>970</v>
      </c>
      <c r="C235" t="s">
        <v>507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508</v>
      </c>
      <c r="J235" t="s">
        <v>508</v>
      </c>
      <c r="K235" t="s">
        <v>508</v>
      </c>
    </row>
    <row r="236" spans="1:12" x14ac:dyDescent="0.25">
      <c r="A236" t="s">
        <v>971</v>
      </c>
      <c r="B236" t="s">
        <v>972</v>
      </c>
      <c r="C236" t="s">
        <v>507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381</v>
      </c>
    </row>
    <row r="237" spans="1:12" x14ac:dyDescent="0.25">
      <c r="A237" t="s">
        <v>973</v>
      </c>
      <c r="B237" t="s">
        <v>974</v>
      </c>
      <c r="C237" t="s">
        <v>507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385</v>
      </c>
    </row>
    <row r="238" spans="1:12" x14ac:dyDescent="0.25">
      <c r="A238" t="s">
        <v>975</v>
      </c>
      <c r="B238" t="s">
        <v>976</v>
      </c>
      <c r="C238" t="s">
        <v>504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389</v>
      </c>
    </row>
    <row r="239" spans="1:12" x14ac:dyDescent="0.25">
      <c r="A239" t="s">
        <v>977</v>
      </c>
      <c r="B239" t="s">
        <v>978</v>
      </c>
      <c r="C239" t="s">
        <v>504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979</v>
      </c>
      <c r="B240" t="s">
        <v>980</v>
      </c>
      <c r="C240" t="s">
        <v>507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508</v>
      </c>
      <c r="J240" t="s">
        <v>508</v>
      </c>
      <c r="K240" t="s">
        <v>508</v>
      </c>
    </row>
    <row r="241" spans="1:11" x14ac:dyDescent="0.25">
      <c r="A241" t="s">
        <v>981</v>
      </c>
      <c r="B241" t="s">
        <v>982</v>
      </c>
      <c r="C241" t="s">
        <v>504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508</v>
      </c>
      <c r="J241" t="s">
        <v>508</v>
      </c>
      <c r="K241" t="s">
        <v>508</v>
      </c>
    </row>
    <row r="242" spans="1:11" x14ac:dyDescent="0.25">
      <c r="A242" t="s">
        <v>983</v>
      </c>
      <c r="B242" t="s">
        <v>984</v>
      </c>
      <c r="C242" t="s">
        <v>507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508</v>
      </c>
      <c r="J242" t="s">
        <v>508</v>
      </c>
      <c r="K242" t="s">
        <v>508</v>
      </c>
    </row>
    <row r="243" spans="1:11" x14ac:dyDescent="0.25">
      <c r="A243" t="s">
        <v>985</v>
      </c>
      <c r="B243" t="s">
        <v>986</v>
      </c>
      <c r="C243" t="s">
        <v>504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508</v>
      </c>
      <c r="J243" t="s">
        <v>508</v>
      </c>
      <c r="K243" t="s">
        <v>508</v>
      </c>
    </row>
    <row r="244" spans="1:11" x14ac:dyDescent="0.25">
      <c r="A244" t="s">
        <v>987</v>
      </c>
      <c r="B244" t="s">
        <v>988</v>
      </c>
      <c r="C244" t="s">
        <v>507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508</v>
      </c>
      <c r="J244" t="s">
        <v>508</v>
      </c>
      <c r="K244" t="s">
        <v>508</v>
      </c>
    </row>
    <row r="245" spans="1:11" x14ac:dyDescent="0.25">
      <c r="A245" t="s">
        <v>989</v>
      </c>
      <c r="B245" t="s">
        <v>990</v>
      </c>
      <c r="C245" t="s">
        <v>507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991</v>
      </c>
      <c r="B246" t="s">
        <v>992</v>
      </c>
      <c r="C246" t="s">
        <v>504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993</v>
      </c>
      <c r="B247" t="s">
        <v>994</v>
      </c>
      <c r="C247" t="s">
        <v>504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995</v>
      </c>
      <c r="B248" t="s">
        <v>996</v>
      </c>
      <c r="C248" t="s">
        <v>507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508</v>
      </c>
      <c r="J248" t="s">
        <v>508</v>
      </c>
      <c r="K248" t="s">
        <v>508</v>
      </c>
    </row>
    <row r="249" spans="1:11" x14ac:dyDescent="0.25">
      <c r="A249" t="s">
        <v>997</v>
      </c>
      <c r="B249" t="s">
        <v>998</v>
      </c>
      <c r="C249" t="s">
        <v>507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508</v>
      </c>
      <c r="J249" t="s">
        <v>508</v>
      </c>
      <c r="K249" t="s">
        <v>508</v>
      </c>
    </row>
    <row r="250" spans="1:11" x14ac:dyDescent="0.25">
      <c r="A250" t="s">
        <v>999</v>
      </c>
      <c r="B250" t="s">
        <v>1000</v>
      </c>
      <c r="C250" t="s">
        <v>504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1001</v>
      </c>
      <c r="B251" t="s">
        <v>1002</v>
      </c>
      <c r="C251" t="s">
        <v>507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508</v>
      </c>
      <c r="J251" t="s">
        <v>508</v>
      </c>
      <c r="K251" t="s">
        <v>508</v>
      </c>
    </row>
    <row r="252" spans="1:11" x14ac:dyDescent="0.25">
      <c r="A252" t="s">
        <v>1003</v>
      </c>
      <c r="B252" t="s">
        <v>1004</v>
      </c>
      <c r="C252" t="s">
        <v>507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508</v>
      </c>
      <c r="J252" t="s">
        <v>508</v>
      </c>
      <c r="K252" t="s">
        <v>508</v>
      </c>
    </row>
    <row r="253" spans="1:11" x14ac:dyDescent="0.25">
      <c r="A253" t="s">
        <v>1005</v>
      </c>
      <c r="B253" t="s">
        <v>1006</v>
      </c>
      <c r="C253" t="s">
        <v>504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1007</v>
      </c>
      <c r="B254" t="s">
        <v>1008</v>
      </c>
      <c r="C254" t="s">
        <v>507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508</v>
      </c>
      <c r="J254" t="s">
        <v>508</v>
      </c>
      <c r="K254" t="s">
        <v>508</v>
      </c>
    </row>
    <row r="255" spans="1:11" x14ac:dyDescent="0.25">
      <c r="A255" t="s">
        <v>1009</v>
      </c>
      <c r="B255" t="s">
        <v>1010</v>
      </c>
      <c r="C255" t="s">
        <v>507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508</v>
      </c>
      <c r="J255" t="s">
        <v>508</v>
      </c>
      <c r="K255" t="s">
        <v>508</v>
      </c>
    </row>
    <row r="256" spans="1:11" x14ac:dyDescent="0.25">
      <c r="A256" t="s">
        <v>1011</v>
      </c>
      <c r="B256" t="s">
        <v>1012</v>
      </c>
      <c r="C256" t="s">
        <v>504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1013</v>
      </c>
      <c r="B257" t="s">
        <v>1014</v>
      </c>
      <c r="C257" t="s">
        <v>507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398</v>
      </c>
    </row>
    <row r="258" spans="1:12" x14ac:dyDescent="0.25">
      <c r="A258" t="s">
        <v>1015</v>
      </c>
      <c r="B258" t="s">
        <v>1016</v>
      </c>
      <c r="C258" t="s">
        <v>504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422</v>
      </c>
    </row>
    <row r="259" spans="1:12" x14ac:dyDescent="0.25">
      <c r="A259" t="s">
        <v>1017</v>
      </c>
      <c r="B259" t="s">
        <v>1018</v>
      </c>
      <c r="C259" t="s">
        <v>507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1019</v>
      </c>
      <c r="B260" t="s">
        <v>1020</v>
      </c>
      <c r="C260" t="s">
        <v>507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1021</v>
      </c>
      <c r="B261" t="s">
        <v>1022</v>
      </c>
      <c r="C261" t="s">
        <v>507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1023</v>
      </c>
      <c r="B262" t="s">
        <v>1024</v>
      </c>
      <c r="C262" t="s">
        <v>504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1025</v>
      </c>
      <c r="B263" t="s">
        <v>1026</v>
      </c>
      <c r="C263" t="s">
        <v>504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1027</v>
      </c>
      <c r="B264" t="s">
        <v>1028</v>
      </c>
      <c r="C264" t="s">
        <v>507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406</v>
      </c>
    </row>
    <row r="265" spans="1:12" x14ac:dyDescent="0.25">
      <c r="A265" t="s">
        <v>1029</v>
      </c>
      <c r="B265" t="s">
        <v>1030</v>
      </c>
      <c r="C265" t="s">
        <v>507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406</v>
      </c>
    </row>
    <row r="266" spans="1:12" x14ac:dyDescent="0.25">
      <c r="A266" t="s">
        <v>1031</v>
      </c>
      <c r="B266" t="s">
        <v>1032</v>
      </c>
      <c r="C266" t="s">
        <v>504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406</v>
      </c>
    </row>
    <row r="267" spans="1:12" x14ac:dyDescent="0.25">
      <c r="A267" t="s">
        <v>1033</v>
      </c>
      <c r="B267" t="s">
        <v>1034</v>
      </c>
      <c r="C267" t="s">
        <v>507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508</v>
      </c>
      <c r="J267" t="s">
        <v>508</v>
      </c>
      <c r="K267" t="s">
        <v>508</v>
      </c>
    </row>
    <row r="268" spans="1:12" x14ac:dyDescent="0.25">
      <c r="A268" t="s">
        <v>1035</v>
      </c>
      <c r="B268" t="s">
        <v>1036</v>
      </c>
      <c r="C268" t="s">
        <v>507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508</v>
      </c>
      <c r="J268" t="s">
        <v>508</v>
      </c>
      <c r="K268" t="s">
        <v>508</v>
      </c>
    </row>
    <row r="269" spans="1:12" x14ac:dyDescent="0.25">
      <c r="A269" t="s">
        <v>1037</v>
      </c>
      <c r="B269" t="s">
        <v>1038</v>
      </c>
      <c r="C269" t="s">
        <v>507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406</v>
      </c>
    </row>
    <row r="270" spans="1:12" x14ac:dyDescent="0.25">
      <c r="A270" t="s">
        <v>1039</v>
      </c>
      <c r="B270" t="s">
        <v>1040</v>
      </c>
      <c r="C270" t="s">
        <v>507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385</v>
      </c>
    </row>
    <row r="271" spans="1:12" x14ac:dyDescent="0.25">
      <c r="A271" t="s">
        <v>1041</v>
      </c>
      <c r="B271" t="s">
        <v>1042</v>
      </c>
      <c r="C271" t="s">
        <v>507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406</v>
      </c>
    </row>
    <row r="272" spans="1:12" x14ac:dyDescent="0.25">
      <c r="A272" t="s">
        <v>1043</v>
      </c>
      <c r="B272" t="s">
        <v>1044</v>
      </c>
      <c r="C272" t="s">
        <v>504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406</v>
      </c>
    </row>
    <row r="273" spans="1:12" x14ac:dyDescent="0.25">
      <c r="A273" t="s">
        <v>1045</v>
      </c>
      <c r="B273" t="s">
        <v>1046</v>
      </c>
      <c r="C273" t="s">
        <v>507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508</v>
      </c>
      <c r="J273" t="s">
        <v>508</v>
      </c>
      <c r="K273" t="s">
        <v>508</v>
      </c>
    </row>
    <row r="274" spans="1:12" x14ac:dyDescent="0.25">
      <c r="A274" t="s">
        <v>1047</v>
      </c>
      <c r="B274" t="s">
        <v>1048</v>
      </c>
      <c r="C274" t="s">
        <v>507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508</v>
      </c>
      <c r="J274" t="s">
        <v>508</v>
      </c>
      <c r="K274" t="s">
        <v>508</v>
      </c>
    </row>
    <row r="275" spans="1:12" x14ac:dyDescent="0.25">
      <c r="A275" t="s">
        <v>1049</v>
      </c>
      <c r="B275" t="s">
        <v>1050</v>
      </c>
      <c r="C275" t="s">
        <v>507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406</v>
      </c>
    </row>
    <row r="276" spans="1:12" x14ac:dyDescent="0.25">
      <c r="A276" t="s">
        <v>1051</v>
      </c>
      <c r="B276" t="s">
        <v>1052</v>
      </c>
      <c r="C276" t="s">
        <v>504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406</v>
      </c>
    </row>
    <row r="277" spans="1:12" x14ac:dyDescent="0.25">
      <c r="A277" t="s">
        <v>1053</v>
      </c>
      <c r="B277" t="s">
        <v>1054</v>
      </c>
      <c r="C277" t="s">
        <v>507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1055</v>
      </c>
      <c r="B278" t="s">
        <v>1056</v>
      </c>
      <c r="C278" t="s">
        <v>507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1057</v>
      </c>
      <c r="B279" t="s">
        <v>1058</v>
      </c>
      <c r="C279" t="s">
        <v>504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406</v>
      </c>
    </row>
    <row r="280" spans="1:12" x14ac:dyDescent="0.25">
      <c r="A280" t="s">
        <v>1059</v>
      </c>
      <c r="B280" t="s">
        <v>1060</v>
      </c>
      <c r="C280" t="s">
        <v>507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1061</v>
      </c>
      <c r="B281" t="s">
        <v>1062</v>
      </c>
      <c r="C281" t="s">
        <v>504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1063</v>
      </c>
      <c r="B282" t="s">
        <v>1064</v>
      </c>
      <c r="C282" t="s">
        <v>504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422</v>
      </c>
    </row>
    <row r="283" spans="1:12" x14ac:dyDescent="0.25">
      <c r="A283" t="s">
        <v>1065</v>
      </c>
      <c r="B283" t="s">
        <v>1066</v>
      </c>
      <c r="C283" t="s">
        <v>507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1067</v>
      </c>
      <c r="B284" t="s">
        <v>1068</v>
      </c>
      <c r="C284" t="s">
        <v>507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1069</v>
      </c>
      <c r="B285" t="s">
        <v>1070</v>
      </c>
      <c r="C285" t="s">
        <v>504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1071</v>
      </c>
      <c r="B286" t="s">
        <v>1072</v>
      </c>
      <c r="C286" t="s">
        <v>507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508</v>
      </c>
      <c r="J286" t="s">
        <v>508</v>
      </c>
      <c r="K286" t="s">
        <v>508</v>
      </c>
    </row>
    <row r="287" spans="1:12" x14ac:dyDescent="0.25">
      <c r="A287" t="s">
        <v>1073</v>
      </c>
      <c r="B287" t="s">
        <v>1074</v>
      </c>
      <c r="C287" t="s">
        <v>507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1075</v>
      </c>
      <c r="B288" t="s">
        <v>1076</v>
      </c>
      <c r="C288" t="s">
        <v>507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1077</v>
      </c>
      <c r="B289" t="s">
        <v>1078</v>
      </c>
      <c r="C289" t="s">
        <v>504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1079</v>
      </c>
      <c r="B290" t="s">
        <v>1080</v>
      </c>
      <c r="C290" t="s">
        <v>507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508</v>
      </c>
      <c r="J290" t="s">
        <v>508</v>
      </c>
      <c r="K290" t="s">
        <v>508</v>
      </c>
    </row>
    <row r="291" spans="1:12" x14ac:dyDescent="0.25">
      <c r="A291" t="s">
        <v>1081</v>
      </c>
      <c r="B291" t="s">
        <v>1082</v>
      </c>
      <c r="C291" t="s">
        <v>507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508</v>
      </c>
      <c r="J291" t="s">
        <v>508</v>
      </c>
      <c r="K291" t="s">
        <v>508</v>
      </c>
    </row>
    <row r="292" spans="1:12" x14ac:dyDescent="0.25">
      <c r="A292" t="s">
        <v>1083</v>
      </c>
      <c r="B292" t="s">
        <v>1084</v>
      </c>
      <c r="C292" t="s">
        <v>504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1085</v>
      </c>
      <c r="B293" t="s">
        <v>1086</v>
      </c>
      <c r="C293" t="s">
        <v>507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508</v>
      </c>
      <c r="J293" t="s">
        <v>508</v>
      </c>
      <c r="K293" t="s">
        <v>508</v>
      </c>
    </row>
    <row r="294" spans="1:12" x14ac:dyDescent="0.25">
      <c r="A294" t="s">
        <v>1087</v>
      </c>
      <c r="B294" t="s">
        <v>1088</v>
      </c>
      <c r="C294" t="s">
        <v>507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508</v>
      </c>
      <c r="J294" t="s">
        <v>508</v>
      </c>
      <c r="K294" t="s">
        <v>508</v>
      </c>
    </row>
    <row r="295" spans="1:12" x14ac:dyDescent="0.25">
      <c r="A295" t="s">
        <v>1089</v>
      </c>
      <c r="B295" t="s">
        <v>1090</v>
      </c>
      <c r="C295" t="s">
        <v>507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1091</v>
      </c>
      <c r="B296" t="s">
        <v>1092</v>
      </c>
      <c r="C296" t="s">
        <v>504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66</v>
      </c>
    </row>
    <row r="297" spans="1:12" x14ac:dyDescent="0.25">
      <c r="A297" t="s">
        <v>1093</v>
      </c>
      <c r="B297" t="s">
        <v>1094</v>
      </c>
      <c r="C297" t="s">
        <v>507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508</v>
      </c>
      <c r="J297" t="s">
        <v>508</v>
      </c>
      <c r="K297" t="s">
        <v>508</v>
      </c>
    </row>
    <row r="298" spans="1:12" x14ac:dyDescent="0.25">
      <c r="A298" t="s">
        <v>1095</v>
      </c>
      <c r="B298" t="s">
        <v>1096</v>
      </c>
      <c r="C298" t="s">
        <v>507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508</v>
      </c>
      <c r="J298" t="s">
        <v>508</v>
      </c>
      <c r="K298" t="s">
        <v>508</v>
      </c>
    </row>
    <row r="299" spans="1:12" x14ac:dyDescent="0.25">
      <c r="A299" t="s">
        <v>1097</v>
      </c>
      <c r="B299" t="s">
        <v>1098</v>
      </c>
      <c r="C299" t="s">
        <v>507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508</v>
      </c>
      <c r="J299" t="s">
        <v>508</v>
      </c>
      <c r="K299" t="s">
        <v>508</v>
      </c>
    </row>
    <row r="300" spans="1:12" x14ac:dyDescent="0.25">
      <c r="A300" t="s">
        <v>1099</v>
      </c>
      <c r="B300" t="s">
        <v>1100</v>
      </c>
      <c r="C300" t="s">
        <v>504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508</v>
      </c>
      <c r="J300" t="s">
        <v>508</v>
      </c>
      <c r="K300" t="s">
        <v>508</v>
      </c>
    </row>
    <row r="301" spans="1:12" x14ac:dyDescent="0.25">
      <c r="A301" t="s">
        <v>1101</v>
      </c>
      <c r="B301" t="s">
        <v>1102</v>
      </c>
      <c r="C301" t="s">
        <v>504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508</v>
      </c>
      <c r="J301" t="s">
        <v>508</v>
      </c>
      <c r="K301" t="s">
        <v>508</v>
      </c>
    </row>
    <row r="302" spans="1:12" x14ac:dyDescent="0.25">
      <c r="A302" t="s">
        <v>1103</v>
      </c>
      <c r="B302" t="s">
        <v>1104</v>
      </c>
      <c r="C302" t="s">
        <v>504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432</v>
      </c>
    </row>
    <row r="303" spans="1:12" x14ac:dyDescent="0.25">
      <c r="A303" t="s">
        <v>1105</v>
      </c>
      <c r="B303" t="s">
        <v>1106</v>
      </c>
      <c r="C303" t="s">
        <v>507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1107</v>
      </c>
      <c r="B304" t="s">
        <v>1108</v>
      </c>
      <c r="C304" t="s">
        <v>504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1109</v>
      </c>
      <c r="B305" t="s">
        <v>1110</v>
      </c>
      <c r="C305" t="s">
        <v>507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508</v>
      </c>
      <c r="J305" t="s">
        <v>508</v>
      </c>
      <c r="K305" t="s">
        <v>508</v>
      </c>
    </row>
    <row r="306" spans="1:12" x14ac:dyDescent="0.25">
      <c r="A306" t="s">
        <v>1111</v>
      </c>
      <c r="B306" t="s">
        <v>1112</v>
      </c>
      <c r="C306" t="s">
        <v>507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508</v>
      </c>
      <c r="J306" t="s">
        <v>508</v>
      </c>
      <c r="K306" t="s">
        <v>508</v>
      </c>
    </row>
    <row r="307" spans="1:12" x14ac:dyDescent="0.25">
      <c r="A307" t="s">
        <v>1113</v>
      </c>
      <c r="B307" t="s">
        <v>1114</v>
      </c>
      <c r="C307" t="s">
        <v>504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1115</v>
      </c>
      <c r="B308" t="s">
        <v>1116</v>
      </c>
      <c r="C308" t="s">
        <v>507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508</v>
      </c>
      <c r="J308" t="s">
        <v>508</v>
      </c>
      <c r="K308" t="s">
        <v>508</v>
      </c>
    </row>
    <row r="309" spans="1:12" x14ac:dyDescent="0.25">
      <c r="A309" t="s">
        <v>1117</v>
      </c>
      <c r="B309" t="s">
        <v>1118</v>
      </c>
      <c r="C309" t="s">
        <v>507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508</v>
      </c>
      <c r="J309" t="s">
        <v>508</v>
      </c>
      <c r="K309" t="s">
        <v>508</v>
      </c>
    </row>
    <row r="310" spans="1:12" x14ac:dyDescent="0.25">
      <c r="A310" t="s">
        <v>1119</v>
      </c>
      <c r="B310" t="s">
        <v>1120</v>
      </c>
      <c r="C310" t="s">
        <v>507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508</v>
      </c>
      <c r="J310" t="s">
        <v>508</v>
      </c>
      <c r="K310" t="s">
        <v>508</v>
      </c>
    </row>
    <row r="311" spans="1:12" x14ac:dyDescent="0.25">
      <c r="A311" t="s">
        <v>1121</v>
      </c>
      <c r="B311" t="s">
        <v>1122</v>
      </c>
      <c r="C311" t="s">
        <v>507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508</v>
      </c>
      <c r="J311" t="s">
        <v>508</v>
      </c>
      <c r="K311" t="s">
        <v>508</v>
      </c>
    </row>
    <row r="312" spans="1:12" x14ac:dyDescent="0.25">
      <c r="A312" t="s">
        <v>1123</v>
      </c>
      <c r="B312" t="s">
        <v>1124</v>
      </c>
      <c r="C312" t="s">
        <v>504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432</v>
      </c>
    </row>
    <row r="313" spans="1:12" x14ac:dyDescent="0.25">
      <c r="A313" t="s">
        <v>1125</v>
      </c>
      <c r="B313" t="s">
        <v>1126</v>
      </c>
      <c r="C313" t="s">
        <v>507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508</v>
      </c>
      <c r="J313" t="s">
        <v>508</v>
      </c>
      <c r="K313" t="s">
        <v>508</v>
      </c>
    </row>
    <row r="314" spans="1:12" x14ac:dyDescent="0.25">
      <c r="A314" t="s">
        <v>1127</v>
      </c>
      <c r="B314" t="s">
        <v>1128</v>
      </c>
      <c r="C314" t="s">
        <v>507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508</v>
      </c>
      <c r="J314" t="s">
        <v>508</v>
      </c>
      <c r="K314" t="s">
        <v>508</v>
      </c>
    </row>
    <row r="315" spans="1:12" x14ac:dyDescent="0.25">
      <c r="A315" t="s">
        <v>1129</v>
      </c>
      <c r="B315" t="s">
        <v>1130</v>
      </c>
      <c r="C315" t="s">
        <v>504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508</v>
      </c>
      <c r="J315" t="s">
        <v>508</v>
      </c>
      <c r="K315" t="s">
        <v>508</v>
      </c>
    </row>
    <row r="316" spans="1:12" x14ac:dyDescent="0.25">
      <c r="A316" t="s">
        <v>1131</v>
      </c>
      <c r="B316" t="s">
        <v>1132</v>
      </c>
      <c r="C316" t="s">
        <v>507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508</v>
      </c>
      <c r="J316" t="s">
        <v>508</v>
      </c>
      <c r="K316" t="s">
        <v>508</v>
      </c>
    </row>
    <row r="317" spans="1:12" x14ac:dyDescent="0.25">
      <c r="A317" t="s">
        <v>1133</v>
      </c>
      <c r="B317" t="s">
        <v>1134</v>
      </c>
      <c r="C317" t="s">
        <v>507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508</v>
      </c>
      <c r="J317" t="s">
        <v>508</v>
      </c>
      <c r="K317" t="s">
        <v>508</v>
      </c>
    </row>
    <row r="318" spans="1:12" x14ac:dyDescent="0.25">
      <c r="A318" t="s">
        <v>1135</v>
      </c>
      <c r="B318" t="s">
        <v>1136</v>
      </c>
      <c r="C318" t="s">
        <v>507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508</v>
      </c>
      <c r="J318" t="s">
        <v>508</v>
      </c>
      <c r="K318" t="s">
        <v>508</v>
      </c>
    </row>
    <row r="319" spans="1:12" x14ac:dyDescent="0.25">
      <c r="A319" t="s">
        <v>1137</v>
      </c>
      <c r="B319" t="s">
        <v>1138</v>
      </c>
      <c r="C319" t="s">
        <v>507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508</v>
      </c>
      <c r="J319" t="s">
        <v>508</v>
      </c>
      <c r="K319" t="s">
        <v>508</v>
      </c>
    </row>
    <row r="320" spans="1:12" x14ac:dyDescent="0.25">
      <c r="A320" t="s">
        <v>1139</v>
      </c>
      <c r="B320" t="s">
        <v>1140</v>
      </c>
      <c r="C320" t="s">
        <v>504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508</v>
      </c>
      <c r="J320" t="s">
        <v>508</v>
      </c>
      <c r="K320" t="s">
        <v>508</v>
      </c>
    </row>
    <row r="321" spans="1:12" x14ac:dyDescent="0.25">
      <c r="A321" t="s">
        <v>1141</v>
      </c>
      <c r="B321" t="s">
        <v>1142</v>
      </c>
      <c r="C321" t="s">
        <v>507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508</v>
      </c>
      <c r="J321" t="s">
        <v>508</v>
      </c>
      <c r="K321" t="s">
        <v>508</v>
      </c>
    </row>
    <row r="322" spans="1:12" x14ac:dyDescent="0.25">
      <c r="A322" t="s">
        <v>1143</v>
      </c>
      <c r="B322" t="s">
        <v>1144</v>
      </c>
      <c r="C322" t="s">
        <v>507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508</v>
      </c>
      <c r="J322" t="s">
        <v>508</v>
      </c>
      <c r="K322" t="s">
        <v>508</v>
      </c>
    </row>
    <row r="323" spans="1:12" x14ac:dyDescent="0.25">
      <c r="A323" t="s">
        <v>1145</v>
      </c>
      <c r="B323" t="s">
        <v>1146</v>
      </c>
      <c r="C323" t="s">
        <v>507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508</v>
      </c>
      <c r="J323" t="s">
        <v>508</v>
      </c>
      <c r="K323" t="s">
        <v>508</v>
      </c>
    </row>
    <row r="324" spans="1:12" x14ac:dyDescent="0.25">
      <c r="A324" t="s">
        <v>1147</v>
      </c>
      <c r="B324" t="s">
        <v>1148</v>
      </c>
      <c r="C324" t="s">
        <v>507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508</v>
      </c>
      <c r="J324" t="s">
        <v>508</v>
      </c>
      <c r="K324" t="s">
        <v>508</v>
      </c>
    </row>
    <row r="325" spans="1:12" x14ac:dyDescent="0.25">
      <c r="A325" t="s">
        <v>1149</v>
      </c>
      <c r="B325" t="s">
        <v>1150</v>
      </c>
      <c r="C325" t="s">
        <v>507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508</v>
      </c>
      <c r="J325" t="s">
        <v>508</v>
      </c>
      <c r="K325" t="s">
        <v>508</v>
      </c>
    </row>
    <row r="326" spans="1:12" x14ac:dyDescent="0.25">
      <c r="A326" t="s">
        <v>1151</v>
      </c>
      <c r="B326" t="s">
        <v>1152</v>
      </c>
      <c r="C326" t="s">
        <v>507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508</v>
      </c>
      <c r="J326" t="s">
        <v>508</v>
      </c>
      <c r="K326" t="s">
        <v>508</v>
      </c>
    </row>
    <row r="327" spans="1:12" x14ac:dyDescent="0.25">
      <c r="A327" t="s">
        <v>1153</v>
      </c>
      <c r="B327" t="s">
        <v>1154</v>
      </c>
      <c r="C327" t="s">
        <v>507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508</v>
      </c>
      <c r="J327" t="s">
        <v>508</v>
      </c>
      <c r="K327" t="s">
        <v>508</v>
      </c>
    </row>
    <row r="328" spans="1:12" x14ac:dyDescent="0.25">
      <c r="A328" t="s">
        <v>1155</v>
      </c>
      <c r="B328" t="s">
        <v>1156</v>
      </c>
      <c r="C328" t="s">
        <v>504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508</v>
      </c>
      <c r="J328" t="s">
        <v>508</v>
      </c>
      <c r="K328" t="s">
        <v>508</v>
      </c>
    </row>
    <row r="329" spans="1:12" x14ac:dyDescent="0.25">
      <c r="A329" t="s">
        <v>1157</v>
      </c>
      <c r="B329" t="s">
        <v>1158</v>
      </c>
      <c r="C329" t="s">
        <v>504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436</v>
      </c>
    </row>
    <row r="330" spans="1:12" x14ac:dyDescent="0.25">
      <c r="A330" t="s">
        <v>1159</v>
      </c>
      <c r="B330" t="s">
        <v>1160</v>
      </c>
      <c r="C330" t="s">
        <v>507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1161</v>
      </c>
      <c r="B331" t="s">
        <v>1162</v>
      </c>
      <c r="C331" t="s">
        <v>507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1163</v>
      </c>
      <c r="B332" t="s">
        <v>1164</v>
      </c>
      <c r="C332" t="s">
        <v>504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1165</v>
      </c>
      <c r="B333" t="s">
        <v>1166</v>
      </c>
      <c r="C333" t="s">
        <v>507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508</v>
      </c>
      <c r="J333" t="s">
        <v>508</v>
      </c>
      <c r="K333" t="s">
        <v>508</v>
      </c>
    </row>
    <row r="334" spans="1:12" x14ac:dyDescent="0.25">
      <c r="A334" t="s">
        <v>1167</v>
      </c>
      <c r="B334" t="s">
        <v>1168</v>
      </c>
      <c r="C334" t="s">
        <v>507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508</v>
      </c>
      <c r="J334" t="s">
        <v>508</v>
      </c>
      <c r="K334" t="s">
        <v>508</v>
      </c>
    </row>
    <row r="335" spans="1:12" x14ac:dyDescent="0.25">
      <c r="A335" t="s">
        <v>1169</v>
      </c>
      <c r="B335" t="s">
        <v>1170</v>
      </c>
      <c r="C335" t="s">
        <v>507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508</v>
      </c>
      <c r="J335" t="s">
        <v>508</v>
      </c>
      <c r="K335" t="s">
        <v>508</v>
      </c>
    </row>
    <row r="336" spans="1:12" x14ac:dyDescent="0.25">
      <c r="A336" t="s">
        <v>1171</v>
      </c>
      <c r="B336" t="s">
        <v>1172</v>
      </c>
      <c r="C336" t="s">
        <v>507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508</v>
      </c>
      <c r="J336" t="s">
        <v>508</v>
      </c>
      <c r="K336" t="s">
        <v>508</v>
      </c>
    </row>
    <row r="337" spans="1:12" x14ac:dyDescent="0.25">
      <c r="A337" t="s">
        <v>1173</v>
      </c>
      <c r="B337" t="s">
        <v>1174</v>
      </c>
      <c r="C337" t="s">
        <v>507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508</v>
      </c>
      <c r="J337" t="s">
        <v>508</v>
      </c>
      <c r="K337" t="s">
        <v>508</v>
      </c>
    </row>
    <row r="338" spans="1:12" x14ac:dyDescent="0.25">
      <c r="A338" t="s">
        <v>1175</v>
      </c>
      <c r="B338" t="s">
        <v>1176</v>
      </c>
      <c r="C338" t="s">
        <v>504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1177</v>
      </c>
      <c r="B339" t="s">
        <v>1178</v>
      </c>
      <c r="C339" t="s">
        <v>507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508</v>
      </c>
      <c r="J339" t="s">
        <v>508</v>
      </c>
      <c r="K339" t="s">
        <v>508</v>
      </c>
    </row>
    <row r="340" spans="1:12" x14ac:dyDescent="0.25">
      <c r="A340" t="s">
        <v>1179</v>
      </c>
      <c r="B340" t="s">
        <v>1180</v>
      </c>
      <c r="C340" t="s">
        <v>507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1181</v>
      </c>
      <c r="B341" t="s">
        <v>1182</v>
      </c>
      <c r="C341" t="s">
        <v>507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1183</v>
      </c>
      <c r="B342" t="s">
        <v>1184</v>
      </c>
      <c r="C342" t="s">
        <v>504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1185</v>
      </c>
      <c r="B343" t="s">
        <v>1186</v>
      </c>
      <c r="C343" t="s">
        <v>507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508</v>
      </c>
      <c r="J343" t="s">
        <v>508</v>
      </c>
      <c r="K343" t="s">
        <v>508</v>
      </c>
    </row>
    <row r="344" spans="1:12" x14ac:dyDescent="0.25">
      <c r="A344" t="s">
        <v>1187</v>
      </c>
      <c r="B344" t="s">
        <v>1188</v>
      </c>
      <c r="C344" t="s">
        <v>507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508</v>
      </c>
      <c r="J344" t="s">
        <v>508</v>
      </c>
      <c r="K344" t="s">
        <v>508</v>
      </c>
    </row>
    <row r="345" spans="1:12" x14ac:dyDescent="0.25">
      <c r="A345" t="s">
        <v>1189</v>
      </c>
      <c r="B345" t="s">
        <v>1190</v>
      </c>
      <c r="C345" t="s">
        <v>504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508</v>
      </c>
      <c r="J345" t="s">
        <v>508</v>
      </c>
      <c r="K345" t="s">
        <v>508</v>
      </c>
    </row>
    <row r="346" spans="1:12" x14ac:dyDescent="0.25">
      <c r="A346" t="s">
        <v>1191</v>
      </c>
      <c r="B346" t="s">
        <v>1192</v>
      </c>
      <c r="C346" t="s">
        <v>504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436</v>
      </c>
    </row>
    <row r="347" spans="1:12" x14ac:dyDescent="0.25">
      <c r="A347" t="s">
        <v>1193</v>
      </c>
      <c r="B347" t="s">
        <v>1194</v>
      </c>
      <c r="C347" t="s">
        <v>507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508</v>
      </c>
      <c r="J347" t="s">
        <v>508</v>
      </c>
      <c r="K347" t="s">
        <v>508</v>
      </c>
    </row>
    <row r="348" spans="1:12" x14ac:dyDescent="0.25">
      <c r="A348" t="s">
        <v>1195</v>
      </c>
      <c r="B348" t="s">
        <v>1196</v>
      </c>
      <c r="C348" t="s">
        <v>507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508</v>
      </c>
      <c r="J348" t="s">
        <v>508</v>
      </c>
      <c r="K348" t="s">
        <v>508</v>
      </c>
    </row>
    <row r="349" spans="1:12" x14ac:dyDescent="0.25">
      <c r="A349" t="s">
        <v>1197</v>
      </c>
      <c r="B349" t="s">
        <v>1198</v>
      </c>
      <c r="C349" t="s">
        <v>507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508</v>
      </c>
      <c r="J349" t="s">
        <v>508</v>
      </c>
      <c r="K349" t="s">
        <v>508</v>
      </c>
    </row>
    <row r="350" spans="1:12" x14ac:dyDescent="0.25">
      <c r="A350" t="s">
        <v>1199</v>
      </c>
      <c r="B350" t="s">
        <v>1200</v>
      </c>
      <c r="C350" t="s">
        <v>504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436</v>
      </c>
    </row>
    <row r="351" spans="1:12" x14ac:dyDescent="0.25">
      <c r="A351" t="s">
        <v>1201</v>
      </c>
      <c r="B351" t="s">
        <v>1202</v>
      </c>
      <c r="C351" t="s">
        <v>507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508</v>
      </c>
      <c r="J351" t="s">
        <v>508</v>
      </c>
      <c r="K351" t="s">
        <v>508</v>
      </c>
    </row>
    <row r="352" spans="1:12" x14ac:dyDescent="0.25">
      <c r="A352" t="s">
        <v>1203</v>
      </c>
      <c r="B352" t="s">
        <v>1204</v>
      </c>
      <c r="C352" t="s">
        <v>507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508</v>
      </c>
      <c r="J352" t="s">
        <v>508</v>
      </c>
      <c r="K352" t="s">
        <v>508</v>
      </c>
    </row>
    <row r="353" spans="1:12" x14ac:dyDescent="0.25">
      <c r="A353" t="s">
        <v>1205</v>
      </c>
      <c r="B353" t="s">
        <v>1206</v>
      </c>
      <c r="C353" t="s">
        <v>507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508</v>
      </c>
      <c r="J353" t="s">
        <v>508</v>
      </c>
      <c r="K353" t="s">
        <v>508</v>
      </c>
    </row>
    <row r="354" spans="1:12" x14ac:dyDescent="0.25">
      <c r="A354" t="s">
        <v>1207</v>
      </c>
      <c r="B354" t="s">
        <v>1208</v>
      </c>
      <c r="C354" t="s">
        <v>507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508</v>
      </c>
      <c r="J354" t="s">
        <v>508</v>
      </c>
      <c r="K354" t="s">
        <v>508</v>
      </c>
    </row>
    <row r="355" spans="1:12" x14ac:dyDescent="0.25">
      <c r="A355" t="s">
        <v>1209</v>
      </c>
      <c r="B355" t="s">
        <v>1210</v>
      </c>
      <c r="C355" t="s">
        <v>507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508</v>
      </c>
      <c r="J355" t="s">
        <v>508</v>
      </c>
      <c r="K355" t="s">
        <v>508</v>
      </c>
    </row>
    <row r="356" spans="1:12" x14ac:dyDescent="0.25">
      <c r="A356" t="s">
        <v>1211</v>
      </c>
      <c r="B356" t="s">
        <v>1212</v>
      </c>
      <c r="C356" t="s">
        <v>507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508</v>
      </c>
      <c r="J356" t="s">
        <v>508</v>
      </c>
      <c r="K356" t="s">
        <v>508</v>
      </c>
    </row>
    <row r="357" spans="1:12" x14ac:dyDescent="0.25">
      <c r="A357" t="s">
        <v>1213</v>
      </c>
      <c r="B357" t="s">
        <v>1214</v>
      </c>
      <c r="C357" t="s">
        <v>504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436</v>
      </c>
    </row>
    <row r="358" spans="1:12" x14ac:dyDescent="0.25">
      <c r="A358" t="s">
        <v>1215</v>
      </c>
      <c r="B358" t="s">
        <v>1216</v>
      </c>
      <c r="C358" t="s">
        <v>507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508</v>
      </c>
      <c r="J358" t="s">
        <v>508</v>
      </c>
      <c r="K358" t="s">
        <v>508</v>
      </c>
    </row>
    <row r="359" spans="1:12" x14ac:dyDescent="0.25">
      <c r="A359" t="s">
        <v>1217</v>
      </c>
      <c r="B359" t="s">
        <v>1218</v>
      </c>
      <c r="C359" t="s">
        <v>507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508</v>
      </c>
      <c r="J359" t="s">
        <v>508</v>
      </c>
      <c r="K359" t="s">
        <v>508</v>
      </c>
    </row>
    <row r="360" spans="1:12" x14ac:dyDescent="0.25">
      <c r="A360" t="s">
        <v>1219</v>
      </c>
      <c r="B360" t="s">
        <v>1220</v>
      </c>
      <c r="C360" t="s">
        <v>504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508</v>
      </c>
      <c r="J360" t="s">
        <v>508</v>
      </c>
      <c r="K360" t="s">
        <v>508</v>
      </c>
    </row>
    <row r="361" spans="1:12" x14ac:dyDescent="0.25">
      <c r="A361" t="s">
        <v>1221</v>
      </c>
      <c r="B361" t="s">
        <v>1222</v>
      </c>
      <c r="C361" t="s">
        <v>507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508</v>
      </c>
      <c r="J361" t="s">
        <v>508</v>
      </c>
      <c r="K361" t="s">
        <v>508</v>
      </c>
    </row>
    <row r="362" spans="1:12" x14ac:dyDescent="0.25">
      <c r="A362" t="s">
        <v>1223</v>
      </c>
      <c r="B362" t="s">
        <v>1224</v>
      </c>
      <c r="C362" t="s">
        <v>507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508</v>
      </c>
      <c r="J362" t="s">
        <v>508</v>
      </c>
      <c r="K362" t="s">
        <v>508</v>
      </c>
    </row>
    <row r="363" spans="1:12" x14ac:dyDescent="0.25">
      <c r="A363" t="s">
        <v>1225</v>
      </c>
      <c r="B363" t="s">
        <v>1226</v>
      </c>
      <c r="C363" t="s">
        <v>507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508</v>
      </c>
      <c r="J363" t="s">
        <v>508</v>
      </c>
      <c r="K363" t="s">
        <v>508</v>
      </c>
    </row>
    <row r="364" spans="1:12" x14ac:dyDescent="0.25">
      <c r="A364" t="s">
        <v>1227</v>
      </c>
      <c r="B364" t="s">
        <v>1228</v>
      </c>
      <c r="C364" t="s">
        <v>504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436</v>
      </c>
    </row>
    <row r="365" spans="1:12" x14ac:dyDescent="0.25">
      <c r="A365" t="s">
        <v>1229</v>
      </c>
      <c r="B365" t="s">
        <v>1230</v>
      </c>
      <c r="C365" t="s">
        <v>504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1231</v>
      </c>
      <c r="B366" t="s">
        <v>1232</v>
      </c>
      <c r="C366" t="s">
        <v>507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508</v>
      </c>
      <c r="J366" t="s">
        <v>508</v>
      </c>
      <c r="K366" t="s">
        <v>508</v>
      </c>
    </row>
    <row r="367" spans="1:12" x14ac:dyDescent="0.25">
      <c r="A367" t="s">
        <v>1233</v>
      </c>
      <c r="B367" t="s">
        <v>1234</v>
      </c>
      <c r="C367" t="s">
        <v>504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1235</v>
      </c>
      <c r="B368" t="s">
        <v>1236</v>
      </c>
      <c r="C368" t="s">
        <v>507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508</v>
      </c>
      <c r="J368" t="s">
        <v>508</v>
      </c>
      <c r="K368" t="s">
        <v>508</v>
      </c>
    </row>
    <row r="369" spans="1:12" x14ac:dyDescent="0.25">
      <c r="A369" t="s">
        <v>1237</v>
      </c>
      <c r="B369" t="s">
        <v>1238</v>
      </c>
      <c r="C369" t="s">
        <v>507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508</v>
      </c>
      <c r="J369" t="s">
        <v>508</v>
      </c>
      <c r="K369" t="s">
        <v>508</v>
      </c>
    </row>
    <row r="370" spans="1:12" x14ac:dyDescent="0.25">
      <c r="A370" t="s">
        <v>1239</v>
      </c>
      <c r="B370" t="s">
        <v>1240</v>
      </c>
      <c r="C370" t="s">
        <v>507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1241</v>
      </c>
      <c r="B371" t="s">
        <v>1242</v>
      </c>
      <c r="C371" t="s">
        <v>504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450</v>
      </c>
    </row>
    <row r="372" spans="1:12" x14ac:dyDescent="0.25">
      <c r="A372" t="s">
        <v>1243</v>
      </c>
      <c r="B372" t="s">
        <v>1244</v>
      </c>
      <c r="C372" t="s">
        <v>504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1245</v>
      </c>
      <c r="B373" t="s">
        <v>1246</v>
      </c>
      <c r="C373" t="s">
        <v>504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1247</v>
      </c>
      <c r="B374" t="s">
        <v>1248</v>
      </c>
      <c r="C374" t="s">
        <v>507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508</v>
      </c>
      <c r="J374" t="s">
        <v>508</v>
      </c>
      <c r="K374" t="s">
        <v>508</v>
      </c>
    </row>
    <row r="375" spans="1:12" x14ac:dyDescent="0.25">
      <c r="A375" t="s">
        <v>1249</v>
      </c>
      <c r="B375" t="s">
        <v>1250</v>
      </c>
      <c r="C375" t="s">
        <v>507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1251</v>
      </c>
      <c r="B376" t="s">
        <v>1252</v>
      </c>
      <c r="C376" t="s">
        <v>504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1253</v>
      </c>
      <c r="B377" t="s">
        <v>1254</v>
      </c>
      <c r="C377" t="s">
        <v>507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508</v>
      </c>
      <c r="J377" t="s">
        <v>508</v>
      </c>
      <c r="K377" t="s">
        <v>508</v>
      </c>
    </row>
    <row r="378" spans="1:12" x14ac:dyDescent="0.25">
      <c r="A378" t="s">
        <v>1255</v>
      </c>
      <c r="B378" t="s">
        <v>1256</v>
      </c>
      <c r="C378" t="s">
        <v>507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508</v>
      </c>
      <c r="J378" t="s">
        <v>508</v>
      </c>
      <c r="K378" t="s">
        <v>508</v>
      </c>
    </row>
    <row r="379" spans="1:12" x14ac:dyDescent="0.25">
      <c r="A379" t="s">
        <v>1257</v>
      </c>
      <c r="B379" t="s">
        <v>1258</v>
      </c>
      <c r="C379" t="s">
        <v>507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1259</v>
      </c>
      <c r="B380" t="s">
        <v>1260</v>
      </c>
      <c r="C380" t="s">
        <v>507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1261</v>
      </c>
      <c r="B381" t="s">
        <v>1262</v>
      </c>
      <c r="C381" t="s">
        <v>504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1263</v>
      </c>
      <c r="B382" t="s">
        <v>1264</v>
      </c>
      <c r="C382" t="s">
        <v>507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1265</v>
      </c>
      <c r="B383" t="s">
        <v>1266</v>
      </c>
      <c r="C383" t="s">
        <v>507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1267</v>
      </c>
      <c r="B384" t="s">
        <v>1268</v>
      </c>
      <c r="C384" t="s">
        <v>504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1269</v>
      </c>
      <c r="B385" t="s">
        <v>1270</v>
      </c>
      <c r="C385" t="s">
        <v>507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508</v>
      </c>
      <c r="J385" t="s">
        <v>508</v>
      </c>
      <c r="K385" t="s">
        <v>508</v>
      </c>
    </row>
    <row r="386" spans="1:12" x14ac:dyDescent="0.25">
      <c r="A386" t="s">
        <v>1271</v>
      </c>
      <c r="B386" t="s">
        <v>1272</v>
      </c>
      <c r="C386" t="s">
        <v>504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459</v>
      </c>
    </row>
    <row r="387" spans="1:12" x14ac:dyDescent="0.25">
      <c r="A387" t="s">
        <v>1273</v>
      </c>
      <c r="B387" t="s">
        <v>1274</v>
      </c>
      <c r="C387" t="s">
        <v>504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1275</v>
      </c>
      <c r="B388" t="s">
        <v>1276</v>
      </c>
      <c r="C388" t="s">
        <v>504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508</v>
      </c>
      <c r="J388" t="s">
        <v>508</v>
      </c>
      <c r="K388" t="s">
        <v>508</v>
      </c>
    </row>
    <row r="389" spans="1:12" x14ac:dyDescent="0.25">
      <c r="A389" t="s">
        <v>1277</v>
      </c>
      <c r="B389" t="s">
        <v>1278</v>
      </c>
      <c r="C389" t="s">
        <v>507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508</v>
      </c>
      <c r="J389" t="s">
        <v>508</v>
      </c>
      <c r="K389" t="s">
        <v>508</v>
      </c>
    </row>
    <row r="390" spans="1:12" x14ac:dyDescent="0.25">
      <c r="A390" t="s">
        <v>1279</v>
      </c>
      <c r="B390" t="s">
        <v>1280</v>
      </c>
      <c r="C390" t="s">
        <v>507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508</v>
      </c>
      <c r="J390" t="s">
        <v>508</v>
      </c>
      <c r="K390" t="s">
        <v>508</v>
      </c>
    </row>
    <row r="391" spans="1:12" x14ac:dyDescent="0.25">
      <c r="A391" t="s">
        <v>1281</v>
      </c>
      <c r="B391" t="s">
        <v>1282</v>
      </c>
      <c r="C391" t="s">
        <v>507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508</v>
      </c>
      <c r="J391" t="s">
        <v>508</v>
      </c>
      <c r="K391" t="s">
        <v>508</v>
      </c>
    </row>
    <row r="392" spans="1:12" x14ac:dyDescent="0.25">
      <c r="A392" t="s">
        <v>1283</v>
      </c>
      <c r="B392" t="s">
        <v>1284</v>
      </c>
      <c r="C392" t="s">
        <v>504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1285</v>
      </c>
      <c r="B393" t="s">
        <v>1286</v>
      </c>
      <c r="C393" t="s">
        <v>507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1287</v>
      </c>
      <c r="B394" t="s">
        <v>1288</v>
      </c>
      <c r="C394" t="s">
        <v>507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508</v>
      </c>
      <c r="J394" t="s">
        <v>508</v>
      </c>
      <c r="K394" t="s">
        <v>508</v>
      </c>
    </row>
    <row r="395" spans="1:12" x14ac:dyDescent="0.25">
      <c r="A395" t="s">
        <v>1289</v>
      </c>
      <c r="B395" t="s">
        <v>1290</v>
      </c>
      <c r="C395" t="s">
        <v>507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508</v>
      </c>
      <c r="J395" t="s">
        <v>508</v>
      </c>
      <c r="K395" t="s">
        <v>508</v>
      </c>
    </row>
    <row r="396" spans="1:12" x14ac:dyDescent="0.25">
      <c r="A396" t="s">
        <v>1291</v>
      </c>
      <c r="B396" t="s">
        <v>1292</v>
      </c>
      <c r="C396" t="s">
        <v>504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1293</v>
      </c>
      <c r="B397" t="s">
        <v>1294</v>
      </c>
      <c r="C397" t="s">
        <v>504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1295</v>
      </c>
      <c r="B398" t="s">
        <v>1296</v>
      </c>
      <c r="C398" t="s">
        <v>504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333</v>
      </c>
    </row>
    <row r="399" spans="1:12" x14ac:dyDescent="0.25">
      <c r="A399" t="s">
        <v>1297</v>
      </c>
      <c r="B399" t="s">
        <v>1298</v>
      </c>
      <c r="C399" t="s">
        <v>507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508</v>
      </c>
      <c r="J399" t="s">
        <v>508</v>
      </c>
      <c r="K399" t="s">
        <v>508</v>
      </c>
    </row>
    <row r="400" spans="1:12" x14ac:dyDescent="0.25">
      <c r="A400" t="s">
        <v>1299</v>
      </c>
      <c r="B400" t="s">
        <v>1300</v>
      </c>
      <c r="C400" t="s">
        <v>507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508</v>
      </c>
      <c r="J400" t="s">
        <v>508</v>
      </c>
      <c r="K400" t="s">
        <v>508</v>
      </c>
    </row>
    <row r="401" spans="1:12" x14ac:dyDescent="0.25">
      <c r="A401" t="s">
        <v>1301</v>
      </c>
      <c r="B401" t="s">
        <v>1302</v>
      </c>
      <c r="C401" t="s">
        <v>507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508</v>
      </c>
      <c r="J401" t="s">
        <v>508</v>
      </c>
      <c r="K401" t="s">
        <v>508</v>
      </c>
    </row>
    <row r="402" spans="1:12" x14ac:dyDescent="0.25">
      <c r="A402" t="s">
        <v>1303</v>
      </c>
      <c r="B402" t="s">
        <v>1304</v>
      </c>
      <c r="C402" t="s">
        <v>507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465</v>
      </c>
    </row>
    <row r="403" spans="1:12" x14ac:dyDescent="0.25">
      <c r="A403" t="s">
        <v>1305</v>
      </c>
      <c r="B403" t="s">
        <v>1306</v>
      </c>
      <c r="C403" t="s">
        <v>507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226</v>
      </c>
    </row>
    <row r="404" spans="1:12" x14ac:dyDescent="0.25">
      <c r="A404" t="s">
        <v>1307</v>
      </c>
      <c r="B404" t="s">
        <v>1308</v>
      </c>
      <c r="C404" t="s">
        <v>507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465</v>
      </c>
    </row>
    <row r="405" spans="1:12" x14ac:dyDescent="0.25">
      <c r="A405" t="s">
        <v>1309</v>
      </c>
      <c r="B405" t="s">
        <v>1310</v>
      </c>
      <c r="C405" t="s">
        <v>504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465</v>
      </c>
    </row>
    <row r="406" spans="1:12" x14ac:dyDescent="0.25">
      <c r="A406" t="s">
        <v>1311</v>
      </c>
      <c r="B406" t="s">
        <v>1312</v>
      </c>
      <c r="C406" t="s">
        <v>507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1313</v>
      </c>
      <c r="B407" t="s">
        <v>1314</v>
      </c>
      <c r="C407" t="s">
        <v>507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1315</v>
      </c>
      <c r="B408" t="s">
        <v>1316</v>
      </c>
      <c r="C408" t="s">
        <v>507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1317</v>
      </c>
      <c r="B409" t="s">
        <v>1318</v>
      </c>
      <c r="C409" t="s">
        <v>507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1319</v>
      </c>
      <c r="B410" t="s">
        <v>1320</v>
      </c>
      <c r="C410" t="s">
        <v>504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465</v>
      </c>
    </row>
    <row r="411" spans="1:12" x14ac:dyDescent="0.25">
      <c r="A411" t="s">
        <v>1321</v>
      </c>
      <c r="B411" t="s">
        <v>1322</v>
      </c>
      <c r="C411" t="s">
        <v>504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1323</v>
      </c>
      <c r="B412" t="s">
        <v>1324</v>
      </c>
      <c r="C412" t="s">
        <v>507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508</v>
      </c>
      <c r="J412" t="s">
        <v>508</v>
      </c>
      <c r="K412" t="s">
        <v>508</v>
      </c>
    </row>
    <row r="413" spans="1:12" x14ac:dyDescent="0.25">
      <c r="A413" t="s">
        <v>1325</v>
      </c>
      <c r="B413" t="s">
        <v>1326</v>
      </c>
      <c r="C413" t="s">
        <v>507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508</v>
      </c>
      <c r="J413" t="s">
        <v>508</v>
      </c>
      <c r="K413" t="s">
        <v>508</v>
      </c>
    </row>
    <row r="414" spans="1:12" x14ac:dyDescent="0.25">
      <c r="A414" t="s">
        <v>1327</v>
      </c>
      <c r="B414" t="s">
        <v>1328</v>
      </c>
      <c r="C414" t="s">
        <v>504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1329</v>
      </c>
      <c r="B415" t="s">
        <v>1330</v>
      </c>
      <c r="C415" t="s">
        <v>507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508</v>
      </c>
      <c r="J415" t="s">
        <v>508</v>
      </c>
      <c r="K415" t="s">
        <v>508</v>
      </c>
    </row>
    <row r="416" spans="1:12" x14ac:dyDescent="0.25">
      <c r="A416" t="s">
        <v>1331</v>
      </c>
      <c r="B416" t="s">
        <v>1332</v>
      </c>
      <c r="C416" t="s">
        <v>504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508</v>
      </c>
      <c r="J416" t="s">
        <v>508</v>
      </c>
      <c r="K416" t="s">
        <v>508</v>
      </c>
    </row>
    <row r="417" spans="1:12" x14ac:dyDescent="0.25">
      <c r="A417" t="s">
        <v>1333</v>
      </c>
      <c r="B417" t="s">
        <v>1334</v>
      </c>
      <c r="C417" t="s">
        <v>507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508</v>
      </c>
      <c r="J417" t="s">
        <v>508</v>
      </c>
      <c r="K417" t="s">
        <v>508</v>
      </c>
    </row>
    <row r="418" spans="1:12" x14ac:dyDescent="0.25">
      <c r="A418" t="s">
        <v>1335</v>
      </c>
      <c r="B418" t="s">
        <v>1336</v>
      </c>
      <c r="C418" t="s">
        <v>507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476</v>
      </c>
    </row>
    <row r="419" spans="1:12" x14ac:dyDescent="0.25">
      <c r="A419" t="s">
        <v>1337</v>
      </c>
      <c r="B419" t="s">
        <v>1338</v>
      </c>
      <c r="C419" t="s">
        <v>504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508</v>
      </c>
      <c r="J419" t="s">
        <v>508</v>
      </c>
      <c r="K419" t="s">
        <v>508</v>
      </c>
    </row>
    <row r="420" spans="1:12" x14ac:dyDescent="0.25">
      <c r="A420" t="s">
        <v>1339</v>
      </c>
      <c r="B420" t="s">
        <v>1340</v>
      </c>
      <c r="C420" t="s">
        <v>504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478</v>
      </c>
    </row>
    <row r="421" spans="1:12" x14ac:dyDescent="0.25">
      <c r="A421" t="s">
        <v>1341</v>
      </c>
      <c r="B421" t="s">
        <v>1342</v>
      </c>
      <c r="C421" t="s">
        <v>507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1343</v>
      </c>
      <c r="B422" t="s">
        <v>1344</v>
      </c>
      <c r="C422" t="s">
        <v>507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1345</v>
      </c>
      <c r="B423" t="s">
        <v>1346</v>
      </c>
      <c r="C423" t="s">
        <v>504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478</v>
      </c>
    </row>
    <row r="424" spans="1:12" x14ac:dyDescent="0.25">
      <c r="A424" t="s">
        <v>1347</v>
      </c>
      <c r="B424" t="s">
        <v>1348</v>
      </c>
      <c r="C424" t="s">
        <v>507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508</v>
      </c>
      <c r="J424" t="s">
        <v>508</v>
      </c>
      <c r="K424" t="s">
        <v>508</v>
      </c>
    </row>
    <row r="425" spans="1:12" x14ac:dyDescent="0.25">
      <c r="A425" t="s">
        <v>1349</v>
      </c>
      <c r="B425" t="s">
        <v>1350</v>
      </c>
      <c r="C425" t="s">
        <v>507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508</v>
      </c>
      <c r="J425" t="s">
        <v>508</v>
      </c>
      <c r="K425" t="s">
        <v>508</v>
      </c>
    </row>
    <row r="426" spans="1:12" x14ac:dyDescent="0.25">
      <c r="A426" t="s">
        <v>1351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1352</v>
      </c>
    </row>
    <row r="2" spans="1:35" x14ac:dyDescent="0.25">
      <c r="C2" t="s">
        <v>1353</v>
      </c>
    </row>
    <row r="3" spans="1:35" x14ac:dyDescent="0.25">
      <c r="C3" t="s">
        <v>1354</v>
      </c>
    </row>
    <row r="4" spans="1:35" x14ac:dyDescent="0.25">
      <c r="C4" t="s">
        <v>1355</v>
      </c>
    </row>
    <row r="5" spans="1:35" x14ac:dyDescent="0.25">
      <c r="B5" s="5" t="s">
        <v>1356</v>
      </c>
      <c r="D5" t="s">
        <v>1357</v>
      </c>
      <c r="E5" t="s">
        <v>1358</v>
      </c>
      <c r="F5" t="s">
        <v>1359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1360</v>
      </c>
    </row>
    <row r="6" spans="1:35" x14ac:dyDescent="0.25">
      <c r="A6" t="s">
        <v>1361</v>
      </c>
      <c r="C6" t="s">
        <v>1362</v>
      </c>
      <c r="D6" t="s">
        <v>1363</v>
      </c>
      <c r="E6" t="s">
        <v>1364</v>
      </c>
      <c r="F6" t="s">
        <v>1365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1366</v>
      </c>
      <c r="C7" t="s">
        <v>1367</v>
      </c>
      <c r="D7" t="s">
        <v>1368</v>
      </c>
      <c r="E7" t="s">
        <v>1369</v>
      </c>
      <c r="F7" t="s">
        <v>1370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1371</v>
      </c>
    </row>
    <row r="9" spans="1:35" x14ac:dyDescent="0.25">
      <c r="C9" t="s">
        <v>1372</v>
      </c>
    </row>
    <row r="10" spans="1:35" x14ac:dyDescent="0.25">
      <c r="A10" t="s">
        <v>1373</v>
      </c>
      <c r="B10" t="s">
        <v>1374</v>
      </c>
      <c r="C10" t="s">
        <v>1375</v>
      </c>
      <c r="D10" t="s">
        <v>1376</v>
      </c>
      <c r="E10" t="s">
        <v>1377</v>
      </c>
      <c r="F10" t="s">
        <v>1365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1378</v>
      </c>
      <c r="B11" t="s">
        <v>1379</v>
      </c>
      <c r="C11" t="s">
        <v>1380</v>
      </c>
      <c r="D11" t="s">
        <v>1381</v>
      </c>
      <c r="E11" t="s">
        <v>1382</v>
      </c>
      <c r="F11" t="s">
        <v>1365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1383</v>
      </c>
      <c r="B12" t="s">
        <v>1384</v>
      </c>
      <c r="C12" t="s">
        <v>1385</v>
      </c>
      <c r="D12" t="s">
        <v>1386</v>
      </c>
      <c r="E12" t="s">
        <v>1387</v>
      </c>
      <c r="F12" t="s">
        <v>1365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1388</v>
      </c>
    </row>
    <row r="14" spans="1:35" x14ac:dyDescent="0.25">
      <c r="A14" t="s">
        <v>1389</v>
      </c>
      <c r="B14" t="s">
        <v>1390</v>
      </c>
      <c r="C14" t="s">
        <v>1391</v>
      </c>
      <c r="D14" t="s">
        <v>1392</v>
      </c>
      <c r="E14" t="s">
        <v>1393</v>
      </c>
      <c r="F14" t="s">
        <v>1365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1394</v>
      </c>
      <c r="B15" t="s">
        <v>1390</v>
      </c>
      <c r="C15" t="s">
        <v>1395</v>
      </c>
      <c r="D15" t="s">
        <v>1396</v>
      </c>
      <c r="E15" t="s">
        <v>1397</v>
      </c>
      <c r="F15" t="s">
        <v>1365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1398</v>
      </c>
      <c r="B16" t="s">
        <v>1399</v>
      </c>
      <c r="C16" t="s">
        <v>1400</v>
      </c>
      <c r="D16" t="s">
        <v>1401</v>
      </c>
      <c r="E16" t="s">
        <v>1402</v>
      </c>
      <c r="F16" t="s">
        <v>1365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1403</v>
      </c>
      <c r="B17" t="s">
        <v>1404</v>
      </c>
      <c r="C17" t="s">
        <v>1405</v>
      </c>
      <c r="D17" t="s">
        <v>1406</v>
      </c>
      <c r="E17" t="s">
        <v>1407</v>
      </c>
      <c r="F17" t="s">
        <v>1365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1408</v>
      </c>
      <c r="B18" t="s">
        <v>1409</v>
      </c>
      <c r="C18" t="s">
        <v>1410</v>
      </c>
      <c r="D18" t="s">
        <v>1411</v>
      </c>
      <c r="E18" t="s">
        <v>1412</v>
      </c>
      <c r="F18" t="s">
        <v>1365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1413</v>
      </c>
      <c r="B19" t="s">
        <v>1414</v>
      </c>
      <c r="C19" t="s">
        <v>1415</v>
      </c>
      <c r="D19" t="s">
        <v>1416</v>
      </c>
      <c r="E19" t="s">
        <v>1417</v>
      </c>
      <c r="F19" t="s">
        <v>1365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1418</v>
      </c>
      <c r="B20" t="s">
        <v>1414</v>
      </c>
      <c r="C20" t="s">
        <v>293</v>
      </c>
      <c r="D20" t="s">
        <v>1419</v>
      </c>
      <c r="E20" t="s">
        <v>1420</v>
      </c>
      <c r="F20" t="s">
        <v>1365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1421</v>
      </c>
      <c r="B21" t="s">
        <v>1422</v>
      </c>
      <c r="C21" t="s">
        <v>1423</v>
      </c>
      <c r="D21" t="s">
        <v>1424</v>
      </c>
      <c r="E21" t="s">
        <v>1425</v>
      </c>
      <c r="F21" t="s">
        <v>1365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1426</v>
      </c>
      <c r="C22" t="s">
        <v>1427</v>
      </c>
      <c r="D22" t="s">
        <v>1428</v>
      </c>
      <c r="E22" t="s">
        <v>1429</v>
      </c>
      <c r="F22" t="s">
        <v>1365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1430</v>
      </c>
      <c r="C23" t="s">
        <v>1431</v>
      </c>
      <c r="D23" t="s">
        <v>1432</v>
      </c>
      <c r="E23" t="s">
        <v>1433</v>
      </c>
      <c r="F23" t="s">
        <v>1365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1434</v>
      </c>
      <c r="C24" t="s">
        <v>1435</v>
      </c>
      <c r="D24" t="s">
        <v>1436</v>
      </c>
      <c r="E24" t="s">
        <v>1437</v>
      </c>
      <c r="F24" t="s">
        <v>1365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1438</v>
      </c>
      <c r="C25" t="s">
        <v>1439</v>
      </c>
      <c r="D25" t="s">
        <v>1440</v>
      </c>
      <c r="E25" t="s">
        <v>1441</v>
      </c>
      <c r="F25" t="s">
        <v>1442</v>
      </c>
      <c r="G25" t="s">
        <v>1443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1444</v>
      </c>
      <c r="C26" t="s">
        <v>1445</v>
      </c>
      <c r="D26" t="s">
        <v>1446</v>
      </c>
      <c r="E26" t="s">
        <v>1447</v>
      </c>
      <c r="F26" t="s">
        <v>1365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1448</v>
      </c>
      <c r="C27" t="s">
        <v>1449</v>
      </c>
      <c r="D27" t="s">
        <v>1450</v>
      </c>
      <c r="E27" t="s">
        <v>1451</v>
      </c>
      <c r="F27" t="s">
        <v>1365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1452</v>
      </c>
      <c r="C28" t="s">
        <v>1453</v>
      </c>
      <c r="D28" t="s">
        <v>1454</v>
      </c>
      <c r="E28" t="s">
        <v>1455</v>
      </c>
      <c r="F28" t="s">
        <v>1365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1456</v>
      </c>
      <c r="B29" t="s">
        <v>1457</v>
      </c>
      <c r="C29" t="s">
        <v>1458</v>
      </c>
      <c r="D29" t="s">
        <v>1459</v>
      </c>
      <c r="E29" t="s">
        <v>1460</v>
      </c>
      <c r="F29" t="s">
        <v>1365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1461</v>
      </c>
      <c r="B30" t="s">
        <v>1462</v>
      </c>
      <c r="C30" t="s">
        <v>1463</v>
      </c>
      <c r="D30" t="s">
        <v>1464</v>
      </c>
      <c r="E30" t="s">
        <v>1465</v>
      </c>
      <c r="F30" t="s">
        <v>1365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1466</v>
      </c>
      <c r="B31" t="s">
        <v>1467</v>
      </c>
      <c r="C31" t="s">
        <v>1468</v>
      </c>
      <c r="D31" t="s">
        <v>1469</v>
      </c>
      <c r="E31" t="s">
        <v>1470</v>
      </c>
      <c r="F31" t="s">
        <v>1365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1471</v>
      </c>
      <c r="C32" t="s">
        <v>1472</v>
      </c>
      <c r="D32" t="s">
        <v>1473</v>
      </c>
      <c r="E32" t="s">
        <v>1474</v>
      </c>
      <c r="F32" t="s">
        <v>1365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1475</v>
      </c>
      <c r="B33" t="s">
        <v>1476</v>
      </c>
      <c r="C33" t="s">
        <v>1477</v>
      </c>
      <c r="D33" t="s">
        <v>1478</v>
      </c>
      <c r="E33" t="s">
        <v>1479</v>
      </c>
      <c r="F33" t="s">
        <v>1365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1480</v>
      </c>
      <c r="B34" t="s">
        <v>1481</v>
      </c>
      <c r="C34" t="s">
        <v>1482</v>
      </c>
      <c r="D34" t="s">
        <v>1483</v>
      </c>
      <c r="E34" t="s">
        <v>1484</v>
      </c>
      <c r="F34" t="s">
        <v>1365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1485</v>
      </c>
      <c r="B35" t="s">
        <v>1481</v>
      </c>
      <c r="C35" t="s">
        <v>1486</v>
      </c>
      <c r="D35" t="s">
        <v>1487</v>
      </c>
      <c r="E35" t="s">
        <v>1488</v>
      </c>
      <c r="F35" t="s">
        <v>1365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1489</v>
      </c>
      <c r="C36" t="s">
        <v>1490</v>
      </c>
      <c r="D36" t="s">
        <v>1491</v>
      </c>
      <c r="E36" t="s">
        <v>1492</v>
      </c>
      <c r="F36" t="s">
        <v>1365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1493</v>
      </c>
      <c r="B37" t="s">
        <v>1462</v>
      </c>
      <c r="C37" t="s">
        <v>1494</v>
      </c>
      <c r="D37" t="s">
        <v>1495</v>
      </c>
      <c r="E37" t="s">
        <v>1496</v>
      </c>
      <c r="F37" t="s">
        <v>1365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1497</v>
      </c>
      <c r="B38" t="s">
        <v>1498</v>
      </c>
      <c r="C38" t="s">
        <v>1499</v>
      </c>
      <c r="D38" t="s">
        <v>1500</v>
      </c>
      <c r="E38" t="s">
        <v>1501</v>
      </c>
      <c r="F38" t="s">
        <v>1365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1502</v>
      </c>
      <c r="B39" t="s">
        <v>1498</v>
      </c>
      <c r="C39" t="s">
        <v>1503</v>
      </c>
      <c r="D39" t="s">
        <v>1504</v>
      </c>
      <c r="E39" t="s">
        <v>1505</v>
      </c>
      <c r="F39" t="s">
        <v>1365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1506</v>
      </c>
      <c r="B40" t="s">
        <v>1507</v>
      </c>
      <c r="C40" t="s">
        <v>1508</v>
      </c>
      <c r="D40" t="s">
        <v>1509</v>
      </c>
      <c r="E40" t="s">
        <v>1510</v>
      </c>
      <c r="F40" t="s">
        <v>1365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1511</v>
      </c>
      <c r="B41" t="s">
        <v>1512</v>
      </c>
      <c r="C41" t="s">
        <v>1513</v>
      </c>
      <c r="D41" t="s">
        <v>1514</v>
      </c>
      <c r="E41" t="s">
        <v>1515</v>
      </c>
      <c r="F41" t="s">
        <v>1365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1516</v>
      </c>
      <c r="B42" t="s">
        <v>1517</v>
      </c>
      <c r="C42" t="s">
        <v>1518</v>
      </c>
      <c r="D42" t="s">
        <v>1519</v>
      </c>
      <c r="E42" t="s">
        <v>1520</v>
      </c>
      <c r="F42" t="s">
        <v>1365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1521</v>
      </c>
      <c r="B43" t="s">
        <v>1522</v>
      </c>
      <c r="C43" t="s">
        <v>1523</v>
      </c>
      <c r="D43" t="s">
        <v>1524</v>
      </c>
      <c r="E43" t="s">
        <v>1525</v>
      </c>
      <c r="F43" t="s">
        <v>1365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1526</v>
      </c>
      <c r="B44" t="s">
        <v>1527</v>
      </c>
      <c r="C44" t="s">
        <v>1528</v>
      </c>
      <c r="D44" t="s">
        <v>1529</v>
      </c>
      <c r="E44" t="s">
        <v>1530</v>
      </c>
      <c r="F44" t="s">
        <v>1365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1531</v>
      </c>
      <c r="B45" t="s">
        <v>1409</v>
      </c>
      <c r="C45" t="s">
        <v>1532</v>
      </c>
      <c r="D45" t="s">
        <v>1533</v>
      </c>
      <c r="E45" t="s">
        <v>1534</v>
      </c>
      <c r="F45" t="s">
        <v>1365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1535</v>
      </c>
      <c r="C46" t="s">
        <v>1536</v>
      </c>
      <c r="D46" t="s">
        <v>1537</v>
      </c>
      <c r="E46" t="s">
        <v>1538</v>
      </c>
      <c r="F46" t="s">
        <v>1365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1352</v>
      </c>
    </row>
    <row r="2" spans="1:33" x14ac:dyDescent="0.25">
      <c r="C2" t="s">
        <v>1539</v>
      </c>
    </row>
    <row r="3" spans="1:33" x14ac:dyDescent="0.25">
      <c r="C3" t="s">
        <v>1540</v>
      </c>
    </row>
    <row r="4" spans="1:33" x14ac:dyDescent="0.25">
      <c r="C4" t="s">
        <v>1355</v>
      </c>
    </row>
    <row r="5" spans="1:33" x14ac:dyDescent="0.25">
      <c r="B5" s="5" t="s">
        <v>1356</v>
      </c>
      <c r="D5" t="s">
        <v>1357</v>
      </c>
      <c r="E5" t="s">
        <v>1358</v>
      </c>
      <c r="F5" t="s">
        <v>1359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1541</v>
      </c>
    </row>
    <row r="6" spans="1:33" x14ac:dyDescent="0.25">
      <c r="A6" t="s">
        <v>1361</v>
      </c>
      <c r="C6" t="s">
        <v>1362</v>
      </c>
      <c r="D6" t="s">
        <v>1542</v>
      </c>
      <c r="E6" t="s">
        <v>1543</v>
      </c>
      <c r="F6" t="s">
        <v>1365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1366</v>
      </c>
      <c r="C7" t="s">
        <v>1367</v>
      </c>
      <c r="D7" t="s">
        <v>1544</v>
      </c>
      <c r="E7" t="s">
        <v>1545</v>
      </c>
      <c r="F7" t="s">
        <v>1370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1371</v>
      </c>
    </row>
    <row r="9" spans="1:33" x14ac:dyDescent="0.25">
      <c r="C9" t="s">
        <v>1372</v>
      </c>
    </row>
    <row r="10" spans="1:33" x14ac:dyDescent="0.25">
      <c r="A10" t="s">
        <v>1373</v>
      </c>
      <c r="B10" t="s">
        <v>1374</v>
      </c>
      <c r="C10" t="s">
        <v>1375</v>
      </c>
      <c r="D10" t="s">
        <v>1546</v>
      </c>
      <c r="E10" t="s">
        <v>1547</v>
      </c>
      <c r="F10" t="s">
        <v>1365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1378</v>
      </c>
      <c r="B11" t="s">
        <v>1379</v>
      </c>
      <c r="C11" t="s">
        <v>1380</v>
      </c>
      <c r="D11" t="s">
        <v>1548</v>
      </c>
      <c r="E11" t="s">
        <v>1549</v>
      </c>
      <c r="F11" t="s">
        <v>1365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1383</v>
      </c>
      <c r="B12" t="s">
        <v>1384</v>
      </c>
      <c r="C12" t="s">
        <v>1385</v>
      </c>
      <c r="D12" t="s">
        <v>1550</v>
      </c>
      <c r="E12" t="s">
        <v>1551</v>
      </c>
      <c r="F12" t="s">
        <v>1365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1388</v>
      </c>
    </row>
    <row r="14" spans="1:33" x14ac:dyDescent="0.25">
      <c r="A14" t="s">
        <v>1389</v>
      </c>
      <c r="B14" t="s">
        <v>1390</v>
      </c>
      <c r="C14" t="s">
        <v>1391</v>
      </c>
      <c r="D14" t="s">
        <v>1552</v>
      </c>
      <c r="E14" t="s">
        <v>1553</v>
      </c>
      <c r="F14" t="s">
        <v>1365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1394</v>
      </c>
      <c r="B15" t="s">
        <v>1390</v>
      </c>
      <c r="C15" t="s">
        <v>1395</v>
      </c>
      <c r="D15" t="s">
        <v>1554</v>
      </c>
      <c r="E15" t="s">
        <v>1555</v>
      </c>
      <c r="F15" t="s">
        <v>1365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1398</v>
      </c>
      <c r="B16" t="s">
        <v>1399</v>
      </c>
      <c r="C16" t="s">
        <v>1400</v>
      </c>
      <c r="D16" t="s">
        <v>1556</v>
      </c>
      <c r="E16" t="s">
        <v>1557</v>
      </c>
      <c r="F16" t="s">
        <v>1365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1403</v>
      </c>
      <c r="B17" t="s">
        <v>1404</v>
      </c>
      <c r="C17" t="s">
        <v>1405</v>
      </c>
      <c r="D17" t="s">
        <v>1558</v>
      </c>
      <c r="E17" t="s">
        <v>1559</v>
      </c>
      <c r="F17" t="s">
        <v>1365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1408</v>
      </c>
      <c r="B18" t="s">
        <v>1409</v>
      </c>
      <c r="C18" t="s">
        <v>1410</v>
      </c>
      <c r="D18" t="s">
        <v>1560</v>
      </c>
      <c r="E18" t="s">
        <v>1561</v>
      </c>
      <c r="F18" t="s">
        <v>1365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1413</v>
      </c>
      <c r="B19" t="s">
        <v>1414</v>
      </c>
      <c r="C19" t="s">
        <v>1415</v>
      </c>
      <c r="D19" t="s">
        <v>1562</v>
      </c>
      <c r="E19" t="s">
        <v>1563</v>
      </c>
      <c r="F19" t="s">
        <v>1365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1418</v>
      </c>
      <c r="B20" t="s">
        <v>1414</v>
      </c>
      <c r="C20" t="s">
        <v>293</v>
      </c>
      <c r="D20" t="s">
        <v>1564</v>
      </c>
      <c r="E20" t="s">
        <v>1565</v>
      </c>
      <c r="F20" t="s">
        <v>1365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1421</v>
      </c>
      <c r="B21" t="s">
        <v>1422</v>
      </c>
      <c r="C21" t="s">
        <v>1423</v>
      </c>
      <c r="D21" t="s">
        <v>1566</v>
      </c>
      <c r="E21" t="s">
        <v>1567</v>
      </c>
      <c r="F21" t="s">
        <v>1365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1426</v>
      </c>
      <c r="C22" t="s">
        <v>1427</v>
      </c>
      <c r="D22" t="s">
        <v>1568</v>
      </c>
      <c r="E22" t="s">
        <v>1569</v>
      </c>
      <c r="F22" t="s">
        <v>1365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1430</v>
      </c>
      <c r="C23" t="s">
        <v>1431</v>
      </c>
      <c r="D23" t="s">
        <v>1570</v>
      </c>
      <c r="E23" t="s">
        <v>1571</v>
      </c>
      <c r="F23" t="s">
        <v>1365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1434</v>
      </c>
      <c r="C24" t="s">
        <v>1435</v>
      </c>
      <c r="D24" t="s">
        <v>1572</v>
      </c>
      <c r="E24" t="s">
        <v>1573</v>
      </c>
      <c r="F24" t="s">
        <v>1365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1438</v>
      </c>
      <c r="C25" t="s">
        <v>1439</v>
      </c>
      <c r="D25" t="s">
        <v>1440</v>
      </c>
      <c r="E25" t="s">
        <v>1441</v>
      </c>
      <c r="F25" t="s">
        <v>1574</v>
      </c>
      <c r="G25" t="s">
        <v>1575</v>
      </c>
      <c r="H25" t="s">
        <v>1365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1444</v>
      </c>
      <c r="C26" t="s">
        <v>1445</v>
      </c>
      <c r="D26" t="s">
        <v>1576</v>
      </c>
      <c r="E26" t="s">
        <v>1577</v>
      </c>
      <c r="F26" t="s">
        <v>1365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1448</v>
      </c>
      <c r="C27" t="s">
        <v>1449</v>
      </c>
      <c r="D27" t="s">
        <v>1578</v>
      </c>
      <c r="E27" t="s">
        <v>1579</v>
      </c>
      <c r="F27" t="s">
        <v>1365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1452</v>
      </c>
      <c r="C28" t="s">
        <v>1453</v>
      </c>
      <c r="D28" t="s">
        <v>1580</v>
      </c>
      <c r="E28" t="s">
        <v>1581</v>
      </c>
      <c r="F28" t="s">
        <v>1365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1456</v>
      </c>
      <c r="B29" t="s">
        <v>1457</v>
      </c>
      <c r="C29" t="s">
        <v>1458</v>
      </c>
      <c r="D29" t="s">
        <v>1582</v>
      </c>
      <c r="E29" t="s">
        <v>1583</v>
      </c>
      <c r="F29" t="s">
        <v>1365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1461</v>
      </c>
      <c r="B30" t="s">
        <v>1462</v>
      </c>
      <c r="C30" t="s">
        <v>1463</v>
      </c>
      <c r="D30" t="s">
        <v>1584</v>
      </c>
      <c r="E30" t="s">
        <v>1585</v>
      </c>
      <c r="F30" t="s">
        <v>1365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1466</v>
      </c>
      <c r="B31" t="s">
        <v>1467</v>
      </c>
      <c r="C31" t="s">
        <v>1468</v>
      </c>
      <c r="D31" t="s">
        <v>1586</v>
      </c>
      <c r="E31" t="s">
        <v>1587</v>
      </c>
      <c r="F31" t="s">
        <v>1365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1471</v>
      </c>
      <c r="C32" t="s">
        <v>1472</v>
      </c>
      <c r="D32" t="s">
        <v>1588</v>
      </c>
      <c r="E32" t="s">
        <v>1589</v>
      </c>
      <c r="F32" t="s">
        <v>1365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1475</v>
      </c>
      <c r="B33" t="s">
        <v>1476</v>
      </c>
      <c r="C33" t="s">
        <v>1477</v>
      </c>
      <c r="D33" t="s">
        <v>1590</v>
      </c>
      <c r="E33" t="s">
        <v>1591</v>
      </c>
      <c r="F33" t="s">
        <v>1365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1480</v>
      </c>
      <c r="B34" t="s">
        <v>1481</v>
      </c>
      <c r="C34" t="s">
        <v>1482</v>
      </c>
      <c r="D34" t="s">
        <v>1592</v>
      </c>
      <c r="E34" t="s">
        <v>1593</v>
      </c>
      <c r="F34" t="s">
        <v>1365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1485</v>
      </c>
      <c r="B35" t="s">
        <v>1481</v>
      </c>
      <c r="C35" t="s">
        <v>1486</v>
      </c>
      <c r="D35" t="s">
        <v>1594</v>
      </c>
      <c r="E35" t="s">
        <v>1595</v>
      </c>
      <c r="F35" t="s">
        <v>1365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1489</v>
      </c>
      <c r="C36" t="s">
        <v>1490</v>
      </c>
      <c r="D36" t="s">
        <v>1596</v>
      </c>
      <c r="E36" t="s">
        <v>1597</v>
      </c>
      <c r="F36" t="s">
        <v>1365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1493</v>
      </c>
      <c r="B37" t="s">
        <v>1462</v>
      </c>
      <c r="C37" t="s">
        <v>1494</v>
      </c>
      <c r="D37" t="s">
        <v>1598</v>
      </c>
      <c r="E37" t="s">
        <v>1599</v>
      </c>
      <c r="F37" t="s">
        <v>1365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1497</v>
      </c>
      <c r="B38" t="s">
        <v>1498</v>
      </c>
      <c r="C38" t="s">
        <v>1499</v>
      </c>
      <c r="D38" t="s">
        <v>1600</v>
      </c>
      <c r="E38" t="s">
        <v>1601</v>
      </c>
      <c r="F38" t="s">
        <v>1365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1502</v>
      </c>
      <c r="B39" t="s">
        <v>1498</v>
      </c>
      <c r="C39" t="s">
        <v>1503</v>
      </c>
      <c r="D39" t="s">
        <v>1602</v>
      </c>
      <c r="E39" t="s">
        <v>1603</v>
      </c>
      <c r="F39" t="s">
        <v>1365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1506</v>
      </c>
      <c r="B40" t="s">
        <v>1507</v>
      </c>
      <c r="C40" t="s">
        <v>1508</v>
      </c>
      <c r="D40" t="s">
        <v>1604</v>
      </c>
      <c r="E40" t="s">
        <v>1605</v>
      </c>
      <c r="F40" t="s">
        <v>1365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1511</v>
      </c>
      <c r="B41" t="s">
        <v>1512</v>
      </c>
      <c r="C41" t="s">
        <v>1513</v>
      </c>
      <c r="D41" t="s">
        <v>1606</v>
      </c>
      <c r="E41" t="s">
        <v>1607</v>
      </c>
      <c r="F41" t="s">
        <v>1365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1516</v>
      </c>
      <c r="B42" t="s">
        <v>1517</v>
      </c>
      <c r="C42" t="s">
        <v>1518</v>
      </c>
      <c r="D42" t="s">
        <v>1608</v>
      </c>
      <c r="E42" t="s">
        <v>1609</v>
      </c>
      <c r="F42" t="s">
        <v>1365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1521</v>
      </c>
      <c r="B43" t="s">
        <v>1522</v>
      </c>
      <c r="C43" t="s">
        <v>1523</v>
      </c>
      <c r="D43" t="s">
        <v>1610</v>
      </c>
      <c r="E43" t="s">
        <v>1611</v>
      </c>
      <c r="F43" t="s">
        <v>1365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1526</v>
      </c>
      <c r="B44" t="s">
        <v>1527</v>
      </c>
      <c r="C44" t="s">
        <v>1528</v>
      </c>
      <c r="D44" t="s">
        <v>1612</v>
      </c>
      <c r="E44" t="s">
        <v>1613</v>
      </c>
      <c r="F44" t="s">
        <v>1365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1531</v>
      </c>
      <c r="B45" t="s">
        <v>1409</v>
      </c>
      <c r="C45" t="s">
        <v>1532</v>
      </c>
      <c r="D45" t="s">
        <v>1614</v>
      </c>
      <c r="E45" t="s">
        <v>1615</v>
      </c>
      <c r="F45" t="s">
        <v>1365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1535</v>
      </c>
      <c r="C46" t="s">
        <v>1536</v>
      </c>
      <c r="D46" t="s">
        <v>1616</v>
      </c>
      <c r="E46" t="s">
        <v>1617</v>
      </c>
      <c r="F46" t="s">
        <v>1365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6"/>
  <sheetViews>
    <sheetView workbookViewId="0"/>
  </sheetViews>
  <sheetFormatPr defaultRowHeight="15" x14ac:dyDescent="0.25"/>
  <sheetData>
    <row r="1" spans="1:53" x14ac:dyDescent="0.25">
      <c r="A1" s="1" t="s">
        <v>1618</v>
      </c>
    </row>
    <row r="2" spans="1:53" x14ac:dyDescent="0.25">
      <c r="A2" s="1" t="s">
        <v>1619</v>
      </c>
      <c r="B2">
        <v>0.9150442485566026</v>
      </c>
    </row>
    <row r="3" spans="1:53" x14ac:dyDescent="0.25">
      <c r="A3" s="1" t="s">
        <v>1620</v>
      </c>
      <c r="B3" s="1" t="s">
        <v>24</v>
      </c>
      <c r="C3" s="1" t="s">
        <v>35</v>
      </c>
      <c r="D3" s="1" t="s">
        <v>37</v>
      </c>
      <c r="E3" s="1" t="s">
        <v>42</v>
      </c>
      <c r="F3" s="1" t="s">
        <v>40</v>
      </c>
      <c r="G3" s="1" t="s">
        <v>44</v>
      </c>
      <c r="H3" s="1" t="s">
        <v>47</v>
      </c>
      <c r="I3" s="1" t="s">
        <v>50</v>
      </c>
      <c r="J3" s="1" t="s">
        <v>246</v>
      </c>
      <c r="K3" s="1" t="s">
        <v>276</v>
      </c>
      <c r="L3" s="1" t="s">
        <v>81</v>
      </c>
      <c r="M3" s="1" t="s">
        <v>285</v>
      </c>
      <c r="N3" s="1" t="s">
        <v>296</v>
      </c>
      <c r="O3" s="1" t="s">
        <v>301</v>
      </c>
      <c r="P3" s="1" t="s">
        <v>309</v>
      </c>
      <c r="Q3" s="1" t="s">
        <v>322</v>
      </c>
      <c r="R3" s="1" t="s">
        <v>88</v>
      </c>
      <c r="S3" s="1" t="s">
        <v>86</v>
      </c>
      <c r="T3" s="1" t="s">
        <v>100</v>
      </c>
      <c r="U3" s="1" t="s">
        <v>103</v>
      </c>
      <c r="V3" s="1" t="s">
        <v>112</v>
      </c>
      <c r="W3" s="1" t="s">
        <v>162</v>
      </c>
      <c r="X3" s="1" t="s">
        <v>183</v>
      </c>
      <c r="Y3" s="1" t="s">
        <v>133</v>
      </c>
      <c r="Z3" s="1" t="s">
        <v>198</v>
      </c>
      <c r="AA3" s="1" t="s">
        <v>220</v>
      </c>
      <c r="AB3" s="1" t="s">
        <v>213</v>
      </c>
      <c r="AC3" s="1" t="s">
        <v>226</v>
      </c>
      <c r="AD3" s="1" t="s">
        <v>53</v>
      </c>
      <c r="AE3" s="1" t="s">
        <v>64</v>
      </c>
      <c r="AF3" s="1" t="s">
        <v>66</v>
      </c>
      <c r="AG3" s="1" t="s">
        <v>68</v>
      </c>
      <c r="AH3" s="1" t="s">
        <v>333</v>
      </c>
      <c r="AI3" s="1" t="s">
        <v>359</v>
      </c>
      <c r="AJ3" s="1" t="s">
        <v>361</v>
      </c>
      <c r="AK3" s="1" t="s">
        <v>357</v>
      </c>
      <c r="AL3" s="1" t="s">
        <v>366</v>
      </c>
      <c r="AM3" s="1" t="s">
        <v>368</v>
      </c>
      <c r="AN3" s="1" t="s">
        <v>459</v>
      </c>
      <c r="AO3" s="1" t="s">
        <v>371</v>
      </c>
      <c r="AP3" s="1" t="s">
        <v>381</v>
      </c>
      <c r="AQ3" s="1" t="s">
        <v>385</v>
      </c>
      <c r="AR3" s="1" t="s">
        <v>389</v>
      </c>
      <c r="AS3" s="1" t="s">
        <v>398</v>
      </c>
      <c r="AT3" s="1" t="s">
        <v>406</v>
      </c>
      <c r="AU3" s="1" t="s">
        <v>422</v>
      </c>
      <c r="AV3" s="1" t="s">
        <v>478</v>
      </c>
      <c r="AW3" s="1" t="s">
        <v>432</v>
      </c>
      <c r="AX3" s="1" t="s">
        <v>436</v>
      </c>
      <c r="AY3" s="1" t="s">
        <v>450</v>
      </c>
      <c r="AZ3" s="1" t="s">
        <v>465</v>
      </c>
      <c r="BA3" s="1" t="s">
        <v>476</v>
      </c>
    </row>
    <row r="4" spans="1:53" x14ac:dyDescent="0.25">
      <c r="A4" t="s">
        <v>1621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1.1194630872483222E-2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1.8630338733431517E-2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1622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1" t="s">
        <v>1623</v>
      </c>
      <c r="B6">
        <f t="shared" ref="B6:AG6" si="0">IF(B5="",B4*$B$2,B5)</f>
        <v>-9.9246442360578349E-2</v>
      </c>
      <c r="C6">
        <f t="shared" si="0"/>
        <v>1.4640707976905643E-2</v>
      </c>
      <c r="D6">
        <f t="shared" si="0"/>
        <v>1.3725663728349038E-2</v>
      </c>
      <c r="E6">
        <f t="shared" si="0"/>
        <v>7.1210619379968615E-2</v>
      </c>
      <c r="F6">
        <f t="shared" si="0"/>
        <v>7.1210619379968615E-2</v>
      </c>
      <c r="G6">
        <f t="shared" si="0"/>
        <v>2.3791150462471669E-2</v>
      </c>
      <c r="H6">
        <f t="shared" si="0"/>
        <v>7.1210619379968615E-2</v>
      </c>
      <c r="I6">
        <f t="shared" si="0"/>
        <v>-4.5752212427830133E-3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2.1961061965358457E-2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1.1895575231235835E-2</v>
      </c>
      <c r="AB6">
        <f t="shared" si="0"/>
        <v>-6.1192822458182292E-2</v>
      </c>
      <c r="AC6">
        <f t="shared" si="0"/>
        <v>-1.632229783085291E-2</v>
      </c>
      <c r="AD6">
        <f t="shared" si="0"/>
        <v>1.8300884971132053E-2</v>
      </c>
      <c r="AE6">
        <f t="shared" si="0"/>
        <v>1.0243582594579954E-2</v>
      </c>
      <c r="AF6">
        <f t="shared" si="0"/>
        <v>1.3632303344046399E-2</v>
      </c>
      <c r="AG6">
        <f t="shared" si="0"/>
        <v>5.9669924007771706E-2</v>
      </c>
      <c r="AH6">
        <f t="shared" ref="AH6:BM6" si="1">IF(AH5="",AH4*$B$2,AH5)</f>
        <v>2.3125975749347036E-2</v>
      </c>
      <c r="AI6">
        <f t="shared" si="1"/>
        <v>1.7047584306687808E-2</v>
      </c>
      <c r="AJ6">
        <f t="shared" si="1"/>
        <v>1.9215929219688656E-2</v>
      </c>
      <c r="AK6">
        <f t="shared" si="1"/>
        <v>2.1046017716801861E-2</v>
      </c>
      <c r="AL6">
        <f t="shared" si="1"/>
        <v>2.3621715279697475E-2</v>
      </c>
      <c r="AM6">
        <f t="shared" si="1"/>
        <v>2.5621238959584871E-2</v>
      </c>
      <c r="AN6">
        <f t="shared" si="1"/>
        <v>2.1046017716801861E-2</v>
      </c>
      <c r="AO6">
        <f t="shared" si="1"/>
        <v>3.3557492195327242E-2</v>
      </c>
      <c r="AP6">
        <f t="shared" si="1"/>
        <v>2.4706194711028272E-2</v>
      </c>
      <c r="AQ6">
        <f t="shared" si="1"/>
        <v>3.1148304544725561E-2</v>
      </c>
      <c r="AR6">
        <f t="shared" si="1"/>
        <v>1.8300884971132053E-2</v>
      </c>
      <c r="AS6">
        <f t="shared" si="1"/>
        <v>1.738584072257545E-2</v>
      </c>
      <c r="AT6">
        <f t="shared" si="1"/>
        <v>2.0399352170318248E-2</v>
      </c>
      <c r="AU6">
        <f t="shared" si="1"/>
        <v>2.1800534482148241E-2</v>
      </c>
      <c r="AV6">
        <f t="shared" si="1"/>
        <v>4.6348945336369303E-3</v>
      </c>
      <c r="AW6">
        <f t="shared" si="1"/>
        <v>4.3243300194279414E-3</v>
      </c>
      <c r="AX6">
        <f t="shared" si="1"/>
        <v>2.5349812721629825E-2</v>
      </c>
      <c r="AY6">
        <f t="shared" si="1"/>
        <v>2.0130973468245258E-2</v>
      </c>
      <c r="AZ6">
        <f t="shared" si="1"/>
        <v>1.9280671087860787E-2</v>
      </c>
      <c r="BA6">
        <f t="shared" si="1"/>
        <v>1.6470796474018848E-2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5"/>
  <sheetViews>
    <sheetView workbookViewId="0"/>
  </sheetViews>
  <sheetFormatPr defaultRowHeight="15" x14ac:dyDescent="0.25"/>
  <sheetData>
    <row r="1" spans="1:53" x14ac:dyDescent="0.25">
      <c r="A1" s="1" t="s">
        <v>1624</v>
      </c>
    </row>
    <row r="2" spans="1:53" x14ac:dyDescent="0.25">
      <c r="A2" s="1" t="s">
        <v>1625</v>
      </c>
      <c r="B2" s="1" t="s">
        <v>24</v>
      </c>
      <c r="C2" s="1" t="s">
        <v>35</v>
      </c>
      <c r="D2" s="1" t="s">
        <v>37</v>
      </c>
      <c r="E2" s="1" t="s">
        <v>42</v>
      </c>
      <c r="F2" s="1" t="s">
        <v>40</v>
      </c>
      <c r="G2" s="1" t="s">
        <v>44</v>
      </c>
      <c r="H2" s="1" t="s">
        <v>47</v>
      </c>
      <c r="I2" s="1" t="s">
        <v>50</v>
      </c>
      <c r="J2" s="1" t="s">
        <v>246</v>
      </c>
      <c r="K2" s="1" t="s">
        <v>276</v>
      </c>
      <c r="L2" s="1" t="s">
        <v>81</v>
      </c>
      <c r="M2" s="1" t="s">
        <v>285</v>
      </c>
      <c r="N2" s="1" t="s">
        <v>296</v>
      </c>
      <c r="O2" s="1" t="s">
        <v>301</v>
      </c>
      <c r="P2" s="1" t="s">
        <v>309</v>
      </c>
      <c r="Q2" s="1" t="s">
        <v>322</v>
      </c>
      <c r="R2" s="1" t="s">
        <v>88</v>
      </c>
      <c r="S2" s="1" t="s">
        <v>86</v>
      </c>
      <c r="T2" s="1" t="s">
        <v>100</v>
      </c>
      <c r="U2" s="1" t="s">
        <v>103</v>
      </c>
      <c r="V2" s="1" t="s">
        <v>112</v>
      </c>
      <c r="W2" s="1" t="s">
        <v>162</v>
      </c>
      <c r="X2" s="1" t="s">
        <v>183</v>
      </c>
      <c r="Y2" s="1" t="s">
        <v>133</v>
      </c>
      <c r="Z2" s="1" t="s">
        <v>198</v>
      </c>
      <c r="AA2" s="1" t="s">
        <v>220</v>
      </c>
      <c r="AB2" s="1" t="s">
        <v>213</v>
      </c>
      <c r="AC2" s="1" t="s">
        <v>226</v>
      </c>
      <c r="AD2" s="1" t="s">
        <v>53</v>
      </c>
      <c r="AE2" s="1" t="s">
        <v>64</v>
      </c>
      <c r="AF2" s="1" t="s">
        <v>66</v>
      </c>
      <c r="AG2" s="1" t="s">
        <v>68</v>
      </c>
      <c r="AH2" s="1" t="s">
        <v>333</v>
      </c>
      <c r="AI2" s="1" t="s">
        <v>359</v>
      </c>
      <c r="AJ2" s="1" t="s">
        <v>361</v>
      </c>
      <c r="AK2" s="1" t="s">
        <v>357</v>
      </c>
      <c r="AL2" s="1" t="s">
        <v>366</v>
      </c>
      <c r="AM2" s="1" t="s">
        <v>368</v>
      </c>
      <c r="AN2" s="1" t="s">
        <v>459</v>
      </c>
      <c r="AO2" s="1" t="s">
        <v>371</v>
      </c>
      <c r="AP2" s="1" t="s">
        <v>381</v>
      </c>
      <c r="AQ2" s="1" t="s">
        <v>385</v>
      </c>
      <c r="AR2" s="1" t="s">
        <v>389</v>
      </c>
      <c r="AS2" s="1" t="s">
        <v>398</v>
      </c>
      <c r="AT2" s="1" t="s">
        <v>406</v>
      </c>
      <c r="AU2" s="1" t="s">
        <v>422</v>
      </c>
      <c r="AV2" s="1" t="s">
        <v>478</v>
      </c>
      <c r="AW2" s="1" t="s">
        <v>432</v>
      </c>
      <c r="AX2" s="1" t="s">
        <v>436</v>
      </c>
      <c r="AY2" s="1" t="s">
        <v>450</v>
      </c>
      <c r="AZ2" s="1" t="s">
        <v>465</v>
      </c>
      <c r="BA2" s="1" t="s">
        <v>476</v>
      </c>
    </row>
    <row r="3" spans="1:53" x14ac:dyDescent="0.25">
      <c r="A3" t="s">
        <v>1626</v>
      </c>
      <c r="B3">
        <f>SUMIFS('2024 Data'!$C$4:$C$417,'2024 Data'!$E$4:$E$417,B2)</f>
        <v>597715</v>
      </c>
      <c r="C3">
        <f>SUMIFS('2024 Data'!$C$4:$C$417,'2024 Data'!$E$4:$E$417,C2)</f>
        <v>26473</v>
      </c>
      <c r="D3">
        <f>SUMIFS('2024 Data'!$C$4:$C$417,'2024 Data'!$E$4:$E$417,D2)</f>
        <v>9657</v>
      </c>
      <c r="E3">
        <f>SUMIFS('2024 Data'!$C$4:$C$417,'2024 Data'!$E$4:$E$417,E2)</f>
        <v>46019</v>
      </c>
      <c r="F3">
        <f>SUMIFS('2024 Data'!$C$4:$C$417,'2024 Data'!$E$4:$E$417,F2)</f>
        <v>455994</v>
      </c>
      <c r="G3">
        <f>SUMIFS('2024 Data'!$C$4:$C$417,'2024 Data'!$E$4:$E$417,G2)</f>
        <v>40605</v>
      </c>
      <c r="H3">
        <f>SUMIFS('2024 Data'!$C$4:$C$417,'2024 Data'!$E$4:$E$417,H2)</f>
        <v>53228</v>
      </c>
      <c r="I3">
        <f>SUMIFS('2024 Data'!$C$4:$C$417,'2024 Data'!$E$4:$E$417,I2)</f>
        <v>110561</v>
      </c>
      <c r="J3">
        <f>SUMIFS('2024 Data'!$C$4:$C$417,'2024 Data'!$E$4:$E$417,J2)</f>
        <v>1252875</v>
      </c>
      <c r="K3">
        <f>SUMIFS('2024 Data'!$C$4:$C$417,'2024 Data'!$E$4:$E$417,K2)</f>
        <v>68708</v>
      </c>
      <c r="L3">
        <f>SUMIFS('2024 Data'!$C$4:$C$417,'2024 Data'!$E$4:$E$417,L2)</f>
        <v>174156</v>
      </c>
      <c r="M3">
        <f>SUMIFS('2024 Data'!$C$4:$C$417,'2024 Data'!$E$4:$E$417,M2)</f>
        <v>303246</v>
      </c>
      <c r="N3">
        <f>SUMIFS('2024 Data'!$C$4:$C$417,'2024 Data'!$E$4:$E$417,N2)</f>
        <v>625936</v>
      </c>
      <c r="O3">
        <f>SUMIFS('2024 Data'!$C$4:$C$417,'2024 Data'!$E$4:$E$417,O2)</f>
        <v>662432</v>
      </c>
      <c r="P3">
        <f>SUMIFS('2024 Data'!$C$4:$C$417,'2024 Data'!$E$4:$E$417,P2)</f>
        <v>333392</v>
      </c>
      <c r="Q3">
        <f>SUMIFS('2024 Data'!$C$4:$C$417,'2024 Data'!$E$4:$E$417,Q2)</f>
        <v>298376</v>
      </c>
      <c r="R3">
        <f>SUMIFS('2024 Data'!$C$4:$C$417,'2024 Data'!$E$4:$E$417,R2)</f>
        <v>33702</v>
      </c>
      <c r="S3">
        <f>SUMIFS('2024 Data'!$C$4:$C$417,'2024 Data'!$E$4:$E$417,S2)</f>
        <v>141586</v>
      </c>
      <c r="T3">
        <f>SUMIFS('2024 Data'!$C$4:$C$417,'2024 Data'!$E$4:$E$417,T2)</f>
        <v>213917</v>
      </c>
      <c r="U3">
        <f>SUMIFS('2024 Data'!$C$4:$C$417,'2024 Data'!$E$4:$E$417,U2)</f>
        <v>112877</v>
      </c>
      <c r="V3">
        <f>SUMIFS('2024 Data'!$C$4:$C$417,'2024 Data'!$E$4:$E$417,V2)</f>
        <v>460495</v>
      </c>
      <c r="W3">
        <f>SUMIFS('2024 Data'!$C$4:$C$417,'2024 Data'!$E$4:$E$417,W2)</f>
        <v>412591</v>
      </c>
      <c r="X3">
        <f>SUMIFS('2024 Data'!$C$4:$C$417,'2024 Data'!$E$4:$E$417,X2)</f>
        <v>192695</v>
      </c>
      <c r="Y3">
        <f>SUMIFS('2024 Data'!$C$4:$C$417,'2024 Data'!$E$4:$E$417,Y2)</f>
        <v>436724</v>
      </c>
      <c r="Z3">
        <f>SUMIFS('2024 Data'!$C$4:$C$417,'2024 Data'!$E$4:$E$417,Z2)</f>
        <v>770967</v>
      </c>
      <c r="AA3">
        <f>SUMIFS('2024 Data'!$C$4:$C$417,'2024 Data'!$E$4:$E$417,AA2)</f>
        <v>44177</v>
      </c>
      <c r="AB3">
        <f>SUMIFS('2024 Data'!$C$4:$C$417,'2024 Data'!$E$4:$E$417,AB2)</f>
        <v>332963</v>
      </c>
      <c r="AC3">
        <f>SUMIFS('2024 Data'!$C$4:$C$417,'2024 Data'!$E$4:$E$417,AC2)</f>
        <v>324979</v>
      </c>
      <c r="AD3">
        <f>SUMIFS('2024 Data'!$C$4:$C$417,'2024 Data'!$E$4:$E$417,AD2)</f>
        <v>502911</v>
      </c>
      <c r="AE3">
        <f>SUMIFS('2024 Data'!$C$4:$C$417,'2024 Data'!$E$4:$E$417,AE2)</f>
        <v>191413</v>
      </c>
      <c r="AF3">
        <f>SUMIFS('2024 Data'!$C$4:$C$417,'2024 Data'!$E$4:$E$417,AF2)</f>
        <v>199697</v>
      </c>
      <c r="AG3">
        <f>SUMIFS('2024 Data'!$C$4:$C$417,'2024 Data'!$E$4:$E$417,AG2)</f>
        <v>2511508</v>
      </c>
      <c r="AH3">
        <f>SUMIFS('2024 Data'!$C$4:$C$417,'2024 Data'!$E$4:$E$417,AH2)</f>
        <v>5996340</v>
      </c>
      <c r="AI3">
        <f>SUMIFS('2024 Data'!$C$4:$C$417,'2024 Data'!$E$4:$E$417,AI2)</f>
        <v>797618</v>
      </c>
      <c r="AJ3">
        <f>SUMIFS('2024 Data'!$C$4:$C$417,'2024 Data'!$E$4:$E$417,AJ2)</f>
        <v>77558</v>
      </c>
      <c r="AK3">
        <f>SUMIFS('2024 Data'!$C$4:$C$417,'2024 Data'!$E$4:$E$417,AK2)</f>
        <v>329276</v>
      </c>
      <c r="AL3">
        <f>SUMIFS('2024 Data'!$C$4:$C$417,'2024 Data'!$E$4:$E$417,AL2)</f>
        <v>389564</v>
      </c>
      <c r="AM3">
        <f>SUMIFS('2024 Data'!$C$4:$C$417,'2024 Data'!$E$4:$E$417,AM2)</f>
        <v>153965</v>
      </c>
      <c r="AN3">
        <f>SUMIFS('2024 Data'!$C$4:$C$417,'2024 Data'!$E$4:$E$417,AN2)</f>
        <v>1746372</v>
      </c>
      <c r="AO3">
        <f>SUMIFS('2024 Data'!$C$4:$C$417,'2024 Data'!$E$4:$E$417,AO2)</f>
        <v>1090435</v>
      </c>
      <c r="AP3">
        <f>SUMIFS('2024 Data'!$C$4:$C$417,'2024 Data'!$E$4:$E$417,AP2)</f>
        <v>706729</v>
      </c>
      <c r="AQ3">
        <f>SUMIFS('2024 Data'!$C$4:$C$417,'2024 Data'!$E$4:$E$417,AQ2)</f>
        <v>1624294</v>
      </c>
      <c r="AR3">
        <f>SUMIFS('2024 Data'!$C$4:$C$417,'2024 Data'!$E$4:$E$417,AR2)</f>
        <v>4157289</v>
      </c>
      <c r="AS3">
        <f>SUMIFS('2024 Data'!$C$4:$C$417,'2024 Data'!$E$4:$E$417,AS2)</f>
        <v>5881026</v>
      </c>
      <c r="AT3">
        <f>SUMIFS('2024 Data'!$C$4:$C$417,'2024 Data'!$E$4:$E$417,AT2)</f>
        <v>3613220</v>
      </c>
      <c r="AU3">
        <f>SUMIFS('2024 Data'!$C$4:$C$417,'2024 Data'!$E$4:$E$417,AU2)</f>
        <v>1337604</v>
      </c>
      <c r="AV3">
        <f>SUMIFS('2024 Data'!$C$4:$C$417,'2024 Data'!$E$4:$E$417,AV2)</f>
        <v>5427497</v>
      </c>
      <c r="AW3">
        <f>SUMIFS('2024 Data'!$C$4:$C$417,'2024 Data'!$E$4:$E$417,AW2)</f>
        <v>495757</v>
      </c>
      <c r="AX3">
        <f>SUMIFS('2024 Data'!$C$4:$C$417,'2024 Data'!$E$4:$E$417,AX2)</f>
        <v>3588192</v>
      </c>
      <c r="AY3">
        <f>SUMIFS('2024 Data'!$C$4:$C$417,'2024 Data'!$E$4:$E$417,AY2)</f>
        <v>570822</v>
      </c>
      <c r="AZ3">
        <f>SUMIFS('2024 Data'!$C$4:$C$417,'2024 Data'!$E$4:$E$417,AZ2)</f>
        <v>783040</v>
      </c>
      <c r="BA3">
        <f>SUMIFS('2024 Data'!$C$4:$C$417,'2024 Data'!$E$4:$E$417,BA2)</f>
        <v>27382</v>
      </c>
    </row>
    <row r="4" spans="1:53" x14ac:dyDescent="0.25">
      <c r="A4" t="s">
        <v>1627</v>
      </c>
      <c r="B4">
        <f>B3*10^6*About!$A$20</f>
        <v>437477175514.60199</v>
      </c>
      <c r="C4">
        <f>C3*10^6*About!$A$20</f>
        <v>19376012426.320332</v>
      </c>
      <c r="D4">
        <f>D3*10^6*About!$A$20</f>
        <v>7068112869.7531624</v>
      </c>
      <c r="E4">
        <f>E3*10^6*About!$A$20</f>
        <v>33682042679.214119</v>
      </c>
      <c r="F4">
        <f>F3*10^6*About!$A$20</f>
        <v>333749307231.04724</v>
      </c>
      <c r="G4">
        <f>G3*10^6*About!$A$20</f>
        <v>29719449422.835987</v>
      </c>
      <c r="H4">
        <f>H3*10^6*About!$A$20</f>
        <v>38958425166.327148</v>
      </c>
      <c r="I4">
        <f>I3*10^6*About!$A$20</f>
        <v>80921365537.204041</v>
      </c>
      <c r="J4">
        <f>J3*10^6*About!$A$20</f>
        <v>916999265992.75061</v>
      </c>
      <c r="K4">
        <f>K3*10^6*About!$A$20</f>
        <v>50288484938.904449</v>
      </c>
      <c r="L4">
        <f>L3*10^6*About!$A$20</f>
        <v>127467563937.53046</v>
      </c>
      <c r="M4">
        <f>M3*10^6*About!$A$20</f>
        <v>221950601149.54617</v>
      </c>
      <c r="N4">
        <f>N3*10^6*About!$A$20</f>
        <v>458132577119.3761</v>
      </c>
      <c r="O4">
        <f>O3*10^6*About!$A$20</f>
        <v>484844583673.63849</v>
      </c>
      <c r="P4">
        <f>P3*10^6*About!$A$20</f>
        <v>244014941065.83267</v>
      </c>
      <c r="Q4">
        <f>Q3*10^6*About!$A$20</f>
        <v>218386170200.42139</v>
      </c>
      <c r="R4">
        <f>R3*10^6*About!$A$20</f>
        <v>24667033233.552975</v>
      </c>
      <c r="S4">
        <f>S3*10^6*About!$A$20</f>
        <v>103629059622.74736</v>
      </c>
      <c r="T4">
        <f>T3*10^6*About!$A$20</f>
        <v>156569276251.31897</v>
      </c>
      <c r="U4">
        <f>U3*10^6*About!$A$20</f>
        <v>82616483007.054749</v>
      </c>
      <c r="V4">
        <f>V3*10^6*About!$A$20</f>
        <v>337043661173.96527</v>
      </c>
      <c r="W4">
        <f>W3*10^6*About!$A$20</f>
        <v>301981956823.47797</v>
      </c>
      <c r="X4">
        <f>X3*10^6*About!$A$20</f>
        <v>141036554772.40195</v>
      </c>
      <c r="Y4">
        <f>Y3*10^6*About!$A$20</f>
        <v>319645285795.80408</v>
      </c>
      <c r="Z4">
        <f>Z3*10^6*About!$A$20</f>
        <v>564283087382.72607</v>
      </c>
      <c r="AA4">
        <f>AA3*10^6*About!$A$20</f>
        <v>32333853396.198139</v>
      </c>
      <c r="AB4">
        <f>AB3*10^6*About!$A$20</f>
        <v>243700949099.26706</v>
      </c>
      <c r="AC4">
        <f>AC3*10^6*About!$A$20</f>
        <v>237857331707.5192</v>
      </c>
      <c r="AD4">
        <f>AD3*10^6*About!$A$20</f>
        <v>368088610483.63184</v>
      </c>
      <c r="AE4">
        <f>AE3*10^6*About!$A$20</f>
        <v>140098238452.73502</v>
      </c>
      <c r="AF4">
        <f>AF3*10^6*About!$A$20</f>
        <v>146161430646.27701</v>
      </c>
      <c r="AG4">
        <f>AG3*10^6*About!$A$20</f>
        <v>1838212904347.9368</v>
      </c>
      <c r="AH4">
        <f>AH3*10^6*About!$A$20</f>
        <v>4388817223300.7847</v>
      </c>
      <c r="AI4">
        <f>AI3*10^6*About!$A$20</f>
        <v>583789380858.11096</v>
      </c>
      <c r="AJ4">
        <f>AJ3*10^6*About!$A$20</f>
        <v>56765941591.83139</v>
      </c>
      <c r="AK4">
        <f>AK3*10^6*About!$A$20</f>
        <v>241002374785.21716</v>
      </c>
      <c r="AL4">
        <f>AL3*10^6*About!$A$20</f>
        <v>285128126953.76624</v>
      </c>
      <c r="AM4">
        <f>AM3*10^6*About!$A$20</f>
        <v>112689447860.77928</v>
      </c>
      <c r="AN4">
        <f>AN3*10^6*About!$A$20</f>
        <v>1278197619196.0825</v>
      </c>
      <c r="AO4">
        <f>AO3*10^6*About!$A$20</f>
        <v>798106829981.28711</v>
      </c>
      <c r="AP4">
        <f>AP3*10^6*About!$A$20</f>
        <v>517266266990.55426</v>
      </c>
      <c r="AQ4">
        <f>AQ3*10^6*About!$A$20</f>
        <v>1188846777018.0017</v>
      </c>
      <c r="AR4">
        <f>AR3*10^6*About!$A$20</f>
        <v>3042786360586.4404</v>
      </c>
      <c r="AS4">
        <f>AS3*10^6*About!$A$20</f>
        <v>4304417060987.1553</v>
      </c>
      <c r="AT4">
        <f>AT3*10^6*About!$A$20</f>
        <v>2644573551128.665</v>
      </c>
      <c r="AU4">
        <f>AU3*10^6*About!$A$20</f>
        <v>979013777263.46777</v>
      </c>
      <c r="AV4">
        <f>AV3*10^6*About!$A$20</f>
        <v>3972471926710.8501</v>
      </c>
      <c r="AW4">
        <f>AW3*10^6*About!$A$20</f>
        <v>362852483376.84772</v>
      </c>
      <c r="AX4">
        <f>AX3*10^6*About!$A$20</f>
        <v>2626255157330.9868</v>
      </c>
      <c r="AY4">
        <f>AY3*10^6*About!$A$20</f>
        <v>417793758365.76984</v>
      </c>
      <c r="AZ4">
        <f>AZ3*10^6*About!$A$20</f>
        <v>573119509322.92798</v>
      </c>
      <c r="BA4">
        <f>BA3*10^6*About!$A$20</f>
        <v>20041324075.756557</v>
      </c>
    </row>
    <row r="5" spans="1:53" x14ac:dyDescent="0.25">
      <c r="A5" t="s">
        <v>1628</v>
      </c>
      <c r="B5">
        <f>B4*(1+'g2025 derivation'!B$6)</f>
        <v>394059122230.82343</v>
      </c>
      <c r="C5">
        <f>C4*(1+'g2025 derivation'!C$6)</f>
        <v>19659690966.010979</v>
      </c>
      <c r="D5">
        <f>D4*(1+'g2025 derivation'!D$6)</f>
        <v>7165127410.1974096</v>
      </c>
      <c r="E5">
        <f>E4*(1+'g2025 derivation'!E$6)</f>
        <v>36080561800.383492</v>
      </c>
      <c r="F5">
        <f>F4*(1+'g2025 derivation'!F$6)</f>
        <v>357515802116.60559</v>
      </c>
      <c r="G5">
        <f>G4*(1+'g2025 derivation'!G$6)</f>
        <v>30426509315.716496</v>
      </c>
      <c r="H5">
        <f>H4*(1+'g2025 derivation'!H$6)</f>
        <v>41732678752.489464</v>
      </c>
      <c r="I5">
        <f>I4*(1+'g2025 derivation'!I$6)</f>
        <v>80551132386.603226</v>
      </c>
      <c r="J5">
        <f>J4*(1+'g2025 derivation'!J$6)</f>
        <v>864061015129.02612</v>
      </c>
      <c r="K5">
        <f>K4*(1+'g2025 derivation'!K$6)</f>
        <v>44592296622.69381</v>
      </c>
      <c r="L5">
        <f>L4*(1+'g2025 derivation'!L$6)</f>
        <v>153785480903.70059</v>
      </c>
      <c r="M5">
        <f>M4*(1+'g2025 derivation'!M$6)</f>
        <v>210840272904.80453</v>
      </c>
      <c r="N5">
        <f>N4*(1+'g2025 derivation'!N$6)</f>
        <v>458557707738.28265</v>
      </c>
      <c r="O5">
        <f>O4*(1+'g2025 derivation'!O$6)</f>
        <v>519597061113.8208</v>
      </c>
      <c r="P5">
        <f>P4*(1+'g2025 derivation'!P$6)</f>
        <v>249373768307.05273</v>
      </c>
      <c r="Q5">
        <f>Q4*(1+'g2025 derivation'!Q$6)</f>
        <v>222256893442.4335</v>
      </c>
      <c r="R5">
        <f>R4*(1+'g2025 derivation'!R$6)</f>
        <v>24513522394.230556</v>
      </c>
      <c r="S5">
        <f>S4*(1+'g2025 derivation'!S$6)</f>
        <v>103978052507.99377</v>
      </c>
      <c r="T5">
        <f>T4*(1+'g2025 derivation'!T$6)</f>
        <v>154327388570.57584</v>
      </c>
      <c r="U5">
        <f>U4*(1+'g2025 derivation'!U$6)</f>
        <v>82639139008.882721</v>
      </c>
      <c r="V5">
        <f>V4*(1+'g2025 derivation'!V$6)</f>
        <v>345751201637.19702</v>
      </c>
      <c r="W5">
        <f>W4*(1+'g2025 derivation'!W$6)</f>
        <v>282203302739.2207</v>
      </c>
      <c r="X5">
        <f>X4*(1+'g2025 derivation'!X$6)</f>
        <v>142388223091.91733</v>
      </c>
      <c r="Y5">
        <f>Y4*(1+'g2025 derivation'!Y$6)</f>
        <v>327424312722.42059</v>
      </c>
      <c r="Z5">
        <f>Z4*(1+'g2025 derivation'!Z$6)</f>
        <v>529753012600.35999</v>
      </c>
      <c r="AA5">
        <f>AA4*(1+'g2025 derivation'!AA$6)</f>
        <v>32718483181.788361</v>
      </c>
      <c r="AB5">
        <f>AB4*(1+'g2025 derivation'!AB$6)</f>
        <v>228788200188.14511</v>
      </c>
      <c r="AC5">
        <f>AC4*(1+'g2025 derivation'!AC$6)</f>
        <v>233974953498.13708</v>
      </c>
      <c r="AD5">
        <f>AD4*(1+'g2025 derivation'!AD$6)</f>
        <v>374824957803.27667</v>
      </c>
      <c r="AE5">
        <f>AE4*(1+'g2025 derivation'!AE$6)</f>
        <v>141533346329.68076</v>
      </c>
      <c r="AF5">
        <f>AF4*(1+'g2025 derivation'!AF$6)</f>
        <v>148153947606.04684</v>
      </c>
      <c r="AG5">
        <f>AG4*(1+'g2025 derivation'!AG$6)</f>
        <v>1947898928660.4834</v>
      </c>
      <c r="AH5">
        <f>AH4*(1+'g2025 derivation'!AH$6)</f>
        <v>4490312903975.1543</v>
      </c>
      <c r="AI5">
        <f>AI4*(1+'g2025 derivation'!AI$6)</f>
        <v>593741579545.63867</v>
      </c>
      <c r="AJ5">
        <f>AJ4*(1+'g2025 derivation'!AJ$6)</f>
        <v>57856751907.549004</v>
      </c>
      <c r="AK5">
        <f>AK4*(1+'g2025 derivation'!AK$6)</f>
        <v>246074515034.73819</v>
      </c>
      <c r="AL5">
        <f>AL4*(1+'g2025 derivation'!AL$6)</f>
        <v>291863342386.90155</v>
      </c>
      <c r="AM5">
        <f>AM4*(1+'g2025 derivation'!AM$6)</f>
        <v>115576691132.644</v>
      </c>
      <c r="AN5">
        <f>AN4*(1+'g2025 derivation'!AN$6)</f>
        <v>1305098588935.2573</v>
      </c>
      <c r="AO5">
        <f>AO4*(1+'g2025 derivation'!AO$6)</f>
        <v>824889293699.42151</v>
      </c>
      <c r="AP5">
        <f>AP4*(1+'g2025 derivation'!AP$6)</f>
        <v>530045948100.26965</v>
      </c>
      <c r="AQ5">
        <f>AQ4*(1+'g2025 derivation'!AQ$6)</f>
        <v>1225877338485.574</v>
      </c>
      <c r="AR5">
        <f>AR4*(1+'g2025 derivation'!AR$6)</f>
        <v>3098472043763.2627</v>
      </c>
      <c r="AS5">
        <f>AS4*(1+'g2025 derivation'!AS$6)</f>
        <v>4379252970413.0146</v>
      </c>
      <c r="AT5">
        <f>AT4*(1+'g2025 derivation'!AT$6)</f>
        <v>2698521138338.4478</v>
      </c>
      <c r="AU5">
        <f>AU4*(1+'g2025 derivation'!AU$6)</f>
        <v>1000356800873.1981</v>
      </c>
      <c r="AV5">
        <f>AV4*(1+'g2025 derivation'!AV$6)</f>
        <v>3990883915128.9888</v>
      </c>
      <c r="AW5">
        <f>AW4*(1+'g2025 derivation'!AW$6)</f>
        <v>364421577263.3382</v>
      </c>
      <c r="AX5">
        <f>AX4*(1+'g2025 derivation'!AX$6)</f>
        <v>2692830233728.542</v>
      </c>
      <c r="AY5">
        <f>AY4*(1+'g2025 derivation'!AY$6)</f>
        <v>426204353430.62964</v>
      </c>
      <c r="AZ5">
        <f>AZ4*(1+'g2025 derivation'!AZ$6)</f>
        <v>584169638076.21948</v>
      </c>
      <c r="BA5">
        <f>BA4*(1+'g2025 derivation'!BA$6)</f>
        <v>20371420645.6782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/>
  </sheetViews>
  <sheetFormatPr defaultRowHeight="15" x14ac:dyDescent="0.25"/>
  <cols>
    <col min="1" max="1" width="62" customWidth="1"/>
  </cols>
  <sheetData>
    <row r="1" spans="1:3" x14ac:dyDescent="0.25">
      <c r="A1" s="1" t="s">
        <v>1629</v>
      </c>
    </row>
    <row r="3" spans="1:3" x14ac:dyDescent="0.25">
      <c r="A3" t="s">
        <v>1630</v>
      </c>
    </row>
    <row r="4" spans="1:3" x14ac:dyDescent="0.25">
      <c r="B4">
        <f>SUMIFS('2024 Data'!$C$4:$C$417,'2024 Data'!$E$4:$E$417,"")</f>
        <v>0</v>
      </c>
      <c r="C4" s="1" t="str">
        <f>IF(B4=0,"PASS","INSPECT")</f>
        <v>PASS</v>
      </c>
    </row>
    <row r="6" spans="1:3" x14ac:dyDescent="0.25">
      <c r="A6" t="s">
        <v>1631</v>
      </c>
    </row>
    <row r="7" spans="1:3" x14ac:dyDescent="0.25">
      <c r="B7">
        <f>SUM(Calculations!B3:BA3)-(SUM('2024 Data'!$C$4:$C$417)-B4)</f>
        <v>0</v>
      </c>
      <c r="C7" s="1" t="str">
        <f>IF(ABS(B7)&lt;0.01,"PASS","FAIL")</f>
        <v>PASS</v>
      </c>
    </row>
    <row r="9" spans="1:3" x14ac:dyDescent="0.25">
      <c r="A9" t="s">
        <v>1632</v>
      </c>
    </row>
    <row r="10" spans="1:3" x14ac:dyDescent="0.25">
      <c r="B10">
        <f>SUM(SYObIC!B2:AQ2)-SUM(Calculations!B4:BA4)</f>
        <v>0</v>
      </c>
      <c r="C10" s="1" t="str">
        <f>IF(ABS(B10)&lt;1,"PASS","FAIL")</f>
        <v>PASS</v>
      </c>
    </row>
    <row r="12" spans="1:3" x14ac:dyDescent="0.25">
      <c r="A12" t="s">
        <v>1633</v>
      </c>
    </row>
    <row r="13" spans="1:3" x14ac:dyDescent="0.25">
      <c r="B13">
        <f>SUM(BObIC!B2:AQ2)/SUM(SYObIC!B2:AQ2)-1</f>
        <v>1.5970165492695143E-2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AQ2"/>
  <sheetViews>
    <sheetView workbookViewId="0"/>
  </sheetViews>
  <sheetFormatPr defaultRowHeight="15" x14ac:dyDescent="0.25"/>
  <sheetData>
    <row r="1" spans="1:43" x14ac:dyDescent="0.25">
      <c r="A1" t="s">
        <v>1634</v>
      </c>
      <c r="B1" s="1" t="s">
        <v>1635</v>
      </c>
      <c r="C1" s="1" t="s">
        <v>42</v>
      </c>
      <c r="D1" s="1" t="s">
        <v>40</v>
      </c>
      <c r="E1" s="1" t="s">
        <v>1636</v>
      </c>
      <c r="F1" s="1" t="s">
        <v>50</v>
      </c>
      <c r="G1" s="1" t="s">
        <v>246</v>
      </c>
      <c r="H1" s="1" t="s">
        <v>276</v>
      </c>
      <c r="I1" s="1" t="s">
        <v>81</v>
      </c>
      <c r="J1" s="1" t="s">
        <v>285</v>
      </c>
      <c r="K1" s="1" t="s">
        <v>296</v>
      </c>
      <c r="L1" s="1" t="s">
        <v>301</v>
      </c>
      <c r="M1" s="1" t="s">
        <v>309</v>
      </c>
      <c r="N1" s="1" t="s">
        <v>322</v>
      </c>
      <c r="O1" s="1" t="s">
        <v>88</v>
      </c>
      <c r="P1" s="1" t="s">
        <v>86</v>
      </c>
      <c r="Q1" s="1" t="s">
        <v>100</v>
      </c>
      <c r="R1" s="1" t="s">
        <v>103</v>
      </c>
      <c r="S1" s="1" t="s">
        <v>112</v>
      </c>
      <c r="T1" s="1" t="s">
        <v>162</v>
      </c>
      <c r="U1" s="1" t="s">
        <v>183</v>
      </c>
      <c r="V1" s="1" t="s">
        <v>133</v>
      </c>
      <c r="W1" s="1" t="s">
        <v>198</v>
      </c>
      <c r="X1" s="1" t="s">
        <v>1637</v>
      </c>
      <c r="Y1" s="1" t="s">
        <v>226</v>
      </c>
      <c r="Z1" s="1" t="s">
        <v>53</v>
      </c>
      <c r="AA1" s="1" t="s">
        <v>64</v>
      </c>
      <c r="AB1" s="1" t="s">
        <v>66</v>
      </c>
      <c r="AC1" s="1" t="s">
        <v>68</v>
      </c>
      <c r="AD1" s="1" t="s">
        <v>333</v>
      </c>
      <c r="AE1" s="1" t="s">
        <v>1638</v>
      </c>
      <c r="AF1" s="1" t="s">
        <v>459</v>
      </c>
      <c r="AG1" s="1" t="s">
        <v>371</v>
      </c>
      <c r="AH1" s="1" t="s">
        <v>381</v>
      </c>
      <c r="AI1" s="1" t="s">
        <v>385</v>
      </c>
      <c r="AJ1" s="1" t="s">
        <v>389</v>
      </c>
      <c r="AK1" s="1" t="s">
        <v>398</v>
      </c>
      <c r="AL1" s="1" t="s">
        <v>1639</v>
      </c>
      <c r="AM1" s="1" t="s">
        <v>478</v>
      </c>
      <c r="AN1" s="1" t="s">
        <v>432</v>
      </c>
      <c r="AO1" s="1" t="s">
        <v>436</v>
      </c>
      <c r="AP1" s="1" t="s">
        <v>1640</v>
      </c>
      <c r="AQ1" s="1" t="s">
        <v>476</v>
      </c>
    </row>
    <row r="2" spans="1:43" x14ac:dyDescent="0.25">
      <c r="A2" t="s">
        <v>1641</v>
      </c>
      <c r="B2">
        <f>SUM(Calculations!B4:D4)</f>
        <v>463921300810.67548</v>
      </c>
      <c r="C2">
        <f>SUM(Calculations!E4:E4)</f>
        <v>33682042679.214119</v>
      </c>
      <c r="D2">
        <f>SUM(Calculations!F4:F4)</f>
        <v>333749307231.04724</v>
      </c>
      <c r="E2">
        <f>SUM(Calculations!G4:H4)</f>
        <v>68677874589.163132</v>
      </c>
      <c r="F2">
        <f>SUM(Calculations!I4:I4)</f>
        <v>80921365537.204041</v>
      </c>
      <c r="G2">
        <f>SUM(Calculations!J4:J4)</f>
        <v>916999265992.75061</v>
      </c>
      <c r="H2">
        <f>SUM(Calculations!K4:K4)</f>
        <v>50288484938.904449</v>
      </c>
      <c r="I2">
        <f>SUM(Calculations!L4:L4)</f>
        <v>127467563937.53046</v>
      </c>
      <c r="J2">
        <f>SUM(Calculations!M4:M4)</f>
        <v>221950601149.54617</v>
      </c>
      <c r="K2">
        <f>SUM(Calculations!N4:N4)</f>
        <v>458132577119.3761</v>
      </c>
      <c r="L2">
        <f>SUM(Calculations!O4:O4)</f>
        <v>484844583673.63849</v>
      </c>
      <c r="M2">
        <f>SUM(Calculations!P4:P4)</f>
        <v>244014941065.83267</v>
      </c>
      <c r="N2">
        <f>SUM(Calculations!Q4:Q4)</f>
        <v>218386170200.42139</v>
      </c>
      <c r="O2">
        <f>SUM(Calculations!R4:R4)</f>
        <v>24667033233.552975</v>
      </c>
      <c r="P2">
        <f>SUM(Calculations!S4:S4)</f>
        <v>103629059622.74736</v>
      </c>
      <c r="Q2">
        <f>SUM(Calculations!T4:T4)</f>
        <v>156569276251.31897</v>
      </c>
      <c r="R2">
        <f>SUM(Calculations!U4:U4)</f>
        <v>82616483007.054749</v>
      </c>
      <c r="S2">
        <f>SUM(Calculations!V4:V4)</f>
        <v>337043661173.96527</v>
      </c>
      <c r="T2">
        <f>SUM(Calculations!W4:W4)</f>
        <v>301981956823.47797</v>
      </c>
      <c r="U2">
        <f>SUM(Calculations!X4:X4)</f>
        <v>141036554772.40195</v>
      </c>
      <c r="V2">
        <f>SUM(Calculations!Y4:Y4)</f>
        <v>319645285795.80408</v>
      </c>
      <c r="W2">
        <f>SUM(Calculations!Z4:Z4)</f>
        <v>564283087382.72607</v>
      </c>
      <c r="X2">
        <f>SUM(Calculations!AA4:AB4)</f>
        <v>276034802495.46521</v>
      </c>
      <c r="Y2">
        <f>SUM(Calculations!AC4:AC4)</f>
        <v>237857331707.5192</v>
      </c>
      <c r="Z2">
        <f>SUM(Calculations!AD4:AD4)</f>
        <v>368088610483.63184</v>
      </c>
      <c r="AA2">
        <f>SUM(Calculations!AE4:AE4)</f>
        <v>140098238452.73502</v>
      </c>
      <c r="AB2">
        <f>SUM(Calculations!AF4:AF4)</f>
        <v>146161430646.27701</v>
      </c>
      <c r="AC2">
        <f>SUM(Calculations!AG4:AG4)</f>
        <v>1838212904347.9368</v>
      </c>
      <c r="AD2">
        <f>SUM(Calculations!AH4:AH4)</f>
        <v>4388817223300.7847</v>
      </c>
      <c r="AE2">
        <f>SUM(Calculations!AI4:AM4)</f>
        <v>1279375272049.7051</v>
      </c>
      <c r="AF2">
        <f>SUM(Calculations!AN4:AN4)</f>
        <v>1278197619196.0825</v>
      </c>
      <c r="AG2">
        <f>SUM(Calculations!AO4:AO4)</f>
        <v>798106829981.28711</v>
      </c>
      <c r="AH2">
        <f>SUM(Calculations!AP4:AP4)</f>
        <v>517266266990.55426</v>
      </c>
      <c r="AI2">
        <f>SUM(Calculations!AQ4:AQ4)</f>
        <v>1188846777018.0017</v>
      </c>
      <c r="AJ2">
        <f>SUM(Calculations!AR4:AR4)</f>
        <v>3042786360586.4404</v>
      </c>
      <c r="AK2">
        <f>SUM(Calculations!AS4:AS4)</f>
        <v>4304417060987.1553</v>
      </c>
      <c r="AL2">
        <f>SUM(Calculations!AT4:AU4)</f>
        <v>3623587328392.1328</v>
      </c>
      <c r="AM2">
        <f>SUM(Calculations!AV4:AV4)</f>
        <v>3972471926710.8501</v>
      </c>
      <c r="AN2">
        <f>SUM(Calculations!AW4:AW4)</f>
        <v>362852483376.84772</v>
      </c>
      <c r="AO2">
        <f>SUM(Calculations!AX4:AX4)</f>
        <v>2626255157330.9868</v>
      </c>
      <c r="AP2">
        <f>SUM(Calculations!AY4:AZ4)</f>
        <v>990913267688.69775</v>
      </c>
      <c r="AQ2">
        <f>SUM(Calculations!BA4:BA4)</f>
        <v>20041324075.756557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AQ2"/>
  <sheetViews>
    <sheetView workbookViewId="0"/>
  </sheetViews>
  <sheetFormatPr defaultRowHeight="15" x14ac:dyDescent="0.25"/>
  <sheetData>
    <row r="1" spans="1:43" x14ac:dyDescent="0.25">
      <c r="A1" t="s">
        <v>1634</v>
      </c>
      <c r="B1" s="1" t="s">
        <v>1635</v>
      </c>
      <c r="C1" s="1" t="s">
        <v>42</v>
      </c>
      <c r="D1" s="1" t="s">
        <v>40</v>
      </c>
      <c r="E1" s="1" t="s">
        <v>1636</v>
      </c>
      <c r="F1" s="1" t="s">
        <v>50</v>
      </c>
      <c r="G1" s="1" t="s">
        <v>246</v>
      </c>
      <c r="H1" s="1" t="s">
        <v>276</v>
      </c>
      <c r="I1" s="1" t="s">
        <v>81</v>
      </c>
      <c r="J1" s="1" t="s">
        <v>285</v>
      </c>
      <c r="K1" s="1" t="s">
        <v>296</v>
      </c>
      <c r="L1" s="1" t="s">
        <v>301</v>
      </c>
      <c r="M1" s="1" t="s">
        <v>309</v>
      </c>
      <c r="N1" s="1" t="s">
        <v>322</v>
      </c>
      <c r="O1" s="1" t="s">
        <v>88</v>
      </c>
      <c r="P1" s="1" t="s">
        <v>86</v>
      </c>
      <c r="Q1" s="1" t="s">
        <v>100</v>
      </c>
      <c r="R1" s="1" t="s">
        <v>103</v>
      </c>
      <c r="S1" s="1" t="s">
        <v>112</v>
      </c>
      <c r="T1" s="1" t="s">
        <v>162</v>
      </c>
      <c r="U1" s="1" t="s">
        <v>183</v>
      </c>
      <c r="V1" s="1" t="s">
        <v>133</v>
      </c>
      <c r="W1" s="1" t="s">
        <v>198</v>
      </c>
      <c r="X1" s="1" t="s">
        <v>1637</v>
      </c>
      <c r="Y1" s="1" t="s">
        <v>226</v>
      </c>
      <c r="Z1" s="1" t="s">
        <v>53</v>
      </c>
      <c r="AA1" s="1" t="s">
        <v>64</v>
      </c>
      <c r="AB1" s="1" t="s">
        <v>66</v>
      </c>
      <c r="AC1" s="1" t="s">
        <v>68</v>
      </c>
      <c r="AD1" s="1" t="s">
        <v>333</v>
      </c>
      <c r="AE1" s="1" t="s">
        <v>1638</v>
      </c>
      <c r="AF1" s="1" t="s">
        <v>459</v>
      </c>
      <c r="AG1" s="1" t="s">
        <v>371</v>
      </c>
      <c r="AH1" s="1" t="s">
        <v>381</v>
      </c>
      <c r="AI1" s="1" t="s">
        <v>385</v>
      </c>
      <c r="AJ1" s="1" t="s">
        <v>389</v>
      </c>
      <c r="AK1" s="1" t="s">
        <v>398</v>
      </c>
      <c r="AL1" s="1" t="s">
        <v>1639</v>
      </c>
      <c r="AM1" s="1" t="s">
        <v>478</v>
      </c>
      <c r="AN1" s="1" t="s">
        <v>432</v>
      </c>
      <c r="AO1" s="1" t="s">
        <v>436</v>
      </c>
      <c r="AP1" s="1" t="s">
        <v>1640</v>
      </c>
      <c r="AQ1" s="1" t="s">
        <v>476</v>
      </c>
    </row>
    <row r="2" spans="1:43" x14ac:dyDescent="0.25">
      <c r="A2" t="s">
        <v>1641</v>
      </c>
      <c r="B2">
        <f>SUM(Calculations!B5:D5)</f>
        <v>420883940607.0318</v>
      </c>
      <c r="C2">
        <f>SUM(Calculations!E5:E5)</f>
        <v>36080561800.383492</v>
      </c>
      <c r="D2">
        <f>SUM(Calculations!F5:F5)</f>
        <v>357515802116.60559</v>
      </c>
      <c r="E2">
        <f>SUM(Calculations!G5:H5)</f>
        <v>72159188068.205963</v>
      </c>
      <c r="F2">
        <f>SUM(Calculations!I5:I5)</f>
        <v>80551132386.603226</v>
      </c>
      <c r="G2">
        <f>SUM(Calculations!J5:J5)</f>
        <v>864061015129.02612</v>
      </c>
      <c r="H2">
        <f>SUM(Calculations!K5:K5)</f>
        <v>44592296622.69381</v>
      </c>
      <c r="I2">
        <f>SUM(Calculations!L5:L5)</f>
        <v>153785480903.70059</v>
      </c>
      <c r="J2">
        <f>SUM(Calculations!M5:M5)</f>
        <v>210840272904.80453</v>
      </c>
      <c r="K2">
        <f>SUM(Calculations!N5:N5)</f>
        <v>458557707738.28265</v>
      </c>
      <c r="L2">
        <f>SUM(Calculations!O5:O5)</f>
        <v>519597061113.8208</v>
      </c>
      <c r="M2">
        <f>SUM(Calculations!P5:P5)</f>
        <v>249373768307.05273</v>
      </c>
      <c r="N2">
        <f>SUM(Calculations!Q5:Q5)</f>
        <v>222256893442.4335</v>
      </c>
      <c r="O2">
        <f>SUM(Calculations!R5:R5)</f>
        <v>24513522394.230556</v>
      </c>
      <c r="P2">
        <f>SUM(Calculations!S5:S5)</f>
        <v>103978052507.99377</v>
      </c>
      <c r="Q2">
        <f>SUM(Calculations!T5:T5)</f>
        <v>154327388570.57584</v>
      </c>
      <c r="R2">
        <f>SUM(Calculations!U5:U5)</f>
        <v>82639139008.882721</v>
      </c>
      <c r="S2">
        <f>SUM(Calculations!V5:V5)</f>
        <v>345751201637.19702</v>
      </c>
      <c r="T2">
        <f>SUM(Calculations!W5:W5)</f>
        <v>282203302739.2207</v>
      </c>
      <c r="U2">
        <f>SUM(Calculations!X5:X5)</f>
        <v>142388223091.91733</v>
      </c>
      <c r="V2">
        <f>SUM(Calculations!Y5:Y5)</f>
        <v>327424312722.42059</v>
      </c>
      <c r="W2">
        <f>SUM(Calculations!Z5:Z5)</f>
        <v>529753012600.35999</v>
      </c>
      <c r="X2">
        <f>SUM(Calculations!AA5:AB5)</f>
        <v>261506683369.93347</v>
      </c>
      <c r="Y2">
        <f>SUM(Calculations!AC5:AC5)</f>
        <v>233974953498.13708</v>
      </c>
      <c r="Z2">
        <f>SUM(Calculations!AD5:AD5)</f>
        <v>374824957803.27667</v>
      </c>
      <c r="AA2">
        <f>SUM(Calculations!AE5:AE5)</f>
        <v>141533346329.68076</v>
      </c>
      <c r="AB2">
        <f>SUM(Calculations!AF5:AF5)</f>
        <v>148153947606.04684</v>
      </c>
      <c r="AC2">
        <f>SUM(Calculations!AG5:AG5)</f>
        <v>1947898928660.4834</v>
      </c>
      <c r="AD2">
        <f>SUM(Calculations!AH5:AH5)</f>
        <v>4490312903975.1543</v>
      </c>
      <c r="AE2">
        <f>SUM(Calculations!AI5:AM5)</f>
        <v>1305112880007.4714</v>
      </c>
      <c r="AF2">
        <f>SUM(Calculations!AN5:AN5)</f>
        <v>1305098588935.2573</v>
      </c>
      <c r="AG2">
        <f>SUM(Calculations!AO5:AO5)</f>
        <v>824889293699.42151</v>
      </c>
      <c r="AH2">
        <f>SUM(Calculations!AP5:AP5)</f>
        <v>530045948100.26965</v>
      </c>
      <c r="AI2">
        <f>SUM(Calculations!AQ5:AQ5)</f>
        <v>1225877338485.574</v>
      </c>
      <c r="AJ2">
        <f>SUM(Calculations!AR5:AR5)</f>
        <v>3098472043763.2627</v>
      </c>
      <c r="AK2">
        <f>SUM(Calculations!AS5:AS5)</f>
        <v>4379252970413.0146</v>
      </c>
      <c r="AL2">
        <f>SUM(Calculations!AT5:AU5)</f>
        <v>3698877939211.646</v>
      </c>
      <c r="AM2">
        <f>SUM(Calculations!AV5:AV5)</f>
        <v>3990883915128.9888</v>
      </c>
      <c r="AN2">
        <f>SUM(Calculations!AW5:AW5)</f>
        <v>364421577263.3382</v>
      </c>
      <c r="AO2">
        <f>SUM(Calculations!AX5:AX5)</f>
        <v>2692830233728.542</v>
      </c>
      <c r="AP2">
        <f>SUM(Calculations!AY5:AZ5)</f>
        <v>1010373991506.8491</v>
      </c>
      <c r="AQ2">
        <f>SUM(Calculations!BA5:BA5)</f>
        <v>20371420645.6782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2024 Data</vt:lpstr>
      <vt:lpstr>BLS Table 2.11</vt:lpstr>
      <vt:lpstr>AEO25 Table 23</vt:lpstr>
      <vt:lpstr>AEO 2026 Table 23 </vt:lpstr>
      <vt:lpstr>g2025 derivation</vt:lpstr>
      <vt:lpstr>Calculations</vt:lpstr>
      <vt:lpstr>Checks</vt:lpstr>
      <vt:lpstr>SYObIC</vt:lpstr>
      <vt:lpstr>BObIC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2026-07-21T19:33:10Z</dcterms:created>
  <dcterms:modified xsi:type="dcterms:W3CDTF">2026-07-21T20:44:42Z</dcterms:modified>
</cp:coreProperties>
</file>