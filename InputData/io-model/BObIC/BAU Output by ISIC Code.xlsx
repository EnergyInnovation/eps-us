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o-model\BObIC\"/>
    </mc:Choice>
  </mc:AlternateContent>
  <xr:revisionPtr revIDLastSave="0" documentId="13_ncr:1_{9EEA2CAC-7623-4254-B68D-325216217130}" xr6:coauthVersionLast="47" xr6:coauthVersionMax="47" xr10:uidLastSave="{00000000-0000-0000-0000-000000000000}"/>
  <bookViews>
    <workbookView xWindow="-120" yWindow="-120" windowWidth="29040" windowHeight="17520" activeTab="6" xr2:uid="{5EF2576B-993B-4CC3-A792-3E4B00343B75}"/>
  </bookViews>
  <sheets>
    <sheet name="About" sheetId="1" r:id="rId1"/>
    <sheet name="2021" sheetId="10" r:id="rId2"/>
    <sheet name="2020" sheetId="12" r:id="rId3"/>
    <sheet name="Data" sheetId="11" r:id="rId4"/>
    <sheet name="SYObIC_old" sheetId="14" r:id="rId5"/>
    <sheet name="GDP Forecast" sheetId="17" r:id="rId6"/>
    <sheet name="SYObIC" sheetId="16" r:id="rId7"/>
    <sheet name="BObIC" sheetId="2" r:id="rId8"/>
  </sheets>
  <externalReferences>
    <externalReference r:id="rId9"/>
  </externalReferences>
  <definedNames>
    <definedName name="gal_per_barrel">[1]About!$A$63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Q2" i="16" l="1"/>
  <c r="AP2" i="16"/>
  <c r="AO2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C2" i="16"/>
  <c r="B2" i="16"/>
  <c r="AH2" i="14"/>
  <c r="AG2" i="14"/>
  <c r="AD2" i="14"/>
  <c r="Y2" i="14"/>
  <c r="V2" i="14"/>
  <c r="U2" i="14"/>
  <c r="D438" i="12"/>
  <c r="D437" i="12"/>
  <c r="D436" i="12"/>
  <c r="D435" i="12"/>
  <c r="D434" i="12"/>
  <c r="D433" i="12"/>
  <c r="D432" i="12"/>
  <c r="D431" i="12"/>
  <c r="D430" i="12"/>
  <c r="D429" i="12"/>
  <c r="D428" i="12"/>
  <c r="D427" i="12"/>
  <c r="D426" i="12"/>
  <c r="D425" i="12"/>
  <c r="D424" i="12"/>
  <c r="D423" i="12"/>
  <c r="D422" i="12"/>
  <c r="D421" i="12"/>
  <c r="D420" i="12"/>
  <c r="D419" i="12"/>
  <c r="D418" i="12"/>
  <c r="D417" i="12"/>
  <c r="D416" i="12"/>
  <c r="D415" i="12"/>
  <c r="D414" i="12"/>
  <c r="D413" i="12"/>
  <c r="D412" i="12"/>
  <c r="D411" i="12"/>
  <c r="D410" i="12"/>
  <c r="D409" i="12"/>
  <c r="D408" i="12"/>
  <c r="D407" i="12"/>
  <c r="D406" i="12"/>
  <c r="D405" i="12"/>
  <c r="D404" i="12"/>
  <c r="D403" i="12"/>
  <c r="D402" i="12"/>
  <c r="D401" i="12"/>
  <c r="D400" i="12"/>
  <c r="D399" i="12"/>
  <c r="D398" i="12"/>
  <c r="D397" i="12"/>
  <c r="D396" i="12"/>
  <c r="D395" i="12"/>
  <c r="D394" i="12"/>
  <c r="D393" i="12"/>
  <c r="D392" i="12"/>
  <c r="D391" i="12"/>
  <c r="D390" i="12"/>
  <c r="D389" i="12"/>
  <c r="D388" i="12"/>
  <c r="D387" i="12"/>
  <c r="D386" i="12"/>
  <c r="D385" i="12"/>
  <c r="D384" i="12"/>
  <c r="D383" i="12"/>
  <c r="D382" i="12"/>
  <c r="D381" i="12"/>
  <c r="D380" i="12"/>
  <c r="D379" i="12"/>
  <c r="D378" i="12"/>
  <c r="D377" i="12"/>
  <c r="D376" i="12"/>
  <c r="D375" i="12"/>
  <c r="D374" i="12"/>
  <c r="D373" i="12"/>
  <c r="D372" i="12"/>
  <c r="D371" i="12"/>
  <c r="D370" i="12"/>
  <c r="D369" i="12"/>
  <c r="D368" i="12"/>
  <c r="D367" i="12"/>
  <c r="D366" i="12"/>
  <c r="D365" i="12"/>
  <c r="D364" i="12"/>
  <c r="D363" i="12"/>
  <c r="D362" i="12"/>
  <c r="D361" i="12"/>
  <c r="D360" i="12"/>
  <c r="D359" i="12"/>
  <c r="D358" i="12"/>
  <c r="D357" i="12"/>
  <c r="D356" i="12"/>
  <c r="D355" i="12"/>
  <c r="D354" i="12"/>
  <c r="D353" i="12"/>
  <c r="D352" i="12"/>
  <c r="D351" i="12"/>
  <c r="D350" i="12"/>
  <c r="D349" i="12"/>
  <c r="D348" i="12"/>
  <c r="D347" i="12"/>
  <c r="D346" i="12"/>
  <c r="D345" i="12"/>
  <c r="D344" i="12"/>
  <c r="D343" i="12"/>
  <c r="D342" i="12"/>
  <c r="D341" i="12"/>
  <c r="D340" i="12"/>
  <c r="D339" i="12"/>
  <c r="D338" i="12"/>
  <c r="D337" i="12"/>
  <c r="D336" i="12"/>
  <c r="D335" i="12"/>
  <c r="D334" i="12"/>
  <c r="D333" i="12"/>
  <c r="D332" i="12"/>
  <c r="D331" i="12"/>
  <c r="D330" i="12"/>
  <c r="D329" i="12"/>
  <c r="D328" i="12"/>
  <c r="D327" i="12"/>
  <c r="D326" i="12"/>
  <c r="D325" i="12"/>
  <c r="D324" i="12"/>
  <c r="D323" i="12"/>
  <c r="D322" i="12"/>
  <c r="D321" i="12"/>
  <c r="D320" i="12"/>
  <c r="D319" i="12"/>
  <c r="D318" i="12"/>
  <c r="D317" i="12"/>
  <c r="D316" i="12"/>
  <c r="D315" i="12"/>
  <c r="D314" i="12"/>
  <c r="D313" i="12"/>
  <c r="D312" i="12"/>
  <c r="D311" i="12"/>
  <c r="D310" i="12"/>
  <c r="D309" i="12"/>
  <c r="D308" i="12"/>
  <c r="D307" i="12"/>
  <c r="D306" i="12"/>
  <c r="D305" i="12"/>
  <c r="D304" i="12"/>
  <c r="D303" i="12"/>
  <c r="D302" i="12"/>
  <c r="D301" i="12"/>
  <c r="D300" i="12"/>
  <c r="D299" i="12"/>
  <c r="D298" i="12"/>
  <c r="D297" i="12"/>
  <c r="D296" i="12"/>
  <c r="D295" i="12"/>
  <c r="D294" i="12"/>
  <c r="D293" i="12"/>
  <c r="D292" i="12"/>
  <c r="D291" i="12"/>
  <c r="D290" i="12"/>
  <c r="D289" i="12"/>
  <c r="D288" i="12"/>
  <c r="D287" i="12"/>
  <c r="D286" i="12"/>
  <c r="D285" i="12"/>
  <c r="D284" i="12"/>
  <c r="D283" i="12"/>
  <c r="D282" i="12"/>
  <c r="D281" i="12"/>
  <c r="D280" i="12"/>
  <c r="D279" i="12"/>
  <c r="D278" i="12"/>
  <c r="D277" i="12"/>
  <c r="D276" i="12"/>
  <c r="D275" i="12"/>
  <c r="D274" i="12"/>
  <c r="D273" i="12"/>
  <c r="D272" i="12"/>
  <c r="D271" i="12"/>
  <c r="D270" i="12"/>
  <c r="D269" i="12"/>
  <c r="D268" i="12"/>
  <c r="D267" i="12"/>
  <c r="D266" i="12"/>
  <c r="D265" i="12"/>
  <c r="D264" i="12"/>
  <c r="D263" i="12"/>
  <c r="D262" i="12"/>
  <c r="D261" i="12"/>
  <c r="D260" i="12"/>
  <c r="D259" i="12"/>
  <c r="D258" i="12"/>
  <c r="D257" i="12"/>
  <c r="D256" i="12"/>
  <c r="D255" i="12"/>
  <c r="D254" i="12"/>
  <c r="D253" i="12"/>
  <c r="D252" i="12"/>
  <c r="D251" i="12"/>
  <c r="D250" i="12"/>
  <c r="D249" i="12"/>
  <c r="D248" i="12"/>
  <c r="D247" i="12"/>
  <c r="D246" i="12"/>
  <c r="D245" i="12"/>
  <c r="D244" i="12"/>
  <c r="D243" i="12"/>
  <c r="D242" i="12"/>
  <c r="D241" i="12"/>
  <c r="D240" i="12"/>
  <c r="D239" i="12"/>
  <c r="D238" i="12"/>
  <c r="D237" i="12"/>
  <c r="D236" i="12"/>
  <c r="D235" i="12"/>
  <c r="D234" i="12"/>
  <c r="D233" i="12"/>
  <c r="D232" i="12"/>
  <c r="D231" i="12"/>
  <c r="D230" i="12"/>
  <c r="D229" i="12"/>
  <c r="D228" i="12"/>
  <c r="D227" i="12"/>
  <c r="D226" i="12"/>
  <c r="D225" i="12"/>
  <c r="D224" i="12"/>
  <c r="D223" i="12"/>
  <c r="D222" i="12"/>
  <c r="D221" i="12"/>
  <c r="D220" i="12"/>
  <c r="D219" i="12"/>
  <c r="D218" i="12"/>
  <c r="D217" i="12"/>
  <c r="D216" i="12"/>
  <c r="D215" i="12"/>
  <c r="D214" i="12"/>
  <c r="D213" i="12"/>
  <c r="D212" i="12"/>
  <c r="D211" i="12"/>
  <c r="D210" i="12"/>
  <c r="D209" i="12"/>
  <c r="D208" i="12"/>
  <c r="D207" i="12"/>
  <c r="D206" i="12"/>
  <c r="D205" i="12"/>
  <c r="D204" i="12"/>
  <c r="D203" i="12"/>
  <c r="D202" i="12"/>
  <c r="D201" i="12"/>
  <c r="D200" i="12"/>
  <c r="D199" i="12"/>
  <c r="D198" i="12"/>
  <c r="D197" i="12"/>
  <c r="D196" i="12"/>
  <c r="D195" i="12"/>
  <c r="D194" i="12"/>
  <c r="D193" i="12"/>
  <c r="D192" i="12"/>
  <c r="D191" i="12"/>
  <c r="D190" i="12"/>
  <c r="D189" i="12"/>
  <c r="D188" i="12"/>
  <c r="D187" i="12"/>
  <c r="D186" i="12"/>
  <c r="D185" i="12"/>
  <c r="D184" i="12"/>
  <c r="D183" i="12"/>
  <c r="D182" i="12"/>
  <c r="D181" i="12"/>
  <c r="D180" i="12"/>
  <c r="D179" i="12"/>
  <c r="D178" i="12"/>
  <c r="D177" i="12"/>
  <c r="D176" i="12"/>
  <c r="D175" i="12"/>
  <c r="D174" i="12"/>
  <c r="D173" i="12"/>
  <c r="D172" i="12"/>
  <c r="D171" i="12"/>
  <c r="D170" i="12"/>
  <c r="D169" i="12"/>
  <c r="D168" i="12"/>
  <c r="D167" i="12"/>
  <c r="D166" i="12"/>
  <c r="D164" i="12"/>
  <c r="D163" i="12"/>
  <c r="D162" i="12"/>
  <c r="D161" i="12"/>
  <c r="D160" i="12"/>
  <c r="D159" i="12"/>
  <c r="D158" i="12"/>
  <c r="D157" i="12"/>
  <c r="D156" i="12"/>
  <c r="D155" i="12"/>
  <c r="D154" i="12"/>
  <c r="D153" i="12"/>
  <c r="D152" i="12"/>
  <c r="D151" i="12"/>
  <c r="D150" i="12"/>
  <c r="D149" i="12"/>
  <c r="D148" i="12"/>
  <c r="D147" i="12"/>
  <c r="D146" i="12"/>
  <c r="D145" i="12"/>
  <c r="D144" i="12"/>
  <c r="D143" i="12"/>
  <c r="D142" i="12"/>
  <c r="D141" i="12"/>
  <c r="D140" i="12"/>
  <c r="D139" i="12"/>
  <c r="D138" i="12"/>
  <c r="D137" i="12"/>
  <c r="D136" i="12"/>
  <c r="D135" i="12"/>
  <c r="D134" i="12"/>
  <c r="D133" i="12"/>
  <c r="D132" i="12"/>
  <c r="D131" i="12"/>
  <c r="D130" i="12"/>
  <c r="D129" i="12"/>
  <c r="D128" i="12"/>
  <c r="D127" i="12"/>
  <c r="D126" i="12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165" i="12"/>
  <c r="L118" i="12"/>
  <c r="L117" i="12"/>
  <c r="L116" i="12"/>
  <c r="L115" i="12"/>
  <c r="L114" i="12"/>
  <c r="L113" i="12"/>
  <c r="L112" i="12"/>
  <c r="L111" i="12"/>
  <c r="L110" i="12"/>
  <c r="AM2" i="14" s="1"/>
  <c r="L109" i="12"/>
  <c r="AQ2" i="14" s="1"/>
  <c r="L108" i="12"/>
  <c r="L107" i="12"/>
  <c r="L106" i="12"/>
  <c r="AF2" i="14" s="1"/>
  <c r="L105" i="12"/>
  <c r="L104" i="12"/>
  <c r="L103" i="12"/>
  <c r="AP2" i="14" s="1"/>
  <c r="L102" i="12"/>
  <c r="L101" i="12"/>
  <c r="L100" i="12"/>
  <c r="L99" i="12"/>
  <c r="L98" i="12"/>
  <c r="L97" i="12"/>
  <c r="AO2" i="14" s="1"/>
  <c r="L96" i="12"/>
  <c r="AN2" i="14" s="1"/>
  <c r="L95" i="12"/>
  <c r="L94" i="12"/>
  <c r="L93" i="12"/>
  <c r="L92" i="12"/>
  <c r="L91" i="12"/>
  <c r="L90" i="12"/>
  <c r="L89" i="12"/>
  <c r="AI2" i="14" s="1"/>
  <c r="L88" i="12"/>
  <c r="AL2" i="14" s="1"/>
  <c r="L87" i="12"/>
  <c r="L86" i="12"/>
  <c r="L85" i="12"/>
  <c r="L84" i="12"/>
  <c r="L83" i="12"/>
  <c r="L82" i="12"/>
  <c r="L81" i="12"/>
  <c r="AK2" i="14" s="1"/>
  <c r="L80" i="12"/>
  <c r="L79" i="12"/>
  <c r="L78" i="12"/>
  <c r="L77" i="12"/>
  <c r="L76" i="12"/>
  <c r="AJ2" i="14" s="1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AE2" i="14" s="1"/>
  <c r="L61" i="12"/>
  <c r="L60" i="12"/>
  <c r="L59" i="12"/>
  <c r="L58" i="12"/>
  <c r="L57" i="12"/>
  <c r="L56" i="12"/>
  <c r="L55" i="12"/>
  <c r="L54" i="12"/>
  <c r="N2" i="14" s="1"/>
  <c r="L53" i="12"/>
  <c r="L52" i="12"/>
  <c r="K2" i="14" s="1"/>
  <c r="L51" i="12"/>
  <c r="L50" i="12"/>
  <c r="J2" i="14" s="1"/>
  <c r="L49" i="12"/>
  <c r="L48" i="12"/>
  <c r="H2" i="14" s="1"/>
  <c r="L47" i="12"/>
  <c r="G2" i="14" s="1"/>
  <c r="L46" i="12"/>
  <c r="L45" i="12"/>
  <c r="L44" i="12"/>
  <c r="L43" i="12"/>
  <c r="X2" i="14" s="1"/>
  <c r="L42" i="12"/>
  <c r="W2" i="14" s="1"/>
  <c r="L41" i="12"/>
  <c r="L40" i="12"/>
  <c r="L39" i="12"/>
  <c r="L38" i="12"/>
  <c r="R2" i="14" s="1"/>
  <c r="L37" i="12"/>
  <c r="Q2" i="14" s="1"/>
  <c r="L36" i="12"/>
  <c r="L35" i="12"/>
  <c r="I2" i="14" s="1"/>
  <c r="L34" i="12"/>
  <c r="L33" i="12"/>
  <c r="L32" i="12"/>
  <c r="AC2" i="14" s="1"/>
  <c r="L31" i="12"/>
  <c r="L30" i="12"/>
  <c r="F2" i="14" s="1"/>
  <c r="L29" i="12"/>
  <c r="L28" i="12"/>
  <c r="D2" i="14" s="1"/>
  <c r="L27" i="12"/>
  <c r="L26" i="12"/>
  <c r="L25" i="12"/>
  <c r="L24" i="12"/>
  <c r="L23" i="12"/>
  <c r="F7" i="12"/>
  <c r="I7" i="12"/>
  <c r="O7" i="12"/>
  <c r="L7" i="12"/>
  <c r="S7" i="12"/>
  <c r="E7" i="12"/>
  <c r="B2" i="14"/>
  <c r="H6" i="12"/>
  <c r="G6" i="12"/>
  <c r="N6" i="12"/>
  <c r="M6" i="12"/>
  <c r="K6" i="12"/>
  <c r="E6" i="12"/>
  <c r="P6" i="12"/>
  <c r="Q6" i="12"/>
  <c r="R6" i="12"/>
  <c r="J6" i="12"/>
  <c r="D6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9" i="11"/>
  <c r="T11" i="11"/>
  <c r="T12" i="11"/>
  <c r="T13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T29" i="11"/>
  <c r="T30" i="11"/>
  <c r="T31" i="11"/>
  <c r="T32" i="11"/>
  <c r="T33" i="11"/>
  <c r="T34" i="11"/>
  <c r="T35" i="11"/>
  <c r="T36" i="11"/>
  <c r="T37" i="11"/>
  <c r="T38" i="11"/>
  <c r="T39" i="11"/>
  <c r="T40" i="11"/>
  <c r="T41" i="11"/>
  <c r="T42" i="11"/>
  <c r="T43" i="11"/>
  <c r="T44" i="11"/>
  <c r="T45" i="11"/>
  <c r="T46" i="11"/>
  <c r="T47" i="11"/>
  <c r="T48" i="11"/>
  <c r="T49" i="11"/>
  <c r="T50" i="11"/>
  <c r="T51" i="11"/>
  <c r="T52" i="11"/>
  <c r="T53" i="11"/>
  <c r="T54" i="11"/>
  <c r="T55" i="11"/>
  <c r="T56" i="11"/>
  <c r="T57" i="11"/>
  <c r="T58" i="11"/>
  <c r="T59" i="11"/>
  <c r="T60" i="11"/>
  <c r="T61" i="11"/>
  <c r="T62" i="11"/>
  <c r="T63" i="11"/>
  <c r="T64" i="11"/>
  <c r="T65" i="11"/>
  <c r="T66" i="11"/>
  <c r="T67" i="11"/>
  <c r="T68" i="11"/>
  <c r="T69" i="11"/>
  <c r="T70" i="11"/>
  <c r="T71" i="11"/>
  <c r="T72" i="11"/>
  <c r="T73" i="11"/>
  <c r="T74" i="11"/>
  <c r="T75" i="11"/>
  <c r="T76" i="11"/>
  <c r="T77" i="11"/>
  <c r="T78" i="11"/>
  <c r="T79" i="11"/>
  <c r="T80" i="11"/>
  <c r="T81" i="11"/>
  <c r="T82" i="11"/>
  <c r="T83" i="11"/>
  <c r="T84" i="11"/>
  <c r="T85" i="11"/>
  <c r="T86" i="11"/>
  <c r="T87" i="11"/>
  <c r="T88" i="11"/>
  <c r="T89" i="11"/>
  <c r="T90" i="11"/>
  <c r="T91" i="11"/>
  <c r="T92" i="11"/>
  <c r="T93" i="11"/>
  <c r="T94" i="11"/>
  <c r="T95" i="11"/>
  <c r="T96" i="11"/>
  <c r="T97" i="11"/>
  <c r="T98" i="11"/>
  <c r="T99" i="11"/>
  <c r="T100" i="11"/>
  <c r="T101" i="11"/>
  <c r="T102" i="11"/>
  <c r="T103" i="11"/>
  <c r="T104" i="11"/>
  <c r="T105" i="11"/>
  <c r="T106" i="11"/>
  <c r="T107" i="11"/>
  <c r="T108" i="11"/>
  <c r="T109" i="11"/>
  <c r="T10" i="11"/>
  <c r="E440" i="12"/>
  <c r="E439" i="12"/>
  <c r="L22" i="12"/>
  <c r="E440" i="10"/>
  <c r="E439" i="10"/>
  <c r="S2" i="14" l="1"/>
  <c r="T2" i="14"/>
  <c r="O6" i="12"/>
  <c r="I6" i="12"/>
  <c r="H7" i="12" s="1"/>
  <c r="M2" i="14" s="1"/>
  <c r="L6" i="12"/>
  <c r="F6" i="12"/>
  <c r="D6" i="12"/>
  <c r="S6" i="12"/>
  <c r="R7" i="12" s="1"/>
  <c r="AB2" i="14" s="1"/>
  <c r="B2" i="2"/>
  <c r="D7" i="12" l="1"/>
  <c r="M7" i="12"/>
  <c r="N7" i="12"/>
  <c r="K7" i="12"/>
  <c r="P2" i="14" s="1"/>
  <c r="J7" i="12"/>
  <c r="O2" i="14" s="1"/>
  <c r="Q7" i="12"/>
  <c r="AA2" i="14" s="1"/>
  <c r="P7" i="12"/>
  <c r="Z2" i="14" s="1"/>
  <c r="G7" i="12"/>
  <c r="L2" i="14" s="1"/>
  <c r="R6" i="10"/>
  <c r="Q2" i="2"/>
  <c r="AD2" i="2"/>
  <c r="AO2" i="2"/>
  <c r="AI2" i="2"/>
  <c r="Y2" i="2"/>
  <c r="R2" i="2"/>
  <c r="S2" i="2"/>
  <c r="AL2" i="2"/>
  <c r="U2" i="2"/>
  <c r="V2" i="2"/>
  <c r="AJ2" i="2"/>
  <c r="K6" i="10"/>
  <c r="J6" i="10"/>
  <c r="C2" i="14" l="1"/>
  <c r="E2" i="14"/>
  <c r="L6" i="10"/>
  <c r="S7" i="10"/>
  <c r="P6" i="10"/>
  <c r="Q6" i="10"/>
  <c r="E7" i="10"/>
  <c r="F7" i="10"/>
  <c r="F6" i="10"/>
  <c r="E6" i="10"/>
  <c r="AQ2" i="2"/>
  <c r="AP2" i="2"/>
  <c r="AN2" i="2"/>
  <c r="AM2" i="2"/>
  <c r="AK2" i="2"/>
  <c r="AG2" i="2"/>
  <c r="AH2" i="2"/>
  <c r="AF2" i="2"/>
  <c r="AE2" i="2"/>
  <c r="AC2" i="2"/>
  <c r="X2" i="2"/>
  <c r="W2" i="2"/>
  <c r="T2" i="2"/>
  <c r="N2" i="2"/>
  <c r="K2" i="2"/>
  <c r="J2" i="2"/>
  <c r="I2" i="2"/>
  <c r="H2" i="2"/>
  <c r="G2" i="2"/>
  <c r="F2" i="2"/>
  <c r="D2" i="2"/>
  <c r="D7" i="10" l="1"/>
  <c r="C2" i="2" s="1"/>
  <c r="G6" i="10" l="1"/>
  <c r="S6" i="10" l="1"/>
  <c r="R7" i="10" s="1"/>
  <c r="AB2" i="2" s="1"/>
  <c r="O7" i="10"/>
  <c r="L7" i="10"/>
  <c r="I7" i="10"/>
  <c r="N6" i="10"/>
  <c r="M6" i="10"/>
  <c r="H6" i="10"/>
  <c r="I6" i="10" s="1"/>
  <c r="O6" i="10" l="1"/>
  <c r="M7" i="10" s="1"/>
  <c r="G7" i="10"/>
  <c r="H7" i="10"/>
  <c r="M2" i="2" s="1"/>
  <c r="K7" i="10"/>
  <c r="P2" i="2" s="1"/>
  <c r="J7" i="10"/>
  <c r="O2" i="2" s="1"/>
  <c r="Q7" i="10"/>
  <c r="AA2" i="2" s="1"/>
  <c r="P7" i="10"/>
  <c r="Z2" i="2" s="1"/>
  <c r="L2" i="2"/>
  <c r="N7" i="10" l="1"/>
  <c r="E2" i="2"/>
</calcChain>
</file>

<file path=xl/sharedStrings.xml><?xml version="1.0" encoding="utf-8"?>
<sst xmlns="http://schemas.openxmlformats.org/spreadsheetml/2006/main" count="3071" uniqueCount="741">
  <si>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</si>
  <si>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</si>
  <si>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</si>
  <si>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</si>
  <si>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</si>
  <si>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</si>
  <si>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</si>
  <si>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</si>
  <si>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</si>
  <si>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</si>
  <si>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</si>
  <si>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</si>
  <si>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</si>
  <si>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</si>
  <si>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</si>
  <si>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</si>
  <si>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</si>
  <si>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</si>
  <si>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</si>
  <si>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</si>
  <si>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</si>
  <si>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</si>
  <si>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</si>
  <si>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</si>
  <si>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</si>
  <si>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</si>
  <si>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</si>
  <si>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</si>
  <si>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</si>
  <si>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</si>
  <si>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</si>
  <si>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</si>
  <si>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</si>
  <si>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Unit: USD</t>
  </si>
  <si>
    <t>Value Added</t>
  </si>
  <si>
    <t>ISIC 20</t>
  </si>
  <si>
    <t>ISIC 21</t>
  </si>
  <si>
    <t>BEA</t>
  </si>
  <si>
    <t>Industry File Download</t>
  </si>
  <si>
    <t>Gross Output by Industry</t>
  </si>
  <si>
    <t>Underlying Detail: Gross Output by Industry</t>
  </si>
  <si>
    <t>Coal Mining</t>
  </si>
  <si>
    <t>Oil and gas extraction</t>
  </si>
  <si>
    <t>NAICS Code</t>
  </si>
  <si>
    <t>2121</t>
  </si>
  <si>
    <t>211</t>
  </si>
  <si>
    <t>ISIC Code</t>
  </si>
  <si>
    <t>05</t>
  </si>
  <si>
    <t>06</t>
  </si>
  <si>
    <t>ISIC 05</t>
  </si>
  <si>
    <t>ISIC 06</t>
  </si>
  <si>
    <t>Calculated values are italicized.  Non-italicized values come directly from source documents.</t>
  </si>
  <si>
    <t>Metric</t>
  </si>
  <si>
    <t>Source URL</t>
  </si>
  <si>
    <t>Source table</t>
  </si>
  <si>
    <t>All Mining other than Oil and Gas (inc. Coal)</t>
  </si>
  <si>
    <t>Chemicals</t>
  </si>
  <si>
    <t>Pharmaceuticals</t>
  </si>
  <si>
    <t>Chemicals and Pharmaceuticals</t>
  </si>
  <si>
    <t>Glass</t>
  </si>
  <si>
    <t>Cement and Other Nometallic Minerals</t>
  </si>
  <si>
    <t>All Nonmetallic Minerals</t>
  </si>
  <si>
    <t>Iron and steel</t>
  </si>
  <si>
    <t>Other metals</t>
  </si>
  <si>
    <t>All primary metals</t>
  </si>
  <si>
    <t>Electricity generation and distribution</t>
  </si>
  <si>
    <t>Energy pipelines and gas processing</t>
  </si>
  <si>
    <t>Water and waste</t>
  </si>
  <si>
    <t>All Utilities</t>
  </si>
  <si>
    <t>3251-3253, 3255-3259</t>
  </si>
  <si>
    <t>327 excl. 3272</t>
  </si>
  <si>
    <t>05 + 07T08</t>
  </si>
  <si>
    <t>20T21</t>
  </si>
  <si>
    <t>352T353</t>
  </si>
  <si>
    <t>36T39</t>
  </si>
  <si>
    <t>35T39</t>
  </si>
  <si>
    <t>Gross Output (detail level)</t>
  </si>
  <si>
    <t>U.Gross Output by Industry - Detail Level</t>
  </si>
  <si>
    <t>[Millions of dollars]</t>
  </si>
  <si>
    <t>Bureau of Economic Analysis</t>
  </si>
  <si>
    <t>Line</t>
  </si>
  <si>
    <t>EPS Industry Category</t>
  </si>
  <si>
    <t>1</t>
  </si>
  <si>
    <t>Oilseed farming</t>
  </si>
  <si>
    <t>2</t>
  </si>
  <si>
    <t>Grain farming</t>
  </si>
  <si>
    <t>3</t>
  </si>
  <si>
    <t>Vegetable and melon farming</t>
  </si>
  <si>
    <t>4</t>
  </si>
  <si>
    <t>Fruit and tree nut farming</t>
  </si>
  <si>
    <t>5</t>
  </si>
  <si>
    <t>Greenhouse, nursery, and floriculture production</t>
  </si>
  <si>
    <t>6</t>
  </si>
  <si>
    <t>Other crop farming</t>
  </si>
  <si>
    <t>7</t>
  </si>
  <si>
    <t>Dairy cattle and milk production</t>
  </si>
  <si>
    <t>8</t>
  </si>
  <si>
    <t>Beef cattle ranching and farming, including feedlots and dual-purpose ranching and farming</t>
  </si>
  <si>
    <t>9</t>
  </si>
  <si>
    <t>Poultry and egg production</t>
  </si>
  <si>
    <t>10</t>
  </si>
  <si>
    <t>Animal production, except cattle and poultry and eggs</t>
  </si>
  <si>
    <t>11</t>
  </si>
  <si>
    <t>Forestry and logging</t>
  </si>
  <si>
    <t>12</t>
  </si>
  <si>
    <t>Fishing, hunting and trapping</t>
  </si>
  <si>
    <t>13</t>
  </si>
  <si>
    <t>Support activities for agriculture and forestry</t>
  </si>
  <si>
    <t>14</t>
  </si>
  <si>
    <t>oil and gas extraction</t>
  </si>
  <si>
    <t>15</t>
  </si>
  <si>
    <t>Coal mining</t>
  </si>
  <si>
    <t>coal mining</t>
  </si>
  <si>
    <t>16</t>
  </si>
  <si>
    <t>Copper, nickel, lead, and zinc mining</t>
  </si>
  <si>
    <t>17</t>
  </si>
  <si>
    <t>Iron, gold, silver, and other metal ore mining</t>
  </si>
  <si>
    <t>18</t>
  </si>
  <si>
    <t>Stone mining and quarrying</t>
  </si>
  <si>
    <t>19</t>
  </si>
  <si>
    <t>Other nonmetallic mineral mining and quarrying</t>
  </si>
  <si>
    <t>20</t>
  </si>
  <si>
    <t>Drilling oil and gas wells</t>
  </si>
  <si>
    <t>21</t>
  </si>
  <si>
    <t>Other support activities for mining</t>
  </si>
  <si>
    <t>22</t>
  </si>
  <si>
    <t>Hydroelectric power generation</t>
  </si>
  <si>
    <t>electricity generation and distribution</t>
  </si>
  <si>
    <t>23</t>
  </si>
  <si>
    <t>Fossil fuel electric power generation</t>
  </si>
  <si>
    <t>24</t>
  </si>
  <si>
    <t>Nuclear electric power generation</t>
  </si>
  <si>
    <t>25</t>
  </si>
  <si>
    <t>Solar electric power generation</t>
  </si>
  <si>
    <t>26</t>
  </si>
  <si>
    <t>Wind electric power generation</t>
  </si>
  <si>
    <t>27</t>
  </si>
  <si>
    <t>Geothermal electric power generation</t>
  </si>
  <si>
    <t>28</t>
  </si>
  <si>
    <t>Biomass electric power generation</t>
  </si>
  <si>
    <t>29</t>
  </si>
  <si>
    <t>Other electric power generation</t>
  </si>
  <si>
    <t>30</t>
  </si>
  <si>
    <t>Electric bulk power transmission and control</t>
  </si>
  <si>
    <t>31</t>
  </si>
  <si>
    <t>Electric power distribution</t>
  </si>
  <si>
    <t>32</t>
  </si>
  <si>
    <t>Natural gas distribution</t>
  </si>
  <si>
    <t>energy pipelines and gas processing</t>
  </si>
  <si>
    <t>33</t>
  </si>
  <si>
    <t>Water, sewage and other systems</t>
  </si>
  <si>
    <t>water and waste</t>
  </si>
  <si>
    <t>34</t>
  </si>
  <si>
    <t>Health care structures</t>
  </si>
  <si>
    <t>35</t>
  </si>
  <si>
    <t>Educational and vocational structures</t>
  </si>
  <si>
    <t>36</t>
  </si>
  <si>
    <t>Nonresidential maintenance and repair</t>
  </si>
  <si>
    <t>37</t>
  </si>
  <si>
    <t>Residential maintenance and repair</t>
  </si>
  <si>
    <t>38</t>
  </si>
  <si>
    <t>Office and commercial structures</t>
  </si>
  <si>
    <t>39</t>
  </si>
  <si>
    <t>Multifamily residential structures</t>
  </si>
  <si>
    <t>40</t>
  </si>
  <si>
    <t>Other residential structures</t>
  </si>
  <si>
    <t>41</t>
  </si>
  <si>
    <t>Manufacturing structures</t>
  </si>
  <si>
    <t>42</t>
  </si>
  <si>
    <t>Other nonresidential structures</t>
  </si>
  <si>
    <t>43</t>
  </si>
  <si>
    <t>Power and communication structures</t>
  </si>
  <si>
    <t>44</t>
  </si>
  <si>
    <t>Single-family residential structures</t>
  </si>
  <si>
    <t>45</t>
  </si>
  <si>
    <t>Transportation structures and highways and streets</t>
  </si>
  <si>
    <t>46</t>
  </si>
  <si>
    <t>Sawmills and wood preservation</t>
  </si>
  <si>
    <t>47</t>
  </si>
  <si>
    <t>Veneer, plywood, and engineered wood product manufacturing</t>
  </si>
  <si>
    <t>48</t>
  </si>
  <si>
    <t>Millwork</t>
  </si>
  <si>
    <t>49</t>
  </si>
  <si>
    <t>All other wood product manufacturing</t>
  </si>
  <si>
    <t>50</t>
  </si>
  <si>
    <t>Clay product and refractory manufacturing</t>
  </si>
  <si>
    <t>other non-metallic minerals</t>
  </si>
  <si>
    <t>51</t>
  </si>
  <si>
    <t>Glass and glass product manufacturing</t>
  </si>
  <si>
    <t>glass</t>
  </si>
  <si>
    <t>52</t>
  </si>
  <si>
    <t>Cement manufacturing</t>
  </si>
  <si>
    <t>53</t>
  </si>
  <si>
    <t>Ready-mix concrete manufacturing</t>
  </si>
  <si>
    <t>54</t>
  </si>
  <si>
    <t>Concrete pipe, brick, and block manufacturing</t>
  </si>
  <si>
    <t>55</t>
  </si>
  <si>
    <t>Other concrete product manufacturing</t>
  </si>
  <si>
    <t>56</t>
  </si>
  <si>
    <t>Lime and gypsum product manufacturing</t>
  </si>
  <si>
    <t>57</t>
  </si>
  <si>
    <t>Abrasive product manufacturing</t>
  </si>
  <si>
    <t>58</t>
  </si>
  <si>
    <t>Cut stone and stone product manufacturing</t>
  </si>
  <si>
    <t>59</t>
  </si>
  <si>
    <t>Ground or treated mineral and earth manufacturing</t>
  </si>
  <si>
    <t>60</t>
  </si>
  <si>
    <t>Mineral wool manufacturing</t>
  </si>
  <si>
    <t>61</t>
  </si>
  <si>
    <t>Miscellaneous nonmetallic mineral products</t>
  </si>
  <si>
    <t>62</t>
  </si>
  <si>
    <t>Iron and steel mills and ferroalloy manufacturing</t>
  </si>
  <si>
    <t>iron and steel</t>
  </si>
  <si>
    <t>63</t>
  </si>
  <si>
    <t>Steel product manufacturing from purchased steel</t>
  </si>
  <si>
    <t>64</t>
  </si>
  <si>
    <t>Secondary smelting and alloying of aluminum</t>
  </si>
  <si>
    <t>other metals</t>
  </si>
  <si>
    <t>65</t>
  </si>
  <si>
    <t>Alumina refining and primary aluminum production</t>
  </si>
  <si>
    <t>66</t>
  </si>
  <si>
    <t>Aluminum product manufacturing from purchased aluminum</t>
  </si>
  <si>
    <t>67</t>
  </si>
  <si>
    <t>Nonferrous Metal (except Aluminum) Smelting and Refining</t>
  </si>
  <si>
    <t>68</t>
  </si>
  <si>
    <t>Copper rolling, drawing, extruding and alloying</t>
  </si>
  <si>
    <t>69</t>
  </si>
  <si>
    <t>Nonferrous metal (except copper and aluminum) rolling, drawing, extruding and alloying</t>
  </si>
  <si>
    <t>70</t>
  </si>
  <si>
    <t>Ferrous metal foundries</t>
  </si>
  <si>
    <t>71</t>
  </si>
  <si>
    <t>Nonferrous metal foundries</t>
  </si>
  <si>
    <t>72</t>
  </si>
  <si>
    <t>Custom roll forming</t>
  </si>
  <si>
    <t>73</t>
  </si>
  <si>
    <t>All other forging, stamping, and sintering</t>
  </si>
  <si>
    <t>74</t>
  </si>
  <si>
    <t>Metal crown, closure, and other metal stamping (except automotive)</t>
  </si>
  <si>
    <t>75</t>
  </si>
  <si>
    <t>Cutlery and handtool manufacturing</t>
  </si>
  <si>
    <t>76</t>
  </si>
  <si>
    <t>Plate work and fabricated structural product manufacturing</t>
  </si>
  <si>
    <t>77</t>
  </si>
  <si>
    <t>Ornamental and architectural metal products manufacturing</t>
  </si>
  <si>
    <t>78</t>
  </si>
  <si>
    <t>Power boiler and heat exchanger manufacturing</t>
  </si>
  <si>
    <t>79</t>
  </si>
  <si>
    <t>Metal tank (heavy gauge) manufacturing</t>
  </si>
  <si>
    <t>80</t>
  </si>
  <si>
    <t>Metal can, box, and other metal container (light gauge) manufacturing</t>
  </si>
  <si>
    <t>81</t>
  </si>
  <si>
    <t>Hardware manufacturing</t>
  </si>
  <si>
    <t>82</t>
  </si>
  <si>
    <t>Spring and wire product manufacturing</t>
  </si>
  <si>
    <t>83</t>
  </si>
  <si>
    <t>Machine shops</t>
  </si>
  <si>
    <t>84</t>
  </si>
  <si>
    <t>Turned product and screw, nut, and bolt manufacturing</t>
  </si>
  <si>
    <t>85</t>
  </si>
  <si>
    <t>Coating, engraving, heat treating and allied activities</t>
  </si>
  <si>
    <t>86</t>
  </si>
  <si>
    <t>Plumbing fixture fitting and trim manufacturing</t>
  </si>
  <si>
    <t>87</t>
  </si>
  <si>
    <t>Valve and fittings other than plumbing</t>
  </si>
  <si>
    <t>88</t>
  </si>
  <si>
    <t>Ball and roller bearing manufacturing</t>
  </si>
  <si>
    <t>89</t>
  </si>
  <si>
    <t>Fabricated pipe and pipe fitting manufacturing</t>
  </si>
  <si>
    <t>90</t>
  </si>
  <si>
    <t>Ammunition, arms, ordnance, and accessories manufacturing</t>
  </si>
  <si>
    <t>91</t>
  </si>
  <si>
    <t>Other fabricated metal manufacturing</t>
  </si>
  <si>
    <t>92</t>
  </si>
  <si>
    <t>Farm machinery and equipment manufacturing</t>
  </si>
  <si>
    <t>93</t>
  </si>
  <si>
    <t>Lawn and garden equipment manufacturing</t>
  </si>
  <si>
    <t>94</t>
  </si>
  <si>
    <t>Construction machinery manufacturing</t>
  </si>
  <si>
    <t>95</t>
  </si>
  <si>
    <t>Mining and oil and gas field machinery manufacturing</t>
  </si>
  <si>
    <t>96</t>
  </si>
  <si>
    <t>Semiconductor machinery manufacturing</t>
  </si>
  <si>
    <t>97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</si>
  <si>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</si>
  <si>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</si>
  <si>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</si>
  <si>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</si>
  <si>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</si>
  <si>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</si>
  <si>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</si>
  <si>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</si>
  <si>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</si>
  <si>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</si>
  <si>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</si>
  <si>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</si>
  <si>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</si>
  <si>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</si>
  <si>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</si>
  <si>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</si>
  <si>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Pump and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</si>
  <si>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</si>
  <si>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</si>
  <si>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</si>
  <si>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</si>
  <si>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</si>
  <si>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</si>
  <si>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</si>
  <si>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</si>
  <si>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</si>
  <si>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</si>
  <si>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</si>
  <si>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</si>
  <si>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</si>
  <si>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</si>
  <si>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</si>
  <si>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</si>
  <si>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</si>
  <si>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</si>
  <si>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</si>
  <si>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</si>
  <si>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</si>
  <si>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</si>
  <si>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</si>
  <si>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</si>
  <si>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</si>
  <si>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</si>
  <si>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</si>
  <si>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</si>
  <si>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</si>
  <si>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Household cooking appliance manufacturing</t>
  </si>
  <si>
    <t>Household refrigerator and home freezer manufacturing</t>
  </si>
  <si>
    <t>Household laundry equipment manufacturing</t>
  </si>
  <si>
    <t>Other 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</si>
  <si>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</si>
  <si>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</si>
  <si>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</si>
  <si>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</si>
  <si>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</si>
  <si>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</si>
  <si>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</si>
  <si>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</si>
  <si>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</si>
  <si>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</si>
  <si>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</si>
  <si>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</si>
  <si>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</si>
  <si>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</si>
  <si>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</si>
  <si>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</si>
  <si>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</si>
  <si>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</si>
  <si>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</si>
  <si>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</si>
  <si>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</si>
  <si>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</si>
  <si>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</si>
  <si>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</si>
  <si>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</si>
  <si>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</si>
  <si>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</si>
  <si>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</si>
  <si>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</si>
  <si>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</si>
  <si>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</si>
  <si>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</si>
  <si>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</si>
  <si>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</si>
  <si>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</si>
  <si>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</si>
  <si>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</si>
  <si>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</si>
  <si>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</si>
  <si>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</si>
  <si>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</si>
  <si>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</si>
  <si>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</si>
  <si>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</si>
  <si>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</si>
  <si>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</si>
  <si>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</si>
  <si>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</si>
  <si>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</si>
  <si>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</si>
  <si>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</si>
  <si>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</si>
  <si>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</si>
  <si>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</si>
  <si>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</si>
  <si>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</si>
  <si>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</si>
  <si>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</si>
  <si>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</si>
  <si>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</si>
  <si>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</si>
  <si>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</si>
  <si>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</si>
  <si>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</si>
  <si>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</si>
  <si>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</si>
  <si>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</si>
  <si>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</si>
  <si>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</si>
  <si>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</si>
  <si>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</si>
  <si>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</si>
  <si>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</si>
  <si>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</si>
  <si>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</si>
  <si>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</si>
  <si>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</si>
  <si>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</si>
  <si>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</si>
  <si>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</si>
  <si>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</si>
  <si>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</si>
  <si>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product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</si>
  <si>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</si>
  <si>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</si>
  <si>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</si>
  <si>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</si>
  <si>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</si>
  <si>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</si>
  <si>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</si>
  <si>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</si>
  <si>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</si>
  <si>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</si>
  <si>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</si>
  <si>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</si>
  <si>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</si>
  <si>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</si>
  <si>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</si>
  <si>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</si>
  <si>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</si>
  <si>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</si>
  <si>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</si>
  <si>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</si>
  <si>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</si>
  <si>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</si>
  <si>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</si>
  <si>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</si>
  <si>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</si>
  <si>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</si>
  <si>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</si>
  <si>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</si>
  <si>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</si>
  <si>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</si>
  <si>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</si>
  <si>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</si>
  <si>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</si>
  <si>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</si>
  <si>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</si>
  <si>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</si>
  <si>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</si>
  <si>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</si>
  <si>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</si>
  <si>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</si>
  <si>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</si>
  <si>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</si>
  <si>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</si>
  <si>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</si>
  <si>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</si>
  <si>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</si>
  <si>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</si>
  <si>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</si>
  <si>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</si>
  <si>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</si>
  <si>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</si>
  <si>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</si>
  <si>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</si>
  <si>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>Household appliances and electrical and electronic goods</t>
  </si>
  <si>
    <t>Machinery, equipment, and supplies</t>
  </si>
  <si>
    <t>Other durable goods merchant wholesalers</t>
  </si>
  <si>
    <t>Drugs and druggists' sundries</t>
  </si>
  <si>
    <t>Grocery and related product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</si>
  <si>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</si>
  <si>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</si>
  <si>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</si>
  <si>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</si>
  <si>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</si>
  <si>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</si>
  <si>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</si>
  <si>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</si>
  <si>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</si>
  <si>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</si>
  <si>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</si>
  <si>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</si>
  <si>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Furniture and home furnishings stores</t>
  </si>
  <si>
    <t>Electronics and appliance stores</t>
  </si>
  <si>
    <t>Sporting goods, hobby, book, and music stores</t>
  </si>
  <si>
    <t>Miscellaneous store retailers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</si>
  <si>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</si>
  <si>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</si>
  <si>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</si>
  <si>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</si>
  <si>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</si>
  <si>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</si>
  <si>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</si>
  <si>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</si>
  <si>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</si>
  <si>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</si>
  <si>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</si>
  <si>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</si>
  <si>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</si>
  <si>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</si>
  <si>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</si>
  <si>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</si>
  <si>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</si>
  <si>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</si>
  <si>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</si>
  <si>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</si>
  <si>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</si>
  <si>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</si>
  <si>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</si>
  <si>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</si>
  <si>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</si>
  <si>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</si>
  <si>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</si>
  <si>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</si>
  <si>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</si>
  <si>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 insurance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</si>
  <si>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</si>
  <si>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</si>
  <si>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</si>
  <si>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</si>
  <si>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</si>
  <si>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</si>
  <si>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</si>
  <si>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</si>
  <si>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</si>
  <si>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</si>
  <si>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</si>
  <si>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</si>
  <si>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</si>
  <si>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</si>
  <si>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</si>
  <si>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</si>
  <si>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</si>
  <si>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</si>
  <si>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</si>
  <si>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</si>
  <si>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</si>
  <si>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</si>
  <si>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All other miscellaneous professional, scientific, and technical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</si>
  <si>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</si>
  <si>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</si>
  <si>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</si>
  <si>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</si>
  <si>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</si>
  <si>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</si>
  <si>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</si>
  <si>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</si>
  <si>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</si>
  <si>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</si>
  <si>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</si>
  <si>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</si>
  <si>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</si>
  <si>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</si>
  <si>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</si>
  <si>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</si>
  <si>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</si>
  <si>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</si>
  <si>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</si>
  <si>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</si>
  <si>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</si>
  <si>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</si>
  <si>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</si>
  <si>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</si>
  <si>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</si>
  <si>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</si>
  <si>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</si>
  <si>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</si>
  <si>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</si>
  <si>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</si>
  <si>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</si>
  <si>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</si>
  <si>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</si>
  <si>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</si>
  <si>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</si>
  <si>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</si>
  <si>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</si>
  <si>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</si>
  <si>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</si>
  <si>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</si>
  <si>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</si>
  <si>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</si>
  <si>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</si>
  <si>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</si>
  <si>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</si>
  <si>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</si>
  <si>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</si>
  <si>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</si>
  <si>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</si>
  <si>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</si>
  <si>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</si>
  <si>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</si>
  <si>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</si>
  <si>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</si>
  <si>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</si>
  <si>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educational services</t>
  </si>
  <si>
    <t>State and local government hospitals and health services</t>
  </si>
  <si>
    <t>State and local government other services</t>
  </si>
  <si>
    <t>State and local government passenger transit</t>
  </si>
  <si>
    <t>State and local government electric utilities</t>
  </si>
  <si>
    <t>Other state and local government enterprises</t>
  </si>
  <si>
    <t>ISIC 231</t>
  </si>
  <si>
    <t>ISIC 239</t>
  </si>
  <si>
    <t>ISIC 241</t>
  </si>
  <si>
    <t>ISIC 242</t>
  </si>
  <si>
    <t>ISIC 351</t>
  </si>
  <si>
    <t>ISIC 352T353</t>
  </si>
  <si>
    <t>ISIC 36T39</t>
  </si>
  <si>
    <t>chemicals</t>
  </si>
  <si>
    <t>pharmaceuticals</t>
  </si>
  <si>
    <t>Private industries</t>
  </si>
  <si>
    <t>Government</t>
  </si>
  <si>
    <t>2021 Data:</t>
  </si>
  <si>
    <t>Data for Year 2021</t>
  </si>
  <si>
    <t>U.Real Gross Output by Industry - Detail Level</t>
  </si>
  <si>
    <t>[Millions of 2012 chain dollars]</t>
  </si>
  <si>
    <t>Annual data from 1997 to 2021</t>
  </si>
  <si>
    <t>Data published September 29, 2022</t>
  </si>
  <si>
    <t>File created Sep 28 2022 12:30PM</t>
  </si>
  <si>
    <t>ISIC 05, ISIC 07T08</t>
  </si>
  <si>
    <t>https://apps.bea.gov/iTable/?isuri=1&amp;reqid=151&amp;step=1</t>
  </si>
  <si>
    <t>We convert 2021 USD to 2012 USD with the following conversion factor:</t>
  </si>
  <si>
    <t>ISIC 239; ISIC 231</t>
  </si>
  <si>
    <t>ISIC 241; ISIC 242</t>
  </si>
  <si>
    <t>ISIC 25; ISIC 28</t>
  </si>
  <si>
    <t>ISIC 20; ISIC 21</t>
  </si>
  <si>
    <t>ISIC 58T60; ISIC 61</t>
  </si>
  <si>
    <t>ISIC 26; ISIC 27</t>
  </si>
  <si>
    <t>ISIC 45T47; ISIC 31T33; ISIC 86T88; ISIC 97T98</t>
  </si>
  <si>
    <t>ISIC 351; ISIC 352T353; ISIC 36T39</t>
  </si>
  <si>
    <t>ISIC 241; ISIC 25</t>
  </si>
  <si>
    <t>Output, Detail Level</t>
  </si>
  <si>
    <t>Output, Summary Level</t>
  </si>
  <si>
    <t>https://apps.bea.gov/histdata/index.cfm</t>
  </si>
  <si>
    <t>BEA's recent data release inlcudes high-level gross output values, but not its detail level tables.</t>
  </si>
  <si>
    <t>To stay consistent with the updated value add and employment numbers used in other files,</t>
  </si>
  <si>
    <t>we use the high-level output values and then use the detail level table to split ISIC codes where</t>
  </si>
  <si>
    <t>needed.</t>
  </si>
  <si>
    <t>BObIC BAU Output by ISIC Code</t>
  </si>
  <si>
    <t>Gross Output</t>
  </si>
  <si>
    <t>Last Revised on: September 25, 2025</t>
  </si>
  <si>
    <t>Nonferrous metal (except aluminum) smelting and refining</t>
  </si>
  <si>
    <t>Measuring, dispensing, and other pumping equipment manufacturing</t>
  </si>
  <si>
    <t>Major household appliance manufacturing</t>
  </si>
  <si>
    <t>Other motor vehicle parts manufacturing</t>
  </si>
  <si>
    <t>Tobacco manufacturing</t>
  </si>
  <si>
    <t>Paper bag and coated and treated paper manufacturing</t>
  </si>
  <si>
    <t>Other basic inorganic chemical manufacturing</t>
  </si>
  <si>
    <t>State and local government (educational services)</t>
  </si>
  <si>
    <t>State and local government (hospitals and health services)</t>
  </si>
  <si>
    <t>State and local government (other services)</t>
  </si>
  <si>
    <t>Agriculture, forestry, fishing, and hunting</t>
  </si>
  <si>
    <t>Farms</t>
  </si>
  <si>
    <t>Forestry, fishing, and related activities</t>
  </si>
  <si>
    <t>Mining</t>
  </si>
  <si>
    <t>Mining, except oil and gas</t>
  </si>
  <si>
    <t>Support activities for mining</t>
  </si>
  <si>
    <t>Utilities</t>
  </si>
  <si>
    <t>Construction</t>
  </si>
  <si>
    <t>Manufacturing</t>
  </si>
  <si>
    <t>Durable goods</t>
  </si>
  <si>
    <t>Wood products</t>
  </si>
  <si>
    <t>Nonmetallic mineral products</t>
  </si>
  <si>
    <t>Primary metals</t>
  </si>
  <si>
    <t>Fabricated metal products</t>
  </si>
  <si>
    <t>Machinery</t>
  </si>
  <si>
    <t>Computer and electronic products</t>
  </si>
  <si>
    <t>Electrical equipment, appliances, and components</t>
  </si>
  <si>
    <t>Motor vehicles, bodies and trailers, and parts</t>
  </si>
  <si>
    <t>Other transportation equipment</t>
  </si>
  <si>
    <t>Furniture and related products</t>
  </si>
  <si>
    <t>Miscellaneous manufacturing</t>
  </si>
  <si>
    <t>Nondurable goods</t>
  </si>
  <si>
    <t>Food and beverage and tobacco products</t>
  </si>
  <si>
    <t>Textile mills and textile product mills</t>
  </si>
  <si>
    <t>Apparel and leather and allied products</t>
  </si>
  <si>
    <t>Paper products</t>
  </si>
  <si>
    <t>Printing and related support activities</t>
  </si>
  <si>
    <t>Petroleum and coal products</t>
  </si>
  <si>
    <t>Chemical products</t>
  </si>
  <si>
    <t>Plastics and rubber products</t>
  </si>
  <si>
    <t>Wholesale trade</t>
  </si>
  <si>
    <t>Retail trade</t>
  </si>
  <si>
    <t>Other retail</t>
  </si>
  <si>
    <t>Transportation and warehousing</t>
  </si>
  <si>
    <t>Other transportation and support activities</t>
  </si>
  <si>
    <t>Information</t>
  </si>
  <si>
    <t>Publishing industries, except internet (includes software)</t>
  </si>
  <si>
    <t>Motion picture and sound recording industries</t>
  </si>
  <si>
    <t>Broadcasting and telecommunications</t>
  </si>
  <si>
    <t>Data processing, internet publishing, and other information services</t>
  </si>
  <si>
    <t>Finance, insurance, real estate, rental, and leasing</t>
  </si>
  <si>
    <t>Finance and insurance</t>
  </si>
  <si>
    <t>Federal Reserve banks, credit intermediation, and related activities</t>
  </si>
  <si>
    <t>Securities, commodity contracts, and investments</t>
  </si>
  <si>
    <t>Insurance carriers and related activities</t>
  </si>
  <si>
    <t>Real estate and rental and leasing</t>
  </si>
  <si>
    <t>Real estate</t>
  </si>
  <si>
    <t>Housing</t>
  </si>
  <si>
    <t>Rental and leasing services and lessors of intangible assets</t>
  </si>
  <si>
    <t>Professional and business services</t>
  </si>
  <si>
    <t>Professional, scientific, and technical services</t>
  </si>
  <si>
    <t>Computer systems design and related services</t>
  </si>
  <si>
    <t>Miscellaneous professional, scientific, and technical services</t>
  </si>
  <si>
    <t>Administrative and waste management services</t>
  </si>
  <si>
    <t>Administrative and support services</t>
  </si>
  <si>
    <t>Educational services, health care, and social assistance</t>
  </si>
  <si>
    <t>Educational services</t>
  </si>
  <si>
    <t>Health care and social assistance</t>
  </si>
  <si>
    <t>Ambulatory health care services</t>
  </si>
  <si>
    <t>Nursing and residential care facilities</t>
  </si>
  <si>
    <t>Social assistance</t>
  </si>
  <si>
    <t>Arts, entertainment, recreation, accommodation, and food services</t>
  </si>
  <si>
    <t>Arts, entertainment, and recreation</t>
  </si>
  <si>
    <t>Performing arts, spectator sports, museums, and related activities</t>
  </si>
  <si>
    <t>Amusements, gambling, and recreation industries</t>
  </si>
  <si>
    <t>Accommodation and food services</t>
  </si>
  <si>
    <t>Food services and drinking places</t>
  </si>
  <si>
    <t>Other services, except government</t>
  </si>
  <si>
    <t>Federal</t>
  </si>
  <si>
    <t>General government</t>
  </si>
  <si>
    <t>National defense</t>
  </si>
  <si>
    <t>Nondefense</t>
  </si>
  <si>
    <t>Government enterprises</t>
  </si>
  <si>
    <t>State and local</t>
  </si>
  <si>
    <t>Addenda:</t>
  </si>
  <si>
    <t>Private goods-producing industries1</t>
  </si>
  <si>
    <t>Private services-producing industries2</t>
  </si>
  <si>
    <t>Information-communications-technology-producing industries3</t>
  </si>
  <si>
    <t>All industries</t>
  </si>
  <si>
    <t>Gross domestic product</t>
  </si>
  <si>
    <t>MAX(2019-20)</t>
  </si>
  <si>
    <t>2019-20 Data:</t>
  </si>
  <si>
    <t>2019-20</t>
  </si>
  <si>
    <t>Output</t>
  </si>
  <si>
    <t>We convert 2020 USD to 2012 USD with the following conversion factor:</t>
  </si>
  <si>
    <t>2020 Data:</t>
  </si>
  <si>
    <t>Value (2012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</si>
</sst>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000E+00"/>
    <numFmt numFmtId="166" formatCode="0.00000E+00"/>
    <numFmt numFmtId="167" formatCode="_(&quot;$&quot;* #,##0_);_(&quot;$&quot;* \(#,##0\);_(&quot;$&quot;* &quot;-&quot;??_);_(@_)"/>
    <numFmt numFmtId="168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5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64" fontId="0" fillId="0" borderId="0" xfId="0" applyNumberFormat="1"/>
    <xf numFmtId="0" fontId="1" fillId="2" borderId="0" xfId="0" applyFont="1" applyFill="1"/>
    <xf numFmtId="0" fontId="0" fillId="3" borderId="0" xfId="0" applyFill="1"/>
    <xf numFmtId="0" fontId="0" fillId="0" borderId="0" xfId="0" quotePrefix="1" applyAlignment="1">
      <alignment horizontal="right"/>
    </xf>
    <xf numFmtId="11" fontId="0" fillId="0" borderId="0" xfId="0" applyNumberFormat="1"/>
    <xf numFmtId="11" fontId="0" fillId="0" borderId="0" xfId="0" applyNumberFormat="1" applyAlignment="1">
      <alignment horizontal="right"/>
    </xf>
    <xf numFmtId="11" fontId="4" fillId="0" borderId="0" xfId="0" applyNumberFormat="1" applyFont="1"/>
    <xf numFmtId="0" fontId="4" fillId="0" borderId="0" xfId="0" applyFont="1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horizontal="right" wrapText="1"/>
    </xf>
    <xf numFmtId="0" fontId="1" fillId="2" borderId="1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0" fontId="0" fillId="0" borderId="3" xfId="0" applyBorder="1"/>
    <xf numFmtId="0" fontId="0" fillId="0" borderId="3" xfId="0" quotePrefix="1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left"/>
    </xf>
    <xf numFmtId="165" fontId="0" fillId="0" borderId="0" xfId="0" applyNumberFormat="1"/>
    <xf numFmtId="11" fontId="0" fillId="0" borderId="3" xfId="0" applyNumberFormat="1" applyBorder="1" applyAlignment="1">
      <alignment horizontal="right"/>
    </xf>
    <xf numFmtId="11" fontId="0" fillId="0" borderId="3" xfId="0" applyNumberFormat="1" applyBorder="1"/>
    <xf numFmtId="11" fontId="4" fillId="0" borderId="0" xfId="0" applyNumberFormat="1" applyFont="1" applyAlignment="1">
      <alignment horizontal="right"/>
    </xf>
    <xf numFmtId="0" fontId="0" fillId="2" borderId="0" xfId="0" applyFill="1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right" wrapText="1"/>
    </xf>
    <xf numFmtId="3" fontId="0" fillId="0" borderId="0" xfId="0" applyNumberFormat="1" applyAlignment="1">
      <alignment horizontal="righ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11" fontId="0" fillId="3" borderId="6" xfId="0" applyNumberFormat="1" applyFill="1" applyBorder="1"/>
    <xf numFmtId="11" fontId="0" fillId="3" borderId="7" xfId="0" applyNumberFormat="1" applyFill="1" applyBorder="1"/>
    <xf numFmtId="0" fontId="0" fillId="0" borderId="0" xfId="0" applyAlignment="1">
      <alignment horizontal="left" indent="1"/>
    </xf>
    <xf numFmtId="11" fontId="0" fillId="0" borderId="7" xfId="0" applyNumberFormat="1" applyBorder="1"/>
    <xf numFmtId="11" fontId="0" fillId="3" borderId="0" xfId="0" applyNumberFormat="1" applyFill="1"/>
    <xf numFmtId="3" fontId="0" fillId="0" borderId="0" xfId="0" applyNumberFormat="1"/>
    <xf numFmtId="166" fontId="0" fillId="0" borderId="0" xfId="0" applyNumberFormat="1"/>
    <xf numFmtId="165" fontId="0" fillId="0" borderId="3" xfId="0" applyNumberFormat="1" applyBorder="1"/>
    <xf numFmtId="167" fontId="0" fillId="0" borderId="0" xfId="4" applyNumberFormat="1" applyFont="1"/>
    <xf numFmtId="0" fontId="4" fillId="0" borderId="0" xfId="0" applyFont="1" applyAlignment="1">
      <alignment horizontal="lef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167" fontId="0" fillId="0" borderId="0" xfId="0" applyNumberFormat="1"/>
    <xf numFmtId="168" fontId="0" fillId="0" borderId="0" xfId="0" applyNumberFormat="1"/>
    <xf numFmtId="43" fontId="0" fillId="0" borderId="0" xfId="5" applyFont="1"/>
    <xf numFmtId="3" fontId="0" fillId="3" borderId="0" xfId="0" applyNumberFormat="1" applyFill="1" applyAlignment="1">
      <alignment horizontal="right"/>
    </xf>
    <xf numFmtId="0" fontId="1" fillId="0" borderId="0" xfId="0" applyFont="1" applyAlignment="1">
      <alignment horizontal="right"/>
    </xf>
  </cellXfs>
  <cellStyles count="6">
    <cellStyle name="Comma" xfId="5" builtinId="3"/>
    <cellStyle name="Currency" xfId="4" builtinId="4"/>
    <cellStyle name="Hyperlink" xfId="1" builtinId="8"/>
    <cellStyle name="Normal" xfId="0" builtinId="0"/>
    <cellStyle name="Normal 2" xfId="2" xr:uid="{3ADF3FF5-E4D2-4BC8-9960-7408DCCB591E}"/>
    <cellStyle name="Normal 3" xfId="3" xr:uid="{65E8EA41-B47F-46FF-99E0-53D9E8FB56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pps.bea.gov/iTable/?isuri=1&amp;reqid=151&amp;step=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pps.bea.gov/iTable/?isuri=1&amp;reqid=151&amp;step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topLeftCell="A16" workbookViewId="0">
      <selection activeCell="B29" sqref="B29"/>
    </sheetView>
  </sheetViews>
  <sheetFormatPr defaultRowHeight="15" x14ac:dyDescent="0.25"/>
  <cols>
    <col min="1" max="1" width="7" customWidth="1"/>
    <col min="2" max="2" width="77.5703125" customWidth="1"/>
  </cols>
  <sheetData>
    <row r="1" spans="1:2" x14ac:dyDescent="0.25">
      <c r="A1" s="1" t="s">
        <v>641</v>
      </c>
    </row>
    <row r="3" spans="1:2" x14ac:dyDescent="0.25">
      <c r="A3" s="1" t="s">
        <v>0</v>
      </c>
      <c r="B3" s="6" t="s">
        <v>635</v>
      </c>
    </row>
    <row r="4" spans="1:2" x14ac:dyDescent="0.25">
      <c r="B4" t="s">
        <v>37</v>
      </c>
    </row>
    <row r="5" spans="1:2" x14ac:dyDescent="0.25">
      <c r="B5" s="2">
        <v>2023</v>
      </c>
    </row>
    <row r="6" spans="1:2" x14ac:dyDescent="0.25">
      <c r="B6" t="s">
        <v>38</v>
      </c>
    </row>
    <row r="7" spans="1:2" x14ac:dyDescent="0.25">
      <c r="B7" s="3" t="s">
        <v>623</v>
      </c>
    </row>
    <row r="8" spans="1:2" x14ac:dyDescent="0.25">
      <c r="B8" s="39" t="s">
        <v>39</v>
      </c>
    </row>
    <row r="9" spans="1:2" x14ac:dyDescent="0.25">
      <c r="B9" s="39"/>
    </row>
    <row r="10" spans="1:2" x14ac:dyDescent="0.25">
      <c r="B10" s="6" t="s">
        <v>634</v>
      </c>
    </row>
    <row r="11" spans="1:2" x14ac:dyDescent="0.25">
      <c r="B11" t="s">
        <v>37</v>
      </c>
    </row>
    <row r="12" spans="1:2" x14ac:dyDescent="0.25">
      <c r="B12" s="2">
        <v>2023</v>
      </c>
    </row>
    <row r="13" spans="1:2" x14ac:dyDescent="0.25">
      <c r="B13" t="s">
        <v>38</v>
      </c>
    </row>
    <row r="14" spans="1:2" x14ac:dyDescent="0.25">
      <c r="B14" s="3" t="s">
        <v>636</v>
      </c>
    </row>
    <row r="15" spans="1:2" x14ac:dyDescent="0.25">
      <c r="B15" s="39" t="s">
        <v>40</v>
      </c>
    </row>
    <row r="16" spans="1:2" x14ac:dyDescent="0.25">
      <c r="B16" s="39"/>
    </row>
    <row r="17" spans="1:1" x14ac:dyDescent="0.25">
      <c r="A17" s="1" t="s">
        <v>1</v>
      </c>
    </row>
    <row r="18" spans="1:1" x14ac:dyDescent="0.25">
      <c r="A18" t="s">
        <v>637</v>
      </c>
    </row>
    <row r="19" spans="1:1" x14ac:dyDescent="0.25">
      <c r="A19" t="s">
        <v>638</v>
      </c>
    </row>
    <row r="20" spans="1:1" x14ac:dyDescent="0.25">
      <c r="A20" t="s">
        <v>639</v>
      </c>
    </row>
    <row r="21" spans="1:1" x14ac:dyDescent="0.25">
      <c r="A21" t="s">
        <v>640</v>
      </c>
    </row>
    <row r="22" spans="1:1" x14ac:dyDescent="0.25">
      <c r="A22" s="1"/>
    </row>
    <row r="23" spans="1:1" x14ac:dyDescent="0.25">
      <c r="A23" t="s">
        <v>624</v>
      </c>
    </row>
    <row r="24" spans="1:1" x14ac:dyDescent="0.25">
      <c r="A24" s="5">
        <v>0.84730412960844359</v>
      </c>
    </row>
    <row r="26" spans="1:1" x14ac:dyDescent="0.25">
      <c r="A26" t="s">
        <v>738</v>
      </c>
    </row>
    <row r="27" spans="1:1" x14ac:dyDescent="0.25">
      <c r="A27" s="5">
        <v>0.88711067149387013</v>
      </c>
    </row>
  </sheetData>
  <hyperlinks>
    <hyperlink ref="B7" r:id="rId1" xr:uid="{F9B77A65-569C-4A22-B18C-D0094C01560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66558-DDB4-469E-A78A-47CFC97B3CEE}">
  <dimension ref="A1:S450"/>
  <sheetViews>
    <sheetView zoomScale="46" zoomScaleNormal="80" workbookViewId="0">
      <selection activeCell="D7" sqref="D7"/>
    </sheetView>
  </sheetViews>
  <sheetFormatPr defaultRowHeight="15" x14ac:dyDescent="0.25"/>
  <cols>
    <col min="1" max="1" width="48.28515625" customWidth="1"/>
    <col min="2" max="2" width="36.28515625" customWidth="1"/>
    <col min="3" max="3" width="40.140625" customWidth="1"/>
    <col min="4" max="4" width="20.28515625" customWidth="1"/>
    <col min="5" max="5" width="24.140625" customWidth="1"/>
    <col min="6" max="6" width="21.42578125" customWidth="1"/>
    <col min="7" max="8" width="20.85546875" customWidth="1"/>
    <col min="9" max="9" width="48.140625" customWidth="1"/>
    <col min="10" max="10" width="19.85546875" customWidth="1"/>
    <col min="11" max="11" width="23.42578125" customWidth="1"/>
    <col min="12" max="12" width="22.42578125" customWidth="1"/>
    <col min="13" max="13" width="20.28515625" customWidth="1"/>
    <col min="14" max="15" width="18.42578125" customWidth="1"/>
    <col min="16" max="16" width="23" customWidth="1"/>
    <col min="17" max="17" width="20.85546875" customWidth="1"/>
    <col min="18" max="18" width="19.140625" customWidth="1"/>
    <col min="19" max="19" width="16.5703125" customWidth="1"/>
  </cols>
  <sheetData>
    <row r="1" spans="1:19" x14ac:dyDescent="0.25">
      <c r="A1" s="1" t="s">
        <v>616</v>
      </c>
    </row>
    <row r="2" spans="1:19" x14ac:dyDescent="0.25">
      <c r="A2" s="12" t="s">
        <v>51</v>
      </c>
    </row>
    <row r="3" spans="1:19" s="17" customFormat="1" ht="30.75" thickBot="1" x14ac:dyDescent="0.3">
      <c r="A3" s="13" t="s">
        <v>52</v>
      </c>
      <c r="B3" s="14" t="s">
        <v>53</v>
      </c>
      <c r="C3" s="13" t="s">
        <v>54</v>
      </c>
      <c r="D3" s="15" t="s">
        <v>41</v>
      </c>
      <c r="E3" s="15" t="s">
        <v>42</v>
      </c>
      <c r="F3" s="16" t="s">
        <v>55</v>
      </c>
      <c r="G3" s="15" t="s">
        <v>56</v>
      </c>
      <c r="H3" s="15" t="s">
        <v>57</v>
      </c>
      <c r="I3" s="16" t="s">
        <v>58</v>
      </c>
      <c r="J3" s="15" t="s">
        <v>59</v>
      </c>
      <c r="K3" s="15" t="s">
        <v>60</v>
      </c>
      <c r="L3" s="16" t="s">
        <v>61</v>
      </c>
      <c r="M3" s="15" t="s">
        <v>62</v>
      </c>
      <c r="N3" s="15" t="s">
        <v>63</v>
      </c>
      <c r="O3" s="16" t="s">
        <v>64</v>
      </c>
      <c r="P3" s="15" t="s">
        <v>65</v>
      </c>
      <c r="Q3" s="15" t="s">
        <v>66</v>
      </c>
      <c r="R3" s="15" t="s">
        <v>67</v>
      </c>
      <c r="S3" s="16" t="s">
        <v>68</v>
      </c>
    </row>
    <row r="4" spans="1:19" ht="15.75" thickTop="1" x14ac:dyDescent="0.25">
      <c r="A4" s="18" t="s">
        <v>43</v>
      </c>
      <c r="C4" s="18"/>
      <c r="D4" s="8" t="s">
        <v>44</v>
      </c>
      <c r="E4" s="8" t="s">
        <v>45</v>
      </c>
      <c r="F4" s="19">
        <v>212</v>
      </c>
      <c r="G4" s="8" t="s">
        <v>69</v>
      </c>
      <c r="H4" s="8">
        <v>3254</v>
      </c>
      <c r="I4" s="19">
        <v>325</v>
      </c>
      <c r="J4" s="4">
        <v>3272</v>
      </c>
      <c r="K4" s="4" t="s">
        <v>70</v>
      </c>
      <c r="L4" s="20"/>
      <c r="O4" s="18"/>
      <c r="S4" s="18"/>
    </row>
    <row r="5" spans="1:19" x14ac:dyDescent="0.25">
      <c r="A5" s="18" t="s">
        <v>46</v>
      </c>
      <c r="C5" s="18"/>
      <c r="D5" s="8" t="s">
        <v>47</v>
      </c>
      <c r="E5" s="8" t="s">
        <v>48</v>
      </c>
      <c r="F5" s="19" t="s">
        <v>71</v>
      </c>
      <c r="G5" s="8">
        <v>20</v>
      </c>
      <c r="H5" s="8">
        <v>21</v>
      </c>
      <c r="I5" s="19" t="s">
        <v>72</v>
      </c>
      <c r="J5" s="4">
        <v>231</v>
      </c>
      <c r="K5" s="4">
        <v>239</v>
      </c>
      <c r="L5" s="20">
        <v>23</v>
      </c>
      <c r="M5">
        <v>241</v>
      </c>
      <c r="N5">
        <v>242</v>
      </c>
      <c r="O5" s="18">
        <v>24</v>
      </c>
      <c r="P5" s="4">
        <v>351</v>
      </c>
      <c r="Q5" s="4" t="s">
        <v>73</v>
      </c>
      <c r="R5" s="4" t="s">
        <v>74</v>
      </c>
      <c r="S5" s="20" t="s">
        <v>75</v>
      </c>
    </row>
    <row r="6" spans="1:19" x14ac:dyDescent="0.25">
      <c r="A6" s="21" t="s">
        <v>76</v>
      </c>
      <c r="B6" s="3" t="s">
        <v>623</v>
      </c>
      <c r="C6" s="18" t="s">
        <v>77</v>
      </c>
      <c r="D6" s="9">
        <f>E36*10^6</f>
        <v>27542000000</v>
      </c>
      <c r="E6" s="9">
        <f>E35*10^6</f>
        <v>510230000000</v>
      </c>
      <c r="F6" s="9">
        <f>SUM(E36,E37:E40)*10^6</f>
        <v>98883000000</v>
      </c>
      <c r="G6">
        <f>SUM(E273:E279,E284:E291)*10^6</f>
        <v>465601000000</v>
      </c>
      <c r="H6">
        <f>SUM(E280:E283)*10^6</f>
        <v>240932000000</v>
      </c>
      <c r="I6" s="18">
        <f>SUM(G6:H6)</f>
        <v>706533000000</v>
      </c>
      <c r="J6" s="22">
        <f>E72*10^6</f>
        <v>23111000000</v>
      </c>
      <c r="K6" s="22">
        <f>SUM(E71,E73:E82)*10^6</f>
        <v>88102000000</v>
      </c>
      <c r="L6" s="44">
        <f>SUM(J6:K6)</f>
        <v>111213000000</v>
      </c>
      <c r="M6" s="22">
        <f>SUM(E83:E84,E91)*10^6</f>
        <v>116253000000</v>
      </c>
      <c r="N6">
        <f>SUM(E85:E90,E92)*10^6</f>
        <v>99282000000</v>
      </c>
      <c r="O6" s="44">
        <f>SUM(M6:N6)</f>
        <v>215535000000</v>
      </c>
      <c r="P6" s="22">
        <f>SUM(E43:E52)*10^6</f>
        <v>394231000000</v>
      </c>
      <c r="Q6" s="22">
        <f>E53*10^6</f>
        <v>92955000000</v>
      </c>
      <c r="R6" s="22">
        <f>SUM(E54)*10^6</f>
        <v>12745000000</v>
      </c>
      <c r="S6" s="44">
        <f>SUM(P6:R6)</f>
        <v>499931000000</v>
      </c>
    </row>
    <row r="7" spans="1:19" x14ac:dyDescent="0.25">
      <c r="A7" s="21" t="s">
        <v>34</v>
      </c>
      <c r="B7" s="3" t="s">
        <v>623</v>
      </c>
      <c r="C7" s="18" t="s">
        <v>642</v>
      </c>
      <c r="D7" s="11">
        <f>$F7*($D$6/$F$6)</f>
        <v>32465595906.273071</v>
      </c>
      <c r="E7" s="10">
        <f>M28*10^6</f>
        <v>417848000000</v>
      </c>
      <c r="F7" s="23">
        <f>M29*10^6</f>
        <v>116560000000</v>
      </c>
      <c r="G7" s="25">
        <f>$I7*(G$6/$I$6)</f>
        <v>588343902395.21729</v>
      </c>
      <c r="H7" s="25">
        <f>$I7*(H$6/$I$6)</f>
        <v>304447097604.78278</v>
      </c>
      <c r="I7" s="23">
        <f>M53*10^6</f>
        <v>892791000000</v>
      </c>
      <c r="J7" s="25">
        <f>$L7*(J$6/$L$6)</f>
        <v>30212645616.969238</v>
      </c>
      <c r="K7" s="25">
        <f>$L7*(K$6/$L$6)</f>
        <v>115174354383.03075</v>
      </c>
      <c r="L7" s="24">
        <f>M36*10^6</f>
        <v>145387000000</v>
      </c>
      <c r="M7" s="25">
        <f>$O7*(M$6/$O$6)</f>
        <v>150920433697.5433</v>
      </c>
      <c r="N7" s="25">
        <f>$O7*(N$6/$O$6)</f>
        <v>128888566302.45668</v>
      </c>
      <c r="O7" s="24">
        <f>M37*10^6</f>
        <v>279809000000</v>
      </c>
      <c r="P7" s="25">
        <f>$S7*(P$6/$S$6)</f>
        <v>471838197523.25818</v>
      </c>
      <c r="Q7" s="25">
        <f t="shared" ref="Q7:R7" si="0">$S7*(Q$6/$S$6)</f>
        <v>111253857892.38914</v>
      </c>
      <c r="R7" s="25">
        <f t="shared" si="0"/>
        <v>15253944584.35264</v>
      </c>
      <c r="S7" s="24">
        <f>M31*10^6</f>
        <v>598346000000</v>
      </c>
    </row>
    <row r="14" spans="1:19" x14ac:dyDescent="0.25">
      <c r="B14" s="1" t="s">
        <v>617</v>
      </c>
      <c r="K14" s="42"/>
    </row>
    <row r="15" spans="1:19" x14ac:dyDescent="0.25">
      <c r="B15" t="s">
        <v>618</v>
      </c>
    </row>
    <row r="16" spans="1:19" x14ac:dyDescent="0.25">
      <c r="B16" t="s">
        <v>619</v>
      </c>
      <c r="D16" s="42"/>
    </row>
    <row r="17" spans="2:14" x14ac:dyDescent="0.25">
      <c r="B17" t="s">
        <v>79</v>
      </c>
    </row>
    <row r="18" spans="2:14" x14ac:dyDescent="0.25">
      <c r="B18" t="s">
        <v>620</v>
      </c>
    </row>
    <row r="19" spans="2:14" x14ac:dyDescent="0.25">
      <c r="B19" t="s">
        <v>621</v>
      </c>
    </row>
    <row r="20" spans="2:14" x14ac:dyDescent="0.25">
      <c r="J20" s="1" t="s">
        <v>78</v>
      </c>
      <c r="L20" s="1" t="s">
        <v>735</v>
      </c>
      <c r="M20" s="1" t="s">
        <v>615</v>
      </c>
    </row>
    <row r="21" spans="2:14" ht="30" x14ac:dyDescent="0.25">
      <c r="B21" s="6" t="s">
        <v>80</v>
      </c>
      <c r="C21" s="26"/>
      <c r="D21" s="6" t="s">
        <v>736</v>
      </c>
      <c r="E21" s="27">
        <v>2021</v>
      </c>
      <c r="F21" s="27" t="s">
        <v>46</v>
      </c>
      <c r="G21" s="6" t="s">
        <v>81</v>
      </c>
      <c r="I21" s="26" t="s">
        <v>80</v>
      </c>
      <c r="J21" s="26"/>
      <c r="K21" s="6" t="s">
        <v>46</v>
      </c>
      <c r="L21" s="28" t="s">
        <v>39</v>
      </c>
      <c r="M21" s="28" t="s">
        <v>39</v>
      </c>
    </row>
    <row r="22" spans="2:14" x14ac:dyDescent="0.25">
      <c r="B22">
        <v>1</v>
      </c>
      <c r="C22" t="s">
        <v>83</v>
      </c>
      <c r="D22">
        <f>INDEX(Data!$J$7:$J$420,MATCH('2021'!$C22,Data!$C$7:$C$420,0))*1000</f>
        <v>40795000</v>
      </c>
      <c r="E22" s="29">
        <v>58089</v>
      </c>
      <c r="F22" s="29" t="s">
        <v>2</v>
      </c>
      <c r="I22" t="s">
        <v>82</v>
      </c>
      <c r="J22" t="s">
        <v>733</v>
      </c>
      <c r="L22" t="e">
        <f>INDEX(Data!$T$9:$T$105,MATCH('2021'!$J22,Data!$M$9:$M$105,0))</f>
        <v>#N/A</v>
      </c>
      <c r="M22" s="29">
        <v>41665305</v>
      </c>
    </row>
    <row r="23" spans="2:14" x14ac:dyDescent="0.25">
      <c r="B23">
        <v>2</v>
      </c>
      <c r="C23" t="s">
        <v>85</v>
      </c>
      <c r="D23">
        <f>INDEX(Data!$J$7:$J$420,MATCH('2021'!$C23,Data!$C$7:$C$420,0))*1000</f>
        <v>58805000</v>
      </c>
      <c r="E23" s="29">
        <v>103923</v>
      </c>
      <c r="F23" s="29" t="s">
        <v>2</v>
      </c>
      <c r="I23" t="s">
        <v>84</v>
      </c>
      <c r="J23" t="s">
        <v>613</v>
      </c>
      <c r="L23">
        <f>INDEX(Data!$T$9:$T$105,MATCH('2021'!$J23,Data!$M$9:$M$105,0))</f>
        <v>33529504</v>
      </c>
      <c r="M23" s="29">
        <v>37118889</v>
      </c>
      <c r="N23" s="9"/>
    </row>
    <row r="24" spans="2:14" x14ac:dyDescent="0.25">
      <c r="B24">
        <v>3</v>
      </c>
      <c r="C24" t="s">
        <v>87</v>
      </c>
      <c r="D24">
        <f>INDEX(Data!$J$7:$J$420,MATCH('2021'!$C24,Data!$C$7:$C$420,0))*1000</f>
        <v>18503000</v>
      </c>
      <c r="E24" s="29">
        <v>13170</v>
      </c>
      <c r="F24" s="29" t="s">
        <v>2</v>
      </c>
      <c r="I24" t="s">
        <v>86</v>
      </c>
      <c r="J24" t="s">
        <v>654</v>
      </c>
      <c r="K24" t="s">
        <v>2</v>
      </c>
      <c r="L24">
        <f>INDEX(Data!$T$9:$T$105,MATCH('2021'!$J24,Data!$M$9:$M$105,0))</f>
        <v>444752</v>
      </c>
      <c r="M24" s="29">
        <v>535233</v>
      </c>
      <c r="N24" s="9"/>
    </row>
    <row r="25" spans="2:14" x14ac:dyDescent="0.25">
      <c r="B25">
        <v>4</v>
      </c>
      <c r="C25" t="s">
        <v>89</v>
      </c>
      <c r="D25">
        <f>INDEX(Data!$J$7:$J$420,MATCH('2021'!$C25,Data!$C$7:$C$420,0))*1000</f>
        <v>27885000</v>
      </c>
      <c r="E25" s="29">
        <v>22388</v>
      </c>
      <c r="F25" s="29" t="s">
        <v>2</v>
      </c>
      <c r="I25" t="s">
        <v>88</v>
      </c>
      <c r="J25" t="s">
        <v>655</v>
      </c>
      <c r="L25">
        <f>INDEX(Data!$T$9:$T$105,MATCH('2021'!$J25,Data!$M$9:$M$105,0))</f>
        <v>390908</v>
      </c>
      <c r="M25" s="29">
        <v>472080</v>
      </c>
      <c r="N25" s="9"/>
    </row>
    <row r="26" spans="2:14" x14ac:dyDescent="0.25">
      <c r="B26">
        <v>5</v>
      </c>
      <c r="C26" t="s">
        <v>91</v>
      </c>
      <c r="D26">
        <f>INDEX(Data!$J$7:$J$420,MATCH('2021'!$C26,Data!$C$7:$C$420,0))*1000</f>
        <v>24529000</v>
      </c>
      <c r="E26" s="29">
        <v>27786</v>
      </c>
      <c r="F26" s="29" t="s">
        <v>2</v>
      </c>
      <c r="I26" t="s">
        <v>90</v>
      </c>
      <c r="J26" t="s">
        <v>656</v>
      </c>
      <c r="L26">
        <f>INDEX(Data!$T$9:$T$105,MATCH('2021'!$J26,Data!$M$9:$M$105,0))</f>
        <v>53844</v>
      </c>
      <c r="M26" s="29">
        <v>63153</v>
      </c>
    </row>
    <row r="27" spans="2:14" x14ac:dyDescent="0.25">
      <c r="B27">
        <v>6</v>
      </c>
      <c r="C27" t="s">
        <v>93</v>
      </c>
      <c r="D27">
        <f>INDEX(Data!$J$7:$J$420,MATCH('2021'!$C27,Data!$C$7:$C$420,0))*1000</f>
        <v>25675000</v>
      </c>
      <c r="E27" s="29">
        <v>33974</v>
      </c>
      <c r="F27" s="29" t="s">
        <v>2</v>
      </c>
      <c r="I27" t="s">
        <v>92</v>
      </c>
      <c r="J27" t="s">
        <v>657</v>
      </c>
      <c r="L27">
        <f>INDEX(Data!$T$9:$T$105,MATCH('2021'!$J27,Data!$M$9:$M$105,0))</f>
        <v>557731</v>
      </c>
      <c r="M27" s="29">
        <v>611536</v>
      </c>
    </row>
    <row r="28" spans="2:14" x14ac:dyDescent="0.25">
      <c r="B28">
        <v>7</v>
      </c>
      <c r="C28" t="s">
        <v>95</v>
      </c>
      <c r="D28">
        <f>INDEX(Data!$J$7:$J$420,MATCH('2021'!$C28,Data!$C$7:$C$420,0))*1000</f>
        <v>41485000</v>
      </c>
      <c r="E28" s="29">
        <v>43259</v>
      </c>
      <c r="F28" s="29" t="s">
        <v>2</v>
      </c>
      <c r="I28" t="s">
        <v>94</v>
      </c>
      <c r="J28" t="s">
        <v>42</v>
      </c>
      <c r="K28" t="s">
        <v>50</v>
      </c>
      <c r="L28">
        <f>INDEX(Data!$T$9:$T$105,MATCH('2021'!$J28,Data!$M$9:$M$105,0))</f>
        <v>316004</v>
      </c>
      <c r="M28" s="29">
        <v>417848</v>
      </c>
    </row>
    <row r="29" spans="2:14" x14ac:dyDescent="0.25">
      <c r="B29">
        <v>8</v>
      </c>
      <c r="C29" t="s">
        <v>97</v>
      </c>
      <c r="D29">
        <f>INDEX(Data!$J$7:$J$420,MATCH('2021'!$C29,Data!$C$7:$C$420,0))*1000</f>
        <v>92823000</v>
      </c>
      <c r="E29" s="29">
        <v>100567</v>
      </c>
      <c r="F29" s="29" t="s">
        <v>2</v>
      </c>
      <c r="I29" t="s">
        <v>96</v>
      </c>
      <c r="J29" t="s">
        <v>658</v>
      </c>
      <c r="K29" t="s">
        <v>622</v>
      </c>
      <c r="L29">
        <f>INDEX(Data!$T$9:$T$105,MATCH('2021'!$J29,Data!$M$9:$M$105,0))</f>
        <v>106096</v>
      </c>
      <c r="M29" s="29">
        <v>116560</v>
      </c>
    </row>
    <row r="30" spans="2:14" x14ac:dyDescent="0.25">
      <c r="B30">
        <v>9</v>
      </c>
      <c r="C30" t="s">
        <v>99</v>
      </c>
      <c r="D30">
        <f>INDEX(Data!$J$7:$J$420,MATCH('2021'!$C30,Data!$C$7:$C$420,0))*1000</f>
        <v>40460000</v>
      </c>
      <c r="E30" s="29">
        <v>45006</v>
      </c>
      <c r="F30" s="29" t="s">
        <v>2</v>
      </c>
      <c r="I30" t="s">
        <v>98</v>
      </c>
      <c r="J30" t="s">
        <v>659</v>
      </c>
      <c r="K30" t="s">
        <v>4</v>
      </c>
      <c r="L30">
        <f>INDEX(Data!$T$9:$T$105,MATCH('2021'!$J30,Data!$M$9:$M$105,0))</f>
        <v>135631</v>
      </c>
      <c r="M30" s="29">
        <v>77127</v>
      </c>
    </row>
    <row r="31" spans="2:14" x14ac:dyDescent="0.25">
      <c r="B31">
        <v>10</v>
      </c>
      <c r="C31" t="s">
        <v>101</v>
      </c>
      <c r="D31">
        <f>INDEX(Data!$J$7:$J$420,MATCH('2021'!$C31,Data!$C$7:$C$420,0))*1000</f>
        <v>31491000</v>
      </c>
      <c r="E31" s="29">
        <v>33357</v>
      </c>
      <c r="F31" s="29" t="s">
        <v>2</v>
      </c>
      <c r="I31" t="s">
        <v>100</v>
      </c>
      <c r="J31" t="s">
        <v>660</v>
      </c>
      <c r="K31" t="s">
        <v>632</v>
      </c>
      <c r="L31">
        <f>INDEX(Data!$T$9:$T$105,MATCH('2021'!$J31,Data!$M$9:$M$105,0))</f>
        <v>517969</v>
      </c>
      <c r="M31" s="29">
        <v>598346</v>
      </c>
    </row>
    <row r="32" spans="2:14" x14ac:dyDescent="0.25">
      <c r="B32">
        <v>11</v>
      </c>
      <c r="C32" t="s">
        <v>103</v>
      </c>
      <c r="D32">
        <f>INDEX(Data!$J$7:$J$420,MATCH('2021'!$C32,Data!$C$7:$C$420,0))*1000</f>
        <v>20141000</v>
      </c>
      <c r="E32" s="29">
        <v>22411</v>
      </c>
      <c r="F32" s="29" t="s">
        <v>2</v>
      </c>
      <c r="I32" t="s">
        <v>102</v>
      </c>
      <c r="J32" t="s">
        <v>661</v>
      </c>
      <c r="K32" t="s">
        <v>18</v>
      </c>
      <c r="L32">
        <f>INDEX(Data!$T$9:$T$105,MATCH('2021'!$J32,Data!$M$9:$M$105,0))</f>
        <v>1804387</v>
      </c>
      <c r="M32" s="29">
        <v>1984605</v>
      </c>
    </row>
    <row r="33" spans="2:13" x14ac:dyDescent="0.25">
      <c r="B33">
        <v>12</v>
      </c>
      <c r="C33" t="s">
        <v>105</v>
      </c>
      <c r="D33">
        <f>INDEX(Data!$J$7:$J$420,MATCH('2021'!$C33,Data!$C$7:$C$420,0))*1000</f>
        <v>8547000</v>
      </c>
      <c r="E33" s="29">
        <v>8113</v>
      </c>
      <c r="F33" s="29" t="s">
        <v>2</v>
      </c>
      <c r="I33" t="s">
        <v>104</v>
      </c>
      <c r="J33" t="s">
        <v>662</v>
      </c>
      <c r="L33">
        <f>INDEX(Data!$T$9:$T$105,MATCH('2021'!$J33,Data!$M$9:$M$105,0))</f>
        <v>5941397</v>
      </c>
      <c r="M33" s="29">
        <v>6299357</v>
      </c>
    </row>
    <row r="34" spans="2:13" x14ac:dyDescent="0.25">
      <c r="B34">
        <v>13</v>
      </c>
      <c r="C34" t="s">
        <v>107</v>
      </c>
      <c r="D34">
        <f>INDEX(Data!$J$7:$J$420,MATCH('2021'!$C34,Data!$C$7:$C$420,0))*1000</f>
        <v>26121000</v>
      </c>
      <c r="E34" s="29">
        <v>21004</v>
      </c>
      <c r="F34" s="29" t="s">
        <v>2</v>
      </c>
      <c r="I34" t="s">
        <v>106</v>
      </c>
      <c r="J34" t="s">
        <v>663</v>
      </c>
      <c r="L34">
        <f>INDEX(Data!$T$9:$T$105,MATCH('2021'!$J34,Data!$M$9:$M$105,0))</f>
        <v>2970521</v>
      </c>
      <c r="M34" s="29">
        <v>3095037</v>
      </c>
    </row>
    <row r="35" spans="2:13" x14ac:dyDescent="0.25">
      <c r="B35">
        <v>14</v>
      </c>
      <c r="C35" s="31" t="s">
        <v>42</v>
      </c>
      <c r="D35">
        <f>INDEX(Data!$J$7:$J$420,MATCH('2021'!$C35,Data!$C$7:$C$420,0))*1000</f>
        <v>316004000</v>
      </c>
      <c r="E35" s="29">
        <v>510230</v>
      </c>
      <c r="F35" s="29" t="s">
        <v>50</v>
      </c>
      <c r="G35" t="s">
        <v>109</v>
      </c>
      <c r="I35" t="s">
        <v>108</v>
      </c>
      <c r="J35" t="s">
        <v>664</v>
      </c>
      <c r="K35" t="s">
        <v>7</v>
      </c>
      <c r="L35">
        <f>INDEX(Data!$T$9:$T$105,MATCH('2021'!$J35,Data!$M$9:$M$105,0))</f>
        <v>123724</v>
      </c>
      <c r="M35" s="29">
        <v>163144</v>
      </c>
    </row>
    <row r="36" spans="2:13" x14ac:dyDescent="0.25">
      <c r="B36">
        <v>15</v>
      </c>
      <c r="C36" s="32" t="s">
        <v>111</v>
      </c>
      <c r="D36">
        <f>INDEX(Data!$J$7:$J$420,MATCH('2021'!$C36,Data!$C$7:$C$420,0))*1000</f>
        <v>37690000</v>
      </c>
      <c r="E36" s="29">
        <v>27542</v>
      </c>
      <c r="F36" s="29" t="s">
        <v>49</v>
      </c>
      <c r="G36" t="s">
        <v>112</v>
      </c>
      <c r="I36" t="s">
        <v>110</v>
      </c>
      <c r="J36" t="s">
        <v>665</v>
      </c>
      <c r="K36" t="s">
        <v>625</v>
      </c>
      <c r="L36">
        <f>INDEX(Data!$T$9:$T$105,MATCH('2021'!$J36,Data!$M$9:$M$105,0))</f>
        <v>135072</v>
      </c>
      <c r="M36" s="29">
        <v>145387</v>
      </c>
    </row>
    <row r="37" spans="2:13" x14ac:dyDescent="0.25">
      <c r="B37">
        <v>16</v>
      </c>
      <c r="C37" t="s">
        <v>114</v>
      </c>
      <c r="D37">
        <f>INDEX(Data!$J$7:$J$420,MATCH('2021'!$C37,Data!$C$7:$C$420,0))*1000</f>
        <v>13044000</v>
      </c>
      <c r="E37" s="29">
        <v>13611</v>
      </c>
      <c r="F37" s="29" t="s">
        <v>3</v>
      </c>
      <c r="I37" t="s">
        <v>113</v>
      </c>
      <c r="J37" t="s">
        <v>666</v>
      </c>
      <c r="K37" t="s">
        <v>633</v>
      </c>
      <c r="L37">
        <f>INDEX(Data!$T$9:$T$105,MATCH('2021'!$J37,Data!$M$9:$M$105,0))</f>
        <v>235954</v>
      </c>
      <c r="M37" s="29">
        <v>279809</v>
      </c>
    </row>
    <row r="38" spans="2:13" x14ac:dyDescent="0.25">
      <c r="B38">
        <v>17</v>
      </c>
      <c r="C38" t="s">
        <v>116</v>
      </c>
      <c r="D38">
        <f>INDEX(Data!$J$7:$J$420,MATCH('2021'!$C38,Data!$C$7:$C$420,0))*1000</f>
        <v>17015000</v>
      </c>
      <c r="E38" s="29">
        <v>16987</v>
      </c>
      <c r="F38" s="29" t="s">
        <v>3</v>
      </c>
      <c r="I38" t="s">
        <v>115</v>
      </c>
      <c r="J38" t="s">
        <v>667</v>
      </c>
      <c r="K38" t="s">
        <v>626</v>
      </c>
      <c r="L38">
        <f>INDEX(Data!$T$9:$T$105,MATCH('2021'!$J38,Data!$M$9:$M$105,0))</f>
        <v>377502</v>
      </c>
      <c r="M38" s="29">
        <v>391859</v>
      </c>
    </row>
    <row r="39" spans="2:13" x14ac:dyDescent="0.25">
      <c r="B39">
        <v>18</v>
      </c>
      <c r="C39" t="s">
        <v>118</v>
      </c>
      <c r="D39">
        <f>INDEX(Data!$J$7:$J$420,MATCH('2021'!$C39,Data!$C$7:$C$420,0))*1000</f>
        <v>19891000</v>
      </c>
      <c r="E39" s="29">
        <v>21776</v>
      </c>
      <c r="F39" s="29" t="s">
        <v>3</v>
      </c>
      <c r="I39" t="s">
        <v>117</v>
      </c>
      <c r="J39" t="s">
        <v>668</v>
      </c>
      <c r="K39" t="s">
        <v>627</v>
      </c>
      <c r="L39">
        <f>INDEX(Data!$T$9:$T$105,MATCH('2021'!$J39,Data!$M$9:$M$105,0))</f>
        <v>391132</v>
      </c>
      <c r="M39" s="29">
        <v>392387</v>
      </c>
    </row>
    <row r="40" spans="2:13" x14ac:dyDescent="0.25">
      <c r="B40">
        <v>19</v>
      </c>
      <c r="C40" t="s">
        <v>120</v>
      </c>
      <c r="D40">
        <f>INDEX(Data!$J$7:$J$420,MATCH('2021'!$C40,Data!$C$7:$C$420,0))*1000</f>
        <v>20026000</v>
      </c>
      <c r="E40" s="29">
        <v>18967</v>
      </c>
      <c r="F40" s="29" t="s">
        <v>3</v>
      </c>
      <c r="I40" t="s">
        <v>119</v>
      </c>
      <c r="J40" t="s">
        <v>669</v>
      </c>
      <c r="K40" t="s">
        <v>12</v>
      </c>
      <c r="L40">
        <f>INDEX(Data!$T$9:$T$105,MATCH('2021'!$J40,Data!$M$9:$M$105,0))</f>
        <v>367248</v>
      </c>
      <c r="M40" s="29">
        <v>380660</v>
      </c>
    </row>
    <row r="41" spans="2:13" x14ac:dyDescent="0.25">
      <c r="B41">
        <v>20</v>
      </c>
      <c r="C41" t="s">
        <v>122</v>
      </c>
      <c r="D41">
        <f>INDEX(Data!$J$7:$J$420,MATCH('2021'!$C41,Data!$C$7:$C$420,0))*1000</f>
        <v>29239000</v>
      </c>
      <c r="E41" s="29">
        <v>17617</v>
      </c>
      <c r="F41" s="29" t="s">
        <v>4</v>
      </c>
      <c r="I41" t="s">
        <v>121</v>
      </c>
      <c r="J41" t="s">
        <v>670</v>
      </c>
      <c r="K41" t="s">
        <v>630</v>
      </c>
      <c r="L41">
        <f>INDEX(Data!$T$9:$T$105,MATCH('2021'!$J41,Data!$M$9:$M$105,0))</f>
        <v>131501</v>
      </c>
      <c r="M41" s="29">
        <v>142203</v>
      </c>
    </row>
    <row r="42" spans="2:13" x14ac:dyDescent="0.25">
      <c r="B42">
        <v>21</v>
      </c>
      <c r="C42" t="s">
        <v>124</v>
      </c>
      <c r="D42">
        <f>INDEX(Data!$J$7:$J$420,MATCH('2021'!$C42,Data!$C$7:$C$420,0))*1000</f>
        <v>106392000</v>
      </c>
      <c r="E42" s="29">
        <v>45580</v>
      </c>
      <c r="F42" s="29" t="s">
        <v>4</v>
      </c>
      <c r="I42" t="s">
        <v>123</v>
      </c>
      <c r="J42" t="s">
        <v>671</v>
      </c>
      <c r="K42" t="s">
        <v>15</v>
      </c>
      <c r="L42">
        <f>INDEX(Data!$T$9:$T$105,MATCH('2021'!$J42,Data!$M$9:$M$105,0))</f>
        <v>650219</v>
      </c>
      <c r="M42" s="29">
        <v>670043</v>
      </c>
    </row>
    <row r="43" spans="2:13" x14ac:dyDescent="0.25">
      <c r="B43">
        <v>22</v>
      </c>
      <c r="C43" s="33" t="s">
        <v>126</v>
      </c>
      <c r="D43">
        <f>INDEX(Data!$J$7:$J$420,MATCH('2021'!$C43,Data!$C$7:$C$420,0))*1000</f>
        <v>4384000</v>
      </c>
      <c r="E43" s="29">
        <v>2622</v>
      </c>
      <c r="F43" s="29" t="s">
        <v>608</v>
      </c>
      <c r="G43" t="s">
        <v>127</v>
      </c>
      <c r="I43" t="s">
        <v>125</v>
      </c>
      <c r="J43" t="s">
        <v>672</v>
      </c>
      <c r="K43" t="s">
        <v>16</v>
      </c>
      <c r="L43">
        <f>INDEX(Data!$T$9:$T$105,MATCH('2021'!$J43,Data!$M$9:$M$105,0))</f>
        <v>328510</v>
      </c>
      <c r="M43" s="29">
        <v>279691</v>
      </c>
    </row>
    <row r="44" spans="2:13" x14ac:dyDescent="0.25">
      <c r="B44">
        <v>23</v>
      </c>
      <c r="C44" s="33" t="s">
        <v>129</v>
      </c>
      <c r="D44">
        <f>INDEX(Data!$J$7:$J$420,MATCH('2021'!$C44,Data!$C$7:$C$420,0))*1000</f>
        <v>97085000</v>
      </c>
      <c r="E44" s="29">
        <v>86726</v>
      </c>
      <c r="F44" s="29" t="s">
        <v>608</v>
      </c>
      <c r="G44" t="s">
        <v>127</v>
      </c>
      <c r="I44" t="s">
        <v>128</v>
      </c>
      <c r="J44" t="s">
        <v>673</v>
      </c>
      <c r="K44" t="s">
        <v>17</v>
      </c>
      <c r="L44">
        <f>INDEX(Data!$T$9:$T$105,MATCH('2021'!$J44,Data!$M$9:$M$105,0))</f>
        <v>74187</v>
      </c>
      <c r="M44" s="29">
        <v>74954</v>
      </c>
    </row>
    <row r="45" spans="2:13" x14ac:dyDescent="0.25">
      <c r="B45">
        <v>24</v>
      </c>
      <c r="C45" s="33" t="s">
        <v>131</v>
      </c>
      <c r="D45">
        <f>INDEX(Data!$J$7:$J$420,MATCH('2021'!$C45,Data!$C$7:$C$420,0))*1000</f>
        <v>37241000</v>
      </c>
      <c r="E45" s="29">
        <v>30753</v>
      </c>
      <c r="F45" s="29" t="s">
        <v>608</v>
      </c>
      <c r="G45" t="s">
        <v>127</v>
      </c>
      <c r="I45" t="s">
        <v>130</v>
      </c>
      <c r="J45" t="s">
        <v>674</v>
      </c>
      <c r="K45" t="s">
        <v>17</v>
      </c>
      <c r="L45">
        <f>INDEX(Data!$T$9:$T$105,MATCH('2021'!$J45,Data!$M$9:$M$105,0))</f>
        <v>166814</v>
      </c>
      <c r="M45" s="29">
        <v>174901</v>
      </c>
    </row>
    <row r="46" spans="2:13" x14ac:dyDescent="0.25">
      <c r="B46">
        <v>25</v>
      </c>
      <c r="C46" s="33" t="s">
        <v>133</v>
      </c>
      <c r="D46">
        <f>INDEX(Data!$J$7:$J$420,MATCH('2021'!$C46,Data!$C$7:$C$420,0))*1000</f>
        <v>2556000</v>
      </c>
      <c r="E46" s="29">
        <v>692</v>
      </c>
      <c r="F46" s="29" t="s">
        <v>608</v>
      </c>
      <c r="G46" t="s">
        <v>127</v>
      </c>
      <c r="I46" t="s">
        <v>132</v>
      </c>
      <c r="J46" t="s">
        <v>675</v>
      </c>
      <c r="L46">
        <f>INDEX(Data!$T$9:$T$105,MATCH('2021'!$J46,Data!$M$9:$M$105,0))</f>
        <v>2970876</v>
      </c>
      <c r="M46" s="29">
        <v>3204320</v>
      </c>
    </row>
    <row r="47" spans="2:13" x14ac:dyDescent="0.25">
      <c r="B47">
        <v>26</v>
      </c>
      <c r="C47" s="33" t="s">
        <v>135</v>
      </c>
      <c r="D47">
        <f>INDEX(Data!$J$7:$J$420,MATCH('2021'!$C47,Data!$C$7:$C$420,0))*1000</f>
        <v>10186000</v>
      </c>
      <c r="E47" s="29">
        <v>5616</v>
      </c>
      <c r="F47" s="29" t="s">
        <v>608</v>
      </c>
      <c r="G47" t="s">
        <v>127</v>
      </c>
      <c r="I47" t="s">
        <v>134</v>
      </c>
      <c r="J47" t="s">
        <v>676</v>
      </c>
      <c r="K47" t="s">
        <v>5</v>
      </c>
      <c r="L47">
        <f>INDEX(Data!$T$9:$T$105,MATCH('2021'!$J47,Data!$M$9:$M$105,0))</f>
        <v>1002814</v>
      </c>
      <c r="M47" s="29">
        <v>1085301</v>
      </c>
    </row>
    <row r="48" spans="2:13" x14ac:dyDescent="0.25">
      <c r="B48">
        <v>27</v>
      </c>
      <c r="C48" s="33" t="s">
        <v>137</v>
      </c>
      <c r="D48">
        <f>INDEX(Data!$J$7:$J$420,MATCH('2021'!$C48,Data!$C$7:$C$420,0))*1000</f>
        <v>1409000</v>
      </c>
      <c r="E48" s="29">
        <v>1186</v>
      </c>
      <c r="F48" s="29" t="s">
        <v>608</v>
      </c>
      <c r="G48" t="s">
        <v>127</v>
      </c>
      <c r="I48" t="s">
        <v>136</v>
      </c>
      <c r="J48" t="s">
        <v>677</v>
      </c>
      <c r="K48" t="s">
        <v>6</v>
      </c>
      <c r="L48">
        <f>INDEX(Data!$T$9:$T$105,MATCH('2021'!$J48,Data!$M$9:$M$105,0))</f>
        <v>49895</v>
      </c>
      <c r="M48" s="29">
        <v>50759</v>
      </c>
    </row>
    <row r="49" spans="2:13" x14ac:dyDescent="0.25">
      <c r="B49">
        <v>28</v>
      </c>
      <c r="C49" s="33" t="s">
        <v>139</v>
      </c>
      <c r="D49">
        <f>INDEX(Data!$J$7:$J$420,MATCH('2021'!$C49,Data!$C$7:$C$420,0))*1000</f>
        <v>1705000</v>
      </c>
      <c r="E49" s="29">
        <v>916</v>
      </c>
      <c r="F49" s="29" t="s">
        <v>608</v>
      </c>
      <c r="G49" t="s">
        <v>127</v>
      </c>
      <c r="I49" t="s">
        <v>138</v>
      </c>
      <c r="J49" t="s">
        <v>678</v>
      </c>
      <c r="K49" t="s">
        <v>6</v>
      </c>
      <c r="L49">
        <f>INDEX(Data!$T$9:$T$105,MATCH('2021'!$J49,Data!$M$9:$M$105,0))</f>
        <v>17331</v>
      </c>
      <c r="M49" s="29">
        <v>18361</v>
      </c>
    </row>
    <row r="50" spans="2:13" x14ac:dyDescent="0.25">
      <c r="B50">
        <v>29</v>
      </c>
      <c r="C50" s="33" t="s">
        <v>141</v>
      </c>
      <c r="D50">
        <f>INDEX(Data!$J$7:$J$420,MATCH('2021'!$C50,Data!$C$7:$C$420,0))*1000</f>
        <v>194000</v>
      </c>
      <c r="E50" s="29">
        <v>205</v>
      </c>
      <c r="F50" s="29" t="s">
        <v>608</v>
      </c>
      <c r="G50" t="s">
        <v>127</v>
      </c>
      <c r="I50" t="s">
        <v>140</v>
      </c>
      <c r="J50" t="s">
        <v>679</v>
      </c>
      <c r="K50" t="s">
        <v>8</v>
      </c>
      <c r="L50">
        <f>INDEX(Data!$T$9:$T$105,MATCH('2021'!$J50,Data!$M$9:$M$105,0))</f>
        <v>190943</v>
      </c>
      <c r="M50" s="29">
        <v>196358</v>
      </c>
    </row>
    <row r="51" spans="2:13" x14ac:dyDescent="0.25">
      <c r="B51">
        <v>30</v>
      </c>
      <c r="C51" s="33" t="s">
        <v>143</v>
      </c>
      <c r="D51">
        <f>INDEX(Data!$J$7:$J$420,MATCH('2021'!$C51,Data!$C$7:$C$420,0))*1000</f>
        <v>16380000</v>
      </c>
      <c r="E51" s="29">
        <v>10543</v>
      </c>
      <c r="F51" s="29" t="s">
        <v>608</v>
      </c>
      <c r="G51" t="s">
        <v>127</v>
      </c>
      <c r="I51" t="s">
        <v>142</v>
      </c>
      <c r="J51" t="s">
        <v>680</v>
      </c>
      <c r="K51" t="s">
        <v>8</v>
      </c>
      <c r="L51">
        <f>INDEX(Data!$T$9:$T$105,MATCH('2021'!$J51,Data!$M$9:$M$105,0))</f>
        <v>81156</v>
      </c>
      <c r="M51" s="29">
        <v>77933</v>
      </c>
    </row>
    <row r="52" spans="2:13" x14ac:dyDescent="0.25">
      <c r="B52">
        <v>31</v>
      </c>
      <c r="C52" s="33" t="s">
        <v>145</v>
      </c>
      <c r="D52">
        <f>INDEX(Data!$J$7:$J$420,MATCH('2021'!$C52,Data!$C$7:$C$420,0))*1000</f>
        <v>252148000</v>
      </c>
      <c r="E52" s="29">
        <v>254972</v>
      </c>
      <c r="F52" s="29" t="s">
        <v>608</v>
      </c>
      <c r="G52" t="s">
        <v>127</v>
      </c>
      <c r="I52" t="s">
        <v>144</v>
      </c>
      <c r="J52" t="s">
        <v>681</v>
      </c>
      <c r="K52" t="s">
        <v>9</v>
      </c>
      <c r="L52">
        <f>INDEX(Data!$T$9:$T$105,MATCH('2021'!$J52,Data!$M$9:$M$105,0))</f>
        <v>597698</v>
      </c>
      <c r="M52" s="29">
        <v>608914</v>
      </c>
    </row>
    <row r="53" spans="2:13" x14ac:dyDescent="0.25">
      <c r="B53">
        <v>32</v>
      </c>
      <c r="C53" s="34" t="s">
        <v>147</v>
      </c>
      <c r="D53">
        <f>INDEX(Data!$J$7:$J$420,MATCH('2021'!$C53,Data!$C$7:$C$420,0))*1000</f>
        <v>78737000</v>
      </c>
      <c r="E53" s="29">
        <v>92955</v>
      </c>
      <c r="F53" s="29" t="s">
        <v>609</v>
      </c>
      <c r="G53" t="s">
        <v>148</v>
      </c>
      <c r="I53" t="s">
        <v>146</v>
      </c>
      <c r="J53" t="s">
        <v>682</v>
      </c>
      <c r="K53" t="s">
        <v>628</v>
      </c>
      <c r="L53">
        <f>INDEX(Data!$T$9:$T$105,MATCH('2021'!$J53,Data!$M$9:$M$105,0))</f>
        <v>805728</v>
      </c>
      <c r="M53" s="29">
        <v>892791</v>
      </c>
    </row>
    <row r="54" spans="2:13" x14ac:dyDescent="0.25">
      <c r="B54">
        <v>33</v>
      </c>
      <c r="C54" s="7" t="s">
        <v>150</v>
      </c>
      <c r="D54">
        <f>INDEX(Data!$J$7:$J$420,MATCH('2021'!$C54,Data!$C$7:$C$420,0))*1000</f>
        <v>16707000</v>
      </c>
      <c r="E54" s="29">
        <v>12745</v>
      </c>
      <c r="F54" s="29" t="s">
        <v>610</v>
      </c>
      <c r="G54" t="s">
        <v>151</v>
      </c>
      <c r="I54" t="s">
        <v>149</v>
      </c>
      <c r="J54" t="s">
        <v>683</v>
      </c>
      <c r="K54" t="s">
        <v>10</v>
      </c>
      <c r="L54">
        <f>INDEX(Data!$T$9:$T$105,MATCH('2021'!$J54,Data!$M$9:$M$105,0))</f>
        <v>250297</v>
      </c>
      <c r="M54" s="29">
        <v>273904</v>
      </c>
    </row>
    <row r="55" spans="2:13" x14ac:dyDescent="0.25">
      <c r="B55">
        <v>34</v>
      </c>
      <c r="C55" t="s">
        <v>153</v>
      </c>
      <c r="D55">
        <f>INDEX(Data!$J$7:$J$420,MATCH('2021'!$C55,Data!$C$7:$C$420,0))*1000</f>
        <v>52845000</v>
      </c>
      <c r="E55" s="29">
        <v>41140</v>
      </c>
      <c r="F55" s="29" t="s">
        <v>18</v>
      </c>
      <c r="I55" t="s">
        <v>152</v>
      </c>
      <c r="J55" t="s">
        <v>684</v>
      </c>
      <c r="K55" t="s">
        <v>19</v>
      </c>
      <c r="L55">
        <f>INDEX(Data!$T$9:$T$105,MATCH('2021'!$J55,Data!$M$9:$M$105,0))</f>
        <v>2232753</v>
      </c>
      <c r="M55" s="29">
        <v>2536907</v>
      </c>
    </row>
    <row r="56" spans="2:13" x14ac:dyDescent="0.25">
      <c r="B56">
        <v>35</v>
      </c>
      <c r="C56" t="s">
        <v>155</v>
      </c>
      <c r="D56">
        <f>INDEX(Data!$J$7:$J$420,MATCH('2021'!$C56,Data!$C$7:$C$420,0))*1000</f>
        <v>107719000</v>
      </c>
      <c r="E56" s="29">
        <v>79664</v>
      </c>
      <c r="F56" s="29" t="s">
        <v>18</v>
      </c>
      <c r="I56" t="s">
        <v>154</v>
      </c>
      <c r="J56" t="s">
        <v>685</v>
      </c>
      <c r="K56" t="s">
        <v>19</v>
      </c>
      <c r="L56">
        <f>INDEX(Data!$T$9:$T$105,MATCH('2021'!$J56,Data!$M$9:$M$105,0))</f>
        <v>2069742</v>
      </c>
      <c r="M56" s="29">
        <v>2481926</v>
      </c>
    </row>
    <row r="57" spans="2:13" x14ac:dyDescent="0.25">
      <c r="B57">
        <v>36</v>
      </c>
      <c r="C57" t="s">
        <v>157</v>
      </c>
      <c r="D57">
        <f>INDEX(Data!$J$7:$J$420,MATCH('2021'!$C57,Data!$C$7:$C$420,0))*1000</f>
        <v>218992000</v>
      </c>
      <c r="E57" s="29">
        <v>192799</v>
      </c>
      <c r="F57" s="29" t="s">
        <v>18</v>
      </c>
      <c r="I57" t="s">
        <v>156</v>
      </c>
      <c r="J57" t="s">
        <v>478</v>
      </c>
      <c r="L57">
        <f>INDEX(Data!$T$9:$T$105,MATCH('2021'!$J57,Data!$M$9:$M$105,0))</f>
        <v>371276</v>
      </c>
      <c r="M57" s="29">
        <v>446663</v>
      </c>
    </row>
    <row r="58" spans="2:13" x14ac:dyDescent="0.25">
      <c r="B58">
        <v>37</v>
      </c>
      <c r="C58" t="s">
        <v>159</v>
      </c>
      <c r="D58">
        <f>INDEX(Data!$J$7:$J$420,MATCH('2021'!$C58,Data!$C$7:$C$420,0))*1000</f>
        <v>76807000</v>
      </c>
      <c r="E58" s="29">
        <v>62989</v>
      </c>
      <c r="F58" s="29" t="s">
        <v>18</v>
      </c>
      <c r="I58" t="s">
        <v>158</v>
      </c>
      <c r="J58" t="s">
        <v>479</v>
      </c>
      <c r="L58">
        <f>INDEX(Data!$T$9:$T$105,MATCH('2021'!$J58,Data!$M$9:$M$105,0))</f>
        <v>289896</v>
      </c>
      <c r="M58" s="29">
        <v>310814</v>
      </c>
    </row>
    <row r="59" spans="2:13" x14ac:dyDescent="0.25">
      <c r="B59">
        <v>38</v>
      </c>
      <c r="C59" t="s">
        <v>161</v>
      </c>
      <c r="D59">
        <f>INDEX(Data!$J$7:$J$420,MATCH('2021'!$C59,Data!$C$7:$C$420,0))*1000</f>
        <v>190463000</v>
      </c>
      <c r="E59" s="29">
        <v>141400</v>
      </c>
      <c r="F59" s="29" t="s">
        <v>18</v>
      </c>
      <c r="I59" t="s">
        <v>160</v>
      </c>
      <c r="J59" t="s">
        <v>480</v>
      </c>
      <c r="L59">
        <f>INDEX(Data!$T$9:$T$105,MATCH('2021'!$J59,Data!$M$9:$M$105,0))</f>
        <v>251900</v>
      </c>
      <c r="M59" s="29">
        <v>283178</v>
      </c>
    </row>
    <row r="60" spans="2:13" x14ac:dyDescent="0.25">
      <c r="B60">
        <v>39</v>
      </c>
      <c r="C60" t="s">
        <v>163</v>
      </c>
      <c r="D60">
        <f>INDEX(Data!$J$7:$J$420,MATCH('2021'!$C60,Data!$C$7:$C$420,0))*1000</f>
        <v>91915000</v>
      </c>
      <c r="E60" s="29">
        <v>61449</v>
      </c>
      <c r="F60" s="29" t="s">
        <v>18</v>
      </c>
      <c r="I60" t="s">
        <v>162</v>
      </c>
      <c r="J60" t="s">
        <v>686</v>
      </c>
      <c r="L60">
        <f>INDEX(Data!$T$9:$T$105,MATCH('2021'!$J60,Data!$M$9:$M$105,0))</f>
        <v>1170448</v>
      </c>
      <c r="M60" s="29">
        <v>1441272</v>
      </c>
    </row>
    <row r="61" spans="2:13" x14ac:dyDescent="0.25">
      <c r="B61">
        <v>40</v>
      </c>
      <c r="C61" t="s">
        <v>165</v>
      </c>
      <c r="D61">
        <f>INDEX(Data!$J$7:$J$420,MATCH('2021'!$C61,Data!$C$7:$C$420,0))*1000</f>
        <v>308247000</v>
      </c>
      <c r="E61" s="29">
        <v>244993</v>
      </c>
      <c r="F61" s="29" t="s">
        <v>18</v>
      </c>
      <c r="I61" t="s">
        <v>164</v>
      </c>
      <c r="J61" t="s">
        <v>687</v>
      </c>
      <c r="L61">
        <f>INDEX(Data!$T$9:$T$105,MATCH('2021'!$J61,Data!$M$9:$M$105,0))</f>
        <v>1398010</v>
      </c>
      <c r="M61" s="29">
        <v>1461504</v>
      </c>
    </row>
    <row r="62" spans="2:13" x14ac:dyDescent="0.25">
      <c r="B62">
        <v>41</v>
      </c>
      <c r="C62" t="s">
        <v>167</v>
      </c>
      <c r="D62">
        <f>INDEX(Data!$J$7:$J$420,MATCH('2021'!$C62,Data!$C$7:$C$420,0))*1000</f>
        <v>73099000</v>
      </c>
      <c r="E62" s="29">
        <v>55024</v>
      </c>
      <c r="F62" s="29" t="s">
        <v>18</v>
      </c>
      <c r="I62" t="s">
        <v>166</v>
      </c>
      <c r="J62" t="s">
        <v>490</v>
      </c>
      <c r="K62" t="s">
        <v>20</v>
      </c>
      <c r="L62">
        <f>INDEX(Data!$T$9:$T$105,MATCH('2021'!$J62,Data!$M$9:$M$105,0))</f>
        <v>272267</v>
      </c>
      <c r="M62" s="29">
        <v>193774</v>
      </c>
    </row>
    <row r="63" spans="2:13" x14ac:dyDescent="0.25">
      <c r="B63">
        <v>42</v>
      </c>
      <c r="C63" t="s">
        <v>169</v>
      </c>
      <c r="D63">
        <f>INDEX(Data!$J$7:$J$420,MATCH('2021'!$C63,Data!$C$7:$C$420,0))*1000</f>
        <v>127365000</v>
      </c>
      <c r="E63" s="29">
        <v>74594</v>
      </c>
      <c r="F63" s="29" t="s">
        <v>18</v>
      </c>
      <c r="I63" t="s">
        <v>168</v>
      </c>
      <c r="J63" t="s">
        <v>491</v>
      </c>
      <c r="K63" t="s">
        <v>20</v>
      </c>
      <c r="L63">
        <f>INDEX(Data!$T$9:$T$105,MATCH('2021'!$J63,Data!$M$9:$M$105,0))</f>
        <v>84848</v>
      </c>
      <c r="M63" s="29">
        <v>83609</v>
      </c>
    </row>
    <row r="64" spans="2:13" x14ac:dyDescent="0.25">
      <c r="B64">
        <v>43</v>
      </c>
      <c r="C64" t="s">
        <v>171</v>
      </c>
      <c r="D64">
        <f>INDEX(Data!$J$7:$J$420,MATCH('2021'!$C64,Data!$C$7:$C$420,0))*1000</f>
        <v>119294000</v>
      </c>
      <c r="E64" s="29">
        <v>95639</v>
      </c>
      <c r="F64" s="29" t="s">
        <v>18</v>
      </c>
      <c r="I64" t="s">
        <v>170</v>
      </c>
      <c r="J64" t="s">
        <v>492</v>
      </c>
      <c r="K64" t="s">
        <v>20</v>
      </c>
      <c r="L64">
        <f>INDEX(Data!$T$9:$T$105,MATCH('2021'!$J64,Data!$M$9:$M$105,0))</f>
        <v>60883</v>
      </c>
      <c r="M64" s="29">
        <v>40008</v>
      </c>
    </row>
    <row r="65" spans="2:13" x14ac:dyDescent="0.25">
      <c r="B65">
        <v>44</v>
      </c>
      <c r="C65" t="s">
        <v>173</v>
      </c>
      <c r="D65">
        <f>INDEX(Data!$J$7:$J$420,MATCH('2021'!$C65,Data!$C$7:$C$420,0))*1000</f>
        <v>293548000</v>
      </c>
      <c r="E65" s="29">
        <v>259081</v>
      </c>
      <c r="F65" s="29" t="s">
        <v>18</v>
      </c>
      <c r="I65" t="s">
        <v>172</v>
      </c>
      <c r="J65" t="s">
        <v>493</v>
      </c>
      <c r="K65" t="s">
        <v>20</v>
      </c>
      <c r="L65">
        <f>INDEX(Data!$T$9:$T$105,MATCH('2021'!$J65,Data!$M$9:$M$105,0))</f>
        <v>413595</v>
      </c>
      <c r="M65" s="29">
        <v>484505</v>
      </c>
    </row>
    <row r="66" spans="2:13" x14ac:dyDescent="0.25">
      <c r="B66">
        <v>45</v>
      </c>
      <c r="C66" t="s">
        <v>175</v>
      </c>
      <c r="D66">
        <f>INDEX(Data!$J$7:$J$420,MATCH('2021'!$C66,Data!$C$7:$C$420,0))*1000</f>
        <v>155349000</v>
      </c>
      <c r="E66" s="29">
        <v>119582</v>
      </c>
      <c r="F66" s="29" t="s">
        <v>18</v>
      </c>
      <c r="I66" t="s">
        <v>174</v>
      </c>
      <c r="J66" t="s">
        <v>494</v>
      </c>
      <c r="K66" t="s">
        <v>20</v>
      </c>
      <c r="L66">
        <f>INDEX(Data!$T$9:$T$105,MATCH('2021'!$J66,Data!$M$9:$M$105,0))</f>
        <v>109551</v>
      </c>
      <c r="M66" s="29">
        <v>80823</v>
      </c>
    </row>
    <row r="67" spans="2:13" x14ac:dyDescent="0.25">
      <c r="B67">
        <v>46</v>
      </c>
      <c r="C67" t="s">
        <v>177</v>
      </c>
      <c r="D67">
        <f>INDEX(Data!$J$7:$J$420,MATCH('2021'!$C67,Data!$C$7:$C$420,0))*1000</f>
        <v>36781000</v>
      </c>
      <c r="E67" s="29">
        <v>31177</v>
      </c>
      <c r="F67" s="29" t="s">
        <v>7</v>
      </c>
      <c r="I67" t="s">
        <v>176</v>
      </c>
      <c r="J67" t="s">
        <v>495</v>
      </c>
      <c r="K67" t="s">
        <v>20</v>
      </c>
      <c r="L67">
        <f>INDEX(Data!$T$9:$T$105,MATCH('2021'!$J67,Data!$M$9:$M$105,0))</f>
        <v>61593</v>
      </c>
      <c r="M67" s="29">
        <v>62954</v>
      </c>
    </row>
    <row r="68" spans="2:13" x14ac:dyDescent="0.25">
      <c r="B68">
        <v>47</v>
      </c>
      <c r="C68" t="s">
        <v>179</v>
      </c>
      <c r="D68">
        <f>INDEX(Data!$J$7:$J$420,MATCH('2021'!$C68,Data!$C$7:$C$420,0))*1000</f>
        <v>25204000</v>
      </c>
      <c r="E68" s="29">
        <v>15244</v>
      </c>
      <c r="F68" s="29" t="s">
        <v>7</v>
      </c>
      <c r="I68" t="s">
        <v>178</v>
      </c>
      <c r="J68" t="s">
        <v>688</v>
      </c>
      <c r="K68" t="s">
        <v>20</v>
      </c>
      <c r="L68">
        <f>INDEX(Data!$T$9:$T$105,MATCH('2021'!$J68,Data!$M$9:$M$105,0))</f>
        <v>287462</v>
      </c>
      <c r="M68" s="29">
        <v>356215</v>
      </c>
    </row>
    <row r="69" spans="2:13" x14ac:dyDescent="0.25">
      <c r="B69">
        <v>48</v>
      </c>
      <c r="C69" t="s">
        <v>181</v>
      </c>
      <c r="D69">
        <f>INDEX(Data!$J$7:$J$420,MATCH('2021'!$C69,Data!$C$7:$C$420,0))*1000</f>
        <v>29031000</v>
      </c>
      <c r="E69" s="29">
        <v>23229</v>
      </c>
      <c r="F69" s="29" t="s">
        <v>7</v>
      </c>
      <c r="I69" t="s">
        <v>180</v>
      </c>
      <c r="J69" t="s">
        <v>498</v>
      </c>
      <c r="K69" t="s">
        <v>20</v>
      </c>
      <c r="L69">
        <f>INDEX(Data!$T$9:$T$105,MATCH('2021'!$J69,Data!$M$9:$M$105,0))</f>
        <v>137488</v>
      </c>
      <c r="M69" s="29">
        <v>159617</v>
      </c>
    </row>
    <row r="70" spans="2:13" x14ac:dyDescent="0.25">
      <c r="B70">
        <v>49</v>
      </c>
      <c r="C70" t="s">
        <v>183</v>
      </c>
      <c r="D70">
        <f>INDEX(Data!$J$7:$J$420,MATCH('2021'!$C70,Data!$C$7:$C$420,0))*1000</f>
        <v>32708000</v>
      </c>
      <c r="E70" s="29">
        <v>27866</v>
      </c>
      <c r="F70" s="29" t="s">
        <v>7</v>
      </c>
      <c r="I70" t="s">
        <v>182</v>
      </c>
      <c r="J70" t="s">
        <v>689</v>
      </c>
      <c r="L70">
        <f>INDEX(Data!$T$9:$T$105,MATCH('2021'!$J70,Data!$M$9:$M$105,0))</f>
        <v>2024027</v>
      </c>
      <c r="M70" s="29">
        <v>2265810</v>
      </c>
    </row>
    <row r="71" spans="2:13" x14ac:dyDescent="0.25">
      <c r="B71">
        <v>50</v>
      </c>
      <c r="C71" s="35" t="s">
        <v>185</v>
      </c>
      <c r="D71">
        <f>INDEX(Data!$J$7:$J$420,MATCH('2021'!$C71,Data!$C$7:$C$420,0))*1000</f>
        <v>8746000</v>
      </c>
      <c r="E71" s="29">
        <v>8069</v>
      </c>
      <c r="F71" s="29" t="s">
        <v>605</v>
      </c>
      <c r="G71" t="s">
        <v>186</v>
      </c>
      <c r="I71" t="s">
        <v>184</v>
      </c>
      <c r="J71" t="s">
        <v>690</v>
      </c>
      <c r="K71" t="s">
        <v>22</v>
      </c>
      <c r="L71">
        <f>INDEX(Data!$T$9:$T$105,MATCH('2021'!$J71,Data!$M$9:$M$105,0))</f>
        <v>445181</v>
      </c>
      <c r="M71" s="29">
        <v>498447</v>
      </c>
    </row>
    <row r="72" spans="2:13" x14ac:dyDescent="0.25">
      <c r="B72">
        <v>51</v>
      </c>
      <c r="C72" s="32" t="s">
        <v>188</v>
      </c>
      <c r="D72">
        <f>INDEX(Data!$J$7:$J$420,MATCH('2021'!$C72,Data!$C$7:$C$420,0))*1000</f>
        <v>28354000</v>
      </c>
      <c r="E72" s="29">
        <v>23111</v>
      </c>
      <c r="F72" s="29" t="s">
        <v>604</v>
      </c>
      <c r="G72" t="s">
        <v>189</v>
      </c>
      <c r="I72" t="s">
        <v>187</v>
      </c>
      <c r="J72" t="s">
        <v>691</v>
      </c>
      <c r="K72" t="s">
        <v>22</v>
      </c>
      <c r="L72">
        <f>INDEX(Data!$T$9:$T$105,MATCH('2021'!$J72,Data!$M$9:$M$105,0))</f>
        <v>166843</v>
      </c>
      <c r="M72" s="29">
        <v>168179</v>
      </c>
    </row>
    <row r="73" spans="2:13" x14ac:dyDescent="0.25">
      <c r="B73">
        <v>52</v>
      </c>
      <c r="C73" s="35" t="s">
        <v>191</v>
      </c>
      <c r="D73">
        <f>INDEX(Data!$J$7:$J$420,MATCH('2021'!$C73,Data!$C$7:$C$420,0))*1000</f>
        <v>9347000</v>
      </c>
      <c r="E73" s="29">
        <v>6964</v>
      </c>
      <c r="F73" s="29" t="s">
        <v>605</v>
      </c>
      <c r="G73" t="s">
        <v>186</v>
      </c>
      <c r="I73" t="s">
        <v>190</v>
      </c>
      <c r="J73" t="s">
        <v>692</v>
      </c>
      <c r="K73" t="s">
        <v>629</v>
      </c>
      <c r="L73">
        <f>INDEX(Data!$T$9:$T$105,MATCH('2021'!$J73,Data!$M$9:$M$105,0))</f>
        <v>894158</v>
      </c>
      <c r="M73" s="29">
        <v>938369</v>
      </c>
    </row>
    <row r="74" spans="2:13" x14ac:dyDescent="0.25">
      <c r="B74">
        <v>53</v>
      </c>
      <c r="C74" s="35" t="s">
        <v>193</v>
      </c>
      <c r="D74">
        <f>INDEX(Data!$J$7:$J$420,MATCH('2021'!$C74,Data!$C$7:$C$420,0))*1000</f>
        <v>34372000</v>
      </c>
      <c r="E74" s="29">
        <v>26822</v>
      </c>
      <c r="F74" s="29" t="s">
        <v>605</v>
      </c>
      <c r="G74" t="s">
        <v>186</v>
      </c>
      <c r="I74" t="s">
        <v>192</v>
      </c>
      <c r="J74" t="s">
        <v>693</v>
      </c>
      <c r="K74" t="s">
        <v>24</v>
      </c>
      <c r="L74">
        <f>INDEX(Data!$T$9:$T$105,MATCH('2021'!$J74,Data!$M$9:$M$105,0))</f>
        <v>537426</v>
      </c>
      <c r="M74" s="29">
        <v>660815</v>
      </c>
    </row>
    <row r="75" spans="2:13" x14ac:dyDescent="0.25">
      <c r="B75">
        <v>54</v>
      </c>
      <c r="C75" s="35" t="s">
        <v>195</v>
      </c>
      <c r="D75">
        <f>INDEX(Data!$J$7:$J$420,MATCH('2021'!$C75,Data!$C$7:$C$420,0))*1000</f>
        <v>6936000</v>
      </c>
      <c r="E75" s="29">
        <v>6195</v>
      </c>
      <c r="F75" s="29" t="s">
        <v>605</v>
      </c>
      <c r="G75" t="s">
        <v>186</v>
      </c>
      <c r="I75" t="s">
        <v>194</v>
      </c>
      <c r="J75" t="s">
        <v>694</v>
      </c>
      <c r="L75">
        <f>INDEX(Data!$T$9:$T$105,MATCH('2021'!$J75,Data!$M$9:$M$105,0))</f>
        <v>7278372</v>
      </c>
      <c r="M75" s="29">
        <v>7868688</v>
      </c>
    </row>
    <row r="76" spans="2:13" x14ac:dyDescent="0.25">
      <c r="B76">
        <v>55</v>
      </c>
      <c r="C76" s="35" t="s">
        <v>197</v>
      </c>
      <c r="D76">
        <f>INDEX(Data!$J$7:$J$420,MATCH('2021'!$C76,Data!$C$7:$C$420,0))*1000</f>
        <v>13863000</v>
      </c>
      <c r="E76" s="29">
        <v>10760</v>
      </c>
      <c r="F76" s="29" t="s">
        <v>605</v>
      </c>
      <c r="G76" t="s">
        <v>186</v>
      </c>
      <c r="I76" t="s">
        <v>196</v>
      </c>
      <c r="J76" t="s">
        <v>695</v>
      </c>
      <c r="K76" t="s">
        <v>25</v>
      </c>
      <c r="L76">
        <f>INDEX(Data!$T$9:$T$105,MATCH('2021'!$J76,Data!$M$9:$M$105,0))</f>
        <v>3122174</v>
      </c>
      <c r="M76" s="29">
        <v>3293908</v>
      </c>
    </row>
    <row r="77" spans="2:13" x14ac:dyDescent="0.25">
      <c r="B77">
        <v>56</v>
      </c>
      <c r="C77" s="35" t="s">
        <v>199</v>
      </c>
      <c r="D77">
        <f>INDEX(Data!$J$7:$J$420,MATCH('2021'!$C77,Data!$C$7:$C$420,0))*1000</f>
        <v>8185000</v>
      </c>
      <c r="E77" s="29">
        <v>6009</v>
      </c>
      <c r="F77" s="29" t="s">
        <v>605</v>
      </c>
      <c r="G77" t="s">
        <v>186</v>
      </c>
      <c r="I77" t="s">
        <v>198</v>
      </c>
      <c r="J77" t="s">
        <v>696</v>
      </c>
      <c r="L77">
        <f>INDEX(Data!$T$9:$T$105,MATCH('2021'!$J77,Data!$M$9:$M$105,0))</f>
        <v>1148195</v>
      </c>
      <c r="M77" s="29">
        <v>1204649</v>
      </c>
    </row>
    <row r="78" spans="2:13" x14ac:dyDescent="0.25">
      <c r="B78">
        <v>57</v>
      </c>
      <c r="C78" s="35" t="s">
        <v>201</v>
      </c>
      <c r="D78">
        <f>INDEX(Data!$J$7:$J$420,MATCH('2021'!$C78,Data!$C$7:$C$420,0))*1000</f>
        <v>3781000</v>
      </c>
      <c r="E78" s="29">
        <v>3112</v>
      </c>
      <c r="F78" s="29" t="s">
        <v>605</v>
      </c>
      <c r="G78" t="s">
        <v>186</v>
      </c>
      <c r="I78" t="s">
        <v>200</v>
      </c>
      <c r="J78" t="s">
        <v>697</v>
      </c>
      <c r="L78">
        <f>INDEX(Data!$T$9:$T$105,MATCH('2021'!$J78,Data!$M$9:$M$105,0))</f>
        <v>631959</v>
      </c>
      <c r="M78" s="29">
        <v>719137</v>
      </c>
    </row>
    <row r="79" spans="2:13" x14ac:dyDescent="0.25">
      <c r="B79">
        <v>58</v>
      </c>
      <c r="C79" s="35" t="s">
        <v>203</v>
      </c>
      <c r="D79">
        <f>INDEX(Data!$J$7:$J$420,MATCH('2021'!$C79,Data!$C$7:$C$420,0))*1000</f>
        <v>5326000</v>
      </c>
      <c r="E79" s="29">
        <v>4531</v>
      </c>
      <c r="F79" s="29" t="s">
        <v>605</v>
      </c>
      <c r="G79" t="s">
        <v>186</v>
      </c>
      <c r="I79" t="s">
        <v>202</v>
      </c>
      <c r="J79" t="s">
        <v>698</v>
      </c>
      <c r="L79">
        <f>INDEX(Data!$T$9:$T$105,MATCH('2021'!$J79,Data!$M$9:$M$105,0))</f>
        <v>1186085</v>
      </c>
      <c r="M79" s="29">
        <v>1223729</v>
      </c>
    </row>
    <row r="80" spans="2:13" x14ac:dyDescent="0.25">
      <c r="B80">
        <v>59</v>
      </c>
      <c r="C80" s="35" t="s">
        <v>205</v>
      </c>
      <c r="D80">
        <f>INDEX(Data!$J$7:$J$420,MATCH('2021'!$C80,Data!$C$7:$C$420,0))*1000</f>
        <v>4115000</v>
      </c>
      <c r="E80" s="29">
        <v>3520</v>
      </c>
      <c r="F80" s="29" t="s">
        <v>605</v>
      </c>
      <c r="G80" t="s">
        <v>186</v>
      </c>
      <c r="I80" t="s">
        <v>204</v>
      </c>
      <c r="J80" t="s">
        <v>521</v>
      </c>
      <c r="L80">
        <f>INDEX(Data!$T$9:$T$105,MATCH('2021'!$J80,Data!$M$9:$M$105,0))</f>
        <v>155935</v>
      </c>
      <c r="M80" s="29">
        <v>146393</v>
      </c>
    </row>
    <row r="81" spans="2:13" x14ac:dyDescent="0.25">
      <c r="B81">
        <v>60</v>
      </c>
      <c r="C81" s="35" t="s">
        <v>207</v>
      </c>
      <c r="D81">
        <f>INDEX(Data!$J$7:$J$420,MATCH('2021'!$C81,Data!$C$7:$C$420,0))*1000</f>
        <v>9717000</v>
      </c>
      <c r="E81" s="29">
        <v>7867</v>
      </c>
      <c r="F81" s="29" t="s">
        <v>605</v>
      </c>
      <c r="G81" t="s">
        <v>186</v>
      </c>
      <c r="I81" t="s">
        <v>206</v>
      </c>
      <c r="J81" t="s">
        <v>699</v>
      </c>
      <c r="K81" t="s">
        <v>26</v>
      </c>
      <c r="L81">
        <f>INDEX(Data!$T$9:$T$105,MATCH('2021'!$J81,Data!$M$9:$M$105,0))</f>
        <v>4156198</v>
      </c>
      <c r="M81" s="29">
        <v>4574780</v>
      </c>
    </row>
    <row r="82" spans="2:13" x14ac:dyDescent="0.25">
      <c r="B82">
        <v>61</v>
      </c>
      <c r="C82" s="35" t="s">
        <v>209</v>
      </c>
      <c r="D82">
        <f>INDEX(Data!$J$7:$J$420,MATCH('2021'!$C82,Data!$C$7:$C$420,0))*1000</f>
        <v>4531000</v>
      </c>
      <c r="E82" s="29">
        <v>4253</v>
      </c>
      <c r="F82" s="29" t="s">
        <v>605</v>
      </c>
      <c r="G82" t="s">
        <v>186</v>
      </c>
      <c r="I82" t="s">
        <v>208</v>
      </c>
      <c r="J82" t="s">
        <v>700</v>
      </c>
      <c r="L82">
        <f>INDEX(Data!$T$9:$T$105,MATCH('2021'!$J82,Data!$M$9:$M$105,0))</f>
        <v>3752645</v>
      </c>
      <c r="M82" s="29">
        <v>4085898</v>
      </c>
    </row>
    <row r="83" spans="2:13" x14ac:dyDescent="0.25">
      <c r="B83">
        <v>62</v>
      </c>
      <c r="C83" s="30" t="s">
        <v>211</v>
      </c>
      <c r="D83">
        <f>INDEX(Data!$J$7:$J$420,MATCH('2021'!$C83,Data!$C$7:$C$420,0))*1000</f>
        <v>93180000</v>
      </c>
      <c r="E83" s="29">
        <v>81544</v>
      </c>
      <c r="F83" s="29" t="s">
        <v>606</v>
      </c>
      <c r="G83" t="s">
        <v>212</v>
      </c>
      <c r="I83" t="s">
        <v>210</v>
      </c>
      <c r="J83" t="s">
        <v>701</v>
      </c>
      <c r="L83">
        <f>INDEX(Data!$T$9:$T$105,MATCH('2021'!$J83,Data!$M$9:$M$105,0))</f>
        <v>2343789</v>
      </c>
      <c r="M83" s="29">
        <v>2468729</v>
      </c>
    </row>
    <row r="84" spans="2:13" x14ac:dyDescent="0.25">
      <c r="B84">
        <v>63</v>
      </c>
      <c r="C84" s="30" t="s">
        <v>214</v>
      </c>
      <c r="D84">
        <f>INDEX(Data!$J$7:$J$420,MATCH('2021'!$C84,Data!$C$7:$C$420,0))*1000</f>
        <v>25654000</v>
      </c>
      <c r="E84" s="29">
        <v>21655</v>
      </c>
      <c r="F84" s="29" t="s">
        <v>11</v>
      </c>
      <c r="G84" t="s">
        <v>212</v>
      </c>
      <c r="I84" t="s">
        <v>213</v>
      </c>
      <c r="J84" t="s">
        <v>524</v>
      </c>
      <c r="L84">
        <f>INDEX(Data!$T$9:$T$105,MATCH('2021'!$J84,Data!$M$9:$M$105,0))</f>
        <v>1435813</v>
      </c>
      <c r="M84" s="29">
        <v>1617169</v>
      </c>
    </row>
    <row r="85" spans="2:13" x14ac:dyDescent="0.25">
      <c r="B85">
        <v>64</v>
      </c>
      <c r="C85" s="7" t="s">
        <v>216</v>
      </c>
      <c r="D85">
        <f>INDEX(Data!$J$7:$J$420,MATCH('2021'!$C85,Data!$C$7:$C$420,0))*1000</f>
        <v>5677000</v>
      </c>
      <c r="E85" s="29">
        <v>4569</v>
      </c>
      <c r="F85" s="29" t="s">
        <v>607</v>
      </c>
      <c r="G85" t="s">
        <v>217</v>
      </c>
      <c r="I85" t="s">
        <v>215</v>
      </c>
      <c r="J85" t="s">
        <v>702</v>
      </c>
      <c r="L85">
        <f>INDEX(Data!$T$9:$T$105,MATCH('2021'!$J85,Data!$M$9:$M$105,0))</f>
        <v>403552</v>
      </c>
      <c r="M85" s="29">
        <v>488882</v>
      </c>
    </row>
    <row r="86" spans="2:13" x14ac:dyDescent="0.25">
      <c r="B86">
        <v>65</v>
      </c>
      <c r="C86" s="7" t="s">
        <v>219</v>
      </c>
      <c r="D86">
        <f>INDEX(Data!$J$7:$J$420,MATCH('2021'!$C86,Data!$C$7:$C$420,0))*1000</f>
        <v>2941000</v>
      </c>
      <c r="E86" s="29">
        <v>2526</v>
      </c>
      <c r="F86" s="29" t="s">
        <v>607</v>
      </c>
      <c r="G86" t="s">
        <v>217</v>
      </c>
      <c r="I86" t="s">
        <v>218</v>
      </c>
      <c r="J86" t="s">
        <v>703</v>
      </c>
      <c r="L86">
        <f>INDEX(Data!$T$9:$T$105,MATCH('2021'!$J86,Data!$M$9:$M$105,0))</f>
        <v>4320968</v>
      </c>
      <c r="M86" s="29">
        <v>4859785</v>
      </c>
    </row>
    <row r="87" spans="2:13" x14ac:dyDescent="0.25">
      <c r="B87">
        <v>66</v>
      </c>
      <c r="C87" s="7" t="s">
        <v>221</v>
      </c>
      <c r="D87">
        <f>INDEX(Data!$J$7:$J$420,MATCH('2021'!$C87,Data!$C$7:$C$420,0))*1000</f>
        <v>29482000</v>
      </c>
      <c r="E87" s="29">
        <v>28424</v>
      </c>
      <c r="F87" s="29" t="s">
        <v>607</v>
      </c>
      <c r="G87" t="s">
        <v>217</v>
      </c>
      <c r="I87" t="s">
        <v>220</v>
      </c>
      <c r="J87" t="s">
        <v>704</v>
      </c>
      <c r="L87">
        <f>INDEX(Data!$T$9:$T$105,MATCH('2021'!$J87,Data!$M$9:$M$105,0))</f>
        <v>2520797</v>
      </c>
      <c r="M87" s="29">
        <v>2817385</v>
      </c>
    </row>
    <row r="88" spans="2:13" x14ac:dyDescent="0.25">
      <c r="B88">
        <v>67</v>
      </c>
      <c r="C88" s="7" t="s">
        <v>223</v>
      </c>
      <c r="D88">
        <f>INDEX(Data!$J$7:$J$420,MATCH('2021'!$C88,Data!$C$7:$C$420,0))*1000</f>
        <v>12100000</v>
      </c>
      <c r="E88" s="29">
        <v>14986</v>
      </c>
      <c r="F88" s="29" t="s">
        <v>607</v>
      </c>
      <c r="G88" t="s">
        <v>217</v>
      </c>
      <c r="I88" t="s">
        <v>222</v>
      </c>
      <c r="J88" t="s">
        <v>529</v>
      </c>
      <c r="K88" t="s">
        <v>27</v>
      </c>
      <c r="L88">
        <f>INDEX(Data!$T$9:$T$105,MATCH('2021'!$J88,Data!$M$9:$M$105,0))</f>
        <v>374800</v>
      </c>
      <c r="M88" s="29">
        <v>414716</v>
      </c>
    </row>
    <row r="89" spans="2:13" x14ac:dyDescent="0.25">
      <c r="B89">
        <v>68</v>
      </c>
      <c r="C89" s="7" t="s">
        <v>225</v>
      </c>
      <c r="D89">
        <f>INDEX(Data!$J$7:$J$420,MATCH('2021'!$C89,Data!$C$7:$C$420,0))*1000</f>
        <v>22152000</v>
      </c>
      <c r="E89" s="29">
        <v>22759</v>
      </c>
      <c r="F89" s="29" t="s">
        <v>607</v>
      </c>
      <c r="G89" t="s">
        <v>217</v>
      </c>
      <c r="I89" t="s">
        <v>224</v>
      </c>
      <c r="J89" t="s">
        <v>705</v>
      </c>
      <c r="K89" t="s">
        <v>24</v>
      </c>
      <c r="L89">
        <f>INDEX(Data!$T$9:$T$105,MATCH('2021'!$J89,Data!$M$9:$M$105,0))</f>
        <v>551232</v>
      </c>
      <c r="M89" s="29">
        <v>612679</v>
      </c>
    </row>
    <row r="90" spans="2:13" x14ac:dyDescent="0.25">
      <c r="B90">
        <v>69</v>
      </c>
      <c r="C90" s="7" t="s">
        <v>227</v>
      </c>
      <c r="D90">
        <f>INDEX(Data!$J$7:$J$420,MATCH('2021'!$C90,Data!$C$7:$C$420,0))*1000</f>
        <v>15161000</v>
      </c>
      <c r="E90" s="29">
        <v>15289</v>
      </c>
      <c r="F90" s="29" t="s">
        <v>607</v>
      </c>
      <c r="G90" t="s">
        <v>217</v>
      </c>
      <c r="I90" t="s">
        <v>226</v>
      </c>
      <c r="J90" t="s">
        <v>706</v>
      </c>
      <c r="K90" t="s">
        <v>27</v>
      </c>
      <c r="L90">
        <f>INDEX(Data!$T$9:$T$105,MATCH('2021'!$J90,Data!$M$9:$M$105,0))</f>
        <v>1594765</v>
      </c>
      <c r="M90" s="29">
        <v>1789990</v>
      </c>
    </row>
    <row r="91" spans="2:13" x14ac:dyDescent="0.25">
      <c r="B91">
        <v>70</v>
      </c>
      <c r="C91" s="30" t="s">
        <v>229</v>
      </c>
      <c r="D91">
        <f>INDEX(Data!$J$7:$J$420,MATCH('2021'!$C91,Data!$C$7:$C$420,0))*1000</f>
        <v>17102000</v>
      </c>
      <c r="E91" s="29">
        <v>13054</v>
      </c>
      <c r="F91" s="29" t="s">
        <v>606</v>
      </c>
      <c r="G91" t="s">
        <v>212</v>
      </c>
      <c r="I91" t="s">
        <v>228</v>
      </c>
      <c r="J91" t="s">
        <v>543</v>
      </c>
      <c r="K91" t="s">
        <v>27</v>
      </c>
      <c r="L91">
        <f>INDEX(Data!$T$9:$T$105,MATCH('2021'!$J91,Data!$M$9:$M$105,0))</f>
        <v>640074</v>
      </c>
      <c r="M91" s="29">
        <v>688116</v>
      </c>
    </row>
    <row r="92" spans="2:13" x14ac:dyDescent="0.25">
      <c r="B92">
        <v>71</v>
      </c>
      <c r="C92" s="7" t="s">
        <v>231</v>
      </c>
      <c r="D92">
        <f>INDEX(Data!$J$7:$J$420,MATCH('2021'!$C92,Data!$C$7:$C$420,0))*1000</f>
        <v>12656000</v>
      </c>
      <c r="E92" s="29">
        <v>10729</v>
      </c>
      <c r="F92" s="29" t="s">
        <v>607</v>
      </c>
      <c r="G92" t="s">
        <v>217</v>
      </c>
      <c r="I92" t="s">
        <v>230</v>
      </c>
      <c r="J92" t="s">
        <v>707</v>
      </c>
      <c r="L92">
        <f>INDEX(Data!$T$9:$T$105,MATCH('2021'!$J92,Data!$M$9:$M$105,0))</f>
        <v>1213412</v>
      </c>
      <c r="M92" s="29">
        <v>1354284</v>
      </c>
    </row>
    <row r="93" spans="2:13" x14ac:dyDescent="0.25">
      <c r="B93">
        <v>72</v>
      </c>
      <c r="C93" t="s">
        <v>233</v>
      </c>
      <c r="D93">
        <f>INDEX(Data!$J$7:$J$420,MATCH('2021'!$C93,Data!$C$7:$C$420,0))*1000</f>
        <v>7801000</v>
      </c>
      <c r="E93" s="29">
        <v>5680</v>
      </c>
      <c r="F93" s="29" t="s">
        <v>11</v>
      </c>
      <c r="I93" t="s">
        <v>232</v>
      </c>
      <c r="J93" t="s">
        <v>708</v>
      </c>
      <c r="K93" t="s">
        <v>27</v>
      </c>
      <c r="L93">
        <f>INDEX(Data!$T$9:$T$105,MATCH('2021'!$J93,Data!$M$9:$M$105,0))</f>
        <v>1085165</v>
      </c>
      <c r="M93" s="29">
        <v>1210291</v>
      </c>
    </row>
    <row r="94" spans="2:13" x14ac:dyDescent="0.25">
      <c r="B94">
        <v>73</v>
      </c>
      <c r="C94" t="s">
        <v>235</v>
      </c>
      <c r="D94">
        <f>INDEX(Data!$J$7:$J$420,MATCH('2021'!$C94,Data!$C$7:$C$420,0))*1000</f>
        <v>13411000</v>
      </c>
      <c r="E94" s="29">
        <v>11230</v>
      </c>
      <c r="F94" s="29" t="s">
        <v>11</v>
      </c>
      <c r="I94" t="s">
        <v>234</v>
      </c>
      <c r="J94" t="s">
        <v>552</v>
      </c>
      <c r="K94" t="s">
        <v>610</v>
      </c>
      <c r="L94">
        <f>INDEX(Data!$T$9:$T$105,MATCH('2021'!$J94,Data!$M$9:$M$105,0))</f>
        <v>128477</v>
      </c>
      <c r="M94" s="29">
        <v>143993</v>
      </c>
    </row>
    <row r="95" spans="2:13" x14ac:dyDescent="0.25">
      <c r="B95">
        <v>74</v>
      </c>
      <c r="C95" t="s">
        <v>237</v>
      </c>
      <c r="D95">
        <f>INDEX(Data!$J$7:$J$420,MATCH('2021'!$C95,Data!$C$7:$C$420,0))*1000</f>
        <v>12200000</v>
      </c>
      <c r="E95" s="29">
        <v>9385</v>
      </c>
      <c r="F95" s="29" t="s">
        <v>11</v>
      </c>
      <c r="I95" t="s">
        <v>236</v>
      </c>
      <c r="J95" t="s">
        <v>709</v>
      </c>
      <c r="L95">
        <f>INDEX(Data!$T$9:$T$105,MATCH('2021'!$J95,Data!$M$9:$M$105,0))</f>
        <v>2985752</v>
      </c>
      <c r="M95" s="29">
        <v>3169801</v>
      </c>
    </row>
    <row r="96" spans="2:13" x14ac:dyDescent="0.25">
      <c r="B96">
        <v>75</v>
      </c>
      <c r="C96" t="s">
        <v>239</v>
      </c>
      <c r="D96">
        <f>INDEX(Data!$J$7:$J$420,MATCH('2021'!$C96,Data!$C$7:$C$420,0))*1000</f>
        <v>9255000</v>
      </c>
      <c r="E96" s="29">
        <v>8607</v>
      </c>
      <c r="F96" s="29" t="s">
        <v>11</v>
      </c>
      <c r="I96" t="s">
        <v>238</v>
      </c>
      <c r="J96" t="s">
        <v>710</v>
      </c>
      <c r="K96" t="s">
        <v>29</v>
      </c>
      <c r="L96">
        <f>INDEX(Data!$T$9:$T$105,MATCH('2021'!$J96,Data!$M$9:$M$105,0))</f>
        <v>383160</v>
      </c>
      <c r="M96" s="29">
        <v>373876</v>
      </c>
    </row>
    <row r="97" spans="2:13" x14ac:dyDescent="0.25">
      <c r="B97">
        <v>76</v>
      </c>
      <c r="C97" t="s">
        <v>241</v>
      </c>
      <c r="D97">
        <f>INDEX(Data!$J$7:$J$420,MATCH('2021'!$C97,Data!$C$7:$C$420,0))*1000</f>
        <v>51764000</v>
      </c>
      <c r="E97" s="29">
        <v>38912</v>
      </c>
      <c r="F97" s="29" t="s">
        <v>11</v>
      </c>
      <c r="I97" t="s">
        <v>240</v>
      </c>
      <c r="J97" t="s">
        <v>711</v>
      </c>
      <c r="K97" t="s">
        <v>30</v>
      </c>
      <c r="L97">
        <f>INDEX(Data!$T$9:$T$105,MATCH('2021'!$J97,Data!$M$9:$M$105,0))</f>
        <v>2602592</v>
      </c>
      <c r="M97" s="29">
        <v>2795926</v>
      </c>
    </row>
    <row r="98" spans="2:13" x14ac:dyDescent="0.25">
      <c r="B98">
        <v>77</v>
      </c>
      <c r="C98" t="s">
        <v>243</v>
      </c>
      <c r="D98">
        <f>INDEX(Data!$J$7:$J$420,MATCH('2021'!$C98,Data!$C$7:$C$420,0))*1000</f>
        <v>47360000</v>
      </c>
      <c r="E98" s="29">
        <v>40276</v>
      </c>
      <c r="F98" s="29" t="s">
        <v>11</v>
      </c>
      <c r="I98" t="s">
        <v>242</v>
      </c>
      <c r="J98" t="s">
        <v>712</v>
      </c>
      <c r="L98">
        <f>INDEX(Data!$T$9:$T$105,MATCH('2021'!$J98,Data!$M$9:$M$105,0))</f>
        <v>1162296</v>
      </c>
      <c r="M98" s="29">
        <v>1244633</v>
      </c>
    </row>
    <row r="99" spans="2:13" x14ac:dyDescent="0.25">
      <c r="B99">
        <v>78</v>
      </c>
      <c r="C99" t="s">
        <v>245</v>
      </c>
      <c r="D99">
        <f>INDEX(Data!$J$7:$J$420,MATCH('2021'!$C99,Data!$C$7:$C$420,0))*1000</f>
        <v>7040000</v>
      </c>
      <c r="E99" s="29">
        <v>5415</v>
      </c>
      <c r="F99" s="29" t="s">
        <v>11</v>
      </c>
      <c r="I99" t="s">
        <v>244</v>
      </c>
      <c r="J99" t="s">
        <v>563</v>
      </c>
      <c r="L99">
        <f>INDEX(Data!$T$9:$T$105,MATCH('2021'!$J99,Data!$M$9:$M$105,0))</f>
        <v>931191</v>
      </c>
      <c r="M99" s="29">
        <v>1010667</v>
      </c>
    </row>
    <row r="100" spans="2:13" x14ac:dyDescent="0.25">
      <c r="B100">
        <v>79</v>
      </c>
      <c r="C100" t="s">
        <v>247</v>
      </c>
      <c r="D100">
        <f>INDEX(Data!$J$7:$J$420,MATCH('2021'!$C100,Data!$C$7:$C$420,0))*1000</f>
        <v>10030000</v>
      </c>
      <c r="E100" s="29">
        <v>6482</v>
      </c>
      <c r="F100" s="29" t="s">
        <v>11</v>
      </c>
      <c r="I100" t="s">
        <v>246</v>
      </c>
      <c r="J100" t="s">
        <v>713</v>
      </c>
      <c r="L100">
        <f>INDEX(Data!$T$9:$T$105,MATCH('2021'!$J100,Data!$M$9:$M$105,0))</f>
        <v>261253</v>
      </c>
      <c r="M100" s="29">
        <v>262709</v>
      </c>
    </row>
    <row r="101" spans="2:13" x14ac:dyDescent="0.25">
      <c r="B101">
        <v>80</v>
      </c>
      <c r="C101" t="s">
        <v>249</v>
      </c>
      <c r="D101">
        <f>INDEX(Data!$J$7:$J$420,MATCH('2021'!$C101,Data!$C$7:$C$420,0))*1000</f>
        <v>19582000</v>
      </c>
      <c r="E101" s="29">
        <v>18236</v>
      </c>
      <c r="F101" s="29" t="s">
        <v>11</v>
      </c>
      <c r="I101" t="s">
        <v>248</v>
      </c>
      <c r="J101" t="s">
        <v>714</v>
      </c>
      <c r="L101">
        <f>INDEX(Data!$T$9:$T$105,MATCH('2021'!$J101,Data!$M$9:$M$105,0))</f>
        <v>253683</v>
      </c>
      <c r="M101" s="29">
        <v>277916</v>
      </c>
    </row>
    <row r="102" spans="2:13" x14ac:dyDescent="0.25">
      <c r="B102">
        <v>81</v>
      </c>
      <c r="C102" t="s">
        <v>251</v>
      </c>
      <c r="D102">
        <f>INDEX(Data!$J$7:$J$420,MATCH('2021'!$C102,Data!$C$7:$C$420,0))*1000</f>
        <v>9145000</v>
      </c>
      <c r="E102" s="29">
        <v>8326</v>
      </c>
      <c r="F102" s="29" t="s">
        <v>11</v>
      </c>
      <c r="I102" t="s">
        <v>250</v>
      </c>
      <c r="J102" t="s">
        <v>715</v>
      </c>
      <c r="L102">
        <f>INDEX(Data!$T$9:$T$105,MATCH('2021'!$J102,Data!$M$9:$M$105,0))</f>
        <v>1612203</v>
      </c>
      <c r="M102" s="29">
        <v>1639298</v>
      </c>
    </row>
    <row r="103" spans="2:13" x14ac:dyDescent="0.25">
      <c r="B103">
        <v>82</v>
      </c>
      <c r="C103" t="s">
        <v>253</v>
      </c>
      <c r="D103">
        <f>INDEX(Data!$J$7:$J$420,MATCH('2021'!$C103,Data!$C$7:$C$420,0))*1000</f>
        <v>9332000</v>
      </c>
      <c r="E103" s="29">
        <v>7737</v>
      </c>
      <c r="F103" s="29" t="s">
        <v>11</v>
      </c>
      <c r="I103" t="s">
        <v>252</v>
      </c>
      <c r="J103" t="s">
        <v>716</v>
      </c>
      <c r="K103" t="s">
        <v>31</v>
      </c>
      <c r="L103">
        <f>INDEX(Data!$T$9:$T$105,MATCH('2021'!$J103,Data!$M$9:$M$105,0))</f>
        <v>396708</v>
      </c>
      <c r="M103" s="29">
        <v>365955</v>
      </c>
    </row>
    <row r="104" spans="2:13" x14ac:dyDescent="0.25">
      <c r="B104">
        <v>83</v>
      </c>
      <c r="C104" t="s">
        <v>255</v>
      </c>
      <c r="D104">
        <f>INDEX(Data!$J$7:$J$420,MATCH('2021'!$C104,Data!$C$7:$C$420,0))*1000</f>
        <v>40795000</v>
      </c>
      <c r="E104" s="29">
        <v>42065</v>
      </c>
      <c r="F104" s="29" t="s">
        <v>11</v>
      </c>
      <c r="I104" t="s">
        <v>254</v>
      </c>
      <c r="J104" t="s">
        <v>717</v>
      </c>
      <c r="L104">
        <f>INDEX(Data!$T$9:$T$105,MATCH('2021'!$J104,Data!$M$9:$M$105,0))</f>
        <v>224384</v>
      </c>
      <c r="M104" s="29">
        <v>197422</v>
      </c>
    </row>
    <row r="105" spans="2:13" x14ac:dyDescent="0.25">
      <c r="B105">
        <v>84</v>
      </c>
      <c r="C105" t="s">
        <v>257</v>
      </c>
      <c r="D105">
        <f>INDEX(Data!$J$7:$J$420,MATCH('2021'!$C105,Data!$C$7:$C$420,0))*1000</f>
        <v>31267000</v>
      </c>
      <c r="E105" s="29">
        <v>24931</v>
      </c>
      <c r="F105" s="29" t="s">
        <v>11</v>
      </c>
      <c r="I105" t="s">
        <v>256</v>
      </c>
      <c r="J105" t="s">
        <v>718</v>
      </c>
      <c r="L105">
        <f>INDEX(Data!$T$9:$T$105,MATCH('2021'!$J105,Data!$M$9:$M$105,0))</f>
        <v>172324</v>
      </c>
      <c r="M105" s="29">
        <v>168533</v>
      </c>
    </row>
    <row r="106" spans="2:13" x14ac:dyDescent="0.25">
      <c r="B106">
        <v>85</v>
      </c>
      <c r="C106" t="s">
        <v>259</v>
      </c>
      <c r="D106">
        <f>INDEX(Data!$J$7:$J$420,MATCH('2021'!$C106,Data!$C$7:$C$420,0))*1000</f>
        <v>29246000</v>
      </c>
      <c r="E106" s="29">
        <v>24857</v>
      </c>
      <c r="F106" s="29" t="s">
        <v>11</v>
      </c>
      <c r="I106" t="s">
        <v>258</v>
      </c>
      <c r="J106" t="s">
        <v>719</v>
      </c>
      <c r="K106" t="s">
        <v>21</v>
      </c>
      <c r="L106">
        <f>INDEX(Data!$T$9:$T$105,MATCH('2021'!$J106,Data!$M$9:$M$105,0))</f>
        <v>1215496</v>
      </c>
      <c r="M106" s="29">
        <v>1273342</v>
      </c>
    </row>
    <row r="107" spans="2:13" x14ac:dyDescent="0.25">
      <c r="B107">
        <v>86</v>
      </c>
      <c r="C107" t="s">
        <v>261</v>
      </c>
      <c r="D107">
        <f>INDEX(Data!$J$7:$J$420,MATCH('2021'!$C107,Data!$C$7:$C$420,0))*1000</f>
        <v>5133000</v>
      </c>
      <c r="E107" s="29">
        <v>5191</v>
      </c>
      <c r="F107" s="29" t="s">
        <v>11</v>
      </c>
      <c r="I107" t="s">
        <v>260</v>
      </c>
      <c r="J107" t="s">
        <v>577</v>
      </c>
      <c r="L107">
        <f>INDEX(Data!$T$9:$T$105,MATCH('2021'!$J107,Data!$M$9:$M$105,0))</f>
        <v>306476</v>
      </c>
      <c r="M107" s="29">
        <v>252639</v>
      </c>
    </row>
    <row r="108" spans="2:13" x14ac:dyDescent="0.25">
      <c r="B108">
        <v>87</v>
      </c>
      <c r="C108" t="s">
        <v>263</v>
      </c>
      <c r="D108">
        <f>INDEX(Data!$J$7:$J$420,MATCH('2021'!$C108,Data!$C$7:$C$420,0))*1000</f>
        <v>27888000</v>
      </c>
      <c r="E108" s="29">
        <v>23208</v>
      </c>
      <c r="F108" s="29" t="s">
        <v>11</v>
      </c>
      <c r="I108" t="s">
        <v>262</v>
      </c>
      <c r="J108" t="s">
        <v>720</v>
      </c>
      <c r="L108">
        <f>INDEX(Data!$T$9:$T$105,MATCH('2021'!$J108,Data!$M$9:$M$105,0))</f>
        <v>909020</v>
      </c>
      <c r="M108" s="29">
        <v>1020703</v>
      </c>
    </row>
    <row r="109" spans="2:13" x14ac:dyDescent="0.25">
      <c r="B109">
        <v>88</v>
      </c>
      <c r="C109" t="s">
        <v>265</v>
      </c>
      <c r="D109">
        <f>INDEX(Data!$J$7:$J$420,MATCH('2021'!$C109,Data!$C$7:$C$420,0))*1000</f>
        <v>6208000</v>
      </c>
      <c r="E109" s="29">
        <v>5007</v>
      </c>
      <c r="F109" s="29" t="s">
        <v>11</v>
      </c>
      <c r="I109" t="s">
        <v>264</v>
      </c>
      <c r="J109" t="s">
        <v>721</v>
      </c>
      <c r="K109" t="s">
        <v>631</v>
      </c>
      <c r="L109">
        <f>INDEX(Data!$T$9:$T$105,MATCH('2021'!$J109,Data!$M$9:$M$105,0))</f>
        <v>776759</v>
      </c>
      <c r="M109" s="29">
        <v>806093</v>
      </c>
    </row>
    <row r="110" spans="2:13" x14ac:dyDescent="0.25">
      <c r="B110">
        <v>89</v>
      </c>
      <c r="C110" t="s">
        <v>267</v>
      </c>
      <c r="D110">
        <f>INDEX(Data!$J$7:$J$420,MATCH('2021'!$C110,Data!$C$7:$C$420,0))*1000</f>
        <v>7118000</v>
      </c>
      <c r="E110" s="29">
        <v>5491</v>
      </c>
      <c r="F110" s="29" t="s">
        <v>11</v>
      </c>
      <c r="I110" t="s">
        <v>266</v>
      </c>
      <c r="J110" t="s">
        <v>614</v>
      </c>
      <c r="K110" t="s">
        <v>28</v>
      </c>
      <c r="L110">
        <f>INDEX(Data!$T$9:$T$105,MATCH('2021'!$J110,Data!$M$9:$M$105,0))</f>
        <v>4267605</v>
      </c>
      <c r="M110" s="29">
        <v>4546416</v>
      </c>
    </row>
    <row r="111" spans="2:13" x14ac:dyDescent="0.25">
      <c r="B111">
        <v>90</v>
      </c>
      <c r="C111" t="s">
        <v>269</v>
      </c>
      <c r="D111">
        <f>INDEX(Data!$J$7:$J$420,MATCH('2021'!$C111,Data!$C$7:$C$420,0))*1000</f>
        <v>19140000</v>
      </c>
      <c r="E111" s="29">
        <v>17588</v>
      </c>
      <c r="F111" s="29" t="s">
        <v>11</v>
      </c>
      <c r="I111" t="s">
        <v>268</v>
      </c>
      <c r="J111" t="s">
        <v>722</v>
      </c>
      <c r="L111">
        <f>INDEX(Data!$T$9:$T$105,MATCH('2021'!$J111,Data!$M$9:$M$105,0))</f>
        <v>1322348</v>
      </c>
      <c r="M111" s="29">
        <v>1406001</v>
      </c>
    </row>
    <row r="112" spans="2:13" x14ac:dyDescent="0.25">
      <c r="B112">
        <v>91</v>
      </c>
      <c r="C112" t="s">
        <v>271</v>
      </c>
      <c r="D112">
        <f>INDEX(Data!$J$7:$J$420,MATCH('2021'!$C112,Data!$C$7:$C$420,0))*1000</f>
        <v>17272000</v>
      </c>
      <c r="E112" s="29">
        <v>13570</v>
      </c>
      <c r="F112" s="29" t="s">
        <v>11</v>
      </c>
      <c r="I112" t="s">
        <v>270</v>
      </c>
      <c r="J112" t="s">
        <v>723</v>
      </c>
      <c r="L112">
        <f>INDEX(Data!$T$9:$T$105,MATCH('2021'!$J112,Data!$M$9:$M$105,0))</f>
        <v>1221814</v>
      </c>
      <c r="M112" s="29">
        <v>1296293</v>
      </c>
    </row>
    <row r="113" spans="2:13" x14ac:dyDescent="0.25">
      <c r="B113">
        <v>92</v>
      </c>
      <c r="C113" t="s">
        <v>273</v>
      </c>
      <c r="D113">
        <f>INDEX(Data!$J$7:$J$420,MATCH('2021'!$C113,Data!$C$7:$C$420,0))*1000</f>
        <v>30120000</v>
      </c>
      <c r="E113" s="29">
        <v>25854</v>
      </c>
      <c r="F113" s="29" t="s">
        <v>14</v>
      </c>
      <c r="I113" t="s">
        <v>272</v>
      </c>
      <c r="J113" t="s">
        <v>724</v>
      </c>
      <c r="L113">
        <f>INDEX(Data!$T$9:$T$105,MATCH('2021'!$J113,Data!$M$9:$M$105,0))</f>
        <v>725989</v>
      </c>
      <c r="M113" s="29">
        <v>740413</v>
      </c>
    </row>
    <row r="114" spans="2:13" x14ac:dyDescent="0.25">
      <c r="B114">
        <v>93</v>
      </c>
      <c r="C114" t="s">
        <v>275</v>
      </c>
      <c r="D114">
        <f>INDEX(Data!$J$7:$J$420,MATCH('2021'!$C114,Data!$C$7:$C$420,0))*1000</f>
        <v>8601000</v>
      </c>
      <c r="E114" s="29">
        <v>8419</v>
      </c>
      <c r="F114" s="29" t="s">
        <v>14</v>
      </c>
      <c r="I114" t="s">
        <v>274</v>
      </c>
      <c r="J114" t="s">
        <v>725</v>
      </c>
      <c r="L114">
        <f>INDEX(Data!$T$9:$T$105,MATCH('2021'!$J114,Data!$M$9:$M$105,0))</f>
        <v>495826</v>
      </c>
      <c r="M114" s="29">
        <v>555879</v>
      </c>
    </row>
    <row r="115" spans="2:13" x14ac:dyDescent="0.25">
      <c r="B115">
        <v>94</v>
      </c>
      <c r="C115" t="s">
        <v>277</v>
      </c>
      <c r="D115">
        <f>INDEX(Data!$J$7:$J$420,MATCH('2021'!$C115,Data!$C$7:$C$420,0))*1000</f>
        <v>34426000</v>
      </c>
      <c r="E115" s="29">
        <v>29580</v>
      </c>
      <c r="F115" s="29" t="s">
        <v>14</v>
      </c>
      <c r="I115" t="s">
        <v>276</v>
      </c>
      <c r="J115" t="s">
        <v>726</v>
      </c>
      <c r="L115">
        <f>INDEX(Data!$T$9:$T$105,MATCH('2021'!$J115,Data!$M$9:$M$105,0))</f>
        <v>100534</v>
      </c>
      <c r="M115" s="29">
        <v>109708</v>
      </c>
    </row>
    <row r="116" spans="2:13" x14ac:dyDescent="0.25">
      <c r="B116">
        <v>95</v>
      </c>
      <c r="C116" t="s">
        <v>279</v>
      </c>
      <c r="D116">
        <f>INDEX(Data!$J$7:$J$420,MATCH('2021'!$C116,Data!$C$7:$C$420,0))*1000</f>
        <v>18533000</v>
      </c>
      <c r="E116" s="29">
        <v>13787</v>
      </c>
      <c r="F116" s="29" t="s">
        <v>14</v>
      </c>
      <c r="I116" t="s">
        <v>278</v>
      </c>
      <c r="J116" t="s">
        <v>727</v>
      </c>
      <c r="L116">
        <f>INDEX(Data!$T$9:$T$105,MATCH('2021'!$J116,Data!$M$9:$M$105,0))</f>
        <v>2945258</v>
      </c>
      <c r="M116" s="29">
        <v>3140415</v>
      </c>
    </row>
    <row r="117" spans="2:13" x14ac:dyDescent="0.25">
      <c r="B117">
        <v>96</v>
      </c>
      <c r="C117" t="s">
        <v>281</v>
      </c>
      <c r="D117">
        <f>INDEX(Data!$J$7:$J$420,MATCH('2021'!$C117,Data!$C$7:$C$420,0))*1000</f>
        <v>9025000</v>
      </c>
      <c r="E117" s="29">
        <v>15766</v>
      </c>
      <c r="F117" s="29" t="s">
        <v>14</v>
      </c>
      <c r="I117" t="s">
        <v>280</v>
      </c>
      <c r="J117" t="s">
        <v>723</v>
      </c>
      <c r="L117">
        <f>INDEX(Data!$T$9:$T$105,MATCH('2021'!$J117,Data!$M$9:$M$105,0))</f>
        <v>1221814</v>
      </c>
      <c r="M117" s="29">
        <v>2754177</v>
      </c>
    </row>
    <row r="118" spans="2:13" x14ac:dyDescent="0.25">
      <c r="B118">
        <v>97</v>
      </c>
      <c r="C118" t="s">
        <v>283</v>
      </c>
      <c r="D118">
        <f>INDEX(Data!$J$7:$J$420,MATCH('2021'!$C118,Data!$C$7:$C$420,0))*1000</f>
        <v>28403000</v>
      </c>
      <c r="E118" s="29">
        <v>35282</v>
      </c>
      <c r="F118" s="29" t="s">
        <v>14</v>
      </c>
      <c r="I118" t="s">
        <v>282</v>
      </c>
      <c r="J118" t="s">
        <v>726</v>
      </c>
      <c r="L118">
        <f>INDEX(Data!$T$9:$T$105,MATCH('2021'!$J118,Data!$M$9:$M$105,0))</f>
        <v>100534</v>
      </c>
      <c r="M118" s="29">
        <v>386238</v>
      </c>
    </row>
    <row r="119" spans="2:13" x14ac:dyDescent="0.25">
      <c r="B119">
        <v>98</v>
      </c>
      <c r="C119" t="s">
        <v>284</v>
      </c>
      <c r="D119">
        <f>INDEX(Data!$J$7:$J$420,MATCH('2021'!$C119,Data!$C$7:$C$420,0))*1000</f>
        <v>5818000</v>
      </c>
      <c r="E119" s="29">
        <v>5775</v>
      </c>
      <c r="F119" s="29" t="s">
        <v>14</v>
      </c>
    </row>
    <row r="120" spans="2:13" x14ac:dyDescent="0.25">
      <c r="B120">
        <v>99</v>
      </c>
      <c r="C120" t="s">
        <v>285</v>
      </c>
      <c r="D120">
        <f>INDEX(Data!$J$7:$J$420,MATCH('2021'!$C120,Data!$C$7:$C$420,0))*1000</f>
        <v>1214000</v>
      </c>
      <c r="E120" s="29">
        <v>1127</v>
      </c>
      <c r="F120" s="29" t="s">
        <v>14</v>
      </c>
    </row>
    <row r="121" spans="2:13" x14ac:dyDescent="0.25">
      <c r="B121">
        <v>100</v>
      </c>
      <c r="C121" t="s">
        <v>286</v>
      </c>
      <c r="D121">
        <f>INDEX(Data!$J$7:$J$420,MATCH('2021'!$C121,Data!$C$7:$C$420,0))*1000</f>
        <v>19487000</v>
      </c>
      <c r="E121" s="29">
        <v>19276</v>
      </c>
      <c r="F121" s="29" t="s">
        <v>14</v>
      </c>
    </row>
    <row r="122" spans="2:13" x14ac:dyDescent="0.25">
      <c r="B122">
        <v>101</v>
      </c>
      <c r="C122" t="s">
        <v>287</v>
      </c>
      <c r="D122">
        <f>INDEX(Data!$J$7:$J$420,MATCH('2021'!$C122,Data!$C$7:$C$420,0))*1000</f>
        <v>5065000</v>
      </c>
      <c r="E122" s="29">
        <v>4251</v>
      </c>
      <c r="F122" s="29" t="s">
        <v>14</v>
      </c>
    </row>
    <row r="123" spans="2:13" x14ac:dyDescent="0.25">
      <c r="B123">
        <v>102</v>
      </c>
      <c r="C123" t="s">
        <v>288</v>
      </c>
      <c r="D123">
        <f>INDEX(Data!$J$7:$J$420,MATCH('2021'!$C123,Data!$C$7:$C$420,0))*1000</f>
        <v>33642000</v>
      </c>
      <c r="E123" s="29">
        <v>28716</v>
      </c>
      <c r="F123" s="29" t="s">
        <v>14</v>
      </c>
    </row>
    <row r="124" spans="2:13" x14ac:dyDescent="0.25">
      <c r="B124">
        <v>103</v>
      </c>
      <c r="C124" t="s">
        <v>289</v>
      </c>
      <c r="D124">
        <f>INDEX(Data!$J$7:$J$420,MATCH('2021'!$C124,Data!$C$7:$C$420,0))*1000</f>
        <v>7095000</v>
      </c>
      <c r="E124" s="29">
        <v>6583</v>
      </c>
      <c r="F124" s="29" t="s">
        <v>14</v>
      </c>
    </row>
    <row r="125" spans="2:13" x14ac:dyDescent="0.25">
      <c r="B125">
        <v>104</v>
      </c>
      <c r="C125" t="s">
        <v>290</v>
      </c>
      <c r="D125">
        <f>INDEX(Data!$J$7:$J$420,MATCH('2021'!$C125,Data!$C$7:$C$420,0))*1000</f>
        <v>6345000</v>
      </c>
      <c r="E125" s="29">
        <v>5771</v>
      </c>
      <c r="F125" s="29" t="s">
        <v>14</v>
      </c>
    </row>
    <row r="126" spans="2:13" x14ac:dyDescent="0.25">
      <c r="B126">
        <v>105</v>
      </c>
      <c r="C126" t="s">
        <v>291</v>
      </c>
      <c r="D126">
        <f>INDEX(Data!$J$7:$J$420,MATCH('2021'!$C126,Data!$C$7:$C$420,0))*1000</f>
        <v>8747000</v>
      </c>
      <c r="E126" s="29">
        <v>6966</v>
      </c>
      <c r="F126" s="29" t="s">
        <v>14</v>
      </c>
    </row>
    <row r="127" spans="2:13" x14ac:dyDescent="0.25">
      <c r="B127">
        <v>106</v>
      </c>
      <c r="C127" t="s">
        <v>292</v>
      </c>
      <c r="D127">
        <f>INDEX(Data!$J$7:$J$420,MATCH('2021'!$C127,Data!$C$7:$C$420,0))*1000</f>
        <v>7903000</v>
      </c>
      <c r="E127" s="29">
        <v>6810</v>
      </c>
      <c r="F127" s="29" t="s">
        <v>14</v>
      </c>
    </row>
    <row r="128" spans="2:13" x14ac:dyDescent="0.25">
      <c r="B128">
        <v>107</v>
      </c>
      <c r="C128" t="s">
        <v>293</v>
      </c>
      <c r="D128">
        <f>INDEX(Data!$J$7:$J$420,MATCH('2021'!$C128,Data!$C$7:$C$420,0))*1000</f>
        <v>9476000</v>
      </c>
      <c r="E128" s="29">
        <v>7256</v>
      </c>
      <c r="F128" s="29" t="s">
        <v>14</v>
      </c>
    </row>
    <row r="129" spans="2:6" x14ac:dyDescent="0.25">
      <c r="B129">
        <v>108</v>
      </c>
      <c r="C129" t="s">
        <v>294</v>
      </c>
      <c r="D129">
        <f>INDEX(Data!$J$7:$J$420,MATCH('2021'!$C129,Data!$C$7:$C$420,0))*1000</f>
        <v>10318000</v>
      </c>
      <c r="E129" s="29">
        <v>8337</v>
      </c>
      <c r="F129" s="29" t="s">
        <v>14</v>
      </c>
    </row>
    <row r="130" spans="2:6" x14ac:dyDescent="0.25">
      <c r="B130">
        <v>109</v>
      </c>
      <c r="C130" t="s">
        <v>295</v>
      </c>
      <c r="D130">
        <f>INDEX(Data!$J$7:$J$420,MATCH('2021'!$C130,Data!$C$7:$C$420,0))*1000</f>
        <v>3554000</v>
      </c>
      <c r="E130" s="29">
        <v>3133</v>
      </c>
      <c r="F130" s="29" t="s">
        <v>14</v>
      </c>
    </row>
    <row r="131" spans="2:6" x14ac:dyDescent="0.25">
      <c r="B131">
        <v>110</v>
      </c>
      <c r="C131" t="s">
        <v>296</v>
      </c>
      <c r="D131">
        <f>INDEX(Data!$J$7:$J$420,MATCH('2021'!$C131,Data!$C$7:$C$420,0))*1000</f>
        <v>4803000</v>
      </c>
      <c r="E131" s="29">
        <v>3766</v>
      </c>
      <c r="F131" s="29" t="s">
        <v>14</v>
      </c>
    </row>
    <row r="132" spans="2:6" x14ac:dyDescent="0.25">
      <c r="B132">
        <v>111</v>
      </c>
      <c r="C132" t="s">
        <v>297</v>
      </c>
      <c r="D132">
        <f>INDEX(Data!$J$7:$J$420,MATCH('2021'!$C132,Data!$C$7:$C$420,0))*1000</f>
        <v>27576000</v>
      </c>
      <c r="E132" s="29">
        <v>21876</v>
      </c>
      <c r="F132" s="29" t="s">
        <v>14</v>
      </c>
    </row>
    <row r="133" spans="2:6" x14ac:dyDescent="0.25">
      <c r="B133">
        <v>112</v>
      </c>
      <c r="C133" t="s">
        <v>298</v>
      </c>
      <c r="D133">
        <f>INDEX(Data!$J$7:$J$420,MATCH('2021'!$C133,Data!$C$7:$C$420,0))*1000</f>
        <v>11084000</v>
      </c>
      <c r="E133" s="29">
        <v>7316</v>
      </c>
      <c r="F133" s="29" t="s">
        <v>14</v>
      </c>
    </row>
    <row r="134" spans="2:6" x14ac:dyDescent="0.25">
      <c r="B134">
        <v>113</v>
      </c>
      <c r="C134" t="s">
        <v>299</v>
      </c>
      <c r="D134" t="e">
        <f>INDEX(Data!$J$7:$J$420,MATCH('2021'!$C134,Data!$C$7:$C$420,0))*1000</f>
        <v>#N/A</v>
      </c>
      <c r="E134" s="29">
        <v>13392</v>
      </c>
      <c r="F134" s="29" t="s">
        <v>14</v>
      </c>
    </row>
    <row r="135" spans="2:6" x14ac:dyDescent="0.25">
      <c r="B135">
        <v>114</v>
      </c>
      <c r="C135" t="s">
        <v>300</v>
      </c>
      <c r="D135">
        <f>INDEX(Data!$J$7:$J$420,MATCH('2021'!$C135,Data!$C$7:$C$420,0))*1000</f>
        <v>32592000</v>
      </c>
      <c r="E135" s="29">
        <v>26721</v>
      </c>
      <c r="F135" s="29" t="s">
        <v>14</v>
      </c>
    </row>
    <row r="136" spans="2:6" x14ac:dyDescent="0.25">
      <c r="B136">
        <v>115</v>
      </c>
      <c r="C136" t="s">
        <v>301</v>
      </c>
      <c r="D136">
        <f>INDEX(Data!$J$7:$J$420,MATCH('2021'!$C136,Data!$C$7:$C$420,0))*1000</f>
        <v>3869000</v>
      </c>
      <c r="E136" s="29">
        <v>3058</v>
      </c>
      <c r="F136" s="29" t="s">
        <v>14</v>
      </c>
    </row>
    <row r="137" spans="2:6" x14ac:dyDescent="0.25">
      <c r="B137">
        <v>116</v>
      </c>
      <c r="C137" t="s">
        <v>302</v>
      </c>
      <c r="D137">
        <f>INDEX(Data!$J$7:$J$420,MATCH('2021'!$C137,Data!$C$7:$C$420,0))*1000</f>
        <v>7114000</v>
      </c>
      <c r="E137" s="29">
        <v>6709</v>
      </c>
      <c r="F137" s="29" t="s">
        <v>14</v>
      </c>
    </row>
    <row r="138" spans="2:6" x14ac:dyDescent="0.25">
      <c r="B138">
        <v>117</v>
      </c>
      <c r="C138" t="s">
        <v>303</v>
      </c>
      <c r="D138">
        <f>INDEX(Data!$J$7:$J$420,MATCH('2021'!$C138,Data!$C$7:$C$420,0))*1000</f>
        <v>2821000</v>
      </c>
      <c r="E138" s="29">
        <v>2221</v>
      </c>
      <c r="F138" s="29" t="s">
        <v>14</v>
      </c>
    </row>
    <row r="139" spans="2:6" x14ac:dyDescent="0.25">
      <c r="B139">
        <v>118</v>
      </c>
      <c r="C139" t="s">
        <v>304</v>
      </c>
      <c r="D139">
        <f>INDEX(Data!$J$7:$J$420,MATCH('2021'!$C139,Data!$C$7:$C$420,0))*1000</f>
        <v>24421000</v>
      </c>
      <c r="E139" s="29">
        <v>21065</v>
      </c>
      <c r="F139" s="29" t="s">
        <v>14</v>
      </c>
    </row>
    <row r="140" spans="2:6" x14ac:dyDescent="0.25">
      <c r="B140">
        <v>119</v>
      </c>
      <c r="C140" t="s">
        <v>305</v>
      </c>
      <c r="D140">
        <f>INDEX(Data!$J$7:$J$420,MATCH('2021'!$C140,Data!$C$7:$C$420,0))*1000</f>
        <v>12128000</v>
      </c>
      <c r="E140" s="29">
        <v>9716</v>
      </c>
      <c r="F140" s="29" t="s">
        <v>14</v>
      </c>
    </row>
    <row r="141" spans="2:6" x14ac:dyDescent="0.25">
      <c r="B141">
        <v>120</v>
      </c>
      <c r="C141" t="s">
        <v>306</v>
      </c>
      <c r="D141">
        <f>INDEX(Data!$J$7:$J$420,MATCH('2021'!$C141,Data!$C$7:$C$420,0))*1000</f>
        <v>19653000</v>
      </c>
      <c r="E141" s="29">
        <v>20329</v>
      </c>
      <c r="F141" s="29" t="s">
        <v>12</v>
      </c>
    </row>
    <row r="142" spans="2:6" x14ac:dyDescent="0.25">
      <c r="B142">
        <v>121</v>
      </c>
      <c r="C142" t="s">
        <v>307</v>
      </c>
      <c r="D142">
        <f>INDEX(Data!$J$7:$J$420,MATCH('2021'!$C142,Data!$C$7:$C$420,0))*1000</f>
        <v>6839000</v>
      </c>
      <c r="E142" s="29">
        <v>9708</v>
      </c>
      <c r="F142" s="29" t="s">
        <v>12</v>
      </c>
    </row>
    <row r="143" spans="2:6" x14ac:dyDescent="0.25">
      <c r="B143">
        <v>122</v>
      </c>
      <c r="C143" t="s">
        <v>308</v>
      </c>
      <c r="D143">
        <f>INDEX(Data!$J$7:$J$420,MATCH('2021'!$C143,Data!$C$7:$C$420,0))*1000</f>
        <v>8170000</v>
      </c>
      <c r="E143" s="29">
        <v>12763</v>
      </c>
      <c r="F143" s="29" t="s">
        <v>12</v>
      </c>
    </row>
    <row r="144" spans="2:6" x14ac:dyDescent="0.25">
      <c r="B144">
        <v>123</v>
      </c>
      <c r="C144" t="s">
        <v>309</v>
      </c>
      <c r="D144">
        <f>INDEX(Data!$J$7:$J$420,MATCH('2021'!$C144,Data!$C$7:$C$420,0))*1000</f>
        <v>7579000</v>
      </c>
      <c r="E144" s="29">
        <v>12455</v>
      </c>
      <c r="F144" s="29" t="s">
        <v>12</v>
      </c>
    </row>
    <row r="145" spans="2:6" x14ac:dyDescent="0.25">
      <c r="B145">
        <v>124</v>
      </c>
      <c r="C145" t="s">
        <v>310</v>
      </c>
      <c r="D145">
        <f>INDEX(Data!$J$7:$J$420,MATCH('2021'!$C145,Data!$C$7:$C$420,0))*1000</f>
        <v>32420000</v>
      </c>
      <c r="E145" s="29">
        <v>67317</v>
      </c>
      <c r="F145" s="29" t="s">
        <v>12</v>
      </c>
    </row>
    <row r="146" spans="2:6" x14ac:dyDescent="0.25">
      <c r="B146">
        <v>125</v>
      </c>
      <c r="C146" t="s">
        <v>311</v>
      </c>
      <c r="D146">
        <f>INDEX(Data!$J$7:$J$420,MATCH('2021'!$C146,Data!$C$7:$C$420,0))*1000</f>
        <v>4810000</v>
      </c>
      <c r="E146" s="29">
        <v>4962</v>
      </c>
      <c r="F146" s="29" t="s">
        <v>12</v>
      </c>
    </row>
    <row r="147" spans="2:6" x14ac:dyDescent="0.25">
      <c r="B147">
        <v>126</v>
      </c>
      <c r="C147" t="s">
        <v>312</v>
      </c>
      <c r="D147">
        <f>INDEX(Data!$J$7:$J$420,MATCH('2021'!$C147,Data!$C$7:$C$420,0))*1000</f>
        <v>67573000</v>
      </c>
      <c r="E147" s="29">
        <v>82595</v>
      </c>
      <c r="F147" s="29" t="s">
        <v>12</v>
      </c>
    </row>
    <row r="148" spans="2:6" x14ac:dyDescent="0.25">
      <c r="B148">
        <v>127</v>
      </c>
      <c r="C148" t="s">
        <v>313</v>
      </c>
      <c r="D148">
        <f>INDEX(Data!$J$7:$J$420,MATCH('2021'!$C148,Data!$C$7:$C$420,0))*1000</f>
        <v>22846000</v>
      </c>
      <c r="E148" s="29">
        <v>24899</v>
      </c>
      <c r="F148" s="29" t="s">
        <v>12</v>
      </c>
    </row>
    <row r="149" spans="2:6" x14ac:dyDescent="0.25">
      <c r="B149">
        <v>128</v>
      </c>
      <c r="C149" t="s">
        <v>314</v>
      </c>
      <c r="D149">
        <f>INDEX(Data!$J$7:$J$420,MATCH('2021'!$C149,Data!$C$7:$C$420,0))*1000</f>
        <v>30957000</v>
      </c>
      <c r="E149" s="29">
        <v>30619</v>
      </c>
      <c r="F149" s="29" t="s">
        <v>12</v>
      </c>
    </row>
    <row r="150" spans="2:6" x14ac:dyDescent="0.25">
      <c r="B150">
        <v>129</v>
      </c>
      <c r="C150" t="s">
        <v>315</v>
      </c>
      <c r="D150">
        <f>INDEX(Data!$J$7:$J$420,MATCH('2021'!$C150,Data!$C$7:$C$420,0))*1000</f>
        <v>38012000</v>
      </c>
      <c r="E150" s="29">
        <v>47375</v>
      </c>
      <c r="F150" s="29" t="s">
        <v>12</v>
      </c>
    </row>
    <row r="151" spans="2:6" x14ac:dyDescent="0.25">
      <c r="B151">
        <v>130</v>
      </c>
      <c r="C151" t="s">
        <v>316</v>
      </c>
      <c r="D151">
        <f>INDEX(Data!$J$7:$J$420,MATCH('2021'!$C151,Data!$C$7:$C$420,0))*1000</f>
        <v>59688000</v>
      </c>
      <c r="E151" s="29">
        <v>50691</v>
      </c>
      <c r="F151" s="29" t="s">
        <v>12</v>
      </c>
    </row>
    <row r="152" spans="2:6" x14ac:dyDescent="0.25">
      <c r="B152">
        <v>131</v>
      </c>
      <c r="C152" t="s">
        <v>317</v>
      </c>
      <c r="D152">
        <f>INDEX(Data!$J$7:$J$420,MATCH('2021'!$C152,Data!$C$7:$C$420,0))*1000</f>
        <v>2479000</v>
      </c>
      <c r="E152" s="29">
        <v>2273</v>
      </c>
      <c r="F152" s="29" t="s">
        <v>12</v>
      </c>
    </row>
    <row r="153" spans="2:6" x14ac:dyDescent="0.25">
      <c r="B153">
        <v>132</v>
      </c>
      <c r="C153" t="s">
        <v>318</v>
      </c>
      <c r="D153">
        <f>INDEX(Data!$J$7:$J$420,MATCH('2021'!$C153,Data!$C$7:$C$420,0))*1000</f>
        <v>12312000</v>
      </c>
      <c r="E153" s="29">
        <v>11022</v>
      </c>
      <c r="F153" s="29" t="s">
        <v>12</v>
      </c>
    </row>
    <row r="154" spans="2:6" x14ac:dyDescent="0.25">
      <c r="B154">
        <v>133</v>
      </c>
      <c r="C154" t="s">
        <v>319</v>
      </c>
      <c r="D154">
        <f>INDEX(Data!$J$7:$J$420,MATCH('2021'!$C154,Data!$C$7:$C$420,0))*1000</f>
        <v>5207000</v>
      </c>
      <c r="E154" s="29">
        <v>3689</v>
      </c>
      <c r="F154" s="29" t="s">
        <v>12</v>
      </c>
    </row>
    <row r="155" spans="2:6" x14ac:dyDescent="0.25">
      <c r="B155">
        <v>134</v>
      </c>
      <c r="C155" t="s">
        <v>320</v>
      </c>
      <c r="D155">
        <f>INDEX(Data!$J$7:$J$420,MATCH('2021'!$C155,Data!$C$7:$C$420,0))*1000</f>
        <v>13575000</v>
      </c>
      <c r="E155" s="29">
        <v>11753</v>
      </c>
      <c r="F155" s="29" t="s">
        <v>12</v>
      </c>
    </row>
    <row r="156" spans="2:6" x14ac:dyDescent="0.25">
      <c r="B156">
        <v>135</v>
      </c>
      <c r="C156" t="s">
        <v>321</v>
      </c>
      <c r="D156">
        <f>INDEX(Data!$J$7:$J$420,MATCH('2021'!$C156,Data!$C$7:$C$420,0))*1000</f>
        <v>16547000</v>
      </c>
      <c r="E156" s="29">
        <v>15587</v>
      </c>
      <c r="F156" s="29" t="s">
        <v>12</v>
      </c>
    </row>
    <row r="157" spans="2:6" x14ac:dyDescent="0.25">
      <c r="B157">
        <v>136</v>
      </c>
      <c r="C157" t="s">
        <v>322</v>
      </c>
      <c r="D157">
        <f>INDEX(Data!$J$7:$J$420,MATCH('2021'!$C157,Data!$C$7:$C$420,0))*1000</f>
        <v>8087000</v>
      </c>
      <c r="E157" s="29">
        <v>12686</v>
      </c>
      <c r="F157" s="29" t="s">
        <v>12</v>
      </c>
    </row>
    <row r="158" spans="2:6" x14ac:dyDescent="0.25">
      <c r="B158">
        <v>137</v>
      </c>
      <c r="C158" t="s">
        <v>323</v>
      </c>
      <c r="D158">
        <f>INDEX(Data!$J$7:$J$420,MATCH('2021'!$C158,Data!$C$7:$C$420,0))*1000</f>
        <v>16199000</v>
      </c>
      <c r="E158" s="29">
        <v>13461</v>
      </c>
      <c r="F158" s="29" t="s">
        <v>12</v>
      </c>
    </row>
    <row r="159" spans="2:6" x14ac:dyDescent="0.25">
      <c r="B159">
        <v>138</v>
      </c>
      <c r="C159" t="s">
        <v>324</v>
      </c>
      <c r="D159">
        <f>INDEX(Data!$J$7:$J$420,MATCH('2021'!$C159,Data!$C$7:$C$420,0))*1000</f>
        <v>3925000</v>
      </c>
      <c r="E159" s="29">
        <v>7732</v>
      </c>
      <c r="F159" s="29" t="s">
        <v>12</v>
      </c>
    </row>
    <row r="160" spans="2:6" x14ac:dyDescent="0.25">
      <c r="B160">
        <v>139</v>
      </c>
      <c r="C160" t="s">
        <v>325</v>
      </c>
      <c r="D160">
        <f>INDEX(Data!$J$7:$J$420,MATCH('2021'!$C160,Data!$C$7:$C$420,0))*1000</f>
        <v>1350000</v>
      </c>
      <c r="E160" s="29">
        <v>1754</v>
      </c>
      <c r="F160" s="29" t="s">
        <v>12</v>
      </c>
    </row>
    <row r="161" spans="2:6" x14ac:dyDescent="0.25">
      <c r="B161">
        <v>140</v>
      </c>
      <c r="C161" t="s">
        <v>326</v>
      </c>
      <c r="D161">
        <f>INDEX(Data!$J$7:$J$420,MATCH('2021'!$C161,Data!$C$7:$C$420,0))*1000</f>
        <v>1266000</v>
      </c>
      <c r="E161" s="29">
        <v>1720</v>
      </c>
      <c r="F161" s="29" t="s">
        <v>13</v>
      </c>
    </row>
    <row r="162" spans="2:6" x14ac:dyDescent="0.25">
      <c r="B162">
        <v>141</v>
      </c>
      <c r="C162" t="s">
        <v>327</v>
      </c>
      <c r="D162">
        <f>INDEX(Data!$J$7:$J$420,MATCH('2021'!$C162,Data!$C$7:$C$420,0))*1000</f>
        <v>12041000</v>
      </c>
      <c r="E162" s="29">
        <v>8845</v>
      </c>
      <c r="F162" s="29" t="s">
        <v>13</v>
      </c>
    </row>
    <row r="163" spans="2:6" x14ac:dyDescent="0.25">
      <c r="B163">
        <v>142</v>
      </c>
      <c r="C163" t="s">
        <v>328</v>
      </c>
      <c r="D163">
        <f>INDEX(Data!$J$7:$J$420,MATCH('2021'!$C163,Data!$C$7:$C$420,0))*1000</f>
        <v>3502000</v>
      </c>
      <c r="E163" s="29">
        <v>4316</v>
      </c>
      <c r="F163" s="29" t="s">
        <v>13</v>
      </c>
    </row>
    <row r="164" spans="2:6" x14ac:dyDescent="0.25">
      <c r="B164">
        <v>143</v>
      </c>
      <c r="C164" t="s">
        <v>329</v>
      </c>
      <c r="D164" t="e">
        <f>INDEX(Data!$J$7:$J$420,MATCH('2021'!$C164,Data!$C$7:$C$420,0))*1000</f>
        <v>#N/A</v>
      </c>
      <c r="E164" s="29">
        <v>6675</v>
      </c>
      <c r="F164" s="29" t="s">
        <v>13</v>
      </c>
    </row>
    <row r="165" spans="2:6" x14ac:dyDescent="0.25">
      <c r="B165">
        <v>144</v>
      </c>
      <c r="C165" t="s">
        <v>330</v>
      </c>
      <c r="D165" t="e">
        <f>INDEX(Data!$J$7:$J$420,MATCH('2021'!$C165,Data!$C$7:$C$420,0))*1000</f>
        <v>#N/A</v>
      </c>
      <c r="E165" s="29">
        <v>5701</v>
      </c>
      <c r="F165" s="29" t="s">
        <v>13</v>
      </c>
    </row>
    <row r="166" spans="2:6" x14ac:dyDescent="0.25">
      <c r="B166">
        <v>145</v>
      </c>
      <c r="C166" t="s">
        <v>331</v>
      </c>
      <c r="D166" t="e">
        <f>INDEX(Data!$J$7:$J$420,MATCH('2021'!$C166,Data!$C$7:$C$420,0))*1000</f>
        <v>#N/A</v>
      </c>
      <c r="E166" s="29">
        <v>6059</v>
      </c>
      <c r="F166" s="29" t="s">
        <v>13</v>
      </c>
    </row>
    <row r="167" spans="2:6" x14ac:dyDescent="0.25">
      <c r="B167">
        <v>146</v>
      </c>
      <c r="C167" t="s">
        <v>332</v>
      </c>
      <c r="D167" t="e">
        <f>INDEX(Data!$J$7:$J$420,MATCH('2021'!$C167,Data!$C$7:$C$420,0))*1000</f>
        <v>#N/A</v>
      </c>
      <c r="E167" s="29">
        <v>5949</v>
      </c>
      <c r="F167" s="29" t="s">
        <v>13</v>
      </c>
    </row>
    <row r="168" spans="2:6" x14ac:dyDescent="0.25">
      <c r="B168">
        <v>147</v>
      </c>
      <c r="C168" t="s">
        <v>333</v>
      </c>
      <c r="D168">
        <f>INDEX(Data!$J$7:$J$420,MATCH('2021'!$C168,Data!$C$7:$C$420,0))*1000</f>
        <v>6522000</v>
      </c>
      <c r="E168" s="29">
        <v>5325</v>
      </c>
      <c r="F168" s="29" t="s">
        <v>13</v>
      </c>
    </row>
    <row r="169" spans="2:6" x14ac:dyDescent="0.25">
      <c r="B169">
        <v>148</v>
      </c>
      <c r="C169" t="s">
        <v>334</v>
      </c>
      <c r="D169">
        <f>INDEX(Data!$J$7:$J$420,MATCH('2021'!$C169,Data!$C$7:$C$420,0))*1000</f>
        <v>12201000</v>
      </c>
      <c r="E169" s="29">
        <v>9862</v>
      </c>
      <c r="F169" s="29" t="s">
        <v>13</v>
      </c>
    </row>
    <row r="170" spans="2:6" x14ac:dyDescent="0.25">
      <c r="B170">
        <v>149</v>
      </c>
      <c r="C170" t="s">
        <v>335</v>
      </c>
      <c r="D170">
        <f>INDEX(Data!$J$7:$J$420,MATCH('2021'!$C170,Data!$C$7:$C$420,0))*1000</f>
        <v>12865000</v>
      </c>
      <c r="E170" s="29">
        <v>11654</v>
      </c>
      <c r="F170" s="29" t="s">
        <v>13</v>
      </c>
    </row>
    <row r="171" spans="2:6" x14ac:dyDescent="0.25">
      <c r="B171">
        <v>150</v>
      </c>
      <c r="C171" t="s">
        <v>336</v>
      </c>
      <c r="D171">
        <f>INDEX(Data!$J$7:$J$420,MATCH('2021'!$C171,Data!$C$7:$C$420,0))*1000</f>
        <v>10368000</v>
      </c>
      <c r="E171" s="29">
        <v>9021</v>
      </c>
      <c r="F171" s="29" t="s">
        <v>13</v>
      </c>
    </row>
    <row r="172" spans="2:6" x14ac:dyDescent="0.25">
      <c r="B172">
        <v>151</v>
      </c>
      <c r="C172" t="s">
        <v>337</v>
      </c>
      <c r="D172">
        <f>INDEX(Data!$J$7:$J$420,MATCH('2021'!$C172,Data!$C$7:$C$420,0))*1000</f>
        <v>7329000</v>
      </c>
      <c r="E172" s="29">
        <v>6035</v>
      </c>
      <c r="F172" s="29" t="s">
        <v>13</v>
      </c>
    </row>
    <row r="173" spans="2:6" x14ac:dyDescent="0.25">
      <c r="B173">
        <v>152</v>
      </c>
      <c r="C173" t="s">
        <v>338</v>
      </c>
      <c r="D173">
        <f>INDEX(Data!$J$7:$J$420,MATCH('2021'!$C173,Data!$C$7:$C$420,0))*1000</f>
        <v>2413000</v>
      </c>
      <c r="E173" s="29">
        <v>2968</v>
      </c>
      <c r="F173" s="29" t="s">
        <v>13</v>
      </c>
    </row>
    <row r="174" spans="2:6" x14ac:dyDescent="0.25">
      <c r="B174">
        <v>153</v>
      </c>
      <c r="C174" t="s">
        <v>339</v>
      </c>
      <c r="D174">
        <f>INDEX(Data!$J$7:$J$420,MATCH('2021'!$C174,Data!$C$7:$C$420,0))*1000</f>
        <v>11663000</v>
      </c>
      <c r="E174" s="29">
        <v>12019</v>
      </c>
      <c r="F174" s="29" t="s">
        <v>13</v>
      </c>
    </row>
    <row r="175" spans="2:6" x14ac:dyDescent="0.25">
      <c r="B175">
        <v>154</v>
      </c>
      <c r="C175" t="s">
        <v>340</v>
      </c>
      <c r="D175">
        <f>INDEX(Data!$J$7:$J$420,MATCH('2021'!$C175,Data!$C$7:$C$420,0))*1000</f>
        <v>14016000</v>
      </c>
      <c r="E175" s="29">
        <v>14219</v>
      </c>
      <c r="F175" s="29" t="s">
        <v>13</v>
      </c>
    </row>
    <row r="176" spans="2:6" x14ac:dyDescent="0.25">
      <c r="B176">
        <v>155</v>
      </c>
      <c r="C176" t="s">
        <v>341</v>
      </c>
      <c r="D176">
        <f>INDEX(Data!$J$7:$J$420,MATCH('2021'!$C176,Data!$C$7:$C$420,0))*1000</f>
        <v>4512000</v>
      </c>
      <c r="E176" s="29">
        <v>3962</v>
      </c>
      <c r="F176" s="29" t="s">
        <v>13</v>
      </c>
    </row>
    <row r="177" spans="2:6" x14ac:dyDescent="0.25">
      <c r="B177">
        <v>156</v>
      </c>
      <c r="C177" t="s">
        <v>342</v>
      </c>
      <c r="D177">
        <f>INDEX(Data!$J$7:$J$420,MATCH('2021'!$C177,Data!$C$7:$C$420,0))*1000</f>
        <v>13119000</v>
      </c>
      <c r="E177" s="29">
        <v>11189</v>
      </c>
      <c r="F177" s="29" t="s">
        <v>13</v>
      </c>
    </row>
    <row r="178" spans="2:6" x14ac:dyDescent="0.25">
      <c r="B178">
        <v>157</v>
      </c>
      <c r="C178" t="s">
        <v>343</v>
      </c>
      <c r="D178">
        <f>INDEX(Data!$J$7:$J$420,MATCH('2021'!$C178,Data!$C$7:$C$420,0))*1000</f>
        <v>35673000</v>
      </c>
      <c r="E178" s="29">
        <v>32856</v>
      </c>
      <c r="F178" s="29" t="s">
        <v>15</v>
      </c>
    </row>
    <row r="179" spans="2:6" x14ac:dyDescent="0.25">
      <c r="B179">
        <v>158</v>
      </c>
      <c r="C179" t="s">
        <v>344</v>
      </c>
      <c r="D179">
        <f>INDEX(Data!$J$7:$J$420,MATCH('2021'!$C179,Data!$C$7:$C$420,0))*1000</f>
        <v>264862000</v>
      </c>
      <c r="E179" s="29">
        <v>321172</v>
      </c>
      <c r="F179" s="29" t="s">
        <v>15</v>
      </c>
    </row>
    <row r="180" spans="2:6" x14ac:dyDescent="0.25">
      <c r="B180">
        <v>159</v>
      </c>
      <c r="C180" t="s">
        <v>345</v>
      </c>
      <c r="D180">
        <f>INDEX(Data!$J$7:$J$420,MATCH('2021'!$C180,Data!$C$7:$C$420,0))*1000</f>
        <v>34764000</v>
      </c>
      <c r="E180" s="29">
        <v>22670</v>
      </c>
      <c r="F180" s="29" t="s">
        <v>15</v>
      </c>
    </row>
    <row r="181" spans="2:6" x14ac:dyDescent="0.25">
      <c r="B181">
        <v>160</v>
      </c>
      <c r="C181" t="s">
        <v>346</v>
      </c>
      <c r="D181">
        <f>INDEX(Data!$J$7:$J$420,MATCH('2021'!$C181,Data!$C$7:$C$420,0))*1000</f>
        <v>16293000</v>
      </c>
      <c r="E181" s="29">
        <v>13842</v>
      </c>
      <c r="F181" s="29" t="s">
        <v>15</v>
      </c>
    </row>
    <row r="182" spans="2:6" x14ac:dyDescent="0.25">
      <c r="B182">
        <v>161</v>
      </c>
      <c r="C182" t="s">
        <v>347</v>
      </c>
      <c r="D182">
        <f>INDEX(Data!$J$7:$J$420,MATCH('2021'!$C182,Data!$C$7:$C$420,0))*1000</f>
        <v>11816000</v>
      </c>
      <c r="E182" s="29">
        <v>8354</v>
      </c>
      <c r="F182" s="29" t="s">
        <v>15</v>
      </c>
    </row>
    <row r="183" spans="2:6" x14ac:dyDescent="0.25">
      <c r="B183">
        <v>162</v>
      </c>
      <c r="C183" t="s">
        <v>348</v>
      </c>
      <c r="D183">
        <f>INDEX(Data!$J$7:$J$420,MATCH('2021'!$C183,Data!$C$7:$C$420,0))*1000</f>
        <v>4966000</v>
      </c>
      <c r="E183" s="29">
        <v>4795</v>
      </c>
      <c r="F183" s="29" t="s">
        <v>15</v>
      </c>
    </row>
    <row r="184" spans="2:6" x14ac:dyDescent="0.25">
      <c r="B184">
        <v>163</v>
      </c>
      <c r="C184" t="s">
        <v>349</v>
      </c>
      <c r="D184">
        <f>INDEX(Data!$J$7:$J$420,MATCH('2021'!$C184,Data!$C$7:$C$420,0))*1000</f>
        <v>19502000</v>
      </c>
      <c r="E184" s="29">
        <v>16733</v>
      </c>
      <c r="F184" s="29" t="s">
        <v>15</v>
      </c>
    </row>
    <row r="185" spans="2:6" x14ac:dyDescent="0.25">
      <c r="B185">
        <v>164</v>
      </c>
      <c r="C185" t="s">
        <v>350</v>
      </c>
      <c r="D185">
        <f>INDEX(Data!$J$7:$J$420,MATCH('2021'!$C185,Data!$C$7:$C$420,0))*1000</f>
        <v>35497000</v>
      </c>
      <c r="E185" s="29">
        <v>34124</v>
      </c>
      <c r="F185" s="29" t="s">
        <v>15</v>
      </c>
    </row>
    <row r="186" spans="2:6" x14ac:dyDescent="0.25">
      <c r="B186">
        <v>165</v>
      </c>
      <c r="C186" t="s">
        <v>351</v>
      </c>
      <c r="D186">
        <f>INDEX(Data!$J$7:$J$420,MATCH('2021'!$C186,Data!$C$7:$C$420,0))*1000</f>
        <v>25017000</v>
      </c>
      <c r="E186" s="29">
        <v>22383</v>
      </c>
      <c r="F186" s="29" t="s">
        <v>15</v>
      </c>
    </row>
    <row r="187" spans="2:6" x14ac:dyDescent="0.25">
      <c r="B187">
        <v>166</v>
      </c>
      <c r="C187" t="s">
        <v>352</v>
      </c>
      <c r="D187">
        <f>INDEX(Data!$J$7:$J$420,MATCH('2021'!$C187,Data!$C$7:$C$420,0))*1000</f>
        <v>44394000</v>
      </c>
      <c r="E187" s="29">
        <v>38637</v>
      </c>
      <c r="F187" s="29" t="s">
        <v>15</v>
      </c>
    </row>
    <row r="188" spans="2:6" x14ac:dyDescent="0.25">
      <c r="B188">
        <v>167</v>
      </c>
      <c r="C188" t="s">
        <v>353</v>
      </c>
      <c r="D188">
        <f>INDEX(Data!$J$7:$J$420,MATCH('2021'!$C188,Data!$C$7:$C$420,0))*1000</f>
        <v>30071000</v>
      </c>
      <c r="E188" s="29">
        <v>26114</v>
      </c>
      <c r="F188" s="29" t="s">
        <v>15</v>
      </c>
    </row>
    <row r="189" spans="2:6" x14ac:dyDescent="0.25">
      <c r="B189">
        <v>168</v>
      </c>
      <c r="C189" t="s">
        <v>354</v>
      </c>
      <c r="D189">
        <f>INDEX(Data!$J$7:$J$420,MATCH('2021'!$C189,Data!$C$7:$C$420,0))*1000</f>
        <v>38562000</v>
      </c>
      <c r="E189" s="29">
        <v>35175</v>
      </c>
      <c r="F189" s="29" t="s">
        <v>15</v>
      </c>
    </row>
    <row r="190" spans="2:6" x14ac:dyDescent="0.25">
      <c r="B190">
        <v>169</v>
      </c>
      <c r="C190" t="s">
        <v>355</v>
      </c>
      <c r="D190">
        <f>INDEX(Data!$J$7:$J$420,MATCH('2021'!$C190,Data!$C$7:$C$420,0))*1000</f>
        <v>61738000</v>
      </c>
      <c r="E190" s="29">
        <v>57863</v>
      </c>
      <c r="F190" s="29" t="s">
        <v>15</v>
      </c>
    </row>
    <row r="191" spans="2:6" x14ac:dyDescent="0.25">
      <c r="B191">
        <v>170</v>
      </c>
      <c r="C191" t="s">
        <v>356</v>
      </c>
      <c r="D191">
        <f>INDEX(Data!$J$7:$J$420,MATCH('2021'!$C191,Data!$C$7:$C$420,0))*1000</f>
        <v>27515000</v>
      </c>
      <c r="E191" s="29">
        <v>24332</v>
      </c>
      <c r="F191" s="29" t="s">
        <v>15</v>
      </c>
    </row>
    <row r="192" spans="2:6" x14ac:dyDescent="0.25">
      <c r="B192">
        <v>171</v>
      </c>
      <c r="C192" t="s">
        <v>357</v>
      </c>
      <c r="D192">
        <f>INDEX(Data!$J$7:$J$420,MATCH('2021'!$C192,Data!$C$7:$C$420,0))*1000</f>
        <v>120657000</v>
      </c>
      <c r="E192" s="29">
        <v>93076</v>
      </c>
      <c r="F192" s="29" t="s">
        <v>16</v>
      </c>
    </row>
    <row r="193" spans="2:6" x14ac:dyDescent="0.25">
      <c r="B193">
        <v>172</v>
      </c>
      <c r="C193" t="s">
        <v>358</v>
      </c>
      <c r="D193">
        <f>INDEX(Data!$J$7:$J$420,MATCH('2021'!$C193,Data!$C$7:$C$420,0))*1000</f>
        <v>57530000</v>
      </c>
      <c r="E193" s="29">
        <v>48864</v>
      </c>
      <c r="F193" s="29" t="s">
        <v>16</v>
      </c>
    </row>
    <row r="194" spans="2:6" x14ac:dyDescent="0.25">
      <c r="B194">
        <v>173</v>
      </c>
      <c r="C194" t="s">
        <v>359</v>
      </c>
      <c r="D194">
        <f>INDEX(Data!$J$7:$J$420,MATCH('2021'!$C194,Data!$C$7:$C$420,0))*1000</f>
        <v>41774000</v>
      </c>
      <c r="E194" s="29">
        <v>25343</v>
      </c>
      <c r="F194" s="29" t="s">
        <v>16</v>
      </c>
    </row>
    <row r="195" spans="2:6" x14ac:dyDescent="0.25">
      <c r="B195">
        <v>174</v>
      </c>
      <c r="C195" t="s">
        <v>360</v>
      </c>
      <c r="D195">
        <f>INDEX(Data!$J$7:$J$420,MATCH('2021'!$C195,Data!$C$7:$C$420,0))*1000</f>
        <v>28460000</v>
      </c>
      <c r="E195" s="29">
        <v>31199</v>
      </c>
      <c r="F195" s="29" t="s">
        <v>16</v>
      </c>
    </row>
    <row r="196" spans="2:6" x14ac:dyDescent="0.25">
      <c r="B196">
        <v>175</v>
      </c>
      <c r="C196" t="s">
        <v>361</v>
      </c>
      <c r="D196">
        <f>INDEX(Data!$J$7:$J$420,MATCH('2021'!$C196,Data!$C$7:$C$420,0))*1000</f>
        <v>10389000</v>
      </c>
      <c r="E196" s="29">
        <v>10627</v>
      </c>
      <c r="F196" s="29" t="s">
        <v>16</v>
      </c>
    </row>
    <row r="197" spans="2:6" x14ac:dyDescent="0.25">
      <c r="B197">
        <v>176</v>
      </c>
      <c r="C197" t="s">
        <v>362</v>
      </c>
      <c r="D197">
        <f>INDEX(Data!$J$7:$J$420,MATCH('2021'!$C197,Data!$C$7:$C$420,0))*1000</f>
        <v>11759000</v>
      </c>
      <c r="E197" s="29">
        <v>8772</v>
      </c>
      <c r="F197" s="29" t="s">
        <v>16</v>
      </c>
    </row>
    <row r="198" spans="2:6" x14ac:dyDescent="0.25">
      <c r="B198">
        <v>177</v>
      </c>
      <c r="C198" t="s">
        <v>363</v>
      </c>
      <c r="D198">
        <f>INDEX(Data!$J$7:$J$420,MATCH('2021'!$C198,Data!$C$7:$C$420,0))*1000</f>
        <v>28021000</v>
      </c>
      <c r="E198" s="29">
        <v>29433</v>
      </c>
      <c r="F198" s="29" t="s">
        <v>16</v>
      </c>
    </row>
    <row r="199" spans="2:6" x14ac:dyDescent="0.25">
      <c r="B199">
        <v>178</v>
      </c>
      <c r="C199" t="s">
        <v>364</v>
      </c>
      <c r="D199">
        <f>INDEX(Data!$J$7:$J$420,MATCH('2021'!$C199,Data!$C$7:$C$420,0))*1000</f>
        <v>10794000</v>
      </c>
      <c r="E199" s="29">
        <v>9234</v>
      </c>
      <c r="F199" s="29" t="s">
        <v>16</v>
      </c>
    </row>
    <row r="200" spans="2:6" x14ac:dyDescent="0.25">
      <c r="B200">
        <v>179</v>
      </c>
      <c r="C200" t="s">
        <v>365</v>
      </c>
      <c r="D200">
        <f>INDEX(Data!$J$7:$J$420,MATCH('2021'!$C200,Data!$C$7:$C$420,0))*1000</f>
        <v>7062000</v>
      </c>
      <c r="E200" s="29">
        <v>5553</v>
      </c>
      <c r="F200" s="29" t="s">
        <v>16</v>
      </c>
    </row>
    <row r="201" spans="2:6" x14ac:dyDescent="0.25">
      <c r="B201">
        <v>180</v>
      </c>
      <c r="C201" t="s">
        <v>366</v>
      </c>
      <c r="D201">
        <f>INDEX(Data!$J$7:$J$420,MATCH('2021'!$C201,Data!$C$7:$C$420,0))*1000</f>
        <v>5791000</v>
      </c>
      <c r="E201" s="29">
        <v>6111</v>
      </c>
      <c r="F201" s="29" t="s">
        <v>16</v>
      </c>
    </row>
    <row r="202" spans="2:6" x14ac:dyDescent="0.25">
      <c r="B202">
        <v>181</v>
      </c>
      <c r="C202" t="s">
        <v>367</v>
      </c>
      <c r="D202">
        <f>INDEX(Data!$J$7:$J$420,MATCH('2021'!$C202,Data!$C$7:$C$420,0))*1000</f>
        <v>8928000</v>
      </c>
      <c r="E202" s="29">
        <v>8294</v>
      </c>
      <c r="F202" s="29" t="s">
        <v>16</v>
      </c>
    </row>
    <row r="203" spans="2:6" x14ac:dyDescent="0.25">
      <c r="B203">
        <v>182</v>
      </c>
      <c r="C203" t="s">
        <v>368</v>
      </c>
      <c r="D203">
        <f>INDEX(Data!$J$7:$J$420,MATCH('2021'!$C203,Data!$C$7:$C$420,0))*1000</f>
        <v>15672000</v>
      </c>
      <c r="E203" s="29">
        <v>12412</v>
      </c>
      <c r="F203" s="29" t="s">
        <v>17</v>
      </c>
    </row>
    <row r="204" spans="2:6" x14ac:dyDescent="0.25">
      <c r="B204">
        <v>183</v>
      </c>
      <c r="C204" t="s">
        <v>369</v>
      </c>
      <c r="D204">
        <f>INDEX(Data!$J$7:$J$420,MATCH('2021'!$C204,Data!$C$7:$C$420,0))*1000</f>
        <v>11312000</v>
      </c>
      <c r="E204" s="29">
        <v>11506</v>
      </c>
      <c r="F204" s="29" t="s">
        <v>17</v>
      </c>
    </row>
    <row r="205" spans="2:6" x14ac:dyDescent="0.25">
      <c r="B205">
        <v>184</v>
      </c>
      <c r="C205" t="s">
        <v>370</v>
      </c>
      <c r="D205">
        <f>INDEX(Data!$J$7:$J$420,MATCH('2021'!$C205,Data!$C$7:$C$420,0))*1000</f>
        <v>3681000</v>
      </c>
      <c r="E205" s="29">
        <v>4572</v>
      </c>
      <c r="F205" s="29" t="s">
        <v>17</v>
      </c>
    </row>
    <row r="206" spans="2:6" x14ac:dyDescent="0.25">
      <c r="B206">
        <v>185</v>
      </c>
      <c r="C206" t="s">
        <v>371</v>
      </c>
      <c r="D206">
        <f>INDEX(Data!$J$7:$J$420,MATCH('2021'!$C206,Data!$C$7:$C$420,0))*1000</f>
        <v>4725000</v>
      </c>
      <c r="E206" s="29">
        <v>3777</v>
      </c>
      <c r="F206" s="29" t="s">
        <v>17</v>
      </c>
    </row>
    <row r="207" spans="2:6" x14ac:dyDescent="0.25">
      <c r="B207">
        <v>186</v>
      </c>
      <c r="C207" t="s">
        <v>372</v>
      </c>
      <c r="D207">
        <f>INDEX(Data!$J$7:$J$420,MATCH('2021'!$C207,Data!$C$7:$C$420,0))*1000</f>
        <v>3464000</v>
      </c>
      <c r="E207" s="29">
        <v>4996</v>
      </c>
      <c r="F207" s="29" t="s">
        <v>17</v>
      </c>
    </row>
    <row r="208" spans="2:6" x14ac:dyDescent="0.25">
      <c r="B208">
        <v>187</v>
      </c>
      <c r="C208" t="s">
        <v>373</v>
      </c>
      <c r="D208">
        <f>INDEX(Data!$J$7:$J$420,MATCH('2021'!$C208,Data!$C$7:$C$420,0))*1000</f>
        <v>7420000</v>
      </c>
      <c r="E208" s="29">
        <v>6249</v>
      </c>
      <c r="F208" s="29" t="s">
        <v>17</v>
      </c>
    </row>
    <row r="209" spans="2:6" x14ac:dyDescent="0.25">
      <c r="B209">
        <v>188</v>
      </c>
      <c r="C209" t="s">
        <v>374</v>
      </c>
      <c r="D209">
        <f>INDEX(Data!$J$7:$J$420,MATCH('2021'!$C209,Data!$C$7:$C$420,0))*1000</f>
        <v>19183000</v>
      </c>
      <c r="E209" s="29">
        <v>13474</v>
      </c>
      <c r="F209" s="29" t="s">
        <v>17</v>
      </c>
    </row>
    <row r="210" spans="2:6" x14ac:dyDescent="0.25">
      <c r="B210">
        <v>189</v>
      </c>
      <c r="C210" t="s">
        <v>375</v>
      </c>
      <c r="D210">
        <f>INDEX(Data!$J$7:$J$420,MATCH('2021'!$C210,Data!$C$7:$C$420,0))*1000</f>
        <v>9742000</v>
      </c>
      <c r="E210" s="29">
        <v>8515</v>
      </c>
      <c r="F210" s="29" t="s">
        <v>17</v>
      </c>
    </row>
    <row r="211" spans="2:6" x14ac:dyDescent="0.25">
      <c r="B211">
        <v>190</v>
      </c>
      <c r="C211" t="s">
        <v>376</v>
      </c>
      <c r="D211">
        <f>INDEX(Data!$J$7:$J$420,MATCH('2021'!$C211,Data!$C$7:$C$420,0))*1000</f>
        <v>41451000</v>
      </c>
      <c r="E211" s="29">
        <v>43741</v>
      </c>
      <c r="F211" s="29" t="s">
        <v>17</v>
      </c>
    </row>
    <row r="212" spans="2:6" x14ac:dyDescent="0.25">
      <c r="B212">
        <v>191</v>
      </c>
      <c r="C212" t="s">
        <v>377</v>
      </c>
      <c r="D212">
        <f>INDEX(Data!$J$7:$J$420,MATCH('2021'!$C212,Data!$C$7:$C$420,0))*1000</f>
        <v>37536000</v>
      </c>
      <c r="E212" s="29">
        <v>41880</v>
      </c>
      <c r="F212" s="29" t="s">
        <v>17</v>
      </c>
    </row>
    <row r="213" spans="2:6" x14ac:dyDescent="0.25">
      <c r="B213">
        <v>192</v>
      </c>
      <c r="C213" t="s">
        <v>378</v>
      </c>
      <c r="D213">
        <f>INDEX(Data!$J$7:$J$420,MATCH('2021'!$C213,Data!$C$7:$C$420,0))*1000</f>
        <v>5195000</v>
      </c>
      <c r="E213" s="29">
        <v>4300</v>
      </c>
      <c r="F213" s="29" t="s">
        <v>17</v>
      </c>
    </row>
    <row r="214" spans="2:6" x14ac:dyDescent="0.25">
      <c r="B214">
        <v>193</v>
      </c>
      <c r="C214" t="s">
        <v>379</v>
      </c>
      <c r="D214">
        <f>INDEX(Data!$J$7:$J$420,MATCH('2021'!$C214,Data!$C$7:$C$420,0))*1000</f>
        <v>8211000</v>
      </c>
      <c r="E214" s="29">
        <v>8949</v>
      </c>
      <c r="F214" s="29" t="s">
        <v>17</v>
      </c>
    </row>
    <row r="215" spans="2:6" x14ac:dyDescent="0.25">
      <c r="B215">
        <v>194</v>
      </c>
      <c r="C215" t="s">
        <v>380</v>
      </c>
      <c r="D215">
        <f>INDEX(Data!$J$7:$J$420,MATCH('2021'!$C215,Data!$C$7:$C$420,0))*1000</f>
        <v>6193000</v>
      </c>
      <c r="E215" s="29">
        <v>5327</v>
      </c>
      <c r="F215" s="29" t="s">
        <v>17</v>
      </c>
    </row>
    <row r="216" spans="2:6" x14ac:dyDescent="0.25">
      <c r="B216">
        <v>195</v>
      </c>
      <c r="C216" t="s">
        <v>381</v>
      </c>
      <c r="D216">
        <f>INDEX(Data!$J$7:$J$420,MATCH('2021'!$C216,Data!$C$7:$C$420,0))*1000</f>
        <v>7856000</v>
      </c>
      <c r="E216" s="29">
        <v>6102</v>
      </c>
      <c r="F216" s="29" t="s">
        <v>17</v>
      </c>
    </row>
    <row r="217" spans="2:6" x14ac:dyDescent="0.25">
      <c r="B217">
        <v>196</v>
      </c>
      <c r="C217" t="s">
        <v>382</v>
      </c>
      <c r="D217">
        <f>INDEX(Data!$J$7:$J$420,MATCH('2021'!$C217,Data!$C$7:$C$420,0))*1000</f>
        <v>11251000</v>
      </c>
      <c r="E217" s="29">
        <v>10825</v>
      </c>
      <c r="F217" s="29" t="s">
        <v>17</v>
      </c>
    </row>
    <row r="218" spans="2:6" x14ac:dyDescent="0.25">
      <c r="B218">
        <v>197</v>
      </c>
      <c r="C218" t="s">
        <v>383</v>
      </c>
      <c r="D218">
        <f>INDEX(Data!$J$7:$J$420,MATCH('2021'!$C218,Data!$C$7:$C$420,0))*1000</f>
        <v>1480000</v>
      </c>
      <c r="E218" s="29">
        <v>1286</v>
      </c>
      <c r="F218" s="29" t="s">
        <v>17</v>
      </c>
    </row>
    <row r="219" spans="2:6" x14ac:dyDescent="0.25">
      <c r="B219">
        <v>198</v>
      </c>
      <c r="C219" t="s">
        <v>384</v>
      </c>
      <c r="D219">
        <f>INDEX(Data!$J$7:$J$420,MATCH('2021'!$C219,Data!$C$7:$C$420,0))*1000</f>
        <v>3329000</v>
      </c>
      <c r="E219" s="29">
        <v>2356</v>
      </c>
      <c r="F219" s="29" t="s">
        <v>17</v>
      </c>
    </row>
    <row r="220" spans="2:6" x14ac:dyDescent="0.25">
      <c r="B220">
        <v>199</v>
      </c>
      <c r="C220" t="s">
        <v>385</v>
      </c>
      <c r="D220">
        <f>INDEX(Data!$J$7:$J$420,MATCH('2021'!$C220,Data!$C$7:$C$420,0))*1000</f>
        <v>14475000</v>
      </c>
      <c r="E220" s="29">
        <v>12334</v>
      </c>
      <c r="F220" s="29" t="s">
        <v>17</v>
      </c>
    </row>
    <row r="221" spans="2:6" x14ac:dyDescent="0.25">
      <c r="B221">
        <v>200</v>
      </c>
      <c r="C221" t="s">
        <v>386</v>
      </c>
      <c r="D221">
        <f>INDEX(Data!$J$7:$J$420,MATCH('2021'!$C221,Data!$C$7:$C$420,0))*1000</f>
        <v>29837000</v>
      </c>
      <c r="E221" s="29">
        <v>26492</v>
      </c>
      <c r="F221" s="29" t="s">
        <v>17</v>
      </c>
    </row>
    <row r="222" spans="2:6" x14ac:dyDescent="0.25">
      <c r="B222">
        <v>201</v>
      </c>
      <c r="C222" t="s">
        <v>387</v>
      </c>
      <c r="D222">
        <f>INDEX(Data!$J$7:$J$420,MATCH('2021'!$C222,Data!$C$7:$C$420,0))*1000</f>
        <v>25095000</v>
      </c>
      <c r="E222" s="29">
        <v>22212</v>
      </c>
      <c r="F222" s="29" t="s">
        <v>5</v>
      </c>
    </row>
    <row r="223" spans="2:6" x14ac:dyDescent="0.25">
      <c r="B223">
        <v>202</v>
      </c>
      <c r="C223" t="s">
        <v>388</v>
      </c>
      <c r="D223">
        <f>INDEX(Data!$J$7:$J$420,MATCH('2021'!$C223,Data!$C$7:$C$420,0))*1000</f>
        <v>34934000</v>
      </c>
      <c r="E223" s="29">
        <v>34831</v>
      </c>
      <c r="F223" s="29" t="s">
        <v>5</v>
      </c>
    </row>
    <row r="224" spans="2:6" x14ac:dyDescent="0.25">
      <c r="B224">
        <v>203</v>
      </c>
      <c r="C224" t="s">
        <v>389</v>
      </c>
      <c r="D224">
        <f>INDEX(Data!$J$7:$J$420,MATCH('2021'!$C224,Data!$C$7:$C$420,0))*1000</f>
        <v>18452000</v>
      </c>
      <c r="E224" s="29">
        <v>20489</v>
      </c>
      <c r="F224" s="29" t="s">
        <v>5</v>
      </c>
    </row>
    <row r="225" spans="2:6" x14ac:dyDescent="0.25">
      <c r="B225">
        <v>204</v>
      </c>
      <c r="C225" t="s">
        <v>390</v>
      </c>
      <c r="D225">
        <f>INDEX(Data!$J$7:$J$420,MATCH('2021'!$C225,Data!$C$7:$C$420,0))*1000</f>
        <v>10120000</v>
      </c>
      <c r="E225" s="29">
        <v>11666</v>
      </c>
      <c r="F225" s="29" t="s">
        <v>5</v>
      </c>
    </row>
    <row r="226" spans="2:6" x14ac:dyDescent="0.25">
      <c r="B226">
        <v>205</v>
      </c>
      <c r="C226" t="s">
        <v>391</v>
      </c>
      <c r="D226">
        <f>INDEX(Data!$J$7:$J$420,MATCH('2021'!$C226,Data!$C$7:$C$420,0))*1000</f>
        <v>10533000</v>
      </c>
      <c r="E226" s="29">
        <v>9367</v>
      </c>
      <c r="F226" s="29" t="s">
        <v>5</v>
      </c>
    </row>
    <row r="227" spans="2:6" x14ac:dyDescent="0.25">
      <c r="B227">
        <v>206</v>
      </c>
      <c r="C227" t="s">
        <v>392</v>
      </c>
      <c r="D227">
        <f>INDEX(Data!$J$7:$J$420,MATCH('2021'!$C227,Data!$C$7:$C$420,0))*1000</f>
        <v>36257000</v>
      </c>
      <c r="E227" s="29">
        <v>44481</v>
      </c>
      <c r="F227" s="29" t="s">
        <v>5</v>
      </c>
    </row>
    <row r="228" spans="2:6" x14ac:dyDescent="0.25">
      <c r="B228">
        <v>207</v>
      </c>
      <c r="C228" t="s">
        <v>393</v>
      </c>
      <c r="D228">
        <f>INDEX(Data!$J$7:$J$420,MATCH('2021'!$C228,Data!$C$7:$C$420,0))*1000</f>
        <v>10095000</v>
      </c>
      <c r="E228" s="29">
        <v>10367</v>
      </c>
      <c r="F228" s="29" t="s">
        <v>5</v>
      </c>
    </row>
    <row r="229" spans="2:6" x14ac:dyDescent="0.25">
      <c r="B229">
        <v>208</v>
      </c>
      <c r="C229" t="s">
        <v>394</v>
      </c>
      <c r="D229">
        <f>INDEX(Data!$J$7:$J$420,MATCH('2021'!$C229,Data!$C$7:$C$420,0))*1000</f>
        <v>38382000</v>
      </c>
      <c r="E229" s="29">
        <v>36427</v>
      </c>
      <c r="F229" s="29" t="s">
        <v>5</v>
      </c>
    </row>
    <row r="230" spans="2:6" x14ac:dyDescent="0.25">
      <c r="B230">
        <v>209</v>
      </c>
      <c r="C230" t="s">
        <v>395</v>
      </c>
      <c r="D230">
        <f>INDEX(Data!$J$7:$J$420,MATCH('2021'!$C230,Data!$C$7:$C$420,0))*1000</f>
        <v>36455000</v>
      </c>
      <c r="E230" s="29">
        <v>34998</v>
      </c>
      <c r="F230" s="29" t="s">
        <v>5</v>
      </c>
    </row>
    <row r="231" spans="2:6" x14ac:dyDescent="0.25">
      <c r="B231">
        <v>210</v>
      </c>
      <c r="C231" t="s">
        <v>396</v>
      </c>
      <c r="D231">
        <f>INDEX(Data!$J$7:$J$420,MATCH('2021'!$C231,Data!$C$7:$C$420,0))*1000</f>
        <v>35861000</v>
      </c>
      <c r="E231" s="29">
        <v>30974</v>
      </c>
      <c r="F231" s="29" t="s">
        <v>5</v>
      </c>
    </row>
    <row r="232" spans="2:6" x14ac:dyDescent="0.25">
      <c r="B232">
        <v>211</v>
      </c>
      <c r="C232" t="s">
        <v>397</v>
      </c>
      <c r="D232">
        <f>INDEX(Data!$J$7:$J$420,MATCH('2021'!$C232,Data!$C$7:$C$420,0))*1000</f>
        <v>59066000</v>
      </c>
      <c r="E232" s="29">
        <v>58277</v>
      </c>
      <c r="F232" s="29" t="s">
        <v>5</v>
      </c>
    </row>
    <row r="233" spans="2:6" x14ac:dyDescent="0.25">
      <c r="B233">
        <v>212</v>
      </c>
      <c r="C233" t="s">
        <v>398</v>
      </c>
      <c r="D233">
        <f>INDEX(Data!$J$7:$J$420,MATCH('2021'!$C233,Data!$C$7:$C$420,0))*1000</f>
        <v>23568000</v>
      </c>
      <c r="E233" s="29">
        <v>22373</v>
      </c>
      <c r="F233" s="29" t="s">
        <v>5</v>
      </c>
    </row>
    <row r="234" spans="2:6" x14ac:dyDescent="0.25">
      <c r="B234">
        <v>213</v>
      </c>
      <c r="C234" t="s">
        <v>399</v>
      </c>
      <c r="D234">
        <f>INDEX(Data!$J$7:$J$420,MATCH('2021'!$C234,Data!$C$7:$C$420,0))*1000</f>
        <v>47099000</v>
      </c>
      <c r="E234" s="29">
        <v>45629</v>
      </c>
      <c r="F234" s="29" t="s">
        <v>5</v>
      </c>
    </row>
    <row r="235" spans="2:6" x14ac:dyDescent="0.25">
      <c r="B235">
        <v>214</v>
      </c>
      <c r="C235" t="s">
        <v>400</v>
      </c>
      <c r="D235">
        <f>INDEX(Data!$J$7:$J$420,MATCH('2021'!$C235,Data!$C$7:$C$420,0))*1000</f>
        <v>8579000</v>
      </c>
      <c r="E235" s="29">
        <v>8040</v>
      </c>
      <c r="F235" s="29" t="s">
        <v>5</v>
      </c>
    </row>
    <row r="236" spans="2:6" x14ac:dyDescent="0.25">
      <c r="B236">
        <v>215</v>
      </c>
      <c r="C236" t="s">
        <v>401</v>
      </c>
      <c r="D236">
        <f>INDEX(Data!$J$7:$J$420,MATCH('2021'!$C236,Data!$C$7:$C$420,0))*1000</f>
        <v>68123000</v>
      </c>
      <c r="E236" s="29">
        <v>61816</v>
      </c>
      <c r="F236" s="29" t="s">
        <v>5</v>
      </c>
    </row>
    <row r="237" spans="2:6" x14ac:dyDescent="0.25">
      <c r="B237">
        <v>216</v>
      </c>
      <c r="C237" t="s">
        <v>402</v>
      </c>
      <c r="D237">
        <f>INDEX(Data!$J$7:$J$420,MATCH('2021'!$C237,Data!$C$7:$C$420,0))*1000</f>
        <v>158674000</v>
      </c>
      <c r="E237" s="29">
        <v>137340</v>
      </c>
      <c r="F237" s="29" t="s">
        <v>5</v>
      </c>
    </row>
    <row r="238" spans="2:6" x14ac:dyDescent="0.25">
      <c r="B238">
        <v>217</v>
      </c>
      <c r="C238" t="s">
        <v>403</v>
      </c>
      <c r="D238">
        <f>INDEX(Data!$J$7:$J$420,MATCH('2021'!$C238,Data!$C$7:$C$420,0))*1000</f>
        <v>14278000</v>
      </c>
      <c r="E238" s="29">
        <v>11995</v>
      </c>
      <c r="F238" s="29" t="s">
        <v>5</v>
      </c>
    </row>
    <row r="239" spans="2:6" x14ac:dyDescent="0.25">
      <c r="B239">
        <v>218</v>
      </c>
      <c r="C239" t="s">
        <v>404</v>
      </c>
      <c r="D239">
        <f>INDEX(Data!$J$7:$J$420,MATCH('2021'!$C239,Data!$C$7:$C$420,0))*1000</f>
        <v>43090000</v>
      </c>
      <c r="E239" s="29">
        <v>34188</v>
      </c>
      <c r="F239" s="29" t="s">
        <v>5</v>
      </c>
    </row>
    <row r="240" spans="2:6" x14ac:dyDescent="0.25">
      <c r="B240">
        <v>219</v>
      </c>
      <c r="C240" t="s">
        <v>405</v>
      </c>
      <c r="D240">
        <f>INDEX(Data!$J$7:$J$420,MATCH('2021'!$C240,Data!$C$7:$C$420,0))*1000</f>
        <v>29737000</v>
      </c>
      <c r="E240" s="29">
        <v>28362</v>
      </c>
      <c r="F240" s="29" t="s">
        <v>5</v>
      </c>
    </row>
    <row r="241" spans="2:6" x14ac:dyDescent="0.25">
      <c r="B241">
        <v>220</v>
      </c>
      <c r="C241" t="s">
        <v>406</v>
      </c>
      <c r="D241">
        <f>INDEX(Data!$J$7:$J$420,MATCH('2021'!$C241,Data!$C$7:$C$420,0))*1000</f>
        <v>40644000</v>
      </c>
      <c r="E241" s="29">
        <v>40242</v>
      </c>
      <c r="F241" s="29" t="s">
        <v>5</v>
      </c>
    </row>
    <row r="242" spans="2:6" x14ac:dyDescent="0.25">
      <c r="B242">
        <v>221</v>
      </c>
      <c r="C242" t="s">
        <v>407</v>
      </c>
      <c r="D242">
        <f>INDEX(Data!$J$7:$J$420,MATCH('2021'!$C242,Data!$C$7:$C$420,0))*1000</f>
        <v>12301000</v>
      </c>
      <c r="E242" s="29">
        <v>13109</v>
      </c>
      <c r="F242" s="29" t="s">
        <v>5</v>
      </c>
    </row>
    <row r="243" spans="2:6" x14ac:dyDescent="0.25">
      <c r="B243">
        <v>222</v>
      </c>
      <c r="C243" t="s">
        <v>408</v>
      </c>
      <c r="D243">
        <f>INDEX(Data!$J$7:$J$420,MATCH('2021'!$C243,Data!$C$7:$C$420,0))*1000</f>
        <v>11881000</v>
      </c>
      <c r="E243" s="29">
        <v>9423</v>
      </c>
      <c r="F243" s="29" t="s">
        <v>5</v>
      </c>
    </row>
    <row r="244" spans="2:6" x14ac:dyDescent="0.25">
      <c r="B244">
        <v>223</v>
      </c>
      <c r="C244" t="s">
        <v>409</v>
      </c>
      <c r="D244">
        <f>INDEX(Data!$J$7:$J$420,MATCH('2021'!$C244,Data!$C$7:$C$420,0))*1000</f>
        <v>25072000</v>
      </c>
      <c r="E244" s="29">
        <v>20805</v>
      </c>
      <c r="F244" s="29" t="s">
        <v>5</v>
      </c>
    </row>
    <row r="245" spans="2:6" x14ac:dyDescent="0.25">
      <c r="B245">
        <v>224</v>
      </c>
      <c r="C245" t="s">
        <v>410</v>
      </c>
      <c r="D245">
        <f>INDEX(Data!$J$7:$J$420,MATCH('2021'!$C245,Data!$C$7:$C$420,0))*1000</f>
        <v>31882000</v>
      </c>
      <c r="E245" s="29">
        <v>32298</v>
      </c>
      <c r="F245" s="29" t="s">
        <v>5</v>
      </c>
    </row>
    <row r="246" spans="2:6" x14ac:dyDescent="0.25">
      <c r="B246">
        <v>225</v>
      </c>
      <c r="C246" t="s">
        <v>411</v>
      </c>
      <c r="D246">
        <f>INDEX(Data!$J$7:$J$420,MATCH('2021'!$C246,Data!$C$7:$C$420,0))*1000</f>
        <v>46151000</v>
      </c>
      <c r="E246" s="29">
        <v>39802</v>
      </c>
      <c r="F246" s="29" t="s">
        <v>5</v>
      </c>
    </row>
    <row r="247" spans="2:6" x14ac:dyDescent="0.25">
      <c r="B247">
        <v>226</v>
      </c>
      <c r="C247" t="s">
        <v>412</v>
      </c>
      <c r="D247">
        <f>INDEX(Data!$J$7:$J$420,MATCH('2021'!$C247,Data!$C$7:$C$420,0))*1000</f>
        <v>32775000</v>
      </c>
      <c r="E247" s="29">
        <v>29293</v>
      </c>
      <c r="F247" s="29" t="s">
        <v>5</v>
      </c>
    </row>
    <row r="248" spans="2:6" x14ac:dyDescent="0.25">
      <c r="B248">
        <v>227</v>
      </c>
      <c r="C248" t="s">
        <v>413</v>
      </c>
      <c r="D248">
        <f>INDEX(Data!$J$7:$J$420,MATCH('2021'!$C248,Data!$C$7:$C$420,0))*1000</f>
        <v>22863000</v>
      </c>
      <c r="E248" s="29">
        <v>20228</v>
      </c>
      <c r="F248" s="29" t="s">
        <v>5</v>
      </c>
    </row>
    <row r="249" spans="2:6" x14ac:dyDescent="0.25">
      <c r="B249">
        <v>228</v>
      </c>
      <c r="C249" t="s">
        <v>414</v>
      </c>
      <c r="D249">
        <f>INDEX(Data!$J$7:$J$420,MATCH('2021'!$C249,Data!$C$7:$C$420,0))*1000</f>
        <v>20339000</v>
      </c>
      <c r="E249" s="29">
        <v>21083</v>
      </c>
      <c r="F249" s="29" t="s">
        <v>5</v>
      </c>
    </row>
    <row r="250" spans="2:6" x14ac:dyDescent="0.25">
      <c r="B250">
        <v>229</v>
      </c>
      <c r="C250" t="s">
        <v>415</v>
      </c>
      <c r="D250" t="e">
        <f>INDEX(Data!$J$7:$J$420,MATCH('2021'!$C250,Data!$C$7:$C$420,0))*1000</f>
        <v>#N/A</v>
      </c>
      <c r="E250" s="29">
        <v>48086</v>
      </c>
      <c r="F250" s="29" t="s">
        <v>5</v>
      </c>
    </row>
    <row r="251" spans="2:6" x14ac:dyDescent="0.25">
      <c r="B251">
        <v>230</v>
      </c>
      <c r="C251" t="s">
        <v>416</v>
      </c>
      <c r="D251">
        <f>INDEX(Data!$J$7:$J$420,MATCH('2021'!$C251,Data!$C$7:$C$420,0))*1000</f>
        <v>6559000</v>
      </c>
      <c r="E251" s="29">
        <v>5718</v>
      </c>
      <c r="F251" s="29" t="s">
        <v>6</v>
      </c>
    </row>
    <row r="252" spans="2:6" x14ac:dyDescent="0.25">
      <c r="B252">
        <v>231</v>
      </c>
      <c r="C252" t="s">
        <v>417</v>
      </c>
      <c r="D252">
        <f>INDEX(Data!$J$7:$J$420,MATCH('2021'!$C252,Data!$C$7:$C$420,0))*1000</f>
        <v>12645000</v>
      </c>
      <c r="E252" s="29">
        <v>12666</v>
      </c>
      <c r="F252" s="29" t="s">
        <v>6</v>
      </c>
    </row>
    <row r="253" spans="2:6" x14ac:dyDescent="0.25">
      <c r="B253">
        <v>232</v>
      </c>
      <c r="C253" t="s">
        <v>418</v>
      </c>
      <c r="D253">
        <f>INDEX(Data!$J$7:$J$420,MATCH('2021'!$C253,Data!$C$7:$C$420,0))*1000</f>
        <v>7638000</v>
      </c>
      <c r="E253" s="29">
        <v>6661</v>
      </c>
      <c r="F253" s="29" t="s">
        <v>6</v>
      </c>
    </row>
    <row r="254" spans="2:6" x14ac:dyDescent="0.25">
      <c r="B254">
        <v>233</v>
      </c>
      <c r="C254" t="s">
        <v>419</v>
      </c>
      <c r="D254">
        <f>INDEX(Data!$J$7:$J$420,MATCH('2021'!$C254,Data!$C$7:$C$420,0))*1000</f>
        <v>8582000</v>
      </c>
      <c r="E254" s="29">
        <v>7255</v>
      </c>
      <c r="F254" s="29" t="s">
        <v>6</v>
      </c>
    </row>
    <row r="255" spans="2:6" x14ac:dyDescent="0.25">
      <c r="B255">
        <v>234</v>
      </c>
      <c r="C255" t="s">
        <v>420</v>
      </c>
      <c r="D255">
        <f>INDEX(Data!$J$7:$J$420,MATCH('2021'!$C255,Data!$C$7:$C$420,0))*1000</f>
        <v>3689000</v>
      </c>
      <c r="E255" s="29">
        <v>3295</v>
      </c>
      <c r="F255" s="29" t="s">
        <v>6</v>
      </c>
    </row>
    <row r="256" spans="2:6" x14ac:dyDescent="0.25">
      <c r="B256">
        <v>235</v>
      </c>
      <c r="C256" t="s">
        <v>421</v>
      </c>
      <c r="D256">
        <f>INDEX(Data!$J$7:$J$420,MATCH('2021'!$C256,Data!$C$7:$C$420,0))*1000</f>
        <v>10783000</v>
      </c>
      <c r="E256" s="29">
        <v>9721</v>
      </c>
      <c r="F256" s="29" t="s">
        <v>6</v>
      </c>
    </row>
    <row r="257" spans="2:6" x14ac:dyDescent="0.25">
      <c r="B257">
        <v>236</v>
      </c>
      <c r="C257" t="s">
        <v>422</v>
      </c>
      <c r="D257">
        <f>INDEX(Data!$J$7:$J$420,MATCH('2021'!$C257,Data!$C$7:$C$420,0))*1000</f>
        <v>10844000</v>
      </c>
      <c r="E257" s="29">
        <v>10926</v>
      </c>
      <c r="F257" s="29" t="s">
        <v>6</v>
      </c>
    </row>
    <row r="258" spans="2:6" x14ac:dyDescent="0.25">
      <c r="B258">
        <v>237</v>
      </c>
      <c r="C258" t="s">
        <v>423</v>
      </c>
      <c r="D258">
        <f>INDEX(Data!$J$7:$J$420,MATCH('2021'!$C258,Data!$C$7:$C$420,0))*1000</f>
        <v>8534000</v>
      </c>
      <c r="E258" s="29">
        <v>9147</v>
      </c>
      <c r="F258" s="29" t="s">
        <v>6</v>
      </c>
    </row>
    <row r="259" spans="2:6" x14ac:dyDescent="0.25">
      <c r="B259">
        <v>238</v>
      </c>
      <c r="C259" t="s">
        <v>424</v>
      </c>
      <c r="D259">
        <f>INDEX(Data!$J$7:$J$420,MATCH('2021'!$C259,Data!$C$7:$C$420,0))*1000</f>
        <v>6246000</v>
      </c>
      <c r="E259" s="29">
        <v>5329</v>
      </c>
      <c r="F259" s="29" t="s">
        <v>8</v>
      </c>
    </row>
    <row r="260" spans="2:6" x14ac:dyDescent="0.25">
      <c r="B260">
        <v>239</v>
      </c>
      <c r="C260" t="s">
        <v>425</v>
      </c>
      <c r="D260">
        <f>INDEX(Data!$J$7:$J$420,MATCH('2021'!$C260,Data!$C$7:$C$420,0))*1000</f>
        <v>40082000</v>
      </c>
      <c r="E260" s="29">
        <v>34562</v>
      </c>
      <c r="F260" s="29" t="s">
        <v>8</v>
      </c>
    </row>
    <row r="261" spans="2:6" x14ac:dyDescent="0.25">
      <c r="B261">
        <v>240</v>
      </c>
      <c r="C261" t="s">
        <v>426</v>
      </c>
      <c r="D261">
        <f>INDEX(Data!$J$7:$J$420,MATCH('2021'!$C261,Data!$C$7:$C$420,0))*1000</f>
        <v>31217000</v>
      </c>
      <c r="E261" s="29">
        <v>23280</v>
      </c>
      <c r="F261" s="29" t="s">
        <v>8</v>
      </c>
    </row>
    <row r="262" spans="2:6" x14ac:dyDescent="0.25">
      <c r="B262">
        <v>241</v>
      </c>
      <c r="C262" t="s">
        <v>427</v>
      </c>
      <c r="D262">
        <f>INDEX(Data!$J$7:$J$420,MATCH('2021'!$C262,Data!$C$7:$C$420,0))*1000</f>
        <v>66374000</v>
      </c>
      <c r="E262" s="29">
        <v>52927</v>
      </c>
      <c r="F262" s="29" t="s">
        <v>8</v>
      </c>
    </row>
    <row r="263" spans="2:6" x14ac:dyDescent="0.25">
      <c r="B263">
        <v>242</v>
      </c>
      <c r="C263" t="s">
        <v>428</v>
      </c>
      <c r="D263">
        <f>INDEX(Data!$J$7:$J$420,MATCH('2021'!$C263,Data!$C$7:$C$420,0))*1000</f>
        <v>22304000</v>
      </c>
      <c r="E263" s="29">
        <v>21772</v>
      </c>
      <c r="F263" s="29" t="s">
        <v>8</v>
      </c>
    </row>
    <row r="264" spans="2:6" x14ac:dyDescent="0.25">
      <c r="B264">
        <v>243</v>
      </c>
      <c r="C264" t="s">
        <v>429</v>
      </c>
      <c r="D264">
        <f>INDEX(Data!$J$7:$J$420,MATCH('2021'!$C264,Data!$C$7:$C$420,0))*1000</f>
        <v>5812000</v>
      </c>
      <c r="E264" s="29">
        <v>4302</v>
      </c>
      <c r="F264" s="29" t="s">
        <v>8</v>
      </c>
    </row>
    <row r="265" spans="2:6" x14ac:dyDescent="0.25">
      <c r="B265">
        <v>244</v>
      </c>
      <c r="C265" t="s">
        <v>430</v>
      </c>
      <c r="D265">
        <f>INDEX(Data!$J$7:$J$420,MATCH('2021'!$C265,Data!$C$7:$C$420,0))*1000</f>
        <v>13644000</v>
      </c>
      <c r="E265" s="29">
        <v>14790</v>
      </c>
      <c r="F265" s="29" t="s">
        <v>8</v>
      </c>
    </row>
    <row r="266" spans="2:6" x14ac:dyDescent="0.25">
      <c r="B266">
        <v>245</v>
      </c>
      <c r="C266" t="s">
        <v>431</v>
      </c>
      <c r="D266">
        <f>INDEX(Data!$J$7:$J$420,MATCH('2021'!$C266,Data!$C$7:$C$420,0))*1000</f>
        <v>5940000</v>
      </c>
      <c r="E266" s="29">
        <v>4946</v>
      </c>
      <c r="F266" s="29" t="s">
        <v>8</v>
      </c>
    </row>
    <row r="267" spans="2:6" x14ac:dyDescent="0.25">
      <c r="B267">
        <v>246</v>
      </c>
      <c r="C267" t="s">
        <v>432</v>
      </c>
      <c r="D267">
        <f>INDEX(Data!$J$7:$J$420,MATCH('2021'!$C267,Data!$C$7:$C$420,0))*1000</f>
        <v>77986000</v>
      </c>
      <c r="E267" s="29">
        <v>67740</v>
      </c>
      <c r="F267" s="29" t="s">
        <v>8</v>
      </c>
    </row>
    <row r="268" spans="2:6" x14ac:dyDescent="0.25">
      <c r="B268">
        <v>247</v>
      </c>
      <c r="C268" t="s">
        <v>433</v>
      </c>
      <c r="D268">
        <f>INDEX(Data!$J$7:$J$420,MATCH('2021'!$C268,Data!$C$7:$C$420,0))*1000</f>
        <v>3170000</v>
      </c>
      <c r="E268" s="29">
        <v>2876</v>
      </c>
      <c r="F268" s="29" t="s">
        <v>8</v>
      </c>
    </row>
    <row r="269" spans="2:6" x14ac:dyDescent="0.25">
      <c r="B269">
        <v>248</v>
      </c>
      <c r="C269" t="s">
        <v>434</v>
      </c>
      <c r="D269">
        <f>INDEX(Data!$J$7:$J$420,MATCH('2021'!$C269,Data!$C$7:$C$420,0))*1000</f>
        <v>549378000</v>
      </c>
      <c r="E269" s="29">
        <v>728755</v>
      </c>
      <c r="F269" s="29" t="s">
        <v>9</v>
      </c>
    </row>
    <row r="270" spans="2:6" x14ac:dyDescent="0.25">
      <c r="B270">
        <v>249</v>
      </c>
      <c r="C270" t="s">
        <v>435</v>
      </c>
      <c r="D270">
        <f>INDEX(Data!$J$7:$J$420,MATCH('2021'!$C270,Data!$C$7:$C$420,0))*1000</f>
        <v>13999000</v>
      </c>
      <c r="E270" s="29">
        <v>12988</v>
      </c>
      <c r="F270" s="29" t="s">
        <v>9</v>
      </c>
    </row>
    <row r="271" spans="2:6" x14ac:dyDescent="0.25">
      <c r="B271">
        <v>250</v>
      </c>
      <c r="C271" t="s">
        <v>436</v>
      </c>
      <c r="D271">
        <f>INDEX(Data!$J$7:$J$420,MATCH('2021'!$C271,Data!$C$7:$C$420,0))*1000</f>
        <v>12024000</v>
      </c>
      <c r="E271" s="29">
        <v>10039</v>
      </c>
      <c r="F271" s="29" t="s">
        <v>9</v>
      </c>
    </row>
    <row r="272" spans="2:6" x14ac:dyDescent="0.25">
      <c r="B272">
        <v>251</v>
      </c>
      <c r="C272" t="s">
        <v>437</v>
      </c>
      <c r="D272">
        <f>INDEX(Data!$J$7:$J$420,MATCH('2021'!$C272,Data!$C$7:$C$420,0))*1000</f>
        <v>22914000</v>
      </c>
      <c r="E272" s="29">
        <v>23731</v>
      </c>
      <c r="F272" s="29" t="s">
        <v>9</v>
      </c>
    </row>
    <row r="273" spans="2:7" x14ac:dyDescent="0.25">
      <c r="B273">
        <v>252</v>
      </c>
      <c r="C273" s="30" t="s">
        <v>438</v>
      </c>
      <c r="D273">
        <f>INDEX(Data!$J$7:$J$420,MATCH('2021'!$C273,Data!$C$7:$C$420,0))*1000</f>
        <v>49411000</v>
      </c>
      <c r="E273" s="29">
        <v>42533</v>
      </c>
      <c r="F273" s="29" t="s">
        <v>35</v>
      </c>
      <c r="G273" t="s">
        <v>611</v>
      </c>
    </row>
    <row r="274" spans="2:7" x14ac:dyDescent="0.25">
      <c r="B274">
        <v>253</v>
      </c>
      <c r="C274" s="30" t="s">
        <v>439</v>
      </c>
      <c r="D274">
        <f>INDEX(Data!$J$7:$J$420,MATCH('2021'!$C274,Data!$C$7:$C$420,0))*1000</f>
        <v>10458000</v>
      </c>
      <c r="E274" s="29">
        <v>7754</v>
      </c>
      <c r="F274" s="29" t="s">
        <v>35</v>
      </c>
      <c r="G274" t="s">
        <v>611</v>
      </c>
    </row>
    <row r="275" spans="2:7" x14ac:dyDescent="0.25">
      <c r="B275">
        <v>254</v>
      </c>
      <c r="C275" s="30" t="s">
        <v>440</v>
      </c>
      <c r="D275">
        <f>INDEX(Data!$J$7:$J$420,MATCH('2021'!$C275,Data!$C$7:$C$420,0))*1000</f>
        <v>5736000</v>
      </c>
      <c r="E275" s="29">
        <v>6485</v>
      </c>
      <c r="F275" s="29" t="s">
        <v>35</v>
      </c>
      <c r="G275" t="s">
        <v>611</v>
      </c>
    </row>
    <row r="276" spans="2:7" x14ac:dyDescent="0.25">
      <c r="B276">
        <v>255</v>
      </c>
      <c r="C276" s="30" t="s">
        <v>441</v>
      </c>
      <c r="D276">
        <f>INDEX(Data!$J$7:$J$420,MATCH('2021'!$C276,Data!$C$7:$C$420,0))*1000</f>
        <v>34074000</v>
      </c>
      <c r="E276" s="29">
        <v>30882</v>
      </c>
      <c r="F276" s="29" t="s">
        <v>35</v>
      </c>
      <c r="G276" t="s">
        <v>611</v>
      </c>
    </row>
    <row r="277" spans="2:7" x14ac:dyDescent="0.25">
      <c r="B277">
        <v>256</v>
      </c>
      <c r="C277" s="30" t="s">
        <v>442</v>
      </c>
      <c r="D277">
        <f>INDEX(Data!$J$7:$J$420,MATCH('2021'!$C277,Data!$C$7:$C$420,0))*1000</f>
        <v>108830000</v>
      </c>
      <c r="E277" s="29">
        <v>94610</v>
      </c>
      <c r="F277" s="29" t="s">
        <v>35</v>
      </c>
      <c r="G277" t="s">
        <v>611</v>
      </c>
    </row>
    <row r="278" spans="2:7" x14ac:dyDescent="0.25">
      <c r="B278">
        <v>257</v>
      </c>
      <c r="C278" s="30" t="s">
        <v>443</v>
      </c>
      <c r="D278">
        <f>INDEX(Data!$J$7:$J$420,MATCH('2021'!$C278,Data!$C$7:$C$420,0))*1000</f>
        <v>83718000</v>
      </c>
      <c r="E278" s="29">
        <v>66433</v>
      </c>
      <c r="F278" s="29" t="s">
        <v>35</v>
      </c>
      <c r="G278" t="s">
        <v>611</v>
      </c>
    </row>
    <row r="279" spans="2:7" x14ac:dyDescent="0.25">
      <c r="B279">
        <v>258</v>
      </c>
      <c r="C279" s="30" t="s">
        <v>444</v>
      </c>
      <c r="D279">
        <f>INDEX(Data!$J$7:$J$420,MATCH('2021'!$C279,Data!$C$7:$C$420,0))*1000</f>
        <v>14486000</v>
      </c>
      <c r="E279" s="29">
        <v>12798</v>
      </c>
      <c r="F279" s="29" t="s">
        <v>35</v>
      </c>
      <c r="G279" t="s">
        <v>611</v>
      </c>
    </row>
    <row r="280" spans="2:7" x14ac:dyDescent="0.25">
      <c r="B280">
        <v>259</v>
      </c>
      <c r="C280" s="36" t="s">
        <v>445</v>
      </c>
      <c r="D280">
        <f>INDEX(Data!$J$7:$J$420,MATCH('2021'!$C280,Data!$C$7:$C$420,0))*1000</f>
        <v>17738000</v>
      </c>
      <c r="E280" s="29">
        <v>17406</v>
      </c>
      <c r="F280" s="29" t="s">
        <v>36</v>
      </c>
      <c r="G280" t="s">
        <v>612</v>
      </c>
    </row>
    <row r="281" spans="2:7" x14ac:dyDescent="0.25">
      <c r="B281">
        <v>260</v>
      </c>
      <c r="C281" s="36" t="s">
        <v>446</v>
      </c>
      <c r="D281">
        <f>INDEX(Data!$J$7:$J$420,MATCH('2021'!$C281,Data!$C$7:$C$420,0))*1000</f>
        <v>210397000</v>
      </c>
      <c r="E281" s="29">
        <v>163234</v>
      </c>
      <c r="F281" s="29" t="s">
        <v>36</v>
      </c>
      <c r="G281" t="s">
        <v>612</v>
      </c>
    </row>
    <row r="282" spans="2:7" x14ac:dyDescent="0.25">
      <c r="B282">
        <v>261</v>
      </c>
      <c r="C282" s="36" t="s">
        <v>447</v>
      </c>
      <c r="D282">
        <f>INDEX(Data!$J$7:$J$420,MATCH('2021'!$C282,Data!$C$7:$C$420,0))*1000</f>
        <v>20497000</v>
      </c>
      <c r="E282" s="29">
        <v>19172</v>
      </c>
      <c r="F282" s="29" t="s">
        <v>36</v>
      </c>
      <c r="G282" t="s">
        <v>612</v>
      </c>
    </row>
    <row r="283" spans="2:7" x14ac:dyDescent="0.25">
      <c r="B283">
        <v>262</v>
      </c>
      <c r="C283" s="36" t="s">
        <v>448</v>
      </c>
      <c r="D283">
        <f>INDEX(Data!$J$7:$J$420,MATCH('2021'!$C283,Data!$C$7:$C$420,0))*1000</f>
        <v>48286000</v>
      </c>
      <c r="E283" s="29">
        <v>41120</v>
      </c>
      <c r="F283" s="29" t="s">
        <v>36</v>
      </c>
      <c r="G283" t="s">
        <v>612</v>
      </c>
    </row>
    <row r="284" spans="2:7" x14ac:dyDescent="0.25">
      <c r="B284">
        <v>263</v>
      </c>
      <c r="C284" s="30" t="s">
        <v>449</v>
      </c>
      <c r="D284">
        <f>INDEX(Data!$J$7:$J$420,MATCH('2021'!$C284,Data!$C$7:$C$420,0))*1000</f>
        <v>20375000</v>
      </c>
      <c r="E284" s="29">
        <v>22543</v>
      </c>
      <c r="F284" s="29" t="s">
        <v>35</v>
      </c>
      <c r="G284" t="s">
        <v>611</v>
      </c>
    </row>
    <row r="285" spans="2:7" x14ac:dyDescent="0.25">
      <c r="B285">
        <v>264</v>
      </c>
      <c r="C285" s="30" t="s">
        <v>450</v>
      </c>
      <c r="D285">
        <f>INDEX(Data!$J$7:$J$420,MATCH('2021'!$C285,Data!$C$7:$C$420,0))*1000</f>
        <v>14840000</v>
      </c>
      <c r="E285" s="29">
        <v>14071</v>
      </c>
      <c r="F285" s="29" t="s">
        <v>35</v>
      </c>
      <c r="G285" t="s">
        <v>611</v>
      </c>
    </row>
    <row r="286" spans="2:7" x14ac:dyDescent="0.25">
      <c r="B286">
        <v>265</v>
      </c>
      <c r="C286" s="30" t="s">
        <v>451</v>
      </c>
      <c r="D286">
        <f>INDEX(Data!$J$7:$J$420,MATCH('2021'!$C286,Data!$C$7:$C$420,0))*1000</f>
        <v>26590000</v>
      </c>
      <c r="E286" s="29">
        <v>24701</v>
      </c>
      <c r="F286" s="29" t="s">
        <v>35</v>
      </c>
      <c r="G286" t="s">
        <v>611</v>
      </c>
    </row>
    <row r="287" spans="2:7" x14ac:dyDescent="0.25">
      <c r="B287">
        <v>266</v>
      </c>
      <c r="C287" s="30" t="s">
        <v>452</v>
      </c>
      <c r="D287">
        <f>INDEX(Data!$J$7:$J$420,MATCH('2021'!$C287,Data!$C$7:$C$420,0))*1000</f>
        <v>15103000</v>
      </c>
      <c r="E287" s="29">
        <v>14018</v>
      </c>
      <c r="F287" s="29" t="s">
        <v>35</v>
      </c>
      <c r="G287" t="s">
        <v>611</v>
      </c>
    </row>
    <row r="288" spans="2:7" x14ac:dyDescent="0.25">
      <c r="B288">
        <v>267</v>
      </c>
      <c r="C288" s="30" t="s">
        <v>453</v>
      </c>
      <c r="D288">
        <f>INDEX(Data!$J$7:$J$420,MATCH('2021'!$C288,Data!$C$7:$C$420,0))*1000</f>
        <v>41554000</v>
      </c>
      <c r="E288" s="29">
        <v>40825</v>
      </c>
      <c r="F288" s="29" t="s">
        <v>35</v>
      </c>
      <c r="G288" t="s">
        <v>611</v>
      </c>
    </row>
    <row r="289" spans="2:7" x14ac:dyDescent="0.25">
      <c r="B289">
        <v>268</v>
      </c>
      <c r="C289" s="30" t="s">
        <v>454</v>
      </c>
      <c r="D289">
        <f>INDEX(Data!$J$7:$J$420,MATCH('2021'!$C289,Data!$C$7:$C$420,0))*1000</f>
        <v>49179000</v>
      </c>
      <c r="E289" s="29">
        <v>47595</v>
      </c>
      <c r="F289" s="29" t="s">
        <v>35</v>
      </c>
      <c r="G289" t="s">
        <v>611</v>
      </c>
    </row>
    <row r="290" spans="2:7" x14ac:dyDescent="0.25">
      <c r="B290">
        <v>269</v>
      </c>
      <c r="C290" s="30" t="s">
        <v>455</v>
      </c>
      <c r="D290">
        <f>INDEX(Data!$J$7:$J$420,MATCH('2021'!$C290,Data!$C$7:$C$420,0))*1000</f>
        <v>4608000</v>
      </c>
      <c r="E290" s="29">
        <v>3896</v>
      </c>
      <c r="F290" s="29" t="s">
        <v>35</v>
      </c>
      <c r="G290" t="s">
        <v>611</v>
      </c>
    </row>
    <row r="291" spans="2:7" x14ac:dyDescent="0.25">
      <c r="B291">
        <v>270</v>
      </c>
      <c r="C291" s="30" t="s">
        <v>456</v>
      </c>
      <c r="D291">
        <f>INDEX(Data!$J$7:$J$420,MATCH('2021'!$C291,Data!$C$7:$C$420,0))*1000</f>
        <v>40596000</v>
      </c>
      <c r="E291" s="29">
        <v>36457</v>
      </c>
      <c r="F291" s="29" t="s">
        <v>35</v>
      </c>
      <c r="G291" t="s">
        <v>611</v>
      </c>
    </row>
    <row r="292" spans="2:7" x14ac:dyDescent="0.25">
      <c r="B292">
        <v>271</v>
      </c>
      <c r="C292" t="s">
        <v>457</v>
      </c>
      <c r="D292">
        <f>INDEX(Data!$J$7:$J$420,MATCH('2021'!$C292,Data!$C$7:$C$420,0))*1000</f>
        <v>40095000</v>
      </c>
      <c r="E292" s="29">
        <v>34590</v>
      </c>
      <c r="F292" s="29" t="s">
        <v>10</v>
      </c>
    </row>
    <row r="293" spans="2:7" x14ac:dyDescent="0.25">
      <c r="B293">
        <v>272</v>
      </c>
      <c r="C293" t="s">
        <v>458</v>
      </c>
      <c r="D293">
        <f>INDEX(Data!$J$7:$J$420,MATCH('2021'!$C293,Data!$C$7:$C$420,0))*1000</f>
        <v>20932000</v>
      </c>
      <c r="E293" s="29">
        <v>15441</v>
      </c>
      <c r="F293" s="29" t="s">
        <v>10</v>
      </c>
    </row>
    <row r="294" spans="2:7" x14ac:dyDescent="0.25">
      <c r="B294">
        <v>273</v>
      </c>
      <c r="C294" t="s">
        <v>459</v>
      </c>
      <c r="D294">
        <f>INDEX(Data!$J$7:$J$420,MATCH('2021'!$C294,Data!$C$7:$C$420,0))*1000</f>
        <v>3992000</v>
      </c>
      <c r="E294" s="29">
        <v>3347</v>
      </c>
      <c r="F294" s="29" t="s">
        <v>10</v>
      </c>
    </row>
    <row r="295" spans="2:7" x14ac:dyDescent="0.25">
      <c r="B295">
        <v>274</v>
      </c>
      <c r="C295" t="s">
        <v>460</v>
      </c>
      <c r="D295">
        <f>INDEX(Data!$J$7:$J$420,MATCH('2021'!$C295,Data!$C$7:$C$420,0))*1000</f>
        <v>9551000</v>
      </c>
      <c r="E295" s="29">
        <v>6350</v>
      </c>
      <c r="F295" s="29" t="s">
        <v>10</v>
      </c>
    </row>
    <row r="296" spans="2:7" x14ac:dyDescent="0.25">
      <c r="B296">
        <v>275</v>
      </c>
      <c r="C296" t="s">
        <v>461</v>
      </c>
      <c r="D296">
        <f>INDEX(Data!$J$7:$J$420,MATCH('2021'!$C296,Data!$C$7:$C$420,0))*1000</f>
        <v>11731000</v>
      </c>
      <c r="E296" s="29">
        <v>11272</v>
      </c>
      <c r="F296" s="29" t="s">
        <v>10</v>
      </c>
    </row>
    <row r="297" spans="2:7" x14ac:dyDescent="0.25">
      <c r="B297">
        <v>276</v>
      </c>
      <c r="C297" t="s">
        <v>462</v>
      </c>
      <c r="D297">
        <f>INDEX(Data!$J$7:$J$420,MATCH('2021'!$C297,Data!$C$7:$C$420,0))*1000</f>
        <v>12225000</v>
      </c>
      <c r="E297" s="29">
        <v>12951</v>
      </c>
      <c r="F297" s="29" t="s">
        <v>10</v>
      </c>
    </row>
    <row r="298" spans="2:7" x14ac:dyDescent="0.25">
      <c r="B298">
        <v>277</v>
      </c>
      <c r="C298" t="s">
        <v>463</v>
      </c>
      <c r="D298">
        <f>INDEX(Data!$J$7:$J$420,MATCH('2021'!$C298,Data!$C$7:$C$420,0))*1000</f>
        <v>106818000</v>
      </c>
      <c r="E298" s="29">
        <v>86726</v>
      </c>
      <c r="F298" s="29" t="s">
        <v>10</v>
      </c>
    </row>
    <row r="299" spans="2:7" x14ac:dyDescent="0.25">
      <c r="B299">
        <v>278</v>
      </c>
      <c r="C299" t="s">
        <v>464</v>
      </c>
      <c r="D299">
        <f>INDEX(Data!$J$7:$J$420,MATCH('2021'!$C299,Data!$C$7:$C$420,0))*1000</f>
        <v>21295000</v>
      </c>
      <c r="E299" s="29">
        <v>16430</v>
      </c>
      <c r="F299" s="29" t="s">
        <v>10</v>
      </c>
    </row>
    <row r="300" spans="2:7" x14ac:dyDescent="0.25">
      <c r="B300">
        <v>279</v>
      </c>
      <c r="C300" t="s">
        <v>465</v>
      </c>
      <c r="D300">
        <f>INDEX(Data!$J$7:$J$420,MATCH('2021'!$C300,Data!$C$7:$C$420,0))*1000</f>
        <v>5541000</v>
      </c>
      <c r="E300" s="29">
        <v>4690</v>
      </c>
      <c r="F300" s="29" t="s">
        <v>10</v>
      </c>
    </row>
    <row r="301" spans="2:7" x14ac:dyDescent="0.25">
      <c r="B301">
        <v>280</v>
      </c>
      <c r="C301" t="s">
        <v>466</v>
      </c>
      <c r="D301">
        <f>INDEX(Data!$J$7:$J$420,MATCH('2021'!$C301,Data!$C$7:$C$420,0))*1000</f>
        <v>18371000</v>
      </c>
      <c r="E301" s="29">
        <v>16642</v>
      </c>
      <c r="F301" s="29" t="s">
        <v>10</v>
      </c>
    </row>
    <row r="302" spans="2:7" x14ac:dyDescent="0.25">
      <c r="B302">
        <v>281</v>
      </c>
      <c r="C302" t="s">
        <v>467</v>
      </c>
      <c r="D302">
        <f>INDEX(Data!$J$7:$J$420,MATCH('2021'!$C302,Data!$C$7:$C$420,0))*1000</f>
        <v>157216000</v>
      </c>
      <c r="E302" s="29">
        <v>124455</v>
      </c>
      <c r="F302" s="29" t="s">
        <v>19</v>
      </c>
    </row>
    <row r="303" spans="2:7" x14ac:dyDescent="0.25">
      <c r="B303">
        <v>282</v>
      </c>
      <c r="C303" t="s">
        <v>468</v>
      </c>
      <c r="D303">
        <f>INDEX(Data!$J$7:$J$420,MATCH('2021'!$C303,Data!$C$7:$C$420,0))*1000</f>
        <v>224214000</v>
      </c>
      <c r="E303" s="29">
        <v>217181</v>
      </c>
      <c r="F303" s="29" t="s">
        <v>19</v>
      </c>
    </row>
    <row r="304" spans="2:7" x14ac:dyDescent="0.25">
      <c r="B304">
        <v>283</v>
      </c>
      <c r="C304" t="s">
        <v>469</v>
      </c>
      <c r="D304">
        <f>INDEX(Data!$J$7:$J$420,MATCH('2021'!$C304,Data!$C$7:$C$420,0))*1000</f>
        <v>245579000</v>
      </c>
      <c r="E304" s="29">
        <v>176979</v>
      </c>
      <c r="F304" s="29" t="s">
        <v>19</v>
      </c>
    </row>
    <row r="305" spans="2:6" x14ac:dyDescent="0.25">
      <c r="B305">
        <v>284</v>
      </c>
      <c r="C305" t="s">
        <v>470</v>
      </c>
      <c r="D305">
        <f>INDEX(Data!$J$7:$J$420,MATCH('2021'!$C305,Data!$C$7:$C$420,0))*1000</f>
        <v>197062000</v>
      </c>
      <c r="E305" s="29">
        <v>167367</v>
      </c>
      <c r="F305" s="29" t="s">
        <v>19</v>
      </c>
    </row>
    <row r="306" spans="2:6" x14ac:dyDescent="0.25">
      <c r="B306">
        <v>285</v>
      </c>
      <c r="C306" t="s">
        <v>471</v>
      </c>
      <c r="D306">
        <f>INDEX(Data!$J$7:$J$420,MATCH('2021'!$C306,Data!$C$7:$C$420,0))*1000</f>
        <v>312902000</v>
      </c>
      <c r="E306" s="29">
        <v>273604</v>
      </c>
      <c r="F306" s="29" t="s">
        <v>19</v>
      </c>
    </row>
    <row r="307" spans="2:6" x14ac:dyDescent="0.25">
      <c r="B307">
        <v>286</v>
      </c>
      <c r="C307" t="s">
        <v>472</v>
      </c>
      <c r="D307">
        <f>INDEX(Data!$J$7:$J$420,MATCH('2021'!$C307,Data!$C$7:$C$420,0))*1000</f>
        <v>232665000</v>
      </c>
      <c r="E307" s="29">
        <v>201024</v>
      </c>
      <c r="F307" s="29" t="s">
        <v>19</v>
      </c>
    </row>
    <row r="308" spans="2:6" x14ac:dyDescent="0.25">
      <c r="B308">
        <v>287</v>
      </c>
      <c r="C308" t="s">
        <v>473</v>
      </c>
      <c r="D308">
        <f>INDEX(Data!$J$7:$J$420,MATCH('2021'!$C308,Data!$C$7:$C$420,0))*1000</f>
        <v>186219000</v>
      </c>
      <c r="E308" s="29">
        <v>177205</v>
      </c>
      <c r="F308" s="29" t="s">
        <v>19</v>
      </c>
    </row>
    <row r="309" spans="2:6" x14ac:dyDescent="0.25">
      <c r="B309">
        <v>288</v>
      </c>
      <c r="C309" t="s">
        <v>474</v>
      </c>
      <c r="D309">
        <f>INDEX(Data!$J$7:$J$420,MATCH('2021'!$C309,Data!$C$7:$C$420,0))*1000</f>
        <v>170830000</v>
      </c>
      <c r="E309" s="29">
        <v>150083</v>
      </c>
      <c r="F309" s="29" t="s">
        <v>19</v>
      </c>
    </row>
    <row r="310" spans="2:6" x14ac:dyDescent="0.25">
      <c r="B310">
        <v>289</v>
      </c>
      <c r="C310" t="s">
        <v>475</v>
      </c>
      <c r="D310">
        <f>INDEX(Data!$J$7:$J$420,MATCH('2021'!$C310,Data!$C$7:$C$420,0))*1000</f>
        <v>384259000</v>
      </c>
      <c r="E310" s="29">
        <v>338559</v>
      </c>
      <c r="F310" s="29" t="s">
        <v>19</v>
      </c>
    </row>
    <row r="311" spans="2:6" x14ac:dyDescent="0.25">
      <c r="B311">
        <v>290</v>
      </c>
      <c r="C311" t="s">
        <v>476</v>
      </c>
      <c r="D311">
        <f>INDEX(Data!$J$7:$J$420,MATCH('2021'!$C311,Data!$C$7:$C$420,0))*1000</f>
        <v>52251000</v>
      </c>
      <c r="E311" s="29">
        <v>78567</v>
      </c>
      <c r="F311" s="29" t="s">
        <v>19</v>
      </c>
    </row>
    <row r="312" spans="2:6" x14ac:dyDescent="0.25">
      <c r="B312">
        <v>291</v>
      </c>
      <c r="C312" t="s">
        <v>477</v>
      </c>
      <c r="D312">
        <f>INDEX(Data!$J$7:$J$420,MATCH('2021'!$C312,Data!$C$7:$C$420,0))*1000</f>
        <v>77752000</v>
      </c>
      <c r="E312" s="29">
        <v>84582</v>
      </c>
      <c r="F312" s="29" t="s">
        <v>19</v>
      </c>
    </row>
    <row r="313" spans="2:6" x14ac:dyDescent="0.25">
      <c r="B313">
        <v>292</v>
      </c>
      <c r="C313" t="s">
        <v>478</v>
      </c>
      <c r="D313">
        <f>INDEX(Data!$J$7:$J$420,MATCH('2021'!$C313,Data!$C$7:$C$420,0))*1000</f>
        <v>371276000</v>
      </c>
      <c r="E313" s="29">
        <v>289165</v>
      </c>
      <c r="F313" s="29" t="s">
        <v>19</v>
      </c>
    </row>
    <row r="314" spans="2:6" x14ac:dyDescent="0.25">
      <c r="B314">
        <v>293</v>
      </c>
      <c r="C314" t="s">
        <v>479</v>
      </c>
      <c r="D314">
        <f>INDEX(Data!$J$7:$J$420,MATCH('2021'!$C314,Data!$C$7:$C$420,0))*1000</f>
        <v>289896000</v>
      </c>
      <c r="E314" s="29">
        <v>232226</v>
      </c>
      <c r="F314" s="29" t="s">
        <v>19</v>
      </c>
    </row>
    <row r="315" spans="2:6" x14ac:dyDescent="0.25">
      <c r="B315">
        <v>294</v>
      </c>
      <c r="C315" t="s">
        <v>480</v>
      </c>
      <c r="D315">
        <f>INDEX(Data!$J$7:$J$420,MATCH('2021'!$C315,Data!$C$7:$C$420,0))*1000</f>
        <v>251900000</v>
      </c>
      <c r="E315" s="29">
        <v>272230</v>
      </c>
      <c r="F315" s="29" t="s">
        <v>19</v>
      </c>
    </row>
    <row r="316" spans="2:6" x14ac:dyDescent="0.25">
      <c r="B316">
        <v>295</v>
      </c>
      <c r="C316" t="s">
        <v>481</v>
      </c>
      <c r="D316">
        <f>INDEX(Data!$J$7:$J$420,MATCH('2021'!$C316,Data!$C$7:$C$420,0))*1000</f>
        <v>176421000</v>
      </c>
      <c r="E316" s="29">
        <v>126059</v>
      </c>
      <c r="F316" s="29" t="s">
        <v>19</v>
      </c>
    </row>
    <row r="317" spans="2:6" x14ac:dyDescent="0.25">
      <c r="B317">
        <v>296</v>
      </c>
      <c r="C317" t="s">
        <v>482</v>
      </c>
      <c r="D317">
        <f>INDEX(Data!$J$7:$J$420,MATCH('2021'!$C317,Data!$C$7:$C$420,0))*1000</f>
        <v>110149000</v>
      </c>
      <c r="E317" s="29">
        <v>119155</v>
      </c>
      <c r="F317" s="29" t="s">
        <v>19</v>
      </c>
    </row>
    <row r="318" spans="2:6" x14ac:dyDescent="0.25">
      <c r="B318">
        <v>297</v>
      </c>
      <c r="C318" t="s">
        <v>483</v>
      </c>
      <c r="D318">
        <f>INDEX(Data!$J$7:$J$420,MATCH('2021'!$C318,Data!$C$7:$C$420,0))*1000</f>
        <v>119815000</v>
      </c>
      <c r="E318" s="29">
        <v>92929</v>
      </c>
      <c r="F318" s="29" t="s">
        <v>19</v>
      </c>
    </row>
    <row r="319" spans="2:6" x14ac:dyDescent="0.25">
      <c r="B319">
        <v>298</v>
      </c>
      <c r="C319" t="s">
        <v>484</v>
      </c>
      <c r="D319">
        <f>INDEX(Data!$J$7:$J$420,MATCH('2021'!$C319,Data!$C$7:$C$420,0))*1000</f>
        <v>145700000</v>
      </c>
      <c r="E319" s="29">
        <v>139610</v>
      </c>
      <c r="F319" s="29" t="s">
        <v>19</v>
      </c>
    </row>
    <row r="320" spans="2:6" x14ac:dyDescent="0.25">
      <c r="B320">
        <v>299</v>
      </c>
      <c r="C320" t="s">
        <v>485</v>
      </c>
      <c r="D320">
        <f>INDEX(Data!$J$7:$J$420,MATCH('2021'!$C320,Data!$C$7:$C$420,0))*1000</f>
        <v>456779000</v>
      </c>
      <c r="E320" s="29">
        <v>436104</v>
      </c>
      <c r="F320" s="29" t="s">
        <v>19</v>
      </c>
    </row>
    <row r="321" spans="2:6" x14ac:dyDescent="0.25">
      <c r="B321">
        <v>300</v>
      </c>
      <c r="C321" t="s">
        <v>486</v>
      </c>
      <c r="D321">
        <f>INDEX(Data!$J$7:$J$420,MATCH('2021'!$C321,Data!$C$7:$C$420,0))*1000</f>
        <v>67646000</v>
      </c>
      <c r="E321" s="29">
        <v>61234</v>
      </c>
      <c r="F321" s="29" t="s">
        <v>19</v>
      </c>
    </row>
    <row r="322" spans="2:6" x14ac:dyDescent="0.25">
      <c r="B322">
        <v>301</v>
      </c>
      <c r="C322" t="s">
        <v>487</v>
      </c>
      <c r="D322">
        <f>INDEX(Data!$J$7:$J$420,MATCH('2021'!$C322,Data!$C$7:$C$420,0))*1000</f>
        <v>35628000</v>
      </c>
      <c r="E322" s="29">
        <v>21376</v>
      </c>
      <c r="F322" s="29" t="s">
        <v>19</v>
      </c>
    </row>
    <row r="323" spans="2:6" x14ac:dyDescent="0.25">
      <c r="B323">
        <v>302</v>
      </c>
      <c r="C323" t="s">
        <v>488</v>
      </c>
      <c r="D323">
        <f>INDEX(Data!$J$7:$J$420,MATCH('2021'!$C323,Data!$C$7:$C$420,0))*1000</f>
        <v>47583000</v>
      </c>
      <c r="E323" s="29">
        <v>58811</v>
      </c>
      <c r="F323" s="29" t="s">
        <v>19</v>
      </c>
    </row>
    <row r="324" spans="2:6" x14ac:dyDescent="0.25">
      <c r="B324">
        <v>303</v>
      </c>
      <c r="C324" t="s">
        <v>489</v>
      </c>
      <c r="D324">
        <f>INDEX(Data!$J$7:$J$420,MATCH('2021'!$C324,Data!$C$7:$C$420,0))*1000</f>
        <v>76579000</v>
      </c>
      <c r="E324" s="29">
        <v>92390</v>
      </c>
      <c r="F324" s="29" t="s">
        <v>19</v>
      </c>
    </row>
    <row r="325" spans="2:6" x14ac:dyDescent="0.25">
      <c r="B325">
        <v>304</v>
      </c>
      <c r="C325" t="s">
        <v>490</v>
      </c>
      <c r="D325">
        <f>INDEX(Data!$J$7:$J$420,MATCH('2021'!$C325,Data!$C$7:$C$420,0))*1000</f>
        <v>272267000</v>
      </c>
      <c r="E325" s="29">
        <v>200822</v>
      </c>
      <c r="F325" s="29" t="s">
        <v>20</v>
      </c>
    </row>
    <row r="326" spans="2:6" x14ac:dyDescent="0.25">
      <c r="B326">
        <v>305</v>
      </c>
      <c r="C326" t="s">
        <v>491</v>
      </c>
      <c r="D326">
        <f>INDEX(Data!$J$7:$J$420,MATCH('2021'!$C326,Data!$C$7:$C$420,0))*1000</f>
        <v>84848000</v>
      </c>
      <c r="E326" s="29">
        <v>71249</v>
      </c>
      <c r="F326" s="29" t="s">
        <v>20</v>
      </c>
    </row>
    <row r="327" spans="2:6" x14ac:dyDescent="0.25">
      <c r="B327">
        <v>306</v>
      </c>
      <c r="C327" t="s">
        <v>492</v>
      </c>
      <c r="D327">
        <f>INDEX(Data!$J$7:$J$420,MATCH('2021'!$C327,Data!$C$7:$C$420,0))*1000</f>
        <v>60883000</v>
      </c>
      <c r="E327" s="29">
        <v>37108</v>
      </c>
      <c r="F327" s="29" t="s">
        <v>20</v>
      </c>
    </row>
    <row r="328" spans="2:6" x14ac:dyDescent="0.25">
      <c r="B328">
        <v>307</v>
      </c>
      <c r="C328" t="s">
        <v>493</v>
      </c>
      <c r="D328">
        <f>INDEX(Data!$J$7:$J$420,MATCH('2021'!$C328,Data!$C$7:$C$420,0))*1000</f>
        <v>413595000</v>
      </c>
      <c r="E328" s="29">
        <v>379261</v>
      </c>
      <c r="F328" s="29" t="s">
        <v>20</v>
      </c>
    </row>
    <row r="329" spans="2:6" x14ac:dyDescent="0.25">
      <c r="B329">
        <v>308</v>
      </c>
      <c r="C329" t="s">
        <v>494</v>
      </c>
      <c r="D329">
        <f>INDEX(Data!$J$7:$J$420,MATCH('2021'!$C329,Data!$C$7:$C$420,0))*1000</f>
        <v>109551000</v>
      </c>
      <c r="E329" s="29">
        <v>61952</v>
      </c>
      <c r="F329" s="29" t="s">
        <v>20</v>
      </c>
    </row>
    <row r="330" spans="2:6" x14ac:dyDescent="0.25">
      <c r="B330">
        <v>309</v>
      </c>
      <c r="C330" t="s">
        <v>495</v>
      </c>
      <c r="D330">
        <f>INDEX(Data!$J$7:$J$420,MATCH('2021'!$C330,Data!$C$7:$C$420,0))*1000</f>
        <v>61593000</v>
      </c>
      <c r="E330" s="29">
        <v>45415</v>
      </c>
      <c r="F330" s="29" t="s">
        <v>20</v>
      </c>
    </row>
    <row r="331" spans="2:6" x14ac:dyDescent="0.25">
      <c r="B331">
        <v>310</v>
      </c>
      <c r="C331" t="s">
        <v>496</v>
      </c>
      <c r="D331">
        <f>INDEX(Data!$J$7:$J$420,MATCH('2021'!$C331,Data!$C$7:$C$420,0))*1000</f>
        <v>158192000</v>
      </c>
      <c r="E331" s="29">
        <v>160199</v>
      </c>
      <c r="F331" s="29" t="s">
        <v>20</v>
      </c>
    </row>
    <row r="332" spans="2:6" x14ac:dyDescent="0.25">
      <c r="B332">
        <v>311</v>
      </c>
      <c r="C332" t="s">
        <v>497</v>
      </c>
      <c r="D332">
        <f>INDEX(Data!$J$7:$J$420,MATCH('2021'!$C332,Data!$C$7:$C$420,0))*1000</f>
        <v>129269000</v>
      </c>
      <c r="E332" s="29">
        <v>95494</v>
      </c>
      <c r="F332" s="29" t="s">
        <v>20</v>
      </c>
    </row>
    <row r="333" spans="2:6" x14ac:dyDescent="0.25">
      <c r="B333">
        <v>312</v>
      </c>
      <c r="C333" t="s">
        <v>498</v>
      </c>
      <c r="D333">
        <f>INDEX(Data!$J$7:$J$420,MATCH('2021'!$C333,Data!$C$7:$C$420,0))*1000</f>
        <v>137488000</v>
      </c>
      <c r="E333" s="29">
        <v>161908</v>
      </c>
      <c r="F333" s="29" t="s">
        <v>20</v>
      </c>
    </row>
    <row r="334" spans="2:6" x14ac:dyDescent="0.25">
      <c r="B334">
        <v>313</v>
      </c>
      <c r="C334" t="s">
        <v>499</v>
      </c>
      <c r="D334">
        <f>INDEX(Data!$J$7:$J$420,MATCH('2021'!$C334,Data!$C$7:$C$420,0))*1000</f>
        <v>24310000</v>
      </c>
      <c r="E334" s="29">
        <v>21001</v>
      </c>
      <c r="F334" s="29" t="s">
        <v>22</v>
      </c>
    </row>
    <row r="335" spans="2:6" x14ac:dyDescent="0.25">
      <c r="B335">
        <v>314</v>
      </c>
      <c r="C335" t="s">
        <v>500</v>
      </c>
      <c r="D335">
        <f>INDEX(Data!$J$7:$J$420,MATCH('2021'!$C335,Data!$C$7:$C$420,0))*1000</f>
        <v>27195000</v>
      </c>
      <c r="E335" s="29">
        <v>24555</v>
      </c>
      <c r="F335" s="29" t="s">
        <v>22</v>
      </c>
    </row>
    <row r="336" spans="2:6" x14ac:dyDescent="0.25">
      <c r="B336">
        <v>315</v>
      </c>
      <c r="C336" t="s">
        <v>501</v>
      </c>
      <c r="D336">
        <f>INDEX(Data!$J$7:$J$420,MATCH('2021'!$C336,Data!$C$7:$C$420,0))*1000</f>
        <v>35750000</v>
      </c>
      <c r="E336" s="29">
        <v>33597</v>
      </c>
      <c r="F336" s="29" t="s">
        <v>22</v>
      </c>
    </row>
    <row r="337" spans="2:6" x14ac:dyDescent="0.25">
      <c r="B337">
        <v>316</v>
      </c>
      <c r="C337" t="s">
        <v>502</v>
      </c>
      <c r="D337">
        <f>INDEX(Data!$J$7:$J$420,MATCH('2021'!$C337,Data!$C$7:$C$420,0))*1000</f>
        <v>9799000</v>
      </c>
      <c r="E337" s="29">
        <v>11946</v>
      </c>
      <c r="F337" s="29" t="s">
        <v>22</v>
      </c>
    </row>
    <row r="338" spans="2:6" x14ac:dyDescent="0.25">
      <c r="B338">
        <v>317</v>
      </c>
      <c r="C338" t="s">
        <v>503</v>
      </c>
      <c r="D338">
        <f>INDEX(Data!$J$7:$J$420,MATCH('2021'!$C338,Data!$C$7:$C$420,0))*1000</f>
        <v>352911000</v>
      </c>
      <c r="E338" s="29">
        <v>424539</v>
      </c>
      <c r="F338" s="29" t="s">
        <v>22</v>
      </c>
    </row>
    <row r="339" spans="2:6" x14ac:dyDescent="0.25">
      <c r="B339">
        <v>318</v>
      </c>
      <c r="C339" t="s">
        <v>504</v>
      </c>
      <c r="D339">
        <f>INDEX(Data!$J$7:$J$420,MATCH('2021'!$C339,Data!$C$7:$C$420,0))*1000</f>
        <v>144849000</v>
      </c>
      <c r="E339" s="29">
        <v>134803</v>
      </c>
      <c r="F339" s="29" t="s">
        <v>22</v>
      </c>
    </row>
    <row r="340" spans="2:6" x14ac:dyDescent="0.25">
      <c r="B340">
        <v>319</v>
      </c>
      <c r="C340" t="s">
        <v>505</v>
      </c>
      <c r="D340">
        <f>INDEX(Data!$J$7:$J$420,MATCH('2021'!$C340,Data!$C$7:$C$420,0))*1000</f>
        <v>23017000</v>
      </c>
      <c r="E340" s="29">
        <v>31137</v>
      </c>
      <c r="F340" s="29" t="s">
        <v>22</v>
      </c>
    </row>
    <row r="341" spans="2:6" x14ac:dyDescent="0.25">
      <c r="B341">
        <v>320</v>
      </c>
      <c r="C341" t="s">
        <v>506</v>
      </c>
      <c r="D341">
        <f>INDEX(Data!$J$7:$J$420,MATCH('2021'!$C341,Data!$C$7:$C$420,0))*1000</f>
        <v>105967000</v>
      </c>
      <c r="E341" s="29">
        <v>113546</v>
      </c>
      <c r="F341" s="29" t="s">
        <v>22</v>
      </c>
    </row>
    <row r="342" spans="2:6" x14ac:dyDescent="0.25">
      <c r="B342">
        <v>321</v>
      </c>
      <c r="C342" t="s">
        <v>507</v>
      </c>
      <c r="D342">
        <f>INDEX(Data!$J$7:$J$420,MATCH('2021'!$C342,Data!$C$7:$C$420,0))*1000</f>
        <v>107209000</v>
      </c>
      <c r="E342" s="29">
        <v>114222</v>
      </c>
      <c r="F342" s="29" t="s">
        <v>22</v>
      </c>
    </row>
    <row r="343" spans="2:6" x14ac:dyDescent="0.25">
      <c r="B343">
        <v>322</v>
      </c>
      <c r="C343" t="s">
        <v>508</v>
      </c>
      <c r="D343">
        <f>INDEX(Data!$J$7:$J$420,MATCH('2021'!$C343,Data!$C$7:$C$420,0))*1000</f>
        <v>347121000</v>
      </c>
      <c r="E343" s="29">
        <v>290730</v>
      </c>
      <c r="F343" s="29" t="s">
        <v>23</v>
      </c>
    </row>
    <row r="344" spans="2:6" x14ac:dyDescent="0.25">
      <c r="B344">
        <v>323</v>
      </c>
      <c r="C344" t="s">
        <v>509</v>
      </c>
      <c r="D344">
        <f>INDEX(Data!$J$7:$J$420,MATCH('2021'!$C344,Data!$C$7:$C$420,0))*1000</f>
        <v>287696000</v>
      </c>
      <c r="E344" s="29">
        <v>414581</v>
      </c>
      <c r="F344" s="29" t="s">
        <v>23</v>
      </c>
    </row>
    <row r="345" spans="2:6" x14ac:dyDescent="0.25">
      <c r="B345">
        <v>324</v>
      </c>
      <c r="C345" t="s">
        <v>510</v>
      </c>
      <c r="D345">
        <f>INDEX(Data!$J$7:$J$420,MATCH('2021'!$C345,Data!$C$7:$C$420,0))*1000</f>
        <v>51813000</v>
      </c>
      <c r="E345" s="29">
        <v>54954</v>
      </c>
      <c r="F345" s="29" t="s">
        <v>23</v>
      </c>
    </row>
    <row r="346" spans="2:6" x14ac:dyDescent="0.25">
      <c r="B346">
        <v>325</v>
      </c>
      <c r="C346" t="s">
        <v>511</v>
      </c>
      <c r="D346">
        <f>INDEX(Data!$J$7:$J$420,MATCH('2021'!$C346,Data!$C$7:$C$420,0))*1000</f>
        <v>255724000</v>
      </c>
      <c r="E346" s="29">
        <v>276881</v>
      </c>
      <c r="F346" s="29" t="s">
        <v>24</v>
      </c>
    </row>
    <row r="347" spans="2:6" x14ac:dyDescent="0.25">
      <c r="B347">
        <v>326</v>
      </c>
      <c r="C347" t="s">
        <v>512</v>
      </c>
      <c r="D347">
        <f>INDEX(Data!$J$7:$J$420,MATCH('2021'!$C347,Data!$C$7:$C$420,0))*1000</f>
        <v>271541000</v>
      </c>
      <c r="E347" s="29">
        <v>357783</v>
      </c>
      <c r="F347" s="29" t="s">
        <v>24</v>
      </c>
    </row>
    <row r="348" spans="2:6" x14ac:dyDescent="0.25">
      <c r="B348">
        <v>327</v>
      </c>
      <c r="C348" t="s">
        <v>513</v>
      </c>
      <c r="D348">
        <f>INDEX(Data!$J$7:$J$420,MATCH('2021'!$C348,Data!$C$7:$C$420,0))*1000</f>
        <v>10161000</v>
      </c>
      <c r="E348" s="29">
        <v>13482</v>
      </c>
      <c r="F348" s="29" t="s">
        <v>24</v>
      </c>
    </row>
    <row r="349" spans="2:6" x14ac:dyDescent="0.25">
      <c r="B349">
        <v>328</v>
      </c>
      <c r="C349" t="s">
        <v>514</v>
      </c>
      <c r="D349">
        <f>INDEX(Data!$J$7:$J$420,MATCH('2021'!$C349,Data!$C$7:$C$420,0))*1000</f>
        <v>400626000</v>
      </c>
      <c r="E349" s="29">
        <v>253146</v>
      </c>
      <c r="F349" s="29" t="s">
        <v>25</v>
      </c>
    </row>
    <row r="350" spans="2:6" x14ac:dyDescent="0.25">
      <c r="B350">
        <v>329</v>
      </c>
      <c r="C350" t="s">
        <v>515</v>
      </c>
      <c r="D350">
        <f>INDEX(Data!$J$7:$J$420,MATCH('2021'!$C350,Data!$C$7:$C$420,0))*1000</f>
        <v>751614000</v>
      </c>
      <c r="E350" s="29">
        <v>453743</v>
      </c>
      <c r="F350" s="29" t="s">
        <v>25</v>
      </c>
    </row>
    <row r="351" spans="2:6" x14ac:dyDescent="0.25">
      <c r="B351">
        <v>330</v>
      </c>
      <c r="C351" t="s">
        <v>516</v>
      </c>
      <c r="D351">
        <f>INDEX(Data!$J$7:$J$420,MATCH('2021'!$C351,Data!$C$7:$C$420,0))*1000</f>
        <v>400000000</v>
      </c>
      <c r="E351" s="29">
        <v>289344</v>
      </c>
      <c r="F351" s="29" t="s">
        <v>25</v>
      </c>
    </row>
    <row r="352" spans="2:6" x14ac:dyDescent="0.25">
      <c r="B352">
        <v>331</v>
      </c>
      <c r="C352" t="s">
        <v>517</v>
      </c>
      <c r="D352">
        <f>INDEX(Data!$J$7:$J$420,MATCH('2021'!$C352,Data!$C$7:$C$420,0))*1000</f>
        <v>231959000</v>
      </c>
      <c r="E352" s="29">
        <v>255289</v>
      </c>
      <c r="F352" s="29" t="s">
        <v>25</v>
      </c>
    </row>
    <row r="353" spans="2:6" x14ac:dyDescent="0.25">
      <c r="B353">
        <v>332</v>
      </c>
      <c r="C353" t="s">
        <v>518</v>
      </c>
      <c r="D353">
        <f>INDEX(Data!$J$7:$J$420,MATCH('2021'!$C353,Data!$C$7:$C$420,0))*1000</f>
        <v>92382000</v>
      </c>
      <c r="E353" s="29">
        <v>94049</v>
      </c>
      <c r="F353" s="29" t="s">
        <v>25</v>
      </c>
    </row>
    <row r="354" spans="2:6" x14ac:dyDescent="0.25">
      <c r="B354">
        <v>333</v>
      </c>
      <c r="C354" t="s">
        <v>519</v>
      </c>
      <c r="D354">
        <f>INDEX(Data!$J$7:$J$420,MATCH('2021'!$C354,Data!$C$7:$C$420,0))*1000</f>
        <v>669140000</v>
      </c>
      <c r="E354" s="29">
        <v>679734</v>
      </c>
      <c r="F354" s="29" t="s">
        <v>25</v>
      </c>
    </row>
    <row r="355" spans="2:6" x14ac:dyDescent="0.25">
      <c r="B355">
        <v>334</v>
      </c>
      <c r="C355" t="s">
        <v>520</v>
      </c>
      <c r="D355">
        <f>INDEX(Data!$J$7:$J$420,MATCH('2021'!$C355,Data!$C$7:$C$420,0))*1000</f>
        <v>426360000</v>
      </c>
      <c r="E355" s="29">
        <v>470192</v>
      </c>
      <c r="F355" s="29" t="s">
        <v>25</v>
      </c>
    </row>
    <row r="356" spans="2:6" x14ac:dyDescent="0.25">
      <c r="B356">
        <v>335</v>
      </c>
      <c r="C356" t="s">
        <v>521</v>
      </c>
      <c r="D356">
        <f>INDEX(Data!$J$7:$J$420,MATCH('2021'!$C356,Data!$C$7:$C$420,0))*1000</f>
        <v>155935000</v>
      </c>
      <c r="E356" s="29">
        <v>137731</v>
      </c>
      <c r="F356" s="29" t="s">
        <v>25</v>
      </c>
    </row>
    <row r="357" spans="2:6" x14ac:dyDescent="0.25">
      <c r="B357">
        <v>336</v>
      </c>
      <c r="C357" t="s">
        <v>522</v>
      </c>
      <c r="D357">
        <f>INDEX(Data!$J$7:$J$420,MATCH('2021'!$C357,Data!$C$7:$C$420,0))*1000</f>
        <v>1791869000</v>
      </c>
      <c r="E357" s="29">
        <v>1405781</v>
      </c>
      <c r="F357" s="29" t="s">
        <v>26</v>
      </c>
    </row>
    <row r="358" spans="2:6" x14ac:dyDescent="0.25">
      <c r="B358">
        <v>337</v>
      </c>
      <c r="C358" t="s">
        <v>523</v>
      </c>
      <c r="D358">
        <f>INDEX(Data!$J$7:$J$420,MATCH('2021'!$C358,Data!$C$7:$C$420,0))*1000</f>
        <v>551920000</v>
      </c>
      <c r="E358" s="29">
        <v>435090</v>
      </c>
      <c r="F358" s="29" t="s">
        <v>26</v>
      </c>
    </row>
    <row r="359" spans="2:6" x14ac:dyDescent="0.25">
      <c r="B359">
        <v>338</v>
      </c>
      <c r="C359" t="s">
        <v>524</v>
      </c>
      <c r="D359">
        <f>INDEX(Data!$J$7:$J$420,MATCH('2021'!$C359,Data!$C$7:$C$420,0))*1000</f>
        <v>1435813000</v>
      </c>
      <c r="E359" s="29">
        <v>1293254</v>
      </c>
      <c r="F359" s="29" t="s">
        <v>26</v>
      </c>
    </row>
    <row r="360" spans="2:6" x14ac:dyDescent="0.25">
      <c r="B360">
        <v>339</v>
      </c>
      <c r="C360" t="s">
        <v>525</v>
      </c>
      <c r="D360">
        <f>INDEX(Data!$J$7:$J$420,MATCH('2021'!$C360,Data!$C$7:$C$420,0))*1000</f>
        <v>78854000</v>
      </c>
      <c r="E360" s="29">
        <v>77820</v>
      </c>
      <c r="F360" s="29" t="s">
        <v>26</v>
      </c>
    </row>
    <row r="361" spans="2:6" x14ac:dyDescent="0.25">
      <c r="B361">
        <v>340</v>
      </c>
      <c r="C361" t="s">
        <v>526</v>
      </c>
      <c r="D361">
        <f>INDEX(Data!$J$7:$J$420,MATCH('2021'!$C361,Data!$C$7:$C$420,0))*1000</f>
        <v>109840000</v>
      </c>
      <c r="E361" s="29">
        <v>78576</v>
      </c>
      <c r="F361" s="29" t="s">
        <v>26</v>
      </c>
    </row>
    <row r="362" spans="2:6" x14ac:dyDescent="0.25">
      <c r="B362">
        <v>341</v>
      </c>
      <c r="C362" t="s">
        <v>527</v>
      </c>
      <c r="D362">
        <f>INDEX(Data!$J$7:$J$420,MATCH('2021'!$C362,Data!$C$7:$C$420,0))*1000</f>
        <v>30969000</v>
      </c>
      <c r="E362" s="29">
        <v>35992</v>
      </c>
      <c r="F362" s="29" t="s">
        <v>26</v>
      </c>
    </row>
    <row r="363" spans="2:6" x14ac:dyDescent="0.25">
      <c r="B363">
        <v>342</v>
      </c>
      <c r="C363" t="s">
        <v>528</v>
      </c>
      <c r="D363">
        <f>INDEX(Data!$J$7:$J$420,MATCH('2021'!$C363,Data!$C$7:$C$420,0))*1000</f>
        <v>206091000</v>
      </c>
      <c r="E363" s="29">
        <v>163286</v>
      </c>
      <c r="F363" s="29" t="s">
        <v>26</v>
      </c>
    </row>
    <row r="364" spans="2:6" x14ac:dyDescent="0.25">
      <c r="B364">
        <v>343</v>
      </c>
      <c r="C364" t="s">
        <v>529</v>
      </c>
      <c r="D364">
        <f>INDEX(Data!$J$7:$J$420,MATCH('2021'!$C364,Data!$C$7:$C$420,0))*1000</f>
        <v>374800000</v>
      </c>
      <c r="E364" s="29">
        <v>311153</v>
      </c>
      <c r="F364" s="29" t="s">
        <v>27</v>
      </c>
    </row>
    <row r="365" spans="2:6" x14ac:dyDescent="0.25">
      <c r="B365">
        <v>344</v>
      </c>
      <c r="C365" t="s">
        <v>530</v>
      </c>
      <c r="D365">
        <f>INDEX(Data!$J$7:$J$420,MATCH('2021'!$C365,Data!$C$7:$C$420,0))*1000</f>
        <v>191992000</v>
      </c>
      <c r="E365" s="29">
        <v>261210</v>
      </c>
      <c r="F365" s="29" t="s">
        <v>24</v>
      </c>
    </row>
    <row r="366" spans="2:6" x14ac:dyDescent="0.25">
      <c r="B366">
        <v>345</v>
      </c>
      <c r="C366" t="s">
        <v>531</v>
      </c>
      <c r="D366">
        <f>INDEX(Data!$J$7:$J$420,MATCH('2021'!$C366,Data!$C$7:$C$420,0))*1000</f>
        <v>305292000</v>
      </c>
      <c r="E366" s="29">
        <v>228717</v>
      </c>
      <c r="F366" s="29" t="s">
        <v>24</v>
      </c>
    </row>
    <row r="367" spans="2:6" x14ac:dyDescent="0.25">
      <c r="B367">
        <v>346</v>
      </c>
      <c r="C367" t="s">
        <v>532</v>
      </c>
      <c r="D367">
        <f>INDEX(Data!$J$7:$J$420,MATCH('2021'!$C367,Data!$C$7:$C$420,0))*1000</f>
        <v>53948000</v>
      </c>
      <c r="E367" s="29">
        <v>88914</v>
      </c>
      <c r="F367" s="29" t="s">
        <v>24</v>
      </c>
    </row>
    <row r="368" spans="2:6" x14ac:dyDescent="0.25">
      <c r="B368">
        <v>347</v>
      </c>
      <c r="C368" t="s">
        <v>533</v>
      </c>
      <c r="D368">
        <f>INDEX(Data!$J$7:$J$420,MATCH('2021'!$C368,Data!$C$7:$C$420,0))*1000</f>
        <v>192614000</v>
      </c>
      <c r="E368" s="29">
        <v>215068</v>
      </c>
      <c r="F368" s="29" t="s">
        <v>27</v>
      </c>
    </row>
    <row r="369" spans="2:6" x14ac:dyDescent="0.25">
      <c r="B369">
        <v>348</v>
      </c>
      <c r="C369" t="s">
        <v>534</v>
      </c>
      <c r="D369">
        <f>INDEX(Data!$J$7:$J$420,MATCH('2021'!$C369,Data!$C$7:$C$420,0))*1000</f>
        <v>371137000</v>
      </c>
      <c r="E369" s="29">
        <v>350161</v>
      </c>
      <c r="F369" s="29" t="s">
        <v>27</v>
      </c>
    </row>
    <row r="370" spans="2:6" x14ac:dyDescent="0.25">
      <c r="B370">
        <v>349</v>
      </c>
      <c r="C370" t="s">
        <v>535</v>
      </c>
      <c r="D370">
        <f>INDEX(Data!$J$7:$J$420,MATCH('2021'!$C370,Data!$C$7:$C$420,0))*1000</f>
        <v>286223000</v>
      </c>
      <c r="E370" s="29">
        <v>346797</v>
      </c>
      <c r="F370" s="29" t="s">
        <v>27</v>
      </c>
    </row>
    <row r="371" spans="2:6" x14ac:dyDescent="0.25">
      <c r="B371">
        <v>350</v>
      </c>
      <c r="C371" t="s">
        <v>536</v>
      </c>
      <c r="D371">
        <f>INDEX(Data!$J$7:$J$420,MATCH('2021'!$C371,Data!$C$7:$C$420,0))*1000</f>
        <v>62481000</v>
      </c>
      <c r="E371" s="29">
        <v>73639</v>
      </c>
      <c r="F371" s="29" t="s">
        <v>27</v>
      </c>
    </row>
    <row r="372" spans="2:6" x14ac:dyDescent="0.25">
      <c r="B372">
        <v>351</v>
      </c>
      <c r="C372" t="s">
        <v>537</v>
      </c>
      <c r="D372">
        <f>INDEX(Data!$J$7:$J$420,MATCH('2021'!$C372,Data!$C$7:$C$420,0))*1000</f>
        <v>336788000</v>
      </c>
      <c r="E372" s="29">
        <v>280021</v>
      </c>
      <c r="F372" s="29" t="s">
        <v>27</v>
      </c>
    </row>
    <row r="373" spans="2:6" x14ac:dyDescent="0.25">
      <c r="B373">
        <v>352</v>
      </c>
      <c r="C373" t="s">
        <v>538</v>
      </c>
      <c r="D373">
        <f>INDEX(Data!$J$7:$J$420,MATCH('2021'!$C373,Data!$C$7:$C$420,0))*1000</f>
        <v>150382000</v>
      </c>
      <c r="E373" s="29">
        <v>204514</v>
      </c>
      <c r="F373" s="29" t="s">
        <v>27</v>
      </c>
    </row>
    <row r="374" spans="2:6" x14ac:dyDescent="0.25">
      <c r="B374">
        <v>353</v>
      </c>
      <c r="C374" t="s">
        <v>539</v>
      </c>
      <c r="D374">
        <f>INDEX(Data!$J$7:$J$420,MATCH('2021'!$C374,Data!$C$7:$C$420,0))*1000</f>
        <v>40601000</v>
      </c>
      <c r="E374" s="29">
        <v>44089</v>
      </c>
      <c r="F374" s="29" t="s">
        <v>27</v>
      </c>
    </row>
    <row r="375" spans="2:6" x14ac:dyDescent="0.25">
      <c r="B375">
        <v>354</v>
      </c>
      <c r="C375" t="s">
        <v>540</v>
      </c>
      <c r="D375">
        <f>INDEX(Data!$J$7:$J$420,MATCH('2021'!$C375,Data!$C$7:$C$420,0))*1000</f>
        <v>14605000</v>
      </c>
      <c r="E375" s="29">
        <v>13390</v>
      </c>
      <c r="F375" s="29" t="s">
        <v>27</v>
      </c>
    </row>
    <row r="376" spans="2:6" x14ac:dyDescent="0.25">
      <c r="B376">
        <v>355</v>
      </c>
      <c r="C376" t="s">
        <v>541</v>
      </c>
      <c r="D376">
        <f>INDEX(Data!$J$7:$J$420,MATCH('2021'!$C376,Data!$C$7:$C$420,0))*1000</f>
        <v>50359000</v>
      </c>
      <c r="E376" s="29">
        <v>41200</v>
      </c>
      <c r="F376" s="29" t="s">
        <v>27</v>
      </c>
    </row>
    <row r="377" spans="2:6" x14ac:dyDescent="0.25">
      <c r="B377">
        <v>356</v>
      </c>
      <c r="C377" t="s">
        <v>542</v>
      </c>
      <c r="D377">
        <f>INDEX(Data!$J$7:$J$420,MATCH('2021'!$C377,Data!$C$7:$C$420,0))*1000</f>
        <v>100247000</v>
      </c>
      <c r="E377" s="29">
        <v>123909</v>
      </c>
      <c r="F377" s="29" t="s">
        <v>27</v>
      </c>
    </row>
    <row r="378" spans="2:6" x14ac:dyDescent="0.25">
      <c r="B378">
        <v>357</v>
      </c>
      <c r="C378" t="s">
        <v>543</v>
      </c>
      <c r="D378">
        <f>INDEX(Data!$J$7:$J$420,MATCH('2021'!$C378,Data!$C$7:$C$420,0))*1000</f>
        <v>640074000</v>
      </c>
      <c r="E378" s="29">
        <v>735097</v>
      </c>
      <c r="F378" s="29" t="s">
        <v>27</v>
      </c>
    </row>
    <row r="379" spans="2:6" x14ac:dyDescent="0.25">
      <c r="B379">
        <v>358</v>
      </c>
      <c r="C379" t="s">
        <v>544</v>
      </c>
      <c r="D379">
        <f>INDEX(Data!$J$7:$J$420,MATCH('2021'!$C379,Data!$C$7:$C$420,0))*1000</f>
        <v>439173000</v>
      </c>
      <c r="E379" s="29">
        <v>462950</v>
      </c>
      <c r="F379" s="29" t="s">
        <v>27</v>
      </c>
    </row>
    <row r="380" spans="2:6" x14ac:dyDescent="0.25">
      <c r="B380">
        <v>359</v>
      </c>
      <c r="C380" t="s">
        <v>545</v>
      </c>
      <c r="D380">
        <f>INDEX(Data!$J$7:$J$420,MATCH('2021'!$C380,Data!$C$7:$C$420,0))*1000</f>
        <v>249356000</v>
      </c>
      <c r="E380" s="29">
        <v>232432</v>
      </c>
      <c r="F380" s="29" t="s">
        <v>27</v>
      </c>
    </row>
    <row r="381" spans="2:6" x14ac:dyDescent="0.25">
      <c r="B381">
        <v>360</v>
      </c>
      <c r="C381" t="s">
        <v>546</v>
      </c>
      <c r="D381">
        <f>INDEX(Data!$J$7:$J$420,MATCH('2021'!$C381,Data!$C$7:$C$420,0))*1000</f>
        <v>71037000</v>
      </c>
      <c r="E381" s="29">
        <v>73607</v>
      </c>
      <c r="F381" s="29" t="s">
        <v>27</v>
      </c>
    </row>
    <row r="382" spans="2:6" x14ac:dyDescent="0.25">
      <c r="B382">
        <v>361</v>
      </c>
      <c r="C382" t="s">
        <v>547</v>
      </c>
      <c r="D382">
        <f>INDEX(Data!$J$7:$J$420,MATCH('2021'!$C382,Data!$C$7:$C$420,0))*1000</f>
        <v>34720000</v>
      </c>
      <c r="E382" s="29">
        <v>32615</v>
      </c>
      <c r="F382" s="29" t="s">
        <v>27</v>
      </c>
    </row>
    <row r="383" spans="2:6" x14ac:dyDescent="0.25">
      <c r="B383">
        <v>362</v>
      </c>
      <c r="C383" t="s">
        <v>548</v>
      </c>
      <c r="D383">
        <f>INDEX(Data!$J$7:$J$420,MATCH('2021'!$C383,Data!$C$7:$C$420,0))*1000</f>
        <v>87115000</v>
      </c>
      <c r="E383" s="29">
        <v>84196</v>
      </c>
      <c r="F383" s="29" t="s">
        <v>27</v>
      </c>
    </row>
    <row r="384" spans="2:6" x14ac:dyDescent="0.25">
      <c r="B384">
        <v>363</v>
      </c>
      <c r="C384" t="s">
        <v>549</v>
      </c>
      <c r="D384">
        <f>INDEX(Data!$J$7:$J$420,MATCH('2021'!$C384,Data!$C$7:$C$420,0))*1000</f>
        <v>70239000</v>
      </c>
      <c r="E384" s="29">
        <v>64827</v>
      </c>
      <c r="F384" s="29" t="s">
        <v>27</v>
      </c>
    </row>
    <row r="385" spans="2:7" x14ac:dyDescent="0.25">
      <c r="B385">
        <v>364</v>
      </c>
      <c r="C385" t="s">
        <v>550</v>
      </c>
      <c r="D385">
        <f>INDEX(Data!$J$7:$J$420,MATCH('2021'!$C385,Data!$C$7:$C$420,0))*1000</f>
        <v>76148000</v>
      </c>
      <c r="E385" s="29">
        <v>61540</v>
      </c>
      <c r="F385" s="29" t="s">
        <v>27</v>
      </c>
    </row>
    <row r="386" spans="2:7" x14ac:dyDescent="0.25">
      <c r="B386">
        <v>365</v>
      </c>
      <c r="C386" t="s">
        <v>551</v>
      </c>
      <c r="D386">
        <f>INDEX(Data!$J$7:$J$420,MATCH('2021'!$C386,Data!$C$7:$C$420,0))*1000</f>
        <v>65468000</v>
      </c>
      <c r="E386" s="29">
        <v>47968</v>
      </c>
      <c r="F386" s="29" t="s">
        <v>27</v>
      </c>
    </row>
    <row r="387" spans="2:7" x14ac:dyDescent="0.25">
      <c r="B387">
        <v>366</v>
      </c>
      <c r="C387" s="7" t="s">
        <v>552</v>
      </c>
      <c r="D387">
        <f>INDEX(Data!$J$7:$J$420,MATCH('2021'!$C387,Data!$C$7:$C$420,0))*1000</f>
        <v>128477000</v>
      </c>
      <c r="E387" s="29">
        <v>99282</v>
      </c>
      <c r="F387" s="29" t="s">
        <v>610</v>
      </c>
      <c r="G387" t="s">
        <v>151</v>
      </c>
    </row>
    <row r="388" spans="2:7" x14ac:dyDescent="0.25">
      <c r="B388">
        <v>367</v>
      </c>
      <c r="C388" t="s">
        <v>553</v>
      </c>
      <c r="D388">
        <f>INDEX(Data!$J$7:$J$420,MATCH('2021'!$C388,Data!$C$7:$C$420,0))*1000</f>
        <v>51993000</v>
      </c>
      <c r="E388" s="29">
        <v>43695</v>
      </c>
      <c r="F388" s="29" t="s">
        <v>29</v>
      </c>
    </row>
    <row r="389" spans="2:7" x14ac:dyDescent="0.25">
      <c r="B389">
        <v>368</v>
      </c>
      <c r="C389" t="s">
        <v>554</v>
      </c>
      <c r="D389">
        <f>INDEX(Data!$J$7:$J$420,MATCH('2021'!$C389,Data!$C$7:$C$420,0))*1000</f>
        <v>246999000</v>
      </c>
      <c r="E389" s="29">
        <v>194084</v>
      </c>
      <c r="F389" s="29" t="s">
        <v>29</v>
      </c>
    </row>
    <row r="390" spans="2:7" x14ac:dyDescent="0.25">
      <c r="B390">
        <v>369</v>
      </c>
      <c r="C390" t="s">
        <v>555</v>
      </c>
      <c r="D390">
        <f>INDEX(Data!$J$7:$J$420,MATCH('2021'!$C390,Data!$C$7:$C$420,0))*1000</f>
        <v>84513000</v>
      </c>
      <c r="E390" s="29">
        <v>80127</v>
      </c>
      <c r="F390" s="29" t="s">
        <v>29</v>
      </c>
    </row>
    <row r="391" spans="2:7" x14ac:dyDescent="0.25">
      <c r="B391">
        <v>370</v>
      </c>
      <c r="C391" t="s">
        <v>556</v>
      </c>
      <c r="D391">
        <f>INDEX(Data!$J$7:$J$420,MATCH('2021'!$C391,Data!$C$7:$C$420,0))*1000</f>
        <v>531224000</v>
      </c>
      <c r="E391" s="29">
        <v>536197</v>
      </c>
      <c r="F391" s="29" t="s">
        <v>30</v>
      </c>
    </row>
    <row r="392" spans="2:7" x14ac:dyDescent="0.25">
      <c r="B392">
        <v>371</v>
      </c>
      <c r="C392" t="s">
        <v>557</v>
      </c>
      <c r="D392">
        <f>INDEX(Data!$J$7:$J$420,MATCH('2021'!$C392,Data!$C$7:$C$420,0))*1000</f>
        <v>142506000</v>
      </c>
      <c r="E392" s="29">
        <v>107574</v>
      </c>
      <c r="F392" s="29" t="s">
        <v>30</v>
      </c>
    </row>
    <row r="393" spans="2:7" x14ac:dyDescent="0.25">
      <c r="B393">
        <v>372</v>
      </c>
      <c r="C393" t="s">
        <v>558</v>
      </c>
      <c r="D393">
        <f>INDEX(Data!$J$7:$J$420,MATCH('2021'!$C393,Data!$C$7:$C$420,0))*1000</f>
        <v>118316000</v>
      </c>
      <c r="E393" s="29">
        <v>119047</v>
      </c>
      <c r="F393" s="29" t="s">
        <v>30</v>
      </c>
    </row>
    <row r="394" spans="2:7" x14ac:dyDescent="0.25">
      <c r="B394">
        <v>373</v>
      </c>
      <c r="C394" t="s">
        <v>559</v>
      </c>
      <c r="D394">
        <f>INDEX(Data!$J$7:$J$420,MATCH('2021'!$C394,Data!$C$7:$C$420,0))*1000</f>
        <v>180343000</v>
      </c>
      <c r="E394" s="29">
        <v>134129</v>
      </c>
      <c r="F394" s="29" t="s">
        <v>30</v>
      </c>
    </row>
    <row r="395" spans="2:7" x14ac:dyDescent="0.25">
      <c r="B395">
        <v>374</v>
      </c>
      <c r="C395" t="s">
        <v>560</v>
      </c>
      <c r="D395">
        <f>INDEX(Data!$J$7:$J$420,MATCH('2021'!$C395,Data!$C$7:$C$420,0))*1000</f>
        <v>61043000</v>
      </c>
      <c r="E395" s="29">
        <v>79869</v>
      </c>
      <c r="F395" s="29" t="s">
        <v>30</v>
      </c>
    </row>
    <row r="396" spans="2:7" x14ac:dyDescent="0.25">
      <c r="B396">
        <v>375</v>
      </c>
      <c r="C396" t="s">
        <v>561</v>
      </c>
      <c r="D396">
        <f>INDEX(Data!$J$7:$J$420,MATCH('2021'!$C396,Data!$C$7:$C$420,0))*1000</f>
        <v>97474000</v>
      </c>
      <c r="E396" s="29">
        <v>88371</v>
      </c>
      <c r="F396" s="29" t="s">
        <v>30</v>
      </c>
    </row>
    <row r="397" spans="2:7" x14ac:dyDescent="0.25">
      <c r="B397">
        <v>376</v>
      </c>
      <c r="C397" t="s">
        <v>562</v>
      </c>
      <c r="D397">
        <f>INDEX(Data!$J$7:$J$420,MATCH('2021'!$C397,Data!$C$7:$C$420,0))*1000</f>
        <v>36276000</v>
      </c>
      <c r="E397" s="29">
        <v>39741</v>
      </c>
      <c r="F397" s="29" t="s">
        <v>30</v>
      </c>
    </row>
    <row r="398" spans="2:7" x14ac:dyDescent="0.25">
      <c r="B398">
        <v>377</v>
      </c>
      <c r="C398" t="s">
        <v>563</v>
      </c>
      <c r="D398">
        <f>INDEX(Data!$J$7:$J$420,MATCH('2021'!$C398,Data!$C$7:$C$420,0))*1000</f>
        <v>931191000</v>
      </c>
      <c r="E398" s="29">
        <v>851779</v>
      </c>
      <c r="F398" s="29" t="s">
        <v>30</v>
      </c>
    </row>
    <row r="399" spans="2:7" x14ac:dyDescent="0.25">
      <c r="B399">
        <v>378</v>
      </c>
      <c r="C399" t="s">
        <v>564</v>
      </c>
      <c r="D399">
        <f>INDEX(Data!$J$7:$J$420,MATCH('2021'!$C399,Data!$C$7:$C$420,0))*1000</f>
        <v>201970000</v>
      </c>
      <c r="E399" s="29">
        <v>163666</v>
      </c>
      <c r="F399" s="29" t="s">
        <v>30</v>
      </c>
    </row>
    <row r="400" spans="2:7" x14ac:dyDescent="0.25">
      <c r="B400">
        <v>379</v>
      </c>
      <c r="C400" t="s">
        <v>565</v>
      </c>
      <c r="D400">
        <f>INDEX(Data!$J$7:$J$420,MATCH('2021'!$C400,Data!$C$7:$C$420,0))*1000</f>
        <v>60623000</v>
      </c>
      <c r="E400" s="29">
        <v>47847</v>
      </c>
      <c r="F400" s="29" t="s">
        <v>30</v>
      </c>
    </row>
    <row r="401" spans="2:6" x14ac:dyDescent="0.25">
      <c r="B401">
        <v>380</v>
      </c>
      <c r="C401" t="s">
        <v>566</v>
      </c>
      <c r="D401">
        <f>INDEX(Data!$J$7:$J$420,MATCH('2021'!$C401,Data!$C$7:$C$420,0))*1000</f>
        <v>137196000</v>
      </c>
      <c r="E401" s="29">
        <v>107927</v>
      </c>
      <c r="F401" s="29" t="s">
        <v>30</v>
      </c>
    </row>
    <row r="402" spans="2:6" x14ac:dyDescent="0.25">
      <c r="B402">
        <v>381</v>
      </c>
      <c r="C402" t="s">
        <v>567</v>
      </c>
      <c r="D402">
        <f>INDEX(Data!$J$7:$J$420,MATCH('2021'!$C402,Data!$C$7:$C$420,0))*1000</f>
        <v>61919000</v>
      </c>
      <c r="E402" s="29">
        <v>51857</v>
      </c>
      <c r="F402" s="29" t="s">
        <v>30</v>
      </c>
    </row>
    <row r="403" spans="2:6" x14ac:dyDescent="0.25">
      <c r="B403">
        <v>382</v>
      </c>
      <c r="C403" t="s">
        <v>568</v>
      </c>
      <c r="D403">
        <f>INDEX(Data!$J$7:$J$420,MATCH('2021'!$C403,Data!$C$7:$C$420,0))*1000</f>
        <v>59981000</v>
      </c>
      <c r="E403" s="29">
        <v>41467</v>
      </c>
      <c r="F403" s="29" t="s">
        <v>30</v>
      </c>
    </row>
    <row r="404" spans="2:6" x14ac:dyDescent="0.25">
      <c r="B404">
        <v>383</v>
      </c>
      <c r="C404" t="s">
        <v>569</v>
      </c>
      <c r="D404">
        <f>INDEX(Data!$J$7:$J$420,MATCH('2021'!$C404,Data!$C$7:$C$420,0))*1000</f>
        <v>30343000</v>
      </c>
      <c r="E404" s="29">
        <v>18618</v>
      </c>
      <c r="F404" s="29" t="s">
        <v>31</v>
      </c>
    </row>
    <row r="405" spans="2:6" x14ac:dyDescent="0.25">
      <c r="B405">
        <v>384</v>
      </c>
      <c r="C405" t="s">
        <v>570</v>
      </c>
      <c r="D405">
        <f>INDEX(Data!$J$7:$J$420,MATCH('2021'!$C405,Data!$C$7:$C$420,0))*1000</f>
        <v>54236000</v>
      </c>
      <c r="E405" s="29">
        <v>41394</v>
      </c>
      <c r="F405" s="29" t="s">
        <v>31</v>
      </c>
    </row>
    <row r="406" spans="2:6" x14ac:dyDescent="0.25">
      <c r="B406">
        <v>385</v>
      </c>
      <c r="C406" t="s">
        <v>571</v>
      </c>
      <c r="D406">
        <f>INDEX(Data!$J$7:$J$420,MATCH('2021'!$C406,Data!$C$7:$C$420,0))*1000</f>
        <v>54864000</v>
      </c>
      <c r="E406" s="29">
        <v>37319</v>
      </c>
      <c r="F406" s="29" t="s">
        <v>31</v>
      </c>
    </row>
    <row r="407" spans="2:6" x14ac:dyDescent="0.25">
      <c r="B407">
        <v>386</v>
      </c>
      <c r="C407" t="s">
        <v>572</v>
      </c>
      <c r="D407">
        <f>INDEX(Data!$J$7:$J$420,MATCH('2021'!$C407,Data!$C$7:$C$420,0))*1000</f>
        <v>61588000</v>
      </c>
      <c r="E407" s="29">
        <v>47838</v>
      </c>
      <c r="F407" s="29" t="s">
        <v>31</v>
      </c>
    </row>
    <row r="408" spans="2:6" x14ac:dyDescent="0.25">
      <c r="B408">
        <v>387</v>
      </c>
      <c r="C408" t="s">
        <v>573</v>
      </c>
      <c r="D408">
        <f>INDEX(Data!$J$7:$J$420,MATCH('2021'!$C408,Data!$C$7:$C$420,0))*1000</f>
        <v>23354000</v>
      </c>
      <c r="E408" s="29">
        <v>14498</v>
      </c>
      <c r="F408" s="29" t="s">
        <v>31</v>
      </c>
    </row>
    <row r="409" spans="2:6" x14ac:dyDescent="0.25">
      <c r="B409">
        <v>388</v>
      </c>
      <c r="C409" t="s">
        <v>574</v>
      </c>
      <c r="D409">
        <f>INDEX(Data!$J$7:$J$420,MATCH('2021'!$C409,Data!$C$7:$C$420,0))*1000</f>
        <v>28559000</v>
      </c>
      <c r="E409" s="29">
        <v>12061</v>
      </c>
      <c r="F409" s="29" t="s">
        <v>31</v>
      </c>
    </row>
    <row r="410" spans="2:6" x14ac:dyDescent="0.25">
      <c r="B410">
        <v>389</v>
      </c>
      <c r="C410" t="s">
        <v>575</v>
      </c>
      <c r="D410">
        <f>INDEX(Data!$J$7:$J$420,MATCH('2021'!$C410,Data!$C$7:$C$420,0))*1000</f>
        <v>41164000</v>
      </c>
      <c r="E410" s="29">
        <v>38690</v>
      </c>
      <c r="F410" s="29" t="s">
        <v>31</v>
      </c>
    </row>
    <row r="411" spans="2:6" x14ac:dyDescent="0.25">
      <c r="B411">
        <v>390</v>
      </c>
      <c r="C411" t="s">
        <v>576</v>
      </c>
      <c r="D411">
        <f>INDEX(Data!$J$7:$J$420,MATCH('2021'!$C411,Data!$C$7:$C$420,0))*1000</f>
        <v>102601000</v>
      </c>
      <c r="E411" s="29">
        <v>62624</v>
      </c>
      <c r="F411" s="29" t="s">
        <v>31</v>
      </c>
    </row>
    <row r="412" spans="2:6" x14ac:dyDescent="0.25">
      <c r="B412">
        <v>391</v>
      </c>
      <c r="C412" t="s">
        <v>577</v>
      </c>
      <c r="D412">
        <f>INDEX(Data!$J$7:$J$420,MATCH('2021'!$C412,Data!$C$7:$C$420,0))*1000</f>
        <v>306476000</v>
      </c>
      <c r="E412" s="29">
        <v>220114</v>
      </c>
      <c r="F412" s="29" t="s">
        <v>21</v>
      </c>
    </row>
    <row r="413" spans="2:6" x14ac:dyDescent="0.25">
      <c r="B413">
        <v>392</v>
      </c>
      <c r="C413" t="s">
        <v>578</v>
      </c>
      <c r="D413">
        <f>INDEX(Data!$J$7:$J$420,MATCH('2021'!$C413,Data!$C$7:$C$420,0))*1000</f>
        <v>409878000</v>
      </c>
      <c r="E413" s="29">
        <v>357988</v>
      </c>
      <c r="F413" s="29" t="s">
        <v>21</v>
      </c>
    </row>
    <row r="414" spans="2:6" x14ac:dyDescent="0.25">
      <c r="B414">
        <v>393</v>
      </c>
      <c r="C414" t="s">
        <v>579</v>
      </c>
      <c r="D414">
        <f>INDEX(Data!$J$7:$J$420,MATCH('2021'!$C414,Data!$C$7:$C$420,0))*1000</f>
        <v>383517000</v>
      </c>
      <c r="E414" s="29">
        <v>329738</v>
      </c>
      <c r="F414" s="29" t="s">
        <v>21</v>
      </c>
    </row>
    <row r="415" spans="2:6" x14ac:dyDescent="0.25">
      <c r="B415">
        <v>394</v>
      </c>
      <c r="C415" t="s">
        <v>580</v>
      </c>
      <c r="D415">
        <f>INDEX(Data!$J$7:$J$420,MATCH('2021'!$C415,Data!$C$7:$C$420,0))*1000</f>
        <v>115625000</v>
      </c>
      <c r="E415" s="29">
        <v>106721</v>
      </c>
      <c r="F415" s="29" t="s">
        <v>21</v>
      </c>
    </row>
    <row r="416" spans="2:6" x14ac:dyDescent="0.25">
      <c r="B416">
        <v>395</v>
      </c>
      <c r="C416" t="s">
        <v>581</v>
      </c>
      <c r="D416">
        <f>INDEX(Data!$J$7:$J$420,MATCH('2021'!$C416,Data!$C$7:$C$420,0))*1000</f>
        <v>158909000</v>
      </c>
      <c r="E416" s="29">
        <v>132650</v>
      </c>
      <c r="F416" s="29" t="s">
        <v>19</v>
      </c>
    </row>
    <row r="417" spans="2:6" x14ac:dyDescent="0.25">
      <c r="B417">
        <v>396</v>
      </c>
      <c r="C417" t="s">
        <v>582</v>
      </c>
      <c r="D417">
        <f>INDEX(Data!$J$7:$J$420,MATCH('2021'!$C417,Data!$C$7:$C$420,0))*1000</f>
        <v>22507000</v>
      </c>
      <c r="E417" s="29">
        <v>17710</v>
      </c>
      <c r="F417" s="29" t="s">
        <v>17</v>
      </c>
    </row>
    <row r="418" spans="2:6" x14ac:dyDescent="0.25">
      <c r="B418">
        <v>397</v>
      </c>
      <c r="C418" t="s">
        <v>583</v>
      </c>
      <c r="D418">
        <f>INDEX(Data!$J$7:$J$420,MATCH('2021'!$C418,Data!$C$7:$C$420,0))*1000</f>
        <v>46859000</v>
      </c>
      <c r="E418" s="29">
        <v>38551</v>
      </c>
      <c r="F418" s="29" t="s">
        <v>17</v>
      </c>
    </row>
    <row r="419" spans="2:6" x14ac:dyDescent="0.25">
      <c r="B419">
        <v>398</v>
      </c>
      <c r="C419" t="s">
        <v>584</v>
      </c>
      <c r="D419">
        <f>INDEX(Data!$J$7:$J$420,MATCH('2021'!$C419,Data!$C$7:$C$420,0))*1000</f>
        <v>25024000</v>
      </c>
      <c r="E419" s="29">
        <v>18535</v>
      </c>
      <c r="F419" s="29" t="s">
        <v>17</v>
      </c>
    </row>
    <row r="420" spans="2:6" x14ac:dyDescent="0.25">
      <c r="B420">
        <v>399</v>
      </c>
      <c r="C420" t="s">
        <v>585</v>
      </c>
      <c r="D420">
        <f>INDEX(Data!$J$7:$J$420,MATCH('2021'!$C420,Data!$C$7:$C$420,0))*1000</f>
        <v>95717000</v>
      </c>
      <c r="E420" s="29">
        <v>46935</v>
      </c>
      <c r="F420" s="29" t="s">
        <v>30</v>
      </c>
    </row>
    <row r="421" spans="2:6" x14ac:dyDescent="0.25">
      <c r="B421">
        <v>400</v>
      </c>
      <c r="C421" t="s">
        <v>586</v>
      </c>
      <c r="D421">
        <f>INDEX(Data!$J$7:$J$420,MATCH('2021'!$C421,Data!$C$7:$C$420,0))*1000</f>
        <v>25257000</v>
      </c>
      <c r="E421" s="29">
        <v>21108</v>
      </c>
      <c r="F421" s="29" t="s">
        <v>30</v>
      </c>
    </row>
    <row r="422" spans="2:6" x14ac:dyDescent="0.25">
      <c r="B422">
        <v>401</v>
      </c>
      <c r="C422" t="s">
        <v>587</v>
      </c>
      <c r="D422">
        <f>INDEX(Data!$J$7:$J$420,MATCH('2021'!$C422,Data!$C$7:$C$420,0))*1000</f>
        <v>31739000</v>
      </c>
      <c r="E422" s="29">
        <v>24292</v>
      </c>
      <c r="F422" s="29" t="s">
        <v>30</v>
      </c>
    </row>
    <row r="423" spans="2:6" x14ac:dyDescent="0.25">
      <c r="B423">
        <v>402</v>
      </c>
      <c r="C423" t="s">
        <v>588</v>
      </c>
      <c r="D423">
        <f>INDEX(Data!$J$7:$J$420,MATCH('2021'!$C423,Data!$C$7:$C$420,0))*1000</f>
        <v>70387000</v>
      </c>
      <c r="E423" s="29">
        <v>63774</v>
      </c>
      <c r="F423" s="29" t="s">
        <v>30</v>
      </c>
    </row>
    <row r="424" spans="2:6" x14ac:dyDescent="0.25">
      <c r="B424">
        <v>403</v>
      </c>
      <c r="C424" t="s">
        <v>589</v>
      </c>
      <c r="D424">
        <f>INDEX(Data!$J$7:$J$420,MATCH('2021'!$C424,Data!$C$7:$C$420,0))*1000</f>
        <v>103258000</v>
      </c>
      <c r="E424" s="29">
        <v>77318</v>
      </c>
      <c r="F424" s="29" t="s">
        <v>30</v>
      </c>
    </row>
    <row r="425" spans="2:6" x14ac:dyDescent="0.25">
      <c r="B425">
        <v>404</v>
      </c>
      <c r="C425" t="s">
        <v>590</v>
      </c>
      <c r="D425">
        <f>INDEX(Data!$J$7:$J$420,MATCH('2021'!$C425,Data!$C$7:$C$420,0))*1000</f>
        <v>67464000</v>
      </c>
      <c r="E425" s="29">
        <v>57114</v>
      </c>
      <c r="F425" s="29" t="s">
        <v>30</v>
      </c>
    </row>
    <row r="426" spans="2:6" x14ac:dyDescent="0.25">
      <c r="B426">
        <v>405</v>
      </c>
      <c r="C426" t="s">
        <v>591</v>
      </c>
      <c r="D426">
        <f>INDEX(Data!$J$7:$J$420,MATCH('2021'!$C426,Data!$C$7:$C$420,0))*1000</f>
        <v>124954000</v>
      </c>
      <c r="E426" s="29">
        <v>77173</v>
      </c>
      <c r="F426" s="29" t="s">
        <v>30</v>
      </c>
    </row>
    <row r="427" spans="2:6" x14ac:dyDescent="0.25">
      <c r="B427">
        <v>406</v>
      </c>
      <c r="C427" t="s">
        <v>592</v>
      </c>
      <c r="D427">
        <f>INDEX(Data!$J$7:$J$420,MATCH('2021'!$C427,Data!$C$7:$C$420,0))*1000</f>
        <v>22967000</v>
      </c>
      <c r="E427" s="29">
        <v>18860</v>
      </c>
      <c r="F427" s="29" t="s">
        <v>32</v>
      </c>
    </row>
    <row r="428" spans="2:6" x14ac:dyDescent="0.25">
      <c r="B428">
        <v>407</v>
      </c>
      <c r="C428" t="s">
        <v>593</v>
      </c>
      <c r="D428">
        <f>INDEX(Data!$J$7:$J$420,MATCH('2021'!$C428,Data!$C$7:$C$420,0))*1000</f>
        <v>725989000</v>
      </c>
      <c r="E428" s="29">
        <v>644225</v>
      </c>
      <c r="F428" s="29" t="s">
        <v>28</v>
      </c>
    </row>
    <row r="429" spans="2:6" x14ac:dyDescent="0.25">
      <c r="B429">
        <v>408</v>
      </c>
      <c r="C429" t="s">
        <v>594</v>
      </c>
      <c r="D429">
        <f>INDEX(Data!$J$7:$J$420,MATCH('2021'!$C429,Data!$C$7:$C$420,0))*1000</f>
        <v>495826000</v>
      </c>
      <c r="E429" s="29">
        <v>476660</v>
      </c>
      <c r="F429" s="29" t="s">
        <v>28</v>
      </c>
    </row>
    <row r="430" spans="2:6" x14ac:dyDescent="0.25">
      <c r="B430">
        <v>409</v>
      </c>
      <c r="C430" t="s">
        <v>595</v>
      </c>
      <c r="D430">
        <f>INDEX(Data!$J$7:$J$420,MATCH('2021'!$C430,Data!$C$7:$C$420,0))*1000</f>
        <v>75470000</v>
      </c>
      <c r="E430" s="29">
        <v>48488</v>
      </c>
      <c r="F430" s="29" t="s">
        <v>28</v>
      </c>
    </row>
    <row r="431" spans="2:6" x14ac:dyDescent="0.25">
      <c r="B431">
        <v>410</v>
      </c>
      <c r="C431" t="s">
        <v>596</v>
      </c>
      <c r="D431">
        <f>INDEX(Data!$J$7:$J$420,MATCH('2021'!$C431,Data!$C$7:$C$420,0))*1000</f>
        <v>18709000</v>
      </c>
      <c r="E431" s="29">
        <v>12893</v>
      </c>
      <c r="F431" s="29" t="s">
        <v>28</v>
      </c>
    </row>
    <row r="432" spans="2:6" x14ac:dyDescent="0.25">
      <c r="B432">
        <v>411</v>
      </c>
      <c r="C432" t="s">
        <v>597</v>
      </c>
      <c r="D432">
        <f>INDEX(Data!$J$7:$J$420,MATCH('2021'!$C432,Data!$C$7:$C$420,0))*1000</f>
        <v>9113000</v>
      </c>
      <c r="E432" s="29">
        <v>18987</v>
      </c>
      <c r="F432" s="29" t="s">
        <v>28</v>
      </c>
    </row>
    <row r="433" spans="2:6" x14ac:dyDescent="0.25">
      <c r="B433">
        <v>412</v>
      </c>
      <c r="C433" t="s">
        <v>598</v>
      </c>
      <c r="D433" t="e">
        <f>INDEX(Data!$J$7:$J$420,MATCH('2021'!$C433,Data!$C$7:$C$420,0))*1000</f>
        <v>#N/A</v>
      </c>
      <c r="E433" s="29">
        <v>950068</v>
      </c>
      <c r="F433" s="29" t="s">
        <v>28</v>
      </c>
    </row>
    <row r="434" spans="2:6" x14ac:dyDescent="0.25">
      <c r="B434">
        <v>413</v>
      </c>
      <c r="C434" t="s">
        <v>599</v>
      </c>
      <c r="D434" t="e">
        <f>INDEX(Data!$J$7:$J$420,MATCH('2021'!$C434,Data!$C$7:$C$420,0))*1000</f>
        <v>#N/A</v>
      </c>
      <c r="E434" s="29">
        <v>302476</v>
      </c>
      <c r="F434" s="29" t="s">
        <v>28</v>
      </c>
    </row>
    <row r="435" spans="2:6" x14ac:dyDescent="0.25">
      <c r="B435">
        <v>414</v>
      </c>
      <c r="C435" t="s">
        <v>600</v>
      </c>
      <c r="D435" t="e">
        <f>INDEX(Data!$J$7:$J$420,MATCH('2021'!$C435,Data!$C$7:$C$420,0))*1000</f>
        <v>#N/A</v>
      </c>
      <c r="E435" s="29">
        <v>906283</v>
      </c>
      <c r="F435" s="29" t="s">
        <v>28</v>
      </c>
    </row>
    <row r="436" spans="2:6" x14ac:dyDescent="0.25">
      <c r="B436">
        <v>415</v>
      </c>
      <c r="C436" t="s">
        <v>601</v>
      </c>
      <c r="D436">
        <f>INDEX(Data!$J$7:$J$420,MATCH('2021'!$C436,Data!$C$7:$C$420,0))*1000</f>
        <v>17396000</v>
      </c>
      <c r="E436" s="29">
        <v>8234</v>
      </c>
      <c r="F436" s="29" t="s">
        <v>28</v>
      </c>
    </row>
    <row r="437" spans="2:6" x14ac:dyDescent="0.25">
      <c r="B437">
        <v>416</v>
      </c>
      <c r="C437" t="s">
        <v>602</v>
      </c>
      <c r="D437" t="e">
        <f>INDEX(Data!$J$7:$J$420,MATCH('2021'!$C437,Data!$C$7:$C$420,0))*1000</f>
        <v>#N/A</v>
      </c>
      <c r="E437" s="29">
        <v>48429</v>
      </c>
      <c r="F437" s="29" t="s">
        <v>28</v>
      </c>
    </row>
    <row r="438" spans="2:6" x14ac:dyDescent="0.25">
      <c r="B438">
        <v>417</v>
      </c>
      <c r="C438" t="s">
        <v>603</v>
      </c>
      <c r="D438" t="e">
        <f>INDEX(Data!$J$7:$J$420,MATCH('2021'!$C438,Data!$C$7:$C$420,0))*1000</f>
        <v>#N/A</v>
      </c>
      <c r="E438" s="29">
        <v>236546</v>
      </c>
      <c r="F438" s="29" t="s">
        <v>28</v>
      </c>
    </row>
    <row r="439" spans="2:6" x14ac:dyDescent="0.25">
      <c r="E439" s="29">
        <f>SUM(E22:E438)</f>
        <v>35173738</v>
      </c>
    </row>
    <row r="440" spans="2:6" x14ac:dyDescent="0.25">
      <c r="E440" s="29">
        <f>SUM(Data!F7:F420)*1000</f>
        <v>41449282000</v>
      </c>
    </row>
    <row r="441" spans="2:6" x14ac:dyDescent="0.25">
      <c r="E441" s="29"/>
    </row>
    <row r="442" spans="2:6" x14ac:dyDescent="0.25">
      <c r="E442" s="29"/>
    </row>
    <row r="443" spans="2:6" x14ac:dyDescent="0.25">
      <c r="E443" s="29"/>
    </row>
    <row r="444" spans="2:6" x14ac:dyDescent="0.25">
      <c r="E444" s="29"/>
    </row>
    <row r="445" spans="2:6" x14ac:dyDescent="0.25">
      <c r="E445" s="29"/>
    </row>
    <row r="446" spans="2:6" x14ac:dyDescent="0.25">
      <c r="E446" s="29"/>
    </row>
    <row r="447" spans="2:6" x14ac:dyDescent="0.25">
      <c r="E447" s="29"/>
    </row>
    <row r="448" spans="2:6" x14ac:dyDescent="0.25">
      <c r="E448" s="29"/>
    </row>
    <row r="449" spans="5:5" x14ac:dyDescent="0.25">
      <c r="E449" s="29"/>
    </row>
    <row r="450" spans="5:5" x14ac:dyDescent="0.25">
      <c r="E450" s="29"/>
    </row>
  </sheetData>
  <phoneticPr fontId="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63FE-927F-4B28-B488-053F4783C1A2}">
  <dimension ref="A1:S450"/>
  <sheetViews>
    <sheetView zoomScale="55" zoomScaleNormal="55" workbookViewId="0">
      <selection activeCell="B40" sqref="B40"/>
    </sheetView>
  </sheetViews>
  <sheetFormatPr defaultRowHeight="15" x14ac:dyDescent="0.25"/>
  <cols>
    <col min="1" max="1" width="48.28515625" customWidth="1"/>
    <col min="2" max="2" width="36.28515625" customWidth="1"/>
    <col min="3" max="3" width="40.140625" customWidth="1"/>
    <col min="4" max="4" width="20.28515625" customWidth="1"/>
    <col min="5" max="5" width="24.140625" customWidth="1"/>
    <col min="6" max="6" width="21.42578125" customWidth="1"/>
    <col min="7" max="8" width="20.85546875" customWidth="1"/>
    <col min="9" max="9" width="48.140625" customWidth="1"/>
    <col min="10" max="10" width="19.85546875" customWidth="1"/>
    <col min="11" max="11" width="23.42578125" customWidth="1"/>
    <col min="12" max="12" width="22.42578125" customWidth="1"/>
    <col min="13" max="13" width="20.28515625" customWidth="1"/>
    <col min="14" max="15" width="18.42578125" customWidth="1"/>
    <col min="16" max="16" width="23" customWidth="1"/>
    <col min="17" max="17" width="20.85546875" customWidth="1"/>
    <col min="18" max="18" width="19.140625" customWidth="1"/>
    <col min="19" max="19" width="16.5703125" customWidth="1"/>
  </cols>
  <sheetData>
    <row r="1" spans="1:19" x14ac:dyDescent="0.25">
      <c r="A1" s="1" t="s">
        <v>616</v>
      </c>
    </row>
    <row r="2" spans="1:19" x14ac:dyDescent="0.25">
      <c r="A2" s="12" t="s">
        <v>51</v>
      </c>
    </row>
    <row r="3" spans="1:19" s="17" customFormat="1" ht="30.75" thickBot="1" x14ac:dyDescent="0.3">
      <c r="A3" s="13" t="s">
        <v>52</v>
      </c>
      <c r="B3" s="14" t="s">
        <v>53</v>
      </c>
      <c r="C3" s="13" t="s">
        <v>54</v>
      </c>
      <c r="D3" s="15" t="s">
        <v>41</v>
      </c>
      <c r="E3" s="15" t="s">
        <v>42</v>
      </c>
      <c r="F3" s="16" t="s">
        <v>55</v>
      </c>
      <c r="G3" s="15" t="s">
        <v>56</v>
      </c>
      <c r="H3" s="15" t="s">
        <v>57</v>
      </c>
      <c r="I3" s="16" t="s">
        <v>58</v>
      </c>
      <c r="J3" s="15" t="s">
        <v>59</v>
      </c>
      <c r="K3" s="15" t="s">
        <v>60</v>
      </c>
      <c r="L3" s="16" t="s">
        <v>61</v>
      </c>
      <c r="M3" s="15" t="s">
        <v>62</v>
      </c>
      <c r="N3" s="15" t="s">
        <v>63</v>
      </c>
      <c r="O3" s="16" t="s">
        <v>64</v>
      </c>
      <c r="P3" s="15" t="s">
        <v>65</v>
      </c>
      <c r="Q3" s="15" t="s">
        <v>66</v>
      </c>
      <c r="R3" s="15" t="s">
        <v>67</v>
      </c>
      <c r="S3" s="16" t="s">
        <v>68</v>
      </c>
    </row>
    <row r="4" spans="1:19" ht="15.75" thickTop="1" x14ac:dyDescent="0.25">
      <c r="A4" s="18" t="s">
        <v>43</v>
      </c>
      <c r="C4" s="18"/>
      <c r="D4" s="8" t="s">
        <v>44</v>
      </c>
      <c r="E4" s="8" t="s">
        <v>45</v>
      </c>
      <c r="F4" s="19">
        <v>212</v>
      </c>
      <c r="G4" s="8" t="s">
        <v>69</v>
      </c>
      <c r="H4" s="8">
        <v>3254</v>
      </c>
      <c r="I4" s="19">
        <v>325</v>
      </c>
      <c r="J4" s="4">
        <v>3272</v>
      </c>
      <c r="K4" s="4" t="s">
        <v>70</v>
      </c>
      <c r="L4" s="20"/>
      <c r="O4" s="18"/>
      <c r="S4" s="18"/>
    </row>
    <row r="5" spans="1:19" x14ac:dyDescent="0.25">
      <c r="A5" s="18" t="s">
        <v>46</v>
      </c>
      <c r="C5" s="18"/>
      <c r="D5" s="8" t="s">
        <v>47</v>
      </c>
      <c r="E5" s="8" t="s">
        <v>48</v>
      </c>
      <c r="F5" s="19" t="s">
        <v>71</v>
      </c>
      <c r="G5" s="8">
        <v>20</v>
      </c>
      <c r="H5" s="8">
        <v>21</v>
      </c>
      <c r="I5" s="19" t="s">
        <v>72</v>
      </c>
      <c r="J5" s="4">
        <v>231</v>
      </c>
      <c r="K5" s="4">
        <v>239</v>
      </c>
      <c r="L5" s="20">
        <v>23</v>
      </c>
      <c r="M5">
        <v>241</v>
      </c>
      <c r="N5">
        <v>242</v>
      </c>
      <c r="O5" s="18">
        <v>24</v>
      </c>
      <c r="P5" s="4">
        <v>351</v>
      </c>
      <c r="Q5" s="4" t="s">
        <v>73</v>
      </c>
      <c r="R5" s="4" t="s">
        <v>74</v>
      </c>
      <c r="S5" s="20" t="s">
        <v>75</v>
      </c>
    </row>
    <row r="6" spans="1:19" x14ac:dyDescent="0.25">
      <c r="A6" s="21" t="s">
        <v>76</v>
      </c>
      <c r="B6" s="3" t="s">
        <v>623</v>
      </c>
      <c r="C6" s="18" t="s">
        <v>77</v>
      </c>
      <c r="D6" s="9">
        <f>D36*10^6</f>
        <v>28704000000</v>
      </c>
      <c r="E6" s="9">
        <f>D35*10^6</f>
        <v>211097000000</v>
      </c>
      <c r="F6" s="9">
        <f>SUM(D36,D37:D40)*10^6</f>
        <v>96698000000</v>
      </c>
      <c r="G6">
        <f>SUM(D273:D279,D284:D291)*10^6</f>
        <v>470026000000</v>
      </c>
      <c r="H6">
        <f>SUM(D280:D283)*10^6</f>
        <v>296918000000</v>
      </c>
      <c r="I6" s="18">
        <f>SUM(G6:H6)</f>
        <v>766944000000</v>
      </c>
      <c r="J6" s="22">
        <f>D72*10^6</f>
        <v>26575000000</v>
      </c>
      <c r="K6" s="22">
        <f>SUM(D71,D73:D82)*10^6</f>
        <v>106716000000</v>
      </c>
      <c r="L6" s="44">
        <f>SUM(J6:K6)</f>
        <v>133291000000</v>
      </c>
      <c r="M6" s="22">
        <f>SUM(D83:D84,D91)*10^6</f>
        <v>111502000000</v>
      </c>
      <c r="N6">
        <f>SUM(D85:D90,D92)*10^6</f>
        <v>87475000000</v>
      </c>
      <c r="O6" s="44">
        <f>SUM(M6:N6)</f>
        <v>198977000000</v>
      </c>
      <c r="P6" s="22">
        <f>SUM(D43:D52)*10^6</f>
        <v>400360000000</v>
      </c>
      <c r="Q6" s="22">
        <f>D53*10^6</f>
        <v>76976000000</v>
      </c>
      <c r="R6" s="22">
        <f>SUM(D54)*10^6</f>
        <v>16707000000</v>
      </c>
      <c r="S6" s="44">
        <f>SUM(P6:R6)</f>
        <v>494043000000</v>
      </c>
    </row>
    <row r="7" spans="1:19" x14ac:dyDescent="0.25">
      <c r="A7" s="21" t="s">
        <v>34</v>
      </c>
      <c r="B7" s="3" t="s">
        <v>623</v>
      </c>
      <c r="C7" s="18" t="s">
        <v>642</v>
      </c>
      <c r="D7" s="11">
        <f>$F7*($D$6/$F$6)</f>
        <v>28704296841.713375</v>
      </c>
      <c r="E7" s="10">
        <f>L28*10^6</f>
        <v>211097000000</v>
      </c>
      <c r="F7" s="23">
        <f>L29*10^6</f>
        <v>96699000000</v>
      </c>
      <c r="G7" s="25">
        <f>$I7*(G$6/$I$6)</f>
        <v>470026612855.69739</v>
      </c>
      <c r="H7" s="25">
        <f>$I7*(H$6/$I$6)</f>
        <v>296918387144.30261</v>
      </c>
      <c r="I7" s="23">
        <f>L53*10^6</f>
        <v>766945000000</v>
      </c>
      <c r="J7" s="25">
        <f>$L7*(J$6/$L$6)</f>
        <v>26575000000</v>
      </c>
      <c r="K7" s="25">
        <f>$L7*(K$6/$L$6)</f>
        <v>106716000000</v>
      </c>
      <c r="L7" s="24">
        <f>L36*10^6</f>
        <v>133291000000</v>
      </c>
      <c r="M7" s="25">
        <f>$O7*(M$6/$O$6)</f>
        <v>111502560376.32489</v>
      </c>
      <c r="N7" s="25">
        <f>$O7*(N$6/$O$6)</f>
        <v>87475439623.67511</v>
      </c>
      <c r="O7" s="24">
        <f>L37*10^6</f>
        <v>198978000000</v>
      </c>
      <c r="P7" s="25">
        <f>$S7*(P$6/$S$6)</f>
        <v>400360810374.80542</v>
      </c>
      <c r="Q7" s="25">
        <f t="shared" ref="Q7" si="0">$S7*(Q$6/$S$6)</f>
        <v>76976155808.300079</v>
      </c>
      <c r="R7" s="25">
        <f>$S7*(R$6/$S$6)</f>
        <v>16707033816.894482</v>
      </c>
      <c r="S7" s="24">
        <f>L31*10^6</f>
        <v>494044000000</v>
      </c>
    </row>
    <row r="14" spans="1:19" x14ac:dyDescent="0.25">
      <c r="B14" s="1" t="s">
        <v>617</v>
      </c>
      <c r="K14" s="42"/>
    </row>
    <row r="15" spans="1:19" x14ac:dyDescent="0.25">
      <c r="B15" t="s">
        <v>618</v>
      </c>
    </row>
    <row r="16" spans="1:19" x14ac:dyDescent="0.25">
      <c r="B16" t="s">
        <v>619</v>
      </c>
      <c r="D16" s="42"/>
    </row>
    <row r="17" spans="2:14" x14ac:dyDescent="0.25">
      <c r="B17" t="s">
        <v>79</v>
      </c>
    </row>
    <row r="18" spans="2:14" x14ac:dyDescent="0.25">
      <c r="B18" t="s">
        <v>620</v>
      </c>
    </row>
    <row r="19" spans="2:14" x14ac:dyDescent="0.25">
      <c r="B19" t="s">
        <v>621</v>
      </c>
    </row>
    <row r="20" spans="2:14" x14ac:dyDescent="0.25">
      <c r="J20" s="1" t="s">
        <v>78</v>
      </c>
      <c r="L20" s="1" t="s">
        <v>739</v>
      </c>
      <c r="M20" s="1" t="s">
        <v>615</v>
      </c>
    </row>
    <row r="21" spans="2:14" ht="30" x14ac:dyDescent="0.25">
      <c r="B21" s="6" t="s">
        <v>80</v>
      </c>
      <c r="C21" s="26"/>
      <c r="D21" s="6">
        <v>2020</v>
      </c>
      <c r="E21" s="27">
        <v>2021</v>
      </c>
      <c r="F21" s="27" t="s">
        <v>46</v>
      </c>
      <c r="G21" s="6" t="s">
        <v>81</v>
      </c>
      <c r="I21" s="26" t="s">
        <v>80</v>
      </c>
      <c r="J21" s="26"/>
      <c r="K21" s="6" t="s">
        <v>46</v>
      </c>
      <c r="L21" s="28" t="s">
        <v>39</v>
      </c>
      <c r="M21" s="28" t="s">
        <v>39</v>
      </c>
    </row>
    <row r="22" spans="2:14" x14ac:dyDescent="0.25">
      <c r="B22">
        <v>1</v>
      </c>
      <c r="C22" t="s">
        <v>83</v>
      </c>
      <c r="D22" s="29">
        <f>IFERROR(IFERROR(INDEX(Data!$E$7:$E$422,MATCH('2020'!$C22,Data!$C$7:$C$422,0)),INDEX(Data!$E$7:$E$422,MATCH('2020'!$A22,Data!$C$7:$C$422,0))),0)</f>
        <v>40795</v>
      </c>
      <c r="E22" s="29">
        <v>58089</v>
      </c>
      <c r="F22" s="29" t="s">
        <v>2</v>
      </c>
      <c r="I22" t="s">
        <v>82</v>
      </c>
      <c r="J22" t="s">
        <v>733</v>
      </c>
      <c r="L22" s="29" t="e">
        <f>INDEX(Data!$O$9:$O$105,MATCH('2020'!$J22,Data!$M$9:$M$105,0))</f>
        <v>#N/A</v>
      </c>
      <c r="M22" s="29">
        <v>41665305</v>
      </c>
    </row>
    <row r="23" spans="2:14" x14ac:dyDescent="0.25">
      <c r="B23">
        <v>2</v>
      </c>
      <c r="C23" t="s">
        <v>85</v>
      </c>
      <c r="D23" s="29">
        <f>IFERROR(IFERROR(INDEX(Data!$E$7:$E$422,MATCH('2020'!$C23,Data!$C$7:$C$422,0)),INDEX(Data!$E$7:$E$422,MATCH('2020'!$A23,Data!$C$7:$C$422,0))),0)</f>
        <v>58805</v>
      </c>
      <c r="E23" s="29">
        <v>103923</v>
      </c>
      <c r="F23" s="29" t="s">
        <v>2</v>
      </c>
      <c r="I23" t="s">
        <v>84</v>
      </c>
      <c r="J23" t="s">
        <v>613</v>
      </c>
      <c r="L23" s="29">
        <f>INDEX(Data!$O$9:$O$105,MATCH('2020'!$J23,Data!$M$9:$M$105,0))</f>
        <v>32447026</v>
      </c>
      <c r="M23" s="29">
        <v>37118889</v>
      </c>
      <c r="N23" s="9"/>
    </row>
    <row r="24" spans="2:14" x14ac:dyDescent="0.25">
      <c r="B24">
        <v>3</v>
      </c>
      <c r="C24" t="s">
        <v>87</v>
      </c>
      <c r="D24" s="29">
        <f>IFERROR(IFERROR(INDEX(Data!$E$7:$E$422,MATCH('2020'!$C24,Data!$C$7:$C$422,0)),INDEX(Data!$E$7:$E$422,MATCH('2020'!$A24,Data!$C$7:$C$422,0))),0)</f>
        <v>18503</v>
      </c>
      <c r="E24" s="29">
        <v>13170</v>
      </c>
      <c r="F24" s="29" t="s">
        <v>2</v>
      </c>
      <c r="I24" t="s">
        <v>86</v>
      </c>
      <c r="J24" t="s">
        <v>654</v>
      </c>
      <c r="K24" t="s">
        <v>2</v>
      </c>
      <c r="L24" s="29">
        <f>INDEX(Data!$O$9:$O$105,MATCH('2020'!$J24,Data!$M$9:$M$105,0))</f>
        <v>444752</v>
      </c>
      <c r="M24" s="29">
        <v>535233</v>
      </c>
      <c r="N24" s="9"/>
    </row>
    <row r="25" spans="2:14" x14ac:dyDescent="0.25">
      <c r="B25">
        <v>4</v>
      </c>
      <c r="C25" t="s">
        <v>89</v>
      </c>
      <c r="D25" s="29">
        <f>IFERROR(IFERROR(INDEX(Data!$E$7:$E$422,MATCH('2020'!$C25,Data!$C$7:$C$422,0)),INDEX(Data!$E$7:$E$422,MATCH('2020'!$A25,Data!$C$7:$C$422,0))),0)</f>
        <v>26875</v>
      </c>
      <c r="E25" s="29">
        <v>22388</v>
      </c>
      <c r="F25" s="29" t="s">
        <v>2</v>
      </c>
      <c r="I25" t="s">
        <v>88</v>
      </c>
      <c r="J25" t="s">
        <v>655</v>
      </c>
      <c r="L25" s="29">
        <f>INDEX(Data!$O$9:$O$105,MATCH('2020'!$J25,Data!$M$9:$M$105,0))</f>
        <v>390908</v>
      </c>
      <c r="M25" s="29">
        <v>472080</v>
      </c>
      <c r="N25" s="9"/>
    </row>
    <row r="26" spans="2:14" x14ac:dyDescent="0.25">
      <c r="B26">
        <v>5</v>
      </c>
      <c r="C26" t="s">
        <v>91</v>
      </c>
      <c r="D26" s="29">
        <f>IFERROR(IFERROR(INDEX(Data!$E$7:$E$422,MATCH('2020'!$C26,Data!$C$7:$C$422,0)),INDEX(Data!$E$7:$E$422,MATCH('2020'!$A26,Data!$C$7:$C$422,0))),0)</f>
        <v>24529</v>
      </c>
      <c r="E26" s="29">
        <v>27786</v>
      </c>
      <c r="F26" s="29" t="s">
        <v>2</v>
      </c>
      <c r="I26" t="s">
        <v>90</v>
      </c>
      <c r="J26" t="s">
        <v>656</v>
      </c>
      <c r="L26" s="29">
        <f>INDEX(Data!$O$9:$O$105,MATCH('2020'!$J26,Data!$M$9:$M$105,0))</f>
        <v>53844</v>
      </c>
      <c r="M26" s="29">
        <v>63153</v>
      </c>
    </row>
    <row r="27" spans="2:14" x14ac:dyDescent="0.25">
      <c r="B27">
        <v>6</v>
      </c>
      <c r="C27" t="s">
        <v>93</v>
      </c>
      <c r="D27" s="29">
        <f>IFERROR(IFERROR(INDEX(Data!$E$7:$E$422,MATCH('2020'!$C27,Data!$C$7:$C$422,0)),INDEX(Data!$E$7:$E$422,MATCH('2020'!$A27,Data!$C$7:$C$422,0))),0)</f>
        <v>25675</v>
      </c>
      <c r="E27" s="29">
        <v>33974</v>
      </c>
      <c r="F27" s="29" t="s">
        <v>2</v>
      </c>
      <c r="I27" t="s">
        <v>92</v>
      </c>
      <c r="J27" t="s">
        <v>657</v>
      </c>
      <c r="L27" s="29">
        <f>INDEX(Data!$O$9:$O$105,MATCH('2020'!$J27,Data!$M$9:$M$105,0))</f>
        <v>384096</v>
      </c>
      <c r="M27" s="29">
        <v>611536</v>
      </c>
    </row>
    <row r="28" spans="2:14" x14ac:dyDescent="0.25">
      <c r="B28">
        <v>7</v>
      </c>
      <c r="C28" t="s">
        <v>95</v>
      </c>
      <c r="D28" s="29">
        <f>IFERROR(IFERROR(INDEX(Data!$E$7:$E$422,MATCH('2020'!$C28,Data!$C$7:$C$422,0)),INDEX(Data!$E$7:$E$422,MATCH('2020'!$A28,Data!$C$7:$C$422,0))),0)</f>
        <v>41308</v>
      </c>
      <c r="E28" s="29">
        <v>43259</v>
      </c>
      <c r="F28" s="29" t="s">
        <v>2</v>
      </c>
      <c r="I28" t="s">
        <v>94</v>
      </c>
      <c r="J28" t="s">
        <v>42</v>
      </c>
      <c r="K28" t="s">
        <v>50</v>
      </c>
      <c r="L28" s="29">
        <f>INDEX(Data!$O$9:$O$105,MATCH('2020'!$J28,Data!$M$9:$M$105,0))</f>
        <v>211097</v>
      </c>
      <c r="M28" s="29">
        <v>417848</v>
      </c>
    </row>
    <row r="29" spans="2:14" x14ac:dyDescent="0.25">
      <c r="B29">
        <v>8</v>
      </c>
      <c r="C29" t="s">
        <v>97</v>
      </c>
      <c r="D29" s="29">
        <f>IFERROR(IFERROR(INDEX(Data!$E$7:$E$422,MATCH('2020'!$C29,Data!$C$7:$C$422,0)),INDEX(Data!$E$7:$E$422,MATCH('2020'!$A29,Data!$C$7:$C$422,0))),0)</f>
        <v>88337</v>
      </c>
      <c r="E29" s="29">
        <v>100567</v>
      </c>
      <c r="F29" s="29" t="s">
        <v>2</v>
      </c>
      <c r="I29" t="s">
        <v>96</v>
      </c>
      <c r="J29" t="s">
        <v>658</v>
      </c>
      <c r="K29" t="s">
        <v>622</v>
      </c>
      <c r="L29" s="29">
        <f>INDEX(Data!$O$9:$O$105,MATCH('2020'!$J29,Data!$M$9:$M$105,0))</f>
        <v>96699</v>
      </c>
      <c r="M29" s="29">
        <v>116560</v>
      </c>
    </row>
    <row r="30" spans="2:14" x14ac:dyDescent="0.25">
      <c r="B30">
        <v>9</v>
      </c>
      <c r="C30" t="s">
        <v>99</v>
      </c>
      <c r="D30" s="29">
        <f>IFERROR(IFERROR(INDEX(Data!$E$7:$E$422,MATCH('2020'!$C30,Data!$C$7:$C$422,0)),INDEX(Data!$E$7:$E$422,MATCH('2020'!$A30,Data!$C$7:$C$422,0))),0)</f>
        <v>35787</v>
      </c>
      <c r="E30" s="29">
        <v>45006</v>
      </c>
      <c r="F30" s="29" t="s">
        <v>2</v>
      </c>
      <c r="I30" t="s">
        <v>98</v>
      </c>
      <c r="J30" t="s">
        <v>659</v>
      </c>
      <c r="K30" t="s">
        <v>4</v>
      </c>
      <c r="L30" s="29">
        <f>INDEX(Data!$O$9:$O$105,MATCH('2020'!$J30,Data!$M$9:$M$105,0))</f>
        <v>76300</v>
      </c>
      <c r="M30" s="29">
        <v>77127</v>
      </c>
    </row>
    <row r="31" spans="2:14" x14ac:dyDescent="0.25">
      <c r="B31">
        <v>10</v>
      </c>
      <c r="C31" t="s">
        <v>101</v>
      </c>
      <c r="D31" s="29">
        <f>IFERROR(IFERROR(INDEX(Data!$E$7:$E$422,MATCH('2020'!$C31,Data!$C$7:$C$422,0)),INDEX(Data!$E$7:$E$422,MATCH('2020'!$A31,Data!$C$7:$C$422,0))),0)</f>
        <v>30293</v>
      </c>
      <c r="E31" s="29">
        <v>33357</v>
      </c>
      <c r="F31" s="29" t="s">
        <v>2</v>
      </c>
      <c r="I31" t="s">
        <v>100</v>
      </c>
      <c r="J31" t="s">
        <v>660</v>
      </c>
      <c r="K31" t="s">
        <v>632</v>
      </c>
      <c r="L31" s="29">
        <f>INDEX(Data!$O$9:$O$105,MATCH('2020'!$J31,Data!$M$9:$M$105,0))</f>
        <v>494044</v>
      </c>
      <c r="M31" s="29">
        <v>598346</v>
      </c>
    </row>
    <row r="32" spans="2:14" x14ac:dyDescent="0.25">
      <c r="B32">
        <v>11</v>
      </c>
      <c r="C32" t="s">
        <v>103</v>
      </c>
      <c r="D32" s="29">
        <f>IFERROR(IFERROR(INDEX(Data!$E$7:$E$422,MATCH('2020'!$C32,Data!$C$7:$C$422,0)),INDEX(Data!$E$7:$E$422,MATCH('2020'!$A32,Data!$C$7:$C$422,0))),0)</f>
        <v>20141</v>
      </c>
      <c r="E32" s="29">
        <v>22411</v>
      </c>
      <c r="F32" s="29" t="s">
        <v>2</v>
      </c>
      <c r="I32" t="s">
        <v>102</v>
      </c>
      <c r="J32" t="s">
        <v>661</v>
      </c>
      <c r="K32" t="s">
        <v>18</v>
      </c>
      <c r="L32" s="29">
        <f>INDEX(Data!$O$9:$O$105,MATCH('2020'!$J32,Data!$M$9:$M$105,0))</f>
        <v>1804387</v>
      </c>
      <c r="M32" s="29">
        <v>1984605</v>
      </c>
    </row>
    <row r="33" spans="2:13" x14ac:dyDescent="0.25">
      <c r="B33">
        <v>12</v>
      </c>
      <c r="C33" t="s">
        <v>105</v>
      </c>
      <c r="D33" s="29">
        <f>IFERROR(IFERROR(INDEX(Data!$E$7:$E$422,MATCH('2020'!$C33,Data!$C$7:$C$422,0)),INDEX(Data!$E$7:$E$422,MATCH('2020'!$A33,Data!$C$7:$C$422,0))),0)</f>
        <v>7582</v>
      </c>
      <c r="E33" s="29">
        <v>8113</v>
      </c>
      <c r="F33" s="29" t="s">
        <v>2</v>
      </c>
      <c r="I33" t="s">
        <v>104</v>
      </c>
      <c r="J33" t="s">
        <v>662</v>
      </c>
      <c r="L33" s="29">
        <f>INDEX(Data!$O$9:$O$105,MATCH('2020'!$J33,Data!$M$9:$M$105,0))</f>
        <v>5410408</v>
      </c>
      <c r="M33" s="29">
        <v>6299357</v>
      </c>
    </row>
    <row r="34" spans="2:13" x14ac:dyDescent="0.25">
      <c r="B34">
        <v>13</v>
      </c>
      <c r="C34" t="s">
        <v>107</v>
      </c>
      <c r="D34" s="29">
        <f>IFERROR(IFERROR(INDEX(Data!$E$7:$E$422,MATCH('2020'!$C34,Data!$C$7:$C$422,0)),INDEX(Data!$E$7:$E$422,MATCH('2020'!$A34,Data!$C$7:$C$422,0))),0)</f>
        <v>26121</v>
      </c>
      <c r="E34" s="29">
        <v>21004</v>
      </c>
      <c r="F34" s="29" t="s">
        <v>2</v>
      </c>
      <c r="I34" t="s">
        <v>106</v>
      </c>
      <c r="J34" t="s">
        <v>663</v>
      </c>
      <c r="L34" s="29">
        <f>INDEX(Data!$O$9:$O$105,MATCH('2020'!$J34,Data!$M$9:$M$105,0))</f>
        <v>2734612</v>
      </c>
      <c r="M34" s="29">
        <v>3095037</v>
      </c>
    </row>
    <row r="35" spans="2:13" x14ac:dyDescent="0.25">
      <c r="B35">
        <v>14</v>
      </c>
      <c r="C35" s="31" t="s">
        <v>42</v>
      </c>
      <c r="D35" s="29">
        <f>IFERROR(IFERROR(INDEX(Data!$E$7:$E$422,MATCH('2020'!$C35,Data!$C$7:$C$422,0)),INDEX(Data!$E$7:$E$422,MATCH('2020'!$A35,Data!$C$7:$C$422,0))),0)</f>
        <v>211097</v>
      </c>
      <c r="E35" s="29">
        <v>510230</v>
      </c>
      <c r="F35" s="29" t="s">
        <v>50</v>
      </c>
      <c r="G35" t="s">
        <v>109</v>
      </c>
      <c r="I35" t="s">
        <v>108</v>
      </c>
      <c r="J35" t="s">
        <v>664</v>
      </c>
      <c r="K35" t="s">
        <v>7</v>
      </c>
      <c r="L35" s="29">
        <f>INDEX(Data!$O$9:$O$105,MATCH('2020'!$J35,Data!$M$9:$M$105,0))</f>
        <v>123724</v>
      </c>
      <c r="M35" s="29">
        <v>163144</v>
      </c>
    </row>
    <row r="36" spans="2:13" x14ac:dyDescent="0.25">
      <c r="B36">
        <v>15</v>
      </c>
      <c r="C36" s="32" t="s">
        <v>111</v>
      </c>
      <c r="D36" s="29">
        <f>IFERROR(IFERROR(INDEX(Data!$E$7:$E$422,MATCH('2020'!$C36,Data!$C$7:$C$422,0)),INDEX(Data!$E$7:$E$422,MATCH('2020'!$A36,Data!$C$7:$C$422,0))),0)</f>
        <v>28704</v>
      </c>
      <c r="E36" s="29">
        <v>27542</v>
      </c>
      <c r="F36" s="29" t="s">
        <v>49</v>
      </c>
      <c r="G36" t="s">
        <v>112</v>
      </c>
      <c r="I36" t="s">
        <v>110</v>
      </c>
      <c r="J36" t="s">
        <v>665</v>
      </c>
      <c r="K36" t="s">
        <v>625</v>
      </c>
      <c r="L36" s="29">
        <f>INDEX(Data!$O$9:$O$105,MATCH('2020'!$J36,Data!$M$9:$M$105,0))</f>
        <v>133291</v>
      </c>
      <c r="M36" s="29">
        <v>145387</v>
      </c>
    </row>
    <row r="37" spans="2:13" x14ac:dyDescent="0.25">
      <c r="B37">
        <v>16</v>
      </c>
      <c r="C37" t="s">
        <v>114</v>
      </c>
      <c r="D37" s="29">
        <f>IFERROR(IFERROR(INDEX(Data!$E$7:$E$422,MATCH('2020'!$C37,Data!$C$7:$C$422,0)),INDEX(Data!$E$7:$E$422,MATCH('2020'!$A37,Data!$C$7:$C$422,0))),0)</f>
        <v>12613</v>
      </c>
      <c r="E37" s="29">
        <v>13611</v>
      </c>
      <c r="F37" s="29" t="s">
        <v>3</v>
      </c>
      <c r="I37" t="s">
        <v>113</v>
      </c>
      <c r="J37" t="s">
        <v>666</v>
      </c>
      <c r="K37" t="s">
        <v>633</v>
      </c>
      <c r="L37" s="29">
        <f>INDEX(Data!$O$9:$O$105,MATCH('2020'!$J37,Data!$M$9:$M$105,0))</f>
        <v>198978</v>
      </c>
      <c r="M37" s="29">
        <v>279809</v>
      </c>
    </row>
    <row r="38" spans="2:13" x14ac:dyDescent="0.25">
      <c r="B38">
        <v>17</v>
      </c>
      <c r="C38" t="s">
        <v>116</v>
      </c>
      <c r="D38" s="29">
        <f>IFERROR(IFERROR(INDEX(Data!$E$7:$E$422,MATCH('2020'!$C38,Data!$C$7:$C$422,0)),INDEX(Data!$E$7:$E$422,MATCH('2020'!$A38,Data!$C$7:$C$422,0))),0)</f>
        <v>17015</v>
      </c>
      <c r="E38" s="29">
        <v>16987</v>
      </c>
      <c r="F38" s="29" t="s">
        <v>3</v>
      </c>
      <c r="I38" t="s">
        <v>115</v>
      </c>
      <c r="J38" t="s">
        <v>667</v>
      </c>
      <c r="K38" t="s">
        <v>626</v>
      </c>
      <c r="L38" s="29">
        <f>INDEX(Data!$O$9:$O$105,MATCH('2020'!$J38,Data!$M$9:$M$105,0))</f>
        <v>346220</v>
      </c>
      <c r="M38" s="29">
        <v>391859</v>
      </c>
    </row>
    <row r="39" spans="2:13" x14ac:dyDescent="0.25">
      <c r="B39">
        <v>18</v>
      </c>
      <c r="C39" t="s">
        <v>118</v>
      </c>
      <c r="D39" s="29">
        <f>IFERROR(IFERROR(INDEX(Data!$E$7:$E$422,MATCH('2020'!$C39,Data!$C$7:$C$422,0)),INDEX(Data!$E$7:$E$422,MATCH('2020'!$A39,Data!$C$7:$C$422,0))),0)</f>
        <v>19891</v>
      </c>
      <c r="E39" s="29">
        <v>21776</v>
      </c>
      <c r="F39" s="29" t="s">
        <v>3</v>
      </c>
      <c r="I39" t="s">
        <v>117</v>
      </c>
      <c r="J39" t="s">
        <v>668</v>
      </c>
      <c r="K39" t="s">
        <v>627</v>
      </c>
      <c r="L39" s="29">
        <f>INDEX(Data!$O$9:$O$105,MATCH('2020'!$J39,Data!$M$9:$M$105,0))</f>
        <v>352285</v>
      </c>
      <c r="M39" s="29">
        <v>392387</v>
      </c>
    </row>
    <row r="40" spans="2:13" x14ac:dyDescent="0.25">
      <c r="B40">
        <v>19</v>
      </c>
      <c r="C40" t="s">
        <v>120</v>
      </c>
      <c r="D40" s="29">
        <f>IFERROR(IFERROR(INDEX(Data!$E$7:$E$422,MATCH('2020'!$C40,Data!$C$7:$C$422,0)),INDEX(Data!$E$7:$E$422,MATCH('2020'!$A40,Data!$C$7:$C$422,0))),0)</f>
        <v>18475</v>
      </c>
      <c r="E40" s="29">
        <v>18967</v>
      </c>
      <c r="F40" s="29" t="s">
        <v>3</v>
      </c>
      <c r="I40" t="s">
        <v>119</v>
      </c>
      <c r="J40" t="s">
        <v>669</v>
      </c>
      <c r="K40" t="s">
        <v>12</v>
      </c>
      <c r="L40" s="29">
        <f>INDEX(Data!$O$9:$O$105,MATCH('2020'!$J40,Data!$M$9:$M$105,0))</f>
        <v>366339</v>
      </c>
      <c r="M40" s="29">
        <v>380660</v>
      </c>
    </row>
    <row r="41" spans="2:13" x14ac:dyDescent="0.25">
      <c r="B41">
        <v>20</v>
      </c>
      <c r="C41" t="s">
        <v>122</v>
      </c>
      <c r="D41" s="29">
        <f>IFERROR(IFERROR(INDEX(Data!$E$7:$E$422,MATCH('2020'!$C41,Data!$C$7:$C$422,0)),INDEX(Data!$E$7:$E$422,MATCH('2020'!$A41,Data!$C$7:$C$422,0))),0)</f>
        <v>16181</v>
      </c>
      <c r="E41" s="29">
        <v>17617</v>
      </c>
      <c r="F41" s="29" t="s">
        <v>4</v>
      </c>
      <c r="I41" t="s">
        <v>121</v>
      </c>
      <c r="J41" t="s">
        <v>670</v>
      </c>
      <c r="K41" t="s">
        <v>630</v>
      </c>
      <c r="L41" s="29">
        <f>INDEX(Data!$O$9:$O$105,MATCH('2020'!$J41,Data!$M$9:$M$105,0))</f>
        <v>127162</v>
      </c>
      <c r="M41" s="29">
        <v>142203</v>
      </c>
    </row>
    <row r="42" spans="2:13" x14ac:dyDescent="0.25">
      <c r="B42">
        <v>21</v>
      </c>
      <c r="C42" t="s">
        <v>124</v>
      </c>
      <c r="D42" s="29">
        <f>IFERROR(IFERROR(INDEX(Data!$E$7:$E$422,MATCH('2020'!$C42,Data!$C$7:$C$422,0)),INDEX(Data!$E$7:$E$422,MATCH('2020'!$A42,Data!$C$7:$C$422,0))),0)</f>
        <v>60119</v>
      </c>
      <c r="E42" s="29">
        <v>45580</v>
      </c>
      <c r="F42" s="29" t="s">
        <v>4</v>
      </c>
      <c r="I42" t="s">
        <v>123</v>
      </c>
      <c r="J42" t="s">
        <v>671</v>
      </c>
      <c r="K42" t="s">
        <v>15</v>
      </c>
      <c r="L42" s="29">
        <f>INDEX(Data!$O$9:$O$105,MATCH('2020'!$J42,Data!$M$9:$M$105,0))</f>
        <v>576386</v>
      </c>
      <c r="M42" s="29">
        <v>670043</v>
      </c>
    </row>
    <row r="43" spans="2:13" x14ac:dyDescent="0.25">
      <c r="B43">
        <v>22</v>
      </c>
      <c r="C43" s="33" t="s">
        <v>126</v>
      </c>
      <c r="D43" s="29">
        <f>IFERROR(IFERROR(INDEX(Data!$E$7:$E$422,MATCH('2020'!$C43,Data!$C$7:$C$422,0)),INDEX(Data!$E$7:$E$422,MATCH('2020'!$A43,Data!$C$7:$C$422,0))),0)</f>
        <v>3968</v>
      </c>
      <c r="E43" s="29">
        <v>2622</v>
      </c>
      <c r="F43" s="29" t="s">
        <v>608</v>
      </c>
      <c r="G43" t="s">
        <v>127</v>
      </c>
      <c r="I43" t="s">
        <v>125</v>
      </c>
      <c r="J43" t="s">
        <v>672</v>
      </c>
      <c r="K43" t="s">
        <v>16</v>
      </c>
      <c r="L43" s="29">
        <f>INDEX(Data!$O$9:$O$105,MATCH('2020'!$J43,Data!$M$9:$M$105,0))</f>
        <v>282850</v>
      </c>
      <c r="M43" s="29">
        <v>279691</v>
      </c>
    </row>
    <row r="44" spans="2:13" x14ac:dyDescent="0.25">
      <c r="B44">
        <v>23</v>
      </c>
      <c r="C44" s="33" t="s">
        <v>129</v>
      </c>
      <c r="D44" s="29">
        <f>IFERROR(IFERROR(INDEX(Data!$E$7:$E$422,MATCH('2020'!$C44,Data!$C$7:$C$422,0)),INDEX(Data!$E$7:$E$422,MATCH('2020'!$A44,Data!$C$7:$C$422,0))),0)</f>
        <v>87739</v>
      </c>
      <c r="E44" s="29">
        <v>86726</v>
      </c>
      <c r="F44" s="29" t="s">
        <v>608</v>
      </c>
      <c r="G44" t="s">
        <v>127</v>
      </c>
      <c r="I44" t="s">
        <v>128</v>
      </c>
      <c r="J44" t="s">
        <v>673</v>
      </c>
      <c r="K44" t="s">
        <v>17</v>
      </c>
      <c r="L44" s="29">
        <f>INDEX(Data!$O$9:$O$105,MATCH('2020'!$J44,Data!$M$9:$M$105,0))</f>
        <v>70027</v>
      </c>
      <c r="M44" s="29">
        <v>74954</v>
      </c>
    </row>
    <row r="45" spans="2:13" x14ac:dyDescent="0.25">
      <c r="B45">
        <v>24</v>
      </c>
      <c r="C45" s="33" t="s">
        <v>131</v>
      </c>
      <c r="D45" s="29">
        <f>IFERROR(IFERROR(INDEX(Data!$E$7:$E$422,MATCH('2020'!$C45,Data!$C$7:$C$422,0)),INDEX(Data!$E$7:$E$422,MATCH('2020'!$A45,Data!$C$7:$C$422,0))),0)</f>
        <v>33646</v>
      </c>
      <c r="E45" s="29">
        <v>30753</v>
      </c>
      <c r="F45" s="29" t="s">
        <v>608</v>
      </c>
      <c r="G45" t="s">
        <v>127</v>
      </c>
      <c r="I45" t="s">
        <v>130</v>
      </c>
      <c r="J45" t="s">
        <v>674</v>
      </c>
      <c r="K45" t="s">
        <v>17</v>
      </c>
      <c r="L45" s="29">
        <f>INDEX(Data!$O$9:$O$105,MATCH('2020'!$J45,Data!$M$9:$M$105,0))</f>
        <v>157350</v>
      </c>
      <c r="M45" s="29">
        <v>174901</v>
      </c>
    </row>
    <row r="46" spans="2:13" x14ac:dyDescent="0.25">
      <c r="B46">
        <v>25</v>
      </c>
      <c r="C46" s="33" t="s">
        <v>133</v>
      </c>
      <c r="D46" s="29">
        <f>IFERROR(IFERROR(INDEX(Data!$E$7:$E$422,MATCH('2020'!$C46,Data!$C$7:$C$422,0)),INDEX(Data!$E$7:$E$422,MATCH('2020'!$A46,Data!$C$7:$C$422,0))),0)</f>
        <v>2325</v>
      </c>
      <c r="E46" s="29">
        <v>692</v>
      </c>
      <c r="F46" s="29" t="s">
        <v>608</v>
      </c>
      <c r="G46" t="s">
        <v>127</v>
      </c>
      <c r="I46" t="s">
        <v>132</v>
      </c>
      <c r="J46" t="s">
        <v>675</v>
      </c>
      <c r="L46" s="29">
        <f>INDEX(Data!$O$9:$O$105,MATCH('2020'!$J46,Data!$M$9:$M$105,0))</f>
        <v>2675796</v>
      </c>
      <c r="M46" s="29">
        <v>3204320</v>
      </c>
    </row>
    <row r="47" spans="2:13" x14ac:dyDescent="0.25">
      <c r="B47">
        <v>26</v>
      </c>
      <c r="C47" s="33" t="s">
        <v>135</v>
      </c>
      <c r="D47" s="29">
        <f>IFERROR(IFERROR(INDEX(Data!$E$7:$E$422,MATCH('2020'!$C47,Data!$C$7:$C$422,0)),INDEX(Data!$E$7:$E$422,MATCH('2020'!$A47,Data!$C$7:$C$422,0))),0)</f>
        <v>9207</v>
      </c>
      <c r="E47" s="29">
        <v>5616</v>
      </c>
      <c r="F47" s="29" t="s">
        <v>608</v>
      </c>
      <c r="G47" t="s">
        <v>127</v>
      </c>
      <c r="I47" t="s">
        <v>134</v>
      </c>
      <c r="J47" t="s">
        <v>676</v>
      </c>
      <c r="K47" t="s">
        <v>5</v>
      </c>
      <c r="L47" s="29">
        <f>INDEX(Data!$O$9:$O$105,MATCH('2020'!$J47,Data!$M$9:$M$105,0))</f>
        <v>1002814</v>
      </c>
      <c r="M47" s="29">
        <v>1085301</v>
      </c>
    </row>
    <row r="48" spans="2:13" x14ac:dyDescent="0.25">
      <c r="B48">
        <v>27</v>
      </c>
      <c r="C48" s="33" t="s">
        <v>137</v>
      </c>
      <c r="D48" s="29">
        <f>IFERROR(IFERROR(INDEX(Data!$E$7:$E$422,MATCH('2020'!$C48,Data!$C$7:$C$422,0)),INDEX(Data!$E$7:$E$422,MATCH('2020'!$A48,Data!$C$7:$C$422,0))),0)</f>
        <v>1271</v>
      </c>
      <c r="E48" s="29">
        <v>1186</v>
      </c>
      <c r="F48" s="29" t="s">
        <v>608</v>
      </c>
      <c r="G48" t="s">
        <v>127</v>
      </c>
      <c r="I48" t="s">
        <v>136</v>
      </c>
      <c r="J48" t="s">
        <v>677</v>
      </c>
      <c r="K48" t="s">
        <v>6</v>
      </c>
      <c r="L48" s="29">
        <f>INDEX(Data!$O$9:$O$105,MATCH('2020'!$J48,Data!$M$9:$M$105,0))</f>
        <v>45839</v>
      </c>
      <c r="M48" s="29">
        <v>50759</v>
      </c>
    </row>
    <row r="49" spans="2:13" x14ac:dyDescent="0.25">
      <c r="B49">
        <v>28</v>
      </c>
      <c r="C49" s="33" t="s">
        <v>139</v>
      </c>
      <c r="D49" s="29">
        <f>IFERROR(IFERROR(INDEX(Data!$E$7:$E$422,MATCH('2020'!$C49,Data!$C$7:$C$422,0)),INDEX(Data!$E$7:$E$422,MATCH('2020'!$A49,Data!$C$7:$C$422,0))),0)</f>
        <v>1538</v>
      </c>
      <c r="E49" s="29">
        <v>916</v>
      </c>
      <c r="F49" s="29" t="s">
        <v>608</v>
      </c>
      <c r="G49" t="s">
        <v>127</v>
      </c>
      <c r="I49" t="s">
        <v>138</v>
      </c>
      <c r="J49" t="s">
        <v>678</v>
      </c>
      <c r="K49" t="s">
        <v>6</v>
      </c>
      <c r="L49" s="29">
        <f>INDEX(Data!$O$9:$O$105,MATCH('2020'!$J49,Data!$M$9:$M$105,0))</f>
        <v>17144</v>
      </c>
      <c r="M49" s="29">
        <v>18361</v>
      </c>
    </row>
    <row r="50" spans="2:13" x14ac:dyDescent="0.25">
      <c r="B50">
        <v>29</v>
      </c>
      <c r="C50" s="33" t="s">
        <v>141</v>
      </c>
      <c r="D50" s="29">
        <f>IFERROR(IFERROR(INDEX(Data!$E$7:$E$422,MATCH('2020'!$C50,Data!$C$7:$C$422,0)),INDEX(Data!$E$7:$E$422,MATCH('2020'!$A50,Data!$C$7:$C$422,0))),0)</f>
        <v>177</v>
      </c>
      <c r="E50" s="29">
        <v>205</v>
      </c>
      <c r="F50" s="29" t="s">
        <v>608</v>
      </c>
      <c r="G50" t="s">
        <v>127</v>
      </c>
      <c r="I50" t="s">
        <v>140</v>
      </c>
      <c r="J50" t="s">
        <v>679</v>
      </c>
      <c r="K50" t="s">
        <v>8</v>
      </c>
      <c r="L50" s="29">
        <f>INDEX(Data!$O$9:$O$105,MATCH('2020'!$J50,Data!$M$9:$M$105,0))</f>
        <v>180179</v>
      </c>
      <c r="M50" s="29">
        <v>196358</v>
      </c>
    </row>
    <row r="51" spans="2:13" x14ac:dyDescent="0.25">
      <c r="B51">
        <v>30</v>
      </c>
      <c r="C51" s="33" t="s">
        <v>143</v>
      </c>
      <c r="D51" s="29">
        <f>IFERROR(IFERROR(INDEX(Data!$E$7:$E$422,MATCH('2020'!$C51,Data!$C$7:$C$422,0)),INDEX(Data!$E$7:$E$422,MATCH('2020'!$A51,Data!$C$7:$C$422,0))),0)</f>
        <v>16380</v>
      </c>
      <c r="E51" s="29">
        <v>10543</v>
      </c>
      <c r="F51" s="29" t="s">
        <v>608</v>
      </c>
      <c r="G51" t="s">
        <v>127</v>
      </c>
      <c r="I51" t="s">
        <v>142</v>
      </c>
      <c r="J51" t="s">
        <v>680</v>
      </c>
      <c r="K51" t="s">
        <v>8</v>
      </c>
      <c r="L51" s="29">
        <f>INDEX(Data!$O$9:$O$105,MATCH('2020'!$J51,Data!$M$9:$M$105,0))</f>
        <v>74173</v>
      </c>
      <c r="M51" s="29">
        <v>77933</v>
      </c>
    </row>
    <row r="52" spans="2:13" x14ac:dyDescent="0.25">
      <c r="B52">
        <v>31</v>
      </c>
      <c r="C52" s="33" t="s">
        <v>145</v>
      </c>
      <c r="D52" s="29">
        <f>IFERROR(IFERROR(INDEX(Data!$E$7:$E$422,MATCH('2020'!$C52,Data!$C$7:$C$422,0)),INDEX(Data!$E$7:$E$422,MATCH('2020'!$A52,Data!$C$7:$C$422,0))),0)</f>
        <v>244109</v>
      </c>
      <c r="E52" s="29">
        <v>254972</v>
      </c>
      <c r="F52" s="29" t="s">
        <v>608</v>
      </c>
      <c r="G52" t="s">
        <v>127</v>
      </c>
      <c r="I52" t="s">
        <v>144</v>
      </c>
      <c r="J52" t="s">
        <v>681</v>
      </c>
      <c r="K52" t="s">
        <v>9</v>
      </c>
      <c r="L52" s="29">
        <f>INDEX(Data!$O$9:$O$105,MATCH('2020'!$J52,Data!$M$9:$M$105,0))</f>
        <v>354116</v>
      </c>
      <c r="M52" s="29">
        <v>608914</v>
      </c>
    </row>
    <row r="53" spans="2:13" x14ac:dyDescent="0.25">
      <c r="B53">
        <v>32</v>
      </c>
      <c r="C53" s="34" t="s">
        <v>147</v>
      </c>
      <c r="D53" s="29">
        <f>IFERROR(IFERROR(INDEX(Data!$E$7:$E$422,MATCH('2020'!$C53,Data!$C$7:$C$422,0)),INDEX(Data!$E$7:$E$422,MATCH('2020'!$A53,Data!$C$7:$C$422,0))),0)</f>
        <v>76976</v>
      </c>
      <c r="E53" s="29">
        <v>92955</v>
      </c>
      <c r="F53" s="29" t="s">
        <v>609</v>
      </c>
      <c r="G53" t="s">
        <v>148</v>
      </c>
      <c r="I53" t="s">
        <v>146</v>
      </c>
      <c r="J53" t="s">
        <v>682</v>
      </c>
      <c r="K53" t="s">
        <v>628</v>
      </c>
      <c r="L53" s="29">
        <f>INDEX(Data!$O$9:$O$105,MATCH('2020'!$J53,Data!$M$9:$M$105,0))</f>
        <v>766945</v>
      </c>
      <c r="M53" s="29">
        <v>892791</v>
      </c>
    </row>
    <row r="54" spans="2:13" x14ac:dyDescent="0.25">
      <c r="B54">
        <v>33</v>
      </c>
      <c r="C54" s="7" t="s">
        <v>150</v>
      </c>
      <c r="D54" s="29">
        <f>IFERROR(IFERROR(INDEX(Data!$E$7:$E$422,MATCH('2020'!$C54,Data!$C$7:$C$422,0)),INDEX(Data!$E$7:$E$422,MATCH('2020'!$A54,Data!$C$7:$C$422,0))),0)</f>
        <v>16707</v>
      </c>
      <c r="E54" s="29">
        <v>12745</v>
      </c>
      <c r="F54" s="29" t="s">
        <v>610</v>
      </c>
      <c r="G54" t="s">
        <v>151</v>
      </c>
      <c r="I54" t="s">
        <v>149</v>
      </c>
      <c r="J54" t="s">
        <v>683</v>
      </c>
      <c r="K54" t="s">
        <v>10</v>
      </c>
      <c r="L54" s="29">
        <f>INDEX(Data!$O$9:$O$105,MATCH('2020'!$J54,Data!$M$9:$M$105,0))</f>
        <v>234587</v>
      </c>
      <c r="M54" s="29">
        <v>273904</v>
      </c>
    </row>
    <row r="55" spans="2:13" x14ac:dyDescent="0.25">
      <c r="B55">
        <v>34</v>
      </c>
      <c r="C55" t="s">
        <v>153</v>
      </c>
      <c r="D55" s="29">
        <f>IFERROR(IFERROR(INDEX(Data!$E$7:$E$422,MATCH('2020'!$C55,Data!$C$7:$C$422,0)),INDEX(Data!$E$7:$E$422,MATCH('2020'!$A55,Data!$C$7:$C$422,0))),0)</f>
        <v>52845</v>
      </c>
      <c r="E55" s="29">
        <v>41140</v>
      </c>
      <c r="F55" s="29" t="s">
        <v>18</v>
      </c>
      <c r="I55" t="s">
        <v>152</v>
      </c>
      <c r="J55" t="s">
        <v>684</v>
      </c>
      <c r="K55" t="s">
        <v>19</v>
      </c>
      <c r="L55" s="29">
        <f>INDEX(Data!$O$9:$O$105,MATCH('2020'!$J55,Data!$M$9:$M$105,0))</f>
        <v>2125948</v>
      </c>
      <c r="M55" s="29">
        <v>2536907</v>
      </c>
    </row>
    <row r="56" spans="2:13" x14ac:dyDescent="0.25">
      <c r="B56">
        <v>35</v>
      </c>
      <c r="C56" t="s">
        <v>155</v>
      </c>
      <c r="D56" s="29">
        <f>IFERROR(IFERROR(INDEX(Data!$E$7:$E$422,MATCH('2020'!$C56,Data!$C$7:$C$422,0)),INDEX(Data!$E$7:$E$422,MATCH('2020'!$A56,Data!$C$7:$C$422,0))),0)</f>
        <v>107719</v>
      </c>
      <c r="E56" s="29">
        <v>79664</v>
      </c>
      <c r="F56" s="29" t="s">
        <v>18</v>
      </c>
      <c r="I56" t="s">
        <v>154</v>
      </c>
      <c r="J56" t="s">
        <v>685</v>
      </c>
      <c r="K56" t="s">
        <v>19</v>
      </c>
      <c r="L56" s="29">
        <f>INDEX(Data!$O$9:$O$105,MATCH('2020'!$J56,Data!$M$9:$M$105,0))</f>
        <v>2069742</v>
      </c>
      <c r="M56" s="29">
        <v>2481926</v>
      </c>
    </row>
    <row r="57" spans="2:13" x14ac:dyDescent="0.25">
      <c r="B57">
        <v>36</v>
      </c>
      <c r="C57" t="s">
        <v>157</v>
      </c>
      <c r="D57" s="29">
        <f>IFERROR(IFERROR(INDEX(Data!$E$7:$E$422,MATCH('2020'!$C57,Data!$C$7:$C$422,0)),INDEX(Data!$E$7:$E$422,MATCH('2020'!$A57,Data!$C$7:$C$422,0))),0)</f>
        <v>218992</v>
      </c>
      <c r="E57" s="29">
        <v>192799</v>
      </c>
      <c r="F57" s="29" t="s">
        <v>18</v>
      </c>
      <c r="I57" t="s">
        <v>156</v>
      </c>
      <c r="J57" t="s">
        <v>478</v>
      </c>
      <c r="L57" s="29">
        <f>INDEX(Data!$O$9:$O$105,MATCH('2020'!$J57,Data!$M$9:$M$105,0))</f>
        <v>357499</v>
      </c>
      <c r="M57" s="29">
        <v>446663</v>
      </c>
    </row>
    <row r="58" spans="2:13" x14ac:dyDescent="0.25">
      <c r="B58">
        <v>37</v>
      </c>
      <c r="C58" t="s">
        <v>159</v>
      </c>
      <c r="D58" s="29">
        <f>IFERROR(IFERROR(INDEX(Data!$E$7:$E$422,MATCH('2020'!$C58,Data!$C$7:$C$422,0)),INDEX(Data!$E$7:$E$422,MATCH('2020'!$A58,Data!$C$7:$C$422,0))),0)</f>
        <v>76807</v>
      </c>
      <c r="E58" s="29">
        <v>62989</v>
      </c>
      <c r="F58" s="29" t="s">
        <v>18</v>
      </c>
      <c r="I58" t="s">
        <v>158</v>
      </c>
      <c r="J58" t="s">
        <v>479</v>
      </c>
      <c r="L58" s="29">
        <f>INDEX(Data!$O$9:$O$105,MATCH('2020'!$J58,Data!$M$9:$M$105,0))</f>
        <v>289896</v>
      </c>
      <c r="M58" s="29">
        <v>310814</v>
      </c>
    </row>
    <row r="59" spans="2:13" x14ac:dyDescent="0.25">
      <c r="B59">
        <v>38</v>
      </c>
      <c r="C59" t="s">
        <v>161</v>
      </c>
      <c r="D59" s="29">
        <f>IFERROR(IFERROR(INDEX(Data!$E$7:$E$422,MATCH('2020'!$C59,Data!$C$7:$C$422,0)),INDEX(Data!$E$7:$E$422,MATCH('2020'!$A59,Data!$C$7:$C$422,0))),0)</f>
        <v>190463</v>
      </c>
      <c r="E59" s="29">
        <v>141400</v>
      </c>
      <c r="F59" s="29" t="s">
        <v>18</v>
      </c>
      <c r="I59" t="s">
        <v>160</v>
      </c>
      <c r="J59" t="s">
        <v>480</v>
      </c>
      <c r="L59" s="29">
        <f>INDEX(Data!$O$9:$O$105,MATCH('2020'!$J59,Data!$M$9:$M$105,0))</f>
        <v>251900</v>
      </c>
      <c r="M59" s="29">
        <v>283178</v>
      </c>
    </row>
    <row r="60" spans="2:13" x14ac:dyDescent="0.25">
      <c r="B60">
        <v>39</v>
      </c>
      <c r="C60" t="s">
        <v>163</v>
      </c>
      <c r="D60" s="29">
        <f>IFERROR(IFERROR(INDEX(Data!$E$7:$E$422,MATCH('2020'!$C60,Data!$C$7:$C$422,0)),INDEX(Data!$E$7:$E$422,MATCH('2020'!$A60,Data!$C$7:$C$422,0))),0)</f>
        <v>91915</v>
      </c>
      <c r="E60" s="29">
        <v>61449</v>
      </c>
      <c r="F60" s="29" t="s">
        <v>18</v>
      </c>
      <c r="I60" t="s">
        <v>162</v>
      </c>
      <c r="J60" t="s">
        <v>686</v>
      </c>
      <c r="L60" s="29">
        <f>INDEX(Data!$O$9:$O$105,MATCH('2020'!$J60,Data!$M$9:$M$105,0))</f>
        <v>1170448</v>
      </c>
      <c r="M60" s="29">
        <v>1441272</v>
      </c>
    </row>
    <row r="61" spans="2:13" x14ac:dyDescent="0.25">
      <c r="B61">
        <v>40</v>
      </c>
      <c r="C61" t="s">
        <v>165</v>
      </c>
      <c r="D61" s="29">
        <f>IFERROR(IFERROR(INDEX(Data!$E$7:$E$422,MATCH('2020'!$C61,Data!$C$7:$C$422,0)),INDEX(Data!$E$7:$E$422,MATCH('2020'!$A61,Data!$C$7:$C$422,0))),0)</f>
        <v>308247</v>
      </c>
      <c r="E61" s="29">
        <v>244993</v>
      </c>
      <c r="F61" s="29" t="s">
        <v>18</v>
      </c>
      <c r="I61" t="s">
        <v>164</v>
      </c>
      <c r="J61" t="s">
        <v>687</v>
      </c>
      <c r="L61" s="29">
        <f>INDEX(Data!$O$9:$O$105,MATCH('2020'!$J61,Data!$M$9:$M$105,0))</f>
        <v>1211219</v>
      </c>
      <c r="M61" s="29">
        <v>1461504</v>
      </c>
    </row>
    <row r="62" spans="2:13" x14ac:dyDescent="0.25">
      <c r="B62">
        <v>41</v>
      </c>
      <c r="C62" t="s">
        <v>167</v>
      </c>
      <c r="D62" s="29">
        <f>IFERROR(IFERROR(INDEX(Data!$E$7:$E$422,MATCH('2020'!$C62,Data!$C$7:$C$422,0)),INDEX(Data!$E$7:$E$422,MATCH('2020'!$A62,Data!$C$7:$C$422,0))),0)</f>
        <v>68483</v>
      </c>
      <c r="E62" s="29">
        <v>55024</v>
      </c>
      <c r="F62" s="29" t="s">
        <v>18</v>
      </c>
      <c r="I62" t="s">
        <v>166</v>
      </c>
      <c r="J62" t="s">
        <v>490</v>
      </c>
      <c r="K62" t="s">
        <v>20</v>
      </c>
      <c r="L62" s="29">
        <f>INDEX(Data!$O$9:$O$105,MATCH('2020'!$J62,Data!$M$9:$M$105,0))</f>
        <v>126719</v>
      </c>
      <c r="M62" s="29">
        <v>193774</v>
      </c>
    </row>
    <row r="63" spans="2:13" x14ac:dyDescent="0.25">
      <c r="B63">
        <v>42</v>
      </c>
      <c r="C63" t="s">
        <v>169</v>
      </c>
      <c r="D63" s="29">
        <f>IFERROR(IFERROR(INDEX(Data!$E$7:$E$422,MATCH('2020'!$C63,Data!$C$7:$C$422,0)),INDEX(Data!$E$7:$E$422,MATCH('2020'!$A63,Data!$C$7:$C$422,0))),0)</f>
        <v>120725</v>
      </c>
      <c r="E63" s="29">
        <v>74594</v>
      </c>
      <c r="F63" s="29" t="s">
        <v>18</v>
      </c>
      <c r="I63" t="s">
        <v>168</v>
      </c>
      <c r="J63" t="s">
        <v>491</v>
      </c>
      <c r="K63" t="s">
        <v>20</v>
      </c>
      <c r="L63" s="29">
        <f>INDEX(Data!$O$9:$O$105,MATCH('2020'!$J63,Data!$M$9:$M$105,0))</f>
        <v>73945</v>
      </c>
      <c r="M63" s="29">
        <v>83609</v>
      </c>
    </row>
    <row r="64" spans="2:13" x14ac:dyDescent="0.25">
      <c r="B64">
        <v>43</v>
      </c>
      <c r="C64" t="s">
        <v>171</v>
      </c>
      <c r="D64" s="29">
        <f>IFERROR(IFERROR(INDEX(Data!$E$7:$E$422,MATCH('2020'!$C64,Data!$C$7:$C$422,0)),INDEX(Data!$E$7:$E$422,MATCH('2020'!$A64,Data!$C$7:$C$422,0))),0)</f>
        <v>119294</v>
      </c>
      <c r="E64" s="29">
        <v>95639</v>
      </c>
      <c r="F64" s="29" t="s">
        <v>18</v>
      </c>
      <c r="I64" t="s">
        <v>170</v>
      </c>
      <c r="J64" t="s">
        <v>492</v>
      </c>
      <c r="K64" t="s">
        <v>20</v>
      </c>
      <c r="L64" s="29">
        <f>INDEX(Data!$O$9:$O$105,MATCH('2020'!$J64,Data!$M$9:$M$105,0))</f>
        <v>39492</v>
      </c>
      <c r="M64" s="29">
        <v>40008</v>
      </c>
    </row>
    <row r="65" spans="2:13" x14ac:dyDescent="0.25">
      <c r="B65">
        <v>44</v>
      </c>
      <c r="C65" t="s">
        <v>173</v>
      </c>
      <c r="D65" s="29">
        <f>IFERROR(IFERROR(INDEX(Data!$E$7:$E$422,MATCH('2020'!$C65,Data!$C$7:$C$422,0)),INDEX(Data!$E$7:$E$422,MATCH('2020'!$A65,Data!$C$7:$C$422,0))),0)</f>
        <v>293548</v>
      </c>
      <c r="E65" s="29">
        <v>259081</v>
      </c>
      <c r="F65" s="29" t="s">
        <v>18</v>
      </c>
      <c r="I65" t="s">
        <v>172</v>
      </c>
      <c r="J65" t="s">
        <v>493</v>
      </c>
      <c r="K65" t="s">
        <v>20</v>
      </c>
      <c r="L65" s="29">
        <f>INDEX(Data!$O$9:$O$105,MATCH('2020'!$J65,Data!$M$9:$M$105,0))</f>
        <v>413595</v>
      </c>
      <c r="M65" s="29">
        <v>484505</v>
      </c>
    </row>
    <row r="66" spans="2:13" x14ac:dyDescent="0.25">
      <c r="B66">
        <v>45</v>
      </c>
      <c r="C66" t="s">
        <v>175</v>
      </c>
      <c r="D66" s="29">
        <f>IFERROR(IFERROR(INDEX(Data!$E$7:$E$422,MATCH('2020'!$C66,Data!$C$7:$C$422,0)),INDEX(Data!$E$7:$E$422,MATCH('2020'!$A66,Data!$C$7:$C$422,0))),0)</f>
        <v>155349</v>
      </c>
      <c r="E66" s="29">
        <v>119582</v>
      </c>
      <c r="F66" s="29" t="s">
        <v>18</v>
      </c>
      <c r="I66" t="s">
        <v>174</v>
      </c>
      <c r="J66" t="s">
        <v>494</v>
      </c>
      <c r="K66" t="s">
        <v>20</v>
      </c>
      <c r="L66" s="29">
        <f>INDEX(Data!$O$9:$O$105,MATCH('2020'!$J66,Data!$M$9:$M$105,0))</f>
        <v>73183</v>
      </c>
      <c r="M66" s="29">
        <v>80823</v>
      </c>
    </row>
    <row r="67" spans="2:13" x14ac:dyDescent="0.25">
      <c r="B67">
        <v>46</v>
      </c>
      <c r="C67" t="s">
        <v>177</v>
      </c>
      <c r="D67" s="29">
        <f>IFERROR(IFERROR(INDEX(Data!$E$7:$E$422,MATCH('2020'!$C67,Data!$C$7:$C$422,0)),INDEX(Data!$E$7:$E$422,MATCH('2020'!$A67,Data!$C$7:$C$422,0))),0)</f>
        <v>36781</v>
      </c>
      <c r="E67" s="29">
        <v>31177</v>
      </c>
      <c r="F67" s="29" t="s">
        <v>7</v>
      </c>
      <c r="I67" t="s">
        <v>176</v>
      </c>
      <c r="J67" t="s">
        <v>495</v>
      </c>
      <c r="K67" t="s">
        <v>20</v>
      </c>
      <c r="L67" s="29">
        <f>INDEX(Data!$O$9:$O$105,MATCH('2020'!$J67,Data!$M$9:$M$105,0))</f>
        <v>59335</v>
      </c>
      <c r="M67" s="29">
        <v>62954</v>
      </c>
    </row>
    <row r="68" spans="2:13" x14ac:dyDescent="0.25">
      <c r="B68">
        <v>47</v>
      </c>
      <c r="C68" t="s">
        <v>179</v>
      </c>
      <c r="D68" s="29">
        <f>IFERROR(IFERROR(INDEX(Data!$E$7:$E$422,MATCH('2020'!$C68,Data!$C$7:$C$422,0)),INDEX(Data!$E$7:$E$422,MATCH('2020'!$A68,Data!$C$7:$C$422,0))),0)</f>
        <v>25204</v>
      </c>
      <c r="E68" s="29">
        <v>15244</v>
      </c>
      <c r="F68" s="29" t="s">
        <v>7</v>
      </c>
      <c r="I68" t="s">
        <v>178</v>
      </c>
      <c r="J68" t="s">
        <v>688</v>
      </c>
      <c r="K68" t="s">
        <v>20</v>
      </c>
      <c r="L68" s="29">
        <f>INDEX(Data!$O$9:$O$105,MATCH('2020'!$J68,Data!$M$9:$M$105,0))</f>
        <v>287462</v>
      </c>
      <c r="M68" s="29">
        <v>356215</v>
      </c>
    </row>
    <row r="69" spans="2:13" x14ac:dyDescent="0.25">
      <c r="B69">
        <v>48</v>
      </c>
      <c r="C69" t="s">
        <v>181</v>
      </c>
      <c r="D69" s="29">
        <f>IFERROR(IFERROR(INDEX(Data!$E$7:$E$422,MATCH('2020'!$C69,Data!$C$7:$C$422,0)),INDEX(Data!$E$7:$E$422,MATCH('2020'!$A69,Data!$C$7:$C$422,0))),0)</f>
        <v>29031</v>
      </c>
      <c r="E69" s="29">
        <v>23229</v>
      </c>
      <c r="F69" s="29" t="s">
        <v>7</v>
      </c>
      <c r="I69" t="s">
        <v>180</v>
      </c>
      <c r="J69" t="s">
        <v>498</v>
      </c>
      <c r="K69" t="s">
        <v>20</v>
      </c>
      <c r="L69" s="29">
        <f>INDEX(Data!$O$9:$O$105,MATCH('2020'!$J69,Data!$M$9:$M$105,0))</f>
        <v>137488</v>
      </c>
      <c r="M69" s="29">
        <v>159617</v>
      </c>
    </row>
    <row r="70" spans="2:13" x14ac:dyDescent="0.25">
      <c r="B70">
        <v>49</v>
      </c>
      <c r="C70" t="s">
        <v>183</v>
      </c>
      <c r="D70" s="29">
        <f>IFERROR(IFERROR(INDEX(Data!$E$7:$E$422,MATCH('2020'!$C70,Data!$C$7:$C$422,0)),INDEX(Data!$E$7:$E$422,MATCH('2020'!$A70,Data!$C$7:$C$422,0))),0)</f>
        <v>32708</v>
      </c>
      <c r="E70" s="29">
        <v>27866</v>
      </c>
      <c r="F70" s="29" t="s">
        <v>7</v>
      </c>
      <c r="I70" t="s">
        <v>182</v>
      </c>
      <c r="J70" t="s">
        <v>689</v>
      </c>
      <c r="L70" s="29">
        <f>INDEX(Data!$O$9:$O$105,MATCH('2020'!$J70,Data!$M$9:$M$105,0))</f>
        <v>2024027</v>
      </c>
      <c r="M70" s="29">
        <v>2265810</v>
      </c>
    </row>
    <row r="71" spans="2:13" x14ac:dyDescent="0.25">
      <c r="B71">
        <v>50</v>
      </c>
      <c r="C71" s="35" t="s">
        <v>185</v>
      </c>
      <c r="D71" s="29">
        <f>IFERROR(IFERROR(INDEX(Data!$E$7:$E$422,MATCH('2020'!$C71,Data!$C$7:$C$422,0)),INDEX(Data!$E$7:$E$422,MATCH('2020'!$A71,Data!$C$7:$C$422,0))),0)</f>
        <v>7756</v>
      </c>
      <c r="E71" s="29">
        <v>8069</v>
      </c>
      <c r="F71" s="29" t="s">
        <v>605</v>
      </c>
      <c r="G71" t="s">
        <v>186</v>
      </c>
      <c r="I71" t="s">
        <v>184</v>
      </c>
      <c r="J71" t="s">
        <v>690</v>
      </c>
      <c r="K71" t="s">
        <v>22</v>
      </c>
      <c r="L71" s="29">
        <f>INDEX(Data!$O$9:$O$105,MATCH('2020'!$J71,Data!$M$9:$M$105,0))</f>
        <v>445181</v>
      </c>
      <c r="M71" s="29">
        <v>498447</v>
      </c>
    </row>
    <row r="72" spans="2:13" x14ac:dyDescent="0.25">
      <c r="B72">
        <v>51</v>
      </c>
      <c r="C72" s="32" t="s">
        <v>188</v>
      </c>
      <c r="D72" s="29">
        <f>IFERROR(IFERROR(INDEX(Data!$E$7:$E$422,MATCH('2020'!$C72,Data!$C$7:$C$422,0)),INDEX(Data!$E$7:$E$422,MATCH('2020'!$A72,Data!$C$7:$C$422,0))),0)</f>
        <v>26575</v>
      </c>
      <c r="E72" s="29">
        <v>23111</v>
      </c>
      <c r="F72" s="29" t="s">
        <v>604</v>
      </c>
      <c r="G72" t="s">
        <v>189</v>
      </c>
      <c r="I72" t="s">
        <v>187</v>
      </c>
      <c r="J72" t="s">
        <v>691</v>
      </c>
      <c r="K72" t="s">
        <v>22</v>
      </c>
      <c r="L72" s="29">
        <f>INDEX(Data!$O$9:$O$105,MATCH('2020'!$J72,Data!$M$9:$M$105,0))</f>
        <v>147262</v>
      </c>
      <c r="M72" s="29">
        <v>168179</v>
      </c>
    </row>
    <row r="73" spans="2:13" x14ac:dyDescent="0.25">
      <c r="B73">
        <v>52</v>
      </c>
      <c r="C73" s="35" t="s">
        <v>191</v>
      </c>
      <c r="D73" s="29">
        <f>IFERROR(IFERROR(INDEX(Data!$E$7:$E$422,MATCH('2020'!$C73,Data!$C$7:$C$422,0)),INDEX(Data!$E$7:$E$422,MATCH('2020'!$A73,Data!$C$7:$C$422,0))),0)</f>
        <v>9347</v>
      </c>
      <c r="E73" s="29">
        <v>6964</v>
      </c>
      <c r="F73" s="29" t="s">
        <v>605</v>
      </c>
      <c r="G73" t="s">
        <v>186</v>
      </c>
      <c r="I73" t="s">
        <v>190</v>
      </c>
      <c r="J73" t="s">
        <v>692</v>
      </c>
      <c r="K73" t="s">
        <v>629</v>
      </c>
      <c r="L73" s="29">
        <f>INDEX(Data!$O$9:$O$105,MATCH('2020'!$J73,Data!$M$9:$M$105,0))</f>
        <v>894158</v>
      </c>
      <c r="M73" s="29">
        <v>938369</v>
      </c>
    </row>
    <row r="74" spans="2:13" x14ac:dyDescent="0.25">
      <c r="B74">
        <v>53</v>
      </c>
      <c r="C74" s="35" t="s">
        <v>193</v>
      </c>
      <c r="D74" s="29">
        <f>IFERROR(IFERROR(INDEX(Data!$E$7:$E$422,MATCH('2020'!$C74,Data!$C$7:$C$422,0)),INDEX(Data!$E$7:$E$422,MATCH('2020'!$A74,Data!$C$7:$C$422,0))),0)</f>
        <v>34372</v>
      </c>
      <c r="E74" s="29">
        <v>26822</v>
      </c>
      <c r="F74" s="29" t="s">
        <v>605</v>
      </c>
      <c r="G74" t="s">
        <v>186</v>
      </c>
      <c r="I74" t="s">
        <v>192</v>
      </c>
      <c r="J74" t="s">
        <v>693</v>
      </c>
      <c r="K74" t="s">
        <v>24</v>
      </c>
      <c r="L74" s="29">
        <f>INDEX(Data!$O$9:$O$105,MATCH('2020'!$J74,Data!$M$9:$M$105,0))</f>
        <v>537426</v>
      </c>
      <c r="M74" s="29">
        <v>660815</v>
      </c>
    </row>
    <row r="75" spans="2:13" x14ac:dyDescent="0.25">
      <c r="B75">
        <v>54</v>
      </c>
      <c r="C75" s="35" t="s">
        <v>195</v>
      </c>
      <c r="D75" s="29">
        <f>IFERROR(IFERROR(INDEX(Data!$E$7:$E$422,MATCH('2020'!$C75,Data!$C$7:$C$422,0)),INDEX(Data!$E$7:$E$422,MATCH('2020'!$A75,Data!$C$7:$C$422,0))),0)</f>
        <v>6890</v>
      </c>
      <c r="E75" s="29">
        <v>6195</v>
      </c>
      <c r="F75" s="29" t="s">
        <v>605</v>
      </c>
      <c r="G75" t="s">
        <v>186</v>
      </c>
      <c r="I75" t="s">
        <v>194</v>
      </c>
      <c r="J75" t="s">
        <v>694</v>
      </c>
      <c r="L75" s="29">
        <f>INDEX(Data!$O$9:$O$105,MATCH('2020'!$J75,Data!$M$9:$M$105,0))</f>
        <v>7278372</v>
      </c>
      <c r="M75" s="29">
        <v>7868688</v>
      </c>
    </row>
    <row r="76" spans="2:13" x14ac:dyDescent="0.25">
      <c r="B76">
        <v>55</v>
      </c>
      <c r="C76" s="35" t="s">
        <v>197</v>
      </c>
      <c r="D76" s="29">
        <f>IFERROR(IFERROR(INDEX(Data!$E$7:$E$422,MATCH('2020'!$C76,Data!$C$7:$C$422,0)),INDEX(Data!$E$7:$E$422,MATCH('2020'!$A76,Data!$C$7:$C$422,0))),0)</f>
        <v>13863</v>
      </c>
      <c r="E76" s="29">
        <v>10760</v>
      </c>
      <c r="F76" s="29" t="s">
        <v>605</v>
      </c>
      <c r="G76" t="s">
        <v>186</v>
      </c>
      <c r="I76" t="s">
        <v>196</v>
      </c>
      <c r="J76" t="s">
        <v>695</v>
      </c>
      <c r="K76" t="s">
        <v>25</v>
      </c>
      <c r="L76" s="29">
        <f>INDEX(Data!$O$9:$O$105,MATCH('2020'!$J76,Data!$M$9:$M$105,0))</f>
        <v>3122174</v>
      </c>
      <c r="M76" s="29">
        <v>3293908</v>
      </c>
    </row>
    <row r="77" spans="2:13" x14ac:dyDescent="0.25">
      <c r="B77">
        <v>56</v>
      </c>
      <c r="C77" s="35" t="s">
        <v>199</v>
      </c>
      <c r="D77" s="29">
        <f>IFERROR(IFERROR(INDEX(Data!$E$7:$E$422,MATCH('2020'!$C77,Data!$C$7:$C$422,0)),INDEX(Data!$E$7:$E$422,MATCH('2020'!$A77,Data!$C$7:$C$422,0))),0)</f>
        <v>8185</v>
      </c>
      <c r="E77" s="29">
        <v>6009</v>
      </c>
      <c r="F77" s="29" t="s">
        <v>605</v>
      </c>
      <c r="G77" t="s">
        <v>186</v>
      </c>
      <c r="I77" t="s">
        <v>198</v>
      </c>
      <c r="J77" t="s">
        <v>696</v>
      </c>
      <c r="L77" s="29">
        <f>INDEX(Data!$O$9:$O$105,MATCH('2020'!$J77,Data!$M$9:$M$105,0))</f>
        <v>1148195</v>
      </c>
      <c r="M77" s="29">
        <v>1204649</v>
      </c>
    </row>
    <row r="78" spans="2:13" x14ac:dyDescent="0.25">
      <c r="B78">
        <v>57</v>
      </c>
      <c r="C78" s="35" t="s">
        <v>201</v>
      </c>
      <c r="D78" s="29">
        <f>IFERROR(IFERROR(INDEX(Data!$E$7:$E$422,MATCH('2020'!$C78,Data!$C$7:$C$422,0)),INDEX(Data!$E$7:$E$422,MATCH('2020'!$A78,Data!$C$7:$C$422,0))),0)</f>
        <v>3347</v>
      </c>
      <c r="E78" s="29">
        <v>3112</v>
      </c>
      <c r="F78" s="29" t="s">
        <v>605</v>
      </c>
      <c r="G78" t="s">
        <v>186</v>
      </c>
      <c r="I78" t="s">
        <v>200</v>
      </c>
      <c r="J78" t="s">
        <v>697</v>
      </c>
      <c r="L78" s="29">
        <f>INDEX(Data!$O$9:$O$105,MATCH('2020'!$J78,Data!$M$9:$M$105,0))</f>
        <v>631959</v>
      </c>
      <c r="M78" s="29">
        <v>719137</v>
      </c>
    </row>
    <row r="79" spans="2:13" x14ac:dyDescent="0.25">
      <c r="B79">
        <v>58</v>
      </c>
      <c r="C79" s="35" t="s">
        <v>203</v>
      </c>
      <c r="D79" s="29">
        <f>IFERROR(IFERROR(INDEX(Data!$E$7:$E$422,MATCH('2020'!$C79,Data!$C$7:$C$422,0)),INDEX(Data!$E$7:$E$422,MATCH('2020'!$A79,Data!$C$7:$C$422,0))),0)</f>
        <v>5326</v>
      </c>
      <c r="E79" s="29">
        <v>4531</v>
      </c>
      <c r="F79" s="29" t="s">
        <v>605</v>
      </c>
      <c r="G79" t="s">
        <v>186</v>
      </c>
      <c r="I79" t="s">
        <v>202</v>
      </c>
      <c r="J79" t="s">
        <v>698</v>
      </c>
      <c r="L79" s="29">
        <f>INDEX(Data!$O$9:$O$105,MATCH('2020'!$J79,Data!$M$9:$M$105,0))</f>
        <v>1186085</v>
      </c>
      <c r="M79" s="29">
        <v>1223729</v>
      </c>
    </row>
    <row r="80" spans="2:13" x14ac:dyDescent="0.25">
      <c r="B80">
        <v>59</v>
      </c>
      <c r="C80" s="35" t="s">
        <v>205</v>
      </c>
      <c r="D80" s="29">
        <f>IFERROR(IFERROR(INDEX(Data!$E$7:$E$422,MATCH('2020'!$C80,Data!$C$7:$C$422,0)),INDEX(Data!$E$7:$E$422,MATCH('2020'!$A80,Data!$C$7:$C$422,0))),0)</f>
        <v>3640</v>
      </c>
      <c r="E80" s="29">
        <v>3520</v>
      </c>
      <c r="F80" s="29" t="s">
        <v>605</v>
      </c>
      <c r="G80" t="s">
        <v>186</v>
      </c>
      <c r="I80" t="s">
        <v>204</v>
      </c>
      <c r="J80" t="s">
        <v>521</v>
      </c>
      <c r="L80" s="29">
        <f>INDEX(Data!$O$9:$O$105,MATCH('2020'!$J80,Data!$M$9:$M$105,0))</f>
        <v>155935</v>
      </c>
      <c r="M80" s="29">
        <v>146393</v>
      </c>
    </row>
    <row r="81" spans="2:13" x14ac:dyDescent="0.25">
      <c r="B81">
        <v>60</v>
      </c>
      <c r="C81" s="35" t="s">
        <v>207</v>
      </c>
      <c r="D81" s="29">
        <f>IFERROR(IFERROR(INDEX(Data!$E$7:$E$422,MATCH('2020'!$C81,Data!$C$7:$C$422,0)),INDEX(Data!$E$7:$E$422,MATCH('2020'!$A81,Data!$C$7:$C$422,0))),0)</f>
        <v>9531</v>
      </c>
      <c r="E81" s="29">
        <v>7867</v>
      </c>
      <c r="F81" s="29" t="s">
        <v>605</v>
      </c>
      <c r="G81" t="s">
        <v>186</v>
      </c>
      <c r="I81" t="s">
        <v>206</v>
      </c>
      <c r="J81" t="s">
        <v>699</v>
      </c>
      <c r="K81" t="s">
        <v>26</v>
      </c>
      <c r="L81" s="29">
        <f>INDEX(Data!$O$9:$O$105,MATCH('2020'!$J81,Data!$M$9:$M$105,0))</f>
        <v>4156198</v>
      </c>
      <c r="M81" s="29">
        <v>4574780</v>
      </c>
    </row>
    <row r="82" spans="2:13" x14ac:dyDescent="0.25">
      <c r="B82">
        <v>61</v>
      </c>
      <c r="C82" s="35" t="s">
        <v>209</v>
      </c>
      <c r="D82" s="29">
        <f>IFERROR(IFERROR(INDEX(Data!$E$7:$E$422,MATCH('2020'!$C82,Data!$C$7:$C$422,0)),INDEX(Data!$E$7:$E$422,MATCH('2020'!$A82,Data!$C$7:$C$422,0))),0)</f>
        <v>4459</v>
      </c>
      <c r="E82" s="29">
        <v>4253</v>
      </c>
      <c r="F82" s="29" t="s">
        <v>605</v>
      </c>
      <c r="G82" t="s">
        <v>186</v>
      </c>
      <c r="I82" t="s">
        <v>208</v>
      </c>
      <c r="J82" t="s">
        <v>700</v>
      </c>
      <c r="L82" s="29">
        <f>INDEX(Data!$O$9:$O$105,MATCH('2020'!$J82,Data!$M$9:$M$105,0))</f>
        <v>3752645</v>
      </c>
      <c r="M82" s="29">
        <v>4085898</v>
      </c>
    </row>
    <row r="83" spans="2:13" x14ac:dyDescent="0.25">
      <c r="B83">
        <v>62</v>
      </c>
      <c r="C83" s="30" t="s">
        <v>211</v>
      </c>
      <c r="D83" s="29">
        <f>IFERROR(IFERROR(INDEX(Data!$E$7:$E$422,MATCH('2020'!$C83,Data!$C$7:$C$422,0)),INDEX(Data!$E$7:$E$422,MATCH('2020'!$A83,Data!$C$7:$C$422,0))),0)</f>
        <v>74597</v>
      </c>
      <c r="E83" s="29">
        <v>81544</v>
      </c>
      <c r="F83" s="29" t="s">
        <v>606</v>
      </c>
      <c r="G83" t="s">
        <v>212</v>
      </c>
      <c r="I83" t="s">
        <v>210</v>
      </c>
      <c r="J83" t="s">
        <v>701</v>
      </c>
      <c r="L83" s="29">
        <f>INDEX(Data!$O$9:$O$105,MATCH('2020'!$J83,Data!$M$9:$M$105,0))</f>
        <v>2343789</v>
      </c>
      <c r="M83" s="29">
        <v>2468729</v>
      </c>
    </row>
    <row r="84" spans="2:13" x14ac:dyDescent="0.25">
      <c r="B84">
        <v>63</v>
      </c>
      <c r="C84" s="30" t="s">
        <v>214</v>
      </c>
      <c r="D84" s="29">
        <f>IFERROR(IFERROR(INDEX(Data!$E$7:$E$422,MATCH('2020'!$C84,Data!$C$7:$C$422,0)),INDEX(Data!$E$7:$E$422,MATCH('2020'!$A84,Data!$C$7:$C$422,0))),0)</f>
        <v>22592</v>
      </c>
      <c r="E84" s="29">
        <v>21655</v>
      </c>
      <c r="F84" s="29" t="s">
        <v>11</v>
      </c>
      <c r="G84" t="s">
        <v>212</v>
      </c>
      <c r="I84" t="s">
        <v>213</v>
      </c>
      <c r="J84" t="s">
        <v>524</v>
      </c>
      <c r="L84" s="29">
        <f>INDEX(Data!$O$9:$O$105,MATCH('2020'!$J84,Data!$M$9:$M$105,0))</f>
        <v>1408856</v>
      </c>
      <c r="M84" s="29">
        <v>1617169</v>
      </c>
    </row>
    <row r="85" spans="2:13" x14ac:dyDescent="0.25">
      <c r="B85">
        <v>64</v>
      </c>
      <c r="C85" s="7" t="s">
        <v>216</v>
      </c>
      <c r="D85" s="29">
        <f>IFERROR(IFERROR(INDEX(Data!$E$7:$E$422,MATCH('2020'!$C85,Data!$C$7:$C$422,0)),INDEX(Data!$E$7:$E$422,MATCH('2020'!$A85,Data!$C$7:$C$422,0))),0)</f>
        <v>4625</v>
      </c>
      <c r="E85" s="29">
        <v>4569</v>
      </c>
      <c r="F85" s="29" t="s">
        <v>607</v>
      </c>
      <c r="G85" t="s">
        <v>217</v>
      </c>
      <c r="I85" t="s">
        <v>215</v>
      </c>
      <c r="J85" t="s">
        <v>702</v>
      </c>
      <c r="L85" s="29">
        <f>INDEX(Data!$O$9:$O$105,MATCH('2020'!$J85,Data!$M$9:$M$105,0))</f>
        <v>403552</v>
      </c>
      <c r="M85" s="29">
        <v>488882</v>
      </c>
    </row>
    <row r="86" spans="2:13" x14ac:dyDescent="0.25">
      <c r="B86">
        <v>65</v>
      </c>
      <c r="C86" s="7" t="s">
        <v>219</v>
      </c>
      <c r="D86" s="29">
        <f>IFERROR(IFERROR(INDEX(Data!$E$7:$E$422,MATCH('2020'!$C86,Data!$C$7:$C$422,0)),INDEX(Data!$E$7:$E$422,MATCH('2020'!$A86,Data!$C$7:$C$422,0))),0)</f>
        <v>2274</v>
      </c>
      <c r="E86" s="29">
        <v>2526</v>
      </c>
      <c r="F86" s="29" t="s">
        <v>607</v>
      </c>
      <c r="G86" t="s">
        <v>217</v>
      </c>
      <c r="I86" t="s">
        <v>218</v>
      </c>
      <c r="J86" t="s">
        <v>703</v>
      </c>
      <c r="L86" s="29">
        <f>INDEX(Data!$O$9:$O$105,MATCH('2020'!$J86,Data!$M$9:$M$105,0))</f>
        <v>4311058</v>
      </c>
      <c r="M86" s="29">
        <v>4859785</v>
      </c>
    </row>
    <row r="87" spans="2:13" x14ac:dyDescent="0.25">
      <c r="B87">
        <v>66</v>
      </c>
      <c r="C87" s="7" t="s">
        <v>221</v>
      </c>
      <c r="D87" s="29">
        <f>IFERROR(IFERROR(INDEX(Data!$E$7:$E$422,MATCH('2020'!$C87,Data!$C$7:$C$422,0)),INDEX(Data!$E$7:$E$422,MATCH('2020'!$A87,Data!$C$7:$C$422,0))),0)</f>
        <v>24599</v>
      </c>
      <c r="E87" s="29">
        <v>28424</v>
      </c>
      <c r="F87" s="29" t="s">
        <v>607</v>
      </c>
      <c r="G87" t="s">
        <v>217</v>
      </c>
      <c r="I87" t="s">
        <v>220</v>
      </c>
      <c r="J87" t="s">
        <v>704</v>
      </c>
      <c r="L87" s="29">
        <f>INDEX(Data!$O$9:$O$105,MATCH('2020'!$J87,Data!$M$9:$M$105,0))</f>
        <v>2520797</v>
      </c>
      <c r="M87" s="29">
        <v>2817385</v>
      </c>
    </row>
    <row r="88" spans="2:13" x14ac:dyDescent="0.25">
      <c r="B88">
        <v>67</v>
      </c>
      <c r="C88" s="7" t="s">
        <v>223</v>
      </c>
      <c r="D88" s="29">
        <f>IFERROR(IFERROR(INDEX(Data!$E$7:$E$422,MATCH('2020'!$C88,Data!$C$7:$C$422,0)),INDEX(Data!$E$7:$E$422,MATCH('2020'!$A88,Data!$C$7:$C$422,0))),0)</f>
        <v>11322</v>
      </c>
      <c r="E88" s="29">
        <v>14986</v>
      </c>
      <c r="F88" s="29" t="s">
        <v>607</v>
      </c>
      <c r="G88" t="s">
        <v>217</v>
      </c>
      <c r="I88" t="s">
        <v>222</v>
      </c>
      <c r="J88" t="s">
        <v>529</v>
      </c>
      <c r="K88" t="s">
        <v>27</v>
      </c>
      <c r="L88" s="29">
        <f>INDEX(Data!$O$9:$O$105,MATCH('2020'!$J88,Data!$M$9:$M$105,0))</f>
        <v>374800</v>
      </c>
      <c r="M88" s="29">
        <v>414716</v>
      </c>
    </row>
    <row r="89" spans="2:13" x14ac:dyDescent="0.25">
      <c r="B89">
        <v>68</v>
      </c>
      <c r="C89" s="7" t="s">
        <v>225</v>
      </c>
      <c r="D89" s="29">
        <f>IFERROR(IFERROR(INDEX(Data!$E$7:$E$422,MATCH('2020'!$C89,Data!$C$7:$C$422,0)),INDEX(Data!$E$7:$E$422,MATCH('2020'!$A89,Data!$C$7:$C$422,0))),0)</f>
        <v>22152</v>
      </c>
      <c r="E89" s="29">
        <v>22759</v>
      </c>
      <c r="F89" s="29" t="s">
        <v>607</v>
      </c>
      <c r="G89" t="s">
        <v>217</v>
      </c>
      <c r="I89" t="s">
        <v>224</v>
      </c>
      <c r="J89" t="s">
        <v>705</v>
      </c>
      <c r="K89" t="s">
        <v>24</v>
      </c>
      <c r="L89" s="29">
        <f>INDEX(Data!$O$9:$O$105,MATCH('2020'!$J89,Data!$M$9:$M$105,0))</f>
        <v>551232</v>
      </c>
      <c r="M89" s="29">
        <v>612679</v>
      </c>
    </row>
    <row r="90" spans="2:13" x14ac:dyDescent="0.25">
      <c r="B90">
        <v>69</v>
      </c>
      <c r="C90" s="7" t="s">
        <v>227</v>
      </c>
      <c r="D90" s="29">
        <f>IFERROR(IFERROR(INDEX(Data!$E$7:$E$422,MATCH('2020'!$C90,Data!$C$7:$C$422,0)),INDEX(Data!$E$7:$E$422,MATCH('2020'!$A90,Data!$C$7:$C$422,0))),0)</f>
        <v>12598</v>
      </c>
      <c r="E90" s="29">
        <v>15289</v>
      </c>
      <c r="F90" s="29" t="s">
        <v>607</v>
      </c>
      <c r="G90" t="s">
        <v>217</v>
      </c>
      <c r="I90" t="s">
        <v>226</v>
      </c>
      <c r="J90" t="s">
        <v>706</v>
      </c>
      <c r="K90" t="s">
        <v>27</v>
      </c>
      <c r="L90" s="29">
        <f>INDEX(Data!$O$9:$O$105,MATCH('2020'!$J90,Data!$M$9:$M$105,0))</f>
        <v>1594765</v>
      </c>
      <c r="M90" s="29">
        <v>1789990</v>
      </c>
    </row>
    <row r="91" spans="2:13" x14ac:dyDescent="0.25">
      <c r="B91">
        <v>70</v>
      </c>
      <c r="C91" s="30" t="s">
        <v>229</v>
      </c>
      <c r="D91" s="29">
        <f>IFERROR(IFERROR(INDEX(Data!$E$7:$E$422,MATCH('2020'!$C91,Data!$C$7:$C$422,0)),INDEX(Data!$E$7:$E$422,MATCH('2020'!$A91,Data!$C$7:$C$422,0))),0)</f>
        <v>14313</v>
      </c>
      <c r="E91" s="29">
        <v>13054</v>
      </c>
      <c r="F91" s="29" t="s">
        <v>606</v>
      </c>
      <c r="G91" t="s">
        <v>212</v>
      </c>
      <c r="I91" t="s">
        <v>228</v>
      </c>
      <c r="J91" t="s">
        <v>543</v>
      </c>
      <c r="K91" t="s">
        <v>27</v>
      </c>
      <c r="L91" s="29">
        <f>INDEX(Data!$O$9:$O$105,MATCH('2020'!$J91,Data!$M$9:$M$105,0))</f>
        <v>640074</v>
      </c>
      <c r="M91" s="29">
        <v>688116</v>
      </c>
    </row>
    <row r="92" spans="2:13" x14ac:dyDescent="0.25">
      <c r="B92">
        <v>71</v>
      </c>
      <c r="C92" s="7" t="s">
        <v>231</v>
      </c>
      <c r="D92" s="29">
        <f>IFERROR(IFERROR(INDEX(Data!$E$7:$E$422,MATCH('2020'!$C92,Data!$C$7:$C$422,0)),INDEX(Data!$E$7:$E$422,MATCH('2020'!$A92,Data!$C$7:$C$422,0))),0)</f>
        <v>9905</v>
      </c>
      <c r="E92" s="29">
        <v>10729</v>
      </c>
      <c r="F92" s="29" t="s">
        <v>607</v>
      </c>
      <c r="G92" t="s">
        <v>217</v>
      </c>
      <c r="I92" t="s">
        <v>230</v>
      </c>
      <c r="J92" t="s">
        <v>707</v>
      </c>
      <c r="L92" s="29">
        <f>INDEX(Data!$O$9:$O$105,MATCH('2020'!$J92,Data!$M$9:$M$105,0))</f>
        <v>1150186</v>
      </c>
      <c r="M92" s="29">
        <v>1354284</v>
      </c>
    </row>
    <row r="93" spans="2:13" x14ac:dyDescent="0.25">
      <c r="B93">
        <v>72</v>
      </c>
      <c r="C93" t="s">
        <v>233</v>
      </c>
      <c r="D93" s="29">
        <f>IFERROR(IFERROR(INDEX(Data!$E$7:$E$422,MATCH('2020'!$C93,Data!$C$7:$C$422,0)),INDEX(Data!$E$7:$E$422,MATCH('2020'!$A93,Data!$C$7:$C$422,0))),0)</f>
        <v>6253</v>
      </c>
      <c r="E93" s="29">
        <v>5680</v>
      </c>
      <c r="F93" s="29" t="s">
        <v>11</v>
      </c>
      <c r="I93" t="s">
        <v>232</v>
      </c>
      <c r="J93" t="s">
        <v>708</v>
      </c>
      <c r="K93" t="s">
        <v>27</v>
      </c>
      <c r="L93" s="29">
        <f>INDEX(Data!$O$9:$O$105,MATCH('2020'!$J93,Data!$M$9:$M$105,0))</f>
        <v>1021709</v>
      </c>
      <c r="M93" s="29">
        <v>1210291</v>
      </c>
    </row>
    <row r="94" spans="2:13" x14ac:dyDescent="0.25">
      <c r="B94">
        <v>73</v>
      </c>
      <c r="C94" t="s">
        <v>235</v>
      </c>
      <c r="D94" s="29">
        <f>IFERROR(IFERROR(INDEX(Data!$E$7:$E$422,MATCH('2020'!$C94,Data!$C$7:$C$422,0)),INDEX(Data!$E$7:$E$422,MATCH('2020'!$A94,Data!$C$7:$C$422,0))),0)</f>
        <v>10271</v>
      </c>
      <c r="E94" s="29">
        <v>11230</v>
      </c>
      <c r="F94" s="29" t="s">
        <v>11</v>
      </c>
      <c r="I94" t="s">
        <v>234</v>
      </c>
      <c r="J94" t="s">
        <v>552</v>
      </c>
      <c r="K94" t="s">
        <v>610</v>
      </c>
      <c r="L94" s="29">
        <f>INDEX(Data!$O$9:$O$105,MATCH('2020'!$J94,Data!$M$9:$M$105,0))</f>
        <v>128477</v>
      </c>
      <c r="M94" s="29">
        <v>143993</v>
      </c>
    </row>
    <row r="95" spans="2:13" x14ac:dyDescent="0.25">
      <c r="B95">
        <v>74</v>
      </c>
      <c r="C95" t="s">
        <v>237</v>
      </c>
      <c r="D95" s="29">
        <f>IFERROR(IFERROR(INDEX(Data!$E$7:$E$422,MATCH('2020'!$C95,Data!$C$7:$C$422,0)),INDEX(Data!$E$7:$E$422,MATCH('2020'!$A95,Data!$C$7:$C$422,0))),0)</f>
        <v>10805</v>
      </c>
      <c r="E95" s="29">
        <v>9385</v>
      </c>
      <c r="F95" s="29" t="s">
        <v>11</v>
      </c>
      <c r="I95" t="s">
        <v>236</v>
      </c>
      <c r="J95" t="s">
        <v>709</v>
      </c>
      <c r="L95" s="29">
        <f>INDEX(Data!$O$9:$O$105,MATCH('2020'!$J95,Data!$M$9:$M$105,0))</f>
        <v>2894190</v>
      </c>
      <c r="M95" s="29">
        <v>3169801</v>
      </c>
    </row>
    <row r="96" spans="2:13" x14ac:dyDescent="0.25">
      <c r="B96">
        <v>75</v>
      </c>
      <c r="C96" t="s">
        <v>239</v>
      </c>
      <c r="D96" s="29">
        <f>IFERROR(IFERROR(INDEX(Data!$E$7:$E$422,MATCH('2020'!$C96,Data!$C$7:$C$422,0)),INDEX(Data!$E$7:$E$422,MATCH('2020'!$A96,Data!$C$7:$C$422,0))),0)</f>
        <v>8630</v>
      </c>
      <c r="E96" s="29">
        <v>8607</v>
      </c>
      <c r="F96" s="29" t="s">
        <v>11</v>
      </c>
      <c r="I96" t="s">
        <v>238</v>
      </c>
      <c r="J96" t="s">
        <v>710</v>
      </c>
      <c r="K96" t="s">
        <v>29</v>
      </c>
      <c r="L96" s="29">
        <f>INDEX(Data!$O$9:$O$105,MATCH('2020'!$J96,Data!$M$9:$M$105,0))</f>
        <v>353408</v>
      </c>
      <c r="M96" s="29">
        <v>373876</v>
      </c>
    </row>
    <row r="97" spans="2:13" x14ac:dyDescent="0.25">
      <c r="B97">
        <v>76</v>
      </c>
      <c r="C97" t="s">
        <v>241</v>
      </c>
      <c r="D97" s="29">
        <f>IFERROR(IFERROR(INDEX(Data!$E$7:$E$422,MATCH('2020'!$C97,Data!$C$7:$C$422,0)),INDEX(Data!$E$7:$E$422,MATCH('2020'!$A97,Data!$C$7:$C$422,0))),0)</f>
        <v>48044</v>
      </c>
      <c r="E97" s="29">
        <v>38912</v>
      </c>
      <c r="F97" s="29" t="s">
        <v>11</v>
      </c>
      <c r="I97" t="s">
        <v>240</v>
      </c>
      <c r="J97" t="s">
        <v>711</v>
      </c>
      <c r="K97" t="s">
        <v>30</v>
      </c>
      <c r="L97" s="29">
        <f>INDEX(Data!$O$9:$O$105,MATCH('2020'!$J97,Data!$M$9:$M$105,0))</f>
        <v>2540782</v>
      </c>
      <c r="M97" s="29">
        <v>2795926</v>
      </c>
    </row>
    <row r="98" spans="2:13" x14ac:dyDescent="0.25">
      <c r="B98">
        <v>77</v>
      </c>
      <c r="C98" t="s">
        <v>243</v>
      </c>
      <c r="D98" s="29">
        <f>IFERROR(IFERROR(INDEX(Data!$E$7:$E$422,MATCH('2020'!$C98,Data!$C$7:$C$422,0)),INDEX(Data!$E$7:$E$422,MATCH('2020'!$A98,Data!$C$7:$C$422,0))),0)</f>
        <v>46560</v>
      </c>
      <c r="E98" s="29">
        <v>40276</v>
      </c>
      <c r="F98" s="29" t="s">
        <v>11</v>
      </c>
      <c r="I98" t="s">
        <v>242</v>
      </c>
      <c r="J98" t="s">
        <v>712</v>
      </c>
      <c r="L98" s="29">
        <f>INDEX(Data!$O$9:$O$105,MATCH('2020'!$J98,Data!$M$9:$M$105,0))</f>
        <v>1109167</v>
      </c>
      <c r="M98" s="29">
        <v>1244633</v>
      </c>
    </row>
    <row r="99" spans="2:13" x14ac:dyDescent="0.25">
      <c r="B99">
        <v>78</v>
      </c>
      <c r="C99" t="s">
        <v>245</v>
      </c>
      <c r="D99" s="29">
        <f>IFERROR(IFERROR(INDEX(Data!$E$7:$E$422,MATCH('2020'!$C99,Data!$C$7:$C$422,0)),INDEX(Data!$E$7:$E$422,MATCH('2020'!$A99,Data!$C$7:$C$422,0))),0)</f>
        <v>6182</v>
      </c>
      <c r="E99" s="29">
        <v>5415</v>
      </c>
      <c r="F99" s="29" t="s">
        <v>11</v>
      </c>
      <c r="I99" t="s">
        <v>244</v>
      </c>
      <c r="J99" t="s">
        <v>563</v>
      </c>
      <c r="L99" s="29">
        <f>INDEX(Data!$O$9:$O$105,MATCH('2020'!$J99,Data!$M$9:$M$105,0))</f>
        <v>920193</v>
      </c>
      <c r="M99" s="29">
        <v>1010667</v>
      </c>
    </row>
    <row r="100" spans="2:13" x14ac:dyDescent="0.25">
      <c r="B100">
        <v>79</v>
      </c>
      <c r="C100" t="s">
        <v>247</v>
      </c>
      <c r="D100" s="29">
        <f>IFERROR(IFERROR(INDEX(Data!$E$7:$E$422,MATCH('2020'!$C100,Data!$C$7:$C$422,0)),INDEX(Data!$E$7:$E$422,MATCH('2020'!$A100,Data!$C$7:$C$422,0))),0)</f>
        <v>8497</v>
      </c>
      <c r="E100" s="29">
        <v>6482</v>
      </c>
      <c r="F100" s="29" t="s">
        <v>11</v>
      </c>
      <c r="I100" t="s">
        <v>246</v>
      </c>
      <c r="J100" t="s">
        <v>713</v>
      </c>
      <c r="L100" s="29">
        <f>INDEX(Data!$O$9:$O$105,MATCH('2020'!$J100,Data!$M$9:$M$105,0))</f>
        <v>257738</v>
      </c>
      <c r="M100" s="29">
        <v>262709</v>
      </c>
    </row>
    <row r="101" spans="2:13" x14ac:dyDescent="0.25">
      <c r="B101">
        <v>80</v>
      </c>
      <c r="C101" t="s">
        <v>249</v>
      </c>
      <c r="D101" s="29">
        <f>IFERROR(IFERROR(INDEX(Data!$E$7:$E$422,MATCH('2020'!$C101,Data!$C$7:$C$422,0)),INDEX(Data!$E$7:$E$422,MATCH('2020'!$A101,Data!$C$7:$C$422,0))),0)</f>
        <v>19387</v>
      </c>
      <c r="E101" s="29">
        <v>18236</v>
      </c>
      <c r="F101" s="29" t="s">
        <v>11</v>
      </c>
      <c r="I101" t="s">
        <v>248</v>
      </c>
      <c r="J101" t="s">
        <v>714</v>
      </c>
      <c r="L101" s="29">
        <f>INDEX(Data!$O$9:$O$105,MATCH('2020'!$J101,Data!$M$9:$M$105,0))</f>
        <v>253683</v>
      </c>
      <c r="M101" s="29">
        <v>277916</v>
      </c>
    </row>
    <row r="102" spans="2:13" x14ac:dyDescent="0.25">
      <c r="B102">
        <v>81</v>
      </c>
      <c r="C102" t="s">
        <v>251</v>
      </c>
      <c r="D102" s="29">
        <f>IFERROR(IFERROR(INDEX(Data!$E$7:$E$422,MATCH('2020'!$C102,Data!$C$7:$C$422,0)),INDEX(Data!$E$7:$E$422,MATCH('2020'!$A102,Data!$C$7:$C$422,0))),0)</f>
        <v>9145</v>
      </c>
      <c r="E102" s="29">
        <v>8326</v>
      </c>
      <c r="F102" s="29" t="s">
        <v>11</v>
      </c>
      <c r="I102" t="s">
        <v>250</v>
      </c>
      <c r="J102" t="s">
        <v>715</v>
      </c>
      <c r="L102" s="29">
        <f>INDEX(Data!$O$9:$O$105,MATCH('2020'!$J102,Data!$M$9:$M$105,0))</f>
        <v>1262537</v>
      </c>
      <c r="M102" s="29">
        <v>1639298</v>
      </c>
    </row>
    <row r="103" spans="2:13" x14ac:dyDescent="0.25">
      <c r="B103">
        <v>82</v>
      </c>
      <c r="C103" t="s">
        <v>253</v>
      </c>
      <c r="D103" s="29">
        <f>IFERROR(IFERROR(INDEX(Data!$E$7:$E$422,MATCH('2020'!$C103,Data!$C$7:$C$422,0)),INDEX(Data!$E$7:$E$422,MATCH('2020'!$A103,Data!$C$7:$C$422,0))),0)</f>
        <v>8457</v>
      </c>
      <c r="E103" s="29">
        <v>7737</v>
      </c>
      <c r="F103" s="29" t="s">
        <v>11</v>
      </c>
      <c r="I103" t="s">
        <v>252</v>
      </c>
      <c r="J103" t="s">
        <v>716</v>
      </c>
      <c r="K103" t="s">
        <v>31</v>
      </c>
      <c r="L103" s="29">
        <f>INDEX(Data!$O$9:$O$105,MATCH('2020'!$J103,Data!$M$9:$M$105,0))</f>
        <v>305556</v>
      </c>
      <c r="M103" s="29">
        <v>365955</v>
      </c>
    </row>
    <row r="104" spans="2:13" x14ac:dyDescent="0.25">
      <c r="B104">
        <v>83</v>
      </c>
      <c r="C104" t="s">
        <v>255</v>
      </c>
      <c r="D104" s="29">
        <f>IFERROR(IFERROR(INDEX(Data!$E$7:$E$422,MATCH('2020'!$C104,Data!$C$7:$C$422,0)),INDEX(Data!$E$7:$E$422,MATCH('2020'!$A104,Data!$C$7:$C$422,0))),0)</f>
        <v>36822</v>
      </c>
      <c r="E104" s="29">
        <v>42065</v>
      </c>
      <c r="F104" s="29" t="s">
        <v>11</v>
      </c>
      <c r="I104" t="s">
        <v>254</v>
      </c>
      <c r="J104" t="s">
        <v>717</v>
      </c>
      <c r="L104" s="29">
        <f>INDEX(Data!$O$9:$O$105,MATCH('2020'!$J104,Data!$M$9:$M$105,0))</f>
        <v>168158</v>
      </c>
      <c r="M104" s="29">
        <v>197422</v>
      </c>
    </row>
    <row r="105" spans="2:13" x14ac:dyDescent="0.25">
      <c r="B105">
        <v>84</v>
      </c>
      <c r="C105" t="s">
        <v>257</v>
      </c>
      <c r="D105" s="29">
        <f>IFERROR(IFERROR(INDEX(Data!$E$7:$E$422,MATCH('2020'!$C105,Data!$C$7:$C$422,0)),INDEX(Data!$E$7:$E$422,MATCH('2020'!$A105,Data!$C$7:$C$422,0))),0)</f>
        <v>25822</v>
      </c>
      <c r="E105" s="29">
        <v>24931</v>
      </c>
      <c r="F105" s="29" t="s">
        <v>11</v>
      </c>
      <c r="I105" t="s">
        <v>256</v>
      </c>
      <c r="J105" t="s">
        <v>718</v>
      </c>
      <c r="L105" s="29">
        <f>INDEX(Data!$O$9:$O$105,MATCH('2020'!$J105,Data!$M$9:$M$105,0))</f>
        <v>137398</v>
      </c>
      <c r="M105" s="29">
        <v>168533</v>
      </c>
    </row>
    <row r="106" spans="2:13" x14ac:dyDescent="0.25">
      <c r="B106">
        <v>85</v>
      </c>
      <c r="C106" t="s">
        <v>259</v>
      </c>
      <c r="D106" s="29">
        <f>IFERROR(IFERROR(INDEX(Data!$E$7:$E$422,MATCH('2020'!$C106,Data!$C$7:$C$422,0)),INDEX(Data!$E$7:$E$422,MATCH('2020'!$A106,Data!$C$7:$C$422,0))),0)</f>
        <v>25160</v>
      </c>
      <c r="E106" s="29">
        <v>24857</v>
      </c>
      <c r="F106" s="29" t="s">
        <v>11</v>
      </c>
      <c r="I106" t="s">
        <v>258</v>
      </c>
      <c r="J106" t="s">
        <v>719</v>
      </c>
      <c r="K106" t="s">
        <v>21</v>
      </c>
      <c r="L106" s="29">
        <f>INDEX(Data!$O$9:$O$105,MATCH('2020'!$J106,Data!$M$9:$M$105,0))</f>
        <v>956981</v>
      </c>
      <c r="M106" s="29">
        <v>1273342</v>
      </c>
    </row>
    <row r="107" spans="2:13" x14ac:dyDescent="0.25">
      <c r="B107">
        <v>86</v>
      </c>
      <c r="C107" t="s">
        <v>261</v>
      </c>
      <c r="D107" s="29">
        <f>IFERROR(IFERROR(INDEX(Data!$E$7:$E$422,MATCH('2020'!$C107,Data!$C$7:$C$422,0)),INDEX(Data!$E$7:$E$422,MATCH('2020'!$A107,Data!$C$7:$C$422,0))),0)</f>
        <v>5133</v>
      </c>
      <c r="E107" s="29">
        <v>5191</v>
      </c>
      <c r="F107" s="29" t="s">
        <v>11</v>
      </c>
      <c r="I107" t="s">
        <v>260</v>
      </c>
      <c r="J107" t="s">
        <v>577</v>
      </c>
      <c r="L107" s="29">
        <f>INDEX(Data!$O$9:$O$105,MATCH('2020'!$J107,Data!$M$9:$M$105,0))</f>
        <v>182727</v>
      </c>
      <c r="M107" s="29">
        <v>252639</v>
      </c>
    </row>
    <row r="108" spans="2:13" x14ac:dyDescent="0.25">
      <c r="B108">
        <v>87</v>
      </c>
      <c r="C108" t="s">
        <v>263</v>
      </c>
      <c r="D108" s="29">
        <f>IFERROR(IFERROR(INDEX(Data!$E$7:$E$422,MATCH('2020'!$C108,Data!$C$7:$C$422,0)),INDEX(Data!$E$7:$E$422,MATCH('2020'!$A108,Data!$C$7:$C$422,0))),0)</f>
        <v>24714</v>
      </c>
      <c r="E108" s="29">
        <v>23208</v>
      </c>
      <c r="F108" s="29" t="s">
        <v>11</v>
      </c>
      <c r="I108" t="s">
        <v>262</v>
      </c>
      <c r="J108" t="s">
        <v>720</v>
      </c>
      <c r="L108" s="29">
        <f>INDEX(Data!$O$9:$O$105,MATCH('2020'!$J108,Data!$M$9:$M$105,0))</f>
        <v>774254</v>
      </c>
      <c r="M108" s="29">
        <v>1020703</v>
      </c>
    </row>
    <row r="109" spans="2:13" x14ac:dyDescent="0.25">
      <c r="B109">
        <v>88</v>
      </c>
      <c r="C109" t="s">
        <v>265</v>
      </c>
      <c r="D109" s="29">
        <f>IFERROR(IFERROR(INDEX(Data!$E$7:$E$422,MATCH('2020'!$C109,Data!$C$7:$C$422,0)),INDEX(Data!$E$7:$E$422,MATCH('2020'!$A109,Data!$C$7:$C$422,0))),0)</f>
        <v>5094</v>
      </c>
      <c r="E109" s="29">
        <v>5007</v>
      </c>
      <c r="F109" s="29" t="s">
        <v>11</v>
      </c>
      <c r="I109" t="s">
        <v>264</v>
      </c>
      <c r="J109" t="s">
        <v>721</v>
      </c>
      <c r="K109" t="s">
        <v>631</v>
      </c>
      <c r="L109" s="29">
        <f>INDEX(Data!$O$9:$O$105,MATCH('2020'!$J109,Data!$M$9:$M$105,0))</f>
        <v>732247</v>
      </c>
      <c r="M109" s="29">
        <v>806093</v>
      </c>
    </row>
    <row r="110" spans="2:13" x14ac:dyDescent="0.25">
      <c r="B110">
        <v>89</v>
      </c>
      <c r="C110" t="s">
        <v>267</v>
      </c>
      <c r="D110" s="29">
        <f>IFERROR(IFERROR(INDEX(Data!$E$7:$E$422,MATCH('2020'!$C110,Data!$C$7:$C$422,0)),INDEX(Data!$E$7:$E$422,MATCH('2020'!$A110,Data!$C$7:$C$422,0))),0)</f>
        <v>5603</v>
      </c>
      <c r="E110" s="29">
        <v>5491</v>
      </c>
      <c r="F110" s="29" t="s">
        <v>11</v>
      </c>
      <c r="I110" t="s">
        <v>266</v>
      </c>
      <c r="J110" t="s">
        <v>614</v>
      </c>
      <c r="K110" t="s">
        <v>28</v>
      </c>
      <c r="L110" s="29">
        <f>INDEX(Data!$O$9:$O$105,MATCH('2020'!$J110,Data!$M$9:$M$105,0))</f>
        <v>4267605</v>
      </c>
      <c r="M110" s="29">
        <v>4546416</v>
      </c>
    </row>
    <row r="111" spans="2:13" x14ac:dyDescent="0.25">
      <c r="B111">
        <v>90</v>
      </c>
      <c r="C111" t="s">
        <v>269</v>
      </c>
      <c r="D111" s="29">
        <f>IFERROR(IFERROR(INDEX(Data!$E$7:$E$422,MATCH('2020'!$C111,Data!$C$7:$C$422,0)),INDEX(Data!$E$7:$E$422,MATCH('2020'!$A111,Data!$C$7:$C$422,0))),0)</f>
        <v>19140</v>
      </c>
      <c r="E111" s="29">
        <v>17588</v>
      </c>
      <c r="F111" s="29" t="s">
        <v>11</v>
      </c>
      <c r="I111" t="s">
        <v>268</v>
      </c>
      <c r="J111" t="s">
        <v>722</v>
      </c>
      <c r="L111" s="29">
        <f>INDEX(Data!$O$9:$O$105,MATCH('2020'!$J111,Data!$M$9:$M$105,0))</f>
        <v>1322348</v>
      </c>
      <c r="M111" s="29">
        <v>1406001</v>
      </c>
    </row>
    <row r="112" spans="2:13" x14ac:dyDescent="0.25">
      <c r="B112">
        <v>91</v>
      </c>
      <c r="C112" t="s">
        <v>271</v>
      </c>
      <c r="D112" s="29">
        <f>IFERROR(IFERROR(INDEX(Data!$E$7:$E$422,MATCH('2020'!$C112,Data!$C$7:$C$422,0)),INDEX(Data!$E$7:$E$422,MATCH('2020'!$A112,Data!$C$7:$C$422,0))),0)</f>
        <v>16500</v>
      </c>
      <c r="E112" s="29">
        <v>13570</v>
      </c>
      <c r="F112" s="29" t="s">
        <v>11</v>
      </c>
      <c r="I112" t="s">
        <v>270</v>
      </c>
      <c r="J112" t="s">
        <v>723</v>
      </c>
      <c r="L112" s="29">
        <f>INDEX(Data!$O$9:$O$105,MATCH('2020'!$J112,Data!$M$9:$M$105,0))</f>
        <v>1221814</v>
      </c>
      <c r="M112" s="29">
        <v>1296293</v>
      </c>
    </row>
    <row r="113" spans="2:13" x14ac:dyDescent="0.25">
      <c r="B113">
        <v>92</v>
      </c>
      <c r="C113" t="s">
        <v>273</v>
      </c>
      <c r="D113" s="29">
        <f>IFERROR(IFERROR(INDEX(Data!$E$7:$E$422,MATCH('2020'!$C113,Data!$C$7:$C$422,0)),INDEX(Data!$E$7:$E$422,MATCH('2020'!$A113,Data!$C$7:$C$422,0))),0)</f>
        <v>28951</v>
      </c>
      <c r="E113" s="29">
        <v>25854</v>
      </c>
      <c r="F113" s="29" t="s">
        <v>14</v>
      </c>
      <c r="I113" t="s">
        <v>272</v>
      </c>
      <c r="J113" t="s">
        <v>724</v>
      </c>
      <c r="L113" s="29">
        <f>INDEX(Data!$O$9:$O$105,MATCH('2020'!$J113,Data!$M$9:$M$105,0))</f>
        <v>725989</v>
      </c>
      <c r="M113" s="29">
        <v>740413</v>
      </c>
    </row>
    <row r="114" spans="2:13" x14ac:dyDescent="0.25">
      <c r="B114">
        <v>93</v>
      </c>
      <c r="C114" t="s">
        <v>275</v>
      </c>
      <c r="D114" s="29">
        <f>IFERROR(IFERROR(INDEX(Data!$E$7:$E$422,MATCH('2020'!$C114,Data!$C$7:$C$422,0)),INDEX(Data!$E$7:$E$422,MATCH('2020'!$A114,Data!$C$7:$C$422,0))),0)</f>
        <v>7614</v>
      </c>
      <c r="E114" s="29">
        <v>8419</v>
      </c>
      <c r="F114" s="29" t="s">
        <v>14</v>
      </c>
      <c r="I114" t="s">
        <v>274</v>
      </c>
      <c r="J114" t="s">
        <v>725</v>
      </c>
      <c r="L114" s="29">
        <f>INDEX(Data!$O$9:$O$105,MATCH('2020'!$J114,Data!$M$9:$M$105,0))</f>
        <v>495826</v>
      </c>
      <c r="M114" s="29">
        <v>555879</v>
      </c>
    </row>
    <row r="115" spans="2:13" x14ac:dyDescent="0.25">
      <c r="B115">
        <v>94</v>
      </c>
      <c r="C115" t="s">
        <v>277</v>
      </c>
      <c r="D115" s="29">
        <f>IFERROR(IFERROR(INDEX(Data!$E$7:$E$422,MATCH('2020'!$C115,Data!$C$7:$C$422,0)),INDEX(Data!$E$7:$E$422,MATCH('2020'!$A115,Data!$C$7:$C$422,0))),0)</f>
        <v>27743</v>
      </c>
      <c r="E115" s="29">
        <v>29580</v>
      </c>
      <c r="F115" s="29" t="s">
        <v>14</v>
      </c>
      <c r="I115" t="s">
        <v>276</v>
      </c>
      <c r="J115" t="s">
        <v>726</v>
      </c>
      <c r="L115" s="29">
        <f>INDEX(Data!$O$9:$O$105,MATCH('2020'!$J115,Data!$M$9:$M$105,0))</f>
        <v>100534</v>
      </c>
      <c r="M115" s="29">
        <v>109708</v>
      </c>
    </row>
    <row r="116" spans="2:13" x14ac:dyDescent="0.25">
      <c r="B116">
        <v>95</v>
      </c>
      <c r="C116" t="s">
        <v>279</v>
      </c>
      <c r="D116" s="29">
        <f>IFERROR(IFERROR(INDEX(Data!$E$7:$E$422,MATCH('2020'!$C116,Data!$C$7:$C$422,0)),INDEX(Data!$E$7:$E$422,MATCH('2020'!$A116,Data!$C$7:$C$422,0))),0)</f>
        <v>14869</v>
      </c>
      <c r="E116" s="29">
        <v>13787</v>
      </c>
      <c r="F116" s="29" t="s">
        <v>14</v>
      </c>
      <c r="I116" t="s">
        <v>278</v>
      </c>
      <c r="J116" t="s">
        <v>727</v>
      </c>
      <c r="L116" s="29">
        <f>INDEX(Data!$O$9:$O$105,MATCH('2020'!$J116,Data!$M$9:$M$105,0))</f>
        <v>2945258</v>
      </c>
      <c r="M116" s="29">
        <v>3140415</v>
      </c>
    </row>
    <row r="117" spans="2:13" x14ac:dyDescent="0.25">
      <c r="B117">
        <v>96</v>
      </c>
      <c r="C117" t="s">
        <v>281</v>
      </c>
      <c r="D117" s="29">
        <f>IFERROR(IFERROR(INDEX(Data!$E$7:$E$422,MATCH('2020'!$C117,Data!$C$7:$C$422,0)),INDEX(Data!$E$7:$E$422,MATCH('2020'!$A117,Data!$C$7:$C$422,0))),0)</f>
        <v>9025</v>
      </c>
      <c r="E117" s="29">
        <v>15766</v>
      </c>
      <c r="F117" s="29" t="s">
        <v>14</v>
      </c>
      <c r="I117" t="s">
        <v>280</v>
      </c>
      <c r="J117" t="s">
        <v>723</v>
      </c>
      <c r="L117" s="29">
        <f>INDEX(Data!$O$9:$O$105,MATCH('2020'!$J117,Data!$M$9:$M$105,0))</f>
        <v>1221814</v>
      </c>
      <c r="M117" s="29">
        <v>2754177</v>
      </c>
    </row>
    <row r="118" spans="2:13" x14ac:dyDescent="0.25">
      <c r="B118">
        <v>97</v>
      </c>
      <c r="C118" t="s">
        <v>283</v>
      </c>
      <c r="D118" s="29">
        <f>IFERROR(IFERROR(INDEX(Data!$E$7:$E$422,MATCH('2020'!$C118,Data!$C$7:$C$422,0)),INDEX(Data!$E$7:$E$422,MATCH('2020'!$A118,Data!$C$7:$C$422,0))),0)</f>
        <v>27498</v>
      </c>
      <c r="E118" s="29">
        <v>35282</v>
      </c>
      <c r="F118" s="29" t="s">
        <v>14</v>
      </c>
      <c r="I118" t="s">
        <v>282</v>
      </c>
      <c r="J118" t="s">
        <v>726</v>
      </c>
      <c r="L118" s="29">
        <f>INDEX(Data!$O$9:$O$105,MATCH('2020'!$J118,Data!$M$9:$M$105,0))</f>
        <v>100534</v>
      </c>
      <c r="M118" s="29">
        <v>386238</v>
      </c>
    </row>
    <row r="119" spans="2:13" x14ac:dyDescent="0.25">
      <c r="B119">
        <v>98</v>
      </c>
      <c r="C119" t="s">
        <v>284</v>
      </c>
      <c r="D119" s="29">
        <f>IFERROR(IFERROR(INDEX(Data!$E$7:$E$422,MATCH('2020'!$C119,Data!$C$7:$C$422,0)),INDEX(Data!$E$7:$E$422,MATCH('2020'!$A119,Data!$C$7:$C$422,0))),0)</f>
        <v>5818</v>
      </c>
      <c r="E119" s="29">
        <v>5775</v>
      </c>
      <c r="F119" s="29" t="s">
        <v>14</v>
      </c>
    </row>
    <row r="120" spans="2:13" x14ac:dyDescent="0.25">
      <c r="B120">
        <v>99</v>
      </c>
      <c r="C120" t="s">
        <v>285</v>
      </c>
      <c r="D120" s="29">
        <f>IFERROR(IFERROR(INDEX(Data!$E$7:$E$422,MATCH('2020'!$C120,Data!$C$7:$C$422,0)),INDEX(Data!$E$7:$E$422,MATCH('2020'!$A120,Data!$C$7:$C$422,0))),0)</f>
        <v>1033</v>
      </c>
      <c r="E120" s="29">
        <v>1127</v>
      </c>
      <c r="F120" s="29" t="s">
        <v>14</v>
      </c>
    </row>
    <row r="121" spans="2:13" x14ac:dyDescent="0.25">
      <c r="B121">
        <v>100</v>
      </c>
      <c r="C121" t="s">
        <v>286</v>
      </c>
      <c r="D121" s="29">
        <f>IFERROR(IFERROR(INDEX(Data!$E$7:$E$422,MATCH('2020'!$C121,Data!$C$7:$C$422,0)),INDEX(Data!$E$7:$E$422,MATCH('2020'!$A121,Data!$C$7:$C$422,0))),0)</f>
        <v>18115</v>
      </c>
      <c r="E121" s="29">
        <v>19276</v>
      </c>
      <c r="F121" s="29" t="s">
        <v>14</v>
      </c>
    </row>
    <row r="122" spans="2:13" x14ac:dyDescent="0.25">
      <c r="B122">
        <v>101</v>
      </c>
      <c r="C122" t="s">
        <v>287</v>
      </c>
      <c r="D122" s="29">
        <f>IFERROR(IFERROR(INDEX(Data!$E$7:$E$422,MATCH('2020'!$C122,Data!$C$7:$C$422,0)),INDEX(Data!$E$7:$E$422,MATCH('2020'!$A122,Data!$C$7:$C$422,0))),0)</f>
        <v>4638</v>
      </c>
      <c r="E122" s="29">
        <v>4251</v>
      </c>
      <c r="F122" s="29" t="s">
        <v>14</v>
      </c>
    </row>
    <row r="123" spans="2:13" x14ac:dyDescent="0.25">
      <c r="B123">
        <v>102</v>
      </c>
      <c r="C123" t="s">
        <v>288</v>
      </c>
      <c r="D123" s="29">
        <f>IFERROR(IFERROR(INDEX(Data!$E$7:$E$422,MATCH('2020'!$C123,Data!$C$7:$C$422,0)),INDEX(Data!$E$7:$E$422,MATCH('2020'!$A123,Data!$C$7:$C$422,0))),0)</f>
        <v>33571</v>
      </c>
      <c r="E123" s="29">
        <v>28716</v>
      </c>
      <c r="F123" s="29" t="s">
        <v>14</v>
      </c>
    </row>
    <row r="124" spans="2:13" x14ac:dyDescent="0.25">
      <c r="B124">
        <v>103</v>
      </c>
      <c r="C124" t="s">
        <v>289</v>
      </c>
      <c r="D124" s="29">
        <f>IFERROR(IFERROR(INDEX(Data!$E$7:$E$422,MATCH('2020'!$C124,Data!$C$7:$C$422,0)),INDEX(Data!$E$7:$E$422,MATCH('2020'!$A124,Data!$C$7:$C$422,0))),0)</f>
        <v>7095</v>
      </c>
      <c r="E124" s="29">
        <v>6583</v>
      </c>
      <c r="F124" s="29" t="s">
        <v>14</v>
      </c>
    </row>
    <row r="125" spans="2:13" x14ac:dyDescent="0.25">
      <c r="B125">
        <v>104</v>
      </c>
      <c r="C125" t="s">
        <v>290</v>
      </c>
      <c r="D125" s="29">
        <f>IFERROR(IFERROR(INDEX(Data!$E$7:$E$422,MATCH('2020'!$C125,Data!$C$7:$C$422,0)),INDEX(Data!$E$7:$E$422,MATCH('2020'!$A125,Data!$C$7:$C$422,0))),0)</f>
        <v>6117</v>
      </c>
      <c r="E125" s="29">
        <v>5771</v>
      </c>
      <c r="F125" s="29" t="s">
        <v>14</v>
      </c>
    </row>
    <row r="126" spans="2:13" x14ac:dyDescent="0.25">
      <c r="B126">
        <v>105</v>
      </c>
      <c r="C126" t="s">
        <v>291</v>
      </c>
      <c r="D126" s="29">
        <f>IFERROR(IFERROR(INDEX(Data!$E$7:$E$422,MATCH('2020'!$C126,Data!$C$7:$C$422,0)),INDEX(Data!$E$7:$E$422,MATCH('2020'!$A126,Data!$C$7:$C$422,0))),0)</f>
        <v>7839</v>
      </c>
      <c r="E126" s="29">
        <v>6966</v>
      </c>
      <c r="F126" s="29" t="s">
        <v>14</v>
      </c>
    </row>
    <row r="127" spans="2:13" x14ac:dyDescent="0.25">
      <c r="B127">
        <v>106</v>
      </c>
      <c r="C127" t="s">
        <v>292</v>
      </c>
      <c r="D127" s="29">
        <f>IFERROR(IFERROR(INDEX(Data!$E$7:$E$422,MATCH('2020'!$C127,Data!$C$7:$C$422,0)),INDEX(Data!$E$7:$E$422,MATCH('2020'!$A127,Data!$C$7:$C$422,0))),0)</f>
        <v>7527</v>
      </c>
      <c r="E127" s="29">
        <v>6810</v>
      </c>
      <c r="F127" s="29" t="s">
        <v>14</v>
      </c>
    </row>
    <row r="128" spans="2:13" x14ac:dyDescent="0.25">
      <c r="B128">
        <v>107</v>
      </c>
      <c r="C128" t="s">
        <v>293</v>
      </c>
      <c r="D128" s="29">
        <f>IFERROR(IFERROR(INDEX(Data!$E$7:$E$422,MATCH('2020'!$C128,Data!$C$7:$C$422,0)),INDEX(Data!$E$7:$E$422,MATCH('2020'!$A128,Data!$C$7:$C$422,0))),0)</f>
        <v>8236</v>
      </c>
      <c r="E128" s="29">
        <v>7256</v>
      </c>
      <c r="F128" s="29" t="s">
        <v>14</v>
      </c>
    </row>
    <row r="129" spans="1:6" x14ac:dyDescent="0.25">
      <c r="B129">
        <v>108</v>
      </c>
      <c r="C129" t="s">
        <v>294</v>
      </c>
      <c r="D129" s="29">
        <f>IFERROR(IFERROR(INDEX(Data!$E$7:$E$422,MATCH('2020'!$C129,Data!$C$7:$C$422,0)),INDEX(Data!$E$7:$E$422,MATCH('2020'!$A129,Data!$C$7:$C$422,0))),0)</f>
        <v>9981</v>
      </c>
      <c r="E129" s="29">
        <v>8337</v>
      </c>
      <c r="F129" s="29" t="s">
        <v>14</v>
      </c>
    </row>
    <row r="130" spans="1:6" x14ac:dyDescent="0.25">
      <c r="B130">
        <v>109</v>
      </c>
      <c r="C130" t="s">
        <v>295</v>
      </c>
      <c r="D130" s="29">
        <f>IFERROR(IFERROR(INDEX(Data!$E$7:$E$422,MATCH('2020'!$C130,Data!$C$7:$C$422,0)),INDEX(Data!$E$7:$E$422,MATCH('2020'!$A130,Data!$C$7:$C$422,0))),0)</f>
        <v>3056</v>
      </c>
      <c r="E130" s="29">
        <v>3133</v>
      </c>
      <c r="F130" s="29" t="s">
        <v>14</v>
      </c>
    </row>
    <row r="131" spans="1:6" x14ac:dyDescent="0.25">
      <c r="B131">
        <v>110</v>
      </c>
      <c r="C131" t="s">
        <v>296</v>
      </c>
      <c r="D131" s="29">
        <f>IFERROR(IFERROR(INDEX(Data!$E$7:$E$422,MATCH('2020'!$C131,Data!$C$7:$C$422,0)),INDEX(Data!$E$7:$E$422,MATCH('2020'!$A131,Data!$C$7:$C$422,0))),0)</f>
        <v>3911</v>
      </c>
      <c r="E131" s="29">
        <v>3766</v>
      </c>
      <c r="F131" s="29" t="s">
        <v>14</v>
      </c>
    </row>
    <row r="132" spans="1:6" x14ac:dyDescent="0.25">
      <c r="B132">
        <v>111</v>
      </c>
      <c r="C132" t="s">
        <v>297</v>
      </c>
      <c r="D132" s="29">
        <f>IFERROR(IFERROR(INDEX(Data!$E$7:$E$422,MATCH('2020'!$C132,Data!$C$7:$C$422,0)),INDEX(Data!$E$7:$E$422,MATCH('2020'!$A132,Data!$C$7:$C$422,0))),0)</f>
        <v>20556</v>
      </c>
      <c r="E132" s="29">
        <v>21876</v>
      </c>
      <c r="F132" s="29" t="s">
        <v>14</v>
      </c>
    </row>
    <row r="133" spans="1:6" x14ac:dyDescent="0.25">
      <c r="B133">
        <v>112</v>
      </c>
      <c r="C133" t="s">
        <v>298</v>
      </c>
      <c r="D133" s="29">
        <f>IFERROR(IFERROR(INDEX(Data!$E$7:$E$422,MATCH('2020'!$C133,Data!$C$7:$C$422,0)),INDEX(Data!$E$7:$E$422,MATCH('2020'!$A133,Data!$C$7:$C$422,0))),0)</f>
        <v>8297</v>
      </c>
      <c r="E133" s="29">
        <v>7316</v>
      </c>
      <c r="F133" s="29" t="s">
        <v>14</v>
      </c>
    </row>
    <row r="134" spans="1:6" x14ac:dyDescent="0.25">
      <c r="A134" t="s">
        <v>645</v>
      </c>
      <c r="B134">
        <v>113</v>
      </c>
      <c r="C134" t="s">
        <v>299</v>
      </c>
      <c r="D134" s="29">
        <f>IFERROR(IFERROR(INDEX(Data!$E$7:$E$422,MATCH('2020'!$C134,Data!$C$7:$C$422,0)),INDEX(Data!$E$7:$E$422,MATCH('2020'!$A134,Data!$C$7:$C$422,0))),0)</f>
        <v>15628</v>
      </c>
      <c r="E134" s="29">
        <v>13392</v>
      </c>
      <c r="F134" s="29" t="s">
        <v>14</v>
      </c>
    </row>
    <row r="135" spans="1:6" x14ac:dyDescent="0.25">
      <c r="B135">
        <v>114</v>
      </c>
      <c r="C135" t="s">
        <v>300</v>
      </c>
      <c r="D135" s="29">
        <f>IFERROR(IFERROR(INDEX(Data!$E$7:$E$422,MATCH('2020'!$C135,Data!$C$7:$C$422,0)),INDEX(Data!$E$7:$E$422,MATCH('2020'!$A135,Data!$C$7:$C$422,0))),0)</f>
        <v>28937</v>
      </c>
      <c r="E135" s="29">
        <v>26721</v>
      </c>
      <c r="F135" s="29" t="s">
        <v>14</v>
      </c>
    </row>
    <row r="136" spans="1:6" x14ac:dyDescent="0.25">
      <c r="B136">
        <v>115</v>
      </c>
      <c r="C136" t="s">
        <v>301</v>
      </c>
      <c r="D136" s="29">
        <f>IFERROR(IFERROR(INDEX(Data!$E$7:$E$422,MATCH('2020'!$C136,Data!$C$7:$C$422,0)),INDEX(Data!$E$7:$E$422,MATCH('2020'!$A136,Data!$C$7:$C$422,0))),0)</f>
        <v>3692</v>
      </c>
      <c r="E136" s="29">
        <v>3058</v>
      </c>
      <c r="F136" s="29" t="s">
        <v>14</v>
      </c>
    </row>
    <row r="137" spans="1:6" x14ac:dyDescent="0.25">
      <c r="B137">
        <v>116</v>
      </c>
      <c r="C137" t="s">
        <v>302</v>
      </c>
      <c r="D137" s="29">
        <f>IFERROR(IFERROR(INDEX(Data!$E$7:$E$422,MATCH('2020'!$C137,Data!$C$7:$C$422,0)),INDEX(Data!$E$7:$E$422,MATCH('2020'!$A137,Data!$C$7:$C$422,0))),0)</f>
        <v>7114</v>
      </c>
      <c r="E137" s="29">
        <v>6709</v>
      </c>
      <c r="F137" s="29" t="s">
        <v>14</v>
      </c>
    </row>
    <row r="138" spans="1:6" x14ac:dyDescent="0.25">
      <c r="B138">
        <v>117</v>
      </c>
      <c r="C138" t="s">
        <v>303</v>
      </c>
      <c r="D138" s="29">
        <f>IFERROR(IFERROR(INDEX(Data!$E$7:$E$422,MATCH('2020'!$C138,Data!$C$7:$C$422,0)),INDEX(Data!$E$7:$E$422,MATCH('2020'!$A138,Data!$C$7:$C$422,0))),0)</f>
        <v>2469</v>
      </c>
      <c r="E138" s="29">
        <v>2221</v>
      </c>
      <c r="F138" s="29" t="s">
        <v>14</v>
      </c>
    </row>
    <row r="139" spans="1:6" x14ac:dyDescent="0.25">
      <c r="B139">
        <v>118</v>
      </c>
      <c r="C139" t="s">
        <v>304</v>
      </c>
      <c r="D139" s="29">
        <f>IFERROR(IFERROR(INDEX(Data!$E$7:$E$422,MATCH('2020'!$C139,Data!$C$7:$C$422,0)),INDEX(Data!$E$7:$E$422,MATCH('2020'!$A139,Data!$C$7:$C$422,0))),0)</f>
        <v>22444</v>
      </c>
      <c r="E139" s="29">
        <v>21065</v>
      </c>
      <c r="F139" s="29" t="s">
        <v>14</v>
      </c>
    </row>
    <row r="140" spans="1:6" x14ac:dyDescent="0.25">
      <c r="B140">
        <v>119</v>
      </c>
      <c r="C140" t="s">
        <v>305</v>
      </c>
      <c r="D140" s="29">
        <f>IFERROR(IFERROR(INDEX(Data!$E$7:$E$422,MATCH('2020'!$C140,Data!$C$7:$C$422,0)),INDEX(Data!$E$7:$E$422,MATCH('2020'!$A140,Data!$C$7:$C$422,0))),0)</f>
        <v>10509</v>
      </c>
      <c r="E140" s="29">
        <v>9716</v>
      </c>
      <c r="F140" s="29" t="s">
        <v>14</v>
      </c>
    </row>
    <row r="141" spans="1:6" x14ac:dyDescent="0.25">
      <c r="B141">
        <v>120</v>
      </c>
      <c r="C141" t="s">
        <v>306</v>
      </c>
      <c r="D141" s="29">
        <f>IFERROR(IFERROR(INDEX(Data!$E$7:$E$422,MATCH('2020'!$C141,Data!$C$7:$C$422,0)),INDEX(Data!$E$7:$E$422,MATCH('2020'!$A141,Data!$C$7:$C$422,0))),0)</f>
        <v>19653</v>
      </c>
      <c r="E141" s="29">
        <v>20329</v>
      </c>
      <c r="F141" s="29" t="s">
        <v>12</v>
      </c>
    </row>
    <row r="142" spans="1:6" x14ac:dyDescent="0.25">
      <c r="B142">
        <v>121</v>
      </c>
      <c r="C142" t="s">
        <v>307</v>
      </c>
      <c r="D142" s="29">
        <f>IFERROR(IFERROR(INDEX(Data!$E$7:$E$422,MATCH('2020'!$C142,Data!$C$7:$C$422,0)),INDEX(Data!$E$7:$E$422,MATCH('2020'!$A142,Data!$C$7:$C$422,0))),0)</f>
        <v>5260</v>
      </c>
      <c r="E142" s="29">
        <v>9708</v>
      </c>
      <c r="F142" s="29" t="s">
        <v>12</v>
      </c>
    </row>
    <row r="143" spans="1:6" x14ac:dyDescent="0.25">
      <c r="B143">
        <v>122</v>
      </c>
      <c r="C143" t="s">
        <v>308</v>
      </c>
      <c r="D143" s="29">
        <f>IFERROR(IFERROR(INDEX(Data!$E$7:$E$422,MATCH('2020'!$C143,Data!$C$7:$C$422,0)),INDEX(Data!$E$7:$E$422,MATCH('2020'!$A143,Data!$C$7:$C$422,0))),0)</f>
        <v>8104</v>
      </c>
      <c r="E143" s="29">
        <v>12763</v>
      </c>
      <c r="F143" s="29" t="s">
        <v>12</v>
      </c>
    </row>
    <row r="144" spans="1:6" x14ac:dyDescent="0.25">
      <c r="B144">
        <v>123</v>
      </c>
      <c r="C144" t="s">
        <v>309</v>
      </c>
      <c r="D144" s="29">
        <f>IFERROR(IFERROR(INDEX(Data!$E$7:$E$422,MATCH('2020'!$C144,Data!$C$7:$C$422,0)),INDEX(Data!$E$7:$E$422,MATCH('2020'!$A144,Data!$C$7:$C$422,0))),0)</f>
        <v>5157</v>
      </c>
      <c r="E144" s="29">
        <v>12455</v>
      </c>
      <c r="F144" s="29" t="s">
        <v>12</v>
      </c>
    </row>
    <row r="145" spans="2:6" x14ac:dyDescent="0.25">
      <c r="B145">
        <v>124</v>
      </c>
      <c r="C145" t="s">
        <v>310</v>
      </c>
      <c r="D145" s="29">
        <f>IFERROR(IFERROR(INDEX(Data!$E$7:$E$422,MATCH('2020'!$C145,Data!$C$7:$C$422,0)),INDEX(Data!$E$7:$E$422,MATCH('2020'!$A145,Data!$C$7:$C$422,0))),0)</f>
        <v>31438</v>
      </c>
      <c r="E145" s="29">
        <v>67317</v>
      </c>
      <c r="F145" s="29" t="s">
        <v>12</v>
      </c>
    </row>
    <row r="146" spans="2:6" x14ac:dyDescent="0.25">
      <c r="B146">
        <v>125</v>
      </c>
      <c r="C146" t="s">
        <v>311</v>
      </c>
      <c r="D146" s="29">
        <f>IFERROR(IFERROR(INDEX(Data!$E$7:$E$422,MATCH('2020'!$C146,Data!$C$7:$C$422,0)),INDEX(Data!$E$7:$E$422,MATCH('2020'!$A146,Data!$C$7:$C$422,0))),0)</f>
        <v>4555</v>
      </c>
      <c r="E146" s="29">
        <v>4962</v>
      </c>
      <c r="F146" s="29" t="s">
        <v>12</v>
      </c>
    </row>
    <row r="147" spans="2:6" x14ac:dyDescent="0.25">
      <c r="B147">
        <v>126</v>
      </c>
      <c r="C147" t="s">
        <v>312</v>
      </c>
      <c r="D147" s="29">
        <f>IFERROR(IFERROR(INDEX(Data!$E$7:$E$422,MATCH('2020'!$C147,Data!$C$7:$C$422,0)),INDEX(Data!$E$7:$E$422,MATCH('2020'!$A147,Data!$C$7:$C$422,0))),0)</f>
        <v>67573</v>
      </c>
      <c r="E147" s="29">
        <v>82595</v>
      </c>
      <c r="F147" s="29" t="s">
        <v>12</v>
      </c>
    </row>
    <row r="148" spans="2:6" x14ac:dyDescent="0.25">
      <c r="B148">
        <v>127</v>
      </c>
      <c r="C148" t="s">
        <v>313</v>
      </c>
      <c r="D148" s="29">
        <f>IFERROR(IFERROR(INDEX(Data!$E$7:$E$422,MATCH('2020'!$C148,Data!$C$7:$C$422,0)),INDEX(Data!$E$7:$E$422,MATCH('2020'!$A148,Data!$C$7:$C$422,0))),0)</f>
        <v>22465</v>
      </c>
      <c r="E148" s="29">
        <v>24899</v>
      </c>
      <c r="F148" s="29" t="s">
        <v>12</v>
      </c>
    </row>
    <row r="149" spans="2:6" x14ac:dyDescent="0.25">
      <c r="B149">
        <v>128</v>
      </c>
      <c r="C149" t="s">
        <v>314</v>
      </c>
      <c r="D149" s="29">
        <f>IFERROR(IFERROR(INDEX(Data!$E$7:$E$422,MATCH('2020'!$C149,Data!$C$7:$C$422,0)),INDEX(Data!$E$7:$E$422,MATCH('2020'!$A149,Data!$C$7:$C$422,0))),0)</f>
        <v>30957</v>
      </c>
      <c r="E149" s="29">
        <v>30619</v>
      </c>
      <c r="F149" s="29" t="s">
        <v>12</v>
      </c>
    </row>
    <row r="150" spans="2:6" x14ac:dyDescent="0.25">
      <c r="B150">
        <v>129</v>
      </c>
      <c r="C150" t="s">
        <v>315</v>
      </c>
      <c r="D150" s="29">
        <f>IFERROR(IFERROR(INDEX(Data!$E$7:$E$422,MATCH('2020'!$C150,Data!$C$7:$C$422,0)),INDEX(Data!$E$7:$E$422,MATCH('2020'!$A150,Data!$C$7:$C$422,0))),0)</f>
        <v>36760</v>
      </c>
      <c r="E150" s="29">
        <v>47375</v>
      </c>
      <c r="F150" s="29" t="s">
        <v>12</v>
      </c>
    </row>
    <row r="151" spans="2:6" x14ac:dyDescent="0.25">
      <c r="B151">
        <v>130</v>
      </c>
      <c r="C151" t="s">
        <v>316</v>
      </c>
      <c r="D151" s="29">
        <f>IFERROR(IFERROR(INDEX(Data!$E$7:$E$422,MATCH('2020'!$C151,Data!$C$7:$C$422,0)),INDEX(Data!$E$7:$E$422,MATCH('2020'!$A151,Data!$C$7:$C$422,0))),0)</f>
        <v>59688</v>
      </c>
      <c r="E151" s="29">
        <v>50691</v>
      </c>
      <c r="F151" s="29" t="s">
        <v>12</v>
      </c>
    </row>
    <row r="152" spans="2:6" x14ac:dyDescent="0.25">
      <c r="B152">
        <v>131</v>
      </c>
      <c r="C152" t="s">
        <v>317</v>
      </c>
      <c r="D152" s="29">
        <f>IFERROR(IFERROR(INDEX(Data!$E$7:$E$422,MATCH('2020'!$C152,Data!$C$7:$C$422,0)),INDEX(Data!$E$7:$E$422,MATCH('2020'!$A152,Data!$C$7:$C$422,0))),0)</f>
        <v>2284</v>
      </c>
      <c r="E152" s="29">
        <v>2273</v>
      </c>
      <c r="F152" s="29" t="s">
        <v>12</v>
      </c>
    </row>
    <row r="153" spans="2:6" x14ac:dyDescent="0.25">
      <c r="B153">
        <v>132</v>
      </c>
      <c r="C153" t="s">
        <v>318</v>
      </c>
      <c r="D153" s="29">
        <f>IFERROR(IFERROR(INDEX(Data!$E$7:$E$422,MATCH('2020'!$C153,Data!$C$7:$C$422,0)),INDEX(Data!$E$7:$E$422,MATCH('2020'!$A153,Data!$C$7:$C$422,0))),0)</f>
        <v>11913</v>
      </c>
      <c r="E153" s="29">
        <v>11022</v>
      </c>
      <c r="F153" s="29" t="s">
        <v>12</v>
      </c>
    </row>
    <row r="154" spans="2:6" x14ac:dyDescent="0.25">
      <c r="B154">
        <v>133</v>
      </c>
      <c r="C154" t="s">
        <v>319</v>
      </c>
      <c r="D154" s="29">
        <f>IFERROR(IFERROR(INDEX(Data!$E$7:$E$422,MATCH('2020'!$C154,Data!$C$7:$C$422,0)),INDEX(Data!$E$7:$E$422,MATCH('2020'!$A154,Data!$C$7:$C$422,0))),0)</f>
        <v>5105</v>
      </c>
      <c r="E154" s="29">
        <v>3689</v>
      </c>
      <c r="F154" s="29" t="s">
        <v>12</v>
      </c>
    </row>
    <row r="155" spans="2:6" x14ac:dyDescent="0.25">
      <c r="B155">
        <v>134</v>
      </c>
      <c r="C155" t="s">
        <v>320</v>
      </c>
      <c r="D155" s="29">
        <f>IFERROR(IFERROR(INDEX(Data!$E$7:$E$422,MATCH('2020'!$C155,Data!$C$7:$C$422,0)),INDEX(Data!$E$7:$E$422,MATCH('2020'!$A155,Data!$C$7:$C$422,0))),0)</f>
        <v>12582</v>
      </c>
      <c r="E155" s="29">
        <v>11753</v>
      </c>
      <c r="F155" s="29" t="s">
        <v>12</v>
      </c>
    </row>
    <row r="156" spans="2:6" x14ac:dyDescent="0.25">
      <c r="B156">
        <v>135</v>
      </c>
      <c r="C156" t="s">
        <v>321</v>
      </c>
      <c r="D156" s="29">
        <f>IFERROR(IFERROR(INDEX(Data!$E$7:$E$422,MATCH('2020'!$C156,Data!$C$7:$C$422,0)),INDEX(Data!$E$7:$E$422,MATCH('2020'!$A156,Data!$C$7:$C$422,0))),0)</f>
        <v>16239</v>
      </c>
      <c r="E156" s="29">
        <v>15587</v>
      </c>
      <c r="F156" s="29" t="s">
        <v>12</v>
      </c>
    </row>
    <row r="157" spans="2:6" x14ac:dyDescent="0.25">
      <c r="B157">
        <v>136</v>
      </c>
      <c r="C157" t="s">
        <v>322</v>
      </c>
      <c r="D157" s="29">
        <f>IFERROR(IFERROR(INDEX(Data!$E$7:$E$422,MATCH('2020'!$C157,Data!$C$7:$C$422,0)),INDEX(Data!$E$7:$E$422,MATCH('2020'!$A157,Data!$C$7:$C$422,0))),0)</f>
        <v>7548</v>
      </c>
      <c r="E157" s="29">
        <v>12686</v>
      </c>
      <c r="F157" s="29" t="s">
        <v>12</v>
      </c>
    </row>
    <row r="158" spans="2:6" x14ac:dyDescent="0.25">
      <c r="B158">
        <v>137</v>
      </c>
      <c r="C158" t="s">
        <v>323</v>
      </c>
      <c r="D158" s="29">
        <f>IFERROR(IFERROR(INDEX(Data!$E$7:$E$422,MATCH('2020'!$C158,Data!$C$7:$C$422,0)),INDEX(Data!$E$7:$E$422,MATCH('2020'!$A158,Data!$C$7:$C$422,0))),0)</f>
        <v>13891</v>
      </c>
      <c r="E158" s="29">
        <v>13461</v>
      </c>
      <c r="F158" s="29" t="s">
        <v>12</v>
      </c>
    </row>
    <row r="159" spans="2:6" x14ac:dyDescent="0.25">
      <c r="B159">
        <v>138</v>
      </c>
      <c r="C159" t="s">
        <v>324</v>
      </c>
      <c r="D159" s="29">
        <f>IFERROR(IFERROR(INDEX(Data!$E$7:$E$422,MATCH('2020'!$C159,Data!$C$7:$C$422,0)),INDEX(Data!$E$7:$E$422,MATCH('2020'!$A159,Data!$C$7:$C$422,0))),0)</f>
        <v>3925</v>
      </c>
      <c r="E159" s="29">
        <v>7732</v>
      </c>
      <c r="F159" s="29" t="s">
        <v>12</v>
      </c>
    </row>
    <row r="160" spans="2:6" x14ac:dyDescent="0.25">
      <c r="B160">
        <v>139</v>
      </c>
      <c r="C160" t="s">
        <v>325</v>
      </c>
      <c r="D160" s="29">
        <f>IFERROR(IFERROR(INDEX(Data!$E$7:$E$422,MATCH('2020'!$C160,Data!$C$7:$C$422,0)),INDEX(Data!$E$7:$E$422,MATCH('2020'!$A160,Data!$C$7:$C$422,0))),0)</f>
        <v>1243</v>
      </c>
      <c r="E160" s="29">
        <v>1754</v>
      </c>
      <c r="F160" s="29" t="s">
        <v>12</v>
      </c>
    </row>
    <row r="161" spans="1:6" x14ac:dyDescent="0.25">
      <c r="B161">
        <v>140</v>
      </c>
      <c r="C161" t="s">
        <v>326</v>
      </c>
      <c r="D161" s="29">
        <f>IFERROR(IFERROR(INDEX(Data!$E$7:$E$422,MATCH('2020'!$C161,Data!$C$7:$C$422,0)),INDEX(Data!$E$7:$E$422,MATCH('2020'!$A161,Data!$C$7:$C$422,0))),0)</f>
        <v>1064</v>
      </c>
      <c r="E161" s="29">
        <v>1720</v>
      </c>
      <c r="F161" s="29" t="s">
        <v>13</v>
      </c>
    </row>
    <row r="162" spans="1:6" x14ac:dyDescent="0.25">
      <c r="B162">
        <v>141</v>
      </c>
      <c r="C162" t="s">
        <v>327</v>
      </c>
      <c r="D162" s="29">
        <f>IFERROR(IFERROR(INDEX(Data!$E$7:$E$422,MATCH('2020'!$C162,Data!$C$7:$C$422,0)),INDEX(Data!$E$7:$E$422,MATCH('2020'!$A162,Data!$C$7:$C$422,0))),0)</f>
        <v>10624</v>
      </c>
      <c r="E162" s="29">
        <v>8845</v>
      </c>
      <c r="F162" s="29" t="s">
        <v>13</v>
      </c>
    </row>
    <row r="163" spans="1:6" x14ac:dyDescent="0.25">
      <c r="B163">
        <v>142</v>
      </c>
      <c r="C163" t="s">
        <v>328</v>
      </c>
      <c r="D163" s="29">
        <f>IFERROR(IFERROR(INDEX(Data!$E$7:$E$422,MATCH('2020'!$C163,Data!$C$7:$C$422,0)),INDEX(Data!$E$7:$E$422,MATCH('2020'!$A163,Data!$C$7:$C$422,0))),0)</f>
        <v>3435</v>
      </c>
      <c r="E163" s="29">
        <v>4316</v>
      </c>
      <c r="F163" s="29" t="s">
        <v>13</v>
      </c>
    </row>
    <row r="164" spans="1:6" x14ac:dyDescent="0.25">
      <c r="A164" t="s">
        <v>646</v>
      </c>
      <c r="B164">
        <v>143</v>
      </c>
      <c r="C164" t="s">
        <v>329</v>
      </c>
      <c r="D164" s="29">
        <f>IFERROR(IFERROR(INDEX(Data!$E$7:$E$422,MATCH('2020'!$C164,Data!$C$7:$C$422,0)),INDEX(Data!$E$7:$E$422,MATCH('2020'!$A164,Data!$C$7:$C$422,0))),0)</f>
        <v>21525</v>
      </c>
      <c r="E164" s="29">
        <v>6675</v>
      </c>
      <c r="F164" s="29" t="s">
        <v>13</v>
      </c>
    </row>
    <row r="165" spans="1:6" x14ac:dyDescent="0.25">
      <c r="B165">
        <v>144</v>
      </c>
      <c r="C165" t="s">
        <v>330</v>
      </c>
      <c r="D165" s="53">
        <f>IFERROR(IFERROR(INDEX(Data!$E$7:$E$422,MATCH('2020'!$C165,Data!$C$7:$C$422,0)),INDEX(Data!$E$7:$E$422,MATCH('2020'!$A165,Data!$C$7:$C$422,0))),0)</f>
        <v>0</v>
      </c>
      <c r="E165" s="29">
        <v>5701</v>
      </c>
      <c r="F165" s="29" t="s">
        <v>13</v>
      </c>
    </row>
    <row r="166" spans="1:6" x14ac:dyDescent="0.25">
      <c r="B166">
        <v>145</v>
      </c>
      <c r="C166" t="s">
        <v>331</v>
      </c>
      <c r="D166" s="53">
        <f>IFERROR(IFERROR(INDEX(Data!$E$7:$E$422,MATCH('2020'!$C166,Data!$C$7:$C$422,0)),INDEX(Data!$E$7:$E$422,MATCH('2020'!$A166,Data!$C$7:$C$422,0))),0)</f>
        <v>0</v>
      </c>
      <c r="E166" s="29">
        <v>6059</v>
      </c>
      <c r="F166" s="29" t="s">
        <v>13</v>
      </c>
    </row>
    <row r="167" spans="1:6" x14ac:dyDescent="0.25">
      <c r="B167">
        <v>146</v>
      </c>
      <c r="C167" t="s">
        <v>332</v>
      </c>
      <c r="D167" s="53">
        <f>IFERROR(IFERROR(INDEX(Data!$E$7:$E$422,MATCH('2020'!$C167,Data!$C$7:$C$422,0)),INDEX(Data!$E$7:$E$422,MATCH('2020'!$A167,Data!$C$7:$C$422,0))),0)</f>
        <v>0</v>
      </c>
      <c r="E167" s="29">
        <v>5949</v>
      </c>
      <c r="F167" s="29" t="s">
        <v>13</v>
      </c>
    </row>
    <row r="168" spans="1:6" x14ac:dyDescent="0.25">
      <c r="B168">
        <v>147</v>
      </c>
      <c r="C168" t="s">
        <v>333</v>
      </c>
      <c r="D168" s="29">
        <f>IFERROR(IFERROR(INDEX(Data!$E$7:$E$422,MATCH('2020'!$C168,Data!$C$7:$C$422,0)),INDEX(Data!$E$7:$E$422,MATCH('2020'!$A168,Data!$C$7:$C$422,0))),0)</f>
        <v>6114</v>
      </c>
      <c r="E168" s="29">
        <v>5325</v>
      </c>
      <c r="F168" s="29" t="s">
        <v>13</v>
      </c>
    </row>
    <row r="169" spans="1:6" x14ac:dyDescent="0.25">
      <c r="B169">
        <v>148</v>
      </c>
      <c r="C169" t="s">
        <v>334</v>
      </c>
      <c r="D169" s="29">
        <f>IFERROR(IFERROR(INDEX(Data!$E$7:$E$422,MATCH('2020'!$C169,Data!$C$7:$C$422,0)),INDEX(Data!$E$7:$E$422,MATCH('2020'!$A169,Data!$C$7:$C$422,0))),0)</f>
        <v>10881</v>
      </c>
      <c r="E169" s="29">
        <v>9862</v>
      </c>
      <c r="F169" s="29" t="s">
        <v>13</v>
      </c>
    </row>
    <row r="170" spans="1:6" x14ac:dyDescent="0.25">
      <c r="B170">
        <v>149</v>
      </c>
      <c r="C170" t="s">
        <v>335</v>
      </c>
      <c r="D170" s="29">
        <f>IFERROR(IFERROR(INDEX(Data!$E$7:$E$422,MATCH('2020'!$C170,Data!$C$7:$C$422,0)),INDEX(Data!$E$7:$E$422,MATCH('2020'!$A170,Data!$C$7:$C$422,0))),0)</f>
        <v>12865</v>
      </c>
      <c r="E170" s="29">
        <v>11654</v>
      </c>
      <c r="F170" s="29" t="s">
        <v>13</v>
      </c>
    </row>
    <row r="171" spans="1:6" x14ac:dyDescent="0.25">
      <c r="B171">
        <v>150</v>
      </c>
      <c r="C171" t="s">
        <v>336</v>
      </c>
      <c r="D171" s="29">
        <f>IFERROR(IFERROR(INDEX(Data!$E$7:$E$422,MATCH('2020'!$C171,Data!$C$7:$C$422,0)),INDEX(Data!$E$7:$E$422,MATCH('2020'!$A171,Data!$C$7:$C$422,0))),0)</f>
        <v>10241</v>
      </c>
      <c r="E171" s="29">
        <v>9021</v>
      </c>
      <c r="F171" s="29" t="s">
        <v>13</v>
      </c>
    </row>
    <row r="172" spans="1:6" x14ac:dyDescent="0.25">
      <c r="B172">
        <v>151</v>
      </c>
      <c r="C172" t="s">
        <v>337</v>
      </c>
      <c r="D172" s="29">
        <f>IFERROR(IFERROR(INDEX(Data!$E$7:$E$422,MATCH('2020'!$C172,Data!$C$7:$C$422,0)),INDEX(Data!$E$7:$E$422,MATCH('2020'!$A172,Data!$C$7:$C$422,0))),0)</f>
        <v>6223</v>
      </c>
      <c r="E172" s="29">
        <v>6035</v>
      </c>
      <c r="F172" s="29" t="s">
        <v>13</v>
      </c>
    </row>
    <row r="173" spans="1:6" x14ac:dyDescent="0.25">
      <c r="B173">
        <v>152</v>
      </c>
      <c r="C173" t="s">
        <v>338</v>
      </c>
      <c r="D173" s="29">
        <f>IFERROR(IFERROR(INDEX(Data!$E$7:$E$422,MATCH('2020'!$C173,Data!$C$7:$C$422,0)),INDEX(Data!$E$7:$E$422,MATCH('2020'!$A173,Data!$C$7:$C$422,0))),0)</f>
        <v>2347</v>
      </c>
      <c r="E173" s="29">
        <v>2968</v>
      </c>
      <c r="F173" s="29" t="s">
        <v>13</v>
      </c>
    </row>
    <row r="174" spans="1:6" x14ac:dyDescent="0.25">
      <c r="B174">
        <v>153</v>
      </c>
      <c r="C174" t="s">
        <v>339</v>
      </c>
      <c r="D174" s="29">
        <f>IFERROR(IFERROR(INDEX(Data!$E$7:$E$422,MATCH('2020'!$C174,Data!$C$7:$C$422,0)),INDEX(Data!$E$7:$E$422,MATCH('2020'!$A174,Data!$C$7:$C$422,0))),0)</f>
        <v>11201</v>
      </c>
      <c r="E174" s="29">
        <v>12019</v>
      </c>
      <c r="F174" s="29" t="s">
        <v>13</v>
      </c>
    </row>
    <row r="175" spans="1:6" x14ac:dyDescent="0.25">
      <c r="B175">
        <v>154</v>
      </c>
      <c r="C175" t="s">
        <v>340</v>
      </c>
      <c r="D175" s="29">
        <f>IFERROR(IFERROR(INDEX(Data!$E$7:$E$422,MATCH('2020'!$C175,Data!$C$7:$C$422,0)),INDEX(Data!$E$7:$E$422,MATCH('2020'!$A175,Data!$C$7:$C$422,0))),0)</f>
        <v>14016</v>
      </c>
      <c r="E175" s="29">
        <v>14219</v>
      </c>
      <c r="F175" s="29" t="s">
        <v>13</v>
      </c>
    </row>
    <row r="176" spans="1:6" x14ac:dyDescent="0.25">
      <c r="B176">
        <v>155</v>
      </c>
      <c r="C176" t="s">
        <v>341</v>
      </c>
      <c r="D176" s="29">
        <f>IFERROR(IFERROR(INDEX(Data!$E$7:$E$422,MATCH('2020'!$C176,Data!$C$7:$C$422,0)),INDEX(Data!$E$7:$E$422,MATCH('2020'!$A176,Data!$C$7:$C$422,0))),0)</f>
        <v>3508</v>
      </c>
      <c r="E176" s="29">
        <v>3962</v>
      </c>
      <c r="F176" s="29" t="s">
        <v>13</v>
      </c>
    </row>
    <row r="177" spans="2:6" x14ac:dyDescent="0.25">
      <c r="B177">
        <v>156</v>
      </c>
      <c r="C177" t="s">
        <v>342</v>
      </c>
      <c r="D177" s="29">
        <f>IFERROR(IFERROR(INDEX(Data!$E$7:$E$422,MATCH('2020'!$C177,Data!$C$7:$C$422,0)),INDEX(Data!$E$7:$E$422,MATCH('2020'!$A177,Data!$C$7:$C$422,0))),0)</f>
        <v>13119</v>
      </c>
      <c r="E177" s="29">
        <v>11189</v>
      </c>
      <c r="F177" s="29" t="s">
        <v>13</v>
      </c>
    </row>
    <row r="178" spans="2:6" x14ac:dyDescent="0.25">
      <c r="B178">
        <v>157</v>
      </c>
      <c r="C178" t="s">
        <v>343</v>
      </c>
      <c r="D178" s="29">
        <f>IFERROR(IFERROR(INDEX(Data!$E$7:$E$422,MATCH('2020'!$C178,Data!$C$7:$C$422,0)),INDEX(Data!$E$7:$E$422,MATCH('2020'!$A178,Data!$C$7:$C$422,0))),0)</f>
        <v>27961</v>
      </c>
      <c r="E178" s="29">
        <v>32856</v>
      </c>
      <c r="F178" s="29" t="s">
        <v>15</v>
      </c>
    </row>
    <row r="179" spans="2:6" x14ac:dyDescent="0.25">
      <c r="B179">
        <v>158</v>
      </c>
      <c r="C179" t="s">
        <v>344</v>
      </c>
      <c r="D179" s="29">
        <f>IFERROR(IFERROR(INDEX(Data!$E$7:$E$422,MATCH('2020'!$C179,Data!$C$7:$C$422,0)),INDEX(Data!$E$7:$E$422,MATCH('2020'!$A179,Data!$C$7:$C$422,0))),0)</f>
        <v>253187</v>
      </c>
      <c r="E179" s="29">
        <v>321172</v>
      </c>
      <c r="F179" s="29" t="s">
        <v>15</v>
      </c>
    </row>
    <row r="180" spans="2:6" x14ac:dyDescent="0.25">
      <c r="B180">
        <v>159</v>
      </c>
      <c r="C180" t="s">
        <v>345</v>
      </c>
      <c r="D180" s="29">
        <f>IFERROR(IFERROR(INDEX(Data!$E$7:$E$422,MATCH('2020'!$C180,Data!$C$7:$C$422,0)),INDEX(Data!$E$7:$E$422,MATCH('2020'!$A180,Data!$C$7:$C$422,0))),0)</f>
        <v>22645</v>
      </c>
      <c r="E180" s="29">
        <v>22670</v>
      </c>
      <c r="F180" s="29" t="s">
        <v>15</v>
      </c>
    </row>
    <row r="181" spans="2:6" x14ac:dyDescent="0.25">
      <c r="B181">
        <v>160</v>
      </c>
      <c r="C181" t="s">
        <v>346</v>
      </c>
      <c r="D181" s="29">
        <f>IFERROR(IFERROR(INDEX(Data!$E$7:$E$422,MATCH('2020'!$C181,Data!$C$7:$C$422,0)),INDEX(Data!$E$7:$E$422,MATCH('2020'!$A181,Data!$C$7:$C$422,0))),0)</f>
        <v>14817</v>
      </c>
      <c r="E181" s="29">
        <v>13842</v>
      </c>
      <c r="F181" s="29" t="s">
        <v>15</v>
      </c>
    </row>
    <row r="182" spans="2:6" x14ac:dyDescent="0.25">
      <c r="B182">
        <v>161</v>
      </c>
      <c r="C182" t="s">
        <v>347</v>
      </c>
      <c r="D182" s="29">
        <f>IFERROR(IFERROR(INDEX(Data!$E$7:$E$422,MATCH('2020'!$C182,Data!$C$7:$C$422,0)),INDEX(Data!$E$7:$E$422,MATCH('2020'!$A182,Data!$C$7:$C$422,0))),0)</f>
        <v>9608</v>
      </c>
      <c r="E182" s="29">
        <v>8354</v>
      </c>
      <c r="F182" s="29" t="s">
        <v>15</v>
      </c>
    </row>
    <row r="183" spans="2:6" x14ac:dyDescent="0.25">
      <c r="B183">
        <v>162</v>
      </c>
      <c r="C183" t="s">
        <v>348</v>
      </c>
      <c r="D183" s="29">
        <f>IFERROR(IFERROR(INDEX(Data!$E$7:$E$422,MATCH('2020'!$C183,Data!$C$7:$C$422,0)),INDEX(Data!$E$7:$E$422,MATCH('2020'!$A183,Data!$C$7:$C$422,0))),0)</f>
        <v>4966</v>
      </c>
      <c r="E183" s="29">
        <v>4795</v>
      </c>
      <c r="F183" s="29" t="s">
        <v>15</v>
      </c>
    </row>
    <row r="184" spans="2:6" x14ac:dyDescent="0.25">
      <c r="B184">
        <v>163</v>
      </c>
      <c r="C184" t="s">
        <v>349</v>
      </c>
      <c r="D184" s="29">
        <f>IFERROR(IFERROR(INDEX(Data!$E$7:$E$422,MATCH('2020'!$C184,Data!$C$7:$C$422,0)),INDEX(Data!$E$7:$E$422,MATCH('2020'!$A184,Data!$C$7:$C$422,0))),0)</f>
        <v>19502</v>
      </c>
      <c r="E184" s="29">
        <v>16733</v>
      </c>
      <c r="F184" s="29" t="s">
        <v>15</v>
      </c>
    </row>
    <row r="185" spans="2:6" x14ac:dyDescent="0.25">
      <c r="B185">
        <v>164</v>
      </c>
      <c r="C185" t="s">
        <v>350</v>
      </c>
      <c r="D185" s="29">
        <f>IFERROR(IFERROR(INDEX(Data!$E$7:$E$422,MATCH('2020'!$C185,Data!$C$7:$C$422,0)),INDEX(Data!$E$7:$E$422,MATCH('2020'!$A185,Data!$C$7:$C$422,0))),0)</f>
        <v>30796</v>
      </c>
      <c r="E185" s="29">
        <v>34124</v>
      </c>
      <c r="F185" s="29" t="s">
        <v>15</v>
      </c>
    </row>
    <row r="186" spans="2:6" x14ac:dyDescent="0.25">
      <c r="B186">
        <v>165</v>
      </c>
      <c r="C186" t="s">
        <v>351</v>
      </c>
      <c r="D186" s="29">
        <f>IFERROR(IFERROR(INDEX(Data!$E$7:$E$422,MATCH('2020'!$C186,Data!$C$7:$C$422,0)),INDEX(Data!$E$7:$E$422,MATCH('2020'!$A186,Data!$C$7:$C$422,0))),0)</f>
        <v>22625</v>
      </c>
      <c r="E186" s="29">
        <v>22383</v>
      </c>
      <c r="F186" s="29" t="s">
        <v>15</v>
      </c>
    </row>
    <row r="187" spans="2:6" x14ac:dyDescent="0.25">
      <c r="B187">
        <v>166</v>
      </c>
      <c r="C187" t="s">
        <v>352</v>
      </c>
      <c r="D187" s="29">
        <f>IFERROR(IFERROR(INDEX(Data!$E$7:$E$422,MATCH('2020'!$C187,Data!$C$7:$C$422,0)),INDEX(Data!$E$7:$E$422,MATCH('2020'!$A187,Data!$C$7:$C$422,0))),0)</f>
        <v>37562</v>
      </c>
      <c r="E187" s="29">
        <v>38637</v>
      </c>
      <c r="F187" s="29" t="s">
        <v>15</v>
      </c>
    </row>
    <row r="188" spans="2:6" x14ac:dyDescent="0.25">
      <c r="B188">
        <v>167</v>
      </c>
      <c r="C188" t="s">
        <v>353</v>
      </c>
      <c r="D188" s="29">
        <f>IFERROR(IFERROR(INDEX(Data!$E$7:$E$422,MATCH('2020'!$C188,Data!$C$7:$C$422,0)),INDEX(Data!$E$7:$E$422,MATCH('2020'!$A188,Data!$C$7:$C$422,0))),0)</f>
        <v>24886</v>
      </c>
      <c r="E188" s="29">
        <v>26114</v>
      </c>
      <c r="F188" s="29" t="s">
        <v>15</v>
      </c>
    </row>
    <row r="189" spans="2:6" x14ac:dyDescent="0.25">
      <c r="B189">
        <v>168</v>
      </c>
      <c r="C189" t="s">
        <v>354</v>
      </c>
      <c r="D189" s="29">
        <f>IFERROR(IFERROR(INDEX(Data!$E$7:$E$422,MATCH('2020'!$C189,Data!$C$7:$C$422,0)),INDEX(Data!$E$7:$E$422,MATCH('2020'!$A189,Data!$C$7:$C$422,0))),0)</f>
        <v>32218</v>
      </c>
      <c r="E189" s="29">
        <v>35175</v>
      </c>
      <c r="F189" s="29" t="s">
        <v>15</v>
      </c>
    </row>
    <row r="190" spans="2:6" x14ac:dyDescent="0.25">
      <c r="B190">
        <v>169</v>
      </c>
      <c r="C190" t="s">
        <v>355</v>
      </c>
      <c r="D190" s="29">
        <f>IFERROR(IFERROR(INDEX(Data!$E$7:$E$422,MATCH('2020'!$C190,Data!$C$7:$C$422,0)),INDEX(Data!$E$7:$E$422,MATCH('2020'!$A190,Data!$C$7:$C$422,0))),0)</f>
        <v>52284</v>
      </c>
      <c r="E190" s="29">
        <v>57863</v>
      </c>
      <c r="F190" s="29" t="s">
        <v>15</v>
      </c>
    </row>
    <row r="191" spans="2:6" x14ac:dyDescent="0.25">
      <c r="B191">
        <v>170</v>
      </c>
      <c r="C191" t="s">
        <v>356</v>
      </c>
      <c r="D191" s="29">
        <f>IFERROR(IFERROR(INDEX(Data!$E$7:$E$422,MATCH('2020'!$C191,Data!$C$7:$C$422,0)),INDEX(Data!$E$7:$E$422,MATCH('2020'!$A191,Data!$C$7:$C$422,0))),0)</f>
        <v>23328</v>
      </c>
      <c r="E191" s="29">
        <v>24332</v>
      </c>
      <c r="F191" s="29" t="s">
        <v>15</v>
      </c>
    </row>
    <row r="192" spans="2:6" x14ac:dyDescent="0.25">
      <c r="B192">
        <v>171</v>
      </c>
      <c r="C192" t="s">
        <v>357</v>
      </c>
      <c r="D192" s="29">
        <f>IFERROR(IFERROR(INDEX(Data!$E$7:$E$422,MATCH('2020'!$C192,Data!$C$7:$C$422,0)),INDEX(Data!$E$7:$E$422,MATCH('2020'!$A192,Data!$C$7:$C$422,0))),0)</f>
        <v>96166</v>
      </c>
      <c r="E192" s="29">
        <v>93076</v>
      </c>
      <c r="F192" s="29" t="s">
        <v>16</v>
      </c>
    </row>
    <row r="193" spans="2:6" x14ac:dyDescent="0.25">
      <c r="B193">
        <v>172</v>
      </c>
      <c r="C193" t="s">
        <v>358</v>
      </c>
      <c r="D193" s="29">
        <f>IFERROR(IFERROR(INDEX(Data!$E$7:$E$422,MATCH('2020'!$C193,Data!$C$7:$C$422,0)),INDEX(Data!$E$7:$E$422,MATCH('2020'!$A193,Data!$C$7:$C$422,0))),0)</f>
        <v>51009</v>
      </c>
      <c r="E193" s="29">
        <v>48864</v>
      </c>
      <c r="F193" s="29" t="s">
        <v>16</v>
      </c>
    </row>
    <row r="194" spans="2:6" x14ac:dyDescent="0.25">
      <c r="B194">
        <v>173</v>
      </c>
      <c r="C194" t="s">
        <v>359</v>
      </c>
      <c r="D194" s="29">
        <f>IFERROR(IFERROR(INDEX(Data!$E$7:$E$422,MATCH('2020'!$C194,Data!$C$7:$C$422,0)),INDEX(Data!$E$7:$E$422,MATCH('2020'!$A194,Data!$C$7:$C$422,0))),0)</f>
        <v>29621</v>
      </c>
      <c r="E194" s="29">
        <v>25343</v>
      </c>
      <c r="F194" s="29" t="s">
        <v>16</v>
      </c>
    </row>
    <row r="195" spans="2:6" x14ac:dyDescent="0.25">
      <c r="B195">
        <v>174</v>
      </c>
      <c r="C195" t="s">
        <v>360</v>
      </c>
      <c r="D195" s="29">
        <f>IFERROR(IFERROR(INDEX(Data!$E$7:$E$422,MATCH('2020'!$C195,Data!$C$7:$C$422,0)),INDEX(Data!$E$7:$E$422,MATCH('2020'!$A195,Data!$C$7:$C$422,0))),0)</f>
        <v>28460</v>
      </c>
      <c r="E195" s="29">
        <v>31199</v>
      </c>
      <c r="F195" s="29" t="s">
        <v>16</v>
      </c>
    </row>
    <row r="196" spans="2:6" x14ac:dyDescent="0.25">
      <c r="B196">
        <v>175</v>
      </c>
      <c r="C196" t="s">
        <v>361</v>
      </c>
      <c r="D196" s="29">
        <f>IFERROR(IFERROR(INDEX(Data!$E$7:$E$422,MATCH('2020'!$C196,Data!$C$7:$C$422,0)),INDEX(Data!$E$7:$E$422,MATCH('2020'!$A196,Data!$C$7:$C$422,0))),0)</f>
        <v>9737</v>
      </c>
      <c r="E196" s="29">
        <v>10627</v>
      </c>
      <c r="F196" s="29" t="s">
        <v>16</v>
      </c>
    </row>
    <row r="197" spans="2:6" x14ac:dyDescent="0.25">
      <c r="B197">
        <v>176</v>
      </c>
      <c r="C197" t="s">
        <v>362</v>
      </c>
      <c r="D197" s="29">
        <f>IFERROR(IFERROR(INDEX(Data!$E$7:$E$422,MATCH('2020'!$C197,Data!$C$7:$C$422,0)),INDEX(Data!$E$7:$E$422,MATCH('2020'!$A197,Data!$C$7:$C$422,0))),0)</f>
        <v>8854</v>
      </c>
      <c r="E197" s="29">
        <v>8772</v>
      </c>
      <c r="F197" s="29" t="s">
        <v>16</v>
      </c>
    </row>
    <row r="198" spans="2:6" x14ac:dyDescent="0.25">
      <c r="B198">
        <v>177</v>
      </c>
      <c r="C198" t="s">
        <v>363</v>
      </c>
      <c r="D198" s="29">
        <f>IFERROR(IFERROR(INDEX(Data!$E$7:$E$422,MATCH('2020'!$C198,Data!$C$7:$C$422,0)),INDEX(Data!$E$7:$E$422,MATCH('2020'!$A198,Data!$C$7:$C$422,0))),0)</f>
        <v>28021</v>
      </c>
      <c r="E198" s="29">
        <v>29433</v>
      </c>
      <c r="F198" s="29" t="s">
        <v>16</v>
      </c>
    </row>
    <row r="199" spans="2:6" x14ac:dyDescent="0.25">
      <c r="B199">
        <v>178</v>
      </c>
      <c r="C199" t="s">
        <v>364</v>
      </c>
      <c r="D199" s="29">
        <f>IFERROR(IFERROR(INDEX(Data!$E$7:$E$422,MATCH('2020'!$C199,Data!$C$7:$C$422,0)),INDEX(Data!$E$7:$E$422,MATCH('2020'!$A199,Data!$C$7:$C$422,0))),0)</f>
        <v>10723</v>
      </c>
      <c r="E199" s="29">
        <v>9234</v>
      </c>
      <c r="F199" s="29" t="s">
        <v>16</v>
      </c>
    </row>
    <row r="200" spans="2:6" x14ac:dyDescent="0.25">
      <c r="B200">
        <v>179</v>
      </c>
      <c r="C200" t="s">
        <v>365</v>
      </c>
      <c r="D200" s="29">
        <f>IFERROR(IFERROR(INDEX(Data!$E$7:$E$422,MATCH('2020'!$C200,Data!$C$7:$C$422,0)),INDEX(Data!$E$7:$E$422,MATCH('2020'!$A200,Data!$C$7:$C$422,0))),0)</f>
        <v>5938</v>
      </c>
      <c r="E200" s="29">
        <v>5553</v>
      </c>
      <c r="F200" s="29" t="s">
        <v>16</v>
      </c>
    </row>
    <row r="201" spans="2:6" x14ac:dyDescent="0.25">
      <c r="B201">
        <v>180</v>
      </c>
      <c r="C201" t="s">
        <v>366</v>
      </c>
      <c r="D201" s="29">
        <f>IFERROR(IFERROR(INDEX(Data!$E$7:$E$422,MATCH('2020'!$C201,Data!$C$7:$C$422,0)),INDEX(Data!$E$7:$E$422,MATCH('2020'!$A201,Data!$C$7:$C$422,0))),0)</f>
        <v>5739</v>
      </c>
      <c r="E201" s="29">
        <v>6111</v>
      </c>
      <c r="F201" s="29" t="s">
        <v>16</v>
      </c>
    </row>
    <row r="202" spans="2:6" x14ac:dyDescent="0.25">
      <c r="B202">
        <v>181</v>
      </c>
      <c r="C202" t="s">
        <v>367</v>
      </c>
      <c r="D202" s="29">
        <f>IFERROR(IFERROR(INDEX(Data!$E$7:$E$422,MATCH('2020'!$C202,Data!$C$7:$C$422,0)),INDEX(Data!$E$7:$E$422,MATCH('2020'!$A202,Data!$C$7:$C$422,0))),0)</f>
        <v>8582</v>
      </c>
      <c r="E202" s="29">
        <v>8294</v>
      </c>
      <c r="F202" s="29" t="s">
        <v>16</v>
      </c>
    </row>
    <row r="203" spans="2:6" x14ac:dyDescent="0.25">
      <c r="B203">
        <v>182</v>
      </c>
      <c r="C203" t="s">
        <v>368</v>
      </c>
      <c r="D203" s="29">
        <f>IFERROR(IFERROR(INDEX(Data!$E$7:$E$422,MATCH('2020'!$C203,Data!$C$7:$C$422,0)),INDEX(Data!$E$7:$E$422,MATCH('2020'!$A203,Data!$C$7:$C$422,0))),0)</f>
        <v>15672</v>
      </c>
      <c r="E203" s="29">
        <v>12412</v>
      </c>
      <c r="F203" s="29" t="s">
        <v>17</v>
      </c>
    </row>
    <row r="204" spans="2:6" x14ac:dyDescent="0.25">
      <c r="B204">
        <v>183</v>
      </c>
      <c r="C204" t="s">
        <v>369</v>
      </c>
      <c r="D204" s="29">
        <f>IFERROR(IFERROR(INDEX(Data!$E$7:$E$422,MATCH('2020'!$C204,Data!$C$7:$C$422,0)),INDEX(Data!$E$7:$E$422,MATCH('2020'!$A204,Data!$C$7:$C$422,0))),0)</f>
        <v>11123</v>
      </c>
      <c r="E204" s="29">
        <v>11506</v>
      </c>
      <c r="F204" s="29" t="s">
        <v>17</v>
      </c>
    </row>
    <row r="205" spans="2:6" x14ac:dyDescent="0.25">
      <c r="B205">
        <v>184</v>
      </c>
      <c r="C205" t="s">
        <v>370</v>
      </c>
      <c r="D205" s="29">
        <f>IFERROR(IFERROR(INDEX(Data!$E$7:$E$422,MATCH('2020'!$C205,Data!$C$7:$C$422,0)),INDEX(Data!$E$7:$E$422,MATCH('2020'!$A205,Data!$C$7:$C$422,0))),0)</f>
        <v>3128</v>
      </c>
      <c r="E205" s="29">
        <v>4572</v>
      </c>
      <c r="F205" s="29" t="s">
        <v>17</v>
      </c>
    </row>
    <row r="206" spans="2:6" x14ac:dyDescent="0.25">
      <c r="B206">
        <v>185</v>
      </c>
      <c r="C206" t="s">
        <v>371</v>
      </c>
      <c r="D206" s="29">
        <f>IFERROR(IFERROR(INDEX(Data!$E$7:$E$422,MATCH('2020'!$C206,Data!$C$7:$C$422,0)),INDEX(Data!$E$7:$E$422,MATCH('2020'!$A206,Data!$C$7:$C$422,0))),0)</f>
        <v>3933</v>
      </c>
      <c r="E206" s="29">
        <v>3777</v>
      </c>
      <c r="F206" s="29" t="s">
        <v>17</v>
      </c>
    </row>
    <row r="207" spans="2:6" x14ac:dyDescent="0.25">
      <c r="B207">
        <v>186</v>
      </c>
      <c r="C207" t="s">
        <v>372</v>
      </c>
      <c r="D207" s="29">
        <f>IFERROR(IFERROR(INDEX(Data!$E$7:$E$422,MATCH('2020'!$C207,Data!$C$7:$C$422,0)),INDEX(Data!$E$7:$E$422,MATCH('2020'!$A207,Data!$C$7:$C$422,0))),0)</f>
        <v>3464</v>
      </c>
      <c r="E207" s="29">
        <v>4996</v>
      </c>
      <c r="F207" s="29" t="s">
        <v>17</v>
      </c>
    </row>
    <row r="208" spans="2:6" x14ac:dyDescent="0.25">
      <c r="B208">
        <v>187</v>
      </c>
      <c r="C208" t="s">
        <v>373</v>
      </c>
      <c r="D208" s="29">
        <f>IFERROR(IFERROR(INDEX(Data!$E$7:$E$422,MATCH('2020'!$C208,Data!$C$7:$C$422,0)),INDEX(Data!$E$7:$E$422,MATCH('2020'!$A208,Data!$C$7:$C$422,0))),0)</f>
        <v>6483</v>
      </c>
      <c r="E208" s="29">
        <v>6249</v>
      </c>
      <c r="F208" s="29" t="s">
        <v>17</v>
      </c>
    </row>
    <row r="209" spans="2:6" x14ac:dyDescent="0.25">
      <c r="B209">
        <v>188</v>
      </c>
      <c r="C209" t="s">
        <v>374</v>
      </c>
      <c r="D209" s="29">
        <f>IFERROR(IFERROR(INDEX(Data!$E$7:$E$422,MATCH('2020'!$C209,Data!$C$7:$C$422,0)),INDEX(Data!$E$7:$E$422,MATCH('2020'!$A209,Data!$C$7:$C$422,0))),0)</f>
        <v>16481</v>
      </c>
      <c r="E209" s="29">
        <v>13474</v>
      </c>
      <c r="F209" s="29" t="s">
        <v>17</v>
      </c>
    </row>
    <row r="210" spans="2:6" x14ac:dyDescent="0.25">
      <c r="B210">
        <v>189</v>
      </c>
      <c r="C210" t="s">
        <v>375</v>
      </c>
      <c r="D210" s="29">
        <f>IFERROR(IFERROR(INDEX(Data!$E$7:$E$422,MATCH('2020'!$C210,Data!$C$7:$C$422,0)),INDEX(Data!$E$7:$E$422,MATCH('2020'!$A210,Data!$C$7:$C$422,0))),0)</f>
        <v>9742</v>
      </c>
      <c r="E210" s="29">
        <v>8515</v>
      </c>
      <c r="F210" s="29" t="s">
        <v>17</v>
      </c>
    </row>
    <row r="211" spans="2:6" x14ac:dyDescent="0.25">
      <c r="B211">
        <v>190</v>
      </c>
      <c r="C211" t="s">
        <v>376</v>
      </c>
      <c r="D211" s="29">
        <f>IFERROR(IFERROR(INDEX(Data!$E$7:$E$422,MATCH('2020'!$C211,Data!$C$7:$C$422,0)),INDEX(Data!$E$7:$E$422,MATCH('2020'!$A211,Data!$C$7:$C$422,0))),0)</f>
        <v>38079</v>
      </c>
      <c r="E211" s="29">
        <v>43741</v>
      </c>
      <c r="F211" s="29" t="s">
        <v>17</v>
      </c>
    </row>
    <row r="212" spans="2:6" x14ac:dyDescent="0.25">
      <c r="B212">
        <v>191</v>
      </c>
      <c r="C212" t="s">
        <v>377</v>
      </c>
      <c r="D212" s="29">
        <f>IFERROR(IFERROR(INDEX(Data!$E$7:$E$422,MATCH('2020'!$C212,Data!$C$7:$C$422,0)),INDEX(Data!$E$7:$E$422,MATCH('2020'!$A212,Data!$C$7:$C$422,0))),0)</f>
        <v>37178</v>
      </c>
      <c r="E212" s="29">
        <v>41880</v>
      </c>
      <c r="F212" s="29" t="s">
        <v>17</v>
      </c>
    </row>
    <row r="213" spans="2:6" x14ac:dyDescent="0.25">
      <c r="B213">
        <v>192</v>
      </c>
      <c r="C213" t="s">
        <v>378</v>
      </c>
      <c r="D213" s="29">
        <f>IFERROR(IFERROR(INDEX(Data!$E$7:$E$422,MATCH('2020'!$C213,Data!$C$7:$C$422,0)),INDEX(Data!$E$7:$E$422,MATCH('2020'!$A213,Data!$C$7:$C$422,0))),0)</f>
        <v>4580</v>
      </c>
      <c r="E213" s="29">
        <v>4300</v>
      </c>
      <c r="F213" s="29" t="s">
        <v>17</v>
      </c>
    </row>
    <row r="214" spans="2:6" x14ac:dyDescent="0.25">
      <c r="B214">
        <v>193</v>
      </c>
      <c r="C214" t="s">
        <v>379</v>
      </c>
      <c r="D214" s="29">
        <f>IFERROR(IFERROR(INDEX(Data!$E$7:$E$422,MATCH('2020'!$C214,Data!$C$7:$C$422,0)),INDEX(Data!$E$7:$E$422,MATCH('2020'!$A214,Data!$C$7:$C$422,0))),0)</f>
        <v>7738</v>
      </c>
      <c r="E214" s="29">
        <v>8949</v>
      </c>
      <c r="F214" s="29" t="s">
        <v>17</v>
      </c>
    </row>
    <row r="215" spans="2:6" x14ac:dyDescent="0.25">
      <c r="B215">
        <v>194</v>
      </c>
      <c r="C215" t="s">
        <v>380</v>
      </c>
      <c r="D215" s="29">
        <f>IFERROR(IFERROR(INDEX(Data!$E$7:$E$422,MATCH('2020'!$C215,Data!$C$7:$C$422,0)),INDEX(Data!$E$7:$E$422,MATCH('2020'!$A215,Data!$C$7:$C$422,0))),0)</f>
        <v>5801</v>
      </c>
      <c r="E215" s="29">
        <v>5327</v>
      </c>
      <c r="F215" s="29" t="s">
        <v>17</v>
      </c>
    </row>
    <row r="216" spans="2:6" x14ac:dyDescent="0.25">
      <c r="B216">
        <v>195</v>
      </c>
      <c r="C216" t="s">
        <v>381</v>
      </c>
      <c r="D216" s="29">
        <f>IFERROR(IFERROR(INDEX(Data!$E$7:$E$422,MATCH('2020'!$C216,Data!$C$7:$C$422,0)),INDEX(Data!$E$7:$E$422,MATCH('2020'!$A216,Data!$C$7:$C$422,0))),0)</f>
        <v>6697</v>
      </c>
      <c r="E216" s="29">
        <v>6102</v>
      </c>
      <c r="F216" s="29" t="s">
        <v>17</v>
      </c>
    </row>
    <row r="217" spans="2:6" x14ac:dyDescent="0.25">
      <c r="B217">
        <v>196</v>
      </c>
      <c r="C217" t="s">
        <v>382</v>
      </c>
      <c r="D217" s="29">
        <f>IFERROR(IFERROR(INDEX(Data!$E$7:$E$422,MATCH('2020'!$C217,Data!$C$7:$C$422,0)),INDEX(Data!$E$7:$E$422,MATCH('2020'!$A217,Data!$C$7:$C$422,0))),0)</f>
        <v>11233</v>
      </c>
      <c r="E217" s="29">
        <v>10825</v>
      </c>
      <c r="F217" s="29" t="s">
        <v>17</v>
      </c>
    </row>
    <row r="218" spans="2:6" x14ac:dyDescent="0.25">
      <c r="B218">
        <v>197</v>
      </c>
      <c r="C218" t="s">
        <v>383</v>
      </c>
      <c r="D218" s="29">
        <f>IFERROR(IFERROR(INDEX(Data!$E$7:$E$422,MATCH('2020'!$C218,Data!$C$7:$C$422,0)),INDEX(Data!$E$7:$E$422,MATCH('2020'!$A218,Data!$C$7:$C$422,0))),0)</f>
        <v>1354</v>
      </c>
      <c r="E218" s="29">
        <v>1286</v>
      </c>
      <c r="F218" s="29" t="s">
        <v>17</v>
      </c>
    </row>
    <row r="219" spans="2:6" x14ac:dyDescent="0.25">
      <c r="B219">
        <v>198</v>
      </c>
      <c r="C219" t="s">
        <v>384</v>
      </c>
      <c r="D219" s="29">
        <f>IFERROR(IFERROR(INDEX(Data!$E$7:$E$422,MATCH('2020'!$C219,Data!$C$7:$C$422,0)),INDEX(Data!$E$7:$E$422,MATCH('2020'!$A219,Data!$C$7:$C$422,0))),0)</f>
        <v>2943</v>
      </c>
      <c r="E219" s="29">
        <v>2356</v>
      </c>
      <c r="F219" s="29" t="s">
        <v>17</v>
      </c>
    </row>
    <row r="220" spans="2:6" x14ac:dyDescent="0.25">
      <c r="B220">
        <v>199</v>
      </c>
      <c r="C220" t="s">
        <v>385</v>
      </c>
      <c r="D220" s="29">
        <f>IFERROR(IFERROR(INDEX(Data!$E$7:$E$422,MATCH('2020'!$C220,Data!$C$7:$C$422,0)),INDEX(Data!$E$7:$E$422,MATCH('2020'!$A220,Data!$C$7:$C$422,0))),0)</f>
        <v>12804</v>
      </c>
      <c r="E220" s="29">
        <v>12334</v>
      </c>
      <c r="F220" s="29" t="s">
        <v>17</v>
      </c>
    </row>
    <row r="221" spans="2:6" x14ac:dyDescent="0.25">
      <c r="B221">
        <v>200</v>
      </c>
      <c r="C221" t="s">
        <v>386</v>
      </c>
      <c r="D221" s="29">
        <f>IFERROR(IFERROR(INDEX(Data!$E$7:$E$422,MATCH('2020'!$C221,Data!$C$7:$C$422,0)),INDEX(Data!$E$7:$E$422,MATCH('2020'!$A221,Data!$C$7:$C$422,0))),0)</f>
        <v>28943</v>
      </c>
      <c r="E221" s="29">
        <v>26492</v>
      </c>
      <c r="F221" s="29" t="s">
        <v>17</v>
      </c>
    </row>
    <row r="222" spans="2:6" x14ac:dyDescent="0.25">
      <c r="B222">
        <v>201</v>
      </c>
      <c r="C222" t="s">
        <v>387</v>
      </c>
      <c r="D222" s="29">
        <f>IFERROR(IFERROR(INDEX(Data!$E$7:$E$422,MATCH('2020'!$C222,Data!$C$7:$C$422,0)),INDEX(Data!$E$7:$E$422,MATCH('2020'!$A222,Data!$C$7:$C$422,0))),0)</f>
        <v>25095</v>
      </c>
      <c r="E222" s="29">
        <v>22212</v>
      </c>
      <c r="F222" s="29" t="s">
        <v>5</v>
      </c>
    </row>
    <row r="223" spans="2:6" x14ac:dyDescent="0.25">
      <c r="B223">
        <v>202</v>
      </c>
      <c r="C223" t="s">
        <v>388</v>
      </c>
      <c r="D223" s="29">
        <f>IFERROR(IFERROR(INDEX(Data!$E$7:$E$422,MATCH('2020'!$C223,Data!$C$7:$C$422,0)),INDEX(Data!$E$7:$E$422,MATCH('2020'!$A223,Data!$C$7:$C$422,0))),0)</f>
        <v>34934</v>
      </c>
      <c r="E223" s="29">
        <v>34831</v>
      </c>
      <c r="F223" s="29" t="s">
        <v>5</v>
      </c>
    </row>
    <row r="224" spans="2:6" x14ac:dyDescent="0.25">
      <c r="B224">
        <v>203</v>
      </c>
      <c r="C224" t="s">
        <v>389</v>
      </c>
      <c r="D224" s="29">
        <f>IFERROR(IFERROR(INDEX(Data!$E$7:$E$422,MATCH('2020'!$C224,Data!$C$7:$C$422,0)),INDEX(Data!$E$7:$E$422,MATCH('2020'!$A224,Data!$C$7:$C$422,0))),0)</f>
        <v>18452</v>
      </c>
      <c r="E224" s="29">
        <v>20489</v>
      </c>
      <c r="F224" s="29" t="s">
        <v>5</v>
      </c>
    </row>
    <row r="225" spans="2:6" x14ac:dyDescent="0.25">
      <c r="B225">
        <v>204</v>
      </c>
      <c r="C225" t="s">
        <v>390</v>
      </c>
      <c r="D225" s="29">
        <f>IFERROR(IFERROR(INDEX(Data!$E$7:$E$422,MATCH('2020'!$C225,Data!$C$7:$C$422,0)),INDEX(Data!$E$7:$E$422,MATCH('2020'!$A225,Data!$C$7:$C$422,0))),0)</f>
        <v>10090</v>
      </c>
      <c r="E225" s="29">
        <v>11666</v>
      </c>
      <c r="F225" s="29" t="s">
        <v>5</v>
      </c>
    </row>
    <row r="226" spans="2:6" x14ac:dyDescent="0.25">
      <c r="B226">
        <v>205</v>
      </c>
      <c r="C226" t="s">
        <v>391</v>
      </c>
      <c r="D226" s="29">
        <f>IFERROR(IFERROR(INDEX(Data!$E$7:$E$422,MATCH('2020'!$C226,Data!$C$7:$C$422,0)),INDEX(Data!$E$7:$E$422,MATCH('2020'!$A226,Data!$C$7:$C$422,0))),0)</f>
        <v>9953</v>
      </c>
      <c r="E226" s="29">
        <v>9367</v>
      </c>
      <c r="F226" s="29" t="s">
        <v>5</v>
      </c>
    </row>
    <row r="227" spans="2:6" x14ac:dyDescent="0.25">
      <c r="B227">
        <v>206</v>
      </c>
      <c r="C227" t="s">
        <v>392</v>
      </c>
      <c r="D227" s="29">
        <f>IFERROR(IFERROR(INDEX(Data!$E$7:$E$422,MATCH('2020'!$C227,Data!$C$7:$C$422,0)),INDEX(Data!$E$7:$E$422,MATCH('2020'!$A227,Data!$C$7:$C$422,0))),0)</f>
        <v>36257</v>
      </c>
      <c r="E227" s="29">
        <v>44481</v>
      </c>
      <c r="F227" s="29" t="s">
        <v>5</v>
      </c>
    </row>
    <row r="228" spans="2:6" x14ac:dyDescent="0.25">
      <c r="B228">
        <v>207</v>
      </c>
      <c r="C228" t="s">
        <v>393</v>
      </c>
      <c r="D228" s="29">
        <f>IFERROR(IFERROR(INDEX(Data!$E$7:$E$422,MATCH('2020'!$C228,Data!$C$7:$C$422,0)),INDEX(Data!$E$7:$E$422,MATCH('2020'!$A228,Data!$C$7:$C$422,0))),0)</f>
        <v>10095</v>
      </c>
      <c r="E228" s="29">
        <v>10367</v>
      </c>
      <c r="F228" s="29" t="s">
        <v>5</v>
      </c>
    </row>
    <row r="229" spans="2:6" x14ac:dyDescent="0.25">
      <c r="B229">
        <v>208</v>
      </c>
      <c r="C229" t="s">
        <v>394</v>
      </c>
      <c r="D229" s="29">
        <f>IFERROR(IFERROR(INDEX(Data!$E$7:$E$422,MATCH('2020'!$C229,Data!$C$7:$C$422,0)),INDEX(Data!$E$7:$E$422,MATCH('2020'!$A229,Data!$C$7:$C$422,0))),0)</f>
        <v>36779</v>
      </c>
      <c r="E229" s="29">
        <v>36427</v>
      </c>
      <c r="F229" s="29" t="s">
        <v>5</v>
      </c>
    </row>
    <row r="230" spans="2:6" x14ac:dyDescent="0.25">
      <c r="B230">
        <v>209</v>
      </c>
      <c r="C230" t="s">
        <v>395</v>
      </c>
      <c r="D230" s="29">
        <f>IFERROR(IFERROR(INDEX(Data!$E$7:$E$422,MATCH('2020'!$C230,Data!$C$7:$C$422,0)),INDEX(Data!$E$7:$E$422,MATCH('2020'!$A230,Data!$C$7:$C$422,0))),0)</f>
        <v>36455</v>
      </c>
      <c r="E230" s="29">
        <v>34998</v>
      </c>
      <c r="F230" s="29" t="s">
        <v>5</v>
      </c>
    </row>
    <row r="231" spans="2:6" x14ac:dyDescent="0.25">
      <c r="B231">
        <v>210</v>
      </c>
      <c r="C231" t="s">
        <v>396</v>
      </c>
      <c r="D231" s="29">
        <f>IFERROR(IFERROR(INDEX(Data!$E$7:$E$422,MATCH('2020'!$C231,Data!$C$7:$C$422,0)),INDEX(Data!$E$7:$E$422,MATCH('2020'!$A231,Data!$C$7:$C$422,0))),0)</f>
        <v>35861</v>
      </c>
      <c r="E231" s="29">
        <v>30974</v>
      </c>
      <c r="F231" s="29" t="s">
        <v>5</v>
      </c>
    </row>
    <row r="232" spans="2:6" x14ac:dyDescent="0.25">
      <c r="B232">
        <v>211</v>
      </c>
      <c r="C232" t="s">
        <v>397</v>
      </c>
      <c r="D232" s="29">
        <f>IFERROR(IFERROR(INDEX(Data!$E$7:$E$422,MATCH('2020'!$C232,Data!$C$7:$C$422,0)),INDEX(Data!$E$7:$E$422,MATCH('2020'!$A232,Data!$C$7:$C$422,0))),0)</f>
        <v>59066</v>
      </c>
      <c r="E232" s="29">
        <v>58277</v>
      </c>
      <c r="F232" s="29" t="s">
        <v>5</v>
      </c>
    </row>
    <row r="233" spans="2:6" x14ac:dyDescent="0.25">
      <c r="B233">
        <v>212</v>
      </c>
      <c r="C233" t="s">
        <v>398</v>
      </c>
      <c r="D233" s="29">
        <f>IFERROR(IFERROR(INDEX(Data!$E$7:$E$422,MATCH('2020'!$C233,Data!$C$7:$C$422,0)),INDEX(Data!$E$7:$E$422,MATCH('2020'!$A233,Data!$C$7:$C$422,0))),0)</f>
        <v>21982</v>
      </c>
      <c r="E233" s="29">
        <v>22373</v>
      </c>
      <c r="F233" s="29" t="s">
        <v>5</v>
      </c>
    </row>
    <row r="234" spans="2:6" x14ac:dyDescent="0.25">
      <c r="B234">
        <v>213</v>
      </c>
      <c r="C234" t="s">
        <v>399</v>
      </c>
      <c r="D234" s="29">
        <f>IFERROR(IFERROR(INDEX(Data!$E$7:$E$422,MATCH('2020'!$C234,Data!$C$7:$C$422,0)),INDEX(Data!$E$7:$E$422,MATCH('2020'!$A234,Data!$C$7:$C$422,0))),0)</f>
        <v>47099</v>
      </c>
      <c r="E234" s="29">
        <v>45629</v>
      </c>
      <c r="F234" s="29" t="s">
        <v>5</v>
      </c>
    </row>
    <row r="235" spans="2:6" x14ac:dyDescent="0.25">
      <c r="B235">
        <v>214</v>
      </c>
      <c r="C235" t="s">
        <v>400</v>
      </c>
      <c r="D235" s="29">
        <f>IFERROR(IFERROR(INDEX(Data!$E$7:$E$422,MATCH('2020'!$C235,Data!$C$7:$C$422,0)),INDEX(Data!$E$7:$E$422,MATCH('2020'!$A235,Data!$C$7:$C$422,0))),0)</f>
        <v>8579</v>
      </c>
      <c r="E235" s="29">
        <v>8040</v>
      </c>
      <c r="F235" s="29" t="s">
        <v>5</v>
      </c>
    </row>
    <row r="236" spans="2:6" x14ac:dyDescent="0.25">
      <c r="B236">
        <v>215</v>
      </c>
      <c r="C236" t="s">
        <v>401</v>
      </c>
      <c r="D236" s="29">
        <f>IFERROR(IFERROR(INDEX(Data!$E$7:$E$422,MATCH('2020'!$C236,Data!$C$7:$C$422,0)),INDEX(Data!$E$7:$E$422,MATCH('2020'!$A236,Data!$C$7:$C$422,0))),0)</f>
        <v>68123</v>
      </c>
      <c r="E236" s="29">
        <v>61816</v>
      </c>
      <c r="F236" s="29" t="s">
        <v>5</v>
      </c>
    </row>
    <row r="237" spans="2:6" x14ac:dyDescent="0.25">
      <c r="B237">
        <v>216</v>
      </c>
      <c r="C237" t="s">
        <v>402</v>
      </c>
      <c r="D237" s="29">
        <f>IFERROR(IFERROR(INDEX(Data!$E$7:$E$422,MATCH('2020'!$C237,Data!$C$7:$C$422,0)),INDEX(Data!$E$7:$E$422,MATCH('2020'!$A237,Data!$C$7:$C$422,0))),0)</f>
        <v>158674</v>
      </c>
      <c r="E237" s="29">
        <v>137340</v>
      </c>
      <c r="F237" s="29" t="s">
        <v>5</v>
      </c>
    </row>
    <row r="238" spans="2:6" x14ac:dyDescent="0.25">
      <c r="B238">
        <v>217</v>
      </c>
      <c r="C238" t="s">
        <v>403</v>
      </c>
      <c r="D238" s="29">
        <f>IFERROR(IFERROR(INDEX(Data!$E$7:$E$422,MATCH('2020'!$C238,Data!$C$7:$C$422,0)),INDEX(Data!$E$7:$E$422,MATCH('2020'!$A238,Data!$C$7:$C$422,0))),0)</f>
        <v>13340</v>
      </c>
      <c r="E238" s="29">
        <v>11995</v>
      </c>
      <c r="F238" s="29" t="s">
        <v>5</v>
      </c>
    </row>
    <row r="239" spans="2:6" x14ac:dyDescent="0.25">
      <c r="B239">
        <v>218</v>
      </c>
      <c r="C239" t="s">
        <v>404</v>
      </c>
      <c r="D239" s="29">
        <f>IFERROR(IFERROR(INDEX(Data!$E$7:$E$422,MATCH('2020'!$C239,Data!$C$7:$C$422,0)),INDEX(Data!$E$7:$E$422,MATCH('2020'!$A239,Data!$C$7:$C$422,0))),0)</f>
        <v>43090</v>
      </c>
      <c r="E239" s="29">
        <v>34188</v>
      </c>
      <c r="F239" s="29" t="s">
        <v>5</v>
      </c>
    </row>
    <row r="240" spans="2:6" x14ac:dyDescent="0.25">
      <c r="B240">
        <v>219</v>
      </c>
      <c r="C240" t="s">
        <v>405</v>
      </c>
      <c r="D240" s="29">
        <f>IFERROR(IFERROR(INDEX(Data!$E$7:$E$422,MATCH('2020'!$C240,Data!$C$7:$C$422,0)),INDEX(Data!$E$7:$E$422,MATCH('2020'!$A240,Data!$C$7:$C$422,0))),0)</f>
        <v>29737</v>
      </c>
      <c r="E240" s="29">
        <v>28362</v>
      </c>
      <c r="F240" s="29" t="s">
        <v>5</v>
      </c>
    </row>
    <row r="241" spans="1:6" x14ac:dyDescent="0.25">
      <c r="B241">
        <v>220</v>
      </c>
      <c r="C241" t="s">
        <v>406</v>
      </c>
      <c r="D241" s="29">
        <f>IFERROR(IFERROR(INDEX(Data!$E$7:$E$422,MATCH('2020'!$C241,Data!$C$7:$C$422,0)),INDEX(Data!$E$7:$E$422,MATCH('2020'!$A241,Data!$C$7:$C$422,0))),0)</f>
        <v>40644</v>
      </c>
      <c r="E241" s="29">
        <v>40242</v>
      </c>
      <c r="F241" s="29" t="s">
        <v>5</v>
      </c>
    </row>
    <row r="242" spans="1:6" x14ac:dyDescent="0.25">
      <c r="B242">
        <v>221</v>
      </c>
      <c r="C242" t="s">
        <v>407</v>
      </c>
      <c r="D242" s="29">
        <f>IFERROR(IFERROR(INDEX(Data!$E$7:$E$422,MATCH('2020'!$C242,Data!$C$7:$C$422,0)),INDEX(Data!$E$7:$E$422,MATCH('2020'!$A242,Data!$C$7:$C$422,0))),0)</f>
        <v>12301</v>
      </c>
      <c r="E242" s="29">
        <v>13109</v>
      </c>
      <c r="F242" s="29" t="s">
        <v>5</v>
      </c>
    </row>
    <row r="243" spans="1:6" x14ac:dyDescent="0.25">
      <c r="B243">
        <v>222</v>
      </c>
      <c r="C243" t="s">
        <v>408</v>
      </c>
      <c r="D243" s="29">
        <f>IFERROR(IFERROR(INDEX(Data!$E$7:$E$422,MATCH('2020'!$C243,Data!$C$7:$C$422,0)),INDEX(Data!$E$7:$E$422,MATCH('2020'!$A243,Data!$C$7:$C$422,0))),0)</f>
        <v>11851</v>
      </c>
      <c r="E243" s="29">
        <v>9423</v>
      </c>
      <c r="F243" s="29" t="s">
        <v>5</v>
      </c>
    </row>
    <row r="244" spans="1:6" x14ac:dyDescent="0.25">
      <c r="B244">
        <v>223</v>
      </c>
      <c r="C244" t="s">
        <v>409</v>
      </c>
      <c r="D244" s="29">
        <f>IFERROR(IFERROR(INDEX(Data!$E$7:$E$422,MATCH('2020'!$C244,Data!$C$7:$C$422,0)),INDEX(Data!$E$7:$E$422,MATCH('2020'!$A244,Data!$C$7:$C$422,0))),0)</f>
        <v>25072</v>
      </c>
      <c r="E244" s="29">
        <v>20805</v>
      </c>
      <c r="F244" s="29" t="s">
        <v>5</v>
      </c>
    </row>
    <row r="245" spans="1:6" x14ac:dyDescent="0.25">
      <c r="B245">
        <v>224</v>
      </c>
      <c r="C245" t="s">
        <v>410</v>
      </c>
      <c r="D245" s="29">
        <f>IFERROR(IFERROR(INDEX(Data!$E$7:$E$422,MATCH('2020'!$C245,Data!$C$7:$C$422,0)),INDEX(Data!$E$7:$E$422,MATCH('2020'!$A245,Data!$C$7:$C$422,0))),0)</f>
        <v>31882</v>
      </c>
      <c r="E245" s="29">
        <v>32298</v>
      </c>
      <c r="F245" s="29" t="s">
        <v>5</v>
      </c>
    </row>
    <row r="246" spans="1:6" x14ac:dyDescent="0.25">
      <c r="B246">
        <v>225</v>
      </c>
      <c r="C246" t="s">
        <v>411</v>
      </c>
      <c r="D246" s="29">
        <f>IFERROR(IFERROR(INDEX(Data!$E$7:$E$422,MATCH('2020'!$C246,Data!$C$7:$C$422,0)),INDEX(Data!$E$7:$E$422,MATCH('2020'!$A246,Data!$C$7:$C$422,0))),0)</f>
        <v>45817</v>
      </c>
      <c r="E246" s="29">
        <v>39802</v>
      </c>
      <c r="F246" s="29" t="s">
        <v>5</v>
      </c>
    </row>
    <row r="247" spans="1:6" x14ac:dyDescent="0.25">
      <c r="B247">
        <v>226</v>
      </c>
      <c r="C247" t="s">
        <v>412</v>
      </c>
      <c r="D247" s="29">
        <f>IFERROR(IFERROR(INDEX(Data!$E$7:$E$422,MATCH('2020'!$C247,Data!$C$7:$C$422,0)),INDEX(Data!$E$7:$E$422,MATCH('2020'!$A247,Data!$C$7:$C$422,0))),0)</f>
        <v>29935</v>
      </c>
      <c r="E247" s="29">
        <v>29293</v>
      </c>
      <c r="F247" s="29" t="s">
        <v>5</v>
      </c>
    </row>
    <row r="248" spans="1:6" x14ac:dyDescent="0.25">
      <c r="B248">
        <v>227</v>
      </c>
      <c r="C248" t="s">
        <v>413</v>
      </c>
      <c r="D248" s="29">
        <f>IFERROR(IFERROR(INDEX(Data!$E$7:$E$422,MATCH('2020'!$C248,Data!$C$7:$C$422,0)),INDEX(Data!$E$7:$E$422,MATCH('2020'!$A248,Data!$C$7:$C$422,0))),0)</f>
        <v>21335</v>
      </c>
      <c r="E248" s="29">
        <v>20228</v>
      </c>
      <c r="F248" s="29" t="s">
        <v>5</v>
      </c>
    </row>
    <row r="249" spans="1:6" x14ac:dyDescent="0.25">
      <c r="B249">
        <v>228</v>
      </c>
      <c r="C249" t="s">
        <v>414</v>
      </c>
      <c r="D249" s="29">
        <f>IFERROR(IFERROR(INDEX(Data!$E$7:$E$422,MATCH('2020'!$C249,Data!$C$7:$C$422,0)),INDEX(Data!$E$7:$E$422,MATCH('2020'!$A249,Data!$C$7:$C$422,0))),0)</f>
        <v>19504</v>
      </c>
      <c r="E249" s="29">
        <v>21083</v>
      </c>
      <c r="F249" s="29" t="s">
        <v>5</v>
      </c>
    </row>
    <row r="250" spans="1:6" x14ac:dyDescent="0.25">
      <c r="A250" t="s">
        <v>648</v>
      </c>
      <c r="B250">
        <v>229</v>
      </c>
      <c r="C250" t="s">
        <v>415</v>
      </c>
      <c r="D250" s="29">
        <f>IFERROR(IFERROR(INDEX(Data!$E$7:$E$422,MATCH('2020'!$C250,Data!$C$7:$C$422,0)),INDEX(Data!$E$7:$E$422,MATCH('2020'!$A250,Data!$C$7:$C$422,0))),0)</f>
        <v>60813</v>
      </c>
      <c r="E250" s="29">
        <v>48086</v>
      </c>
      <c r="F250" s="29" t="s">
        <v>5</v>
      </c>
    </row>
    <row r="251" spans="1:6" x14ac:dyDescent="0.25">
      <c r="B251">
        <v>230</v>
      </c>
      <c r="C251" t="s">
        <v>416</v>
      </c>
      <c r="D251" s="29">
        <f>IFERROR(IFERROR(INDEX(Data!$E$7:$E$422,MATCH('2020'!$C251,Data!$C$7:$C$422,0)),INDEX(Data!$E$7:$E$422,MATCH('2020'!$A251,Data!$C$7:$C$422,0))),0)</f>
        <v>5485</v>
      </c>
      <c r="E251" s="29">
        <v>5718</v>
      </c>
      <c r="F251" s="29" t="s">
        <v>6</v>
      </c>
    </row>
    <row r="252" spans="1:6" x14ac:dyDescent="0.25">
      <c r="B252">
        <v>231</v>
      </c>
      <c r="C252" t="s">
        <v>417</v>
      </c>
      <c r="D252" s="29">
        <f>IFERROR(IFERROR(INDEX(Data!$E$7:$E$422,MATCH('2020'!$C252,Data!$C$7:$C$422,0)),INDEX(Data!$E$7:$E$422,MATCH('2020'!$A252,Data!$C$7:$C$422,0))),0)</f>
        <v>12158</v>
      </c>
      <c r="E252" s="29">
        <v>12666</v>
      </c>
      <c r="F252" s="29" t="s">
        <v>6</v>
      </c>
    </row>
    <row r="253" spans="1:6" x14ac:dyDescent="0.25">
      <c r="B253">
        <v>232</v>
      </c>
      <c r="C253" t="s">
        <v>418</v>
      </c>
      <c r="D253" s="29">
        <f>IFERROR(IFERROR(INDEX(Data!$E$7:$E$422,MATCH('2020'!$C253,Data!$C$7:$C$422,0)),INDEX(Data!$E$7:$E$422,MATCH('2020'!$A253,Data!$C$7:$C$422,0))),0)</f>
        <v>6772</v>
      </c>
      <c r="E253" s="29">
        <v>6661</v>
      </c>
      <c r="F253" s="29" t="s">
        <v>6</v>
      </c>
    </row>
    <row r="254" spans="1:6" x14ac:dyDescent="0.25">
      <c r="B254">
        <v>233</v>
      </c>
      <c r="C254" t="s">
        <v>419</v>
      </c>
      <c r="D254" s="29">
        <f>IFERROR(IFERROR(INDEX(Data!$E$7:$E$422,MATCH('2020'!$C254,Data!$C$7:$C$422,0)),INDEX(Data!$E$7:$E$422,MATCH('2020'!$A254,Data!$C$7:$C$422,0))),0)</f>
        <v>7997</v>
      </c>
      <c r="E254" s="29">
        <v>7255</v>
      </c>
      <c r="F254" s="29" t="s">
        <v>6</v>
      </c>
    </row>
    <row r="255" spans="1:6" x14ac:dyDescent="0.25">
      <c r="B255">
        <v>234</v>
      </c>
      <c r="C255" t="s">
        <v>420</v>
      </c>
      <c r="D255" s="29">
        <f>IFERROR(IFERROR(INDEX(Data!$E$7:$E$422,MATCH('2020'!$C255,Data!$C$7:$C$422,0)),INDEX(Data!$E$7:$E$422,MATCH('2020'!$A255,Data!$C$7:$C$422,0))),0)</f>
        <v>3445</v>
      </c>
      <c r="E255" s="29">
        <v>3295</v>
      </c>
      <c r="F255" s="29" t="s">
        <v>6</v>
      </c>
    </row>
    <row r="256" spans="1:6" x14ac:dyDescent="0.25">
      <c r="B256">
        <v>235</v>
      </c>
      <c r="C256" t="s">
        <v>421</v>
      </c>
      <c r="D256" s="29">
        <f>IFERROR(IFERROR(INDEX(Data!$E$7:$E$422,MATCH('2020'!$C256,Data!$C$7:$C$422,0)),INDEX(Data!$E$7:$E$422,MATCH('2020'!$A256,Data!$C$7:$C$422,0))),0)</f>
        <v>9981</v>
      </c>
      <c r="E256" s="29">
        <v>9721</v>
      </c>
      <c r="F256" s="29" t="s">
        <v>6</v>
      </c>
    </row>
    <row r="257" spans="2:6" x14ac:dyDescent="0.25">
      <c r="B257">
        <v>236</v>
      </c>
      <c r="C257" t="s">
        <v>422</v>
      </c>
      <c r="D257" s="29">
        <f>IFERROR(IFERROR(INDEX(Data!$E$7:$E$422,MATCH('2020'!$C257,Data!$C$7:$C$422,0)),INDEX(Data!$E$7:$E$422,MATCH('2020'!$A257,Data!$C$7:$C$422,0))),0)</f>
        <v>8609</v>
      </c>
      <c r="E257" s="29">
        <v>10926</v>
      </c>
      <c r="F257" s="29" t="s">
        <v>6</v>
      </c>
    </row>
    <row r="258" spans="2:6" x14ac:dyDescent="0.25">
      <c r="B258">
        <v>237</v>
      </c>
      <c r="C258" t="s">
        <v>423</v>
      </c>
      <c r="D258" s="29">
        <f>IFERROR(IFERROR(INDEX(Data!$E$7:$E$422,MATCH('2020'!$C258,Data!$C$7:$C$422,0)),INDEX(Data!$E$7:$E$422,MATCH('2020'!$A258,Data!$C$7:$C$422,0))),0)</f>
        <v>8534</v>
      </c>
      <c r="E258" s="29">
        <v>9147</v>
      </c>
      <c r="F258" s="29" t="s">
        <v>6</v>
      </c>
    </row>
    <row r="259" spans="2:6" x14ac:dyDescent="0.25">
      <c r="B259">
        <v>238</v>
      </c>
      <c r="C259" t="s">
        <v>424</v>
      </c>
      <c r="D259" s="29">
        <f>IFERROR(IFERROR(INDEX(Data!$E$7:$E$422,MATCH('2020'!$C259,Data!$C$7:$C$422,0)),INDEX(Data!$E$7:$E$422,MATCH('2020'!$A259,Data!$C$7:$C$422,0))),0)</f>
        <v>5640</v>
      </c>
      <c r="E259" s="29">
        <v>5329</v>
      </c>
      <c r="F259" s="29" t="s">
        <v>8</v>
      </c>
    </row>
    <row r="260" spans="2:6" x14ac:dyDescent="0.25">
      <c r="B260">
        <v>239</v>
      </c>
      <c r="C260" t="s">
        <v>425</v>
      </c>
      <c r="D260" s="29">
        <f>IFERROR(IFERROR(INDEX(Data!$E$7:$E$422,MATCH('2020'!$C260,Data!$C$7:$C$422,0)),INDEX(Data!$E$7:$E$422,MATCH('2020'!$A260,Data!$C$7:$C$422,0))),0)</f>
        <v>34088</v>
      </c>
      <c r="E260" s="29">
        <v>34562</v>
      </c>
      <c r="F260" s="29" t="s">
        <v>8</v>
      </c>
    </row>
    <row r="261" spans="2:6" x14ac:dyDescent="0.25">
      <c r="B261">
        <v>240</v>
      </c>
      <c r="C261" t="s">
        <v>426</v>
      </c>
      <c r="D261" s="29">
        <f>IFERROR(IFERROR(INDEX(Data!$E$7:$E$422,MATCH('2020'!$C261,Data!$C$7:$C$422,0)),INDEX(Data!$E$7:$E$422,MATCH('2020'!$A261,Data!$C$7:$C$422,0))),0)</f>
        <v>29066</v>
      </c>
      <c r="E261" s="29">
        <v>23280</v>
      </c>
      <c r="F261" s="29" t="s">
        <v>8</v>
      </c>
    </row>
    <row r="262" spans="2:6" x14ac:dyDescent="0.25">
      <c r="B262">
        <v>241</v>
      </c>
      <c r="C262" t="s">
        <v>427</v>
      </c>
      <c r="D262" s="29">
        <f>IFERROR(IFERROR(INDEX(Data!$E$7:$E$422,MATCH('2020'!$C262,Data!$C$7:$C$422,0)),INDEX(Data!$E$7:$E$422,MATCH('2020'!$A262,Data!$C$7:$C$422,0))),0)</f>
        <v>66374</v>
      </c>
      <c r="E262" s="29">
        <v>52927</v>
      </c>
      <c r="F262" s="29" t="s">
        <v>8</v>
      </c>
    </row>
    <row r="263" spans="2:6" x14ac:dyDescent="0.25">
      <c r="B263">
        <v>242</v>
      </c>
      <c r="C263" t="s">
        <v>428</v>
      </c>
      <c r="D263" s="29">
        <f>IFERROR(IFERROR(INDEX(Data!$E$7:$E$422,MATCH('2020'!$C263,Data!$C$7:$C$422,0)),INDEX(Data!$E$7:$E$422,MATCH('2020'!$A263,Data!$C$7:$C$422,0))),0)</f>
        <v>20555</v>
      </c>
      <c r="E263" s="29">
        <v>21772</v>
      </c>
      <c r="F263" s="29" t="s">
        <v>8</v>
      </c>
    </row>
    <row r="264" spans="2:6" x14ac:dyDescent="0.25">
      <c r="B264">
        <v>243</v>
      </c>
      <c r="C264" t="s">
        <v>429</v>
      </c>
      <c r="D264" s="29">
        <f>IFERROR(IFERROR(INDEX(Data!$E$7:$E$422,MATCH('2020'!$C264,Data!$C$7:$C$422,0)),INDEX(Data!$E$7:$E$422,MATCH('2020'!$A264,Data!$C$7:$C$422,0))),0)</f>
        <v>4872</v>
      </c>
      <c r="E264" s="29">
        <v>4302</v>
      </c>
      <c r="F264" s="29" t="s">
        <v>8</v>
      </c>
    </row>
    <row r="265" spans="2:6" x14ac:dyDescent="0.25">
      <c r="B265">
        <v>244</v>
      </c>
      <c r="C265" t="s">
        <v>430</v>
      </c>
      <c r="D265" s="29">
        <f>IFERROR(IFERROR(INDEX(Data!$E$7:$E$422,MATCH('2020'!$C265,Data!$C$7:$C$422,0)),INDEX(Data!$E$7:$E$422,MATCH('2020'!$A265,Data!$C$7:$C$422,0))),0)</f>
        <v>13644</v>
      </c>
      <c r="E265" s="29">
        <v>14790</v>
      </c>
      <c r="F265" s="29" t="s">
        <v>8</v>
      </c>
    </row>
    <row r="266" spans="2:6" x14ac:dyDescent="0.25">
      <c r="B266">
        <v>245</v>
      </c>
      <c r="C266" t="s">
        <v>431</v>
      </c>
      <c r="D266" s="29">
        <f>IFERROR(IFERROR(INDEX(Data!$E$7:$E$422,MATCH('2020'!$C266,Data!$C$7:$C$422,0)),INDEX(Data!$E$7:$E$422,MATCH('2020'!$A266,Data!$C$7:$C$422,0))),0)</f>
        <v>5940</v>
      </c>
      <c r="E266" s="29">
        <v>4946</v>
      </c>
      <c r="F266" s="29" t="s">
        <v>8</v>
      </c>
    </row>
    <row r="267" spans="2:6" x14ac:dyDescent="0.25">
      <c r="B267">
        <v>246</v>
      </c>
      <c r="C267" t="s">
        <v>432</v>
      </c>
      <c r="D267" s="29">
        <f>IFERROR(IFERROR(INDEX(Data!$E$7:$E$422,MATCH('2020'!$C267,Data!$C$7:$C$422,0)),INDEX(Data!$E$7:$E$422,MATCH('2020'!$A267,Data!$C$7:$C$422,0))),0)</f>
        <v>71242</v>
      </c>
      <c r="E267" s="29">
        <v>67740</v>
      </c>
      <c r="F267" s="29" t="s">
        <v>8</v>
      </c>
    </row>
    <row r="268" spans="2:6" x14ac:dyDescent="0.25">
      <c r="B268">
        <v>247</v>
      </c>
      <c r="C268" t="s">
        <v>433</v>
      </c>
      <c r="D268" s="29">
        <f>IFERROR(IFERROR(INDEX(Data!$E$7:$E$422,MATCH('2020'!$C268,Data!$C$7:$C$422,0)),INDEX(Data!$E$7:$E$422,MATCH('2020'!$A268,Data!$C$7:$C$422,0))),0)</f>
        <v>2931</v>
      </c>
      <c r="E268" s="29">
        <v>2876</v>
      </c>
      <c r="F268" s="29" t="s">
        <v>8</v>
      </c>
    </row>
    <row r="269" spans="2:6" x14ac:dyDescent="0.25">
      <c r="B269">
        <v>248</v>
      </c>
      <c r="C269" t="s">
        <v>434</v>
      </c>
      <c r="D269" s="29">
        <f>IFERROR(IFERROR(INDEX(Data!$E$7:$E$422,MATCH('2020'!$C269,Data!$C$7:$C$422,0)),INDEX(Data!$E$7:$E$422,MATCH('2020'!$A269,Data!$C$7:$C$422,0))),0)</f>
        <v>310981</v>
      </c>
      <c r="E269" s="29">
        <v>728755</v>
      </c>
      <c r="F269" s="29" t="s">
        <v>9</v>
      </c>
    </row>
    <row r="270" spans="2:6" x14ac:dyDescent="0.25">
      <c r="B270">
        <v>249</v>
      </c>
      <c r="C270" t="s">
        <v>435</v>
      </c>
      <c r="D270" s="29">
        <f>IFERROR(IFERROR(INDEX(Data!$E$7:$E$422,MATCH('2020'!$C270,Data!$C$7:$C$422,0)),INDEX(Data!$E$7:$E$422,MATCH('2020'!$A270,Data!$C$7:$C$422,0))),0)</f>
        <v>13852</v>
      </c>
      <c r="E270" s="29">
        <v>12988</v>
      </c>
      <c r="F270" s="29" t="s">
        <v>9</v>
      </c>
    </row>
    <row r="271" spans="2:6" x14ac:dyDescent="0.25">
      <c r="B271">
        <v>250</v>
      </c>
      <c r="C271" t="s">
        <v>436</v>
      </c>
      <c r="D271" s="29">
        <f>IFERROR(IFERROR(INDEX(Data!$E$7:$E$422,MATCH('2020'!$C271,Data!$C$7:$C$422,0)),INDEX(Data!$E$7:$E$422,MATCH('2020'!$A271,Data!$C$7:$C$422,0))),0)</f>
        <v>12024</v>
      </c>
      <c r="E271" s="29">
        <v>10039</v>
      </c>
      <c r="F271" s="29" t="s">
        <v>9</v>
      </c>
    </row>
    <row r="272" spans="2:6" x14ac:dyDescent="0.25">
      <c r="B272">
        <v>251</v>
      </c>
      <c r="C272" t="s">
        <v>437</v>
      </c>
      <c r="D272" s="29">
        <f>IFERROR(IFERROR(INDEX(Data!$E$7:$E$422,MATCH('2020'!$C272,Data!$C$7:$C$422,0)),INDEX(Data!$E$7:$E$422,MATCH('2020'!$A272,Data!$C$7:$C$422,0))),0)</f>
        <v>17259</v>
      </c>
      <c r="E272" s="29">
        <v>23731</v>
      </c>
      <c r="F272" s="29" t="s">
        <v>9</v>
      </c>
    </row>
    <row r="273" spans="2:7" x14ac:dyDescent="0.25">
      <c r="B273">
        <v>252</v>
      </c>
      <c r="C273" s="30" t="s">
        <v>438</v>
      </c>
      <c r="D273" s="29">
        <f>IFERROR(IFERROR(INDEX(Data!$E$7:$E$422,MATCH('2020'!$C273,Data!$C$7:$C$422,0)),INDEX(Data!$E$7:$E$422,MATCH('2020'!$A273,Data!$C$7:$C$422,0))),0)</f>
        <v>37875</v>
      </c>
      <c r="E273" s="29">
        <v>42533</v>
      </c>
      <c r="F273" s="29" t="s">
        <v>35</v>
      </c>
      <c r="G273" t="s">
        <v>611</v>
      </c>
    </row>
    <row r="274" spans="2:7" x14ac:dyDescent="0.25">
      <c r="B274">
        <v>253</v>
      </c>
      <c r="C274" s="30" t="s">
        <v>439</v>
      </c>
      <c r="D274" s="29">
        <f>IFERROR(IFERROR(INDEX(Data!$E$7:$E$422,MATCH('2020'!$C274,Data!$C$7:$C$422,0)),INDEX(Data!$E$7:$E$422,MATCH('2020'!$A274,Data!$C$7:$C$422,0))),0)</f>
        <v>10458</v>
      </c>
      <c r="E274" s="29">
        <v>7754</v>
      </c>
      <c r="F274" s="29" t="s">
        <v>35</v>
      </c>
      <c r="G274" t="s">
        <v>611</v>
      </c>
    </row>
    <row r="275" spans="2:7" x14ac:dyDescent="0.25">
      <c r="B275">
        <v>254</v>
      </c>
      <c r="C275" s="30" t="s">
        <v>440</v>
      </c>
      <c r="D275" s="29">
        <f>IFERROR(IFERROR(INDEX(Data!$E$7:$E$422,MATCH('2020'!$C275,Data!$C$7:$C$422,0)),INDEX(Data!$E$7:$E$422,MATCH('2020'!$A275,Data!$C$7:$C$422,0))),0)</f>
        <v>5492</v>
      </c>
      <c r="E275" s="29">
        <v>6485</v>
      </c>
      <c r="F275" s="29" t="s">
        <v>35</v>
      </c>
      <c r="G275" t="s">
        <v>611</v>
      </c>
    </row>
    <row r="276" spans="2:7" x14ac:dyDescent="0.25">
      <c r="B276">
        <v>255</v>
      </c>
      <c r="C276" s="30" t="s">
        <v>441</v>
      </c>
      <c r="D276" s="29">
        <f>IFERROR(IFERROR(INDEX(Data!$E$7:$E$422,MATCH('2020'!$C276,Data!$C$7:$C$422,0)),INDEX(Data!$E$7:$E$422,MATCH('2020'!$A276,Data!$C$7:$C$422,0))),0)</f>
        <v>29807</v>
      </c>
      <c r="E276" s="29">
        <v>30882</v>
      </c>
      <c r="F276" s="29" t="s">
        <v>35</v>
      </c>
      <c r="G276" t="s">
        <v>611</v>
      </c>
    </row>
    <row r="277" spans="2:7" x14ac:dyDescent="0.25">
      <c r="B277">
        <v>256</v>
      </c>
      <c r="C277" s="30" t="s">
        <v>442</v>
      </c>
      <c r="D277" s="29">
        <f>IFERROR(IFERROR(INDEX(Data!$E$7:$E$422,MATCH('2020'!$C277,Data!$C$7:$C$422,0)),INDEX(Data!$E$7:$E$422,MATCH('2020'!$A277,Data!$C$7:$C$422,0))),0)</f>
        <v>95835</v>
      </c>
      <c r="E277" s="29">
        <v>94610</v>
      </c>
      <c r="F277" s="29" t="s">
        <v>35</v>
      </c>
      <c r="G277" t="s">
        <v>611</v>
      </c>
    </row>
    <row r="278" spans="2:7" x14ac:dyDescent="0.25">
      <c r="B278">
        <v>257</v>
      </c>
      <c r="C278" s="30" t="s">
        <v>443</v>
      </c>
      <c r="D278" s="29">
        <f>IFERROR(IFERROR(INDEX(Data!$E$7:$E$422,MATCH('2020'!$C278,Data!$C$7:$C$422,0)),INDEX(Data!$E$7:$E$422,MATCH('2020'!$A278,Data!$C$7:$C$422,0))),0)</f>
        <v>77426</v>
      </c>
      <c r="E278" s="29">
        <v>66433</v>
      </c>
      <c r="F278" s="29" t="s">
        <v>35</v>
      </c>
      <c r="G278" t="s">
        <v>611</v>
      </c>
    </row>
    <row r="279" spans="2:7" x14ac:dyDescent="0.25">
      <c r="B279">
        <v>258</v>
      </c>
      <c r="C279" s="30" t="s">
        <v>444</v>
      </c>
      <c r="D279" s="29">
        <f>IFERROR(IFERROR(INDEX(Data!$E$7:$E$422,MATCH('2020'!$C279,Data!$C$7:$C$422,0)),INDEX(Data!$E$7:$E$422,MATCH('2020'!$A279,Data!$C$7:$C$422,0))),0)</f>
        <v>11563</v>
      </c>
      <c r="E279" s="29">
        <v>12798</v>
      </c>
      <c r="F279" s="29" t="s">
        <v>35</v>
      </c>
      <c r="G279" t="s">
        <v>611</v>
      </c>
    </row>
    <row r="280" spans="2:7" x14ac:dyDescent="0.25">
      <c r="B280">
        <v>259</v>
      </c>
      <c r="C280" s="36" t="s">
        <v>445</v>
      </c>
      <c r="D280" s="29">
        <f>IFERROR(IFERROR(INDEX(Data!$E$7:$E$422,MATCH('2020'!$C280,Data!$C$7:$C$422,0)),INDEX(Data!$E$7:$E$422,MATCH('2020'!$A280,Data!$C$7:$C$422,0))),0)</f>
        <v>17738</v>
      </c>
      <c r="E280" s="29">
        <v>17406</v>
      </c>
      <c r="F280" s="29" t="s">
        <v>36</v>
      </c>
      <c r="G280" t="s">
        <v>612</v>
      </c>
    </row>
    <row r="281" spans="2:7" x14ac:dyDescent="0.25">
      <c r="B281">
        <v>260</v>
      </c>
      <c r="C281" s="36" t="s">
        <v>446</v>
      </c>
      <c r="D281" s="29">
        <f>IFERROR(IFERROR(INDEX(Data!$E$7:$E$422,MATCH('2020'!$C281,Data!$C$7:$C$422,0)),INDEX(Data!$E$7:$E$422,MATCH('2020'!$A281,Data!$C$7:$C$422,0))),0)</f>
        <v>210397</v>
      </c>
      <c r="E281" s="29">
        <v>163234</v>
      </c>
      <c r="F281" s="29" t="s">
        <v>36</v>
      </c>
      <c r="G281" t="s">
        <v>612</v>
      </c>
    </row>
    <row r="282" spans="2:7" x14ac:dyDescent="0.25">
      <c r="B282">
        <v>261</v>
      </c>
      <c r="C282" s="36" t="s">
        <v>447</v>
      </c>
      <c r="D282" s="29">
        <f>IFERROR(IFERROR(INDEX(Data!$E$7:$E$422,MATCH('2020'!$C282,Data!$C$7:$C$422,0)),INDEX(Data!$E$7:$E$422,MATCH('2020'!$A282,Data!$C$7:$C$422,0))),0)</f>
        <v>20497</v>
      </c>
      <c r="E282" s="29">
        <v>19172</v>
      </c>
      <c r="F282" s="29" t="s">
        <v>36</v>
      </c>
      <c r="G282" t="s">
        <v>612</v>
      </c>
    </row>
    <row r="283" spans="2:7" x14ac:dyDescent="0.25">
      <c r="B283">
        <v>262</v>
      </c>
      <c r="C283" s="36" t="s">
        <v>448</v>
      </c>
      <c r="D283" s="29">
        <f>IFERROR(IFERROR(INDEX(Data!$E$7:$E$422,MATCH('2020'!$C283,Data!$C$7:$C$422,0)),INDEX(Data!$E$7:$E$422,MATCH('2020'!$A283,Data!$C$7:$C$422,0))),0)</f>
        <v>48286</v>
      </c>
      <c r="E283" s="29">
        <v>41120</v>
      </c>
      <c r="F283" s="29" t="s">
        <v>36</v>
      </c>
      <c r="G283" t="s">
        <v>612</v>
      </c>
    </row>
    <row r="284" spans="2:7" x14ac:dyDescent="0.25">
      <c r="B284">
        <v>263</v>
      </c>
      <c r="C284" s="30" t="s">
        <v>449</v>
      </c>
      <c r="D284" s="29">
        <f>IFERROR(IFERROR(INDEX(Data!$E$7:$E$422,MATCH('2020'!$C284,Data!$C$7:$C$422,0)),INDEX(Data!$E$7:$E$422,MATCH('2020'!$A284,Data!$C$7:$C$422,0))),0)</f>
        <v>20247</v>
      </c>
      <c r="E284" s="29">
        <v>22543</v>
      </c>
      <c r="F284" s="29" t="s">
        <v>35</v>
      </c>
      <c r="G284" t="s">
        <v>611</v>
      </c>
    </row>
    <row r="285" spans="2:7" x14ac:dyDescent="0.25">
      <c r="B285">
        <v>264</v>
      </c>
      <c r="C285" s="30" t="s">
        <v>450</v>
      </c>
      <c r="D285" s="29">
        <f>IFERROR(IFERROR(INDEX(Data!$E$7:$E$422,MATCH('2020'!$C285,Data!$C$7:$C$422,0)),INDEX(Data!$E$7:$E$422,MATCH('2020'!$A285,Data!$C$7:$C$422,0))),0)</f>
        <v>14840</v>
      </c>
      <c r="E285" s="29">
        <v>14071</v>
      </c>
      <c r="F285" s="29" t="s">
        <v>35</v>
      </c>
      <c r="G285" t="s">
        <v>611</v>
      </c>
    </row>
    <row r="286" spans="2:7" x14ac:dyDescent="0.25">
      <c r="B286">
        <v>265</v>
      </c>
      <c r="C286" s="30" t="s">
        <v>451</v>
      </c>
      <c r="D286" s="29">
        <f>IFERROR(IFERROR(INDEX(Data!$E$7:$E$422,MATCH('2020'!$C286,Data!$C$7:$C$422,0)),INDEX(Data!$E$7:$E$422,MATCH('2020'!$A286,Data!$C$7:$C$422,0))),0)</f>
        <v>26480</v>
      </c>
      <c r="E286" s="29">
        <v>24701</v>
      </c>
      <c r="F286" s="29" t="s">
        <v>35</v>
      </c>
      <c r="G286" t="s">
        <v>611</v>
      </c>
    </row>
    <row r="287" spans="2:7" x14ac:dyDescent="0.25">
      <c r="B287">
        <v>266</v>
      </c>
      <c r="C287" s="30" t="s">
        <v>452</v>
      </c>
      <c r="D287" s="29">
        <f>IFERROR(IFERROR(INDEX(Data!$E$7:$E$422,MATCH('2020'!$C287,Data!$C$7:$C$422,0)),INDEX(Data!$E$7:$E$422,MATCH('2020'!$A287,Data!$C$7:$C$422,0))),0)</f>
        <v>13988</v>
      </c>
      <c r="E287" s="29">
        <v>14018</v>
      </c>
      <c r="F287" s="29" t="s">
        <v>35</v>
      </c>
      <c r="G287" t="s">
        <v>611</v>
      </c>
    </row>
    <row r="288" spans="2:7" x14ac:dyDescent="0.25">
      <c r="B288">
        <v>267</v>
      </c>
      <c r="C288" s="30" t="s">
        <v>453</v>
      </c>
      <c r="D288" s="29">
        <f>IFERROR(IFERROR(INDEX(Data!$E$7:$E$422,MATCH('2020'!$C288,Data!$C$7:$C$422,0)),INDEX(Data!$E$7:$E$422,MATCH('2020'!$A288,Data!$C$7:$C$422,0))),0)</f>
        <v>40037</v>
      </c>
      <c r="E288" s="29">
        <v>40825</v>
      </c>
      <c r="F288" s="29" t="s">
        <v>35</v>
      </c>
      <c r="G288" t="s">
        <v>611</v>
      </c>
    </row>
    <row r="289" spans="2:7" x14ac:dyDescent="0.25">
      <c r="B289">
        <v>268</v>
      </c>
      <c r="C289" s="30" t="s">
        <v>454</v>
      </c>
      <c r="D289" s="29">
        <f>IFERROR(IFERROR(INDEX(Data!$E$7:$E$422,MATCH('2020'!$C289,Data!$C$7:$C$422,0)),INDEX(Data!$E$7:$E$422,MATCH('2020'!$A289,Data!$C$7:$C$422,0))),0)</f>
        <v>42702</v>
      </c>
      <c r="E289" s="29">
        <v>47595</v>
      </c>
      <c r="F289" s="29" t="s">
        <v>35</v>
      </c>
      <c r="G289" t="s">
        <v>611</v>
      </c>
    </row>
    <row r="290" spans="2:7" x14ac:dyDescent="0.25">
      <c r="B290">
        <v>269</v>
      </c>
      <c r="C290" s="30" t="s">
        <v>455</v>
      </c>
      <c r="D290" s="29">
        <f>IFERROR(IFERROR(INDEX(Data!$E$7:$E$422,MATCH('2020'!$C290,Data!$C$7:$C$422,0)),INDEX(Data!$E$7:$E$422,MATCH('2020'!$A290,Data!$C$7:$C$422,0))),0)</f>
        <v>4324</v>
      </c>
      <c r="E290" s="29">
        <v>3896</v>
      </c>
      <c r="F290" s="29" t="s">
        <v>35</v>
      </c>
      <c r="G290" t="s">
        <v>611</v>
      </c>
    </row>
    <row r="291" spans="2:7" x14ac:dyDescent="0.25">
      <c r="B291">
        <v>270</v>
      </c>
      <c r="C291" s="30" t="s">
        <v>456</v>
      </c>
      <c r="D291" s="29">
        <f>IFERROR(IFERROR(INDEX(Data!$E$7:$E$422,MATCH('2020'!$C291,Data!$C$7:$C$422,0)),INDEX(Data!$E$7:$E$422,MATCH('2020'!$A291,Data!$C$7:$C$422,0))),0)</f>
        <v>38952</v>
      </c>
      <c r="E291" s="29">
        <v>36457</v>
      </c>
      <c r="F291" s="29" t="s">
        <v>35</v>
      </c>
      <c r="G291" t="s">
        <v>611</v>
      </c>
    </row>
    <row r="292" spans="2:7" x14ac:dyDescent="0.25">
      <c r="B292">
        <v>271</v>
      </c>
      <c r="C292" t="s">
        <v>457</v>
      </c>
      <c r="D292" s="29">
        <f>IFERROR(IFERROR(INDEX(Data!$E$7:$E$422,MATCH('2020'!$C292,Data!$C$7:$C$422,0)),INDEX(Data!$E$7:$E$422,MATCH('2020'!$A292,Data!$C$7:$C$422,0))),0)</f>
        <v>39948</v>
      </c>
      <c r="E292" s="29">
        <v>34590</v>
      </c>
      <c r="F292" s="29" t="s">
        <v>10</v>
      </c>
    </row>
    <row r="293" spans="2:7" x14ac:dyDescent="0.25">
      <c r="B293">
        <v>272</v>
      </c>
      <c r="C293" t="s">
        <v>458</v>
      </c>
      <c r="D293" s="29">
        <f>IFERROR(IFERROR(INDEX(Data!$E$7:$E$422,MATCH('2020'!$C293,Data!$C$7:$C$422,0)),INDEX(Data!$E$7:$E$422,MATCH('2020'!$A293,Data!$C$7:$C$422,0))),0)</f>
        <v>19731</v>
      </c>
      <c r="E293" s="29">
        <v>15441</v>
      </c>
      <c r="F293" s="29" t="s">
        <v>10</v>
      </c>
    </row>
    <row r="294" spans="2:7" x14ac:dyDescent="0.25">
      <c r="B294">
        <v>273</v>
      </c>
      <c r="C294" t="s">
        <v>459</v>
      </c>
      <c r="D294" s="29">
        <f>IFERROR(IFERROR(INDEX(Data!$E$7:$E$422,MATCH('2020'!$C294,Data!$C$7:$C$422,0)),INDEX(Data!$E$7:$E$422,MATCH('2020'!$A294,Data!$C$7:$C$422,0))),0)</f>
        <v>3650</v>
      </c>
      <c r="E294" s="29">
        <v>3347</v>
      </c>
      <c r="F294" s="29" t="s">
        <v>10</v>
      </c>
    </row>
    <row r="295" spans="2:7" x14ac:dyDescent="0.25">
      <c r="B295">
        <v>274</v>
      </c>
      <c r="C295" t="s">
        <v>460</v>
      </c>
      <c r="D295" s="29">
        <f>IFERROR(IFERROR(INDEX(Data!$E$7:$E$422,MATCH('2020'!$C295,Data!$C$7:$C$422,0)),INDEX(Data!$E$7:$E$422,MATCH('2020'!$A295,Data!$C$7:$C$422,0))),0)</f>
        <v>8627</v>
      </c>
      <c r="E295" s="29">
        <v>6350</v>
      </c>
      <c r="F295" s="29" t="s">
        <v>10</v>
      </c>
    </row>
    <row r="296" spans="2:7" x14ac:dyDescent="0.25">
      <c r="B296">
        <v>275</v>
      </c>
      <c r="C296" t="s">
        <v>461</v>
      </c>
      <c r="D296" s="29">
        <f>IFERROR(IFERROR(INDEX(Data!$E$7:$E$422,MATCH('2020'!$C296,Data!$C$7:$C$422,0)),INDEX(Data!$E$7:$E$422,MATCH('2020'!$A296,Data!$C$7:$C$422,0))),0)</f>
        <v>11354</v>
      </c>
      <c r="E296" s="29">
        <v>11272</v>
      </c>
      <c r="F296" s="29" t="s">
        <v>10</v>
      </c>
    </row>
    <row r="297" spans="2:7" x14ac:dyDescent="0.25">
      <c r="B297">
        <v>276</v>
      </c>
      <c r="C297" t="s">
        <v>462</v>
      </c>
      <c r="D297" s="29">
        <f>IFERROR(IFERROR(INDEX(Data!$E$7:$E$422,MATCH('2020'!$C297,Data!$C$7:$C$422,0)),INDEX(Data!$E$7:$E$422,MATCH('2020'!$A297,Data!$C$7:$C$422,0))),0)</f>
        <v>12225</v>
      </c>
      <c r="E297" s="29">
        <v>12951</v>
      </c>
      <c r="F297" s="29" t="s">
        <v>10</v>
      </c>
    </row>
    <row r="298" spans="2:7" x14ac:dyDescent="0.25">
      <c r="B298">
        <v>277</v>
      </c>
      <c r="C298" t="s">
        <v>463</v>
      </c>
      <c r="D298" s="29">
        <f>IFERROR(IFERROR(INDEX(Data!$E$7:$E$422,MATCH('2020'!$C298,Data!$C$7:$C$422,0)),INDEX(Data!$E$7:$E$422,MATCH('2020'!$A298,Data!$C$7:$C$422,0))),0)</f>
        <v>100950</v>
      </c>
      <c r="E298" s="29">
        <v>86726</v>
      </c>
      <c r="F298" s="29" t="s">
        <v>10</v>
      </c>
    </row>
    <row r="299" spans="2:7" x14ac:dyDescent="0.25">
      <c r="B299">
        <v>278</v>
      </c>
      <c r="C299" t="s">
        <v>464</v>
      </c>
      <c r="D299" s="29">
        <f>IFERROR(IFERROR(INDEX(Data!$E$7:$E$422,MATCH('2020'!$C299,Data!$C$7:$C$422,0)),INDEX(Data!$E$7:$E$422,MATCH('2020'!$A299,Data!$C$7:$C$422,0))),0)</f>
        <v>16802</v>
      </c>
      <c r="E299" s="29">
        <v>16430</v>
      </c>
      <c r="F299" s="29" t="s">
        <v>10</v>
      </c>
    </row>
    <row r="300" spans="2:7" x14ac:dyDescent="0.25">
      <c r="B300">
        <v>279</v>
      </c>
      <c r="C300" t="s">
        <v>465</v>
      </c>
      <c r="D300" s="29">
        <f>IFERROR(IFERROR(INDEX(Data!$E$7:$E$422,MATCH('2020'!$C300,Data!$C$7:$C$422,0)),INDEX(Data!$E$7:$E$422,MATCH('2020'!$A300,Data!$C$7:$C$422,0))),0)</f>
        <v>5221</v>
      </c>
      <c r="E300" s="29">
        <v>4690</v>
      </c>
      <c r="F300" s="29" t="s">
        <v>10</v>
      </c>
    </row>
    <row r="301" spans="2:7" x14ac:dyDescent="0.25">
      <c r="B301">
        <v>280</v>
      </c>
      <c r="C301" t="s">
        <v>466</v>
      </c>
      <c r="D301" s="29">
        <f>IFERROR(IFERROR(INDEX(Data!$E$7:$E$422,MATCH('2020'!$C301,Data!$C$7:$C$422,0)),INDEX(Data!$E$7:$E$422,MATCH('2020'!$A301,Data!$C$7:$C$422,0))),0)</f>
        <v>16077</v>
      </c>
      <c r="E301" s="29">
        <v>16642</v>
      </c>
      <c r="F301" s="29" t="s">
        <v>10</v>
      </c>
    </row>
    <row r="302" spans="2:7" x14ac:dyDescent="0.25">
      <c r="B302">
        <v>281</v>
      </c>
      <c r="C302" t="s">
        <v>467</v>
      </c>
      <c r="D302" s="29">
        <f>IFERROR(IFERROR(INDEX(Data!$E$7:$E$422,MATCH('2020'!$C302,Data!$C$7:$C$422,0)),INDEX(Data!$E$7:$E$422,MATCH('2020'!$A302,Data!$C$7:$C$422,0))),0)</f>
        <v>137845</v>
      </c>
      <c r="E302" s="29">
        <v>124455</v>
      </c>
      <c r="F302" s="29" t="s">
        <v>19</v>
      </c>
    </row>
    <row r="303" spans="2:7" x14ac:dyDescent="0.25">
      <c r="B303">
        <v>282</v>
      </c>
      <c r="C303" t="s">
        <v>468</v>
      </c>
      <c r="D303" s="29">
        <f>IFERROR(IFERROR(INDEX(Data!$E$7:$E$422,MATCH('2020'!$C303,Data!$C$7:$C$422,0)),INDEX(Data!$E$7:$E$422,MATCH('2020'!$A303,Data!$C$7:$C$422,0))),0)</f>
        <v>219906</v>
      </c>
      <c r="E303" s="29">
        <v>217181</v>
      </c>
      <c r="F303" s="29" t="s">
        <v>19</v>
      </c>
    </row>
    <row r="304" spans="2:7" x14ac:dyDescent="0.25">
      <c r="B304">
        <v>283</v>
      </c>
      <c r="C304" t="s">
        <v>469</v>
      </c>
      <c r="D304" s="29">
        <f>IFERROR(IFERROR(INDEX(Data!$E$7:$E$422,MATCH('2020'!$C304,Data!$C$7:$C$422,0)),INDEX(Data!$E$7:$E$422,MATCH('2020'!$A304,Data!$C$7:$C$422,0))),0)</f>
        <v>241681</v>
      </c>
      <c r="E304" s="29">
        <v>176979</v>
      </c>
      <c r="F304" s="29" t="s">
        <v>19</v>
      </c>
    </row>
    <row r="305" spans="2:6" x14ac:dyDescent="0.25">
      <c r="B305">
        <v>284</v>
      </c>
      <c r="C305" t="s">
        <v>470</v>
      </c>
      <c r="D305" s="29">
        <f>IFERROR(IFERROR(INDEX(Data!$E$7:$E$422,MATCH('2020'!$C305,Data!$C$7:$C$422,0)),INDEX(Data!$E$7:$E$422,MATCH('2020'!$A305,Data!$C$7:$C$422,0))),0)</f>
        <v>182343</v>
      </c>
      <c r="E305" s="29">
        <v>167367</v>
      </c>
      <c r="F305" s="29" t="s">
        <v>19</v>
      </c>
    </row>
    <row r="306" spans="2:6" x14ac:dyDescent="0.25">
      <c r="B306">
        <v>285</v>
      </c>
      <c r="C306" t="s">
        <v>471</v>
      </c>
      <c r="D306" s="29">
        <f>IFERROR(IFERROR(INDEX(Data!$E$7:$E$422,MATCH('2020'!$C306,Data!$C$7:$C$422,0)),INDEX(Data!$E$7:$E$422,MATCH('2020'!$A306,Data!$C$7:$C$422,0))),0)</f>
        <v>304899</v>
      </c>
      <c r="E306" s="29">
        <v>273604</v>
      </c>
      <c r="F306" s="29" t="s">
        <v>19</v>
      </c>
    </row>
    <row r="307" spans="2:6" x14ac:dyDescent="0.25">
      <c r="B307">
        <v>286</v>
      </c>
      <c r="C307" t="s">
        <v>472</v>
      </c>
      <c r="D307" s="29">
        <f>IFERROR(IFERROR(INDEX(Data!$E$7:$E$422,MATCH('2020'!$C307,Data!$C$7:$C$422,0)),INDEX(Data!$E$7:$E$422,MATCH('2020'!$A307,Data!$C$7:$C$422,0))),0)</f>
        <v>232665</v>
      </c>
      <c r="E307" s="29">
        <v>201024</v>
      </c>
      <c r="F307" s="29" t="s">
        <v>19</v>
      </c>
    </row>
    <row r="308" spans="2:6" x14ac:dyDescent="0.25">
      <c r="B308">
        <v>287</v>
      </c>
      <c r="C308" t="s">
        <v>473</v>
      </c>
      <c r="D308" s="29">
        <f>IFERROR(IFERROR(INDEX(Data!$E$7:$E$422,MATCH('2020'!$C308,Data!$C$7:$C$422,0)),INDEX(Data!$E$7:$E$422,MATCH('2020'!$A308,Data!$C$7:$C$422,0))),0)</f>
        <v>185265</v>
      </c>
      <c r="E308" s="29">
        <v>177205</v>
      </c>
      <c r="F308" s="29" t="s">
        <v>19</v>
      </c>
    </row>
    <row r="309" spans="2:6" x14ac:dyDescent="0.25">
      <c r="B309">
        <v>288</v>
      </c>
      <c r="C309" t="s">
        <v>474</v>
      </c>
      <c r="D309" s="29">
        <f>IFERROR(IFERROR(INDEX(Data!$E$7:$E$422,MATCH('2020'!$C309,Data!$C$7:$C$422,0)),INDEX(Data!$E$7:$E$422,MATCH('2020'!$A309,Data!$C$7:$C$422,0))),0)</f>
        <v>148051</v>
      </c>
      <c r="E309" s="29">
        <v>150083</v>
      </c>
      <c r="F309" s="29" t="s">
        <v>19</v>
      </c>
    </row>
    <row r="310" spans="2:6" x14ac:dyDescent="0.25">
      <c r="B310">
        <v>289</v>
      </c>
      <c r="C310" t="s">
        <v>475</v>
      </c>
      <c r="D310" s="29">
        <f>IFERROR(IFERROR(INDEX(Data!$E$7:$E$422,MATCH('2020'!$C310,Data!$C$7:$C$422,0)),INDEX(Data!$E$7:$E$422,MATCH('2020'!$A310,Data!$C$7:$C$422,0))),0)</f>
        <v>373830</v>
      </c>
      <c r="E310" s="29">
        <v>338559</v>
      </c>
      <c r="F310" s="29" t="s">
        <v>19</v>
      </c>
    </row>
    <row r="311" spans="2:6" x14ac:dyDescent="0.25">
      <c r="B311">
        <v>290</v>
      </c>
      <c r="C311" t="s">
        <v>476</v>
      </c>
      <c r="D311" s="29">
        <f>IFERROR(IFERROR(INDEX(Data!$E$7:$E$422,MATCH('2020'!$C311,Data!$C$7:$C$422,0)),INDEX(Data!$E$7:$E$422,MATCH('2020'!$A311,Data!$C$7:$C$422,0))),0)</f>
        <v>30836</v>
      </c>
      <c r="E311" s="29">
        <v>78567</v>
      </c>
      <c r="F311" s="29" t="s">
        <v>19</v>
      </c>
    </row>
    <row r="312" spans="2:6" x14ac:dyDescent="0.25">
      <c r="B312">
        <v>291</v>
      </c>
      <c r="C312" t="s">
        <v>477</v>
      </c>
      <c r="D312" s="29">
        <f>IFERROR(IFERROR(INDEX(Data!$E$7:$E$422,MATCH('2020'!$C312,Data!$C$7:$C$422,0)),INDEX(Data!$E$7:$E$422,MATCH('2020'!$A312,Data!$C$7:$C$422,0))),0)</f>
        <v>68627</v>
      </c>
      <c r="E312" s="29">
        <v>84582</v>
      </c>
      <c r="F312" s="29" t="s">
        <v>19</v>
      </c>
    </row>
    <row r="313" spans="2:6" x14ac:dyDescent="0.25">
      <c r="B313">
        <v>292</v>
      </c>
      <c r="C313" t="s">
        <v>478</v>
      </c>
      <c r="D313" s="29">
        <f>IFERROR(IFERROR(INDEX(Data!$E$7:$E$422,MATCH('2020'!$C313,Data!$C$7:$C$422,0)),INDEX(Data!$E$7:$E$422,MATCH('2020'!$A313,Data!$C$7:$C$422,0))),0)</f>
        <v>357499</v>
      </c>
      <c r="E313" s="29">
        <v>289165</v>
      </c>
      <c r="F313" s="29" t="s">
        <v>19</v>
      </c>
    </row>
    <row r="314" spans="2:6" x14ac:dyDescent="0.25">
      <c r="B314">
        <v>293</v>
      </c>
      <c r="C314" t="s">
        <v>479</v>
      </c>
      <c r="D314" s="29">
        <f>IFERROR(IFERROR(INDEX(Data!$E$7:$E$422,MATCH('2020'!$C314,Data!$C$7:$C$422,0)),INDEX(Data!$E$7:$E$422,MATCH('2020'!$A314,Data!$C$7:$C$422,0))),0)</f>
        <v>289896</v>
      </c>
      <c r="E314" s="29">
        <v>232226</v>
      </c>
      <c r="F314" s="29" t="s">
        <v>19</v>
      </c>
    </row>
    <row r="315" spans="2:6" x14ac:dyDescent="0.25">
      <c r="B315">
        <v>294</v>
      </c>
      <c r="C315" t="s">
        <v>480</v>
      </c>
      <c r="D315" s="29">
        <f>IFERROR(IFERROR(INDEX(Data!$E$7:$E$422,MATCH('2020'!$C315,Data!$C$7:$C$422,0)),INDEX(Data!$E$7:$E$422,MATCH('2020'!$A315,Data!$C$7:$C$422,0))),0)</f>
        <v>251900</v>
      </c>
      <c r="E315" s="29">
        <v>272230</v>
      </c>
      <c r="F315" s="29" t="s">
        <v>19</v>
      </c>
    </row>
    <row r="316" spans="2:6" x14ac:dyDescent="0.25">
      <c r="B316">
        <v>295</v>
      </c>
      <c r="C316" t="s">
        <v>481</v>
      </c>
      <c r="D316" s="29">
        <f>IFERROR(IFERROR(INDEX(Data!$E$7:$E$422,MATCH('2020'!$C316,Data!$C$7:$C$422,0)),INDEX(Data!$E$7:$E$422,MATCH('2020'!$A316,Data!$C$7:$C$422,0))),0)</f>
        <v>176421</v>
      </c>
      <c r="E316" s="29">
        <v>126059</v>
      </c>
      <c r="F316" s="29" t="s">
        <v>19</v>
      </c>
    </row>
    <row r="317" spans="2:6" x14ac:dyDescent="0.25">
      <c r="B317">
        <v>296</v>
      </c>
      <c r="C317" t="s">
        <v>482</v>
      </c>
      <c r="D317" s="29">
        <f>IFERROR(IFERROR(INDEX(Data!$E$7:$E$422,MATCH('2020'!$C317,Data!$C$7:$C$422,0)),INDEX(Data!$E$7:$E$422,MATCH('2020'!$A317,Data!$C$7:$C$422,0))),0)</f>
        <v>104810</v>
      </c>
      <c r="E317" s="29">
        <v>119155</v>
      </c>
      <c r="F317" s="29" t="s">
        <v>19</v>
      </c>
    </row>
    <row r="318" spans="2:6" x14ac:dyDescent="0.25">
      <c r="B318">
        <v>297</v>
      </c>
      <c r="C318" t="s">
        <v>483</v>
      </c>
      <c r="D318" s="29">
        <f>IFERROR(IFERROR(INDEX(Data!$E$7:$E$422,MATCH('2020'!$C318,Data!$C$7:$C$422,0)),INDEX(Data!$E$7:$E$422,MATCH('2020'!$A318,Data!$C$7:$C$422,0))),0)</f>
        <v>114627</v>
      </c>
      <c r="E318" s="29">
        <v>92929</v>
      </c>
      <c r="F318" s="29" t="s">
        <v>19</v>
      </c>
    </row>
    <row r="319" spans="2:6" x14ac:dyDescent="0.25">
      <c r="B319">
        <v>298</v>
      </c>
      <c r="C319" t="s">
        <v>484</v>
      </c>
      <c r="D319" s="29">
        <f>IFERROR(IFERROR(INDEX(Data!$E$7:$E$422,MATCH('2020'!$C319,Data!$C$7:$C$422,0)),INDEX(Data!$E$7:$E$422,MATCH('2020'!$A319,Data!$C$7:$C$422,0))),0)</f>
        <v>101372</v>
      </c>
      <c r="E319" s="29">
        <v>139610</v>
      </c>
      <c r="F319" s="29" t="s">
        <v>19</v>
      </c>
    </row>
    <row r="320" spans="2:6" x14ac:dyDescent="0.25">
      <c r="B320">
        <v>299</v>
      </c>
      <c r="C320" t="s">
        <v>485</v>
      </c>
      <c r="D320" s="29">
        <f>IFERROR(IFERROR(INDEX(Data!$E$7:$E$422,MATCH('2020'!$C320,Data!$C$7:$C$422,0)),INDEX(Data!$E$7:$E$422,MATCH('2020'!$A320,Data!$C$7:$C$422,0))),0)</f>
        <v>456779</v>
      </c>
      <c r="E320" s="29">
        <v>436104</v>
      </c>
      <c r="F320" s="29" t="s">
        <v>19</v>
      </c>
    </row>
    <row r="321" spans="2:6" x14ac:dyDescent="0.25">
      <c r="B321">
        <v>300</v>
      </c>
      <c r="C321" t="s">
        <v>486</v>
      </c>
      <c r="D321" s="29">
        <f>IFERROR(IFERROR(INDEX(Data!$E$7:$E$422,MATCH('2020'!$C321,Data!$C$7:$C$422,0)),INDEX(Data!$E$7:$E$422,MATCH('2020'!$A321,Data!$C$7:$C$422,0))),0)</f>
        <v>63786</v>
      </c>
      <c r="E321" s="29">
        <v>61234</v>
      </c>
      <c r="F321" s="29" t="s">
        <v>19</v>
      </c>
    </row>
    <row r="322" spans="2:6" x14ac:dyDescent="0.25">
      <c r="B322">
        <v>301</v>
      </c>
      <c r="C322" t="s">
        <v>487</v>
      </c>
      <c r="D322" s="29">
        <f>IFERROR(IFERROR(INDEX(Data!$E$7:$E$422,MATCH('2020'!$C322,Data!$C$7:$C$422,0)),INDEX(Data!$E$7:$E$422,MATCH('2020'!$A322,Data!$C$7:$C$422,0))),0)</f>
        <v>28974</v>
      </c>
      <c r="E322" s="29">
        <v>21376</v>
      </c>
      <c r="F322" s="29" t="s">
        <v>19</v>
      </c>
    </row>
    <row r="323" spans="2:6" x14ac:dyDescent="0.25">
      <c r="B323">
        <v>302</v>
      </c>
      <c r="C323" t="s">
        <v>488</v>
      </c>
      <c r="D323" s="29">
        <f>IFERROR(IFERROR(INDEX(Data!$E$7:$E$422,MATCH('2020'!$C323,Data!$C$7:$C$422,0)),INDEX(Data!$E$7:$E$422,MATCH('2020'!$A323,Data!$C$7:$C$422,0))),0)</f>
        <v>47583</v>
      </c>
      <c r="E323" s="29">
        <v>58811</v>
      </c>
      <c r="F323" s="29" t="s">
        <v>19</v>
      </c>
    </row>
    <row r="324" spans="2:6" x14ac:dyDescent="0.25">
      <c r="B324">
        <v>303</v>
      </c>
      <c r="C324" t="s">
        <v>489</v>
      </c>
      <c r="D324" s="29">
        <f>IFERROR(IFERROR(INDEX(Data!$E$7:$E$422,MATCH('2020'!$C324,Data!$C$7:$C$422,0)),INDEX(Data!$E$7:$E$422,MATCH('2020'!$A324,Data!$C$7:$C$422,0))),0)</f>
        <v>76096</v>
      </c>
      <c r="E324" s="29">
        <v>92390</v>
      </c>
      <c r="F324" s="29" t="s">
        <v>19</v>
      </c>
    </row>
    <row r="325" spans="2:6" x14ac:dyDescent="0.25">
      <c r="B325">
        <v>304</v>
      </c>
      <c r="C325" t="s">
        <v>490</v>
      </c>
      <c r="D325" s="29">
        <f>IFERROR(IFERROR(INDEX(Data!$E$7:$E$422,MATCH('2020'!$C325,Data!$C$7:$C$422,0)),INDEX(Data!$E$7:$E$422,MATCH('2020'!$A325,Data!$C$7:$C$422,0))),0)</f>
        <v>126719</v>
      </c>
      <c r="E325" s="29">
        <v>200822</v>
      </c>
      <c r="F325" s="29" t="s">
        <v>20</v>
      </c>
    </row>
    <row r="326" spans="2:6" x14ac:dyDescent="0.25">
      <c r="B326">
        <v>305</v>
      </c>
      <c r="C326" t="s">
        <v>491</v>
      </c>
      <c r="D326" s="29">
        <f>IFERROR(IFERROR(INDEX(Data!$E$7:$E$422,MATCH('2020'!$C326,Data!$C$7:$C$422,0)),INDEX(Data!$E$7:$E$422,MATCH('2020'!$A326,Data!$C$7:$C$422,0))),0)</f>
        <v>73945</v>
      </c>
      <c r="E326" s="29">
        <v>71249</v>
      </c>
      <c r="F326" s="29" t="s">
        <v>20</v>
      </c>
    </row>
    <row r="327" spans="2:6" x14ac:dyDescent="0.25">
      <c r="B327">
        <v>306</v>
      </c>
      <c r="C327" t="s">
        <v>492</v>
      </c>
      <c r="D327" s="29">
        <f>IFERROR(IFERROR(INDEX(Data!$E$7:$E$422,MATCH('2020'!$C327,Data!$C$7:$C$422,0)),INDEX(Data!$E$7:$E$422,MATCH('2020'!$A327,Data!$C$7:$C$422,0))),0)</f>
        <v>39492</v>
      </c>
      <c r="E327" s="29">
        <v>37108</v>
      </c>
      <c r="F327" s="29" t="s">
        <v>20</v>
      </c>
    </row>
    <row r="328" spans="2:6" x14ac:dyDescent="0.25">
      <c r="B328">
        <v>307</v>
      </c>
      <c r="C328" t="s">
        <v>493</v>
      </c>
      <c r="D328" s="29">
        <f>IFERROR(IFERROR(INDEX(Data!$E$7:$E$422,MATCH('2020'!$C328,Data!$C$7:$C$422,0)),INDEX(Data!$E$7:$E$422,MATCH('2020'!$A328,Data!$C$7:$C$422,0))),0)</f>
        <v>413595</v>
      </c>
      <c r="E328" s="29">
        <v>379261</v>
      </c>
      <c r="F328" s="29" t="s">
        <v>20</v>
      </c>
    </row>
    <row r="329" spans="2:6" x14ac:dyDescent="0.25">
      <c r="B329">
        <v>308</v>
      </c>
      <c r="C329" t="s">
        <v>494</v>
      </c>
      <c r="D329" s="29">
        <f>IFERROR(IFERROR(INDEX(Data!$E$7:$E$422,MATCH('2020'!$C329,Data!$C$7:$C$422,0)),INDEX(Data!$E$7:$E$422,MATCH('2020'!$A329,Data!$C$7:$C$422,0))),0)</f>
        <v>73183</v>
      </c>
      <c r="E329" s="29">
        <v>61952</v>
      </c>
      <c r="F329" s="29" t="s">
        <v>20</v>
      </c>
    </row>
    <row r="330" spans="2:6" x14ac:dyDescent="0.25">
      <c r="B330">
        <v>309</v>
      </c>
      <c r="C330" t="s">
        <v>495</v>
      </c>
      <c r="D330" s="29">
        <f>IFERROR(IFERROR(INDEX(Data!$E$7:$E$422,MATCH('2020'!$C330,Data!$C$7:$C$422,0)),INDEX(Data!$E$7:$E$422,MATCH('2020'!$A330,Data!$C$7:$C$422,0))),0)</f>
        <v>59335</v>
      </c>
      <c r="E330" s="29">
        <v>45415</v>
      </c>
      <c r="F330" s="29" t="s">
        <v>20</v>
      </c>
    </row>
    <row r="331" spans="2:6" x14ac:dyDescent="0.25">
      <c r="B331">
        <v>310</v>
      </c>
      <c r="C331" t="s">
        <v>496</v>
      </c>
      <c r="D331" s="29">
        <f>IFERROR(IFERROR(INDEX(Data!$E$7:$E$422,MATCH('2020'!$C331,Data!$C$7:$C$422,0)),INDEX(Data!$E$7:$E$422,MATCH('2020'!$A331,Data!$C$7:$C$422,0))),0)</f>
        <v>158192</v>
      </c>
      <c r="E331" s="29">
        <v>160199</v>
      </c>
      <c r="F331" s="29" t="s">
        <v>20</v>
      </c>
    </row>
    <row r="332" spans="2:6" x14ac:dyDescent="0.25">
      <c r="B332">
        <v>311</v>
      </c>
      <c r="C332" t="s">
        <v>497</v>
      </c>
      <c r="D332" s="29">
        <f>IFERROR(IFERROR(INDEX(Data!$E$7:$E$422,MATCH('2020'!$C332,Data!$C$7:$C$422,0)),INDEX(Data!$E$7:$E$422,MATCH('2020'!$A332,Data!$C$7:$C$422,0))),0)</f>
        <v>129269</v>
      </c>
      <c r="E332" s="29">
        <v>95494</v>
      </c>
      <c r="F332" s="29" t="s">
        <v>20</v>
      </c>
    </row>
    <row r="333" spans="2:6" x14ac:dyDescent="0.25">
      <c r="B333">
        <v>312</v>
      </c>
      <c r="C333" t="s">
        <v>498</v>
      </c>
      <c r="D333" s="29">
        <f>IFERROR(IFERROR(INDEX(Data!$E$7:$E$422,MATCH('2020'!$C333,Data!$C$7:$C$422,0)),INDEX(Data!$E$7:$E$422,MATCH('2020'!$A333,Data!$C$7:$C$422,0))),0)</f>
        <v>137488</v>
      </c>
      <c r="E333" s="29">
        <v>161908</v>
      </c>
      <c r="F333" s="29" t="s">
        <v>20</v>
      </c>
    </row>
    <row r="334" spans="2:6" x14ac:dyDescent="0.25">
      <c r="B334">
        <v>313</v>
      </c>
      <c r="C334" t="s">
        <v>499</v>
      </c>
      <c r="D334" s="29">
        <f>IFERROR(IFERROR(INDEX(Data!$E$7:$E$422,MATCH('2020'!$C334,Data!$C$7:$C$422,0)),INDEX(Data!$E$7:$E$422,MATCH('2020'!$A334,Data!$C$7:$C$422,0))),0)</f>
        <v>22841</v>
      </c>
      <c r="E334" s="29">
        <v>21001</v>
      </c>
      <c r="F334" s="29" t="s">
        <v>22</v>
      </c>
    </row>
    <row r="335" spans="2:6" x14ac:dyDescent="0.25">
      <c r="B335">
        <v>314</v>
      </c>
      <c r="C335" t="s">
        <v>500</v>
      </c>
      <c r="D335" s="29">
        <f>IFERROR(IFERROR(INDEX(Data!$E$7:$E$422,MATCH('2020'!$C335,Data!$C$7:$C$422,0)),INDEX(Data!$E$7:$E$422,MATCH('2020'!$A335,Data!$C$7:$C$422,0))),0)</f>
        <v>24942</v>
      </c>
      <c r="E335" s="29">
        <v>24555</v>
      </c>
      <c r="F335" s="29" t="s">
        <v>22</v>
      </c>
    </row>
    <row r="336" spans="2:6" x14ac:dyDescent="0.25">
      <c r="B336">
        <v>315</v>
      </c>
      <c r="C336" t="s">
        <v>501</v>
      </c>
      <c r="D336" s="29">
        <f>IFERROR(IFERROR(INDEX(Data!$E$7:$E$422,MATCH('2020'!$C336,Data!$C$7:$C$422,0)),INDEX(Data!$E$7:$E$422,MATCH('2020'!$A336,Data!$C$7:$C$422,0))),0)</f>
        <v>34921</v>
      </c>
      <c r="E336" s="29">
        <v>33597</v>
      </c>
      <c r="F336" s="29" t="s">
        <v>22</v>
      </c>
    </row>
    <row r="337" spans="2:6" x14ac:dyDescent="0.25">
      <c r="B337">
        <v>316</v>
      </c>
      <c r="C337" t="s">
        <v>502</v>
      </c>
      <c r="D337" s="29">
        <f>IFERROR(IFERROR(INDEX(Data!$E$7:$E$422,MATCH('2020'!$C337,Data!$C$7:$C$422,0)),INDEX(Data!$E$7:$E$422,MATCH('2020'!$A337,Data!$C$7:$C$422,0))),0)</f>
        <v>9567</v>
      </c>
      <c r="E337" s="29">
        <v>11946</v>
      </c>
      <c r="F337" s="29" t="s">
        <v>22</v>
      </c>
    </row>
    <row r="338" spans="2:6" x14ac:dyDescent="0.25">
      <c r="B338">
        <v>317</v>
      </c>
      <c r="C338" t="s">
        <v>503</v>
      </c>
      <c r="D338" s="29">
        <f>IFERROR(IFERROR(INDEX(Data!$E$7:$E$422,MATCH('2020'!$C338,Data!$C$7:$C$422,0)),INDEX(Data!$E$7:$E$422,MATCH('2020'!$A338,Data!$C$7:$C$422,0))),0)</f>
        <v>352911</v>
      </c>
      <c r="E338" s="29">
        <v>424539</v>
      </c>
      <c r="F338" s="29" t="s">
        <v>22</v>
      </c>
    </row>
    <row r="339" spans="2:6" x14ac:dyDescent="0.25">
      <c r="B339">
        <v>318</v>
      </c>
      <c r="C339" t="s">
        <v>504</v>
      </c>
      <c r="D339" s="29">
        <f>IFERROR(IFERROR(INDEX(Data!$E$7:$E$422,MATCH('2020'!$C339,Data!$C$7:$C$422,0)),INDEX(Data!$E$7:$E$422,MATCH('2020'!$A339,Data!$C$7:$C$422,0))),0)</f>
        <v>124244</v>
      </c>
      <c r="E339" s="29">
        <v>134803</v>
      </c>
      <c r="F339" s="29" t="s">
        <v>22</v>
      </c>
    </row>
    <row r="340" spans="2:6" x14ac:dyDescent="0.25">
      <c r="B340">
        <v>319</v>
      </c>
      <c r="C340" t="s">
        <v>505</v>
      </c>
      <c r="D340" s="29">
        <f>IFERROR(IFERROR(INDEX(Data!$E$7:$E$422,MATCH('2020'!$C340,Data!$C$7:$C$422,0)),INDEX(Data!$E$7:$E$422,MATCH('2020'!$A340,Data!$C$7:$C$422,0))),0)</f>
        <v>23017</v>
      </c>
      <c r="E340" s="29">
        <v>31137</v>
      </c>
      <c r="F340" s="29" t="s">
        <v>22</v>
      </c>
    </row>
    <row r="341" spans="2:6" x14ac:dyDescent="0.25">
      <c r="B341">
        <v>320</v>
      </c>
      <c r="C341" t="s">
        <v>506</v>
      </c>
      <c r="D341" s="29">
        <f>IFERROR(IFERROR(INDEX(Data!$E$7:$E$422,MATCH('2020'!$C341,Data!$C$7:$C$422,0)),INDEX(Data!$E$7:$E$422,MATCH('2020'!$A341,Data!$C$7:$C$422,0))),0)</f>
        <v>105967</v>
      </c>
      <c r="E341" s="29">
        <v>113546</v>
      </c>
      <c r="F341" s="29" t="s">
        <v>22</v>
      </c>
    </row>
    <row r="342" spans="2:6" x14ac:dyDescent="0.25">
      <c r="B342">
        <v>321</v>
      </c>
      <c r="C342" t="s">
        <v>507</v>
      </c>
      <c r="D342" s="29">
        <f>IFERROR(IFERROR(INDEX(Data!$E$7:$E$422,MATCH('2020'!$C342,Data!$C$7:$C$422,0)),INDEX(Data!$E$7:$E$422,MATCH('2020'!$A342,Data!$C$7:$C$422,0))),0)</f>
        <v>107209</v>
      </c>
      <c r="E342" s="29">
        <v>114222</v>
      </c>
      <c r="F342" s="29" t="s">
        <v>22</v>
      </c>
    </row>
    <row r="343" spans="2:6" x14ac:dyDescent="0.25">
      <c r="B343">
        <v>322</v>
      </c>
      <c r="C343" t="s">
        <v>508</v>
      </c>
      <c r="D343" s="29">
        <f>IFERROR(IFERROR(INDEX(Data!$E$7:$E$422,MATCH('2020'!$C343,Data!$C$7:$C$422,0)),INDEX(Data!$E$7:$E$422,MATCH('2020'!$A343,Data!$C$7:$C$422,0))),0)</f>
        <v>341472</v>
      </c>
      <c r="E343" s="29">
        <v>290730</v>
      </c>
      <c r="F343" s="29" t="s">
        <v>23</v>
      </c>
    </row>
    <row r="344" spans="2:6" x14ac:dyDescent="0.25">
      <c r="B344">
        <v>323</v>
      </c>
      <c r="C344" t="s">
        <v>509</v>
      </c>
      <c r="D344" s="29">
        <f>IFERROR(IFERROR(INDEX(Data!$E$7:$E$422,MATCH('2020'!$C344,Data!$C$7:$C$422,0)),INDEX(Data!$E$7:$E$422,MATCH('2020'!$A344,Data!$C$7:$C$422,0))),0)</f>
        <v>287696</v>
      </c>
      <c r="E344" s="29">
        <v>414581</v>
      </c>
      <c r="F344" s="29" t="s">
        <v>23</v>
      </c>
    </row>
    <row r="345" spans="2:6" x14ac:dyDescent="0.25">
      <c r="B345">
        <v>324</v>
      </c>
      <c r="C345" t="s">
        <v>510</v>
      </c>
      <c r="D345" s="29">
        <f>IFERROR(IFERROR(INDEX(Data!$E$7:$E$422,MATCH('2020'!$C345,Data!$C$7:$C$422,0)),INDEX(Data!$E$7:$E$422,MATCH('2020'!$A345,Data!$C$7:$C$422,0))),0)</f>
        <v>51813</v>
      </c>
      <c r="E345" s="29">
        <v>54954</v>
      </c>
      <c r="F345" s="29" t="s">
        <v>23</v>
      </c>
    </row>
    <row r="346" spans="2:6" x14ac:dyDescent="0.25">
      <c r="B346">
        <v>325</v>
      </c>
      <c r="C346" t="s">
        <v>511</v>
      </c>
      <c r="D346" s="29">
        <f>IFERROR(IFERROR(INDEX(Data!$E$7:$E$422,MATCH('2020'!$C346,Data!$C$7:$C$422,0)),INDEX(Data!$E$7:$E$422,MATCH('2020'!$A346,Data!$C$7:$C$422,0))),0)</f>
        <v>255724</v>
      </c>
      <c r="E346" s="29">
        <v>276881</v>
      </c>
      <c r="F346" s="29" t="s">
        <v>24</v>
      </c>
    </row>
    <row r="347" spans="2:6" x14ac:dyDescent="0.25">
      <c r="B347">
        <v>326</v>
      </c>
      <c r="C347" t="s">
        <v>512</v>
      </c>
      <c r="D347" s="29">
        <f>IFERROR(IFERROR(INDEX(Data!$E$7:$E$422,MATCH('2020'!$C347,Data!$C$7:$C$422,0)),INDEX(Data!$E$7:$E$422,MATCH('2020'!$A347,Data!$C$7:$C$422,0))),0)</f>
        <v>271541</v>
      </c>
      <c r="E347" s="29">
        <v>357783</v>
      </c>
      <c r="F347" s="29" t="s">
        <v>24</v>
      </c>
    </row>
    <row r="348" spans="2:6" x14ac:dyDescent="0.25">
      <c r="B348">
        <v>327</v>
      </c>
      <c r="C348" t="s">
        <v>513</v>
      </c>
      <c r="D348" s="29">
        <f>IFERROR(IFERROR(INDEX(Data!$E$7:$E$422,MATCH('2020'!$C348,Data!$C$7:$C$422,0)),INDEX(Data!$E$7:$E$422,MATCH('2020'!$A348,Data!$C$7:$C$422,0))),0)</f>
        <v>10161</v>
      </c>
      <c r="E348" s="29">
        <v>13482</v>
      </c>
      <c r="F348" s="29" t="s">
        <v>24</v>
      </c>
    </row>
    <row r="349" spans="2:6" x14ac:dyDescent="0.25">
      <c r="B349">
        <v>328</v>
      </c>
      <c r="C349" t="s">
        <v>514</v>
      </c>
      <c r="D349" s="29">
        <f>IFERROR(IFERROR(INDEX(Data!$E$7:$E$422,MATCH('2020'!$C349,Data!$C$7:$C$422,0)),INDEX(Data!$E$7:$E$422,MATCH('2020'!$A349,Data!$C$7:$C$422,0))),0)</f>
        <v>396581</v>
      </c>
      <c r="E349" s="29">
        <v>253146</v>
      </c>
      <c r="F349" s="29" t="s">
        <v>25</v>
      </c>
    </row>
    <row r="350" spans="2:6" x14ac:dyDescent="0.25">
      <c r="B350">
        <v>329</v>
      </c>
      <c r="C350" t="s">
        <v>515</v>
      </c>
      <c r="D350" s="29">
        <f>IFERROR(IFERROR(INDEX(Data!$E$7:$E$422,MATCH('2020'!$C350,Data!$C$7:$C$422,0)),INDEX(Data!$E$7:$E$422,MATCH('2020'!$A350,Data!$C$7:$C$422,0))),0)</f>
        <v>751614</v>
      </c>
      <c r="E350" s="29">
        <v>453743</v>
      </c>
      <c r="F350" s="29" t="s">
        <v>25</v>
      </c>
    </row>
    <row r="351" spans="2:6" x14ac:dyDescent="0.25">
      <c r="B351">
        <v>330</v>
      </c>
      <c r="C351" t="s">
        <v>516</v>
      </c>
      <c r="D351" s="29">
        <f>IFERROR(IFERROR(INDEX(Data!$E$7:$E$422,MATCH('2020'!$C351,Data!$C$7:$C$422,0)),INDEX(Data!$E$7:$E$422,MATCH('2020'!$A351,Data!$C$7:$C$422,0))),0)</f>
        <v>400000</v>
      </c>
      <c r="E351" s="29">
        <v>289344</v>
      </c>
      <c r="F351" s="29" t="s">
        <v>25</v>
      </c>
    </row>
    <row r="352" spans="2:6" x14ac:dyDescent="0.25">
      <c r="B352">
        <v>331</v>
      </c>
      <c r="C352" t="s">
        <v>517</v>
      </c>
      <c r="D352" s="29">
        <f>IFERROR(IFERROR(INDEX(Data!$E$7:$E$422,MATCH('2020'!$C352,Data!$C$7:$C$422,0)),INDEX(Data!$E$7:$E$422,MATCH('2020'!$A352,Data!$C$7:$C$422,0))),0)</f>
        <v>231959</v>
      </c>
      <c r="E352" s="29">
        <v>255289</v>
      </c>
      <c r="F352" s="29" t="s">
        <v>25</v>
      </c>
    </row>
    <row r="353" spans="2:6" x14ac:dyDescent="0.25">
      <c r="B353">
        <v>332</v>
      </c>
      <c r="C353" t="s">
        <v>518</v>
      </c>
      <c r="D353" s="29">
        <f>IFERROR(IFERROR(INDEX(Data!$E$7:$E$422,MATCH('2020'!$C353,Data!$C$7:$C$422,0)),INDEX(Data!$E$7:$E$422,MATCH('2020'!$A353,Data!$C$7:$C$422,0))),0)</f>
        <v>90585</v>
      </c>
      <c r="E353" s="29">
        <v>94049</v>
      </c>
      <c r="F353" s="29" t="s">
        <v>25</v>
      </c>
    </row>
    <row r="354" spans="2:6" x14ac:dyDescent="0.25">
      <c r="B354">
        <v>333</v>
      </c>
      <c r="C354" t="s">
        <v>519</v>
      </c>
      <c r="D354" s="29">
        <f>IFERROR(IFERROR(INDEX(Data!$E$7:$E$422,MATCH('2020'!$C354,Data!$C$7:$C$422,0)),INDEX(Data!$E$7:$E$422,MATCH('2020'!$A354,Data!$C$7:$C$422,0))),0)</f>
        <v>669140</v>
      </c>
      <c r="E354" s="29">
        <v>679734</v>
      </c>
      <c r="F354" s="29" t="s">
        <v>25</v>
      </c>
    </row>
    <row r="355" spans="2:6" x14ac:dyDescent="0.25">
      <c r="B355">
        <v>334</v>
      </c>
      <c r="C355" t="s">
        <v>520</v>
      </c>
      <c r="D355" s="29">
        <f>IFERROR(IFERROR(INDEX(Data!$E$7:$E$422,MATCH('2020'!$C355,Data!$C$7:$C$422,0)),INDEX(Data!$E$7:$E$422,MATCH('2020'!$A355,Data!$C$7:$C$422,0))),0)</f>
        <v>426360</v>
      </c>
      <c r="E355" s="29">
        <v>470192</v>
      </c>
      <c r="F355" s="29" t="s">
        <v>25</v>
      </c>
    </row>
    <row r="356" spans="2:6" x14ac:dyDescent="0.25">
      <c r="B356">
        <v>335</v>
      </c>
      <c r="C356" t="s">
        <v>521</v>
      </c>
      <c r="D356" s="29">
        <f>IFERROR(IFERROR(INDEX(Data!$E$7:$E$422,MATCH('2020'!$C356,Data!$C$7:$C$422,0)),INDEX(Data!$E$7:$E$422,MATCH('2020'!$A356,Data!$C$7:$C$422,0))),0)</f>
        <v>155935</v>
      </c>
      <c r="E356" s="29">
        <v>137731</v>
      </c>
      <c r="F356" s="29" t="s">
        <v>25</v>
      </c>
    </row>
    <row r="357" spans="2:6" x14ac:dyDescent="0.25">
      <c r="B357">
        <v>336</v>
      </c>
      <c r="C357" t="s">
        <v>522</v>
      </c>
      <c r="D357" s="29">
        <f>IFERROR(IFERROR(INDEX(Data!$E$7:$E$422,MATCH('2020'!$C357,Data!$C$7:$C$422,0)),INDEX(Data!$E$7:$E$422,MATCH('2020'!$A357,Data!$C$7:$C$422,0))),0)</f>
        <v>1791869</v>
      </c>
      <c r="E357" s="29">
        <v>1405781</v>
      </c>
      <c r="F357" s="29" t="s">
        <v>26</v>
      </c>
    </row>
    <row r="358" spans="2:6" x14ac:dyDescent="0.25">
      <c r="B358">
        <v>337</v>
      </c>
      <c r="C358" t="s">
        <v>523</v>
      </c>
      <c r="D358" s="29">
        <f>IFERROR(IFERROR(INDEX(Data!$E$7:$E$422,MATCH('2020'!$C358,Data!$C$7:$C$422,0)),INDEX(Data!$E$7:$E$422,MATCH('2020'!$A358,Data!$C$7:$C$422,0))),0)</f>
        <v>551920</v>
      </c>
      <c r="E358" s="29">
        <v>435090</v>
      </c>
      <c r="F358" s="29" t="s">
        <v>26</v>
      </c>
    </row>
    <row r="359" spans="2:6" x14ac:dyDescent="0.25">
      <c r="B359">
        <v>338</v>
      </c>
      <c r="C359" t="s">
        <v>524</v>
      </c>
      <c r="D359" s="29">
        <f>IFERROR(IFERROR(INDEX(Data!$E$7:$E$422,MATCH('2020'!$C359,Data!$C$7:$C$422,0)),INDEX(Data!$E$7:$E$422,MATCH('2020'!$A359,Data!$C$7:$C$422,0))),0)</f>
        <v>1408856</v>
      </c>
      <c r="E359" s="29">
        <v>1293254</v>
      </c>
      <c r="F359" s="29" t="s">
        <v>26</v>
      </c>
    </row>
    <row r="360" spans="2:6" x14ac:dyDescent="0.25">
      <c r="B360">
        <v>339</v>
      </c>
      <c r="C360" t="s">
        <v>525</v>
      </c>
      <c r="D360" s="29">
        <f>IFERROR(IFERROR(INDEX(Data!$E$7:$E$422,MATCH('2020'!$C360,Data!$C$7:$C$422,0)),INDEX(Data!$E$7:$E$422,MATCH('2020'!$A360,Data!$C$7:$C$422,0))),0)</f>
        <v>65175</v>
      </c>
      <c r="E360" s="29">
        <v>77820</v>
      </c>
      <c r="F360" s="29" t="s">
        <v>26</v>
      </c>
    </row>
    <row r="361" spans="2:6" x14ac:dyDescent="0.25">
      <c r="B361">
        <v>340</v>
      </c>
      <c r="C361" t="s">
        <v>526</v>
      </c>
      <c r="D361" s="29">
        <f>IFERROR(IFERROR(INDEX(Data!$E$7:$E$422,MATCH('2020'!$C361,Data!$C$7:$C$422,0)),INDEX(Data!$E$7:$E$422,MATCH('2020'!$A361,Data!$C$7:$C$422,0))),0)</f>
        <v>102928</v>
      </c>
      <c r="E361" s="29">
        <v>78576</v>
      </c>
      <c r="F361" s="29" t="s">
        <v>26</v>
      </c>
    </row>
    <row r="362" spans="2:6" x14ac:dyDescent="0.25">
      <c r="B362">
        <v>341</v>
      </c>
      <c r="C362" t="s">
        <v>527</v>
      </c>
      <c r="D362" s="29">
        <f>IFERROR(IFERROR(INDEX(Data!$E$7:$E$422,MATCH('2020'!$C362,Data!$C$7:$C$422,0)),INDEX(Data!$E$7:$E$422,MATCH('2020'!$A362,Data!$C$7:$C$422,0))),0)</f>
        <v>29358</v>
      </c>
      <c r="E362" s="29">
        <v>35992</v>
      </c>
      <c r="F362" s="29" t="s">
        <v>26</v>
      </c>
    </row>
    <row r="363" spans="2:6" x14ac:dyDescent="0.25">
      <c r="B363">
        <v>342</v>
      </c>
      <c r="C363" t="s">
        <v>528</v>
      </c>
      <c r="D363" s="29">
        <f>IFERROR(IFERROR(INDEX(Data!$E$7:$E$422,MATCH('2020'!$C363,Data!$C$7:$C$422,0)),INDEX(Data!$E$7:$E$422,MATCH('2020'!$A363,Data!$C$7:$C$422,0))),0)</f>
        <v>206091</v>
      </c>
      <c r="E363" s="29">
        <v>163286</v>
      </c>
      <c r="F363" s="29" t="s">
        <v>26</v>
      </c>
    </row>
    <row r="364" spans="2:6" x14ac:dyDescent="0.25">
      <c r="B364">
        <v>343</v>
      </c>
      <c r="C364" t="s">
        <v>529</v>
      </c>
      <c r="D364" s="29">
        <f>IFERROR(IFERROR(INDEX(Data!$E$7:$E$422,MATCH('2020'!$C364,Data!$C$7:$C$422,0)),INDEX(Data!$E$7:$E$422,MATCH('2020'!$A364,Data!$C$7:$C$422,0))),0)</f>
        <v>374800</v>
      </c>
      <c r="E364" s="29">
        <v>311153</v>
      </c>
      <c r="F364" s="29" t="s">
        <v>27</v>
      </c>
    </row>
    <row r="365" spans="2:6" x14ac:dyDescent="0.25">
      <c r="B365">
        <v>344</v>
      </c>
      <c r="C365" t="s">
        <v>530</v>
      </c>
      <c r="D365" s="29">
        <f>IFERROR(IFERROR(INDEX(Data!$E$7:$E$422,MATCH('2020'!$C365,Data!$C$7:$C$422,0)),INDEX(Data!$E$7:$E$422,MATCH('2020'!$A365,Data!$C$7:$C$422,0))),0)</f>
        <v>191992</v>
      </c>
      <c r="E365" s="29">
        <v>261210</v>
      </c>
      <c r="F365" s="29" t="s">
        <v>24</v>
      </c>
    </row>
    <row r="366" spans="2:6" x14ac:dyDescent="0.25">
      <c r="B366">
        <v>345</v>
      </c>
      <c r="C366" t="s">
        <v>531</v>
      </c>
      <c r="D366" s="29">
        <f>IFERROR(IFERROR(INDEX(Data!$E$7:$E$422,MATCH('2020'!$C366,Data!$C$7:$C$422,0)),INDEX(Data!$E$7:$E$422,MATCH('2020'!$A366,Data!$C$7:$C$422,0))),0)</f>
        <v>305292</v>
      </c>
      <c r="E366" s="29">
        <v>228717</v>
      </c>
      <c r="F366" s="29" t="s">
        <v>24</v>
      </c>
    </row>
    <row r="367" spans="2:6" x14ac:dyDescent="0.25">
      <c r="B367">
        <v>346</v>
      </c>
      <c r="C367" t="s">
        <v>532</v>
      </c>
      <c r="D367" s="29">
        <f>IFERROR(IFERROR(INDEX(Data!$E$7:$E$422,MATCH('2020'!$C367,Data!$C$7:$C$422,0)),INDEX(Data!$E$7:$E$422,MATCH('2020'!$A367,Data!$C$7:$C$422,0))),0)</f>
        <v>53948</v>
      </c>
      <c r="E367" s="29">
        <v>88914</v>
      </c>
      <c r="F367" s="29" t="s">
        <v>24</v>
      </c>
    </row>
    <row r="368" spans="2:6" x14ac:dyDescent="0.25">
      <c r="B368">
        <v>347</v>
      </c>
      <c r="C368" t="s">
        <v>533</v>
      </c>
      <c r="D368" s="29">
        <f>IFERROR(IFERROR(INDEX(Data!$E$7:$E$422,MATCH('2020'!$C368,Data!$C$7:$C$422,0)),INDEX(Data!$E$7:$E$422,MATCH('2020'!$A368,Data!$C$7:$C$422,0))),0)</f>
        <v>192614</v>
      </c>
      <c r="E368" s="29">
        <v>215068</v>
      </c>
      <c r="F368" s="29" t="s">
        <v>27</v>
      </c>
    </row>
    <row r="369" spans="2:6" x14ac:dyDescent="0.25">
      <c r="B369">
        <v>348</v>
      </c>
      <c r="C369" t="s">
        <v>534</v>
      </c>
      <c r="D369" s="29">
        <f>IFERROR(IFERROR(INDEX(Data!$E$7:$E$422,MATCH('2020'!$C369,Data!$C$7:$C$422,0)),INDEX(Data!$E$7:$E$422,MATCH('2020'!$A369,Data!$C$7:$C$422,0))),0)</f>
        <v>365492</v>
      </c>
      <c r="E369" s="29">
        <v>350161</v>
      </c>
      <c r="F369" s="29" t="s">
        <v>27</v>
      </c>
    </row>
    <row r="370" spans="2:6" x14ac:dyDescent="0.25">
      <c r="B370">
        <v>349</v>
      </c>
      <c r="C370" t="s">
        <v>535</v>
      </c>
      <c r="D370" s="29">
        <f>IFERROR(IFERROR(INDEX(Data!$E$7:$E$422,MATCH('2020'!$C370,Data!$C$7:$C$422,0)),INDEX(Data!$E$7:$E$422,MATCH('2020'!$A370,Data!$C$7:$C$422,0))),0)</f>
        <v>286223</v>
      </c>
      <c r="E370" s="29">
        <v>346797</v>
      </c>
      <c r="F370" s="29" t="s">
        <v>27</v>
      </c>
    </row>
    <row r="371" spans="2:6" x14ac:dyDescent="0.25">
      <c r="B371">
        <v>350</v>
      </c>
      <c r="C371" t="s">
        <v>536</v>
      </c>
      <c r="D371" s="29">
        <f>IFERROR(IFERROR(INDEX(Data!$E$7:$E$422,MATCH('2020'!$C371,Data!$C$7:$C$422,0)),INDEX(Data!$E$7:$E$422,MATCH('2020'!$A371,Data!$C$7:$C$422,0))),0)</f>
        <v>62062</v>
      </c>
      <c r="E371" s="29">
        <v>73639</v>
      </c>
      <c r="F371" s="29" t="s">
        <v>27</v>
      </c>
    </row>
    <row r="372" spans="2:6" x14ac:dyDescent="0.25">
      <c r="B372">
        <v>351</v>
      </c>
      <c r="C372" t="s">
        <v>537</v>
      </c>
      <c r="D372" s="29">
        <f>IFERROR(IFERROR(INDEX(Data!$E$7:$E$422,MATCH('2020'!$C372,Data!$C$7:$C$422,0)),INDEX(Data!$E$7:$E$422,MATCH('2020'!$A372,Data!$C$7:$C$422,0))),0)</f>
        <v>336788</v>
      </c>
      <c r="E372" s="29">
        <v>280021</v>
      </c>
      <c r="F372" s="29" t="s">
        <v>27</v>
      </c>
    </row>
    <row r="373" spans="2:6" x14ac:dyDescent="0.25">
      <c r="B373">
        <v>352</v>
      </c>
      <c r="C373" t="s">
        <v>538</v>
      </c>
      <c r="D373" s="29">
        <f>IFERROR(IFERROR(INDEX(Data!$E$7:$E$422,MATCH('2020'!$C373,Data!$C$7:$C$422,0)),INDEX(Data!$E$7:$E$422,MATCH('2020'!$A373,Data!$C$7:$C$422,0))),0)</f>
        <v>149917</v>
      </c>
      <c r="E373" s="29">
        <v>204514</v>
      </c>
      <c r="F373" s="29" t="s">
        <v>27</v>
      </c>
    </row>
    <row r="374" spans="2:6" x14ac:dyDescent="0.25">
      <c r="B374">
        <v>353</v>
      </c>
      <c r="C374" t="s">
        <v>539</v>
      </c>
      <c r="D374" s="29">
        <f>IFERROR(IFERROR(INDEX(Data!$E$7:$E$422,MATCH('2020'!$C374,Data!$C$7:$C$422,0)),INDEX(Data!$E$7:$E$422,MATCH('2020'!$A374,Data!$C$7:$C$422,0))),0)</f>
        <v>40601</v>
      </c>
      <c r="E374" s="29">
        <v>44089</v>
      </c>
      <c r="F374" s="29" t="s">
        <v>27</v>
      </c>
    </row>
    <row r="375" spans="2:6" x14ac:dyDescent="0.25">
      <c r="B375">
        <v>354</v>
      </c>
      <c r="C375" t="s">
        <v>540</v>
      </c>
      <c r="D375" s="29">
        <f>IFERROR(IFERROR(INDEX(Data!$E$7:$E$422,MATCH('2020'!$C375,Data!$C$7:$C$422,0)),INDEX(Data!$E$7:$E$422,MATCH('2020'!$A375,Data!$C$7:$C$422,0))),0)</f>
        <v>12308</v>
      </c>
      <c r="E375" s="29">
        <v>13390</v>
      </c>
      <c r="F375" s="29" t="s">
        <v>27</v>
      </c>
    </row>
    <row r="376" spans="2:6" x14ac:dyDescent="0.25">
      <c r="B376">
        <v>355</v>
      </c>
      <c r="C376" t="s">
        <v>541</v>
      </c>
      <c r="D376" s="29">
        <f>IFERROR(IFERROR(INDEX(Data!$E$7:$E$422,MATCH('2020'!$C376,Data!$C$7:$C$422,0)),INDEX(Data!$E$7:$E$422,MATCH('2020'!$A376,Data!$C$7:$C$422,0))),0)</f>
        <v>50359</v>
      </c>
      <c r="E376" s="29">
        <v>41200</v>
      </c>
      <c r="F376" s="29" t="s">
        <v>27</v>
      </c>
    </row>
    <row r="377" spans="2:6" x14ac:dyDescent="0.25">
      <c r="B377">
        <v>356</v>
      </c>
      <c r="C377" t="s">
        <v>542</v>
      </c>
      <c r="D377" s="29">
        <f>IFERROR(IFERROR(INDEX(Data!$E$7:$E$422,MATCH('2020'!$C377,Data!$C$7:$C$422,0)),INDEX(Data!$E$7:$E$422,MATCH('2020'!$A377,Data!$C$7:$C$422,0))),0)</f>
        <v>98400</v>
      </c>
      <c r="E377" s="29">
        <v>123909</v>
      </c>
      <c r="F377" s="29" t="s">
        <v>27</v>
      </c>
    </row>
    <row r="378" spans="2:6" x14ac:dyDescent="0.25">
      <c r="B378">
        <v>357</v>
      </c>
      <c r="C378" t="s">
        <v>543</v>
      </c>
      <c r="D378" s="29">
        <f>IFERROR(IFERROR(INDEX(Data!$E$7:$E$422,MATCH('2020'!$C378,Data!$C$7:$C$422,0)),INDEX(Data!$E$7:$E$422,MATCH('2020'!$A378,Data!$C$7:$C$422,0))),0)</f>
        <v>640074</v>
      </c>
      <c r="E378" s="29">
        <v>735097</v>
      </c>
      <c r="F378" s="29" t="s">
        <v>27</v>
      </c>
    </row>
    <row r="379" spans="2:6" x14ac:dyDescent="0.25">
      <c r="B379">
        <v>358</v>
      </c>
      <c r="C379" t="s">
        <v>544</v>
      </c>
      <c r="D379" s="29">
        <f>IFERROR(IFERROR(INDEX(Data!$E$7:$E$422,MATCH('2020'!$C379,Data!$C$7:$C$422,0)),INDEX(Data!$E$7:$E$422,MATCH('2020'!$A379,Data!$C$7:$C$422,0))),0)</f>
        <v>417988</v>
      </c>
      <c r="E379" s="29">
        <v>462950</v>
      </c>
      <c r="F379" s="29" t="s">
        <v>27</v>
      </c>
    </row>
    <row r="380" spans="2:6" x14ac:dyDescent="0.25">
      <c r="B380">
        <v>359</v>
      </c>
      <c r="C380" t="s">
        <v>545</v>
      </c>
      <c r="D380" s="29">
        <f>IFERROR(IFERROR(INDEX(Data!$E$7:$E$422,MATCH('2020'!$C380,Data!$C$7:$C$422,0)),INDEX(Data!$E$7:$E$422,MATCH('2020'!$A380,Data!$C$7:$C$422,0))),0)</f>
        <v>249356</v>
      </c>
      <c r="E380" s="29">
        <v>232432</v>
      </c>
      <c r="F380" s="29" t="s">
        <v>27</v>
      </c>
    </row>
    <row r="381" spans="2:6" x14ac:dyDescent="0.25">
      <c r="B381">
        <v>360</v>
      </c>
      <c r="C381" t="s">
        <v>546</v>
      </c>
      <c r="D381" s="29">
        <f>IFERROR(IFERROR(INDEX(Data!$E$7:$E$422,MATCH('2020'!$C381,Data!$C$7:$C$422,0)),INDEX(Data!$E$7:$E$422,MATCH('2020'!$A381,Data!$C$7:$C$422,0))),0)</f>
        <v>71037</v>
      </c>
      <c r="E381" s="29">
        <v>73607</v>
      </c>
      <c r="F381" s="29" t="s">
        <v>27</v>
      </c>
    </row>
    <row r="382" spans="2:6" x14ac:dyDescent="0.25">
      <c r="B382">
        <v>361</v>
      </c>
      <c r="C382" t="s">
        <v>547</v>
      </c>
      <c r="D382" s="29">
        <f>IFERROR(IFERROR(INDEX(Data!$E$7:$E$422,MATCH('2020'!$C382,Data!$C$7:$C$422,0)),INDEX(Data!$E$7:$E$422,MATCH('2020'!$A382,Data!$C$7:$C$422,0))),0)</f>
        <v>30421</v>
      </c>
      <c r="E382" s="29">
        <v>32615</v>
      </c>
      <c r="F382" s="29" t="s">
        <v>27</v>
      </c>
    </row>
    <row r="383" spans="2:6" x14ac:dyDescent="0.25">
      <c r="B383">
        <v>362</v>
      </c>
      <c r="C383" t="s">
        <v>548</v>
      </c>
      <c r="D383" s="29">
        <f>IFERROR(IFERROR(INDEX(Data!$E$7:$E$422,MATCH('2020'!$C383,Data!$C$7:$C$422,0)),INDEX(Data!$E$7:$E$422,MATCH('2020'!$A383,Data!$C$7:$C$422,0))),0)</f>
        <v>87115</v>
      </c>
      <c r="E383" s="29">
        <v>84196</v>
      </c>
      <c r="F383" s="29" t="s">
        <v>27</v>
      </c>
    </row>
    <row r="384" spans="2:6" x14ac:dyDescent="0.25">
      <c r="B384">
        <v>363</v>
      </c>
      <c r="C384" t="s">
        <v>549</v>
      </c>
      <c r="D384" s="29">
        <f>IFERROR(IFERROR(INDEX(Data!$E$7:$E$422,MATCH('2020'!$C384,Data!$C$7:$C$422,0)),INDEX(Data!$E$7:$E$422,MATCH('2020'!$A384,Data!$C$7:$C$422,0))),0)</f>
        <v>37037</v>
      </c>
      <c r="E384" s="29">
        <v>64827</v>
      </c>
      <c r="F384" s="29" t="s">
        <v>27</v>
      </c>
    </row>
    <row r="385" spans="2:7" x14ac:dyDescent="0.25">
      <c r="B385">
        <v>364</v>
      </c>
      <c r="C385" t="s">
        <v>550</v>
      </c>
      <c r="D385" s="29">
        <f>IFERROR(IFERROR(INDEX(Data!$E$7:$E$422,MATCH('2020'!$C385,Data!$C$7:$C$422,0)),INDEX(Data!$E$7:$E$422,MATCH('2020'!$A385,Data!$C$7:$C$422,0))),0)</f>
        <v>73174</v>
      </c>
      <c r="E385" s="29">
        <v>61540</v>
      </c>
      <c r="F385" s="29" t="s">
        <v>27</v>
      </c>
    </row>
    <row r="386" spans="2:7" x14ac:dyDescent="0.25">
      <c r="B386">
        <v>365</v>
      </c>
      <c r="C386" t="s">
        <v>551</v>
      </c>
      <c r="D386" s="29">
        <f>IFERROR(IFERROR(INDEX(Data!$E$7:$E$422,MATCH('2020'!$C386,Data!$C$7:$C$422,0)),INDEX(Data!$E$7:$E$422,MATCH('2020'!$A386,Data!$C$7:$C$422,0))),0)</f>
        <v>55582</v>
      </c>
      <c r="E386" s="29">
        <v>47968</v>
      </c>
      <c r="F386" s="29" t="s">
        <v>27</v>
      </c>
    </row>
    <row r="387" spans="2:7" x14ac:dyDescent="0.25">
      <c r="B387">
        <v>366</v>
      </c>
      <c r="C387" s="7" t="s">
        <v>552</v>
      </c>
      <c r="D387" s="29">
        <f>IFERROR(IFERROR(INDEX(Data!$E$7:$E$422,MATCH('2020'!$C387,Data!$C$7:$C$422,0)),INDEX(Data!$E$7:$E$422,MATCH('2020'!$A387,Data!$C$7:$C$422,0))),0)</f>
        <v>128477</v>
      </c>
      <c r="E387" s="29">
        <v>99282</v>
      </c>
      <c r="F387" s="29" t="s">
        <v>610</v>
      </c>
      <c r="G387" t="s">
        <v>151</v>
      </c>
    </row>
    <row r="388" spans="2:7" x14ac:dyDescent="0.25">
      <c r="B388">
        <v>367</v>
      </c>
      <c r="C388" t="s">
        <v>553</v>
      </c>
      <c r="D388" s="29">
        <f>IFERROR(IFERROR(INDEX(Data!$E$7:$E$422,MATCH('2020'!$C388,Data!$C$7:$C$422,0)),INDEX(Data!$E$7:$E$422,MATCH('2020'!$A388,Data!$C$7:$C$422,0))),0)</f>
        <v>51993</v>
      </c>
      <c r="E388" s="29">
        <v>43695</v>
      </c>
      <c r="F388" s="29" t="s">
        <v>29</v>
      </c>
    </row>
    <row r="389" spans="2:7" x14ac:dyDescent="0.25">
      <c r="B389">
        <v>368</v>
      </c>
      <c r="C389" t="s">
        <v>554</v>
      </c>
      <c r="D389" s="29">
        <f>IFERROR(IFERROR(INDEX(Data!$E$7:$E$422,MATCH('2020'!$C389,Data!$C$7:$C$422,0)),INDEX(Data!$E$7:$E$422,MATCH('2020'!$A389,Data!$C$7:$C$422,0))),0)</f>
        <v>223482</v>
      </c>
      <c r="E389" s="29">
        <v>194084</v>
      </c>
      <c r="F389" s="29" t="s">
        <v>29</v>
      </c>
    </row>
    <row r="390" spans="2:7" x14ac:dyDescent="0.25">
      <c r="B390">
        <v>369</v>
      </c>
      <c r="C390" t="s">
        <v>555</v>
      </c>
      <c r="D390" s="29">
        <f>IFERROR(IFERROR(INDEX(Data!$E$7:$E$422,MATCH('2020'!$C390,Data!$C$7:$C$422,0)),INDEX(Data!$E$7:$E$422,MATCH('2020'!$A390,Data!$C$7:$C$422,0))),0)</f>
        <v>77933</v>
      </c>
      <c r="E390" s="29">
        <v>80127</v>
      </c>
      <c r="F390" s="29" t="s">
        <v>29</v>
      </c>
    </row>
    <row r="391" spans="2:7" x14ac:dyDescent="0.25">
      <c r="B391">
        <v>370</v>
      </c>
      <c r="C391" t="s">
        <v>556</v>
      </c>
      <c r="D391" s="29">
        <f>IFERROR(IFERROR(INDEX(Data!$E$7:$E$422,MATCH('2020'!$C391,Data!$C$7:$C$422,0)),INDEX(Data!$E$7:$E$422,MATCH('2020'!$A391,Data!$C$7:$C$422,0))),0)</f>
        <v>505085</v>
      </c>
      <c r="E391" s="29">
        <v>536197</v>
      </c>
      <c r="F391" s="29" t="s">
        <v>30</v>
      </c>
    </row>
    <row r="392" spans="2:7" x14ac:dyDescent="0.25">
      <c r="B392">
        <v>371</v>
      </c>
      <c r="C392" t="s">
        <v>557</v>
      </c>
      <c r="D392" s="29">
        <f>IFERROR(IFERROR(INDEX(Data!$E$7:$E$422,MATCH('2020'!$C392,Data!$C$7:$C$422,0)),INDEX(Data!$E$7:$E$422,MATCH('2020'!$A392,Data!$C$7:$C$422,0))),0)</f>
        <v>119222</v>
      </c>
      <c r="E392" s="29">
        <v>107574</v>
      </c>
      <c r="F392" s="29" t="s">
        <v>30</v>
      </c>
    </row>
    <row r="393" spans="2:7" x14ac:dyDescent="0.25">
      <c r="B393">
        <v>372</v>
      </c>
      <c r="C393" t="s">
        <v>558</v>
      </c>
      <c r="D393" s="29">
        <f>IFERROR(IFERROR(INDEX(Data!$E$7:$E$422,MATCH('2020'!$C393,Data!$C$7:$C$422,0)),INDEX(Data!$E$7:$E$422,MATCH('2020'!$A393,Data!$C$7:$C$422,0))),0)</f>
        <v>111398</v>
      </c>
      <c r="E393" s="29">
        <v>119047</v>
      </c>
      <c r="F393" s="29" t="s">
        <v>30</v>
      </c>
    </row>
    <row r="394" spans="2:7" x14ac:dyDescent="0.25">
      <c r="B394">
        <v>373</v>
      </c>
      <c r="C394" t="s">
        <v>559</v>
      </c>
      <c r="D394" s="29">
        <f>IFERROR(IFERROR(INDEX(Data!$E$7:$E$422,MATCH('2020'!$C394,Data!$C$7:$C$422,0)),INDEX(Data!$E$7:$E$422,MATCH('2020'!$A394,Data!$C$7:$C$422,0))),0)</f>
        <v>178675</v>
      </c>
      <c r="E394" s="29">
        <v>134129</v>
      </c>
      <c r="F394" s="29" t="s">
        <v>30</v>
      </c>
    </row>
    <row r="395" spans="2:7" x14ac:dyDescent="0.25">
      <c r="B395">
        <v>374</v>
      </c>
      <c r="C395" t="s">
        <v>560</v>
      </c>
      <c r="D395" s="29">
        <f>IFERROR(IFERROR(INDEX(Data!$E$7:$E$422,MATCH('2020'!$C395,Data!$C$7:$C$422,0)),INDEX(Data!$E$7:$E$422,MATCH('2020'!$A395,Data!$C$7:$C$422,0))),0)</f>
        <v>61043</v>
      </c>
      <c r="E395" s="29">
        <v>79869</v>
      </c>
      <c r="F395" s="29" t="s">
        <v>30</v>
      </c>
    </row>
    <row r="396" spans="2:7" x14ac:dyDescent="0.25">
      <c r="B396">
        <v>375</v>
      </c>
      <c r="C396" t="s">
        <v>561</v>
      </c>
      <c r="D396" s="29">
        <f>IFERROR(IFERROR(INDEX(Data!$E$7:$E$422,MATCH('2020'!$C396,Data!$C$7:$C$422,0)),INDEX(Data!$E$7:$E$422,MATCH('2020'!$A396,Data!$C$7:$C$422,0))),0)</f>
        <v>97468</v>
      </c>
      <c r="E396" s="29">
        <v>88371</v>
      </c>
      <c r="F396" s="29" t="s">
        <v>30</v>
      </c>
    </row>
    <row r="397" spans="2:7" x14ac:dyDescent="0.25">
      <c r="B397">
        <v>376</v>
      </c>
      <c r="C397" t="s">
        <v>562</v>
      </c>
      <c r="D397" s="29">
        <f>IFERROR(IFERROR(INDEX(Data!$E$7:$E$422,MATCH('2020'!$C397,Data!$C$7:$C$422,0)),INDEX(Data!$E$7:$E$422,MATCH('2020'!$A397,Data!$C$7:$C$422,0))),0)</f>
        <v>36276</v>
      </c>
      <c r="E397" s="29">
        <v>39741</v>
      </c>
      <c r="F397" s="29" t="s">
        <v>30</v>
      </c>
    </row>
    <row r="398" spans="2:7" x14ac:dyDescent="0.25">
      <c r="B398">
        <v>377</v>
      </c>
      <c r="C398" t="s">
        <v>563</v>
      </c>
      <c r="D398" s="29">
        <f>IFERROR(IFERROR(INDEX(Data!$E$7:$E$422,MATCH('2020'!$C398,Data!$C$7:$C$422,0)),INDEX(Data!$E$7:$E$422,MATCH('2020'!$A398,Data!$C$7:$C$422,0))),0)</f>
        <v>920193</v>
      </c>
      <c r="E398" s="29">
        <v>851779</v>
      </c>
      <c r="F398" s="29" t="s">
        <v>30</v>
      </c>
    </row>
    <row r="399" spans="2:7" x14ac:dyDescent="0.25">
      <c r="B399">
        <v>378</v>
      </c>
      <c r="C399" t="s">
        <v>564</v>
      </c>
      <c r="D399" s="29">
        <f>IFERROR(IFERROR(INDEX(Data!$E$7:$E$422,MATCH('2020'!$C399,Data!$C$7:$C$422,0)),INDEX(Data!$E$7:$E$422,MATCH('2020'!$A399,Data!$C$7:$C$422,0))),0)</f>
        <v>197115</v>
      </c>
      <c r="E399" s="29">
        <v>163666</v>
      </c>
      <c r="F399" s="29" t="s">
        <v>30</v>
      </c>
    </row>
    <row r="400" spans="2:7" x14ac:dyDescent="0.25">
      <c r="B400">
        <v>379</v>
      </c>
      <c r="C400" t="s">
        <v>565</v>
      </c>
      <c r="D400" s="29">
        <f>IFERROR(IFERROR(INDEX(Data!$E$7:$E$422,MATCH('2020'!$C400,Data!$C$7:$C$422,0)),INDEX(Data!$E$7:$E$422,MATCH('2020'!$A400,Data!$C$7:$C$422,0))),0)</f>
        <v>60623</v>
      </c>
      <c r="E400" s="29">
        <v>47847</v>
      </c>
      <c r="F400" s="29" t="s">
        <v>30</v>
      </c>
    </row>
    <row r="401" spans="2:6" x14ac:dyDescent="0.25">
      <c r="B401">
        <v>380</v>
      </c>
      <c r="C401" t="s">
        <v>566</v>
      </c>
      <c r="D401" s="29">
        <f>IFERROR(IFERROR(INDEX(Data!$E$7:$E$422,MATCH('2020'!$C401,Data!$C$7:$C$422,0)),INDEX(Data!$E$7:$E$422,MATCH('2020'!$A401,Data!$C$7:$C$422,0))),0)</f>
        <v>137196</v>
      </c>
      <c r="E401" s="29">
        <v>107927</v>
      </c>
      <c r="F401" s="29" t="s">
        <v>30</v>
      </c>
    </row>
    <row r="402" spans="2:6" x14ac:dyDescent="0.25">
      <c r="B402">
        <v>381</v>
      </c>
      <c r="C402" t="s">
        <v>567</v>
      </c>
      <c r="D402" s="29">
        <f>IFERROR(IFERROR(INDEX(Data!$E$7:$E$422,MATCH('2020'!$C402,Data!$C$7:$C$422,0)),INDEX(Data!$E$7:$E$422,MATCH('2020'!$A402,Data!$C$7:$C$422,0))),0)</f>
        <v>56507</v>
      </c>
      <c r="E402" s="29">
        <v>51857</v>
      </c>
      <c r="F402" s="29" t="s">
        <v>30</v>
      </c>
    </row>
    <row r="403" spans="2:6" x14ac:dyDescent="0.25">
      <c r="B403">
        <v>382</v>
      </c>
      <c r="C403" t="s">
        <v>568</v>
      </c>
      <c r="D403" s="29">
        <f>IFERROR(IFERROR(INDEX(Data!$E$7:$E$422,MATCH('2020'!$C403,Data!$C$7:$C$422,0)),INDEX(Data!$E$7:$E$422,MATCH('2020'!$A403,Data!$C$7:$C$422,0))),0)</f>
        <v>59981</v>
      </c>
      <c r="E403" s="29">
        <v>41467</v>
      </c>
      <c r="F403" s="29" t="s">
        <v>30</v>
      </c>
    </row>
    <row r="404" spans="2:6" x14ac:dyDescent="0.25">
      <c r="B404">
        <v>383</v>
      </c>
      <c r="C404" t="s">
        <v>569</v>
      </c>
      <c r="D404" s="29">
        <f>IFERROR(IFERROR(INDEX(Data!$E$7:$E$422,MATCH('2020'!$C404,Data!$C$7:$C$422,0)),INDEX(Data!$E$7:$E$422,MATCH('2020'!$A404,Data!$C$7:$C$422,0))),0)</f>
        <v>21844</v>
      </c>
      <c r="E404" s="29">
        <v>18618</v>
      </c>
      <c r="F404" s="29" t="s">
        <v>31</v>
      </c>
    </row>
    <row r="405" spans="2:6" x14ac:dyDescent="0.25">
      <c r="B405">
        <v>384</v>
      </c>
      <c r="C405" t="s">
        <v>570</v>
      </c>
      <c r="D405" s="29">
        <f>IFERROR(IFERROR(INDEX(Data!$E$7:$E$422,MATCH('2020'!$C405,Data!$C$7:$C$422,0)),INDEX(Data!$E$7:$E$422,MATCH('2020'!$A405,Data!$C$7:$C$422,0))),0)</f>
        <v>41366</v>
      </c>
      <c r="E405" s="29">
        <v>41394</v>
      </c>
      <c r="F405" s="29" t="s">
        <v>31</v>
      </c>
    </row>
    <row r="406" spans="2:6" x14ac:dyDescent="0.25">
      <c r="B406">
        <v>385</v>
      </c>
      <c r="C406" t="s">
        <v>571</v>
      </c>
      <c r="D406" s="29">
        <f>IFERROR(IFERROR(INDEX(Data!$E$7:$E$422,MATCH('2020'!$C406,Data!$C$7:$C$422,0)),INDEX(Data!$E$7:$E$422,MATCH('2020'!$A406,Data!$C$7:$C$422,0))),0)</f>
        <v>45923</v>
      </c>
      <c r="E406" s="29">
        <v>37319</v>
      </c>
      <c r="F406" s="29" t="s">
        <v>31</v>
      </c>
    </row>
    <row r="407" spans="2:6" x14ac:dyDescent="0.25">
      <c r="B407">
        <v>386</v>
      </c>
      <c r="C407" t="s">
        <v>572</v>
      </c>
      <c r="D407" s="29">
        <f>IFERROR(IFERROR(INDEX(Data!$E$7:$E$422,MATCH('2020'!$C407,Data!$C$7:$C$422,0)),INDEX(Data!$E$7:$E$422,MATCH('2020'!$A407,Data!$C$7:$C$422,0))),0)</f>
        <v>37926</v>
      </c>
      <c r="E407" s="29">
        <v>47838</v>
      </c>
      <c r="F407" s="29" t="s">
        <v>31</v>
      </c>
    </row>
    <row r="408" spans="2:6" x14ac:dyDescent="0.25">
      <c r="B408">
        <v>387</v>
      </c>
      <c r="C408" t="s">
        <v>573</v>
      </c>
      <c r="D408" s="29">
        <f>IFERROR(IFERROR(INDEX(Data!$E$7:$E$422,MATCH('2020'!$C408,Data!$C$7:$C$422,0)),INDEX(Data!$E$7:$E$422,MATCH('2020'!$A408,Data!$C$7:$C$422,0))),0)</f>
        <v>21099</v>
      </c>
      <c r="E408" s="29">
        <v>14498</v>
      </c>
      <c r="F408" s="29" t="s">
        <v>31</v>
      </c>
    </row>
    <row r="409" spans="2:6" x14ac:dyDescent="0.25">
      <c r="B409">
        <v>388</v>
      </c>
      <c r="C409" t="s">
        <v>574</v>
      </c>
      <c r="D409" s="29">
        <f>IFERROR(IFERROR(INDEX(Data!$E$7:$E$422,MATCH('2020'!$C409,Data!$C$7:$C$422,0)),INDEX(Data!$E$7:$E$422,MATCH('2020'!$A409,Data!$C$7:$C$422,0))),0)</f>
        <v>16453</v>
      </c>
      <c r="E409" s="29">
        <v>12061</v>
      </c>
      <c r="F409" s="29" t="s">
        <v>31</v>
      </c>
    </row>
    <row r="410" spans="2:6" x14ac:dyDescent="0.25">
      <c r="B410">
        <v>389</v>
      </c>
      <c r="C410" t="s">
        <v>575</v>
      </c>
      <c r="D410" s="29">
        <f>IFERROR(IFERROR(INDEX(Data!$E$7:$E$422,MATCH('2020'!$C410,Data!$C$7:$C$422,0)),INDEX(Data!$E$7:$E$422,MATCH('2020'!$A410,Data!$C$7:$C$422,0))),0)</f>
        <v>34704</v>
      </c>
      <c r="E410" s="29">
        <v>38690</v>
      </c>
      <c r="F410" s="29" t="s">
        <v>31</v>
      </c>
    </row>
    <row r="411" spans="2:6" x14ac:dyDescent="0.25">
      <c r="B411">
        <v>390</v>
      </c>
      <c r="C411" t="s">
        <v>576</v>
      </c>
      <c r="D411" s="29">
        <f>IFERROR(IFERROR(INDEX(Data!$E$7:$E$422,MATCH('2020'!$C411,Data!$C$7:$C$422,0)),INDEX(Data!$E$7:$E$422,MATCH('2020'!$A411,Data!$C$7:$C$422,0))),0)</f>
        <v>86241</v>
      </c>
      <c r="E411" s="29">
        <v>62624</v>
      </c>
      <c r="F411" s="29" t="s">
        <v>31</v>
      </c>
    </row>
    <row r="412" spans="2:6" x14ac:dyDescent="0.25">
      <c r="B412">
        <v>391</v>
      </c>
      <c r="C412" t="s">
        <v>577</v>
      </c>
      <c r="D412" s="29">
        <f>IFERROR(IFERROR(INDEX(Data!$E$7:$E$422,MATCH('2020'!$C412,Data!$C$7:$C$422,0)),INDEX(Data!$E$7:$E$422,MATCH('2020'!$A412,Data!$C$7:$C$422,0))),0)</f>
        <v>182727</v>
      </c>
      <c r="E412" s="29">
        <v>220114</v>
      </c>
      <c r="F412" s="29" t="s">
        <v>21</v>
      </c>
    </row>
    <row r="413" spans="2:6" x14ac:dyDescent="0.25">
      <c r="B413">
        <v>392</v>
      </c>
      <c r="C413" t="s">
        <v>578</v>
      </c>
      <c r="D413" s="29">
        <f>IFERROR(IFERROR(INDEX(Data!$E$7:$E$422,MATCH('2020'!$C413,Data!$C$7:$C$422,0)),INDEX(Data!$E$7:$E$422,MATCH('2020'!$A413,Data!$C$7:$C$422,0))),0)</f>
        <v>314008</v>
      </c>
      <c r="E413" s="29">
        <v>357988</v>
      </c>
      <c r="F413" s="29" t="s">
        <v>21</v>
      </c>
    </row>
    <row r="414" spans="2:6" x14ac:dyDescent="0.25">
      <c r="B414">
        <v>393</v>
      </c>
      <c r="C414" t="s">
        <v>579</v>
      </c>
      <c r="D414" s="29">
        <f>IFERROR(IFERROR(INDEX(Data!$E$7:$E$422,MATCH('2020'!$C414,Data!$C$7:$C$422,0)),INDEX(Data!$E$7:$E$422,MATCH('2020'!$A414,Data!$C$7:$C$422,0))),0)</f>
        <v>372288</v>
      </c>
      <c r="E414" s="29">
        <v>329738</v>
      </c>
      <c r="F414" s="29" t="s">
        <v>21</v>
      </c>
    </row>
    <row r="415" spans="2:6" x14ac:dyDescent="0.25">
      <c r="B415">
        <v>394</v>
      </c>
      <c r="C415" t="s">
        <v>580</v>
      </c>
      <c r="D415" s="29">
        <f>IFERROR(IFERROR(INDEX(Data!$E$7:$E$422,MATCH('2020'!$C415,Data!$C$7:$C$422,0)),INDEX(Data!$E$7:$E$422,MATCH('2020'!$A415,Data!$C$7:$C$422,0))),0)</f>
        <v>87958</v>
      </c>
      <c r="E415" s="29">
        <v>106721</v>
      </c>
      <c r="F415" s="29" t="s">
        <v>21</v>
      </c>
    </row>
    <row r="416" spans="2:6" x14ac:dyDescent="0.25">
      <c r="B416">
        <v>395</v>
      </c>
      <c r="C416" t="s">
        <v>581</v>
      </c>
      <c r="D416" s="29">
        <f>IFERROR(IFERROR(INDEX(Data!$E$7:$E$422,MATCH('2020'!$C416,Data!$C$7:$C$422,0)),INDEX(Data!$E$7:$E$422,MATCH('2020'!$A416,Data!$C$7:$C$422,0))),0)</f>
        <v>145658</v>
      </c>
      <c r="E416" s="29">
        <v>132650</v>
      </c>
      <c r="F416" s="29" t="s">
        <v>19</v>
      </c>
    </row>
    <row r="417" spans="2:6" x14ac:dyDescent="0.25">
      <c r="B417">
        <v>396</v>
      </c>
      <c r="C417" t="s">
        <v>582</v>
      </c>
      <c r="D417" s="29">
        <f>IFERROR(IFERROR(INDEX(Data!$E$7:$E$422,MATCH('2020'!$C417,Data!$C$7:$C$422,0)),INDEX(Data!$E$7:$E$422,MATCH('2020'!$A417,Data!$C$7:$C$422,0))),0)</f>
        <v>22248</v>
      </c>
      <c r="E417" s="29">
        <v>17710</v>
      </c>
      <c r="F417" s="29" t="s">
        <v>17</v>
      </c>
    </row>
    <row r="418" spans="2:6" x14ac:dyDescent="0.25">
      <c r="B418">
        <v>397</v>
      </c>
      <c r="C418" t="s">
        <v>583</v>
      </c>
      <c r="D418" s="29">
        <f>IFERROR(IFERROR(INDEX(Data!$E$7:$E$422,MATCH('2020'!$C418,Data!$C$7:$C$422,0)),INDEX(Data!$E$7:$E$422,MATCH('2020'!$A418,Data!$C$7:$C$422,0))),0)</f>
        <v>43937</v>
      </c>
      <c r="E418" s="29">
        <v>38551</v>
      </c>
      <c r="F418" s="29" t="s">
        <v>17</v>
      </c>
    </row>
    <row r="419" spans="2:6" x14ac:dyDescent="0.25">
      <c r="B419">
        <v>398</v>
      </c>
      <c r="C419" t="s">
        <v>584</v>
      </c>
      <c r="D419" s="29">
        <f>IFERROR(IFERROR(INDEX(Data!$E$7:$E$422,MATCH('2020'!$C419,Data!$C$7:$C$422,0)),INDEX(Data!$E$7:$E$422,MATCH('2020'!$A419,Data!$C$7:$C$422,0))),0)</f>
        <v>23863</v>
      </c>
      <c r="E419" s="29">
        <v>18535</v>
      </c>
      <c r="F419" s="29" t="s">
        <v>17</v>
      </c>
    </row>
    <row r="420" spans="2:6" x14ac:dyDescent="0.25">
      <c r="B420">
        <v>399</v>
      </c>
      <c r="C420" t="s">
        <v>585</v>
      </c>
      <c r="D420" s="29">
        <f>IFERROR(IFERROR(INDEX(Data!$E$7:$E$422,MATCH('2020'!$C420,Data!$C$7:$C$422,0)),INDEX(Data!$E$7:$E$422,MATCH('2020'!$A420,Data!$C$7:$C$422,0))),0)</f>
        <v>63090</v>
      </c>
      <c r="E420" s="29">
        <v>46935</v>
      </c>
      <c r="F420" s="29" t="s">
        <v>30</v>
      </c>
    </row>
    <row r="421" spans="2:6" x14ac:dyDescent="0.25">
      <c r="B421">
        <v>400</v>
      </c>
      <c r="C421" t="s">
        <v>586</v>
      </c>
      <c r="D421" s="29">
        <f>IFERROR(IFERROR(INDEX(Data!$E$7:$E$422,MATCH('2020'!$C421,Data!$C$7:$C$422,0)),INDEX(Data!$E$7:$E$422,MATCH('2020'!$A421,Data!$C$7:$C$422,0))),0)</f>
        <v>25257</v>
      </c>
      <c r="E421" s="29">
        <v>21108</v>
      </c>
      <c r="F421" s="29" t="s">
        <v>30</v>
      </c>
    </row>
    <row r="422" spans="2:6" x14ac:dyDescent="0.25">
      <c r="B422">
        <v>401</v>
      </c>
      <c r="C422" t="s">
        <v>587</v>
      </c>
      <c r="D422" s="29">
        <f>IFERROR(IFERROR(INDEX(Data!$E$7:$E$422,MATCH('2020'!$C422,Data!$C$7:$C$422,0)),INDEX(Data!$E$7:$E$422,MATCH('2020'!$A422,Data!$C$7:$C$422,0))),0)</f>
        <v>28935</v>
      </c>
      <c r="E422" s="29">
        <v>24292</v>
      </c>
      <c r="F422" s="29" t="s">
        <v>30</v>
      </c>
    </row>
    <row r="423" spans="2:6" x14ac:dyDescent="0.25">
      <c r="B423">
        <v>402</v>
      </c>
      <c r="C423" t="s">
        <v>588</v>
      </c>
      <c r="D423" s="29">
        <f>IFERROR(IFERROR(INDEX(Data!$E$7:$E$422,MATCH('2020'!$C423,Data!$C$7:$C$422,0)),INDEX(Data!$E$7:$E$422,MATCH('2020'!$A423,Data!$C$7:$C$422,0))),0)</f>
        <v>64064</v>
      </c>
      <c r="E423" s="29">
        <v>63774</v>
      </c>
      <c r="F423" s="29" t="s">
        <v>30</v>
      </c>
    </row>
    <row r="424" spans="2:6" x14ac:dyDescent="0.25">
      <c r="B424">
        <v>403</v>
      </c>
      <c r="C424" t="s">
        <v>589</v>
      </c>
      <c r="D424" s="29">
        <f>IFERROR(IFERROR(INDEX(Data!$E$7:$E$422,MATCH('2020'!$C424,Data!$C$7:$C$422,0)),INDEX(Data!$E$7:$E$422,MATCH('2020'!$A424,Data!$C$7:$C$422,0))),0)</f>
        <v>102731</v>
      </c>
      <c r="E424" s="29">
        <v>77318</v>
      </c>
      <c r="F424" s="29" t="s">
        <v>30</v>
      </c>
    </row>
    <row r="425" spans="2:6" x14ac:dyDescent="0.25">
      <c r="B425">
        <v>404</v>
      </c>
      <c r="C425" t="s">
        <v>590</v>
      </c>
      <c r="D425" s="29">
        <f>IFERROR(IFERROR(INDEX(Data!$E$7:$E$422,MATCH('2020'!$C425,Data!$C$7:$C$422,0)),INDEX(Data!$E$7:$E$422,MATCH('2020'!$A425,Data!$C$7:$C$422,0))),0)</f>
        <v>65054</v>
      </c>
      <c r="E425" s="29">
        <v>57114</v>
      </c>
      <c r="F425" s="29" t="s">
        <v>30</v>
      </c>
    </row>
    <row r="426" spans="2:6" x14ac:dyDescent="0.25">
      <c r="B426">
        <v>405</v>
      </c>
      <c r="C426" t="s">
        <v>591</v>
      </c>
      <c r="D426" s="29">
        <f>IFERROR(IFERROR(INDEX(Data!$E$7:$E$422,MATCH('2020'!$C426,Data!$C$7:$C$422,0)),INDEX(Data!$E$7:$E$422,MATCH('2020'!$A426,Data!$C$7:$C$422,0))),0)</f>
        <v>124954</v>
      </c>
      <c r="E426" s="29">
        <v>77173</v>
      </c>
      <c r="F426" s="29" t="s">
        <v>30</v>
      </c>
    </row>
    <row r="427" spans="2:6" x14ac:dyDescent="0.25">
      <c r="B427">
        <v>406</v>
      </c>
      <c r="C427" t="s">
        <v>592</v>
      </c>
      <c r="D427" s="29">
        <f>IFERROR(IFERROR(INDEX(Data!$E$7:$E$422,MATCH('2020'!$C427,Data!$C$7:$C$422,0)),INDEX(Data!$E$7:$E$422,MATCH('2020'!$A427,Data!$C$7:$C$422,0))),0)</f>
        <v>22456</v>
      </c>
      <c r="E427" s="29">
        <v>18860</v>
      </c>
      <c r="F427" s="29" t="s">
        <v>32</v>
      </c>
    </row>
    <row r="428" spans="2:6" x14ac:dyDescent="0.25">
      <c r="B428">
        <v>407</v>
      </c>
      <c r="C428" t="s">
        <v>593</v>
      </c>
      <c r="D428" s="29">
        <f>IFERROR(IFERROR(INDEX(Data!$E$7:$E$422,MATCH('2020'!$C428,Data!$C$7:$C$422,0)),INDEX(Data!$E$7:$E$422,MATCH('2020'!$A428,Data!$C$7:$C$422,0))),0)</f>
        <v>725989</v>
      </c>
      <c r="E428" s="29">
        <v>644225</v>
      </c>
      <c r="F428" s="29" t="s">
        <v>28</v>
      </c>
    </row>
    <row r="429" spans="2:6" x14ac:dyDescent="0.25">
      <c r="B429">
        <v>408</v>
      </c>
      <c r="C429" t="s">
        <v>594</v>
      </c>
      <c r="D429" s="29">
        <f>IFERROR(IFERROR(INDEX(Data!$E$7:$E$422,MATCH('2020'!$C429,Data!$C$7:$C$422,0)),INDEX(Data!$E$7:$E$422,MATCH('2020'!$A429,Data!$C$7:$C$422,0))),0)</f>
        <v>495826</v>
      </c>
      <c r="E429" s="29">
        <v>476660</v>
      </c>
      <c r="F429" s="29" t="s">
        <v>28</v>
      </c>
    </row>
    <row r="430" spans="2:6" x14ac:dyDescent="0.25">
      <c r="B430">
        <v>409</v>
      </c>
      <c r="C430" t="s">
        <v>595</v>
      </c>
      <c r="D430" s="29">
        <f>IFERROR(IFERROR(INDEX(Data!$E$7:$E$422,MATCH('2020'!$C430,Data!$C$7:$C$422,0)),INDEX(Data!$E$7:$E$422,MATCH('2020'!$A430,Data!$C$7:$C$422,0))),0)</f>
        <v>75470</v>
      </c>
      <c r="E430" s="29">
        <v>48488</v>
      </c>
      <c r="F430" s="29" t="s">
        <v>28</v>
      </c>
    </row>
    <row r="431" spans="2:6" x14ac:dyDescent="0.25">
      <c r="B431">
        <v>410</v>
      </c>
      <c r="C431" t="s">
        <v>596</v>
      </c>
      <c r="D431" s="29">
        <f>IFERROR(IFERROR(INDEX(Data!$E$7:$E$422,MATCH('2020'!$C431,Data!$C$7:$C$422,0)),INDEX(Data!$E$7:$E$422,MATCH('2020'!$A431,Data!$C$7:$C$422,0))),0)</f>
        <v>16723</v>
      </c>
      <c r="E431" s="29">
        <v>12893</v>
      </c>
      <c r="F431" s="29" t="s">
        <v>28</v>
      </c>
    </row>
    <row r="432" spans="2:6" x14ac:dyDescent="0.25">
      <c r="B432">
        <v>411</v>
      </c>
      <c r="C432" t="s">
        <v>597</v>
      </c>
      <c r="D432" s="29">
        <f>IFERROR(IFERROR(INDEX(Data!$E$7:$E$422,MATCH('2020'!$C432,Data!$C$7:$C$422,0)),INDEX(Data!$E$7:$E$422,MATCH('2020'!$A432,Data!$C$7:$C$422,0))),0)</f>
        <v>8341</v>
      </c>
      <c r="E432" s="29">
        <v>18987</v>
      </c>
      <c r="F432" s="29" t="s">
        <v>28</v>
      </c>
    </row>
    <row r="433" spans="1:6" x14ac:dyDescent="0.25">
      <c r="A433" t="s">
        <v>651</v>
      </c>
      <c r="B433">
        <v>412</v>
      </c>
      <c r="C433" t="s">
        <v>598</v>
      </c>
      <c r="D433" s="29">
        <f>IFERROR(IFERROR(INDEX(Data!$E$7:$E$422,MATCH('2020'!$C433,Data!$C$7:$C$422,0)),INDEX(Data!$E$7:$E$422,MATCH('2020'!$A433,Data!$C$7:$C$422,0))),0)</f>
        <v>1160963</v>
      </c>
      <c r="E433" s="29">
        <v>950068</v>
      </c>
      <c r="F433" s="29" t="s">
        <v>28</v>
      </c>
    </row>
    <row r="434" spans="1:6" x14ac:dyDescent="0.25">
      <c r="A434" t="s">
        <v>652</v>
      </c>
      <c r="B434">
        <v>413</v>
      </c>
      <c r="C434" t="s">
        <v>599</v>
      </c>
      <c r="D434" s="29">
        <f>IFERROR(IFERROR(INDEX(Data!$E$7:$E$422,MATCH('2020'!$C434,Data!$C$7:$C$422,0)),INDEX(Data!$E$7:$E$422,MATCH('2020'!$A434,Data!$C$7:$C$422,0))),0)</f>
        <v>350864</v>
      </c>
      <c r="E434" s="29">
        <v>302476</v>
      </c>
      <c r="F434" s="29" t="s">
        <v>28</v>
      </c>
    </row>
    <row r="435" spans="1:6" x14ac:dyDescent="0.25">
      <c r="A435" t="s">
        <v>653</v>
      </c>
      <c r="B435">
        <v>414</v>
      </c>
      <c r="C435" t="s">
        <v>600</v>
      </c>
      <c r="D435" s="29">
        <f>IFERROR(IFERROR(INDEX(Data!$E$7:$E$422,MATCH('2020'!$C435,Data!$C$7:$C$422,0)),INDEX(Data!$E$7:$E$422,MATCH('2020'!$A435,Data!$C$7:$C$422,0))),0)</f>
        <v>1084776</v>
      </c>
      <c r="E435" s="29">
        <v>906283</v>
      </c>
      <c r="F435" s="29" t="s">
        <v>28</v>
      </c>
    </row>
    <row r="436" spans="1:6" x14ac:dyDescent="0.25">
      <c r="A436" t="s">
        <v>601</v>
      </c>
      <c r="B436">
        <v>415</v>
      </c>
      <c r="C436" t="s">
        <v>601</v>
      </c>
      <c r="D436" s="29">
        <f>IFERROR(IFERROR(INDEX(Data!$E$7:$E$422,MATCH('2020'!$C436,Data!$C$7:$C$422,0)),INDEX(Data!$E$7:$E$422,MATCH('2020'!$A436,Data!$C$7:$C$422,0))),0)</f>
        <v>8975</v>
      </c>
      <c r="E436" s="29">
        <v>8234</v>
      </c>
      <c r="F436" s="29" t="s">
        <v>28</v>
      </c>
    </row>
    <row r="437" spans="1:6" x14ac:dyDescent="0.25">
      <c r="A437" t="s">
        <v>602</v>
      </c>
      <c r="B437">
        <v>416</v>
      </c>
      <c r="C437" t="s">
        <v>602</v>
      </c>
      <c r="D437" s="29">
        <f>IFERROR(IFERROR(INDEX(Data!$E$7:$E$422,MATCH('2020'!$C437,Data!$C$7:$C$422,0)),INDEX(Data!$E$7:$E$422,MATCH('2020'!$A437,Data!$C$7:$C$422,0))),0)</f>
        <v>63246</v>
      </c>
      <c r="E437" s="29">
        <v>48429</v>
      </c>
      <c r="F437" s="29" t="s">
        <v>28</v>
      </c>
    </row>
    <row r="438" spans="1:6" x14ac:dyDescent="0.25">
      <c r="A438" t="s">
        <v>603</v>
      </c>
      <c r="B438">
        <v>417</v>
      </c>
      <c r="C438" t="s">
        <v>603</v>
      </c>
      <c r="D438" s="29">
        <f>IFERROR(IFERROR(INDEX(Data!$E$7:$E$422,MATCH('2020'!$C438,Data!$C$7:$C$422,0)),INDEX(Data!$E$7:$E$422,MATCH('2020'!$A438,Data!$C$7:$C$422,0))),0)</f>
        <v>276434</v>
      </c>
      <c r="E438" s="29">
        <v>236546</v>
      </c>
      <c r="F438" s="29" t="s">
        <v>28</v>
      </c>
    </row>
    <row r="439" spans="1:6" x14ac:dyDescent="0.25">
      <c r="E439" s="29">
        <f>SUM(E22:E438)</f>
        <v>35173738</v>
      </c>
    </row>
    <row r="440" spans="1:6" x14ac:dyDescent="0.25">
      <c r="E440" s="29">
        <f>SUM(Data!F7:F420)*1000</f>
        <v>41449282000</v>
      </c>
    </row>
    <row r="441" spans="1:6" x14ac:dyDescent="0.25">
      <c r="E441" s="29"/>
    </row>
    <row r="442" spans="1:6" x14ac:dyDescent="0.25">
      <c r="E442" s="29"/>
    </row>
    <row r="443" spans="1:6" x14ac:dyDescent="0.25">
      <c r="E443" s="29"/>
    </row>
    <row r="444" spans="1:6" x14ac:dyDescent="0.25">
      <c r="E444" s="29"/>
    </row>
    <row r="445" spans="1:6" x14ac:dyDescent="0.25">
      <c r="E445" s="29"/>
    </row>
    <row r="446" spans="1:6" x14ac:dyDescent="0.25">
      <c r="E446" s="29"/>
    </row>
    <row r="447" spans="1:6" x14ac:dyDescent="0.25">
      <c r="E447" s="29"/>
    </row>
    <row r="448" spans="1:6" x14ac:dyDescent="0.25">
      <c r="E448" s="29"/>
    </row>
    <row r="449" spans="5:5" x14ac:dyDescent="0.25">
      <c r="E449" s="29"/>
    </row>
    <row r="450" spans="5:5" x14ac:dyDescent="0.25">
      <c r="E450" s="29"/>
    </row>
  </sheetData>
  <hyperlinks>
    <hyperlink ref="B6" r:id="rId1" xr:uid="{30A77230-EAEE-487C-A63A-0DF67AD96F69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D54-E14C-4EF6-BE37-B1A194B8486D}">
  <dimension ref="B2:T422"/>
  <sheetViews>
    <sheetView workbookViewId="0">
      <selection activeCell="C422" sqref="C422"/>
    </sheetView>
  </sheetViews>
  <sheetFormatPr defaultRowHeight="15" x14ac:dyDescent="0.25"/>
  <cols>
    <col min="3" max="3" width="40.140625" customWidth="1"/>
    <col min="4" max="4" width="9.28515625" customWidth="1"/>
    <col min="13" max="13" width="67.5703125" bestFit="1" customWidth="1"/>
    <col min="14" max="15" width="9.140625" customWidth="1"/>
  </cols>
  <sheetData>
    <row r="2" spans="2:20" x14ac:dyDescent="0.25">
      <c r="B2" t="s">
        <v>77</v>
      </c>
    </row>
    <row r="3" spans="2:20" x14ac:dyDescent="0.25">
      <c r="B3" t="s">
        <v>77</v>
      </c>
    </row>
    <row r="4" spans="2:20" x14ac:dyDescent="0.25">
      <c r="B4" t="s">
        <v>643</v>
      </c>
    </row>
    <row r="5" spans="2:20" x14ac:dyDescent="0.25">
      <c r="B5" t="s">
        <v>80</v>
      </c>
      <c r="D5">
        <v>2019</v>
      </c>
      <c r="E5">
        <v>2020</v>
      </c>
      <c r="F5">
        <v>2021</v>
      </c>
      <c r="G5">
        <v>2022</v>
      </c>
      <c r="H5">
        <v>2023</v>
      </c>
      <c r="I5">
        <v>2024</v>
      </c>
    </row>
    <row r="7" spans="2:20" x14ac:dyDescent="0.25">
      <c r="B7" t="s">
        <v>80</v>
      </c>
      <c r="D7">
        <v>2019</v>
      </c>
      <c r="E7">
        <v>2020</v>
      </c>
      <c r="F7">
        <v>2021</v>
      </c>
      <c r="G7">
        <v>2022</v>
      </c>
      <c r="H7">
        <v>2023</v>
      </c>
      <c r="I7">
        <v>2024</v>
      </c>
      <c r="L7" t="s">
        <v>80</v>
      </c>
      <c r="N7">
        <v>2019</v>
      </c>
      <c r="O7">
        <v>2020</v>
      </c>
      <c r="P7">
        <v>2021</v>
      </c>
      <c r="Q7">
        <v>2022</v>
      </c>
      <c r="R7">
        <v>2023</v>
      </c>
      <c r="S7">
        <v>2024</v>
      </c>
      <c r="T7" t="s">
        <v>734</v>
      </c>
    </row>
    <row r="8" spans="2:20" x14ac:dyDescent="0.25">
      <c r="L8" t="s">
        <v>80</v>
      </c>
    </row>
    <row r="9" spans="2:20" x14ac:dyDescent="0.25">
      <c r="B9">
        <v>1</v>
      </c>
      <c r="C9" t="s">
        <v>83</v>
      </c>
      <c r="D9">
        <v>32802</v>
      </c>
      <c r="E9">
        <v>40795</v>
      </c>
      <c r="F9">
        <v>50804</v>
      </c>
      <c r="G9">
        <v>61308</v>
      </c>
      <c r="H9">
        <v>59570</v>
      </c>
      <c r="I9">
        <v>50014</v>
      </c>
      <c r="J9">
        <f>MAX(D9:E9)</f>
        <v>40795</v>
      </c>
      <c r="L9">
        <v>1</v>
      </c>
      <c r="M9" t="s">
        <v>732</v>
      </c>
      <c r="N9">
        <v>37657950</v>
      </c>
      <c r="O9">
        <v>36714631</v>
      </c>
      <c r="P9">
        <v>41833267</v>
      </c>
      <c r="Q9">
        <v>46611237</v>
      </c>
      <c r="R9">
        <v>48540274</v>
      </c>
      <c r="S9">
        <v>50736556</v>
      </c>
    </row>
    <row r="10" spans="2:20" x14ac:dyDescent="0.25">
      <c r="B10">
        <v>2</v>
      </c>
      <c r="C10" t="s">
        <v>85</v>
      </c>
      <c r="D10">
        <v>57928</v>
      </c>
      <c r="E10">
        <v>58805</v>
      </c>
      <c r="F10">
        <v>88800</v>
      </c>
      <c r="G10">
        <v>100579</v>
      </c>
      <c r="H10">
        <v>96996</v>
      </c>
      <c r="I10">
        <v>82647</v>
      </c>
      <c r="J10">
        <f t="shared" ref="J10:J73" si="0">MAX(D10:E10)</f>
        <v>58805</v>
      </c>
      <c r="L10">
        <v>2</v>
      </c>
      <c r="M10" t="s">
        <v>613</v>
      </c>
      <c r="N10">
        <v>33529504</v>
      </c>
      <c r="O10">
        <v>32447026</v>
      </c>
      <c r="P10">
        <v>37249071</v>
      </c>
      <c r="Q10">
        <v>41698346</v>
      </c>
      <c r="R10">
        <v>43405580</v>
      </c>
      <c r="S10">
        <v>45309058</v>
      </c>
      <c r="T10">
        <f>MAX(N10:O10)</f>
        <v>33529504</v>
      </c>
    </row>
    <row r="11" spans="2:20" x14ac:dyDescent="0.25">
      <c r="B11">
        <v>3</v>
      </c>
      <c r="C11" t="s">
        <v>87</v>
      </c>
      <c r="D11">
        <v>16191</v>
      </c>
      <c r="E11">
        <v>18503</v>
      </c>
      <c r="F11">
        <v>18587</v>
      </c>
      <c r="G11">
        <v>22635</v>
      </c>
      <c r="H11">
        <v>26000</v>
      </c>
      <c r="I11">
        <v>26862</v>
      </c>
      <c r="J11">
        <f t="shared" si="0"/>
        <v>18503</v>
      </c>
      <c r="L11">
        <v>3</v>
      </c>
      <c r="M11" t="s">
        <v>654</v>
      </c>
      <c r="N11">
        <v>439049</v>
      </c>
      <c r="O11">
        <v>444752</v>
      </c>
      <c r="P11">
        <v>537043</v>
      </c>
      <c r="Q11">
        <v>642234</v>
      </c>
      <c r="R11">
        <v>638002</v>
      </c>
      <c r="S11">
        <v>633845</v>
      </c>
      <c r="T11">
        <f t="shared" ref="T11:T74" si="1">MAX(N11:O11)</f>
        <v>444752</v>
      </c>
    </row>
    <row r="12" spans="2:20" x14ac:dyDescent="0.25">
      <c r="B12">
        <v>4</v>
      </c>
      <c r="C12" t="s">
        <v>89</v>
      </c>
      <c r="D12">
        <v>27885</v>
      </c>
      <c r="E12">
        <v>26875</v>
      </c>
      <c r="F12">
        <v>30897</v>
      </c>
      <c r="G12">
        <v>26196</v>
      </c>
      <c r="H12">
        <v>30045</v>
      </c>
      <c r="I12">
        <v>30307</v>
      </c>
      <c r="J12">
        <f t="shared" si="0"/>
        <v>27885</v>
      </c>
      <c r="L12">
        <v>4</v>
      </c>
      <c r="M12" t="s">
        <v>655</v>
      </c>
      <c r="N12">
        <v>388056</v>
      </c>
      <c r="O12">
        <v>390908</v>
      </c>
      <c r="P12">
        <v>475382</v>
      </c>
      <c r="Q12">
        <v>576676</v>
      </c>
      <c r="R12">
        <v>569973</v>
      </c>
      <c r="S12">
        <v>565706</v>
      </c>
      <c r="T12">
        <f t="shared" si="1"/>
        <v>390908</v>
      </c>
    </row>
    <row r="13" spans="2:20" x14ac:dyDescent="0.25">
      <c r="B13">
        <v>5</v>
      </c>
      <c r="C13" t="s">
        <v>91</v>
      </c>
      <c r="D13">
        <v>23547</v>
      </c>
      <c r="E13">
        <v>24529</v>
      </c>
      <c r="F13">
        <v>27819</v>
      </c>
      <c r="G13">
        <v>30483</v>
      </c>
      <c r="H13">
        <v>30868</v>
      </c>
      <c r="I13">
        <v>31895</v>
      </c>
      <c r="J13">
        <f t="shared" si="0"/>
        <v>24529</v>
      </c>
      <c r="L13">
        <v>5</v>
      </c>
      <c r="M13" t="s">
        <v>656</v>
      </c>
      <c r="N13">
        <v>50994</v>
      </c>
      <c r="O13">
        <v>53844</v>
      </c>
      <c r="P13">
        <v>61661</v>
      </c>
      <c r="Q13">
        <v>65557</v>
      </c>
      <c r="R13">
        <v>68029</v>
      </c>
      <c r="S13">
        <v>68139</v>
      </c>
      <c r="T13">
        <f t="shared" si="1"/>
        <v>53844</v>
      </c>
    </row>
    <row r="14" spans="2:20" x14ac:dyDescent="0.25">
      <c r="B14">
        <v>6</v>
      </c>
      <c r="C14" t="s">
        <v>93</v>
      </c>
      <c r="D14">
        <v>23444</v>
      </c>
      <c r="E14">
        <v>25675</v>
      </c>
      <c r="F14">
        <v>30834</v>
      </c>
      <c r="G14">
        <v>34221</v>
      </c>
      <c r="H14">
        <v>33804</v>
      </c>
      <c r="I14">
        <v>29353</v>
      </c>
      <c r="J14">
        <f t="shared" si="0"/>
        <v>25675</v>
      </c>
      <c r="L14">
        <v>6</v>
      </c>
      <c r="M14" t="s">
        <v>657</v>
      </c>
      <c r="N14">
        <v>557731</v>
      </c>
      <c r="O14">
        <v>384096</v>
      </c>
      <c r="P14">
        <v>613489</v>
      </c>
      <c r="Q14">
        <v>890587</v>
      </c>
      <c r="R14">
        <v>724521</v>
      </c>
      <c r="S14">
        <v>706405</v>
      </c>
      <c r="T14">
        <f t="shared" si="1"/>
        <v>557731</v>
      </c>
    </row>
    <row r="15" spans="2:20" x14ac:dyDescent="0.25">
      <c r="B15">
        <v>7</v>
      </c>
      <c r="C15" t="s">
        <v>95</v>
      </c>
      <c r="D15">
        <v>41485</v>
      </c>
      <c r="E15">
        <v>41308</v>
      </c>
      <c r="F15">
        <v>42813</v>
      </c>
      <c r="G15">
        <v>58585</v>
      </c>
      <c r="H15">
        <v>47274</v>
      </c>
      <c r="I15">
        <v>52126</v>
      </c>
      <c r="J15">
        <f t="shared" si="0"/>
        <v>41485</v>
      </c>
      <c r="L15">
        <v>7</v>
      </c>
      <c r="M15" t="s">
        <v>42</v>
      </c>
      <c r="N15">
        <v>316004</v>
      </c>
      <c r="O15">
        <v>211097</v>
      </c>
      <c r="P15">
        <v>419977</v>
      </c>
      <c r="Q15">
        <v>653803</v>
      </c>
      <c r="R15">
        <v>467668</v>
      </c>
      <c r="S15">
        <v>455994</v>
      </c>
      <c r="T15">
        <f t="shared" si="1"/>
        <v>316004</v>
      </c>
    </row>
    <row r="16" spans="2:20" x14ac:dyDescent="0.25">
      <c r="B16">
        <v>8</v>
      </c>
      <c r="C16" t="s">
        <v>97</v>
      </c>
      <c r="D16">
        <v>92823</v>
      </c>
      <c r="E16">
        <v>88337</v>
      </c>
      <c r="F16">
        <v>103861</v>
      </c>
      <c r="G16">
        <v>123955</v>
      </c>
      <c r="H16">
        <v>134266</v>
      </c>
      <c r="I16">
        <v>141304</v>
      </c>
      <c r="J16">
        <f t="shared" si="0"/>
        <v>92823</v>
      </c>
      <c r="L16">
        <v>8</v>
      </c>
      <c r="M16" t="s">
        <v>658</v>
      </c>
      <c r="N16">
        <v>106096</v>
      </c>
      <c r="O16">
        <v>96699</v>
      </c>
      <c r="P16">
        <v>117123</v>
      </c>
      <c r="Q16">
        <v>138074</v>
      </c>
      <c r="R16">
        <v>141258</v>
      </c>
      <c r="S16">
        <v>139851</v>
      </c>
      <c r="T16">
        <f t="shared" si="1"/>
        <v>106096</v>
      </c>
    </row>
    <row r="17" spans="2:20" x14ac:dyDescent="0.25">
      <c r="B17">
        <v>9</v>
      </c>
      <c r="C17" t="s">
        <v>99</v>
      </c>
      <c r="D17">
        <v>40460</v>
      </c>
      <c r="E17">
        <v>35787</v>
      </c>
      <c r="F17">
        <v>46274</v>
      </c>
      <c r="G17">
        <v>77070</v>
      </c>
      <c r="H17">
        <v>67361</v>
      </c>
      <c r="I17">
        <v>75391</v>
      </c>
      <c r="J17">
        <f t="shared" si="0"/>
        <v>40460</v>
      </c>
      <c r="L17">
        <v>9</v>
      </c>
      <c r="M17" t="s">
        <v>659</v>
      </c>
      <c r="N17">
        <v>135631</v>
      </c>
      <c r="O17">
        <v>76300</v>
      </c>
      <c r="P17">
        <v>76389</v>
      </c>
      <c r="Q17">
        <v>98710</v>
      </c>
      <c r="R17">
        <v>115595</v>
      </c>
      <c r="S17">
        <v>110560</v>
      </c>
      <c r="T17">
        <f t="shared" si="1"/>
        <v>135631</v>
      </c>
    </row>
    <row r="18" spans="2:20" x14ac:dyDescent="0.25">
      <c r="B18">
        <v>10</v>
      </c>
      <c r="C18" t="s">
        <v>101</v>
      </c>
      <c r="D18">
        <v>31491</v>
      </c>
      <c r="E18">
        <v>30293</v>
      </c>
      <c r="F18">
        <v>34691</v>
      </c>
      <c r="G18">
        <v>41642</v>
      </c>
      <c r="H18">
        <v>43787</v>
      </c>
      <c r="I18">
        <v>45807</v>
      </c>
      <c r="J18">
        <f t="shared" si="0"/>
        <v>31491</v>
      </c>
      <c r="L18">
        <v>10</v>
      </c>
      <c r="M18" t="s">
        <v>660</v>
      </c>
      <c r="N18">
        <v>517969</v>
      </c>
      <c r="O18">
        <v>494044</v>
      </c>
      <c r="P18">
        <v>594184</v>
      </c>
      <c r="Q18">
        <v>699153</v>
      </c>
      <c r="R18">
        <v>645735</v>
      </c>
      <c r="S18">
        <v>643271</v>
      </c>
      <c r="T18">
        <f t="shared" si="1"/>
        <v>517969</v>
      </c>
    </row>
    <row r="19" spans="2:20" x14ac:dyDescent="0.25">
      <c r="B19">
        <v>11</v>
      </c>
      <c r="C19" t="s">
        <v>103</v>
      </c>
      <c r="D19">
        <v>17429</v>
      </c>
      <c r="E19">
        <v>20141</v>
      </c>
      <c r="F19">
        <v>24822</v>
      </c>
      <c r="G19">
        <v>26054</v>
      </c>
      <c r="H19">
        <v>26659</v>
      </c>
      <c r="I19">
        <v>26473</v>
      </c>
      <c r="J19">
        <f t="shared" si="0"/>
        <v>20141</v>
      </c>
      <c r="L19">
        <v>11</v>
      </c>
      <c r="M19" t="s">
        <v>661</v>
      </c>
      <c r="N19">
        <v>1732164</v>
      </c>
      <c r="O19">
        <v>1804387</v>
      </c>
      <c r="P19">
        <v>1985626</v>
      </c>
      <c r="Q19">
        <v>2204013</v>
      </c>
      <c r="R19">
        <v>2389045</v>
      </c>
      <c r="S19">
        <v>2511507</v>
      </c>
      <c r="T19">
        <f t="shared" si="1"/>
        <v>1804387</v>
      </c>
    </row>
    <row r="20" spans="2:20" x14ac:dyDescent="0.25">
      <c r="B20">
        <v>12</v>
      </c>
      <c r="C20" t="s">
        <v>105</v>
      </c>
      <c r="D20">
        <v>8547</v>
      </c>
      <c r="E20">
        <v>7582</v>
      </c>
      <c r="F20">
        <v>9942</v>
      </c>
      <c r="G20">
        <v>10076</v>
      </c>
      <c r="H20">
        <v>9448</v>
      </c>
      <c r="I20">
        <v>9657</v>
      </c>
      <c r="J20">
        <f t="shared" si="0"/>
        <v>8547</v>
      </c>
      <c r="L20">
        <v>12</v>
      </c>
      <c r="M20" t="s">
        <v>662</v>
      </c>
      <c r="N20">
        <v>5941397</v>
      </c>
      <c r="O20">
        <v>5410408</v>
      </c>
      <c r="P20">
        <v>6308374</v>
      </c>
      <c r="Q20">
        <v>7132488</v>
      </c>
      <c r="R20">
        <v>7142571</v>
      </c>
      <c r="S20">
        <v>7134606</v>
      </c>
      <c r="T20">
        <f t="shared" si="1"/>
        <v>5941397</v>
      </c>
    </row>
    <row r="21" spans="2:20" x14ac:dyDescent="0.25">
      <c r="B21">
        <v>13</v>
      </c>
      <c r="C21" t="s">
        <v>107</v>
      </c>
      <c r="D21">
        <v>25017</v>
      </c>
      <c r="E21">
        <v>26121</v>
      </c>
      <c r="F21">
        <v>26897</v>
      </c>
      <c r="G21">
        <v>29428</v>
      </c>
      <c r="H21">
        <v>31923</v>
      </c>
      <c r="I21">
        <v>32009</v>
      </c>
      <c r="J21">
        <f t="shared" si="0"/>
        <v>26121</v>
      </c>
      <c r="L21">
        <v>13</v>
      </c>
      <c r="M21" t="s">
        <v>663</v>
      </c>
      <c r="N21">
        <v>2970521</v>
      </c>
      <c r="O21">
        <v>2734612</v>
      </c>
      <c r="P21">
        <v>3094128</v>
      </c>
      <c r="Q21">
        <v>3412121</v>
      </c>
      <c r="R21">
        <v>3547669</v>
      </c>
      <c r="S21">
        <v>3564945</v>
      </c>
      <c r="T21">
        <f t="shared" si="1"/>
        <v>2970521</v>
      </c>
    </row>
    <row r="22" spans="2:20" x14ac:dyDescent="0.25">
      <c r="B22">
        <v>14</v>
      </c>
      <c r="C22" t="s">
        <v>42</v>
      </c>
      <c r="D22">
        <v>316004</v>
      </c>
      <c r="E22">
        <v>211097</v>
      </c>
      <c r="F22">
        <v>419977</v>
      </c>
      <c r="G22">
        <v>653803</v>
      </c>
      <c r="H22">
        <v>467668</v>
      </c>
      <c r="I22">
        <v>455994</v>
      </c>
      <c r="J22">
        <f t="shared" si="0"/>
        <v>316004</v>
      </c>
      <c r="L22">
        <v>14</v>
      </c>
      <c r="M22" t="s">
        <v>664</v>
      </c>
      <c r="N22">
        <v>112381</v>
      </c>
      <c r="O22">
        <v>123724</v>
      </c>
      <c r="P22">
        <v>163378</v>
      </c>
      <c r="Q22">
        <v>179301</v>
      </c>
      <c r="R22">
        <v>173326</v>
      </c>
      <c r="S22">
        <v>174156</v>
      </c>
      <c r="T22">
        <f t="shared" si="1"/>
        <v>123724</v>
      </c>
    </row>
    <row r="23" spans="2:20" x14ac:dyDescent="0.25">
      <c r="B23">
        <v>15</v>
      </c>
      <c r="C23" t="s">
        <v>111</v>
      </c>
      <c r="D23">
        <v>37690</v>
      </c>
      <c r="E23">
        <v>28704</v>
      </c>
      <c r="F23">
        <v>34577</v>
      </c>
      <c r="G23">
        <v>48879</v>
      </c>
      <c r="H23">
        <v>49386</v>
      </c>
      <c r="I23">
        <v>46019</v>
      </c>
      <c r="J23">
        <f t="shared" si="0"/>
        <v>37690</v>
      </c>
      <c r="L23">
        <v>15</v>
      </c>
      <c r="M23" t="s">
        <v>665</v>
      </c>
      <c r="N23">
        <v>135072</v>
      </c>
      <c r="O23">
        <v>133291</v>
      </c>
      <c r="P23">
        <v>145641</v>
      </c>
      <c r="Q23">
        <v>166871</v>
      </c>
      <c r="R23">
        <v>173356</v>
      </c>
      <c r="S23">
        <v>175289</v>
      </c>
      <c r="T23">
        <f t="shared" si="1"/>
        <v>135072</v>
      </c>
    </row>
    <row r="24" spans="2:20" x14ac:dyDescent="0.25">
      <c r="B24">
        <v>16</v>
      </c>
      <c r="C24" t="s">
        <v>114</v>
      </c>
      <c r="D24">
        <v>13044</v>
      </c>
      <c r="E24">
        <v>12613</v>
      </c>
      <c r="F24">
        <v>18231</v>
      </c>
      <c r="G24">
        <v>18753</v>
      </c>
      <c r="H24">
        <v>17022</v>
      </c>
      <c r="I24">
        <v>17136</v>
      </c>
      <c r="J24">
        <f t="shared" si="0"/>
        <v>13044</v>
      </c>
      <c r="L24">
        <v>16</v>
      </c>
      <c r="M24" t="s">
        <v>666</v>
      </c>
      <c r="N24">
        <v>235954</v>
      </c>
      <c r="O24">
        <v>198978</v>
      </c>
      <c r="P24">
        <v>281759</v>
      </c>
      <c r="Q24">
        <v>317135</v>
      </c>
      <c r="R24">
        <v>307732</v>
      </c>
      <c r="S24">
        <v>302100</v>
      </c>
      <c r="T24">
        <f t="shared" si="1"/>
        <v>235954</v>
      </c>
    </row>
    <row r="25" spans="2:20" x14ac:dyDescent="0.25">
      <c r="B25">
        <v>17</v>
      </c>
      <c r="C25" t="s">
        <v>116</v>
      </c>
      <c r="D25">
        <v>15716</v>
      </c>
      <c r="E25">
        <v>17015</v>
      </c>
      <c r="F25">
        <v>22372</v>
      </c>
      <c r="G25">
        <v>22897</v>
      </c>
      <c r="H25">
        <v>22478</v>
      </c>
      <c r="I25">
        <v>23469</v>
      </c>
      <c r="J25">
        <f t="shared" si="0"/>
        <v>17015</v>
      </c>
      <c r="L25">
        <v>17</v>
      </c>
      <c r="M25" t="s">
        <v>667</v>
      </c>
      <c r="N25">
        <v>377502</v>
      </c>
      <c r="O25">
        <v>346220</v>
      </c>
      <c r="P25">
        <v>391361</v>
      </c>
      <c r="Q25">
        <v>452957</v>
      </c>
      <c r="R25">
        <v>455137</v>
      </c>
      <c r="S25">
        <v>460496</v>
      </c>
      <c r="T25">
        <f t="shared" si="1"/>
        <v>377502</v>
      </c>
    </row>
    <row r="26" spans="2:20" x14ac:dyDescent="0.25">
      <c r="B26">
        <v>18</v>
      </c>
      <c r="C26" t="s">
        <v>118</v>
      </c>
      <c r="D26">
        <v>19620</v>
      </c>
      <c r="E26">
        <v>19891</v>
      </c>
      <c r="F26">
        <v>21577</v>
      </c>
      <c r="G26">
        <v>24013</v>
      </c>
      <c r="H26">
        <v>26852</v>
      </c>
      <c r="I26">
        <v>27727</v>
      </c>
      <c r="J26">
        <f t="shared" si="0"/>
        <v>19891</v>
      </c>
      <c r="L26">
        <v>18</v>
      </c>
      <c r="M26" t="s">
        <v>668</v>
      </c>
      <c r="N26">
        <v>391132</v>
      </c>
      <c r="O26">
        <v>352285</v>
      </c>
      <c r="P26">
        <v>391206</v>
      </c>
      <c r="Q26">
        <v>436372</v>
      </c>
      <c r="R26">
        <v>443368</v>
      </c>
      <c r="S26">
        <v>436727</v>
      </c>
      <c r="T26">
        <f t="shared" si="1"/>
        <v>391132</v>
      </c>
    </row>
    <row r="27" spans="2:20" x14ac:dyDescent="0.25">
      <c r="B27">
        <v>19</v>
      </c>
      <c r="C27" t="s">
        <v>120</v>
      </c>
      <c r="D27">
        <v>20026</v>
      </c>
      <c r="E27">
        <v>18475</v>
      </c>
      <c r="F27">
        <v>20366</v>
      </c>
      <c r="G27">
        <v>23532</v>
      </c>
      <c r="H27">
        <v>25520</v>
      </c>
      <c r="I27">
        <v>25501</v>
      </c>
      <c r="J27">
        <f t="shared" si="0"/>
        <v>20026</v>
      </c>
      <c r="L27">
        <v>19</v>
      </c>
      <c r="M27" t="s">
        <v>669</v>
      </c>
      <c r="N27">
        <v>367248</v>
      </c>
      <c r="O27">
        <v>366339</v>
      </c>
      <c r="P27">
        <v>380818</v>
      </c>
      <c r="Q27">
        <v>402637</v>
      </c>
      <c r="R27">
        <v>399392</v>
      </c>
      <c r="S27">
        <v>412590</v>
      </c>
      <c r="T27">
        <f t="shared" si="1"/>
        <v>367248</v>
      </c>
    </row>
    <row r="28" spans="2:20" x14ac:dyDescent="0.25">
      <c r="B28">
        <v>20</v>
      </c>
      <c r="C28" t="s">
        <v>122</v>
      </c>
      <c r="D28">
        <v>29239</v>
      </c>
      <c r="E28">
        <v>16181</v>
      </c>
      <c r="F28">
        <v>13317</v>
      </c>
      <c r="G28">
        <v>17346</v>
      </c>
      <c r="H28">
        <v>20442</v>
      </c>
      <c r="I28">
        <v>18933</v>
      </c>
      <c r="J28">
        <f t="shared" si="0"/>
        <v>29239</v>
      </c>
      <c r="L28">
        <v>20</v>
      </c>
      <c r="M28" t="s">
        <v>670</v>
      </c>
      <c r="N28">
        <v>131501</v>
      </c>
      <c r="O28">
        <v>127162</v>
      </c>
      <c r="P28">
        <v>142008</v>
      </c>
      <c r="Q28">
        <v>169100</v>
      </c>
      <c r="R28">
        <v>186721</v>
      </c>
      <c r="S28">
        <v>192695</v>
      </c>
      <c r="T28">
        <f t="shared" si="1"/>
        <v>131501</v>
      </c>
    </row>
    <row r="29" spans="2:20" x14ac:dyDescent="0.25">
      <c r="B29">
        <v>21</v>
      </c>
      <c r="C29" t="s">
        <v>124</v>
      </c>
      <c r="D29">
        <v>106392</v>
      </c>
      <c r="E29">
        <v>60119</v>
      </c>
      <c r="F29">
        <v>63073</v>
      </c>
      <c r="G29">
        <v>81364</v>
      </c>
      <c r="H29">
        <v>95153</v>
      </c>
      <c r="I29">
        <v>91628</v>
      </c>
      <c r="J29">
        <f t="shared" si="0"/>
        <v>106392</v>
      </c>
      <c r="L29">
        <v>21</v>
      </c>
      <c r="M29" t="s">
        <v>671</v>
      </c>
      <c r="N29">
        <v>650219</v>
      </c>
      <c r="O29">
        <v>576386</v>
      </c>
      <c r="P29">
        <v>666914</v>
      </c>
      <c r="Q29">
        <v>716810</v>
      </c>
      <c r="R29">
        <v>786252</v>
      </c>
      <c r="S29">
        <v>770967</v>
      </c>
      <c r="T29">
        <f t="shared" si="1"/>
        <v>650219</v>
      </c>
    </row>
    <row r="30" spans="2:20" x14ac:dyDescent="0.25">
      <c r="B30">
        <v>22</v>
      </c>
      <c r="C30" t="s">
        <v>126</v>
      </c>
      <c r="D30">
        <v>4384</v>
      </c>
      <c r="E30">
        <v>3968</v>
      </c>
      <c r="F30">
        <v>5473</v>
      </c>
      <c r="G30">
        <v>6100</v>
      </c>
      <c r="H30">
        <v>4872</v>
      </c>
      <c r="I30">
        <v>4372</v>
      </c>
      <c r="J30">
        <f t="shared" si="0"/>
        <v>4384</v>
      </c>
      <c r="L30">
        <v>22</v>
      </c>
      <c r="M30" t="s">
        <v>672</v>
      </c>
      <c r="N30">
        <v>328510</v>
      </c>
      <c r="O30">
        <v>282850</v>
      </c>
      <c r="P30">
        <v>280904</v>
      </c>
      <c r="Q30">
        <v>310527</v>
      </c>
      <c r="R30">
        <v>363383</v>
      </c>
      <c r="S30">
        <v>377141</v>
      </c>
      <c r="T30">
        <f t="shared" si="1"/>
        <v>328510</v>
      </c>
    </row>
    <row r="31" spans="2:20" x14ac:dyDescent="0.25">
      <c r="B31">
        <v>23</v>
      </c>
      <c r="C31" t="s">
        <v>129</v>
      </c>
      <c r="D31">
        <v>97085</v>
      </c>
      <c r="E31">
        <v>87739</v>
      </c>
      <c r="F31">
        <v>121397</v>
      </c>
      <c r="G31">
        <v>135580</v>
      </c>
      <c r="H31">
        <v>107893</v>
      </c>
      <c r="I31">
        <v>96665</v>
      </c>
      <c r="J31">
        <f t="shared" si="0"/>
        <v>97085</v>
      </c>
      <c r="L31">
        <v>23</v>
      </c>
      <c r="M31" t="s">
        <v>673</v>
      </c>
      <c r="N31">
        <v>74187</v>
      </c>
      <c r="O31">
        <v>70027</v>
      </c>
      <c r="P31">
        <v>75038</v>
      </c>
      <c r="Q31">
        <v>83845</v>
      </c>
      <c r="R31">
        <v>83596</v>
      </c>
      <c r="S31">
        <v>84609</v>
      </c>
      <c r="T31">
        <f t="shared" si="1"/>
        <v>74187</v>
      </c>
    </row>
    <row r="32" spans="2:20" x14ac:dyDescent="0.25">
      <c r="B32">
        <v>24</v>
      </c>
      <c r="C32" t="s">
        <v>131</v>
      </c>
      <c r="D32">
        <v>37241</v>
      </c>
      <c r="E32">
        <v>33646</v>
      </c>
      <c r="F32">
        <v>46570</v>
      </c>
      <c r="G32">
        <v>51918</v>
      </c>
      <c r="H32">
        <v>41307</v>
      </c>
      <c r="I32">
        <v>36967</v>
      </c>
      <c r="J32">
        <f t="shared" si="0"/>
        <v>37241</v>
      </c>
      <c r="L32">
        <v>24</v>
      </c>
      <c r="M32" t="s">
        <v>674</v>
      </c>
      <c r="N32">
        <v>166814</v>
      </c>
      <c r="O32">
        <v>157350</v>
      </c>
      <c r="P32">
        <v>175102</v>
      </c>
      <c r="Q32">
        <v>176566</v>
      </c>
      <c r="R32">
        <v>175406</v>
      </c>
      <c r="S32">
        <v>178175</v>
      </c>
      <c r="T32">
        <f t="shared" si="1"/>
        <v>166814</v>
      </c>
    </row>
    <row r="33" spans="2:20" x14ac:dyDescent="0.25">
      <c r="B33">
        <v>25</v>
      </c>
      <c r="C33" t="s">
        <v>133</v>
      </c>
      <c r="D33">
        <v>2556</v>
      </c>
      <c r="E33">
        <v>2325</v>
      </c>
      <c r="F33">
        <v>3191</v>
      </c>
      <c r="G33">
        <v>3550</v>
      </c>
      <c r="H33">
        <v>2856</v>
      </c>
      <c r="I33">
        <v>2569</v>
      </c>
      <c r="J33">
        <f t="shared" si="0"/>
        <v>2556</v>
      </c>
      <c r="L33">
        <v>25</v>
      </c>
      <c r="M33" t="s">
        <v>675</v>
      </c>
      <c r="N33">
        <v>2970876</v>
      </c>
      <c r="O33">
        <v>2675796</v>
      </c>
      <c r="P33">
        <v>3214246</v>
      </c>
      <c r="Q33">
        <v>3720367</v>
      </c>
      <c r="R33">
        <v>3594902</v>
      </c>
      <c r="S33">
        <v>3569661</v>
      </c>
      <c r="T33">
        <f t="shared" si="1"/>
        <v>2970876</v>
      </c>
    </row>
    <row r="34" spans="2:20" x14ac:dyDescent="0.25">
      <c r="B34">
        <v>26</v>
      </c>
      <c r="C34" t="s">
        <v>135</v>
      </c>
      <c r="D34">
        <v>10186</v>
      </c>
      <c r="E34">
        <v>9207</v>
      </c>
      <c r="F34">
        <v>12733</v>
      </c>
      <c r="G34">
        <v>14196</v>
      </c>
      <c r="H34">
        <v>11302</v>
      </c>
      <c r="I34">
        <v>10114</v>
      </c>
      <c r="J34">
        <f t="shared" si="0"/>
        <v>10186</v>
      </c>
      <c r="L34">
        <v>26</v>
      </c>
      <c r="M34" t="s">
        <v>676</v>
      </c>
      <c r="N34">
        <v>977827</v>
      </c>
      <c r="O34">
        <v>1002814</v>
      </c>
      <c r="P34">
        <v>1086652</v>
      </c>
      <c r="Q34">
        <v>1210692</v>
      </c>
      <c r="R34">
        <v>1230694</v>
      </c>
      <c r="S34">
        <v>1252875</v>
      </c>
      <c r="T34">
        <f t="shared" si="1"/>
        <v>1002814</v>
      </c>
    </row>
    <row r="35" spans="2:20" x14ac:dyDescent="0.25">
      <c r="B35">
        <v>27</v>
      </c>
      <c r="C35" t="s">
        <v>137</v>
      </c>
      <c r="D35">
        <v>1409</v>
      </c>
      <c r="E35">
        <v>1271</v>
      </c>
      <c r="F35">
        <v>1766</v>
      </c>
      <c r="G35">
        <v>1970</v>
      </c>
      <c r="H35">
        <v>1561</v>
      </c>
      <c r="I35">
        <v>1393</v>
      </c>
      <c r="J35">
        <f t="shared" si="0"/>
        <v>1409</v>
      </c>
      <c r="L35">
        <v>27</v>
      </c>
      <c r="M35" t="s">
        <v>677</v>
      </c>
      <c r="N35">
        <v>49895</v>
      </c>
      <c r="O35">
        <v>45839</v>
      </c>
      <c r="P35">
        <v>51106</v>
      </c>
      <c r="Q35">
        <v>50309</v>
      </c>
      <c r="R35">
        <v>47281</v>
      </c>
      <c r="S35">
        <v>46826</v>
      </c>
      <c r="T35">
        <f t="shared" si="1"/>
        <v>49895</v>
      </c>
    </row>
    <row r="36" spans="2:20" x14ac:dyDescent="0.25">
      <c r="B36">
        <v>28</v>
      </c>
      <c r="C36" t="s">
        <v>139</v>
      </c>
      <c r="D36">
        <v>1705</v>
      </c>
      <c r="E36">
        <v>1538</v>
      </c>
      <c r="F36">
        <v>2135</v>
      </c>
      <c r="G36">
        <v>2380</v>
      </c>
      <c r="H36">
        <v>1888</v>
      </c>
      <c r="I36">
        <v>1686</v>
      </c>
      <c r="J36">
        <f t="shared" si="0"/>
        <v>1705</v>
      </c>
      <c r="L36">
        <v>28</v>
      </c>
      <c r="M36" t="s">
        <v>678</v>
      </c>
      <c r="N36">
        <v>17331</v>
      </c>
      <c r="O36">
        <v>17144</v>
      </c>
      <c r="P36">
        <v>19114</v>
      </c>
      <c r="Q36">
        <v>17391</v>
      </c>
      <c r="R36">
        <v>19818</v>
      </c>
      <c r="S36">
        <v>21882</v>
      </c>
      <c r="T36">
        <f t="shared" si="1"/>
        <v>17331</v>
      </c>
    </row>
    <row r="37" spans="2:20" x14ac:dyDescent="0.25">
      <c r="B37">
        <v>29</v>
      </c>
      <c r="C37" t="s">
        <v>141</v>
      </c>
      <c r="D37">
        <v>194</v>
      </c>
      <c r="E37">
        <v>177</v>
      </c>
      <c r="F37">
        <v>244</v>
      </c>
      <c r="G37">
        <v>271</v>
      </c>
      <c r="H37">
        <v>219</v>
      </c>
      <c r="I37">
        <v>197</v>
      </c>
      <c r="J37">
        <f t="shared" si="0"/>
        <v>194</v>
      </c>
      <c r="L37">
        <v>29</v>
      </c>
      <c r="M37" t="s">
        <v>679</v>
      </c>
      <c r="N37">
        <v>190943</v>
      </c>
      <c r="O37">
        <v>180179</v>
      </c>
      <c r="P37">
        <v>196688</v>
      </c>
      <c r="Q37">
        <v>217384</v>
      </c>
      <c r="R37">
        <v>217485</v>
      </c>
      <c r="S37">
        <v>218834</v>
      </c>
      <c r="T37">
        <f t="shared" si="1"/>
        <v>190943</v>
      </c>
    </row>
    <row r="38" spans="2:20" x14ac:dyDescent="0.25">
      <c r="B38">
        <v>30</v>
      </c>
      <c r="C38" t="s">
        <v>143</v>
      </c>
      <c r="D38">
        <v>16220</v>
      </c>
      <c r="E38">
        <v>16380</v>
      </c>
      <c r="F38">
        <v>17894</v>
      </c>
      <c r="G38">
        <v>19621</v>
      </c>
      <c r="H38">
        <v>20115</v>
      </c>
      <c r="I38">
        <v>21051</v>
      </c>
      <c r="J38">
        <f t="shared" si="0"/>
        <v>16380</v>
      </c>
      <c r="L38">
        <v>30</v>
      </c>
      <c r="M38" t="s">
        <v>680</v>
      </c>
      <c r="N38">
        <v>81156</v>
      </c>
      <c r="O38">
        <v>74173</v>
      </c>
      <c r="P38">
        <v>77917</v>
      </c>
      <c r="Q38">
        <v>87762</v>
      </c>
      <c r="R38">
        <v>84580</v>
      </c>
      <c r="S38">
        <v>84412</v>
      </c>
      <c r="T38">
        <f t="shared" si="1"/>
        <v>81156</v>
      </c>
    </row>
    <row r="39" spans="2:20" x14ac:dyDescent="0.25">
      <c r="B39">
        <v>31</v>
      </c>
      <c r="C39" t="s">
        <v>145</v>
      </c>
      <c r="D39">
        <v>252148</v>
      </c>
      <c r="E39">
        <v>244109</v>
      </c>
      <c r="F39">
        <v>271017</v>
      </c>
      <c r="G39">
        <v>320978</v>
      </c>
      <c r="H39">
        <v>315449</v>
      </c>
      <c r="I39">
        <v>327897</v>
      </c>
      <c r="J39">
        <f t="shared" si="0"/>
        <v>252148</v>
      </c>
      <c r="L39">
        <v>31</v>
      </c>
      <c r="M39" t="s">
        <v>681</v>
      </c>
      <c r="N39">
        <v>597698</v>
      </c>
      <c r="O39">
        <v>354116</v>
      </c>
      <c r="P39">
        <v>610478</v>
      </c>
      <c r="Q39">
        <v>881618</v>
      </c>
      <c r="R39">
        <v>725556</v>
      </c>
      <c r="S39">
        <v>650631</v>
      </c>
      <c r="T39">
        <f t="shared" si="1"/>
        <v>597698</v>
      </c>
    </row>
    <row r="40" spans="2:20" x14ac:dyDescent="0.25">
      <c r="B40">
        <v>32</v>
      </c>
      <c r="C40" t="s">
        <v>147</v>
      </c>
      <c r="D40">
        <v>78737</v>
      </c>
      <c r="E40">
        <v>76976</v>
      </c>
      <c r="F40">
        <v>94168</v>
      </c>
      <c r="G40">
        <v>124357</v>
      </c>
      <c r="H40">
        <v>118194</v>
      </c>
      <c r="I40">
        <v>118202</v>
      </c>
      <c r="J40">
        <f t="shared" si="0"/>
        <v>78737</v>
      </c>
      <c r="L40">
        <v>32</v>
      </c>
      <c r="M40" t="s">
        <v>682</v>
      </c>
      <c r="N40">
        <v>805728</v>
      </c>
      <c r="O40">
        <v>766945</v>
      </c>
      <c r="P40">
        <v>897045</v>
      </c>
      <c r="Q40">
        <v>954050</v>
      </c>
      <c r="R40">
        <v>973415</v>
      </c>
      <c r="S40">
        <v>995824</v>
      </c>
      <c r="T40">
        <f t="shared" si="1"/>
        <v>805728</v>
      </c>
    </row>
    <row r="41" spans="2:20" x14ac:dyDescent="0.25">
      <c r="B41">
        <v>33</v>
      </c>
      <c r="C41" t="s">
        <v>150</v>
      </c>
      <c r="D41">
        <v>16102</v>
      </c>
      <c r="E41">
        <v>16707</v>
      </c>
      <c r="F41">
        <v>17596</v>
      </c>
      <c r="G41">
        <v>18232</v>
      </c>
      <c r="H41">
        <v>20080</v>
      </c>
      <c r="I41">
        <v>22159</v>
      </c>
      <c r="J41">
        <f t="shared" si="0"/>
        <v>16707</v>
      </c>
      <c r="L41">
        <v>33</v>
      </c>
      <c r="M41" t="s">
        <v>683</v>
      </c>
      <c r="N41">
        <v>250297</v>
      </c>
      <c r="O41">
        <v>234587</v>
      </c>
      <c r="P41">
        <v>275246</v>
      </c>
      <c r="Q41">
        <v>301162</v>
      </c>
      <c r="R41">
        <v>296073</v>
      </c>
      <c r="S41">
        <v>298377</v>
      </c>
      <c r="T41">
        <f t="shared" si="1"/>
        <v>250297</v>
      </c>
    </row>
    <row r="42" spans="2:20" x14ac:dyDescent="0.25">
      <c r="B42">
        <v>34</v>
      </c>
      <c r="C42" t="s">
        <v>153</v>
      </c>
      <c r="D42">
        <v>49169</v>
      </c>
      <c r="E42">
        <v>52845</v>
      </c>
      <c r="F42">
        <v>53888</v>
      </c>
      <c r="G42">
        <v>61309</v>
      </c>
      <c r="H42">
        <v>70788</v>
      </c>
      <c r="I42">
        <v>73390</v>
      </c>
      <c r="J42">
        <f t="shared" si="0"/>
        <v>52845</v>
      </c>
      <c r="L42">
        <v>34</v>
      </c>
      <c r="M42" t="s">
        <v>684</v>
      </c>
      <c r="N42">
        <v>2232753</v>
      </c>
      <c r="O42">
        <v>2125948</v>
      </c>
      <c r="P42">
        <v>2537886</v>
      </c>
      <c r="Q42">
        <v>2883595</v>
      </c>
      <c r="R42">
        <v>2864034</v>
      </c>
      <c r="S42">
        <v>2939504</v>
      </c>
      <c r="T42">
        <f t="shared" si="1"/>
        <v>2232753</v>
      </c>
    </row>
    <row r="43" spans="2:20" x14ac:dyDescent="0.25">
      <c r="B43">
        <v>35</v>
      </c>
      <c r="C43" t="s">
        <v>155</v>
      </c>
      <c r="D43">
        <v>105814</v>
      </c>
      <c r="E43">
        <v>107719</v>
      </c>
      <c r="F43">
        <v>104333</v>
      </c>
      <c r="G43">
        <v>115001</v>
      </c>
      <c r="H43">
        <v>134285</v>
      </c>
      <c r="I43">
        <v>146059</v>
      </c>
      <c r="J43">
        <f t="shared" si="0"/>
        <v>107719</v>
      </c>
      <c r="L43">
        <v>35</v>
      </c>
      <c r="M43" t="s">
        <v>685</v>
      </c>
      <c r="N43">
        <v>1987925</v>
      </c>
      <c r="O43">
        <v>2069742</v>
      </c>
      <c r="P43">
        <v>2477833</v>
      </c>
      <c r="Q43">
        <v>2689388</v>
      </c>
      <c r="R43">
        <v>2753064</v>
      </c>
      <c r="S43">
        <v>2834004</v>
      </c>
      <c r="T43">
        <f t="shared" si="1"/>
        <v>2069742</v>
      </c>
    </row>
    <row r="44" spans="2:20" x14ac:dyDescent="0.25">
      <c r="B44">
        <v>36</v>
      </c>
      <c r="C44" t="s">
        <v>157</v>
      </c>
      <c r="D44">
        <v>217466</v>
      </c>
      <c r="E44">
        <v>218992</v>
      </c>
      <c r="F44">
        <v>245077</v>
      </c>
      <c r="G44">
        <v>276669</v>
      </c>
      <c r="H44">
        <v>281291</v>
      </c>
      <c r="I44">
        <v>285660</v>
      </c>
      <c r="J44">
        <f t="shared" si="0"/>
        <v>218992</v>
      </c>
      <c r="L44">
        <v>36</v>
      </c>
      <c r="M44" t="s">
        <v>478</v>
      </c>
      <c r="N44">
        <v>371276</v>
      </c>
      <c r="O44">
        <v>357499</v>
      </c>
      <c r="P44">
        <v>440991</v>
      </c>
      <c r="Q44">
        <v>523669</v>
      </c>
      <c r="R44">
        <v>541207</v>
      </c>
      <c r="S44">
        <v>551804</v>
      </c>
      <c r="T44">
        <f t="shared" si="1"/>
        <v>371276</v>
      </c>
    </row>
    <row r="45" spans="2:20" x14ac:dyDescent="0.25">
      <c r="B45">
        <v>37</v>
      </c>
      <c r="C45" t="s">
        <v>159</v>
      </c>
      <c r="D45">
        <v>75774</v>
      </c>
      <c r="E45">
        <v>76807</v>
      </c>
      <c r="F45">
        <v>80178</v>
      </c>
      <c r="G45">
        <v>88926</v>
      </c>
      <c r="H45">
        <v>93655</v>
      </c>
      <c r="I45">
        <v>92630</v>
      </c>
      <c r="J45">
        <f t="shared" si="0"/>
        <v>76807</v>
      </c>
      <c r="L45">
        <v>37</v>
      </c>
      <c r="M45" t="s">
        <v>479</v>
      </c>
      <c r="N45">
        <v>263473</v>
      </c>
      <c r="O45">
        <v>289896</v>
      </c>
      <c r="P45">
        <v>308310</v>
      </c>
      <c r="Q45">
        <v>334967</v>
      </c>
      <c r="R45">
        <v>342600</v>
      </c>
      <c r="S45">
        <v>350863</v>
      </c>
      <c r="T45">
        <f t="shared" si="1"/>
        <v>289896</v>
      </c>
    </row>
    <row r="46" spans="2:20" x14ac:dyDescent="0.25">
      <c r="B46">
        <v>38</v>
      </c>
      <c r="C46" t="s">
        <v>161</v>
      </c>
      <c r="D46">
        <v>181539</v>
      </c>
      <c r="E46">
        <v>190463</v>
      </c>
      <c r="F46">
        <v>194816</v>
      </c>
      <c r="G46">
        <v>231062</v>
      </c>
      <c r="H46">
        <v>260190</v>
      </c>
      <c r="I46">
        <v>244750</v>
      </c>
      <c r="J46">
        <f t="shared" si="0"/>
        <v>190463</v>
      </c>
      <c r="L46">
        <v>38</v>
      </c>
      <c r="M46" t="s">
        <v>480</v>
      </c>
      <c r="N46">
        <v>244474</v>
      </c>
      <c r="O46">
        <v>251900</v>
      </c>
      <c r="P46">
        <v>281252</v>
      </c>
      <c r="Q46">
        <v>295273</v>
      </c>
      <c r="R46">
        <v>301206</v>
      </c>
      <c r="S46">
        <v>308464</v>
      </c>
      <c r="T46">
        <f t="shared" si="1"/>
        <v>251900</v>
      </c>
    </row>
    <row r="47" spans="2:20" x14ac:dyDescent="0.25">
      <c r="B47">
        <v>39</v>
      </c>
      <c r="C47" t="s">
        <v>163</v>
      </c>
      <c r="D47">
        <v>83672</v>
      </c>
      <c r="E47">
        <v>91915</v>
      </c>
      <c r="F47">
        <v>105363</v>
      </c>
      <c r="G47">
        <v>113428</v>
      </c>
      <c r="H47">
        <v>135682</v>
      </c>
      <c r="I47">
        <v>121220</v>
      </c>
      <c r="J47">
        <f t="shared" si="0"/>
        <v>91915</v>
      </c>
      <c r="L47">
        <v>39</v>
      </c>
      <c r="M47" t="s">
        <v>686</v>
      </c>
      <c r="N47">
        <v>1108702</v>
      </c>
      <c r="O47">
        <v>1170448</v>
      </c>
      <c r="P47">
        <v>1447279</v>
      </c>
      <c r="Q47">
        <v>1535479</v>
      </c>
      <c r="R47">
        <v>1568050</v>
      </c>
      <c r="S47">
        <v>1622873</v>
      </c>
      <c r="T47">
        <f t="shared" si="1"/>
        <v>1170448</v>
      </c>
    </row>
    <row r="48" spans="2:20" x14ac:dyDescent="0.25">
      <c r="B48">
        <v>40</v>
      </c>
      <c r="C48" t="s">
        <v>165</v>
      </c>
      <c r="D48">
        <v>279929</v>
      </c>
      <c r="E48">
        <v>308247</v>
      </c>
      <c r="F48">
        <v>343324</v>
      </c>
      <c r="G48">
        <v>370475</v>
      </c>
      <c r="H48">
        <v>378460</v>
      </c>
      <c r="I48">
        <v>420544</v>
      </c>
      <c r="J48">
        <f t="shared" si="0"/>
        <v>308247</v>
      </c>
      <c r="L48">
        <v>40</v>
      </c>
      <c r="M48" t="s">
        <v>687</v>
      </c>
      <c r="N48">
        <v>1398010</v>
      </c>
      <c r="O48">
        <v>1211219</v>
      </c>
      <c r="P48">
        <v>1475213</v>
      </c>
      <c r="Q48">
        <v>1799568</v>
      </c>
      <c r="R48">
        <v>1751167</v>
      </c>
      <c r="S48">
        <v>1821193</v>
      </c>
      <c r="T48">
        <f t="shared" si="1"/>
        <v>1398010</v>
      </c>
    </row>
    <row r="49" spans="2:20" x14ac:dyDescent="0.25">
      <c r="B49">
        <v>41</v>
      </c>
      <c r="C49" t="s">
        <v>167</v>
      </c>
      <c r="D49">
        <v>73099</v>
      </c>
      <c r="E49">
        <v>68483</v>
      </c>
      <c r="F49">
        <v>74212</v>
      </c>
      <c r="G49">
        <v>113276</v>
      </c>
      <c r="H49">
        <v>184549</v>
      </c>
      <c r="I49">
        <v>214762</v>
      </c>
      <c r="J49">
        <f t="shared" si="0"/>
        <v>73099</v>
      </c>
      <c r="L49">
        <v>41</v>
      </c>
      <c r="M49" t="s">
        <v>490</v>
      </c>
      <c r="N49">
        <v>272267</v>
      </c>
      <c r="O49">
        <v>126719</v>
      </c>
      <c r="P49">
        <v>194945</v>
      </c>
      <c r="Q49">
        <v>296518</v>
      </c>
      <c r="R49">
        <v>311020</v>
      </c>
      <c r="S49">
        <v>329276</v>
      </c>
      <c r="T49">
        <f t="shared" si="1"/>
        <v>272267</v>
      </c>
    </row>
    <row r="50" spans="2:20" x14ac:dyDescent="0.25">
      <c r="B50">
        <v>42</v>
      </c>
      <c r="C50" t="s">
        <v>169</v>
      </c>
      <c r="D50">
        <v>127365</v>
      </c>
      <c r="E50">
        <v>120725</v>
      </c>
      <c r="F50">
        <v>108923</v>
      </c>
      <c r="G50">
        <v>122258</v>
      </c>
      <c r="H50">
        <v>146406</v>
      </c>
      <c r="I50">
        <v>152595</v>
      </c>
      <c r="J50">
        <f t="shared" si="0"/>
        <v>127365</v>
      </c>
      <c r="L50">
        <v>42</v>
      </c>
      <c r="M50" t="s">
        <v>491</v>
      </c>
      <c r="N50">
        <v>84848</v>
      </c>
      <c r="O50">
        <v>73945</v>
      </c>
      <c r="P50">
        <v>83440</v>
      </c>
      <c r="Q50">
        <v>95268</v>
      </c>
      <c r="R50">
        <v>92200</v>
      </c>
      <c r="S50">
        <v>92458</v>
      </c>
      <c r="T50">
        <f t="shared" si="1"/>
        <v>84848</v>
      </c>
    </row>
    <row r="51" spans="2:20" x14ac:dyDescent="0.25">
      <c r="B51">
        <v>43</v>
      </c>
      <c r="C51" t="s">
        <v>171</v>
      </c>
      <c r="D51">
        <v>117321</v>
      </c>
      <c r="E51">
        <v>119294</v>
      </c>
      <c r="F51">
        <v>117884</v>
      </c>
      <c r="G51">
        <v>121299</v>
      </c>
      <c r="H51">
        <v>145139</v>
      </c>
      <c r="I51">
        <v>149282</v>
      </c>
      <c r="J51">
        <f t="shared" si="0"/>
        <v>119294</v>
      </c>
      <c r="L51">
        <v>43</v>
      </c>
      <c r="M51" t="s">
        <v>492</v>
      </c>
      <c r="N51">
        <v>60883</v>
      </c>
      <c r="O51">
        <v>39492</v>
      </c>
      <c r="P51">
        <v>40540</v>
      </c>
      <c r="Q51">
        <v>66865</v>
      </c>
      <c r="R51">
        <v>71827</v>
      </c>
      <c r="S51">
        <v>77558</v>
      </c>
      <c r="T51">
        <f t="shared" si="1"/>
        <v>60883</v>
      </c>
    </row>
    <row r="52" spans="2:20" x14ac:dyDescent="0.25">
      <c r="B52">
        <v>44</v>
      </c>
      <c r="C52" t="s">
        <v>173</v>
      </c>
      <c r="D52">
        <v>266568</v>
      </c>
      <c r="E52">
        <v>293548</v>
      </c>
      <c r="F52">
        <v>408964</v>
      </c>
      <c r="G52">
        <v>433855</v>
      </c>
      <c r="H52">
        <v>378686</v>
      </c>
      <c r="I52">
        <v>415640</v>
      </c>
      <c r="J52">
        <f t="shared" si="0"/>
        <v>293548</v>
      </c>
      <c r="L52">
        <v>44</v>
      </c>
      <c r="M52" t="s">
        <v>493</v>
      </c>
      <c r="N52">
        <v>409425</v>
      </c>
      <c r="O52">
        <v>413595</v>
      </c>
      <c r="P52">
        <v>490363</v>
      </c>
      <c r="Q52">
        <v>577281</v>
      </c>
      <c r="R52">
        <v>528292</v>
      </c>
      <c r="S52">
        <v>526947</v>
      </c>
      <c r="T52">
        <f t="shared" si="1"/>
        <v>413595</v>
      </c>
    </row>
    <row r="53" spans="2:20" x14ac:dyDescent="0.25">
      <c r="B53">
        <v>45</v>
      </c>
      <c r="C53" t="s">
        <v>175</v>
      </c>
      <c r="D53">
        <v>154447</v>
      </c>
      <c r="E53">
        <v>155349</v>
      </c>
      <c r="F53">
        <v>148663</v>
      </c>
      <c r="G53">
        <v>156454</v>
      </c>
      <c r="H53">
        <v>179913</v>
      </c>
      <c r="I53">
        <v>194976</v>
      </c>
      <c r="J53">
        <f t="shared" si="0"/>
        <v>155349</v>
      </c>
      <c r="L53">
        <v>45</v>
      </c>
      <c r="M53" t="s">
        <v>494</v>
      </c>
      <c r="N53">
        <v>109551</v>
      </c>
      <c r="O53">
        <v>73183</v>
      </c>
      <c r="P53">
        <v>87748</v>
      </c>
      <c r="Q53">
        <v>119133</v>
      </c>
      <c r="R53">
        <v>145634</v>
      </c>
      <c r="S53">
        <v>178213</v>
      </c>
      <c r="T53">
        <f t="shared" si="1"/>
        <v>109551</v>
      </c>
    </row>
    <row r="54" spans="2:20" x14ac:dyDescent="0.25">
      <c r="B54">
        <v>46</v>
      </c>
      <c r="C54" t="s">
        <v>177</v>
      </c>
      <c r="D54">
        <v>30261</v>
      </c>
      <c r="E54">
        <v>36781</v>
      </c>
      <c r="F54">
        <v>47069</v>
      </c>
      <c r="G54">
        <v>49878</v>
      </c>
      <c r="H54">
        <v>49198</v>
      </c>
      <c r="I54">
        <v>48917</v>
      </c>
      <c r="J54">
        <f t="shared" si="0"/>
        <v>36781</v>
      </c>
      <c r="L54">
        <v>46</v>
      </c>
      <c r="M54" t="s">
        <v>495</v>
      </c>
      <c r="N54">
        <v>61593</v>
      </c>
      <c r="O54">
        <v>59335</v>
      </c>
      <c r="P54">
        <v>64009</v>
      </c>
      <c r="Q54">
        <v>69606</v>
      </c>
      <c r="R54">
        <v>71395</v>
      </c>
      <c r="S54">
        <v>73211</v>
      </c>
      <c r="T54">
        <f t="shared" si="1"/>
        <v>61593</v>
      </c>
    </row>
    <row r="55" spans="2:20" x14ac:dyDescent="0.25">
      <c r="B55">
        <v>47</v>
      </c>
      <c r="C55" t="s">
        <v>179</v>
      </c>
      <c r="D55">
        <v>22929</v>
      </c>
      <c r="E55">
        <v>25204</v>
      </c>
      <c r="F55">
        <v>36671</v>
      </c>
      <c r="G55">
        <v>39525</v>
      </c>
      <c r="H55">
        <v>39305</v>
      </c>
      <c r="I55">
        <v>38846</v>
      </c>
      <c r="J55">
        <f t="shared" si="0"/>
        <v>25204</v>
      </c>
      <c r="L55">
        <v>47</v>
      </c>
      <c r="M55" t="s">
        <v>688</v>
      </c>
      <c r="N55">
        <v>264513</v>
      </c>
      <c r="O55">
        <v>287462</v>
      </c>
      <c r="P55">
        <v>355259</v>
      </c>
      <c r="Q55">
        <v>396405</v>
      </c>
      <c r="R55">
        <v>350179</v>
      </c>
      <c r="S55">
        <v>354910</v>
      </c>
      <c r="T55">
        <f t="shared" si="1"/>
        <v>287462</v>
      </c>
    </row>
    <row r="56" spans="2:20" x14ac:dyDescent="0.25">
      <c r="B56">
        <v>48</v>
      </c>
      <c r="C56" t="s">
        <v>181</v>
      </c>
      <c r="D56">
        <v>27298</v>
      </c>
      <c r="E56">
        <v>29031</v>
      </c>
      <c r="F56">
        <v>35669</v>
      </c>
      <c r="G56">
        <v>38751</v>
      </c>
      <c r="H56">
        <v>38552</v>
      </c>
      <c r="I56">
        <v>38334</v>
      </c>
      <c r="J56">
        <f t="shared" si="0"/>
        <v>29031</v>
      </c>
      <c r="L56">
        <v>48</v>
      </c>
      <c r="M56" t="s">
        <v>498</v>
      </c>
      <c r="N56">
        <v>134932</v>
      </c>
      <c r="O56">
        <v>137488</v>
      </c>
      <c r="P56">
        <v>158910</v>
      </c>
      <c r="Q56">
        <v>178492</v>
      </c>
      <c r="R56">
        <v>180620</v>
      </c>
      <c r="S56">
        <v>188619</v>
      </c>
      <c r="T56">
        <f t="shared" si="1"/>
        <v>137488</v>
      </c>
    </row>
    <row r="57" spans="2:20" x14ac:dyDescent="0.25">
      <c r="B57">
        <v>49</v>
      </c>
      <c r="C57" t="s">
        <v>183</v>
      </c>
      <c r="D57">
        <v>31893</v>
      </c>
      <c r="E57">
        <v>32708</v>
      </c>
      <c r="F57">
        <v>43969</v>
      </c>
      <c r="G57">
        <v>51148</v>
      </c>
      <c r="H57">
        <v>46271</v>
      </c>
      <c r="I57">
        <v>48059</v>
      </c>
      <c r="J57">
        <f t="shared" si="0"/>
        <v>32708</v>
      </c>
      <c r="L57">
        <v>49</v>
      </c>
      <c r="M57" t="s">
        <v>689</v>
      </c>
      <c r="N57">
        <v>1961064</v>
      </c>
      <c r="O57">
        <v>2024027</v>
      </c>
      <c r="P57">
        <v>2265020</v>
      </c>
      <c r="Q57">
        <v>2448694</v>
      </c>
      <c r="R57">
        <v>2536806</v>
      </c>
      <c r="S57">
        <v>2687217</v>
      </c>
      <c r="T57">
        <f t="shared" si="1"/>
        <v>2024027</v>
      </c>
    </row>
    <row r="58" spans="2:20" x14ac:dyDescent="0.25">
      <c r="B58">
        <v>50</v>
      </c>
      <c r="C58" t="s">
        <v>185</v>
      </c>
      <c r="D58">
        <v>8746</v>
      </c>
      <c r="E58">
        <v>7756</v>
      </c>
      <c r="F58">
        <v>9450</v>
      </c>
      <c r="G58">
        <v>10021</v>
      </c>
      <c r="H58">
        <v>10331</v>
      </c>
      <c r="I58">
        <v>10481</v>
      </c>
      <c r="J58">
        <f t="shared" si="0"/>
        <v>8746</v>
      </c>
      <c r="L58">
        <v>50</v>
      </c>
      <c r="M58" t="s">
        <v>690</v>
      </c>
      <c r="N58">
        <v>418461</v>
      </c>
      <c r="O58">
        <v>445181</v>
      </c>
      <c r="P58">
        <v>498558</v>
      </c>
      <c r="Q58">
        <v>553090</v>
      </c>
      <c r="R58">
        <v>595942</v>
      </c>
      <c r="S58">
        <v>651618</v>
      </c>
      <c r="T58">
        <f t="shared" si="1"/>
        <v>445181</v>
      </c>
    </row>
    <row r="59" spans="2:20" x14ac:dyDescent="0.25">
      <c r="B59">
        <v>51</v>
      </c>
      <c r="C59" t="s">
        <v>188</v>
      </c>
      <c r="D59">
        <v>28354</v>
      </c>
      <c r="E59">
        <v>26575</v>
      </c>
      <c r="F59">
        <v>27571</v>
      </c>
      <c r="G59">
        <v>31959</v>
      </c>
      <c r="H59">
        <v>33336</v>
      </c>
      <c r="I59">
        <v>33702</v>
      </c>
      <c r="J59">
        <f t="shared" si="0"/>
        <v>28354</v>
      </c>
      <c r="L59">
        <v>51</v>
      </c>
      <c r="M59" t="s">
        <v>691</v>
      </c>
      <c r="N59">
        <v>166843</v>
      </c>
      <c r="O59">
        <v>147262</v>
      </c>
      <c r="P59">
        <v>168206</v>
      </c>
      <c r="Q59">
        <v>195216</v>
      </c>
      <c r="R59">
        <v>202164</v>
      </c>
      <c r="S59">
        <v>206984</v>
      </c>
      <c r="T59">
        <f t="shared" si="1"/>
        <v>166843</v>
      </c>
    </row>
    <row r="60" spans="2:20" x14ac:dyDescent="0.25">
      <c r="B60">
        <v>52</v>
      </c>
      <c r="C60" t="s">
        <v>191</v>
      </c>
      <c r="D60">
        <v>9005</v>
      </c>
      <c r="E60">
        <v>9347</v>
      </c>
      <c r="F60">
        <v>9345</v>
      </c>
      <c r="G60">
        <v>11863</v>
      </c>
      <c r="H60">
        <v>12333</v>
      </c>
      <c r="I60">
        <v>12485</v>
      </c>
      <c r="J60">
        <f t="shared" si="0"/>
        <v>9347</v>
      </c>
      <c r="L60">
        <v>52</v>
      </c>
      <c r="M60" t="s">
        <v>692</v>
      </c>
      <c r="N60">
        <v>893988</v>
      </c>
      <c r="O60">
        <v>894158</v>
      </c>
      <c r="P60">
        <v>936899</v>
      </c>
      <c r="Q60">
        <v>958385</v>
      </c>
      <c r="R60">
        <v>943451</v>
      </c>
      <c r="S60">
        <v>938563</v>
      </c>
      <c r="T60">
        <f t="shared" si="1"/>
        <v>894158</v>
      </c>
    </row>
    <row r="61" spans="2:20" x14ac:dyDescent="0.25">
      <c r="B61">
        <v>53</v>
      </c>
      <c r="C61" t="s">
        <v>193</v>
      </c>
      <c r="D61">
        <v>33068</v>
      </c>
      <c r="E61">
        <v>34372</v>
      </c>
      <c r="F61">
        <v>37429</v>
      </c>
      <c r="G61">
        <v>42324</v>
      </c>
      <c r="H61">
        <v>44010</v>
      </c>
      <c r="I61">
        <v>44436</v>
      </c>
      <c r="J61">
        <f t="shared" si="0"/>
        <v>34372</v>
      </c>
      <c r="L61">
        <v>53</v>
      </c>
      <c r="M61" t="s">
        <v>693</v>
      </c>
      <c r="N61">
        <v>481772</v>
      </c>
      <c r="O61">
        <v>537426</v>
      </c>
      <c r="P61">
        <v>661357</v>
      </c>
      <c r="Q61">
        <v>742002</v>
      </c>
      <c r="R61">
        <v>795249</v>
      </c>
      <c r="S61">
        <v>890053</v>
      </c>
      <c r="T61">
        <f t="shared" si="1"/>
        <v>537426</v>
      </c>
    </row>
    <row r="62" spans="2:20" x14ac:dyDescent="0.25">
      <c r="B62">
        <v>54</v>
      </c>
      <c r="C62" t="s">
        <v>195</v>
      </c>
      <c r="D62">
        <v>6936</v>
      </c>
      <c r="E62">
        <v>6890</v>
      </c>
      <c r="F62">
        <v>7841</v>
      </c>
      <c r="G62">
        <v>8603</v>
      </c>
      <c r="H62">
        <v>8842</v>
      </c>
      <c r="I62">
        <v>8962</v>
      </c>
      <c r="J62">
        <f t="shared" si="0"/>
        <v>6936</v>
      </c>
      <c r="L62">
        <v>54</v>
      </c>
      <c r="M62" t="s">
        <v>694</v>
      </c>
      <c r="N62">
        <v>7065759</v>
      </c>
      <c r="O62">
        <v>7278372</v>
      </c>
      <c r="P62">
        <v>8006947</v>
      </c>
      <c r="Q62">
        <v>8610892</v>
      </c>
      <c r="R62">
        <v>9423379</v>
      </c>
      <c r="S62">
        <v>10038315</v>
      </c>
      <c r="T62">
        <f t="shared" si="1"/>
        <v>7278372</v>
      </c>
    </row>
    <row r="63" spans="2:20" x14ac:dyDescent="0.25">
      <c r="B63">
        <v>55</v>
      </c>
      <c r="C63" t="s">
        <v>197</v>
      </c>
      <c r="D63">
        <v>13592</v>
      </c>
      <c r="E63">
        <v>13863</v>
      </c>
      <c r="F63">
        <v>14971</v>
      </c>
      <c r="G63">
        <v>17732</v>
      </c>
      <c r="H63">
        <v>18374</v>
      </c>
      <c r="I63">
        <v>18579</v>
      </c>
      <c r="J63">
        <f t="shared" si="0"/>
        <v>13863</v>
      </c>
      <c r="L63">
        <v>55</v>
      </c>
      <c r="M63" t="s">
        <v>695</v>
      </c>
      <c r="N63">
        <v>3007921</v>
      </c>
      <c r="O63">
        <v>3122174</v>
      </c>
      <c r="P63">
        <v>3328764</v>
      </c>
      <c r="Q63">
        <v>3482989</v>
      </c>
      <c r="R63">
        <v>3844730</v>
      </c>
      <c r="S63">
        <v>4157288</v>
      </c>
      <c r="T63">
        <f t="shared" si="1"/>
        <v>3122174</v>
      </c>
    </row>
    <row r="64" spans="2:20" x14ac:dyDescent="0.25">
      <c r="B64">
        <v>56</v>
      </c>
      <c r="C64" t="s">
        <v>199</v>
      </c>
      <c r="D64">
        <v>7928</v>
      </c>
      <c r="E64">
        <v>8185</v>
      </c>
      <c r="F64">
        <v>9639</v>
      </c>
      <c r="G64">
        <v>11903</v>
      </c>
      <c r="H64">
        <v>12368</v>
      </c>
      <c r="I64">
        <v>12494</v>
      </c>
      <c r="J64">
        <f t="shared" si="0"/>
        <v>8185</v>
      </c>
      <c r="L64">
        <v>56</v>
      </c>
      <c r="M64" t="s">
        <v>696</v>
      </c>
      <c r="N64">
        <v>1119901</v>
      </c>
      <c r="O64">
        <v>1148195</v>
      </c>
      <c r="P64">
        <v>1195811</v>
      </c>
      <c r="Q64">
        <v>1245809</v>
      </c>
      <c r="R64">
        <v>1373241</v>
      </c>
      <c r="S64">
        <v>1423895</v>
      </c>
      <c r="T64">
        <f t="shared" si="1"/>
        <v>1148195</v>
      </c>
    </row>
    <row r="65" spans="2:20" x14ac:dyDescent="0.25">
      <c r="B65">
        <v>57</v>
      </c>
      <c r="C65" t="s">
        <v>201</v>
      </c>
      <c r="D65">
        <v>3781</v>
      </c>
      <c r="E65">
        <v>3347</v>
      </c>
      <c r="F65">
        <v>3593</v>
      </c>
      <c r="G65">
        <v>3743</v>
      </c>
      <c r="H65">
        <v>3914</v>
      </c>
      <c r="I65">
        <v>3977</v>
      </c>
      <c r="J65">
        <f t="shared" si="0"/>
        <v>3781</v>
      </c>
      <c r="L65">
        <v>57</v>
      </c>
      <c r="M65" t="s">
        <v>697</v>
      </c>
      <c r="N65">
        <v>607994</v>
      </c>
      <c r="O65">
        <v>631959</v>
      </c>
      <c r="P65">
        <v>721251</v>
      </c>
      <c r="Q65">
        <v>720682</v>
      </c>
      <c r="R65">
        <v>828055</v>
      </c>
      <c r="S65">
        <v>932656</v>
      </c>
      <c r="T65">
        <f t="shared" si="1"/>
        <v>631959</v>
      </c>
    </row>
    <row r="66" spans="2:20" x14ac:dyDescent="0.25">
      <c r="B66">
        <v>58</v>
      </c>
      <c r="C66" t="s">
        <v>203</v>
      </c>
      <c r="D66">
        <v>5300</v>
      </c>
      <c r="E66">
        <v>5326</v>
      </c>
      <c r="F66">
        <v>6318</v>
      </c>
      <c r="G66">
        <v>7043</v>
      </c>
      <c r="H66">
        <v>7309</v>
      </c>
      <c r="I66">
        <v>7393</v>
      </c>
      <c r="J66">
        <f t="shared" si="0"/>
        <v>5326</v>
      </c>
      <c r="L66">
        <v>58</v>
      </c>
      <c r="M66" t="s">
        <v>698</v>
      </c>
      <c r="N66">
        <v>1132639</v>
      </c>
      <c r="O66">
        <v>1186085</v>
      </c>
      <c r="P66">
        <v>1230947</v>
      </c>
      <c r="Q66">
        <v>1331509</v>
      </c>
      <c r="R66">
        <v>1421233</v>
      </c>
      <c r="S66">
        <v>1535999</v>
      </c>
      <c r="T66">
        <f t="shared" si="1"/>
        <v>1186085</v>
      </c>
    </row>
    <row r="67" spans="2:20" x14ac:dyDescent="0.25">
      <c r="B67">
        <v>59</v>
      </c>
      <c r="C67" t="s">
        <v>205</v>
      </c>
      <c r="D67">
        <v>4115</v>
      </c>
      <c r="E67">
        <v>3640</v>
      </c>
      <c r="F67">
        <v>3888</v>
      </c>
      <c r="G67">
        <v>5654</v>
      </c>
      <c r="H67">
        <v>5899</v>
      </c>
      <c r="I67">
        <v>5963</v>
      </c>
      <c r="J67">
        <f t="shared" si="0"/>
        <v>4115</v>
      </c>
      <c r="L67">
        <v>59</v>
      </c>
      <c r="M67" t="s">
        <v>521</v>
      </c>
      <c r="N67">
        <v>147388</v>
      </c>
      <c r="O67">
        <v>155935</v>
      </c>
      <c r="P67">
        <v>180754</v>
      </c>
      <c r="Q67">
        <v>184989</v>
      </c>
      <c r="R67">
        <v>222201</v>
      </c>
      <c r="S67">
        <v>264739</v>
      </c>
      <c r="T67">
        <f t="shared" si="1"/>
        <v>155935</v>
      </c>
    </row>
    <row r="68" spans="2:20" x14ac:dyDescent="0.25">
      <c r="B68">
        <v>60</v>
      </c>
      <c r="C68" t="s">
        <v>207</v>
      </c>
      <c r="D68">
        <v>9717</v>
      </c>
      <c r="E68">
        <v>9531</v>
      </c>
      <c r="F68">
        <v>10976</v>
      </c>
      <c r="G68">
        <v>10966</v>
      </c>
      <c r="H68">
        <v>11374</v>
      </c>
      <c r="I68">
        <v>11488</v>
      </c>
      <c r="J68">
        <f t="shared" si="0"/>
        <v>9717</v>
      </c>
      <c r="L68">
        <v>60</v>
      </c>
      <c r="M68" t="s">
        <v>699</v>
      </c>
      <c r="N68">
        <v>4057838</v>
      </c>
      <c r="O68">
        <v>4156198</v>
      </c>
      <c r="P68">
        <v>4678184</v>
      </c>
      <c r="Q68">
        <v>5127903</v>
      </c>
      <c r="R68">
        <v>5578650</v>
      </c>
      <c r="S68">
        <v>5881026</v>
      </c>
      <c r="T68">
        <f t="shared" si="1"/>
        <v>4156198</v>
      </c>
    </row>
    <row r="69" spans="2:20" x14ac:dyDescent="0.25">
      <c r="B69">
        <v>61</v>
      </c>
      <c r="C69" t="s">
        <v>209</v>
      </c>
      <c r="D69">
        <v>4531</v>
      </c>
      <c r="E69">
        <v>4459</v>
      </c>
      <c r="F69">
        <v>4619</v>
      </c>
      <c r="G69">
        <v>5058</v>
      </c>
      <c r="H69">
        <v>5266</v>
      </c>
      <c r="I69">
        <v>5328</v>
      </c>
      <c r="J69">
        <f t="shared" si="0"/>
        <v>4531</v>
      </c>
      <c r="L69">
        <v>61</v>
      </c>
      <c r="M69" t="s">
        <v>700</v>
      </c>
      <c r="N69">
        <v>3654761</v>
      </c>
      <c r="O69">
        <v>3752645</v>
      </c>
      <c r="P69">
        <v>4153375</v>
      </c>
      <c r="Q69">
        <v>4537362</v>
      </c>
      <c r="R69">
        <v>4928775</v>
      </c>
      <c r="S69">
        <v>5210683</v>
      </c>
      <c r="T69">
        <f t="shared" si="1"/>
        <v>3752645</v>
      </c>
    </row>
    <row r="70" spans="2:20" x14ac:dyDescent="0.25">
      <c r="B70">
        <v>62</v>
      </c>
      <c r="C70" t="s">
        <v>211</v>
      </c>
      <c r="D70">
        <v>93180</v>
      </c>
      <c r="E70">
        <v>74597</v>
      </c>
      <c r="F70">
        <v>121758</v>
      </c>
      <c r="G70">
        <v>130923</v>
      </c>
      <c r="H70">
        <v>130849</v>
      </c>
      <c r="I70">
        <v>128733</v>
      </c>
      <c r="J70">
        <f t="shared" si="0"/>
        <v>93180</v>
      </c>
      <c r="L70">
        <v>62</v>
      </c>
      <c r="M70" t="s">
        <v>701</v>
      </c>
      <c r="N70">
        <v>2218948</v>
      </c>
      <c r="O70">
        <v>2343789</v>
      </c>
      <c r="P70">
        <v>2475638</v>
      </c>
      <c r="Q70">
        <v>2694613</v>
      </c>
      <c r="R70">
        <v>2960887</v>
      </c>
      <c r="S70">
        <v>3163735</v>
      </c>
      <c r="T70">
        <f t="shared" si="1"/>
        <v>2343789</v>
      </c>
    </row>
    <row r="71" spans="2:20" x14ac:dyDescent="0.25">
      <c r="B71">
        <v>63</v>
      </c>
      <c r="C71" t="s">
        <v>214</v>
      </c>
      <c r="D71">
        <v>25654</v>
      </c>
      <c r="E71">
        <v>22592</v>
      </c>
      <c r="F71">
        <v>30366</v>
      </c>
      <c r="G71">
        <v>41413</v>
      </c>
      <c r="H71">
        <v>41401</v>
      </c>
      <c r="I71">
        <v>40764</v>
      </c>
      <c r="J71">
        <f t="shared" si="0"/>
        <v>25654</v>
      </c>
      <c r="L71">
        <v>63</v>
      </c>
      <c r="M71" t="s">
        <v>524</v>
      </c>
      <c r="N71">
        <v>1435813</v>
      </c>
      <c r="O71">
        <v>1408856</v>
      </c>
      <c r="P71">
        <v>1677736</v>
      </c>
      <c r="Q71">
        <v>1842750</v>
      </c>
      <c r="R71">
        <v>1967887</v>
      </c>
      <c r="S71">
        <v>2046947</v>
      </c>
      <c r="T71">
        <f t="shared" si="1"/>
        <v>1435813</v>
      </c>
    </row>
    <row r="72" spans="2:20" x14ac:dyDescent="0.25">
      <c r="B72">
        <v>64</v>
      </c>
      <c r="C72" t="s">
        <v>216</v>
      </c>
      <c r="D72">
        <v>5677</v>
      </c>
      <c r="E72">
        <v>4625</v>
      </c>
      <c r="F72">
        <v>7206</v>
      </c>
      <c r="G72">
        <v>8983</v>
      </c>
      <c r="H72">
        <v>8170</v>
      </c>
      <c r="I72">
        <v>7930</v>
      </c>
      <c r="J72">
        <f t="shared" si="0"/>
        <v>5677</v>
      </c>
      <c r="L72">
        <v>64</v>
      </c>
      <c r="M72" t="s">
        <v>702</v>
      </c>
      <c r="N72">
        <v>403077</v>
      </c>
      <c r="O72">
        <v>403552</v>
      </c>
      <c r="P72">
        <v>524809</v>
      </c>
      <c r="Q72">
        <v>590540</v>
      </c>
      <c r="R72">
        <v>649875</v>
      </c>
      <c r="S72">
        <v>670344</v>
      </c>
      <c r="T72">
        <f t="shared" si="1"/>
        <v>403552</v>
      </c>
    </row>
    <row r="73" spans="2:20" x14ac:dyDescent="0.25">
      <c r="B73">
        <v>65</v>
      </c>
      <c r="C73" t="s">
        <v>219</v>
      </c>
      <c r="D73">
        <v>2941</v>
      </c>
      <c r="E73">
        <v>2274</v>
      </c>
      <c r="F73">
        <v>2728</v>
      </c>
      <c r="G73">
        <v>2566</v>
      </c>
      <c r="H73">
        <v>2333</v>
      </c>
      <c r="I73">
        <v>2255</v>
      </c>
      <c r="J73">
        <f t="shared" si="0"/>
        <v>2941</v>
      </c>
      <c r="L73">
        <v>65</v>
      </c>
      <c r="M73" t="s">
        <v>703</v>
      </c>
      <c r="N73">
        <v>4320968</v>
      </c>
      <c r="O73">
        <v>4311058</v>
      </c>
      <c r="P73">
        <v>4803899</v>
      </c>
      <c r="Q73">
        <v>5328965</v>
      </c>
      <c r="R73">
        <v>5573123</v>
      </c>
      <c r="S73">
        <v>5862602</v>
      </c>
      <c r="T73">
        <f t="shared" si="1"/>
        <v>4320968</v>
      </c>
    </row>
    <row r="74" spans="2:20" x14ac:dyDescent="0.25">
      <c r="B74">
        <v>66</v>
      </c>
      <c r="C74" t="s">
        <v>221</v>
      </c>
      <c r="D74">
        <v>29482</v>
      </c>
      <c r="E74">
        <v>24599</v>
      </c>
      <c r="F74">
        <v>31558</v>
      </c>
      <c r="G74">
        <v>39980</v>
      </c>
      <c r="H74">
        <v>36399</v>
      </c>
      <c r="I74">
        <v>35240</v>
      </c>
      <c r="J74">
        <f t="shared" ref="J74:J137" si="2">MAX(D74:E74)</f>
        <v>29482</v>
      </c>
      <c r="L74">
        <v>66</v>
      </c>
      <c r="M74" t="s">
        <v>704</v>
      </c>
      <c r="N74">
        <v>2475839</v>
      </c>
      <c r="O74">
        <v>2520797</v>
      </c>
      <c r="P74">
        <v>2819833</v>
      </c>
      <c r="Q74">
        <v>3111957</v>
      </c>
      <c r="R74">
        <v>3295384</v>
      </c>
      <c r="S74">
        <v>3489498</v>
      </c>
      <c r="T74">
        <f t="shared" si="1"/>
        <v>2520797</v>
      </c>
    </row>
    <row r="75" spans="2:20" x14ac:dyDescent="0.25">
      <c r="B75">
        <v>67</v>
      </c>
      <c r="C75" t="s">
        <v>644</v>
      </c>
      <c r="D75">
        <v>12100</v>
      </c>
      <c r="E75">
        <v>11322</v>
      </c>
      <c r="F75">
        <v>15723</v>
      </c>
      <c r="G75">
        <v>11963</v>
      </c>
      <c r="H75">
        <v>10850</v>
      </c>
      <c r="I75">
        <v>10489</v>
      </c>
      <c r="J75">
        <f t="shared" si="2"/>
        <v>12100</v>
      </c>
      <c r="L75">
        <v>67</v>
      </c>
      <c r="M75" t="s">
        <v>529</v>
      </c>
      <c r="N75">
        <v>370979</v>
      </c>
      <c r="O75">
        <v>374800</v>
      </c>
      <c r="P75">
        <v>412603</v>
      </c>
      <c r="Q75">
        <v>438131</v>
      </c>
      <c r="R75">
        <v>446201</v>
      </c>
      <c r="S75">
        <v>482885</v>
      </c>
      <c r="T75">
        <f t="shared" ref="T75:T109" si="3">MAX(N75:O75)</f>
        <v>374800</v>
      </c>
    </row>
    <row r="76" spans="2:20" x14ac:dyDescent="0.25">
      <c r="B76">
        <v>68</v>
      </c>
      <c r="C76" t="s">
        <v>225</v>
      </c>
      <c r="D76">
        <v>22000</v>
      </c>
      <c r="E76">
        <v>22152</v>
      </c>
      <c r="F76">
        <v>31492</v>
      </c>
      <c r="G76">
        <v>35113</v>
      </c>
      <c r="H76">
        <v>31859</v>
      </c>
      <c r="I76">
        <v>30862</v>
      </c>
      <c r="J76">
        <f t="shared" si="2"/>
        <v>22152</v>
      </c>
      <c r="L76">
        <v>68</v>
      </c>
      <c r="M76" t="s">
        <v>705</v>
      </c>
      <c r="N76">
        <v>531833</v>
      </c>
      <c r="O76">
        <v>551232</v>
      </c>
      <c r="P76">
        <v>610642</v>
      </c>
      <c r="Q76">
        <v>676840</v>
      </c>
      <c r="R76">
        <v>709586</v>
      </c>
      <c r="S76">
        <v>734241</v>
      </c>
      <c r="T76">
        <f t="shared" si="3"/>
        <v>551232</v>
      </c>
    </row>
    <row r="77" spans="2:20" x14ac:dyDescent="0.25">
      <c r="B77">
        <v>69</v>
      </c>
      <c r="C77" t="s">
        <v>227</v>
      </c>
      <c r="D77">
        <v>15161</v>
      </c>
      <c r="E77">
        <v>12598</v>
      </c>
      <c r="F77">
        <v>13297</v>
      </c>
      <c r="G77">
        <v>14528</v>
      </c>
      <c r="H77">
        <v>13089</v>
      </c>
      <c r="I77">
        <v>12637</v>
      </c>
      <c r="J77">
        <f t="shared" si="2"/>
        <v>15161</v>
      </c>
      <c r="L77">
        <v>69</v>
      </c>
      <c r="M77" t="s">
        <v>706</v>
      </c>
      <c r="N77">
        <v>1573028</v>
      </c>
      <c r="O77">
        <v>1594765</v>
      </c>
      <c r="P77">
        <v>1796588</v>
      </c>
      <c r="Q77">
        <v>1996986</v>
      </c>
      <c r="R77">
        <v>2139597</v>
      </c>
      <c r="S77">
        <v>2272372</v>
      </c>
      <c r="T77">
        <f t="shared" si="3"/>
        <v>1594765</v>
      </c>
    </row>
    <row r="78" spans="2:20" x14ac:dyDescent="0.25">
      <c r="B78">
        <v>70</v>
      </c>
      <c r="C78" t="s">
        <v>229</v>
      </c>
      <c r="D78">
        <v>17102</v>
      </c>
      <c r="E78">
        <v>14313</v>
      </c>
      <c r="F78">
        <v>16458</v>
      </c>
      <c r="G78">
        <v>18919</v>
      </c>
      <c r="H78">
        <v>19905</v>
      </c>
      <c r="I78">
        <v>19725</v>
      </c>
      <c r="J78">
        <f t="shared" si="2"/>
        <v>17102</v>
      </c>
      <c r="L78">
        <v>70</v>
      </c>
      <c r="M78" t="s">
        <v>543</v>
      </c>
      <c r="N78">
        <v>631717</v>
      </c>
      <c r="O78">
        <v>640074</v>
      </c>
      <c r="P78">
        <v>696548</v>
      </c>
      <c r="Q78">
        <v>750417</v>
      </c>
      <c r="R78">
        <v>786533</v>
      </c>
      <c r="S78">
        <v>857963</v>
      </c>
      <c r="T78">
        <f t="shared" si="3"/>
        <v>640074</v>
      </c>
    </row>
    <row r="79" spans="2:20" x14ac:dyDescent="0.25">
      <c r="B79">
        <v>71</v>
      </c>
      <c r="C79" t="s">
        <v>231</v>
      </c>
      <c r="D79">
        <v>12656</v>
      </c>
      <c r="E79">
        <v>9905</v>
      </c>
      <c r="F79">
        <v>11172</v>
      </c>
      <c r="G79">
        <v>12747</v>
      </c>
      <c r="H79">
        <v>12876</v>
      </c>
      <c r="I79">
        <v>13464</v>
      </c>
      <c r="J79">
        <f t="shared" si="2"/>
        <v>12656</v>
      </c>
      <c r="L79">
        <v>71</v>
      </c>
      <c r="M79" t="s">
        <v>707</v>
      </c>
      <c r="N79">
        <v>1213412</v>
      </c>
      <c r="O79">
        <v>1150186</v>
      </c>
      <c r="P79">
        <v>1287518</v>
      </c>
      <c r="Q79">
        <v>1466591</v>
      </c>
      <c r="R79">
        <v>1491206</v>
      </c>
      <c r="S79">
        <v>1515142</v>
      </c>
      <c r="T79">
        <f t="shared" si="3"/>
        <v>1213412</v>
      </c>
    </row>
    <row r="80" spans="2:20" x14ac:dyDescent="0.25">
      <c r="B80">
        <v>72</v>
      </c>
      <c r="C80" t="s">
        <v>233</v>
      </c>
      <c r="D80">
        <v>7801</v>
      </c>
      <c r="E80">
        <v>6253</v>
      </c>
      <c r="F80">
        <v>8428</v>
      </c>
      <c r="G80">
        <v>7206</v>
      </c>
      <c r="H80">
        <v>7190</v>
      </c>
      <c r="I80">
        <v>7154</v>
      </c>
      <c r="J80">
        <f t="shared" si="2"/>
        <v>7801</v>
      </c>
      <c r="L80">
        <v>72</v>
      </c>
      <c r="M80" t="s">
        <v>708</v>
      </c>
      <c r="N80">
        <v>1085165</v>
      </c>
      <c r="O80">
        <v>1021709</v>
      </c>
      <c r="P80">
        <v>1145356</v>
      </c>
      <c r="Q80">
        <v>1311895</v>
      </c>
      <c r="R80">
        <v>1325652</v>
      </c>
      <c r="S80">
        <v>1337604</v>
      </c>
      <c r="T80">
        <f t="shared" si="3"/>
        <v>1085165</v>
      </c>
    </row>
    <row r="81" spans="2:20" x14ac:dyDescent="0.25">
      <c r="B81">
        <v>73</v>
      </c>
      <c r="C81" t="s">
        <v>235</v>
      </c>
      <c r="D81">
        <v>13411</v>
      </c>
      <c r="E81">
        <v>10271</v>
      </c>
      <c r="F81">
        <v>10734</v>
      </c>
      <c r="G81">
        <v>12044</v>
      </c>
      <c r="H81">
        <v>12012</v>
      </c>
      <c r="I81">
        <v>11906</v>
      </c>
      <c r="J81">
        <f t="shared" si="2"/>
        <v>13411</v>
      </c>
      <c r="L81">
        <v>73</v>
      </c>
      <c r="M81" t="s">
        <v>552</v>
      </c>
      <c r="N81">
        <v>128247</v>
      </c>
      <c r="O81">
        <v>128477</v>
      </c>
      <c r="P81">
        <v>142163</v>
      </c>
      <c r="Q81">
        <v>154696</v>
      </c>
      <c r="R81">
        <v>165554</v>
      </c>
      <c r="S81">
        <v>177538</v>
      </c>
      <c r="T81">
        <f t="shared" si="3"/>
        <v>128477</v>
      </c>
    </row>
    <row r="82" spans="2:20" x14ac:dyDescent="0.25">
      <c r="B82">
        <v>74</v>
      </c>
      <c r="C82" t="s">
        <v>237</v>
      </c>
      <c r="D82">
        <v>12200</v>
      </c>
      <c r="E82">
        <v>10805</v>
      </c>
      <c r="F82">
        <v>13084</v>
      </c>
      <c r="G82">
        <v>15319</v>
      </c>
      <c r="H82">
        <v>15284</v>
      </c>
      <c r="I82">
        <v>15210</v>
      </c>
      <c r="J82">
        <f t="shared" si="2"/>
        <v>12200</v>
      </c>
      <c r="L82">
        <v>74</v>
      </c>
      <c r="M82" t="s">
        <v>709</v>
      </c>
      <c r="N82">
        <v>2985752</v>
      </c>
      <c r="O82">
        <v>2894190</v>
      </c>
      <c r="P82">
        <v>3176259</v>
      </c>
      <c r="Q82">
        <v>3447478</v>
      </c>
      <c r="R82">
        <v>3742841</v>
      </c>
      <c r="S82">
        <v>4083948</v>
      </c>
      <c r="T82">
        <f t="shared" si="3"/>
        <v>2985752</v>
      </c>
    </row>
    <row r="83" spans="2:20" x14ac:dyDescent="0.25">
      <c r="B83">
        <v>75</v>
      </c>
      <c r="C83" t="s">
        <v>239</v>
      </c>
      <c r="D83">
        <v>9255</v>
      </c>
      <c r="E83">
        <v>8630</v>
      </c>
      <c r="F83">
        <v>9512</v>
      </c>
      <c r="G83">
        <v>10345</v>
      </c>
      <c r="H83">
        <v>10436</v>
      </c>
      <c r="I83">
        <v>10305</v>
      </c>
      <c r="J83">
        <f t="shared" si="2"/>
        <v>9255</v>
      </c>
      <c r="L83">
        <v>75</v>
      </c>
      <c r="M83" t="s">
        <v>710</v>
      </c>
      <c r="N83">
        <v>383160</v>
      </c>
      <c r="O83">
        <v>353408</v>
      </c>
      <c r="P83">
        <v>375268</v>
      </c>
      <c r="Q83">
        <v>417841</v>
      </c>
      <c r="R83">
        <v>448634</v>
      </c>
      <c r="S83">
        <v>495757</v>
      </c>
      <c r="T83">
        <f t="shared" si="3"/>
        <v>383160</v>
      </c>
    </row>
    <row r="84" spans="2:20" x14ac:dyDescent="0.25">
      <c r="B84">
        <v>76</v>
      </c>
      <c r="C84" t="s">
        <v>241</v>
      </c>
      <c r="D84">
        <v>51764</v>
      </c>
      <c r="E84">
        <v>48044</v>
      </c>
      <c r="F84">
        <v>57172</v>
      </c>
      <c r="G84">
        <v>75281</v>
      </c>
      <c r="H84">
        <v>75074</v>
      </c>
      <c r="I84">
        <v>74843</v>
      </c>
      <c r="J84">
        <f t="shared" si="2"/>
        <v>51764</v>
      </c>
      <c r="L84">
        <v>76</v>
      </c>
      <c r="M84" t="s">
        <v>711</v>
      </c>
      <c r="N84">
        <v>2602592</v>
      </c>
      <c r="O84">
        <v>2540782</v>
      </c>
      <c r="P84">
        <v>2800991</v>
      </c>
      <c r="Q84">
        <v>3029637</v>
      </c>
      <c r="R84">
        <v>3294207</v>
      </c>
      <c r="S84">
        <v>3588192</v>
      </c>
      <c r="T84">
        <f t="shared" si="3"/>
        <v>2602592</v>
      </c>
    </row>
    <row r="85" spans="2:20" x14ac:dyDescent="0.25">
      <c r="B85">
        <v>77</v>
      </c>
      <c r="C85" t="s">
        <v>243</v>
      </c>
      <c r="D85">
        <v>47360</v>
      </c>
      <c r="E85">
        <v>46560</v>
      </c>
      <c r="F85">
        <v>53404</v>
      </c>
      <c r="G85">
        <v>63479</v>
      </c>
      <c r="H85">
        <v>63198</v>
      </c>
      <c r="I85">
        <v>63070</v>
      </c>
      <c r="J85">
        <f t="shared" si="2"/>
        <v>47360</v>
      </c>
      <c r="L85">
        <v>77</v>
      </c>
      <c r="M85" t="s">
        <v>712</v>
      </c>
      <c r="N85">
        <v>1162296</v>
      </c>
      <c r="O85">
        <v>1109167</v>
      </c>
      <c r="P85">
        <v>1247932</v>
      </c>
      <c r="Q85">
        <v>1353764</v>
      </c>
      <c r="R85">
        <v>1482486</v>
      </c>
      <c r="S85">
        <v>1625950</v>
      </c>
      <c r="T85">
        <f t="shared" si="3"/>
        <v>1162296</v>
      </c>
    </row>
    <row r="86" spans="2:20" x14ac:dyDescent="0.25">
      <c r="B86">
        <v>78</v>
      </c>
      <c r="C86" t="s">
        <v>245</v>
      </c>
      <c r="D86">
        <v>7040</v>
      </c>
      <c r="E86">
        <v>6182</v>
      </c>
      <c r="F86">
        <v>6373</v>
      </c>
      <c r="G86">
        <v>6118</v>
      </c>
      <c r="H86">
        <v>6076</v>
      </c>
      <c r="I86">
        <v>6027</v>
      </c>
      <c r="J86">
        <f t="shared" si="2"/>
        <v>7040</v>
      </c>
      <c r="L86">
        <v>78</v>
      </c>
      <c r="M86" t="s">
        <v>563</v>
      </c>
      <c r="N86">
        <v>931191</v>
      </c>
      <c r="O86">
        <v>920193</v>
      </c>
      <c r="P86">
        <v>1010074</v>
      </c>
      <c r="Q86">
        <v>1085581</v>
      </c>
      <c r="R86">
        <v>1160822</v>
      </c>
      <c r="S86">
        <v>1260793</v>
      </c>
      <c r="T86">
        <f t="shared" si="3"/>
        <v>931191</v>
      </c>
    </row>
    <row r="87" spans="2:20" x14ac:dyDescent="0.25">
      <c r="B87">
        <v>79</v>
      </c>
      <c r="C87" t="s">
        <v>247</v>
      </c>
      <c r="D87">
        <v>10030</v>
      </c>
      <c r="E87">
        <v>8497</v>
      </c>
      <c r="F87">
        <v>9033</v>
      </c>
      <c r="G87">
        <v>10426</v>
      </c>
      <c r="H87">
        <v>10309</v>
      </c>
      <c r="I87">
        <v>10216</v>
      </c>
      <c r="J87">
        <f t="shared" si="2"/>
        <v>10030</v>
      </c>
      <c r="L87">
        <v>79</v>
      </c>
      <c r="M87" t="s">
        <v>713</v>
      </c>
      <c r="N87">
        <v>261253</v>
      </c>
      <c r="O87">
        <v>257738</v>
      </c>
      <c r="P87">
        <v>264329</v>
      </c>
      <c r="Q87">
        <v>286880</v>
      </c>
      <c r="R87">
        <v>316879</v>
      </c>
      <c r="S87">
        <v>347017</v>
      </c>
      <c r="T87">
        <f t="shared" si="3"/>
        <v>261253</v>
      </c>
    </row>
    <row r="88" spans="2:20" x14ac:dyDescent="0.25">
      <c r="B88">
        <v>80</v>
      </c>
      <c r="C88" t="s">
        <v>249</v>
      </c>
      <c r="D88">
        <v>19582</v>
      </c>
      <c r="E88">
        <v>19387</v>
      </c>
      <c r="F88">
        <v>21694</v>
      </c>
      <c r="G88">
        <v>26610</v>
      </c>
      <c r="H88">
        <v>26281</v>
      </c>
      <c r="I88">
        <v>26116</v>
      </c>
      <c r="J88">
        <f t="shared" si="2"/>
        <v>19582</v>
      </c>
      <c r="L88">
        <v>80</v>
      </c>
      <c r="M88" t="s">
        <v>714</v>
      </c>
      <c r="N88">
        <v>247852</v>
      </c>
      <c r="O88">
        <v>253683</v>
      </c>
      <c r="P88">
        <v>278656</v>
      </c>
      <c r="Q88">
        <v>303414</v>
      </c>
      <c r="R88">
        <v>334020</v>
      </c>
      <c r="S88">
        <v>354432</v>
      </c>
      <c r="T88">
        <f t="shared" si="3"/>
        <v>253683</v>
      </c>
    </row>
    <row r="89" spans="2:20" x14ac:dyDescent="0.25">
      <c r="B89">
        <v>81</v>
      </c>
      <c r="C89" t="s">
        <v>251</v>
      </c>
      <c r="D89">
        <v>9133</v>
      </c>
      <c r="E89">
        <v>9145</v>
      </c>
      <c r="F89">
        <v>9712</v>
      </c>
      <c r="G89">
        <v>10668</v>
      </c>
      <c r="H89">
        <v>10574</v>
      </c>
      <c r="I89">
        <v>10520</v>
      </c>
      <c r="J89">
        <f t="shared" si="2"/>
        <v>9145</v>
      </c>
      <c r="L89">
        <v>81</v>
      </c>
      <c r="M89" t="s">
        <v>715</v>
      </c>
      <c r="N89">
        <v>1612203</v>
      </c>
      <c r="O89">
        <v>1262537</v>
      </c>
      <c r="P89">
        <v>1656505</v>
      </c>
      <c r="Q89">
        <v>1990555</v>
      </c>
      <c r="R89">
        <v>2197550</v>
      </c>
      <c r="S89">
        <v>2317192</v>
      </c>
      <c r="T89">
        <f t="shared" si="3"/>
        <v>1612203</v>
      </c>
    </row>
    <row r="90" spans="2:20" x14ac:dyDescent="0.25">
      <c r="B90">
        <v>82</v>
      </c>
      <c r="C90" t="s">
        <v>253</v>
      </c>
      <c r="D90">
        <v>9332</v>
      </c>
      <c r="E90">
        <v>8457</v>
      </c>
      <c r="F90">
        <v>9568</v>
      </c>
      <c r="G90">
        <v>10764</v>
      </c>
      <c r="H90">
        <v>10677</v>
      </c>
      <c r="I90">
        <v>10643</v>
      </c>
      <c r="J90">
        <f t="shared" si="2"/>
        <v>9332</v>
      </c>
      <c r="L90">
        <v>82</v>
      </c>
      <c r="M90" t="s">
        <v>716</v>
      </c>
      <c r="N90">
        <v>396708</v>
      </c>
      <c r="O90">
        <v>305556</v>
      </c>
      <c r="P90">
        <v>390876</v>
      </c>
      <c r="Q90">
        <v>481249</v>
      </c>
      <c r="R90">
        <v>525798</v>
      </c>
      <c r="S90">
        <v>570821</v>
      </c>
      <c r="T90">
        <f t="shared" si="3"/>
        <v>396708</v>
      </c>
    </row>
    <row r="91" spans="2:20" x14ac:dyDescent="0.25">
      <c r="B91">
        <v>83</v>
      </c>
      <c r="C91" t="s">
        <v>255</v>
      </c>
      <c r="D91">
        <v>40795</v>
      </c>
      <c r="E91">
        <v>36822</v>
      </c>
      <c r="F91">
        <v>40748</v>
      </c>
      <c r="G91">
        <v>46027</v>
      </c>
      <c r="H91">
        <v>45622</v>
      </c>
      <c r="I91">
        <v>45342</v>
      </c>
      <c r="J91">
        <f t="shared" si="2"/>
        <v>40795</v>
      </c>
      <c r="L91">
        <v>83</v>
      </c>
      <c r="M91" t="s">
        <v>717</v>
      </c>
      <c r="N91">
        <v>224384</v>
      </c>
      <c r="O91">
        <v>168158</v>
      </c>
      <c r="P91">
        <v>208674</v>
      </c>
      <c r="Q91">
        <v>268490</v>
      </c>
      <c r="R91">
        <v>288402</v>
      </c>
      <c r="S91">
        <v>319602</v>
      </c>
      <c r="T91">
        <f t="shared" si="3"/>
        <v>224384</v>
      </c>
    </row>
    <row r="92" spans="2:20" x14ac:dyDescent="0.25">
      <c r="B92">
        <v>84</v>
      </c>
      <c r="C92" t="s">
        <v>257</v>
      </c>
      <c r="D92">
        <v>31267</v>
      </c>
      <c r="E92">
        <v>25822</v>
      </c>
      <c r="F92">
        <v>28279</v>
      </c>
      <c r="G92">
        <v>34114</v>
      </c>
      <c r="H92">
        <v>33831</v>
      </c>
      <c r="I92">
        <v>33604</v>
      </c>
      <c r="J92">
        <f t="shared" si="2"/>
        <v>31267</v>
      </c>
      <c r="L92">
        <v>84</v>
      </c>
      <c r="M92" t="s">
        <v>718</v>
      </c>
      <c r="N92">
        <v>172324</v>
      </c>
      <c r="O92">
        <v>137398</v>
      </c>
      <c r="P92">
        <v>182202</v>
      </c>
      <c r="Q92">
        <v>212760</v>
      </c>
      <c r="R92">
        <v>237395</v>
      </c>
      <c r="S92">
        <v>251219</v>
      </c>
      <c r="T92">
        <f t="shared" si="3"/>
        <v>172324</v>
      </c>
    </row>
    <row r="93" spans="2:20" x14ac:dyDescent="0.25">
      <c r="B93">
        <v>85</v>
      </c>
      <c r="C93" t="s">
        <v>259</v>
      </c>
      <c r="D93">
        <v>29246</v>
      </c>
      <c r="E93">
        <v>25160</v>
      </c>
      <c r="F93">
        <v>30167</v>
      </c>
      <c r="G93">
        <v>32513</v>
      </c>
      <c r="H93">
        <v>32278</v>
      </c>
      <c r="I93">
        <v>32129</v>
      </c>
      <c r="J93">
        <f t="shared" si="2"/>
        <v>29246</v>
      </c>
      <c r="L93">
        <v>85</v>
      </c>
      <c r="M93" t="s">
        <v>719</v>
      </c>
      <c r="N93">
        <v>1215496</v>
      </c>
      <c r="O93">
        <v>956981</v>
      </c>
      <c r="P93">
        <v>1265629</v>
      </c>
      <c r="Q93">
        <v>1509305</v>
      </c>
      <c r="R93">
        <v>1671752</v>
      </c>
      <c r="S93">
        <v>1746371</v>
      </c>
      <c r="T93">
        <f t="shared" si="3"/>
        <v>1215496</v>
      </c>
    </row>
    <row r="94" spans="2:20" x14ac:dyDescent="0.25">
      <c r="B94">
        <v>86</v>
      </c>
      <c r="C94" t="s">
        <v>261</v>
      </c>
      <c r="D94">
        <v>5050</v>
      </c>
      <c r="E94">
        <v>5133</v>
      </c>
      <c r="F94">
        <v>5386</v>
      </c>
      <c r="G94">
        <v>6054</v>
      </c>
      <c r="H94">
        <v>6308</v>
      </c>
      <c r="I94">
        <v>6559</v>
      </c>
      <c r="J94">
        <f t="shared" si="2"/>
        <v>5133</v>
      </c>
      <c r="L94">
        <v>86</v>
      </c>
      <c r="M94" t="s">
        <v>577</v>
      </c>
      <c r="N94">
        <v>306476</v>
      </c>
      <c r="O94">
        <v>182727</v>
      </c>
      <c r="P94">
        <v>248229</v>
      </c>
      <c r="Q94">
        <v>335899</v>
      </c>
      <c r="R94">
        <v>376933</v>
      </c>
      <c r="S94">
        <v>384400</v>
      </c>
      <c r="T94">
        <f t="shared" si="3"/>
        <v>306476</v>
      </c>
    </row>
    <row r="95" spans="2:20" x14ac:dyDescent="0.25">
      <c r="B95">
        <v>87</v>
      </c>
      <c r="C95" t="s">
        <v>263</v>
      </c>
      <c r="D95">
        <v>27888</v>
      </c>
      <c r="E95">
        <v>24714</v>
      </c>
      <c r="F95">
        <v>26812</v>
      </c>
      <c r="G95">
        <v>30063</v>
      </c>
      <c r="H95">
        <v>31269</v>
      </c>
      <c r="I95">
        <v>32432</v>
      </c>
      <c r="J95">
        <f t="shared" si="2"/>
        <v>27888</v>
      </c>
      <c r="L95">
        <v>87</v>
      </c>
      <c r="M95" t="s">
        <v>720</v>
      </c>
      <c r="N95">
        <v>909020</v>
      </c>
      <c r="O95">
        <v>774254</v>
      </c>
      <c r="P95">
        <v>1017399</v>
      </c>
      <c r="Q95">
        <v>1173407</v>
      </c>
      <c r="R95">
        <v>1294819</v>
      </c>
      <c r="S95">
        <v>1361971</v>
      </c>
      <c r="T95">
        <f t="shared" si="3"/>
        <v>909020</v>
      </c>
    </row>
    <row r="96" spans="2:20" x14ac:dyDescent="0.25">
      <c r="B96">
        <v>88</v>
      </c>
      <c r="C96" t="s">
        <v>265</v>
      </c>
      <c r="D96">
        <v>6208</v>
      </c>
      <c r="E96">
        <v>5094</v>
      </c>
      <c r="F96">
        <v>5516</v>
      </c>
      <c r="G96">
        <v>5963</v>
      </c>
      <c r="H96">
        <v>5901</v>
      </c>
      <c r="I96">
        <v>5847</v>
      </c>
      <c r="J96">
        <f t="shared" si="2"/>
        <v>6208</v>
      </c>
      <c r="L96">
        <v>88</v>
      </c>
      <c r="M96" t="s">
        <v>721</v>
      </c>
      <c r="N96">
        <v>776759</v>
      </c>
      <c r="O96">
        <v>732247</v>
      </c>
      <c r="P96">
        <v>810793</v>
      </c>
      <c r="Q96">
        <v>930738</v>
      </c>
      <c r="R96">
        <v>1023741</v>
      </c>
      <c r="S96">
        <v>1095448</v>
      </c>
      <c r="T96">
        <f t="shared" si="3"/>
        <v>776759</v>
      </c>
    </row>
    <row r="97" spans="2:20" x14ac:dyDescent="0.25">
      <c r="B97">
        <v>89</v>
      </c>
      <c r="C97" t="s">
        <v>267</v>
      </c>
      <c r="D97">
        <v>7118</v>
      </c>
      <c r="E97">
        <v>5603</v>
      </c>
      <c r="F97">
        <v>6436</v>
      </c>
      <c r="G97">
        <v>7590</v>
      </c>
      <c r="H97">
        <v>7506</v>
      </c>
      <c r="I97">
        <v>7465</v>
      </c>
      <c r="J97">
        <f t="shared" si="2"/>
        <v>7118</v>
      </c>
      <c r="L97">
        <v>89</v>
      </c>
      <c r="M97" t="s">
        <v>614</v>
      </c>
      <c r="N97">
        <v>4128445</v>
      </c>
      <c r="O97">
        <v>4267605</v>
      </c>
      <c r="P97">
        <v>4584197</v>
      </c>
      <c r="Q97">
        <v>4912891</v>
      </c>
      <c r="R97">
        <v>5134693</v>
      </c>
      <c r="S97">
        <v>5427497</v>
      </c>
      <c r="T97">
        <f t="shared" si="3"/>
        <v>4267605</v>
      </c>
    </row>
    <row r="98" spans="2:20" x14ac:dyDescent="0.25">
      <c r="B98">
        <v>90</v>
      </c>
      <c r="C98" t="s">
        <v>269</v>
      </c>
      <c r="D98">
        <v>15750</v>
      </c>
      <c r="E98">
        <v>19140</v>
      </c>
      <c r="F98">
        <v>20825</v>
      </c>
      <c r="G98">
        <v>21584</v>
      </c>
      <c r="H98">
        <v>24713</v>
      </c>
      <c r="I98">
        <v>30598</v>
      </c>
      <c r="J98">
        <f t="shared" si="2"/>
        <v>19140</v>
      </c>
      <c r="L98">
        <v>90</v>
      </c>
      <c r="M98" t="s">
        <v>722</v>
      </c>
      <c r="N98">
        <v>1242192</v>
      </c>
      <c r="O98">
        <v>1322348</v>
      </c>
      <c r="P98">
        <v>1412744</v>
      </c>
      <c r="Q98">
        <v>1455081</v>
      </c>
      <c r="R98">
        <v>1531618</v>
      </c>
      <c r="S98">
        <v>1632153</v>
      </c>
      <c r="T98">
        <f t="shared" si="3"/>
        <v>1322348</v>
      </c>
    </row>
    <row r="99" spans="2:20" x14ac:dyDescent="0.25">
      <c r="B99">
        <v>91</v>
      </c>
      <c r="C99" t="s">
        <v>271</v>
      </c>
      <c r="D99">
        <v>17272</v>
      </c>
      <c r="E99">
        <v>16500</v>
      </c>
      <c r="F99">
        <v>18478</v>
      </c>
      <c r="G99">
        <v>20790</v>
      </c>
      <c r="H99">
        <v>20597</v>
      </c>
      <c r="I99">
        <v>20509</v>
      </c>
      <c r="J99">
        <f t="shared" si="2"/>
        <v>17272</v>
      </c>
      <c r="L99">
        <v>91</v>
      </c>
      <c r="M99" t="s">
        <v>723</v>
      </c>
      <c r="N99">
        <v>1143292</v>
      </c>
      <c r="O99">
        <v>1221814</v>
      </c>
      <c r="P99">
        <v>1303663</v>
      </c>
      <c r="Q99">
        <v>1339947</v>
      </c>
      <c r="R99">
        <v>1421283</v>
      </c>
      <c r="S99">
        <v>1521474</v>
      </c>
      <c r="T99">
        <f t="shared" si="3"/>
        <v>1221814</v>
      </c>
    </row>
    <row r="100" spans="2:20" x14ac:dyDescent="0.25">
      <c r="B100">
        <v>92</v>
      </c>
      <c r="C100" t="s">
        <v>273</v>
      </c>
      <c r="D100">
        <v>30120</v>
      </c>
      <c r="E100">
        <v>28951</v>
      </c>
      <c r="F100">
        <v>35637</v>
      </c>
      <c r="G100">
        <v>41643</v>
      </c>
      <c r="H100">
        <v>33032</v>
      </c>
      <c r="I100">
        <v>34572</v>
      </c>
      <c r="J100">
        <f t="shared" si="2"/>
        <v>30120</v>
      </c>
      <c r="L100">
        <v>92</v>
      </c>
      <c r="M100" t="s">
        <v>724</v>
      </c>
      <c r="N100">
        <v>702344</v>
      </c>
      <c r="O100">
        <v>725989</v>
      </c>
      <c r="P100">
        <v>750515</v>
      </c>
      <c r="Q100">
        <v>767269</v>
      </c>
      <c r="R100">
        <v>827977</v>
      </c>
      <c r="S100">
        <v>891867</v>
      </c>
      <c r="T100">
        <f t="shared" si="3"/>
        <v>725989</v>
      </c>
    </row>
    <row r="101" spans="2:20" x14ac:dyDescent="0.25">
      <c r="B101">
        <v>93</v>
      </c>
      <c r="C101" t="s">
        <v>275</v>
      </c>
      <c r="D101">
        <v>8601</v>
      </c>
      <c r="E101">
        <v>7614</v>
      </c>
      <c r="F101">
        <v>8291</v>
      </c>
      <c r="G101">
        <v>10592</v>
      </c>
      <c r="H101">
        <v>11103</v>
      </c>
      <c r="I101">
        <v>11185</v>
      </c>
      <c r="J101">
        <f t="shared" si="2"/>
        <v>8601</v>
      </c>
      <c r="L101">
        <v>93</v>
      </c>
      <c r="M101" t="s">
        <v>725</v>
      </c>
      <c r="N101">
        <v>440949</v>
      </c>
      <c r="O101">
        <v>495826</v>
      </c>
      <c r="P101">
        <v>553149</v>
      </c>
      <c r="Q101">
        <v>572678</v>
      </c>
      <c r="R101">
        <v>593306</v>
      </c>
      <c r="S101">
        <v>629608</v>
      </c>
      <c r="T101">
        <f t="shared" si="3"/>
        <v>495826</v>
      </c>
    </row>
    <row r="102" spans="2:20" x14ac:dyDescent="0.25">
      <c r="B102">
        <v>94</v>
      </c>
      <c r="C102" t="s">
        <v>277</v>
      </c>
      <c r="D102">
        <v>34426</v>
      </c>
      <c r="E102">
        <v>27743</v>
      </c>
      <c r="F102">
        <v>31710</v>
      </c>
      <c r="G102">
        <v>37735</v>
      </c>
      <c r="H102">
        <v>42050</v>
      </c>
      <c r="I102">
        <v>42306</v>
      </c>
      <c r="J102">
        <f t="shared" si="2"/>
        <v>34426</v>
      </c>
      <c r="L102">
        <v>94</v>
      </c>
      <c r="M102" t="s">
        <v>726</v>
      </c>
      <c r="N102">
        <v>98900</v>
      </c>
      <c r="O102">
        <v>100534</v>
      </c>
      <c r="P102">
        <v>109081</v>
      </c>
      <c r="Q102">
        <v>115134</v>
      </c>
      <c r="R102">
        <v>110335</v>
      </c>
      <c r="S102">
        <v>110679</v>
      </c>
      <c r="T102">
        <f t="shared" si="3"/>
        <v>100534</v>
      </c>
    </row>
    <row r="103" spans="2:20" x14ac:dyDescent="0.25">
      <c r="B103">
        <v>95</v>
      </c>
      <c r="C103" t="s">
        <v>279</v>
      </c>
      <c r="D103">
        <v>18533</v>
      </c>
      <c r="E103">
        <v>14869</v>
      </c>
      <c r="F103">
        <v>14547</v>
      </c>
      <c r="G103">
        <v>16212</v>
      </c>
      <c r="H103">
        <v>17962</v>
      </c>
      <c r="I103">
        <v>15772</v>
      </c>
      <c r="J103">
        <f t="shared" si="2"/>
        <v>18533</v>
      </c>
      <c r="L103">
        <v>95</v>
      </c>
      <c r="M103" t="s">
        <v>727</v>
      </c>
      <c r="N103">
        <v>2886253</v>
      </c>
      <c r="O103">
        <v>2945258</v>
      </c>
      <c r="P103">
        <v>3171452</v>
      </c>
      <c r="Q103">
        <v>3457809</v>
      </c>
      <c r="R103">
        <v>3603075</v>
      </c>
      <c r="S103">
        <v>3795344</v>
      </c>
      <c r="T103">
        <f t="shared" si="3"/>
        <v>2945258</v>
      </c>
    </row>
    <row r="104" spans="2:20" x14ac:dyDescent="0.25">
      <c r="B104">
        <v>96</v>
      </c>
      <c r="C104" t="s">
        <v>281</v>
      </c>
      <c r="D104">
        <v>8810</v>
      </c>
      <c r="E104">
        <v>9025</v>
      </c>
      <c r="F104">
        <v>10770</v>
      </c>
      <c r="G104">
        <v>13414</v>
      </c>
      <c r="H104">
        <v>12829</v>
      </c>
      <c r="I104">
        <v>12903</v>
      </c>
      <c r="J104">
        <f t="shared" si="2"/>
        <v>9025</v>
      </c>
      <c r="L104">
        <v>96</v>
      </c>
      <c r="M104" t="s">
        <v>723</v>
      </c>
      <c r="N104">
        <v>2503853</v>
      </c>
      <c r="O104">
        <v>2596601</v>
      </c>
      <c r="P104">
        <v>2775993</v>
      </c>
      <c r="Q104">
        <v>3012360</v>
      </c>
      <c r="R104">
        <v>3137671</v>
      </c>
      <c r="S104">
        <v>3297076</v>
      </c>
      <c r="T104">
        <f t="shared" si="3"/>
        <v>2596601</v>
      </c>
    </row>
    <row r="105" spans="2:20" x14ac:dyDescent="0.25">
      <c r="B105">
        <v>97</v>
      </c>
      <c r="C105" t="s">
        <v>283</v>
      </c>
      <c r="D105">
        <v>28403</v>
      </c>
      <c r="E105">
        <v>27498</v>
      </c>
      <c r="F105">
        <v>28295</v>
      </c>
      <c r="G105">
        <v>28121</v>
      </c>
      <c r="H105">
        <v>26796</v>
      </c>
      <c r="I105">
        <v>26973</v>
      </c>
      <c r="J105">
        <f t="shared" si="2"/>
        <v>28403</v>
      </c>
      <c r="L105">
        <v>97</v>
      </c>
      <c r="M105" t="s">
        <v>726</v>
      </c>
      <c r="N105">
        <v>382401</v>
      </c>
      <c r="O105">
        <v>348655</v>
      </c>
      <c r="P105">
        <v>395460</v>
      </c>
      <c r="Q105">
        <v>445449</v>
      </c>
      <c r="R105">
        <v>465404</v>
      </c>
      <c r="S105">
        <v>498268</v>
      </c>
      <c r="T105">
        <f t="shared" si="3"/>
        <v>382401</v>
      </c>
    </row>
    <row r="106" spans="2:20" x14ac:dyDescent="0.25">
      <c r="B106">
        <v>98</v>
      </c>
      <c r="C106" t="s">
        <v>284</v>
      </c>
      <c r="D106">
        <v>5347</v>
      </c>
      <c r="E106">
        <v>5818</v>
      </c>
      <c r="F106">
        <v>6595</v>
      </c>
      <c r="G106">
        <v>7319</v>
      </c>
      <c r="H106">
        <v>7230</v>
      </c>
      <c r="I106">
        <v>7250</v>
      </c>
      <c r="J106">
        <f t="shared" si="2"/>
        <v>5818</v>
      </c>
      <c r="M106" t="s">
        <v>728</v>
      </c>
      <c r="T106">
        <f t="shared" si="3"/>
        <v>0</v>
      </c>
    </row>
    <row r="107" spans="2:20" x14ac:dyDescent="0.25">
      <c r="B107">
        <v>99</v>
      </c>
      <c r="C107" t="s">
        <v>285</v>
      </c>
      <c r="D107">
        <v>1214</v>
      </c>
      <c r="E107">
        <v>1033</v>
      </c>
      <c r="F107">
        <v>1223</v>
      </c>
      <c r="G107">
        <v>1363</v>
      </c>
      <c r="H107">
        <v>1350</v>
      </c>
      <c r="I107">
        <v>1355</v>
      </c>
      <c r="J107">
        <f t="shared" si="2"/>
        <v>1214</v>
      </c>
      <c r="L107">
        <v>98</v>
      </c>
      <c r="M107" t="s">
        <v>729</v>
      </c>
      <c r="N107">
        <v>8670341</v>
      </c>
      <c r="O107">
        <v>8043643</v>
      </c>
      <c r="P107">
        <v>9444532</v>
      </c>
      <c r="Q107">
        <v>10869321</v>
      </c>
      <c r="R107">
        <v>10894140</v>
      </c>
      <c r="S107">
        <v>10986362</v>
      </c>
      <c r="T107">
        <f t="shared" si="3"/>
        <v>8670341</v>
      </c>
    </row>
    <row r="108" spans="2:20" x14ac:dyDescent="0.25">
      <c r="B108">
        <v>100</v>
      </c>
      <c r="C108" t="s">
        <v>286</v>
      </c>
      <c r="D108">
        <v>19487</v>
      </c>
      <c r="E108">
        <v>18115</v>
      </c>
      <c r="F108">
        <v>20648</v>
      </c>
      <c r="G108">
        <v>22860</v>
      </c>
      <c r="H108">
        <v>21159</v>
      </c>
      <c r="I108">
        <v>19944</v>
      </c>
      <c r="J108">
        <f t="shared" si="2"/>
        <v>19487</v>
      </c>
      <c r="L108">
        <v>99</v>
      </c>
      <c r="M108" t="s">
        <v>730</v>
      </c>
      <c r="O108">
        <v>24403382</v>
      </c>
      <c r="P108">
        <v>27804539</v>
      </c>
      <c r="Q108">
        <v>30829025</v>
      </c>
      <c r="R108">
        <v>32511441</v>
      </c>
      <c r="S108">
        <v>34322697</v>
      </c>
      <c r="T108">
        <f t="shared" si="3"/>
        <v>24403382</v>
      </c>
    </row>
    <row r="109" spans="2:20" x14ac:dyDescent="0.25">
      <c r="B109">
        <v>101</v>
      </c>
      <c r="C109" t="s">
        <v>287</v>
      </c>
      <c r="D109">
        <v>5065</v>
      </c>
      <c r="E109">
        <v>4638</v>
      </c>
      <c r="F109">
        <v>5087</v>
      </c>
      <c r="G109">
        <v>6467</v>
      </c>
      <c r="H109">
        <v>6919</v>
      </c>
      <c r="I109">
        <v>7572</v>
      </c>
      <c r="J109">
        <f t="shared" si="2"/>
        <v>5065</v>
      </c>
      <c r="L109">
        <v>100</v>
      </c>
      <c r="M109" t="s">
        <v>731</v>
      </c>
      <c r="O109">
        <v>2525099</v>
      </c>
      <c r="P109">
        <v>2813828</v>
      </c>
      <c r="Q109">
        <v>3050057</v>
      </c>
      <c r="R109">
        <v>3161328</v>
      </c>
      <c r="S109">
        <v>3340065</v>
      </c>
      <c r="T109">
        <f t="shared" si="3"/>
        <v>2525099</v>
      </c>
    </row>
    <row r="110" spans="2:20" x14ac:dyDescent="0.25">
      <c r="B110">
        <v>102</v>
      </c>
      <c r="C110" t="s">
        <v>288</v>
      </c>
      <c r="D110">
        <v>33642</v>
      </c>
      <c r="E110">
        <v>33571</v>
      </c>
      <c r="F110">
        <v>35949</v>
      </c>
      <c r="G110">
        <v>39142</v>
      </c>
      <c r="H110">
        <v>41994</v>
      </c>
      <c r="I110">
        <v>45873</v>
      </c>
      <c r="J110">
        <f t="shared" si="2"/>
        <v>33642</v>
      </c>
    </row>
    <row r="111" spans="2:20" x14ac:dyDescent="0.25">
      <c r="B111">
        <v>103</v>
      </c>
      <c r="C111" t="s">
        <v>289</v>
      </c>
      <c r="D111">
        <v>7060</v>
      </c>
      <c r="E111">
        <v>7095</v>
      </c>
      <c r="F111">
        <v>7407</v>
      </c>
      <c r="G111">
        <v>8685</v>
      </c>
      <c r="H111">
        <v>9306</v>
      </c>
      <c r="I111">
        <v>10205</v>
      </c>
      <c r="J111">
        <f t="shared" si="2"/>
        <v>7095</v>
      </c>
    </row>
    <row r="112" spans="2:20" x14ac:dyDescent="0.25">
      <c r="B112">
        <v>104</v>
      </c>
      <c r="C112" t="s">
        <v>290</v>
      </c>
      <c r="D112">
        <v>6345</v>
      </c>
      <c r="E112">
        <v>6117</v>
      </c>
      <c r="F112">
        <v>6822</v>
      </c>
      <c r="G112">
        <v>6657</v>
      </c>
      <c r="H112">
        <v>6604</v>
      </c>
      <c r="I112">
        <v>6495</v>
      </c>
      <c r="J112">
        <f t="shared" si="2"/>
        <v>6345</v>
      </c>
    </row>
    <row r="113" spans="2:10" x14ac:dyDescent="0.25">
      <c r="B113">
        <v>105</v>
      </c>
      <c r="C113" t="s">
        <v>291</v>
      </c>
      <c r="D113">
        <v>8747</v>
      </c>
      <c r="E113">
        <v>7839</v>
      </c>
      <c r="F113">
        <v>8891</v>
      </c>
      <c r="G113">
        <v>9536</v>
      </c>
      <c r="H113">
        <v>9468</v>
      </c>
      <c r="I113">
        <v>9296</v>
      </c>
      <c r="J113">
        <f t="shared" si="2"/>
        <v>8747</v>
      </c>
    </row>
    <row r="114" spans="2:10" x14ac:dyDescent="0.25">
      <c r="B114">
        <v>106</v>
      </c>
      <c r="C114" t="s">
        <v>292</v>
      </c>
      <c r="D114">
        <v>7903</v>
      </c>
      <c r="E114">
        <v>7527</v>
      </c>
      <c r="F114">
        <v>8427</v>
      </c>
      <c r="G114">
        <v>9428</v>
      </c>
      <c r="H114">
        <v>9323</v>
      </c>
      <c r="I114">
        <v>9133</v>
      </c>
      <c r="J114">
        <f t="shared" si="2"/>
        <v>7903</v>
      </c>
    </row>
    <row r="115" spans="2:10" x14ac:dyDescent="0.25">
      <c r="B115">
        <v>107</v>
      </c>
      <c r="C115" t="s">
        <v>293</v>
      </c>
      <c r="D115">
        <v>9476</v>
      </c>
      <c r="E115">
        <v>8236</v>
      </c>
      <c r="F115">
        <v>9181</v>
      </c>
      <c r="G115">
        <v>9022</v>
      </c>
      <c r="H115">
        <v>8935</v>
      </c>
      <c r="I115">
        <v>8764</v>
      </c>
      <c r="J115">
        <f t="shared" si="2"/>
        <v>9476</v>
      </c>
    </row>
    <row r="116" spans="2:10" x14ac:dyDescent="0.25">
      <c r="B116">
        <v>108</v>
      </c>
      <c r="C116" t="s">
        <v>294</v>
      </c>
      <c r="D116">
        <v>10318</v>
      </c>
      <c r="E116">
        <v>9981</v>
      </c>
      <c r="F116">
        <v>9567</v>
      </c>
      <c r="G116">
        <v>11049</v>
      </c>
      <c r="H116">
        <v>11679</v>
      </c>
      <c r="I116">
        <v>11003</v>
      </c>
      <c r="J116">
        <f t="shared" si="2"/>
        <v>10318</v>
      </c>
    </row>
    <row r="117" spans="2:10" x14ac:dyDescent="0.25">
      <c r="B117">
        <v>109</v>
      </c>
      <c r="C117" t="s">
        <v>295</v>
      </c>
      <c r="D117">
        <v>3554</v>
      </c>
      <c r="E117">
        <v>3056</v>
      </c>
      <c r="F117">
        <v>3479</v>
      </c>
      <c r="G117">
        <v>4272</v>
      </c>
      <c r="H117">
        <v>4801</v>
      </c>
      <c r="I117">
        <v>4552</v>
      </c>
      <c r="J117">
        <f t="shared" si="2"/>
        <v>3554</v>
      </c>
    </row>
    <row r="118" spans="2:10" x14ac:dyDescent="0.25">
      <c r="B118">
        <v>110</v>
      </c>
      <c r="C118" t="s">
        <v>296</v>
      </c>
      <c r="D118">
        <v>4803</v>
      </c>
      <c r="E118">
        <v>3911</v>
      </c>
      <c r="F118">
        <v>3934</v>
      </c>
      <c r="G118">
        <v>5225</v>
      </c>
      <c r="H118">
        <v>5904</v>
      </c>
      <c r="I118">
        <v>5592</v>
      </c>
      <c r="J118">
        <f t="shared" si="2"/>
        <v>4803</v>
      </c>
    </row>
    <row r="119" spans="2:10" x14ac:dyDescent="0.25">
      <c r="B119">
        <v>111</v>
      </c>
      <c r="C119" t="s">
        <v>297</v>
      </c>
      <c r="D119">
        <v>27576</v>
      </c>
      <c r="E119">
        <v>20556</v>
      </c>
      <c r="F119">
        <v>26039</v>
      </c>
      <c r="G119">
        <v>28505</v>
      </c>
      <c r="H119">
        <v>32531</v>
      </c>
      <c r="I119">
        <v>30699</v>
      </c>
      <c r="J119">
        <f t="shared" si="2"/>
        <v>27576</v>
      </c>
    </row>
    <row r="120" spans="2:10" x14ac:dyDescent="0.25">
      <c r="B120">
        <v>112</v>
      </c>
      <c r="C120" t="s">
        <v>298</v>
      </c>
      <c r="D120">
        <v>11084</v>
      </c>
      <c r="E120">
        <v>8297</v>
      </c>
      <c r="F120">
        <v>7817</v>
      </c>
      <c r="G120">
        <v>9341</v>
      </c>
      <c r="H120">
        <v>9311</v>
      </c>
      <c r="I120">
        <v>9217</v>
      </c>
      <c r="J120">
        <f t="shared" si="2"/>
        <v>11084</v>
      </c>
    </row>
    <row r="121" spans="2:10" x14ac:dyDescent="0.25">
      <c r="B121">
        <v>113</v>
      </c>
      <c r="C121" t="s">
        <v>645</v>
      </c>
      <c r="D121">
        <v>17701</v>
      </c>
      <c r="E121">
        <v>15628</v>
      </c>
      <c r="F121">
        <v>15889</v>
      </c>
      <c r="G121">
        <v>16725</v>
      </c>
      <c r="H121">
        <v>16725</v>
      </c>
      <c r="I121">
        <v>16519</v>
      </c>
      <c r="J121">
        <f t="shared" si="2"/>
        <v>17701</v>
      </c>
    </row>
    <row r="122" spans="2:10" x14ac:dyDescent="0.25">
      <c r="B122">
        <v>114</v>
      </c>
      <c r="C122" t="s">
        <v>300</v>
      </c>
      <c r="D122">
        <v>32592</v>
      </c>
      <c r="E122">
        <v>28937</v>
      </c>
      <c r="F122">
        <v>33138</v>
      </c>
      <c r="G122">
        <v>37666</v>
      </c>
      <c r="H122">
        <v>40951</v>
      </c>
      <c r="I122">
        <v>33966</v>
      </c>
      <c r="J122">
        <f t="shared" si="2"/>
        <v>32592</v>
      </c>
    </row>
    <row r="123" spans="2:10" x14ac:dyDescent="0.25">
      <c r="B123">
        <v>115</v>
      </c>
      <c r="C123" t="s">
        <v>301</v>
      </c>
      <c r="D123">
        <v>3869</v>
      </c>
      <c r="E123">
        <v>3692</v>
      </c>
      <c r="F123">
        <v>4040</v>
      </c>
      <c r="G123">
        <v>2882</v>
      </c>
      <c r="H123">
        <v>2884</v>
      </c>
      <c r="I123">
        <v>2886</v>
      </c>
      <c r="J123">
        <f t="shared" si="2"/>
        <v>3869</v>
      </c>
    </row>
    <row r="124" spans="2:10" x14ac:dyDescent="0.25">
      <c r="B124">
        <v>116</v>
      </c>
      <c r="C124" t="s">
        <v>302</v>
      </c>
      <c r="D124">
        <v>7085</v>
      </c>
      <c r="E124">
        <v>7114</v>
      </c>
      <c r="F124">
        <v>8210</v>
      </c>
      <c r="G124">
        <v>8929</v>
      </c>
      <c r="H124">
        <v>8941</v>
      </c>
      <c r="I124">
        <v>8975</v>
      </c>
      <c r="J124">
        <f t="shared" si="2"/>
        <v>7114</v>
      </c>
    </row>
    <row r="125" spans="2:10" x14ac:dyDescent="0.25">
      <c r="B125">
        <v>117</v>
      </c>
      <c r="C125" t="s">
        <v>303</v>
      </c>
      <c r="D125">
        <v>2821</v>
      </c>
      <c r="E125">
        <v>2469</v>
      </c>
      <c r="F125">
        <v>2649</v>
      </c>
      <c r="G125">
        <v>3532</v>
      </c>
      <c r="H125">
        <v>3538</v>
      </c>
      <c r="I125">
        <v>3558</v>
      </c>
      <c r="J125">
        <f t="shared" si="2"/>
        <v>2821</v>
      </c>
    </row>
    <row r="126" spans="2:10" x14ac:dyDescent="0.25">
      <c r="B126">
        <v>118</v>
      </c>
      <c r="C126" t="s">
        <v>304</v>
      </c>
      <c r="D126">
        <v>24421</v>
      </c>
      <c r="E126">
        <v>22444</v>
      </c>
      <c r="F126">
        <v>25072</v>
      </c>
      <c r="G126">
        <v>27041</v>
      </c>
      <c r="H126">
        <v>26990</v>
      </c>
      <c r="I126">
        <v>27091</v>
      </c>
      <c r="J126">
        <f t="shared" si="2"/>
        <v>24421</v>
      </c>
    </row>
    <row r="127" spans="2:10" x14ac:dyDescent="0.25">
      <c r="B127">
        <v>119</v>
      </c>
      <c r="C127" t="s">
        <v>305</v>
      </c>
      <c r="D127">
        <v>12128</v>
      </c>
      <c r="E127">
        <v>10509</v>
      </c>
      <c r="F127">
        <v>11890</v>
      </c>
      <c r="G127">
        <v>13010</v>
      </c>
      <c r="H127">
        <v>13056</v>
      </c>
      <c r="I127">
        <v>13068</v>
      </c>
      <c r="J127">
        <f t="shared" si="2"/>
        <v>12128</v>
      </c>
    </row>
    <row r="128" spans="2:10" x14ac:dyDescent="0.25">
      <c r="B128">
        <v>120</v>
      </c>
      <c r="C128" t="s">
        <v>306</v>
      </c>
      <c r="D128">
        <v>17909</v>
      </c>
      <c r="E128">
        <v>19653</v>
      </c>
      <c r="F128">
        <v>20296</v>
      </c>
      <c r="G128">
        <v>24801</v>
      </c>
      <c r="H128">
        <v>26448</v>
      </c>
      <c r="I128">
        <v>29563</v>
      </c>
      <c r="J128">
        <f t="shared" si="2"/>
        <v>19653</v>
      </c>
    </row>
    <row r="129" spans="2:10" x14ac:dyDescent="0.25">
      <c r="B129">
        <v>121</v>
      </c>
      <c r="C129" t="s">
        <v>307</v>
      </c>
      <c r="D129">
        <v>6839</v>
      </c>
      <c r="E129">
        <v>5260</v>
      </c>
      <c r="F129">
        <v>5363</v>
      </c>
      <c r="G129">
        <v>6610</v>
      </c>
      <c r="H129">
        <v>7088</v>
      </c>
      <c r="I129">
        <v>7751</v>
      </c>
      <c r="J129">
        <f t="shared" si="2"/>
        <v>6839</v>
      </c>
    </row>
    <row r="130" spans="2:10" x14ac:dyDescent="0.25">
      <c r="B130">
        <v>122</v>
      </c>
      <c r="C130" t="s">
        <v>308</v>
      </c>
      <c r="D130">
        <v>8170</v>
      </c>
      <c r="E130">
        <v>8104</v>
      </c>
      <c r="F130">
        <v>8941</v>
      </c>
      <c r="G130">
        <v>7840</v>
      </c>
      <c r="H130">
        <v>7814</v>
      </c>
      <c r="I130">
        <v>8786</v>
      </c>
      <c r="J130">
        <f t="shared" si="2"/>
        <v>8170</v>
      </c>
    </row>
    <row r="131" spans="2:10" x14ac:dyDescent="0.25">
      <c r="B131">
        <v>123</v>
      </c>
      <c r="C131" t="s">
        <v>309</v>
      </c>
      <c r="D131">
        <v>7579</v>
      </c>
      <c r="E131">
        <v>5157</v>
      </c>
      <c r="F131">
        <v>5742</v>
      </c>
      <c r="G131">
        <v>7300</v>
      </c>
      <c r="H131">
        <v>7205</v>
      </c>
      <c r="I131">
        <v>7479</v>
      </c>
      <c r="J131">
        <f t="shared" si="2"/>
        <v>7579</v>
      </c>
    </row>
    <row r="132" spans="2:10" x14ac:dyDescent="0.25">
      <c r="B132">
        <v>124</v>
      </c>
      <c r="C132" t="s">
        <v>310</v>
      </c>
      <c r="D132">
        <v>32420</v>
      </c>
      <c r="E132">
        <v>31438</v>
      </c>
      <c r="F132">
        <v>31685</v>
      </c>
      <c r="G132">
        <v>37088</v>
      </c>
      <c r="H132">
        <v>36406</v>
      </c>
      <c r="I132">
        <v>37746</v>
      </c>
      <c r="J132">
        <f t="shared" si="2"/>
        <v>32420</v>
      </c>
    </row>
    <row r="133" spans="2:10" x14ac:dyDescent="0.25">
      <c r="B133">
        <v>125</v>
      </c>
      <c r="C133" t="s">
        <v>311</v>
      </c>
      <c r="D133">
        <v>4810</v>
      </c>
      <c r="E133">
        <v>4555</v>
      </c>
      <c r="F133">
        <v>4762</v>
      </c>
      <c r="G133">
        <v>4822</v>
      </c>
      <c r="H133">
        <v>4783</v>
      </c>
      <c r="I133">
        <v>4928</v>
      </c>
      <c r="J133">
        <f t="shared" si="2"/>
        <v>4810</v>
      </c>
    </row>
    <row r="134" spans="2:10" x14ac:dyDescent="0.25">
      <c r="B134">
        <v>126</v>
      </c>
      <c r="C134" t="s">
        <v>312</v>
      </c>
      <c r="D134">
        <v>63119</v>
      </c>
      <c r="E134">
        <v>67573</v>
      </c>
      <c r="F134">
        <v>73920</v>
      </c>
      <c r="G134">
        <v>79222</v>
      </c>
      <c r="H134">
        <v>75849</v>
      </c>
      <c r="I134">
        <v>76111</v>
      </c>
      <c r="J134">
        <f t="shared" si="2"/>
        <v>67573</v>
      </c>
    </row>
    <row r="135" spans="2:10" x14ac:dyDescent="0.25">
      <c r="B135">
        <v>127</v>
      </c>
      <c r="C135" t="s">
        <v>313</v>
      </c>
      <c r="D135">
        <v>22846</v>
      </c>
      <c r="E135">
        <v>22465</v>
      </c>
      <c r="F135">
        <v>24190</v>
      </c>
      <c r="G135">
        <v>25976</v>
      </c>
      <c r="H135">
        <v>26203</v>
      </c>
      <c r="I135">
        <v>28409</v>
      </c>
      <c r="J135">
        <f t="shared" si="2"/>
        <v>22846</v>
      </c>
    </row>
    <row r="136" spans="2:10" x14ac:dyDescent="0.25">
      <c r="B136">
        <v>128</v>
      </c>
      <c r="C136" t="s">
        <v>314</v>
      </c>
      <c r="D136">
        <v>30784</v>
      </c>
      <c r="E136">
        <v>30957</v>
      </c>
      <c r="F136">
        <v>32569</v>
      </c>
      <c r="G136">
        <v>32649</v>
      </c>
      <c r="H136">
        <v>32680</v>
      </c>
      <c r="I136">
        <v>35732</v>
      </c>
      <c r="J136">
        <f t="shared" si="2"/>
        <v>30957</v>
      </c>
    </row>
    <row r="137" spans="2:10" x14ac:dyDescent="0.25">
      <c r="B137">
        <v>129</v>
      </c>
      <c r="C137" t="s">
        <v>315</v>
      </c>
      <c r="D137">
        <v>38012</v>
      </c>
      <c r="E137">
        <v>36760</v>
      </c>
      <c r="F137">
        <v>36946</v>
      </c>
      <c r="G137">
        <v>39213</v>
      </c>
      <c r="H137">
        <v>39315</v>
      </c>
      <c r="I137">
        <v>38687</v>
      </c>
      <c r="J137">
        <f t="shared" si="2"/>
        <v>38012</v>
      </c>
    </row>
    <row r="138" spans="2:10" x14ac:dyDescent="0.25">
      <c r="B138">
        <v>130</v>
      </c>
      <c r="C138" t="s">
        <v>316</v>
      </c>
      <c r="D138">
        <v>55930</v>
      </c>
      <c r="E138">
        <v>59688</v>
      </c>
      <c r="F138">
        <v>58556</v>
      </c>
      <c r="G138">
        <v>54059</v>
      </c>
      <c r="H138">
        <v>52504</v>
      </c>
      <c r="I138">
        <v>54919</v>
      </c>
      <c r="J138">
        <f t="shared" ref="J138:J201" si="4">MAX(D138:E138)</f>
        <v>59688</v>
      </c>
    </row>
    <row r="139" spans="2:10" x14ac:dyDescent="0.25">
      <c r="B139">
        <v>131</v>
      </c>
      <c r="C139" t="s">
        <v>317</v>
      </c>
      <c r="D139">
        <v>2479</v>
      </c>
      <c r="E139">
        <v>2284</v>
      </c>
      <c r="F139">
        <v>2386</v>
      </c>
      <c r="G139">
        <v>2637</v>
      </c>
      <c r="H139">
        <v>2624</v>
      </c>
      <c r="I139">
        <v>2603</v>
      </c>
      <c r="J139">
        <f t="shared" si="4"/>
        <v>2479</v>
      </c>
    </row>
    <row r="140" spans="2:10" x14ac:dyDescent="0.25">
      <c r="B140">
        <v>132</v>
      </c>
      <c r="C140" t="s">
        <v>318</v>
      </c>
      <c r="D140">
        <v>12312</v>
      </c>
      <c r="E140">
        <v>11913</v>
      </c>
      <c r="F140">
        <v>12965</v>
      </c>
      <c r="G140">
        <v>14301</v>
      </c>
      <c r="H140">
        <v>14370</v>
      </c>
      <c r="I140">
        <v>14161</v>
      </c>
      <c r="J140">
        <f t="shared" si="4"/>
        <v>12312</v>
      </c>
    </row>
    <row r="141" spans="2:10" x14ac:dyDescent="0.25">
      <c r="B141">
        <v>133</v>
      </c>
      <c r="C141" t="s">
        <v>319</v>
      </c>
      <c r="D141">
        <v>5207</v>
      </c>
      <c r="E141">
        <v>5105</v>
      </c>
      <c r="F141">
        <v>4499</v>
      </c>
      <c r="G141">
        <v>5432</v>
      </c>
      <c r="H141">
        <v>5431</v>
      </c>
      <c r="I141">
        <v>5419</v>
      </c>
      <c r="J141">
        <f t="shared" si="4"/>
        <v>5207</v>
      </c>
    </row>
    <row r="142" spans="2:10" x14ac:dyDescent="0.25">
      <c r="B142">
        <v>134</v>
      </c>
      <c r="C142" t="s">
        <v>320</v>
      </c>
      <c r="D142">
        <v>13575</v>
      </c>
      <c r="E142">
        <v>12582</v>
      </c>
      <c r="F142">
        <v>12134</v>
      </c>
      <c r="G142">
        <v>13246</v>
      </c>
      <c r="H142">
        <v>13124</v>
      </c>
      <c r="I142">
        <v>13082</v>
      </c>
      <c r="J142">
        <f t="shared" si="4"/>
        <v>13575</v>
      </c>
    </row>
    <row r="143" spans="2:10" x14ac:dyDescent="0.25">
      <c r="B143">
        <v>135</v>
      </c>
      <c r="C143" t="s">
        <v>321</v>
      </c>
      <c r="D143">
        <v>16547</v>
      </c>
      <c r="E143">
        <v>16239</v>
      </c>
      <c r="F143">
        <v>18046</v>
      </c>
      <c r="G143">
        <v>18283</v>
      </c>
      <c r="H143">
        <v>18302</v>
      </c>
      <c r="I143">
        <v>18044</v>
      </c>
      <c r="J143">
        <f t="shared" si="4"/>
        <v>16547</v>
      </c>
    </row>
    <row r="144" spans="2:10" x14ac:dyDescent="0.25">
      <c r="B144">
        <v>136</v>
      </c>
      <c r="C144" t="s">
        <v>322</v>
      </c>
      <c r="D144">
        <v>8087</v>
      </c>
      <c r="E144">
        <v>7548</v>
      </c>
      <c r="F144">
        <v>7452</v>
      </c>
      <c r="G144">
        <v>7896</v>
      </c>
      <c r="H144">
        <v>7799</v>
      </c>
      <c r="I144">
        <v>7731</v>
      </c>
      <c r="J144">
        <f t="shared" si="4"/>
        <v>8087</v>
      </c>
    </row>
    <row r="145" spans="2:10" x14ac:dyDescent="0.25">
      <c r="B145">
        <v>137</v>
      </c>
      <c r="C145" t="s">
        <v>323</v>
      </c>
      <c r="D145">
        <v>16199</v>
      </c>
      <c r="E145">
        <v>13891</v>
      </c>
      <c r="F145">
        <v>13870</v>
      </c>
      <c r="G145">
        <v>14948</v>
      </c>
      <c r="H145">
        <v>14878</v>
      </c>
      <c r="I145">
        <v>14823</v>
      </c>
      <c r="J145">
        <f t="shared" si="4"/>
        <v>16199</v>
      </c>
    </row>
    <row r="146" spans="2:10" x14ac:dyDescent="0.25">
      <c r="B146">
        <v>138</v>
      </c>
      <c r="C146" t="s">
        <v>324</v>
      </c>
      <c r="D146">
        <v>3075</v>
      </c>
      <c r="E146">
        <v>3925</v>
      </c>
      <c r="F146">
        <v>4655</v>
      </c>
      <c r="G146">
        <v>4591</v>
      </c>
      <c r="H146">
        <v>5005</v>
      </c>
      <c r="I146">
        <v>5104</v>
      </c>
      <c r="J146">
        <f t="shared" si="4"/>
        <v>3925</v>
      </c>
    </row>
    <row r="147" spans="2:10" x14ac:dyDescent="0.25">
      <c r="B147">
        <v>139</v>
      </c>
      <c r="C147" t="s">
        <v>325</v>
      </c>
      <c r="D147">
        <v>1350</v>
      </c>
      <c r="E147">
        <v>1243</v>
      </c>
      <c r="F147">
        <v>1841</v>
      </c>
      <c r="G147">
        <v>1722</v>
      </c>
      <c r="H147">
        <v>1562</v>
      </c>
      <c r="I147">
        <v>1513</v>
      </c>
      <c r="J147">
        <f t="shared" si="4"/>
        <v>1350</v>
      </c>
    </row>
    <row r="148" spans="2:10" x14ac:dyDescent="0.25">
      <c r="B148">
        <v>140</v>
      </c>
      <c r="C148" t="s">
        <v>326</v>
      </c>
      <c r="D148">
        <v>1266</v>
      </c>
      <c r="E148">
        <v>1064</v>
      </c>
      <c r="F148">
        <v>874</v>
      </c>
      <c r="G148">
        <v>924</v>
      </c>
      <c r="H148">
        <v>976</v>
      </c>
      <c r="I148">
        <v>1003</v>
      </c>
      <c r="J148">
        <f t="shared" si="4"/>
        <v>1266</v>
      </c>
    </row>
    <row r="149" spans="2:10" x14ac:dyDescent="0.25">
      <c r="B149">
        <v>141</v>
      </c>
      <c r="C149" t="s">
        <v>327</v>
      </c>
      <c r="D149">
        <v>12041</v>
      </c>
      <c r="E149">
        <v>10624</v>
      </c>
      <c r="F149">
        <v>12295</v>
      </c>
      <c r="G149">
        <v>13802</v>
      </c>
      <c r="H149">
        <v>14922</v>
      </c>
      <c r="I149">
        <v>15453</v>
      </c>
      <c r="J149">
        <f t="shared" si="4"/>
        <v>12041</v>
      </c>
    </row>
    <row r="150" spans="2:10" x14ac:dyDescent="0.25">
      <c r="B150">
        <v>142</v>
      </c>
      <c r="C150" t="s">
        <v>328</v>
      </c>
      <c r="D150">
        <v>3502</v>
      </c>
      <c r="E150">
        <v>3435</v>
      </c>
      <c r="F150">
        <v>3658</v>
      </c>
      <c r="G150">
        <v>3099</v>
      </c>
      <c r="H150">
        <v>2977</v>
      </c>
      <c r="I150">
        <v>2949</v>
      </c>
      <c r="J150">
        <f t="shared" si="4"/>
        <v>3502</v>
      </c>
    </row>
    <row r="151" spans="2:10" x14ac:dyDescent="0.25">
      <c r="B151">
        <v>143</v>
      </c>
      <c r="C151" t="s">
        <v>646</v>
      </c>
      <c r="D151">
        <v>21059</v>
      </c>
      <c r="E151">
        <v>21525</v>
      </c>
      <c r="F151">
        <v>24112</v>
      </c>
      <c r="G151">
        <v>24109</v>
      </c>
      <c r="H151">
        <v>23268</v>
      </c>
      <c r="I151">
        <v>23129</v>
      </c>
      <c r="J151">
        <f t="shared" si="4"/>
        <v>21525</v>
      </c>
    </row>
    <row r="152" spans="2:10" x14ac:dyDescent="0.25">
      <c r="B152">
        <v>144</v>
      </c>
      <c r="C152" t="s">
        <v>333</v>
      </c>
      <c r="D152">
        <v>6522</v>
      </c>
      <c r="E152">
        <v>6114</v>
      </c>
      <c r="F152">
        <v>6346</v>
      </c>
      <c r="G152">
        <v>8694</v>
      </c>
      <c r="H152">
        <v>9702</v>
      </c>
      <c r="I152">
        <v>9679</v>
      </c>
      <c r="J152">
        <f t="shared" si="4"/>
        <v>6522</v>
      </c>
    </row>
    <row r="153" spans="2:10" x14ac:dyDescent="0.25">
      <c r="B153">
        <v>145</v>
      </c>
      <c r="C153" t="s">
        <v>334</v>
      </c>
      <c r="D153">
        <v>12201</v>
      </c>
      <c r="E153">
        <v>10881</v>
      </c>
      <c r="F153">
        <v>11918</v>
      </c>
      <c r="G153">
        <v>13836</v>
      </c>
      <c r="H153">
        <v>15369</v>
      </c>
      <c r="I153">
        <v>15322</v>
      </c>
      <c r="J153">
        <f t="shared" si="4"/>
        <v>12201</v>
      </c>
    </row>
    <row r="154" spans="2:10" x14ac:dyDescent="0.25">
      <c r="B154">
        <v>146</v>
      </c>
      <c r="C154" t="s">
        <v>335</v>
      </c>
      <c r="D154">
        <v>12826</v>
      </c>
      <c r="E154">
        <v>12865</v>
      </c>
      <c r="F154">
        <v>15712</v>
      </c>
      <c r="G154">
        <v>14461</v>
      </c>
      <c r="H154">
        <v>16193</v>
      </c>
      <c r="I154">
        <v>16157</v>
      </c>
      <c r="J154">
        <f t="shared" si="4"/>
        <v>12865</v>
      </c>
    </row>
    <row r="155" spans="2:10" x14ac:dyDescent="0.25">
      <c r="B155">
        <v>147</v>
      </c>
      <c r="C155" t="s">
        <v>336</v>
      </c>
      <c r="D155">
        <v>10368</v>
      </c>
      <c r="E155">
        <v>10241</v>
      </c>
      <c r="F155">
        <v>9919</v>
      </c>
      <c r="G155">
        <v>10036</v>
      </c>
      <c r="H155">
        <v>11046</v>
      </c>
      <c r="I155">
        <v>11034</v>
      </c>
      <c r="J155">
        <f t="shared" si="4"/>
        <v>10368</v>
      </c>
    </row>
    <row r="156" spans="2:10" x14ac:dyDescent="0.25">
      <c r="B156">
        <v>148</v>
      </c>
      <c r="C156" t="s">
        <v>337</v>
      </c>
      <c r="D156">
        <v>7329</v>
      </c>
      <c r="E156">
        <v>6223</v>
      </c>
      <c r="F156">
        <v>7935</v>
      </c>
      <c r="G156">
        <v>19858</v>
      </c>
      <c r="H156">
        <v>31002</v>
      </c>
      <c r="I156">
        <v>35254</v>
      </c>
      <c r="J156">
        <f t="shared" si="4"/>
        <v>7329</v>
      </c>
    </row>
    <row r="157" spans="2:10" x14ac:dyDescent="0.25">
      <c r="B157">
        <v>149</v>
      </c>
      <c r="C157" t="s">
        <v>338</v>
      </c>
      <c r="D157">
        <v>2413</v>
      </c>
      <c r="E157">
        <v>2347</v>
      </c>
      <c r="F157">
        <v>2527</v>
      </c>
      <c r="G157">
        <v>6376</v>
      </c>
      <c r="H157">
        <v>9910</v>
      </c>
      <c r="I157">
        <v>11328</v>
      </c>
      <c r="J157">
        <f t="shared" si="4"/>
        <v>2413</v>
      </c>
    </row>
    <row r="158" spans="2:10" x14ac:dyDescent="0.25">
      <c r="B158">
        <v>150</v>
      </c>
      <c r="C158" t="s">
        <v>339</v>
      </c>
      <c r="D158">
        <v>11663</v>
      </c>
      <c r="E158">
        <v>11201</v>
      </c>
      <c r="F158">
        <v>13500</v>
      </c>
      <c r="G158">
        <v>14333</v>
      </c>
      <c r="H158">
        <v>13608</v>
      </c>
      <c r="I158">
        <v>13595</v>
      </c>
      <c r="J158">
        <f t="shared" si="4"/>
        <v>11663</v>
      </c>
    </row>
    <row r="159" spans="2:10" x14ac:dyDescent="0.25">
      <c r="B159">
        <v>151</v>
      </c>
      <c r="C159" t="s">
        <v>340</v>
      </c>
      <c r="D159">
        <v>13802</v>
      </c>
      <c r="E159">
        <v>14016</v>
      </c>
      <c r="F159">
        <v>15279</v>
      </c>
      <c r="G159">
        <v>18123</v>
      </c>
      <c r="H159">
        <v>17299</v>
      </c>
      <c r="I159">
        <v>17306</v>
      </c>
      <c r="J159">
        <f t="shared" si="4"/>
        <v>14016</v>
      </c>
    </row>
    <row r="160" spans="2:10" x14ac:dyDescent="0.25">
      <c r="B160">
        <v>152</v>
      </c>
      <c r="C160" t="s">
        <v>341</v>
      </c>
      <c r="D160">
        <v>4512</v>
      </c>
      <c r="E160">
        <v>3508</v>
      </c>
      <c r="F160">
        <v>3682</v>
      </c>
      <c r="G160">
        <v>3981</v>
      </c>
      <c r="H160">
        <v>3755</v>
      </c>
      <c r="I160">
        <v>3768</v>
      </c>
      <c r="J160">
        <f t="shared" si="4"/>
        <v>4512</v>
      </c>
    </row>
    <row r="161" spans="2:10" x14ac:dyDescent="0.25">
      <c r="B161">
        <v>153</v>
      </c>
      <c r="C161" t="s">
        <v>342</v>
      </c>
      <c r="D161">
        <v>11997</v>
      </c>
      <c r="E161">
        <v>13119</v>
      </c>
      <c r="F161">
        <v>14249</v>
      </c>
      <c r="G161">
        <v>17469</v>
      </c>
      <c r="H161">
        <v>16694</v>
      </c>
      <c r="I161">
        <v>16718</v>
      </c>
      <c r="J161">
        <f t="shared" si="4"/>
        <v>13119</v>
      </c>
    </row>
    <row r="162" spans="2:10" x14ac:dyDescent="0.25">
      <c r="B162">
        <v>154</v>
      </c>
      <c r="C162" t="s">
        <v>343</v>
      </c>
      <c r="D162">
        <v>35673</v>
      </c>
      <c r="E162">
        <v>27961</v>
      </c>
      <c r="F162">
        <v>33329</v>
      </c>
      <c r="G162">
        <v>34652</v>
      </c>
      <c r="H162">
        <v>36320</v>
      </c>
      <c r="I162">
        <v>28276</v>
      </c>
      <c r="J162">
        <f t="shared" si="4"/>
        <v>35673</v>
      </c>
    </row>
    <row r="163" spans="2:10" x14ac:dyDescent="0.25">
      <c r="B163">
        <v>155</v>
      </c>
      <c r="C163" t="s">
        <v>344</v>
      </c>
      <c r="D163">
        <v>264862</v>
      </c>
      <c r="E163">
        <v>253187</v>
      </c>
      <c r="F163">
        <v>290878</v>
      </c>
      <c r="G163">
        <v>294559</v>
      </c>
      <c r="H163">
        <v>352291</v>
      </c>
      <c r="I163">
        <v>347142</v>
      </c>
      <c r="J163">
        <f t="shared" si="4"/>
        <v>264862</v>
      </c>
    </row>
    <row r="164" spans="2:10" x14ac:dyDescent="0.25">
      <c r="B164">
        <v>156</v>
      </c>
      <c r="C164" t="s">
        <v>345</v>
      </c>
      <c r="D164">
        <v>34764</v>
      </c>
      <c r="E164">
        <v>22645</v>
      </c>
      <c r="F164">
        <v>26341</v>
      </c>
      <c r="G164">
        <v>34667</v>
      </c>
      <c r="H164">
        <v>40107</v>
      </c>
      <c r="I164">
        <v>39749</v>
      </c>
      <c r="J164">
        <f t="shared" si="4"/>
        <v>34764</v>
      </c>
    </row>
    <row r="165" spans="2:10" x14ac:dyDescent="0.25">
      <c r="B165">
        <v>157</v>
      </c>
      <c r="C165" t="s">
        <v>346</v>
      </c>
      <c r="D165">
        <v>16293</v>
      </c>
      <c r="E165">
        <v>14817</v>
      </c>
      <c r="F165">
        <v>17131</v>
      </c>
      <c r="G165">
        <v>19273</v>
      </c>
      <c r="H165">
        <v>18818</v>
      </c>
      <c r="I165">
        <v>18790</v>
      </c>
      <c r="J165">
        <f t="shared" si="4"/>
        <v>16293</v>
      </c>
    </row>
    <row r="166" spans="2:10" x14ac:dyDescent="0.25">
      <c r="B166">
        <v>158</v>
      </c>
      <c r="C166" t="s">
        <v>347</v>
      </c>
      <c r="D166">
        <v>11816</v>
      </c>
      <c r="E166">
        <v>9608</v>
      </c>
      <c r="F166">
        <v>12665</v>
      </c>
      <c r="G166">
        <v>15511</v>
      </c>
      <c r="H166">
        <v>15199</v>
      </c>
      <c r="I166">
        <v>15287</v>
      </c>
      <c r="J166">
        <f t="shared" si="4"/>
        <v>11816</v>
      </c>
    </row>
    <row r="167" spans="2:10" x14ac:dyDescent="0.25">
      <c r="B167">
        <v>159</v>
      </c>
      <c r="C167" t="s">
        <v>348</v>
      </c>
      <c r="D167">
        <v>4806</v>
      </c>
      <c r="E167">
        <v>4966</v>
      </c>
      <c r="F167">
        <v>6757</v>
      </c>
      <c r="G167">
        <v>7973</v>
      </c>
      <c r="H167">
        <v>7642</v>
      </c>
      <c r="I167">
        <v>7669</v>
      </c>
      <c r="J167">
        <f t="shared" si="4"/>
        <v>4966</v>
      </c>
    </row>
    <row r="168" spans="2:10" x14ac:dyDescent="0.25">
      <c r="B168">
        <v>160</v>
      </c>
      <c r="C168" t="s">
        <v>349</v>
      </c>
      <c r="D168">
        <v>19211</v>
      </c>
      <c r="E168">
        <v>19502</v>
      </c>
      <c r="F168">
        <v>27114</v>
      </c>
      <c r="G168">
        <v>28715</v>
      </c>
      <c r="H168">
        <v>28010</v>
      </c>
      <c r="I168">
        <v>28438</v>
      </c>
      <c r="J168">
        <f t="shared" si="4"/>
        <v>19502</v>
      </c>
    </row>
    <row r="169" spans="2:10" x14ac:dyDescent="0.25">
      <c r="B169">
        <v>161</v>
      </c>
      <c r="C169" t="s">
        <v>350</v>
      </c>
      <c r="D169">
        <v>35497</v>
      </c>
      <c r="E169">
        <v>30796</v>
      </c>
      <c r="F169">
        <v>34194</v>
      </c>
      <c r="G169">
        <v>37812</v>
      </c>
      <c r="H169">
        <v>38904</v>
      </c>
      <c r="I169">
        <v>38549</v>
      </c>
      <c r="J169">
        <f t="shared" si="4"/>
        <v>35497</v>
      </c>
    </row>
    <row r="170" spans="2:10" x14ac:dyDescent="0.25">
      <c r="B170">
        <v>162</v>
      </c>
      <c r="C170" t="s">
        <v>351</v>
      </c>
      <c r="D170">
        <v>25017</v>
      </c>
      <c r="E170">
        <v>22625</v>
      </c>
      <c r="F170">
        <v>25001</v>
      </c>
      <c r="G170">
        <v>28886</v>
      </c>
      <c r="H170">
        <v>29046</v>
      </c>
      <c r="I170">
        <v>29094</v>
      </c>
      <c r="J170">
        <f t="shared" si="4"/>
        <v>25017</v>
      </c>
    </row>
    <row r="171" spans="2:10" x14ac:dyDescent="0.25">
      <c r="B171">
        <v>163</v>
      </c>
      <c r="C171" t="s">
        <v>352</v>
      </c>
      <c r="D171">
        <v>44394</v>
      </c>
      <c r="E171">
        <v>37562</v>
      </c>
      <c r="F171">
        <v>43251</v>
      </c>
      <c r="G171">
        <v>48440</v>
      </c>
      <c r="H171">
        <v>49830</v>
      </c>
      <c r="I171">
        <v>48972</v>
      </c>
      <c r="J171">
        <f t="shared" si="4"/>
        <v>44394</v>
      </c>
    </row>
    <row r="172" spans="2:10" x14ac:dyDescent="0.25">
      <c r="B172">
        <v>164</v>
      </c>
      <c r="C172" t="s">
        <v>353</v>
      </c>
      <c r="D172">
        <v>30071</v>
      </c>
      <c r="E172">
        <v>24886</v>
      </c>
      <c r="F172">
        <v>27517</v>
      </c>
      <c r="G172">
        <v>30055</v>
      </c>
      <c r="H172">
        <v>31063</v>
      </c>
      <c r="I172">
        <v>30887</v>
      </c>
      <c r="J172">
        <f t="shared" si="4"/>
        <v>30071</v>
      </c>
    </row>
    <row r="173" spans="2:10" x14ac:dyDescent="0.25">
      <c r="B173">
        <v>165</v>
      </c>
      <c r="C173" t="s">
        <v>354</v>
      </c>
      <c r="D173">
        <v>38562</v>
      </c>
      <c r="E173">
        <v>32218</v>
      </c>
      <c r="F173">
        <v>38520</v>
      </c>
      <c r="G173">
        <v>42863</v>
      </c>
      <c r="H173">
        <v>44347</v>
      </c>
      <c r="I173">
        <v>43591</v>
      </c>
      <c r="J173">
        <f t="shared" si="4"/>
        <v>38562</v>
      </c>
    </row>
    <row r="174" spans="2:10" x14ac:dyDescent="0.25">
      <c r="B174">
        <v>166</v>
      </c>
      <c r="C174" t="s">
        <v>647</v>
      </c>
      <c r="D174">
        <v>61738</v>
      </c>
      <c r="E174">
        <v>52284</v>
      </c>
      <c r="F174">
        <v>58501</v>
      </c>
      <c r="G174">
        <v>64242</v>
      </c>
      <c r="H174">
        <v>65073</v>
      </c>
      <c r="I174">
        <v>64775</v>
      </c>
      <c r="J174">
        <f t="shared" si="4"/>
        <v>61738</v>
      </c>
    </row>
    <row r="175" spans="2:10" x14ac:dyDescent="0.25">
      <c r="B175">
        <v>167</v>
      </c>
      <c r="C175" t="s">
        <v>356</v>
      </c>
      <c r="D175">
        <v>27515</v>
      </c>
      <c r="E175">
        <v>23328</v>
      </c>
      <c r="F175">
        <v>25713</v>
      </c>
      <c r="G175">
        <v>29162</v>
      </c>
      <c r="H175">
        <v>29604</v>
      </c>
      <c r="I175">
        <v>29748</v>
      </c>
      <c r="J175">
        <f t="shared" si="4"/>
        <v>27515</v>
      </c>
    </row>
    <row r="176" spans="2:10" x14ac:dyDescent="0.25">
      <c r="B176">
        <v>168</v>
      </c>
      <c r="C176" t="s">
        <v>357</v>
      </c>
      <c r="D176">
        <v>120657</v>
      </c>
      <c r="E176">
        <v>96166</v>
      </c>
      <c r="F176">
        <v>92436</v>
      </c>
      <c r="G176">
        <v>95158</v>
      </c>
      <c r="H176">
        <v>122993</v>
      </c>
      <c r="I176">
        <v>133065</v>
      </c>
      <c r="J176">
        <f t="shared" si="4"/>
        <v>120657</v>
      </c>
    </row>
    <row r="177" spans="2:10" x14ac:dyDescent="0.25">
      <c r="B177">
        <v>169</v>
      </c>
      <c r="C177" t="s">
        <v>358</v>
      </c>
      <c r="D177">
        <v>57530</v>
      </c>
      <c r="E177">
        <v>51009</v>
      </c>
      <c r="F177">
        <v>50753</v>
      </c>
      <c r="G177">
        <v>59249</v>
      </c>
      <c r="H177">
        <v>71151</v>
      </c>
      <c r="I177">
        <v>73199</v>
      </c>
      <c r="J177">
        <f t="shared" si="4"/>
        <v>57530</v>
      </c>
    </row>
    <row r="178" spans="2:10" x14ac:dyDescent="0.25">
      <c r="B178">
        <v>170</v>
      </c>
      <c r="C178" t="s">
        <v>359</v>
      </c>
      <c r="D178">
        <v>41774</v>
      </c>
      <c r="E178">
        <v>29621</v>
      </c>
      <c r="F178">
        <v>27677</v>
      </c>
      <c r="G178">
        <v>34461</v>
      </c>
      <c r="H178">
        <v>41589</v>
      </c>
      <c r="I178">
        <v>41882</v>
      </c>
      <c r="J178">
        <f t="shared" si="4"/>
        <v>41774</v>
      </c>
    </row>
    <row r="179" spans="2:10" x14ac:dyDescent="0.25">
      <c r="B179">
        <v>171</v>
      </c>
      <c r="C179" t="s">
        <v>360</v>
      </c>
      <c r="D179">
        <v>26854</v>
      </c>
      <c r="E179">
        <v>28460</v>
      </c>
      <c r="F179">
        <v>27279</v>
      </c>
      <c r="G179">
        <v>22001</v>
      </c>
      <c r="H179">
        <v>23588</v>
      </c>
      <c r="I179">
        <v>24793</v>
      </c>
      <c r="J179">
        <f t="shared" si="4"/>
        <v>28460</v>
      </c>
    </row>
    <row r="180" spans="2:10" x14ac:dyDescent="0.25">
      <c r="B180">
        <v>172</v>
      </c>
      <c r="C180" t="s">
        <v>361</v>
      </c>
      <c r="D180">
        <v>10389</v>
      </c>
      <c r="E180">
        <v>9737</v>
      </c>
      <c r="F180">
        <v>9953</v>
      </c>
      <c r="G180">
        <v>20849</v>
      </c>
      <c r="H180">
        <v>21823</v>
      </c>
      <c r="I180">
        <v>23078</v>
      </c>
      <c r="J180">
        <f t="shared" si="4"/>
        <v>10389</v>
      </c>
    </row>
    <row r="181" spans="2:10" x14ac:dyDescent="0.25">
      <c r="B181">
        <v>173</v>
      </c>
      <c r="C181" t="s">
        <v>362</v>
      </c>
      <c r="D181">
        <v>11759</v>
      </c>
      <c r="E181">
        <v>8854</v>
      </c>
      <c r="F181">
        <v>8477</v>
      </c>
      <c r="G181">
        <v>11028</v>
      </c>
      <c r="H181">
        <v>11776</v>
      </c>
      <c r="I181">
        <v>11960</v>
      </c>
      <c r="J181">
        <f t="shared" si="4"/>
        <v>11759</v>
      </c>
    </row>
    <row r="182" spans="2:10" x14ac:dyDescent="0.25">
      <c r="B182">
        <v>174</v>
      </c>
      <c r="C182" t="s">
        <v>363</v>
      </c>
      <c r="D182">
        <v>26972</v>
      </c>
      <c r="E182">
        <v>28021</v>
      </c>
      <c r="F182">
        <v>28192</v>
      </c>
      <c r="G182">
        <v>30203</v>
      </c>
      <c r="H182">
        <v>31405</v>
      </c>
      <c r="I182">
        <v>28157</v>
      </c>
      <c r="J182">
        <f t="shared" si="4"/>
        <v>28021</v>
      </c>
    </row>
    <row r="183" spans="2:10" x14ac:dyDescent="0.25">
      <c r="B183">
        <v>175</v>
      </c>
      <c r="C183" t="s">
        <v>364</v>
      </c>
      <c r="D183">
        <v>10794</v>
      </c>
      <c r="E183">
        <v>10723</v>
      </c>
      <c r="F183">
        <v>13046</v>
      </c>
      <c r="G183">
        <v>15813</v>
      </c>
      <c r="H183">
        <v>16019</v>
      </c>
      <c r="I183">
        <v>16020</v>
      </c>
      <c r="J183">
        <f t="shared" si="4"/>
        <v>10794</v>
      </c>
    </row>
    <row r="184" spans="2:10" x14ac:dyDescent="0.25">
      <c r="B184">
        <v>176</v>
      </c>
      <c r="C184" t="s">
        <v>365</v>
      </c>
      <c r="D184">
        <v>7062</v>
      </c>
      <c r="E184">
        <v>5938</v>
      </c>
      <c r="F184">
        <v>6593</v>
      </c>
      <c r="G184">
        <v>5189</v>
      </c>
      <c r="H184">
        <v>5985</v>
      </c>
      <c r="I184">
        <v>6342</v>
      </c>
      <c r="J184">
        <f t="shared" si="4"/>
        <v>7062</v>
      </c>
    </row>
    <row r="185" spans="2:10" x14ac:dyDescent="0.25">
      <c r="B185">
        <v>177</v>
      </c>
      <c r="C185" t="s">
        <v>366</v>
      </c>
      <c r="D185">
        <v>5791</v>
      </c>
      <c r="E185">
        <v>5739</v>
      </c>
      <c r="F185">
        <v>7239</v>
      </c>
      <c r="G185">
        <v>6799</v>
      </c>
      <c r="H185">
        <v>6558</v>
      </c>
      <c r="I185">
        <v>7109</v>
      </c>
      <c r="J185">
        <f t="shared" si="4"/>
        <v>5791</v>
      </c>
    </row>
    <row r="186" spans="2:10" x14ac:dyDescent="0.25">
      <c r="B186">
        <v>178</v>
      </c>
      <c r="C186" t="s">
        <v>367</v>
      </c>
      <c r="D186">
        <v>8928</v>
      </c>
      <c r="E186">
        <v>8582</v>
      </c>
      <c r="F186">
        <v>9259</v>
      </c>
      <c r="G186">
        <v>9776</v>
      </c>
      <c r="H186">
        <v>10496</v>
      </c>
      <c r="I186">
        <v>11535</v>
      </c>
      <c r="J186">
        <f t="shared" si="4"/>
        <v>8928</v>
      </c>
    </row>
    <row r="187" spans="2:10" x14ac:dyDescent="0.25">
      <c r="B187">
        <v>179</v>
      </c>
      <c r="C187" t="s">
        <v>368</v>
      </c>
      <c r="D187">
        <v>14852</v>
      </c>
      <c r="E187">
        <v>15672</v>
      </c>
      <c r="F187">
        <v>17482</v>
      </c>
      <c r="G187">
        <v>19724</v>
      </c>
      <c r="H187">
        <v>19402</v>
      </c>
      <c r="I187">
        <v>18907</v>
      </c>
      <c r="J187">
        <f t="shared" si="4"/>
        <v>15672</v>
      </c>
    </row>
    <row r="188" spans="2:10" x14ac:dyDescent="0.25">
      <c r="B188">
        <v>180</v>
      </c>
      <c r="C188" t="s">
        <v>369</v>
      </c>
      <c r="D188">
        <v>11312</v>
      </c>
      <c r="E188">
        <v>11123</v>
      </c>
      <c r="F188">
        <v>12046</v>
      </c>
      <c r="G188">
        <v>13591</v>
      </c>
      <c r="H188">
        <v>13357</v>
      </c>
      <c r="I188">
        <v>13026</v>
      </c>
      <c r="J188">
        <f t="shared" si="4"/>
        <v>11312</v>
      </c>
    </row>
    <row r="189" spans="2:10" x14ac:dyDescent="0.25">
      <c r="B189">
        <v>181</v>
      </c>
      <c r="C189" t="s">
        <v>370</v>
      </c>
      <c r="D189">
        <v>3681</v>
      </c>
      <c r="E189">
        <v>3128</v>
      </c>
      <c r="F189">
        <v>3434</v>
      </c>
      <c r="G189">
        <v>4280</v>
      </c>
      <c r="H189">
        <v>4051</v>
      </c>
      <c r="I189">
        <v>4036</v>
      </c>
      <c r="J189">
        <f t="shared" si="4"/>
        <v>3681</v>
      </c>
    </row>
    <row r="190" spans="2:10" x14ac:dyDescent="0.25">
      <c r="B190">
        <v>182</v>
      </c>
      <c r="C190" t="s">
        <v>371</v>
      </c>
      <c r="D190">
        <v>4725</v>
      </c>
      <c r="E190">
        <v>3933</v>
      </c>
      <c r="F190">
        <v>4087</v>
      </c>
      <c r="G190">
        <v>5036</v>
      </c>
      <c r="H190">
        <v>5150</v>
      </c>
      <c r="I190">
        <v>5528</v>
      </c>
      <c r="J190">
        <f t="shared" si="4"/>
        <v>4725</v>
      </c>
    </row>
    <row r="191" spans="2:10" x14ac:dyDescent="0.25">
      <c r="B191">
        <v>183</v>
      </c>
      <c r="C191" t="s">
        <v>372</v>
      </c>
      <c r="D191">
        <v>3414</v>
      </c>
      <c r="E191">
        <v>3464</v>
      </c>
      <c r="F191">
        <v>3583</v>
      </c>
      <c r="G191">
        <v>3746</v>
      </c>
      <c r="H191">
        <v>3622</v>
      </c>
      <c r="I191">
        <v>3549</v>
      </c>
      <c r="J191">
        <f t="shared" si="4"/>
        <v>3464</v>
      </c>
    </row>
    <row r="192" spans="2:10" x14ac:dyDescent="0.25">
      <c r="B192">
        <v>184</v>
      </c>
      <c r="C192" t="s">
        <v>373</v>
      </c>
      <c r="D192">
        <v>7420</v>
      </c>
      <c r="E192">
        <v>6483</v>
      </c>
      <c r="F192">
        <v>7440</v>
      </c>
      <c r="G192">
        <v>9030</v>
      </c>
      <c r="H192">
        <v>9229</v>
      </c>
      <c r="I192">
        <v>9895</v>
      </c>
      <c r="J192">
        <f t="shared" si="4"/>
        <v>7420</v>
      </c>
    </row>
    <row r="193" spans="2:10" x14ac:dyDescent="0.25">
      <c r="B193">
        <v>185</v>
      </c>
      <c r="C193" t="s">
        <v>374</v>
      </c>
      <c r="D193">
        <v>19183</v>
      </c>
      <c r="E193">
        <v>16481</v>
      </c>
      <c r="F193">
        <v>16352</v>
      </c>
      <c r="G193">
        <v>17467</v>
      </c>
      <c r="H193">
        <v>17953</v>
      </c>
      <c r="I193">
        <v>19221</v>
      </c>
      <c r="J193">
        <f t="shared" si="4"/>
        <v>19183</v>
      </c>
    </row>
    <row r="194" spans="2:10" x14ac:dyDescent="0.25">
      <c r="B194">
        <v>186</v>
      </c>
      <c r="C194" t="s">
        <v>375</v>
      </c>
      <c r="D194">
        <v>9600</v>
      </c>
      <c r="E194">
        <v>9742</v>
      </c>
      <c r="F194">
        <v>10614</v>
      </c>
      <c r="G194">
        <v>10969</v>
      </c>
      <c r="H194">
        <v>10831</v>
      </c>
      <c r="I194">
        <v>10447</v>
      </c>
      <c r="J194">
        <f t="shared" si="4"/>
        <v>9742</v>
      </c>
    </row>
    <row r="195" spans="2:10" x14ac:dyDescent="0.25">
      <c r="B195">
        <v>187</v>
      </c>
      <c r="C195" t="s">
        <v>376</v>
      </c>
      <c r="D195">
        <v>41451</v>
      </c>
      <c r="E195">
        <v>38079</v>
      </c>
      <c r="F195">
        <v>41405</v>
      </c>
      <c r="G195">
        <v>44262</v>
      </c>
      <c r="H195">
        <v>43508</v>
      </c>
      <c r="I195">
        <v>44053</v>
      </c>
      <c r="J195">
        <f t="shared" si="4"/>
        <v>41451</v>
      </c>
    </row>
    <row r="196" spans="2:10" x14ac:dyDescent="0.25">
      <c r="B196">
        <v>188</v>
      </c>
      <c r="C196" t="s">
        <v>377</v>
      </c>
      <c r="D196">
        <v>37536</v>
      </c>
      <c r="E196">
        <v>37178</v>
      </c>
      <c r="F196">
        <v>39904</v>
      </c>
      <c r="G196">
        <v>38275</v>
      </c>
      <c r="H196">
        <v>37798</v>
      </c>
      <c r="I196">
        <v>38273</v>
      </c>
      <c r="J196">
        <f t="shared" si="4"/>
        <v>37536</v>
      </c>
    </row>
    <row r="197" spans="2:10" x14ac:dyDescent="0.25">
      <c r="B197">
        <v>189</v>
      </c>
      <c r="C197" t="s">
        <v>378</v>
      </c>
      <c r="D197">
        <v>5195</v>
      </c>
      <c r="E197">
        <v>4580</v>
      </c>
      <c r="F197">
        <v>5406</v>
      </c>
      <c r="G197">
        <v>6012</v>
      </c>
      <c r="H197">
        <v>5905</v>
      </c>
      <c r="I197">
        <v>5984</v>
      </c>
      <c r="J197">
        <f t="shared" si="4"/>
        <v>5195</v>
      </c>
    </row>
    <row r="198" spans="2:10" x14ac:dyDescent="0.25">
      <c r="B198">
        <v>190</v>
      </c>
      <c r="C198" t="s">
        <v>379</v>
      </c>
      <c r="D198">
        <v>8211</v>
      </c>
      <c r="E198">
        <v>7738</v>
      </c>
      <c r="F198">
        <v>8657</v>
      </c>
      <c r="G198">
        <v>8669</v>
      </c>
      <c r="H198">
        <v>8656</v>
      </c>
      <c r="I198">
        <v>8816</v>
      </c>
      <c r="J198">
        <f t="shared" si="4"/>
        <v>8211</v>
      </c>
    </row>
    <row r="199" spans="2:10" x14ac:dyDescent="0.25">
      <c r="B199">
        <v>191</v>
      </c>
      <c r="C199" t="s">
        <v>380</v>
      </c>
      <c r="D199">
        <v>6193</v>
      </c>
      <c r="E199">
        <v>5801</v>
      </c>
      <c r="F199">
        <v>7062</v>
      </c>
      <c r="G199">
        <v>7031</v>
      </c>
      <c r="H199">
        <v>6938</v>
      </c>
      <c r="I199">
        <v>7031</v>
      </c>
      <c r="J199">
        <f t="shared" si="4"/>
        <v>6193</v>
      </c>
    </row>
    <row r="200" spans="2:10" x14ac:dyDescent="0.25">
      <c r="B200">
        <v>192</v>
      </c>
      <c r="C200" t="s">
        <v>381</v>
      </c>
      <c r="D200">
        <v>7856</v>
      </c>
      <c r="E200">
        <v>6697</v>
      </c>
      <c r="F200">
        <v>8233</v>
      </c>
      <c r="G200">
        <v>9028</v>
      </c>
      <c r="H200">
        <v>9072</v>
      </c>
      <c r="I200">
        <v>9344</v>
      </c>
      <c r="J200">
        <f t="shared" si="4"/>
        <v>7856</v>
      </c>
    </row>
    <row r="201" spans="2:10" x14ac:dyDescent="0.25">
      <c r="B201">
        <v>193</v>
      </c>
      <c r="C201" t="s">
        <v>382</v>
      </c>
      <c r="D201">
        <v>11251</v>
      </c>
      <c r="E201">
        <v>11233</v>
      </c>
      <c r="F201">
        <v>13376</v>
      </c>
      <c r="G201">
        <v>11627</v>
      </c>
      <c r="H201">
        <v>11155</v>
      </c>
      <c r="I201">
        <v>10794</v>
      </c>
      <c r="J201">
        <f t="shared" si="4"/>
        <v>11251</v>
      </c>
    </row>
    <row r="202" spans="2:10" x14ac:dyDescent="0.25">
      <c r="B202">
        <v>194</v>
      </c>
      <c r="C202" t="s">
        <v>383</v>
      </c>
      <c r="D202">
        <v>1480</v>
      </c>
      <c r="E202">
        <v>1354</v>
      </c>
      <c r="F202">
        <v>1623</v>
      </c>
      <c r="G202">
        <v>1734</v>
      </c>
      <c r="H202">
        <v>1584</v>
      </c>
      <c r="I202">
        <v>1532</v>
      </c>
      <c r="J202">
        <f t="shared" ref="J202:J265" si="5">MAX(D202:E202)</f>
        <v>1480</v>
      </c>
    </row>
    <row r="203" spans="2:10" x14ac:dyDescent="0.25">
      <c r="B203">
        <v>195</v>
      </c>
      <c r="C203" t="s">
        <v>384</v>
      </c>
      <c r="D203">
        <v>3329</v>
      </c>
      <c r="E203">
        <v>2943</v>
      </c>
      <c r="F203">
        <v>3204</v>
      </c>
      <c r="G203">
        <v>3340</v>
      </c>
      <c r="H203">
        <v>3009</v>
      </c>
      <c r="I203">
        <v>2896</v>
      </c>
      <c r="J203">
        <f t="shared" si="5"/>
        <v>3329</v>
      </c>
    </row>
    <row r="204" spans="2:10" x14ac:dyDescent="0.25">
      <c r="B204">
        <v>196</v>
      </c>
      <c r="C204" t="s">
        <v>385</v>
      </c>
      <c r="D204">
        <v>14475</v>
      </c>
      <c r="E204">
        <v>12804</v>
      </c>
      <c r="F204">
        <v>13523</v>
      </c>
      <c r="G204">
        <v>15319</v>
      </c>
      <c r="H204">
        <v>15366</v>
      </c>
      <c r="I204">
        <v>15817</v>
      </c>
      <c r="J204">
        <f t="shared" si="5"/>
        <v>14475</v>
      </c>
    </row>
    <row r="205" spans="2:10" x14ac:dyDescent="0.25">
      <c r="B205">
        <v>197</v>
      </c>
      <c r="C205" t="s">
        <v>386</v>
      </c>
      <c r="D205">
        <v>29837</v>
      </c>
      <c r="E205">
        <v>28943</v>
      </c>
      <c r="F205">
        <v>32709</v>
      </c>
      <c r="G205">
        <v>31268</v>
      </c>
      <c r="H205">
        <v>32415</v>
      </c>
      <c r="I205">
        <v>33634</v>
      </c>
      <c r="J205">
        <f t="shared" si="5"/>
        <v>29837</v>
      </c>
    </row>
    <row r="206" spans="2:10" x14ac:dyDescent="0.25">
      <c r="B206">
        <v>198</v>
      </c>
      <c r="C206" t="s">
        <v>387</v>
      </c>
      <c r="D206">
        <v>23737</v>
      </c>
      <c r="E206">
        <v>25095</v>
      </c>
      <c r="F206">
        <v>24957</v>
      </c>
      <c r="G206">
        <v>27004</v>
      </c>
      <c r="H206">
        <v>28230</v>
      </c>
      <c r="I206">
        <v>29547</v>
      </c>
      <c r="J206">
        <f t="shared" si="5"/>
        <v>25095</v>
      </c>
    </row>
    <row r="207" spans="2:10" x14ac:dyDescent="0.25">
      <c r="B207">
        <v>199</v>
      </c>
      <c r="C207" t="s">
        <v>388</v>
      </c>
      <c r="D207">
        <v>33353</v>
      </c>
      <c r="E207">
        <v>34934</v>
      </c>
      <c r="F207">
        <v>41142</v>
      </c>
      <c r="G207">
        <v>46992</v>
      </c>
      <c r="H207">
        <v>48994</v>
      </c>
      <c r="I207">
        <v>51236</v>
      </c>
      <c r="J207">
        <f t="shared" si="5"/>
        <v>34934</v>
      </c>
    </row>
    <row r="208" spans="2:10" x14ac:dyDescent="0.25">
      <c r="B208">
        <v>200</v>
      </c>
      <c r="C208" t="s">
        <v>389</v>
      </c>
      <c r="D208">
        <v>17888</v>
      </c>
      <c r="E208">
        <v>18452</v>
      </c>
      <c r="F208">
        <v>19638</v>
      </c>
      <c r="G208">
        <v>22631</v>
      </c>
      <c r="H208">
        <v>22772</v>
      </c>
      <c r="I208">
        <v>21058</v>
      </c>
      <c r="J208">
        <f t="shared" si="5"/>
        <v>18452</v>
      </c>
    </row>
    <row r="209" spans="2:10" x14ac:dyDescent="0.25">
      <c r="B209">
        <v>201</v>
      </c>
      <c r="C209" t="s">
        <v>390</v>
      </c>
      <c r="D209">
        <v>10120</v>
      </c>
      <c r="E209">
        <v>10090</v>
      </c>
      <c r="F209">
        <v>11689</v>
      </c>
      <c r="G209">
        <v>17506</v>
      </c>
      <c r="H209">
        <v>17632</v>
      </c>
      <c r="I209">
        <v>16316</v>
      </c>
      <c r="J209">
        <f t="shared" si="5"/>
        <v>10120</v>
      </c>
    </row>
    <row r="210" spans="2:10" x14ac:dyDescent="0.25">
      <c r="B210">
        <v>202</v>
      </c>
      <c r="C210" t="s">
        <v>391</v>
      </c>
      <c r="D210">
        <v>10533</v>
      </c>
      <c r="E210">
        <v>9953</v>
      </c>
      <c r="F210">
        <v>13939</v>
      </c>
      <c r="G210">
        <v>18705</v>
      </c>
      <c r="H210">
        <v>18840</v>
      </c>
      <c r="I210">
        <v>17421</v>
      </c>
      <c r="J210">
        <f t="shared" si="5"/>
        <v>10533</v>
      </c>
    </row>
    <row r="211" spans="2:10" x14ac:dyDescent="0.25">
      <c r="B211">
        <v>203</v>
      </c>
      <c r="C211" t="s">
        <v>392</v>
      </c>
      <c r="D211">
        <v>32345</v>
      </c>
      <c r="E211">
        <v>36257</v>
      </c>
      <c r="F211">
        <v>43900</v>
      </c>
      <c r="G211">
        <v>52572</v>
      </c>
      <c r="H211">
        <v>53045</v>
      </c>
      <c r="I211">
        <v>49161</v>
      </c>
      <c r="J211">
        <f t="shared" si="5"/>
        <v>36257</v>
      </c>
    </row>
    <row r="212" spans="2:10" x14ac:dyDescent="0.25">
      <c r="B212">
        <v>204</v>
      </c>
      <c r="C212" t="s">
        <v>393</v>
      </c>
      <c r="D212">
        <v>10042</v>
      </c>
      <c r="E212">
        <v>10095</v>
      </c>
      <c r="F212">
        <v>10214</v>
      </c>
      <c r="G212">
        <v>10656</v>
      </c>
      <c r="H212">
        <v>10709</v>
      </c>
      <c r="I212">
        <v>9910</v>
      </c>
      <c r="J212">
        <f t="shared" si="5"/>
        <v>10095</v>
      </c>
    </row>
    <row r="213" spans="2:10" x14ac:dyDescent="0.25">
      <c r="B213">
        <v>205</v>
      </c>
      <c r="C213" t="s">
        <v>394</v>
      </c>
      <c r="D213">
        <v>38382</v>
      </c>
      <c r="E213">
        <v>36779</v>
      </c>
      <c r="F213">
        <v>39416</v>
      </c>
      <c r="G213">
        <v>41118</v>
      </c>
      <c r="H213">
        <v>42798</v>
      </c>
      <c r="I213">
        <v>44612</v>
      </c>
      <c r="J213">
        <f t="shared" si="5"/>
        <v>38382</v>
      </c>
    </row>
    <row r="214" spans="2:10" x14ac:dyDescent="0.25">
      <c r="B214">
        <v>206</v>
      </c>
      <c r="C214" t="s">
        <v>395</v>
      </c>
      <c r="D214">
        <v>33199</v>
      </c>
      <c r="E214">
        <v>36455</v>
      </c>
      <c r="F214">
        <v>37987</v>
      </c>
      <c r="G214">
        <v>42985</v>
      </c>
      <c r="H214">
        <v>44444</v>
      </c>
      <c r="I214">
        <v>45944</v>
      </c>
      <c r="J214">
        <f t="shared" si="5"/>
        <v>36455</v>
      </c>
    </row>
    <row r="215" spans="2:10" x14ac:dyDescent="0.25">
      <c r="B215">
        <v>207</v>
      </c>
      <c r="C215" t="s">
        <v>396</v>
      </c>
      <c r="D215">
        <v>33838</v>
      </c>
      <c r="E215">
        <v>35861</v>
      </c>
      <c r="F215">
        <v>34876</v>
      </c>
      <c r="G215">
        <v>36867</v>
      </c>
      <c r="H215">
        <v>38231</v>
      </c>
      <c r="I215">
        <v>39515</v>
      </c>
      <c r="J215">
        <f t="shared" si="5"/>
        <v>35861</v>
      </c>
    </row>
    <row r="216" spans="2:10" x14ac:dyDescent="0.25">
      <c r="B216">
        <v>208</v>
      </c>
      <c r="C216" t="s">
        <v>397</v>
      </c>
      <c r="D216">
        <v>52964</v>
      </c>
      <c r="E216">
        <v>59066</v>
      </c>
      <c r="F216">
        <v>56799</v>
      </c>
      <c r="G216">
        <v>67144</v>
      </c>
      <c r="H216">
        <v>67182</v>
      </c>
      <c r="I216">
        <v>68417</v>
      </c>
      <c r="J216">
        <f t="shared" si="5"/>
        <v>59066</v>
      </c>
    </row>
    <row r="217" spans="2:10" x14ac:dyDescent="0.25">
      <c r="B217">
        <v>209</v>
      </c>
      <c r="C217" t="s">
        <v>398</v>
      </c>
      <c r="D217">
        <v>23568</v>
      </c>
      <c r="E217">
        <v>21982</v>
      </c>
      <c r="F217">
        <v>23449</v>
      </c>
      <c r="G217">
        <v>29934</v>
      </c>
      <c r="H217">
        <v>29923</v>
      </c>
      <c r="I217">
        <v>30465</v>
      </c>
      <c r="J217">
        <f t="shared" si="5"/>
        <v>23568</v>
      </c>
    </row>
    <row r="218" spans="2:10" x14ac:dyDescent="0.25">
      <c r="B218">
        <v>210</v>
      </c>
      <c r="C218" t="s">
        <v>399</v>
      </c>
      <c r="D218">
        <v>46565</v>
      </c>
      <c r="E218">
        <v>47099</v>
      </c>
      <c r="F218">
        <v>48482</v>
      </c>
      <c r="G218">
        <v>59903</v>
      </c>
      <c r="H218">
        <v>59947</v>
      </c>
      <c r="I218">
        <v>61149</v>
      </c>
      <c r="J218">
        <f t="shared" si="5"/>
        <v>47099</v>
      </c>
    </row>
    <row r="219" spans="2:10" x14ac:dyDescent="0.25">
      <c r="B219">
        <v>211</v>
      </c>
      <c r="C219" t="s">
        <v>400</v>
      </c>
      <c r="D219">
        <v>7960</v>
      </c>
      <c r="E219">
        <v>8579</v>
      </c>
      <c r="F219">
        <v>9489</v>
      </c>
      <c r="G219">
        <v>8837</v>
      </c>
      <c r="H219">
        <v>8831</v>
      </c>
      <c r="I219">
        <v>8979</v>
      </c>
      <c r="J219">
        <f t="shared" si="5"/>
        <v>8579</v>
      </c>
    </row>
    <row r="220" spans="2:10" x14ac:dyDescent="0.25">
      <c r="B220">
        <v>212</v>
      </c>
      <c r="C220" t="s">
        <v>401</v>
      </c>
      <c r="D220">
        <v>65161</v>
      </c>
      <c r="E220">
        <v>68123</v>
      </c>
      <c r="F220">
        <v>76528</v>
      </c>
      <c r="G220">
        <v>86884</v>
      </c>
      <c r="H220">
        <v>85380</v>
      </c>
      <c r="I220">
        <v>84243</v>
      </c>
      <c r="J220">
        <f t="shared" si="5"/>
        <v>68123</v>
      </c>
    </row>
    <row r="221" spans="2:10" x14ac:dyDescent="0.25">
      <c r="B221">
        <v>213</v>
      </c>
      <c r="C221" t="s">
        <v>402</v>
      </c>
      <c r="D221">
        <v>153445</v>
      </c>
      <c r="E221">
        <v>158674</v>
      </c>
      <c r="F221">
        <v>188172</v>
      </c>
      <c r="G221">
        <v>210868</v>
      </c>
      <c r="H221">
        <v>207375</v>
      </c>
      <c r="I221">
        <v>204880</v>
      </c>
      <c r="J221">
        <f t="shared" si="5"/>
        <v>158674</v>
      </c>
    </row>
    <row r="222" spans="2:10" x14ac:dyDescent="0.25">
      <c r="B222">
        <v>214</v>
      </c>
      <c r="C222" t="s">
        <v>403</v>
      </c>
      <c r="D222">
        <v>14278</v>
      </c>
      <c r="E222">
        <v>13340</v>
      </c>
      <c r="F222">
        <v>14584</v>
      </c>
      <c r="G222">
        <v>14718</v>
      </c>
      <c r="H222">
        <v>14468</v>
      </c>
      <c r="I222">
        <v>14247</v>
      </c>
      <c r="J222">
        <f t="shared" si="5"/>
        <v>14278</v>
      </c>
    </row>
    <row r="223" spans="2:10" x14ac:dyDescent="0.25">
      <c r="B223">
        <v>215</v>
      </c>
      <c r="C223" t="s">
        <v>404</v>
      </c>
      <c r="D223">
        <v>42840</v>
      </c>
      <c r="E223">
        <v>43090</v>
      </c>
      <c r="F223">
        <v>46162</v>
      </c>
      <c r="G223">
        <v>50317</v>
      </c>
      <c r="H223">
        <v>52416</v>
      </c>
      <c r="I223">
        <v>54822</v>
      </c>
      <c r="J223">
        <f t="shared" si="5"/>
        <v>43090</v>
      </c>
    </row>
    <row r="224" spans="2:10" x14ac:dyDescent="0.25">
      <c r="B224">
        <v>216</v>
      </c>
      <c r="C224" t="s">
        <v>405</v>
      </c>
      <c r="D224">
        <v>28971</v>
      </c>
      <c r="E224">
        <v>29737</v>
      </c>
      <c r="F224">
        <v>30323</v>
      </c>
      <c r="G224">
        <v>32763</v>
      </c>
      <c r="H224">
        <v>34148</v>
      </c>
      <c r="I224">
        <v>35687</v>
      </c>
      <c r="J224">
        <f t="shared" si="5"/>
        <v>29737</v>
      </c>
    </row>
    <row r="225" spans="2:10" x14ac:dyDescent="0.25">
      <c r="B225">
        <v>217</v>
      </c>
      <c r="C225" t="s">
        <v>406</v>
      </c>
      <c r="D225">
        <v>39565</v>
      </c>
      <c r="E225">
        <v>40644</v>
      </c>
      <c r="F225">
        <v>40350</v>
      </c>
      <c r="G225">
        <v>41950</v>
      </c>
      <c r="H225">
        <v>43669</v>
      </c>
      <c r="I225">
        <v>45626</v>
      </c>
      <c r="J225">
        <f t="shared" si="5"/>
        <v>40644</v>
      </c>
    </row>
    <row r="226" spans="2:10" x14ac:dyDescent="0.25">
      <c r="B226">
        <v>218</v>
      </c>
      <c r="C226" t="s">
        <v>407</v>
      </c>
      <c r="D226">
        <v>11852</v>
      </c>
      <c r="E226">
        <v>12301</v>
      </c>
      <c r="F226">
        <v>12582</v>
      </c>
      <c r="G226">
        <v>15704</v>
      </c>
      <c r="H226">
        <v>16344</v>
      </c>
      <c r="I226">
        <v>17069</v>
      </c>
      <c r="J226">
        <f t="shared" si="5"/>
        <v>12301</v>
      </c>
    </row>
    <row r="227" spans="2:10" x14ac:dyDescent="0.25">
      <c r="B227">
        <v>219</v>
      </c>
      <c r="C227" t="s">
        <v>408</v>
      </c>
      <c r="D227">
        <v>11881</v>
      </c>
      <c r="E227">
        <v>11851</v>
      </c>
      <c r="F227">
        <v>11531</v>
      </c>
      <c r="G227">
        <v>11820</v>
      </c>
      <c r="H227">
        <v>12296</v>
      </c>
      <c r="I227">
        <v>12849</v>
      </c>
      <c r="J227">
        <f t="shared" si="5"/>
        <v>11881</v>
      </c>
    </row>
    <row r="228" spans="2:10" x14ac:dyDescent="0.25">
      <c r="B228">
        <v>220</v>
      </c>
      <c r="C228" t="s">
        <v>409</v>
      </c>
      <c r="D228">
        <v>23923</v>
      </c>
      <c r="E228">
        <v>25072</v>
      </c>
      <c r="F228">
        <v>26315</v>
      </c>
      <c r="G228">
        <v>28709</v>
      </c>
      <c r="H228">
        <v>29865</v>
      </c>
      <c r="I228">
        <v>31183</v>
      </c>
      <c r="J228">
        <f t="shared" si="5"/>
        <v>25072</v>
      </c>
    </row>
    <row r="229" spans="2:10" x14ac:dyDescent="0.25">
      <c r="B229">
        <v>221</v>
      </c>
      <c r="C229" t="s">
        <v>410</v>
      </c>
      <c r="D229">
        <v>30885</v>
      </c>
      <c r="E229">
        <v>31882</v>
      </c>
      <c r="F229">
        <v>35826</v>
      </c>
      <c r="G229">
        <v>40912</v>
      </c>
      <c r="H229">
        <v>42581</v>
      </c>
      <c r="I229">
        <v>44462</v>
      </c>
      <c r="J229">
        <f t="shared" si="5"/>
        <v>31882</v>
      </c>
    </row>
    <row r="230" spans="2:10" x14ac:dyDescent="0.25">
      <c r="B230">
        <v>222</v>
      </c>
      <c r="C230" t="s">
        <v>411</v>
      </c>
      <c r="D230">
        <v>46151</v>
      </c>
      <c r="E230">
        <v>45817</v>
      </c>
      <c r="F230">
        <v>46073</v>
      </c>
      <c r="G230">
        <v>50518</v>
      </c>
      <c r="H230">
        <v>51556</v>
      </c>
      <c r="I230">
        <v>54906</v>
      </c>
      <c r="J230">
        <f t="shared" si="5"/>
        <v>46151</v>
      </c>
    </row>
    <row r="231" spans="2:10" x14ac:dyDescent="0.25">
      <c r="B231">
        <v>223</v>
      </c>
      <c r="C231" t="s">
        <v>412</v>
      </c>
      <c r="D231">
        <v>32775</v>
      </c>
      <c r="E231">
        <v>29935</v>
      </c>
      <c r="F231">
        <v>33141</v>
      </c>
      <c r="G231">
        <v>32108</v>
      </c>
      <c r="H231">
        <v>33528</v>
      </c>
      <c r="I231">
        <v>35330</v>
      </c>
      <c r="J231">
        <f t="shared" si="5"/>
        <v>32775</v>
      </c>
    </row>
    <row r="232" spans="2:10" x14ac:dyDescent="0.25">
      <c r="B232">
        <v>224</v>
      </c>
      <c r="C232" t="s">
        <v>413</v>
      </c>
      <c r="D232">
        <v>22863</v>
      </c>
      <c r="E232">
        <v>21335</v>
      </c>
      <c r="F232">
        <v>25204</v>
      </c>
      <c r="G232">
        <v>25572</v>
      </c>
      <c r="H232">
        <v>26114</v>
      </c>
      <c r="I232">
        <v>28260</v>
      </c>
      <c r="J232">
        <f t="shared" si="5"/>
        <v>22863</v>
      </c>
    </row>
    <row r="233" spans="2:10" x14ac:dyDescent="0.25">
      <c r="B233">
        <v>225</v>
      </c>
      <c r="C233" t="s">
        <v>414</v>
      </c>
      <c r="D233">
        <v>20339</v>
      </c>
      <c r="E233">
        <v>19504</v>
      </c>
      <c r="F233">
        <v>21812</v>
      </c>
      <c r="G233">
        <v>24588</v>
      </c>
      <c r="H233">
        <v>25232</v>
      </c>
      <c r="I233">
        <v>26403</v>
      </c>
      <c r="J233">
        <f t="shared" si="5"/>
        <v>20339</v>
      </c>
    </row>
    <row r="234" spans="2:10" x14ac:dyDescent="0.25">
      <c r="B234">
        <v>226</v>
      </c>
      <c r="C234" t="s">
        <v>648</v>
      </c>
      <c r="D234">
        <v>58406</v>
      </c>
      <c r="E234">
        <v>60813</v>
      </c>
      <c r="F234">
        <v>62073</v>
      </c>
      <c r="G234">
        <v>60406</v>
      </c>
      <c r="H234">
        <v>64143</v>
      </c>
      <c r="I234">
        <v>69178</v>
      </c>
      <c r="J234">
        <f t="shared" si="5"/>
        <v>60813</v>
      </c>
    </row>
    <row r="235" spans="2:10" x14ac:dyDescent="0.25">
      <c r="B235">
        <v>227</v>
      </c>
      <c r="C235" t="s">
        <v>416</v>
      </c>
      <c r="D235">
        <v>6559</v>
      </c>
      <c r="E235">
        <v>5485</v>
      </c>
      <c r="F235">
        <v>6280</v>
      </c>
      <c r="G235">
        <v>6791</v>
      </c>
      <c r="H235">
        <v>6310</v>
      </c>
      <c r="I235">
        <v>6175</v>
      </c>
      <c r="J235">
        <f t="shared" si="5"/>
        <v>6559</v>
      </c>
    </row>
    <row r="236" spans="2:10" x14ac:dyDescent="0.25">
      <c r="B236">
        <v>228</v>
      </c>
      <c r="C236" t="s">
        <v>417</v>
      </c>
      <c r="D236">
        <v>12645</v>
      </c>
      <c r="E236">
        <v>12158</v>
      </c>
      <c r="F236">
        <v>13013</v>
      </c>
      <c r="G236">
        <v>13211</v>
      </c>
      <c r="H236">
        <v>12346</v>
      </c>
      <c r="I236">
        <v>12212</v>
      </c>
      <c r="J236">
        <f t="shared" si="5"/>
        <v>12645</v>
      </c>
    </row>
    <row r="237" spans="2:10" x14ac:dyDescent="0.25">
      <c r="B237">
        <v>229</v>
      </c>
      <c r="C237" t="s">
        <v>418</v>
      </c>
      <c r="D237">
        <v>7638</v>
      </c>
      <c r="E237">
        <v>6772</v>
      </c>
      <c r="F237">
        <v>7332</v>
      </c>
      <c r="G237">
        <v>7090</v>
      </c>
      <c r="H237">
        <v>6627</v>
      </c>
      <c r="I237">
        <v>6542</v>
      </c>
      <c r="J237">
        <f t="shared" si="5"/>
        <v>7638</v>
      </c>
    </row>
    <row r="238" spans="2:10" x14ac:dyDescent="0.25">
      <c r="B238">
        <v>230</v>
      </c>
      <c r="C238" t="s">
        <v>419</v>
      </c>
      <c r="D238">
        <v>8582</v>
      </c>
      <c r="E238">
        <v>7997</v>
      </c>
      <c r="F238">
        <v>9358</v>
      </c>
      <c r="G238">
        <v>9243</v>
      </c>
      <c r="H238">
        <v>8638</v>
      </c>
      <c r="I238">
        <v>8551</v>
      </c>
      <c r="J238">
        <f t="shared" si="5"/>
        <v>8582</v>
      </c>
    </row>
    <row r="239" spans="2:10" x14ac:dyDescent="0.25">
      <c r="B239">
        <v>231</v>
      </c>
      <c r="C239" t="s">
        <v>420</v>
      </c>
      <c r="D239">
        <v>3689</v>
      </c>
      <c r="E239">
        <v>3445</v>
      </c>
      <c r="F239">
        <v>3817</v>
      </c>
      <c r="G239">
        <v>3398</v>
      </c>
      <c r="H239">
        <v>3258</v>
      </c>
      <c r="I239">
        <v>3265</v>
      </c>
      <c r="J239">
        <f t="shared" si="5"/>
        <v>3689</v>
      </c>
    </row>
    <row r="240" spans="2:10" x14ac:dyDescent="0.25">
      <c r="B240">
        <v>232</v>
      </c>
      <c r="C240" t="s">
        <v>421</v>
      </c>
      <c r="D240">
        <v>10783</v>
      </c>
      <c r="E240">
        <v>9981</v>
      </c>
      <c r="F240">
        <v>11306</v>
      </c>
      <c r="G240">
        <v>10577</v>
      </c>
      <c r="H240">
        <v>10101</v>
      </c>
      <c r="I240">
        <v>10081</v>
      </c>
      <c r="J240">
        <f t="shared" si="5"/>
        <v>10783</v>
      </c>
    </row>
    <row r="241" spans="2:10" x14ac:dyDescent="0.25">
      <c r="B241">
        <v>233</v>
      </c>
      <c r="C241" t="s">
        <v>422</v>
      </c>
      <c r="D241">
        <v>10844</v>
      </c>
      <c r="E241">
        <v>8609</v>
      </c>
      <c r="F241">
        <v>9916</v>
      </c>
      <c r="G241">
        <v>10306</v>
      </c>
      <c r="H241">
        <v>10433</v>
      </c>
      <c r="I241">
        <v>11865</v>
      </c>
      <c r="J241">
        <f t="shared" si="5"/>
        <v>10844</v>
      </c>
    </row>
    <row r="242" spans="2:10" x14ac:dyDescent="0.25">
      <c r="B242">
        <v>234</v>
      </c>
      <c r="C242" t="s">
        <v>423</v>
      </c>
      <c r="D242">
        <v>6488</v>
      </c>
      <c r="E242">
        <v>8534</v>
      </c>
      <c r="F242">
        <v>9197</v>
      </c>
      <c r="G242">
        <v>7085</v>
      </c>
      <c r="H242">
        <v>9385</v>
      </c>
      <c r="I242">
        <v>10017</v>
      </c>
      <c r="J242">
        <f t="shared" si="5"/>
        <v>8534</v>
      </c>
    </row>
    <row r="243" spans="2:10" x14ac:dyDescent="0.25">
      <c r="B243">
        <v>235</v>
      </c>
      <c r="C243" t="s">
        <v>424</v>
      </c>
      <c r="D243">
        <v>6246</v>
      </c>
      <c r="E243">
        <v>5640</v>
      </c>
      <c r="F243">
        <v>6706</v>
      </c>
      <c r="G243">
        <v>7751</v>
      </c>
      <c r="H243">
        <v>7654</v>
      </c>
      <c r="I243">
        <v>7579</v>
      </c>
      <c r="J243">
        <f t="shared" si="5"/>
        <v>6246</v>
      </c>
    </row>
    <row r="244" spans="2:10" x14ac:dyDescent="0.25">
      <c r="B244">
        <v>236</v>
      </c>
      <c r="C244" t="s">
        <v>425</v>
      </c>
      <c r="D244">
        <v>40082</v>
      </c>
      <c r="E244">
        <v>34088</v>
      </c>
      <c r="F244">
        <v>34778</v>
      </c>
      <c r="G244">
        <v>34168</v>
      </c>
      <c r="H244">
        <v>32031</v>
      </c>
      <c r="I244">
        <v>32805</v>
      </c>
      <c r="J244">
        <f t="shared" si="5"/>
        <v>40082</v>
      </c>
    </row>
    <row r="245" spans="2:10" x14ac:dyDescent="0.25">
      <c r="B245">
        <v>237</v>
      </c>
      <c r="C245" t="s">
        <v>426</v>
      </c>
      <c r="D245">
        <v>31217</v>
      </c>
      <c r="E245">
        <v>29066</v>
      </c>
      <c r="F245">
        <v>33907</v>
      </c>
      <c r="G245">
        <v>39432</v>
      </c>
      <c r="H245">
        <v>39693</v>
      </c>
      <c r="I245">
        <v>39425</v>
      </c>
      <c r="J245">
        <f t="shared" si="5"/>
        <v>31217</v>
      </c>
    </row>
    <row r="246" spans="2:10" x14ac:dyDescent="0.25">
      <c r="B246">
        <v>238</v>
      </c>
      <c r="C246" t="s">
        <v>427</v>
      </c>
      <c r="D246">
        <v>66310</v>
      </c>
      <c r="E246">
        <v>66374</v>
      </c>
      <c r="F246">
        <v>73021</v>
      </c>
      <c r="G246">
        <v>83718</v>
      </c>
      <c r="H246">
        <v>85981</v>
      </c>
      <c r="I246">
        <v>86934</v>
      </c>
      <c r="J246">
        <f t="shared" si="5"/>
        <v>66374</v>
      </c>
    </row>
    <row r="247" spans="2:10" x14ac:dyDescent="0.25">
      <c r="B247">
        <v>239</v>
      </c>
      <c r="C247" t="s">
        <v>649</v>
      </c>
      <c r="D247">
        <v>22304</v>
      </c>
      <c r="E247">
        <v>20555</v>
      </c>
      <c r="F247">
        <v>22790</v>
      </c>
      <c r="G247">
        <v>25333</v>
      </c>
      <c r="H247">
        <v>25134</v>
      </c>
      <c r="I247">
        <v>25121</v>
      </c>
      <c r="J247">
        <f t="shared" si="5"/>
        <v>22304</v>
      </c>
    </row>
    <row r="248" spans="2:10" x14ac:dyDescent="0.25">
      <c r="B248">
        <v>240</v>
      </c>
      <c r="C248" t="s">
        <v>429</v>
      </c>
      <c r="D248">
        <v>5812</v>
      </c>
      <c r="E248">
        <v>4872</v>
      </c>
      <c r="F248">
        <v>4941</v>
      </c>
      <c r="G248">
        <v>5940</v>
      </c>
      <c r="H248">
        <v>5956</v>
      </c>
      <c r="I248">
        <v>5883</v>
      </c>
      <c r="J248">
        <f t="shared" si="5"/>
        <v>5812</v>
      </c>
    </row>
    <row r="249" spans="2:10" x14ac:dyDescent="0.25">
      <c r="B249">
        <v>241</v>
      </c>
      <c r="C249" t="s">
        <v>430</v>
      </c>
      <c r="D249">
        <v>13283</v>
      </c>
      <c r="E249">
        <v>13644</v>
      </c>
      <c r="F249">
        <v>13576</v>
      </c>
      <c r="G249">
        <v>13930</v>
      </c>
      <c r="H249">
        <v>13906</v>
      </c>
      <c r="I249">
        <v>13959</v>
      </c>
      <c r="J249">
        <f t="shared" si="5"/>
        <v>13644</v>
      </c>
    </row>
    <row r="250" spans="2:10" x14ac:dyDescent="0.25">
      <c r="B250">
        <v>242</v>
      </c>
      <c r="C250" t="s">
        <v>431</v>
      </c>
      <c r="D250">
        <v>5688</v>
      </c>
      <c r="E250">
        <v>5940</v>
      </c>
      <c r="F250">
        <v>6969</v>
      </c>
      <c r="G250">
        <v>7111</v>
      </c>
      <c r="H250">
        <v>7130</v>
      </c>
      <c r="I250">
        <v>7128</v>
      </c>
      <c r="J250">
        <f t="shared" si="5"/>
        <v>5940</v>
      </c>
    </row>
    <row r="251" spans="2:10" x14ac:dyDescent="0.25">
      <c r="B251">
        <v>243</v>
      </c>
      <c r="C251" t="s">
        <v>432</v>
      </c>
      <c r="D251">
        <v>77986</v>
      </c>
      <c r="E251">
        <v>71242</v>
      </c>
      <c r="F251">
        <v>74840</v>
      </c>
      <c r="G251">
        <v>84667</v>
      </c>
      <c r="H251">
        <v>81612</v>
      </c>
      <c r="I251">
        <v>81430</v>
      </c>
      <c r="J251">
        <f t="shared" si="5"/>
        <v>77986</v>
      </c>
    </row>
    <row r="252" spans="2:10" x14ac:dyDescent="0.25">
      <c r="B252">
        <v>244</v>
      </c>
      <c r="C252" t="s">
        <v>433</v>
      </c>
      <c r="D252">
        <v>3170</v>
      </c>
      <c r="E252">
        <v>2931</v>
      </c>
      <c r="F252">
        <v>3076</v>
      </c>
      <c r="G252">
        <v>3095</v>
      </c>
      <c r="H252">
        <v>2968</v>
      </c>
      <c r="I252">
        <v>2982</v>
      </c>
      <c r="J252">
        <f t="shared" si="5"/>
        <v>3170</v>
      </c>
    </row>
    <row r="253" spans="2:10" x14ac:dyDescent="0.25">
      <c r="B253">
        <v>245</v>
      </c>
      <c r="C253" t="s">
        <v>434</v>
      </c>
      <c r="D253">
        <v>549378</v>
      </c>
      <c r="E253">
        <v>310981</v>
      </c>
      <c r="F253">
        <v>560379</v>
      </c>
      <c r="G253">
        <v>822683</v>
      </c>
      <c r="H253">
        <v>665911</v>
      </c>
      <c r="I253">
        <v>592319</v>
      </c>
      <c r="J253">
        <f t="shared" si="5"/>
        <v>549378</v>
      </c>
    </row>
    <row r="254" spans="2:10" x14ac:dyDescent="0.25">
      <c r="B254">
        <v>246</v>
      </c>
      <c r="C254" t="s">
        <v>435</v>
      </c>
      <c r="D254">
        <v>13999</v>
      </c>
      <c r="E254">
        <v>13852</v>
      </c>
      <c r="F254">
        <v>14833</v>
      </c>
      <c r="G254">
        <v>18300</v>
      </c>
      <c r="H254">
        <v>18251</v>
      </c>
      <c r="I254">
        <v>18352</v>
      </c>
      <c r="J254">
        <f t="shared" si="5"/>
        <v>13999</v>
      </c>
    </row>
    <row r="255" spans="2:10" x14ac:dyDescent="0.25">
      <c r="B255">
        <v>247</v>
      </c>
      <c r="C255" t="s">
        <v>436</v>
      </c>
      <c r="D255">
        <v>11407</v>
      </c>
      <c r="E255">
        <v>12024</v>
      </c>
      <c r="F255">
        <v>14265</v>
      </c>
      <c r="G255">
        <v>15203</v>
      </c>
      <c r="H255">
        <v>15217</v>
      </c>
      <c r="I255">
        <v>15265</v>
      </c>
      <c r="J255">
        <f t="shared" si="5"/>
        <v>12024</v>
      </c>
    </row>
    <row r="256" spans="2:10" x14ac:dyDescent="0.25">
      <c r="B256">
        <v>248</v>
      </c>
      <c r="C256" t="s">
        <v>437</v>
      </c>
      <c r="D256">
        <v>22914</v>
      </c>
      <c r="E256">
        <v>17259</v>
      </c>
      <c r="F256">
        <v>21002</v>
      </c>
      <c r="G256">
        <v>25433</v>
      </c>
      <c r="H256">
        <v>26177</v>
      </c>
      <c r="I256">
        <v>24695</v>
      </c>
      <c r="J256">
        <f t="shared" si="5"/>
        <v>22914</v>
      </c>
    </row>
    <row r="257" spans="2:10" x14ac:dyDescent="0.25">
      <c r="B257">
        <v>249</v>
      </c>
      <c r="C257" t="s">
        <v>438</v>
      </c>
      <c r="D257">
        <v>49411</v>
      </c>
      <c r="E257">
        <v>37875</v>
      </c>
      <c r="F257">
        <v>69855</v>
      </c>
      <c r="G257">
        <v>74082</v>
      </c>
      <c r="H257">
        <v>73941</v>
      </c>
      <c r="I257">
        <v>74900</v>
      </c>
      <c r="J257">
        <f t="shared" si="5"/>
        <v>49411</v>
      </c>
    </row>
    <row r="258" spans="2:10" x14ac:dyDescent="0.25">
      <c r="B258">
        <v>250</v>
      </c>
      <c r="C258" t="s">
        <v>439</v>
      </c>
      <c r="D258">
        <v>9192</v>
      </c>
      <c r="E258">
        <v>10458</v>
      </c>
      <c r="F258">
        <v>11297</v>
      </c>
      <c r="G258">
        <v>13374</v>
      </c>
      <c r="H258">
        <v>13464</v>
      </c>
      <c r="I258">
        <v>13703</v>
      </c>
      <c r="J258">
        <f t="shared" si="5"/>
        <v>10458</v>
      </c>
    </row>
    <row r="259" spans="2:10" x14ac:dyDescent="0.25">
      <c r="B259">
        <v>251</v>
      </c>
      <c r="C259" t="s">
        <v>440</v>
      </c>
      <c r="D259">
        <v>5736</v>
      </c>
      <c r="E259">
        <v>5492</v>
      </c>
      <c r="F259">
        <v>5695</v>
      </c>
      <c r="G259">
        <v>6105</v>
      </c>
      <c r="H259">
        <v>6202</v>
      </c>
      <c r="I259">
        <v>6194</v>
      </c>
      <c r="J259">
        <f t="shared" si="5"/>
        <v>5736</v>
      </c>
    </row>
    <row r="260" spans="2:10" x14ac:dyDescent="0.25">
      <c r="B260">
        <v>252</v>
      </c>
      <c r="C260" t="s">
        <v>650</v>
      </c>
      <c r="D260">
        <v>34074</v>
      </c>
      <c r="E260">
        <v>29807</v>
      </c>
      <c r="F260">
        <v>33981</v>
      </c>
      <c r="G260">
        <v>40140</v>
      </c>
      <c r="H260">
        <v>40243</v>
      </c>
      <c r="I260">
        <v>40633</v>
      </c>
      <c r="J260">
        <f t="shared" si="5"/>
        <v>34074</v>
      </c>
    </row>
    <row r="261" spans="2:10" x14ac:dyDescent="0.25">
      <c r="B261">
        <v>253</v>
      </c>
      <c r="C261" t="s">
        <v>442</v>
      </c>
      <c r="D261">
        <v>108830</v>
      </c>
      <c r="E261">
        <v>95835</v>
      </c>
      <c r="F261">
        <v>129312</v>
      </c>
      <c r="G261">
        <v>148554</v>
      </c>
      <c r="H261">
        <v>148787</v>
      </c>
      <c r="I261">
        <v>150723</v>
      </c>
      <c r="J261">
        <f t="shared" si="5"/>
        <v>108830</v>
      </c>
    </row>
    <row r="262" spans="2:10" x14ac:dyDescent="0.25">
      <c r="B262">
        <v>254</v>
      </c>
      <c r="C262" t="s">
        <v>443</v>
      </c>
      <c r="D262">
        <v>83718</v>
      </c>
      <c r="E262">
        <v>77426</v>
      </c>
      <c r="F262">
        <v>99848</v>
      </c>
      <c r="G262">
        <v>113254</v>
      </c>
      <c r="H262">
        <v>113321</v>
      </c>
      <c r="I262">
        <v>114055</v>
      </c>
      <c r="J262">
        <f t="shared" si="5"/>
        <v>83718</v>
      </c>
    </row>
    <row r="263" spans="2:10" x14ac:dyDescent="0.25">
      <c r="B263">
        <v>255</v>
      </c>
      <c r="C263" t="s">
        <v>444</v>
      </c>
      <c r="D263">
        <v>14486</v>
      </c>
      <c r="E263">
        <v>11563</v>
      </c>
      <c r="F263">
        <v>13102</v>
      </c>
      <c r="G263">
        <v>15043</v>
      </c>
      <c r="H263">
        <v>15182</v>
      </c>
      <c r="I263">
        <v>15212</v>
      </c>
      <c r="J263">
        <f t="shared" si="5"/>
        <v>14486</v>
      </c>
    </row>
    <row r="264" spans="2:10" x14ac:dyDescent="0.25">
      <c r="B264">
        <v>256</v>
      </c>
      <c r="C264" t="s">
        <v>445</v>
      </c>
      <c r="D264">
        <v>17078</v>
      </c>
      <c r="E264">
        <v>17738</v>
      </c>
      <c r="F264">
        <v>19816</v>
      </c>
      <c r="G264">
        <v>19448</v>
      </c>
      <c r="H264">
        <v>20294</v>
      </c>
      <c r="I264">
        <v>21109</v>
      </c>
      <c r="J264">
        <f t="shared" si="5"/>
        <v>17738</v>
      </c>
    </row>
    <row r="265" spans="2:10" x14ac:dyDescent="0.25">
      <c r="B265">
        <v>257</v>
      </c>
      <c r="C265" t="s">
        <v>446</v>
      </c>
      <c r="D265">
        <v>208149</v>
      </c>
      <c r="E265">
        <v>210397</v>
      </c>
      <c r="F265">
        <v>212338</v>
      </c>
      <c r="G265">
        <v>210259</v>
      </c>
      <c r="H265">
        <v>223573</v>
      </c>
      <c r="I265">
        <v>232338</v>
      </c>
      <c r="J265">
        <f t="shared" si="5"/>
        <v>210397</v>
      </c>
    </row>
    <row r="266" spans="2:10" x14ac:dyDescent="0.25">
      <c r="B266">
        <v>258</v>
      </c>
      <c r="C266" t="s">
        <v>447</v>
      </c>
      <c r="D266">
        <v>17387</v>
      </c>
      <c r="E266">
        <v>20497</v>
      </c>
      <c r="F266">
        <v>21550</v>
      </c>
      <c r="G266">
        <v>26433</v>
      </c>
      <c r="H266">
        <v>27085</v>
      </c>
      <c r="I266">
        <v>28229</v>
      </c>
      <c r="J266">
        <f t="shared" ref="J266:J329" si="6">MAX(D266:E266)</f>
        <v>20497</v>
      </c>
    </row>
    <row r="267" spans="2:10" x14ac:dyDescent="0.25">
      <c r="B267">
        <v>259</v>
      </c>
      <c r="C267" t="s">
        <v>448</v>
      </c>
      <c r="D267">
        <v>45579</v>
      </c>
      <c r="E267">
        <v>48286</v>
      </c>
      <c r="F267">
        <v>59810</v>
      </c>
      <c r="G267">
        <v>47590</v>
      </c>
      <c r="H267">
        <v>49218</v>
      </c>
      <c r="I267">
        <v>51716</v>
      </c>
      <c r="J267">
        <f t="shared" si="6"/>
        <v>48286</v>
      </c>
    </row>
    <row r="268" spans="2:10" x14ac:dyDescent="0.25">
      <c r="B268">
        <v>260</v>
      </c>
      <c r="C268" t="s">
        <v>449</v>
      </c>
      <c r="D268">
        <v>20375</v>
      </c>
      <c r="E268">
        <v>20247</v>
      </c>
      <c r="F268">
        <v>25720</v>
      </c>
      <c r="G268">
        <v>29490</v>
      </c>
      <c r="H268">
        <v>29674</v>
      </c>
      <c r="I268">
        <v>32221</v>
      </c>
      <c r="J268">
        <f t="shared" si="6"/>
        <v>20375</v>
      </c>
    </row>
    <row r="269" spans="2:10" x14ac:dyDescent="0.25">
      <c r="B269">
        <v>261</v>
      </c>
      <c r="C269" t="s">
        <v>450</v>
      </c>
      <c r="D269">
        <v>14084</v>
      </c>
      <c r="E269">
        <v>14840</v>
      </c>
      <c r="F269">
        <v>16618</v>
      </c>
      <c r="G269">
        <v>19868</v>
      </c>
      <c r="H269">
        <v>20038</v>
      </c>
      <c r="I269">
        <v>21722</v>
      </c>
      <c r="J269">
        <f t="shared" si="6"/>
        <v>14840</v>
      </c>
    </row>
    <row r="270" spans="2:10" x14ac:dyDescent="0.25">
      <c r="B270">
        <v>262</v>
      </c>
      <c r="C270" t="s">
        <v>451</v>
      </c>
      <c r="D270">
        <v>26590</v>
      </c>
      <c r="E270">
        <v>26480</v>
      </c>
      <c r="F270">
        <v>29950</v>
      </c>
      <c r="G270">
        <v>33258</v>
      </c>
      <c r="H270">
        <v>33892</v>
      </c>
      <c r="I270">
        <v>33363</v>
      </c>
      <c r="J270">
        <f t="shared" si="6"/>
        <v>26590</v>
      </c>
    </row>
    <row r="271" spans="2:10" x14ac:dyDescent="0.25">
      <c r="B271">
        <v>263</v>
      </c>
      <c r="C271" t="s">
        <v>452</v>
      </c>
      <c r="D271">
        <v>15103</v>
      </c>
      <c r="E271">
        <v>13988</v>
      </c>
      <c r="F271">
        <v>17300</v>
      </c>
      <c r="G271">
        <v>18957</v>
      </c>
      <c r="H271">
        <v>19291</v>
      </c>
      <c r="I271">
        <v>19008</v>
      </c>
      <c r="J271">
        <f t="shared" si="6"/>
        <v>15103</v>
      </c>
    </row>
    <row r="272" spans="2:10" x14ac:dyDescent="0.25">
      <c r="B272">
        <v>264</v>
      </c>
      <c r="C272" t="s">
        <v>453</v>
      </c>
      <c r="D272">
        <v>41554</v>
      </c>
      <c r="E272">
        <v>40037</v>
      </c>
      <c r="F272">
        <v>40919</v>
      </c>
      <c r="G272">
        <v>44684</v>
      </c>
      <c r="H272">
        <v>44822</v>
      </c>
      <c r="I272">
        <v>45339</v>
      </c>
      <c r="J272">
        <f t="shared" si="6"/>
        <v>41554</v>
      </c>
    </row>
    <row r="273" spans="2:10" x14ac:dyDescent="0.25">
      <c r="B273">
        <v>265</v>
      </c>
      <c r="C273" t="s">
        <v>454</v>
      </c>
      <c r="D273">
        <v>49179</v>
      </c>
      <c r="E273">
        <v>42702</v>
      </c>
      <c r="F273">
        <v>42836</v>
      </c>
      <c r="G273">
        <v>40086</v>
      </c>
      <c r="H273">
        <v>40862</v>
      </c>
      <c r="I273">
        <v>41356</v>
      </c>
      <c r="J273">
        <f t="shared" si="6"/>
        <v>49179</v>
      </c>
    </row>
    <row r="274" spans="2:10" x14ac:dyDescent="0.25">
      <c r="B274">
        <v>266</v>
      </c>
      <c r="C274" t="s">
        <v>455</v>
      </c>
      <c r="D274">
        <v>4608</v>
      </c>
      <c r="E274">
        <v>4324</v>
      </c>
      <c r="F274">
        <v>4085</v>
      </c>
      <c r="G274">
        <v>4565</v>
      </c>
      <c r="H274">
        <v>4566</v>
      </c>
      <c r="I274">
        <v>4597</v>
      </c>
      <c r="J274">
        <f t="shared" si="6"/>
        <v>4608</v>
      </c>
    </row>
    <row r="275" spans="2:10" x14ac:dyDescent="0.25">
      <c r="B275">
        <v>267</v>
      </c>
      <c r="C275" t="s">
        <v>456</v>
      </c>
      <c r="D275">
        <v>40596</v>
      </c>
      <c r="E275">
        <v>38952</v>
      </c>
      <c r="F275">
        <v>43013</v>
      </c>
      <c r="G275">
        <v>48860</v>
      </c>
      <c r="H275">
        <v>48962</v>
      </c>
      <c r="I275">
        <v>49406</v>
      </c>
      <c r="J275">
        <f t="shared" si="6"/>
        <v>40596</v>
      </c>
    </row>
    <row r="276" spans="2:10" x14ac:dyDescent="0.25">
      <c r="B276">
        <v>268</v>
      </c>
      <c r="C276" t="s">
        <v>457</v>
      </c>
      <c r="D276">
        <v>40095</v>
      </c>
      <c r="E276">
        <v>39948</v>
      </c>
      <c r="F276">
        <v>44230</v>
      </c>
      <c r="G276">
        <v>49794</v>
      </c>
      <c r="H276">
        <v>49014</v>
      </c>
      <c r="I276">
        <v>49529</v>
      </c>
      <c r="J276">
        <f t="shared" si="6"/>
        <v>40095</v>
      </c>
    </row>
    <row r="277" spans="2:10" x14ac:dyDescent="0.25">
      <c r="B277">
        <v>269</v>
      </c>
      <c r="C277" t="s">
        <v>458</v>
      </c>
      <c r="D277">
        <v>20932</v>
      </c>
      <c r="E277">
        <v>19731</v>
      </c>
      <c r="F277">
        <v>25042</v>
      </c>
      <c r="G277">
        <v>28098</v>
      </c>
      <c r="H277">
        <v>27577</v>
      </c>
      <c r="I277">
        <v>27859</v>
      </c>
      <c r="J277">
        <f t="shared" si="6"/>
        <v>20932</v>
      </c>
    </row>
    <row r="278" spans="2:10" x14ac:dyDescent="0.25">
      <c r="B278">
        <v>270</v>
      </c>
      <c r="C278" t="s">
        <v>459</v>
      </c>
      <c r="D278">
        <v>3992</v>
      </c>
      <c r="E278">
        <v>3650</v>
      </c>
      <c r="F278">
        <v>4036</v>
      </c>
      <c r="G278">
        <v>4296</v>
      </c>
      <c r="H278">
        <v>4221</v>
      </c>
      <c r="I278">
        <v>4263</v>
      </c>
      <c r="J278">
        <f t="shared" si="6"/>
        <v>3992</v>
      </c>
    </row>
    <row r="279" spans="2:10" x14ac:dyDescent="0.25">
      <c r="B279">
        <v>271</v>
      </c>
      <c r="C279" t="s">
        <v>460</v>
      </c>
      <c r="D279">
        <v>9551</v>
      </c>
      <c r="E279">
        <v>8627</v>
      </c>
      <c r="F279">
        <v>10244</v>
      </c>
      <c r="G279">
        <v>11809</v>
      </c>
      <c r="H279">
        <v>11608</v>
      </c>
      <c r="I279">
        <v>11726</v>
      </c>
      <c r="J279">
        <f t="shared" si="6"/>
        <v>9551</v>
      </c>
    </row>
    <row r="280" spans="2:10" x14ac:dyDescent="0.25">
      <c r="B280">
        <v>272</v>
      </c>
      <c r="C280" t="s">
        <v>461</v>
      </c>
      <c r="D280">
        <v>11731</v>
      </c>
      <c r="E280">
        <v>11354</v>
      </c>
      <c r="F280">
        <v>12968</v>
      </c>
      <c r="G280">
        <v>13458</v>
      </c>
      <c r="H280">
        <v>13257</v>
      </c>
      <c r="I280">
        <v>13411</v>
      </c>
      <c r="J280">
        <f t="shared" si="6"/>
        <v>11731</v>
      </c>
    </row>
    <row r="281" spans="2:10" x14ac:dyDescent="0.25">
      <c r="B281">
        <v>273</v>
      </c>
      <c r="C281" t="s">
        <v>462</v>
      </c>
      <c r="D281">
        <v>11970</v>
      </c>
      <c r="E281">
        <v>12225</v>
      </c>
      <c r="F281">
        <v>14399</v>
      </c>
      <c r="G281">
        <v>16664</v>
      </c>
      <c r="H281">
        <v>16356</v>
      </c>
      <c r="I281">
        <v>16534</v>
      </c>
      <c r="J281">
        <f t="shared" si="6"/>
        <v>12225</v>
      </c>
    </row>
    <row r="282" spans="2:10" x14ac:dyDescent="0.25">
      <c r="B282">
        <v>274</v>
      </c>
      <c r="C282" t="s">
        <v>463</v>
      </c>
      <c r="D282">
        <v>106818</v>
      </c>
      <c r="E282">
        <v>100950</v>
      </c>
      <c r="F282">
        <v>118990</v>
      </c>
      <c r="G282">
        <v>128085</v>
      </c>
      <c r="H282">
        <v>126036</v>
      </c>
      <c r="I282">
        <v>127540</v>
      </c>
      <c r="J282">
        <f t="shared" si="6"/>
        <v>106818</v>
      </c>
    </row>
    <row r="283" spans="2:10" x14ac:dyDescent="0.25">
      <c r="B283">
        <v>275</v>
      </c>
      <c r="C283" t="s">
        <v>464</v>
      </c>
      <c r="D283">
        <v>21295</v>
      </c>
      <c r="E283">
        <v>16802</v>
      </c>
      <c r="F283">
        <v>21226</v>
      </c>
      <c r="G283">
        <v>22847</v>
      </c>
      <c r="H283">
        <v>22254</v>
      </c>
      <c r="I283">
        <v>21521</v>
      </c>
      <c r="J283">
        <f t="shared" si="6"/>
        <v>21295</v>
      </c>
    </row>
    <row r="284" spans="2:10" x14ac:dyDescent="0.25">
      <c r="B284">
        <v>276</v>
      </c>
      <c r="C284" t="s">
        <v>465</v>
      </c>
      <c r="D284">
        <v>5541</v>
      </c>
      <c r="E284">
        <v>5221</v>
      </c>
      <c r="F284">
        <v>6384</v>
      </c>
      <c r="G284">
        <v>7032</v>
      </c>
      <c r="H284">
        <v>6940</v>
      </c>
      <c r="I284">
        <v>6976</v>
      </c>
      <c r="J284">
        <f t="shared" si="6"/>
        <v>5541</v>
      </c>
    </row>
    <row r="285" spans="2:10" x14ac:dyDescent="0.25">
      <c r="B285">
        <v>277</v>
      </c>
      <c r="C285" t="s">
        <v>466</v>
      </c>
      <c r="D285">
        <v>18371</v>
      </c>
      <c r="E285">
        <v>16077</v>
      </c>
      <c r="F285">
        <v>17728</v>
      </c>
      <c r="G285">
        <v>19081</v>
      </c>
      <c r="H285">
        <v>18810</v>
      </c>
      <c r="I285">
        <v>19017</v>
      </c>
      <c r="J285">
        <f t="shared" si="6"/>
        <v>18371</v>
      </c>
    </row>
    <row r="286" spans="2:10" x14ac:dyDescent="0.25">
      <c r="B286">
        <v>278</v>
      </c>
      <c r="C286" t="s">
        <v>467</v>
      </c>
      <c r="D286">
        <v>157216</v>
      </c>
      <c r="E286">
        <v>137845</v>
      </c>
      <c r="F286">
        <v>162083</v>
      </c>
      <c r="G286">
        <v>193817</v>
      </c>
      <c r="H286">
        <v>213812</v>
      </c>
      <c r="I286">
        <v>228345</v>
      </c>
      <c r="J286">
        <f t="shared" si="6"/>
        <v>157216</v>
      </c>
    </row>
    <row r="287" spans="2:10" x14ac:dyDescent="0.25">
      <c r="B287">
        <v>279</v>
      </c>
      <c r="C287" t="s">
        <v>468</v>
      </c>
      <c r="D287">
        <v>224214</v>
      </c>
      <c r="E287">
        <v>219906</v>
      </c>
      <c r="F287">
        <v>247388</v>
      </c>
      <c r="G287">
        <v>266917</v>
      </c>
      <c r="H287">
        <v>256879</v>
      </c>
      <c r="I287">
        <v>270522</v>
      </c>
      <c r="J287">
        <f t="shared" si="6"/>
        <v>224214</v>
      </c>
    </row>
    <row r="288" spans="2:10" x14ac:dyDescent="0.25">
      <c r="B288">
        <v>280</v>
      </c>
      <c r="C288" t="s">
        <v>469</v>
      </c>
      <c r="D288">
        <v>245579</v>
      </c>
      <c r="E288">
        <v>241681</v>
      </c>
      <c r="F288">
        <v>289590</v>
      </c>
      <c r="G288">
        <v>326809</v>
      </c>
      <c r="H288">
        <v>336946</v>
      </c>
      <c r="I288">
        <v>371711</v>
      </c>
      <c r="J288">
        <f t="shared" si="6"/>
        <v>245579</v>
      </c>
    </row>
    <row r="289" spans="2:10" x14ac:dyDescent="0.25">
      <c r="B289">
        <v>281</v>
      </c>
      <c r="C289" t="s">
        <v>470</v>
      </c>
      <c r="D289">
        <v>197062</v>
      </c>
      <c r="E289">
        <v>182343</v>
      </c>
      <c r="F289">
        <v>214836</v>
      </c>
      <c r="G289">
        <v>255528</v>
      </c>
      <c r="H289">
        <v>274052</v>
      </c>
      <c r="I289">
        <v>274798</v>
      </c>
      <c r="J289">
        <f t="shared" si="6"/>
        <v>197062</v>
      </c>
    </row>
    <row r="290" spans="2:10" x14ac:dyDescent="0.25">
      <c r="B290">
        <v>282</v>
      </c>
      <c r="C290" t="s">
        <v>471</v>
      </c>
      <c r="D290">
        <v>312902</v>
      </c>
      <c r="E290">
        <v>304899</v>
      </c>
      <c r="F290">
        <v>392727</v>
      </c>
      <c r="G290">
        <v>450462</v>
      </c>
      <c r="H290">
        <v>416817</v>
      </c>
      <c r="I290">
        <v>411607</v>
      </c>
      <c r="J290">
        <f t="shared" si="6"/>
        <v>312902</v>
      </c>
    </row>
    <row r="291" spans="2:10" x14ac:dyDescent="0.25">
      <c r="B291">
        <v>283</v>
      </c>
      <c r="C291" t="s">
        <v>472</v>
      </c>
      <c r="D291">
        <v>224469</v>
      </c>
      <c r="E291">
        <v>232665</v>
      </c>
      <c r="F291">
        <v>249847</v>
      </c>
      <c r="G291">
        <v>280146</v>
      </c>
      <c r="H291">
        <v>314787</v>
      </c>
      <c r="I291">
        <v>338016</v>
      </c>
      <c r="J291">
        <f t="shared" si="6"/>
        <v>232665</v>
      </c>
    </row>
    <row r="292" spans="2:10" x14ac:dyDescent="0.25">
      <c r="B292">
        <v>284</v>
      </c>
      <c r="C292" t="s">
        <v>473</v>
      </c>
      <c r="D292">
        <v>186219</v>
      </c>
      <c r="E292">
        <v>185265</v>
      </c>
      <c r="F292">
        <v>205787</v>
      </c>
      <c r="G292">
        <v>234433</v>
      </c>
      <c r="H292">
        <v>240194</v>
      </c>
      <c r="I292">
        <v>248250</v>
      </c>
      <c r="J292">
        <f t="shared" si="6"/>
        <v>186219</v>
      </c>
    </row>
    <row r="293" spans="2:10" x14ac:dyDescent="0.25">
      <c r="B293">
        <v>285</v>
      </c>
      <c r="C293" t="s">
        <v>474</v>
      </c>
      <c r="D293">
        <v>170830</v>
      </c>
      <c r="E293">
        <v>148051</v>
      </c>
      <c r="F293">
        <v>192917</v>
      </c>
      <c r="G293">
        <v>217416</v>
      </c>
      <c r="H293">
        <v>206788</v>
      </c>
      <c r="I293">
        <v>204610</v>
      </c>
      <c r="J293">
        <f t="shared" si="6"/>
        <v>170830</v>
      </c>
    </row>
    <row r="294" spans="2:10" x14ac:dyDescent="0.25">
      <c r="B294">
        <v>286</v>
      </c>
      <c r="C294" t="s">
        <v>475</v>
      </c>
      <c r="D294">
        <v>384259</v>
      </c>
      <c r="E294">
        <v>373830</v>
      </c>
      <c r="F294">
        <v>433626</v>
      </c>
      <c r="G294">
        <v>487164</v>
      </c>
      <c r="H294">
        <v>455637</v>
      </c>
      <c r="I294">
        <v>440780</v>
      </c>
      <c r="J294">
        <f t="shared" si="6"/>
        <v>384259</v>
      </c>
    </row>
    <row r="295" spans="2:10" x14ac:dyDescent="0.25">
      <c r="B295">
        <v>287</v>
      </c>
      <c r="C295" t="s">
        <v>476</v>
      </c>
      <c r="D295">
        <v>52251</v>
      </c>
      <c r="E295">
        <v>30836</v>
      </c>
      <c r="F295">
        <v>59982</v>
      </c>
      <c r="G295">
        <v>68569</v>
      </c>
      <c r="H295">
        <v>66490</v>
      </c>
      <c r="I295">
        <v>67279</v>
      </c>
      <c r="J295">
        <f t="shared" si="6"/>
        <v>52251</v>
      </c>
    </row>
    <row r="296" spans="2:10" x14ac:dyDescent="0.25">
      <c r="B296">
        <v>288</v>
      </c>
      <c r="C296" t="s">
        <v>477</v>
      </c>
      <c r="D296">
        <v>77752</v>
      </c>
      <c r="E296">
        <v>68627</v>
      </c>
      <c r="F296">
        <v>89101</v>
      </c>
      <c r="G296">
        <v>102333</v>
      </c>
      <c r="H296">
        <v>81633</v>
      </c>
      <c r="I296">
        <v>83587</v>
      </c>
      <c r="J296">
        <f t="shared" si="6"/>
        <v>77752</v>
      </c>
    </row>
    <row r="297" spans="2:10" x14ac:dyDescent="0.25">
      <c r="B297">
        <v>289</v>
      </c>
      <c r="C297" t="s">
        <v>478</v>
      </c>
      <c r="D297">
        <v>371276</v>
      </c>
      <c r="E297">
        <v>357499</v>
      </c>
      <c r="F297">
        <v>440991</v>
      </c>
      <c r="G297">
        <v>523669</v>
      </c>
      <c r="H297">
        <v>541207</v>
      </c>
      <c r="I297">
        <v>551804</v>
      </c>
      <c r="J297">
        <f t="shared" si="6"/>
        <v>371276</v>
      </c>
    </row>
    <row r="298" spans="2:10" x14ac:dyDescent="0.25">
      <c r="B298">
        <v>290</v>
      </c>
      <c r="C298" t="s">
        <v>479</v>
      </c>
      <c r="D298">
        <v>263473</v>
      </c>
      <c r="E298">
        <v>289896</v>
      </c>
      <c r="F298">
        <v>308310</v>
      </c>
      <c r="G298">
        <v>334967</v>
      </c>
      <c r="H298">
        <v>342600</v>
      </c>
      <c r="I298">
        <v>350863</v>
      </c>
      <c r="J298">
        <f t="shared" si="6"/>
        <v>289896</v>
      </c>
    </row>
    <row r="299" spans="2:10" x14ac:dyDescent="0.25">
      <c r="B299">
        <v>291</v>
      </c>
      <c r="C299" t="s">
        <v>480</v>
      </c>
      <c r="D299">
        <v>244474</v>
      </c>
      <c r="E299">
        <v>251900</v>
      </c>
      <c r="F299">
        <v>281252</v>
      </c>
      <c r="G299">
        <v>295273</v>
      </c>
      <c r="H299">
        <v>301206</v>
      </c>
      <c r="I299">
        <v>308464</v>
      </c>
      <c r="J299">
        <f t="shared" si="6"/>
        <v>251900</v>
      </c>
    </row>
    <row r="300" spans="2:10" x14ac:dyDescent="0.25">
      <c r="B300">
        <v>292</v>
      </c>
      <c r="C300" t="s">
        <v>481</v>
      </c>
      <c r="D300">
        <v>151330</v>
      </c>
      <c r="E300">
        <v>176421</v>
      </c>
      <c r="F300">
        <v>200988</v>
      </c>
      <c r="G300">
        <v>207076</v>
      </c>
      <c r="H300">
        <v>199995</v>
      </c>
      <c r="I300">
        <v>199346</v>
      </c>
      <c r="J300">
        <f t="shared" si="6"/>
        <v>176421</v>
      </c>
    </row>
    <row r="301" spans="2:10" x14ac:dyDescent="0.25">
      <c r="B301">
        <v>293</v>
      </c>
      <c r="C301" t="s">
        <v>482</v>
      </c>
      <c r="D301">
        <v>110149</v>
      </c>
      <c r="E301">
        <v>104810</v>
      </c>
      <c r="F301">
        <v>127244</v>
      </c>
      <c r="G301">
        <v>141318</v>
      </c>
      <c r="H301">
        <v>152258</v>
      </c>
      <c r="I301">
        <v>157624</v>
      </c>
      <c r="J301">
        <f t="shared" si="6"/>
        <v>110149</v>
      </c>
    </row>
    <row r="302" spans="2:10" x14ac:dyDescent="0.25">
      <c r="B302">
        <v>294</v>
      </c>
      <c r="C302" t="s">
        <v>483</v>
      </c>
      <c r="D302">
        <v>119815</v>
      </c>
      <c r="E302">
        <v>114627</v>
      </c>
      <c r="F302">
        <v>137366</v>
      </c>
      <c r="G302">
        <v>171607</v>
      </c>
      <c r="H302">
        <v>153445</v>
      </c>
      <c r="I302">
        <v>149847</v>
      </c>
      <c r="J302">
        <f t="shared" si="6"/>
        <v>119815</v>
      </c>
    </row>
    <row r="303" spans="2:10" x14ac:dyDescent="0.25">
      <c r="B303">
        <v>295</v>
      </c>
      <c r="C303" t="s">
        <v>484</v>
      </c>
      <c r="D303">
        <v>145700</v>
      </c>
      <c r="E303">
        <v>101372</v>
      </c>
      <c r="F303">
        <v>168430</v>
      </c>
      <c r="G303">
        <v>168989</v>
      </c>
      <c r="H303">
        <v>175054</v>
      </c>
      <c r="I303">
        <v>181336</v>
      </c>
      <c r="J303">
        <f t="shared" si="6"/>
        <v>145700</v>
      </c>
    </row>
    <row r="304" spans="2:10" x14ac:dyDescent="0.25">
      <c r="B304">
        <v>296</v>
      </c>
      <c r="C304" t="s">
        <v>485</v>
      </c>
      <c r="D304">
        <v>359200</v>
      </c>
      <c r="E304">
        <v>456779</v>
      </c>
      <c r="F304">
        <v>538276</v>
      </c>
      <c r="G304">
        <v>579979</v>
      </c>
      <c r="H304">
        <v>623551</v>
      </c>
      <c r="I304">
        <v>668146</v>
      </c>
      <c r="J304">
        <f t="shared" si="6"/>
        <v>456779</v>
      </c>
    </row>
    <row r="305" spans="2:10" x14ac:dyDescent="0.25">
      <c r="B305">
        <v>297</v>
      </c>
      <c r="C305" t="s">
        <v>486</v>
      </c>
      <c r="D305">
        <v>67646</v>
      </c>
      <c r="E305">
        <v>63786</v>
      </c>
      <c r="F305">
        <v>81165</v>
      </c>
      <c r="G305">
        <v>80856</v>
      </c>
      <c r="H305">
        <v>77958</v>
      </c>
      <c r="I305">
        <v>76386</v>
      </c>
      <c r="J305">
        <f t="shared" si="6"/>
        <v>67646</v>
      </c>
    </row>
    <row r="306" spans="2:10" x14ac:dyDescent="0.25">
      <c r="B306">
        <v>298</v>
      </c>
      <c r="C306" t="s">
        <v>487</v>
      </c>
      <c r="D306">
        <v>35628</v>
      </c>
      <c r="E306">
        <v>28974</v>
      </c>
      <c r="F306">
        <v>38234</v>
      </c>
      <c r="G306">
        <v>34468</v>
      </c>
      <c r="H306">
        <v>34082</v>
      </c>
      <c r="I306">
        <v>34486</v>
      </c>
      <c r="J306">
        <f t="shared" si="6"/>
        <v>35628</v>
      </c>
    </row>
    <row r="307" spans="2:10" x14ac:dyDescent="0.25">
      <c r="B307">
        <v>299</v>
      </c>
      <c r="C307" t="s">
        <v>488</v>
      </c>
      <c r="D307">
        <v>42656</v>
      </c>
      <c r="E307">
        <v>47583</v>
      </c>
      <c r="F307">
        <v>58678</v>
      </c>
      <c r="G307">
        <v>52650</v>
      </c>
      <c r="H307">
        <v>52231</v>
      </c>
      <c r="I307">
        <v>51007</v>
      </c>
      <c r="J307">
        <f t="shared" si="6"/>
        <v>47583</v>
      </c>
    </row>
    <row r="308" spans="2:10" x14ac:dyDescent="0.25">
      <c r="B308">
        <v>300</v>
      </c>
      <c r="C308" t="s">
        <v>489</v>
      </c>
      <c r="D308">
        <v>76579</v>
      </c>
      <c r="E308">
        <v>76096</v>
      </c>
      <c r="F308">
        <v>96898</v>
      </c>
      <c r="G308">
        <v>98537</v>
      </c>
      <c r="H308">
        <v>99476</v>
      </c>
      <c r="I308">
        <v>104696</v>
      </c>
      <c r="J308">
        <f t="shared" si="6"/>
        <v>76579</v>
      </c>
    </row>
    <row r="309" spans="2:10" x14ac:dyDescent="0.25">
      <c r="B309">
        <v>301</v>
      </c>
      <c r="C309" t="s">
        <v>490</v>
      </c>
      <c r="D309">
        <v>272267</v>
      </c>
      <c r="E309">
        <v>126719</v>
      </c>
      <c r="F309">
        <v>194945</v>
      </c>
      <c r="G309">
        <v>296518</v>
      </c>
      <c r="H309">
        <v>311020</v>
      </c>
      <c r="I309">
        <v>329276</v>
      </c>
      <c r="J309">
        <f t="shared" si="6"/>
        <v>272267</v>
      </c>
    </row>
    <row r="310" spans="2:10" x14ac:dyDescent="0.25">
      <c r="B310">
        <v>302</v>
      </c>
      <c r="C310" t="s">
        <v>491</v>
      </c>
      <c r="D310">
        <v>84848</v>
      </c>
      <c r="E310">
        <v>73945</v>
      </c>
      <c r="F310">
        <v>83440</v>
      </c>
      <c r="G310">
        <v>95268</v>
      </c>
      <c r="H310">
        <v>92200</v>
      </c>
      <c r="I310">
        <v>92458</v>
      </c>
      <c r="J310">
        <f t="shared" si="6"/>
        <v>84848</v>
      </c>
    </row>
    <row r="311" spans="2:10" x14ac:dyDescent="0.25">
      <c r="B311">
        <v>303</v>
      </c>
      <c r="C311" t="s">
        <v>492</v>
      </c>
      <c r="D311">
        <v>60883</v>
      </c>
      <c r="E311">
        <v>39492</v>
      </c>
      <c r="F311">
        <v>40540</v>
      </c>
      <c r="G311">
        <v>66865</v>
      </c>
      <c r="H311">
        <v>71827</v>
      </c>
      <c r="I311">
        <v>77558</v>
      </c>
      <c r="J311">
        <f t="shared" si="6"/>
        <v>60883</v>
      </c>
    </row>
    <row r="312" spans="2:10" x14ac:dyDescent="0.25">
      <c r="B312">
        <v>304</v>
      </c>
      <c r="C312" t="s">
        <v>493</v>
      </c>
      <c r="D312">
        <v>409425</v>
      </c>
      <c r="E312">
        <v>413595</v>
      </c>
      <c r="F312">
        <v>490363</v>
      </c>
      <c r="G312">
        <v>577281</v>
      </c>
      <c r="H312">
        <v>528292</v>
      </c>
      <c r="I312">
        <v>526947</v>
      </c>
      <c r="J312">
        <f t="shared" si="6"/>
        <v>413595</v>
      </c>
    </row>
    <row r="313" spans="2:10" x14ac:dyDescent="0.25">
      <c r="B313">
        <v>305</v>
      </c>
      <c r="C313" t="s">
        <v>494</v>
      </c>
      <c r="D313">
        <v>109551</v>
      </c>
      <c r="E313">
        <v>73183</v>
      </c>
      <c r="F313">
        <v>87748</v>
      </c>
      <c r="G313">
        <v>119133</v>
      </c>
      <c r="H313">
        <v>145634</v>
      </c>
      <c r="I313">
        <v>178213</v>
      </c>
      <c r="J313">
        <f t="shared" si="6"/>
        <v>109551</v>
      </c>
    </row>
    <row r="314" spans="2:10" x14ac:dyDescent="0.25">
      <c r="B314">
        <v>306</v>
      </c>
      <c r="C314" t="s">
        <v>495</v>
      </c>
      <c r="D314">
        <v>61593</v>
      </c>
      <c r="E314">
        <v>59335</v>
      </c>
      <c r="F314">
        <v>64009</v>
      </c>
      <c r="G314">
        <v>69606</v>
      </c>
      <c r="H314">
        <v>71395</v>
      </c>
      <c r="I314">
        <v>73211</v>
      </c>
      <c r="J314">
        <f t="shared" si="6"/>
        <v>61593</v>
      </c>
    </row>
    <row r="315" spans="2:10" x14ac:dyDescent="0.25">
      <c r="B315">
        <v>307</v>
      </c>
      <c r="C315" t="s">
        <v>496</v>
      </c>
      <c r="D315">
        <v>154020</v>
      </c>
      <c r="E315">
        <v>158192</v>
      </c>
      <c r="F315">
        <v>202499</v>
      </c>
      <c r="G315">
        <v>237260</v>
      </c>
      <c r="H315">
        <v>197514</v>
      </c>
      <c r="I315">
        <v>200945</v>
      </c>
      <c r="J315">
        <f t="shared" si="6"/>
        <v>158192</v>
      </c>
    </row>
    <row r="316" spans="2:10" x14ac:dyDescent="0.25">
      <c r="B316">
        <v>308</v>
      </c>
      <c r="C316" t="s">
        <v>497</v>
      </c>
      <c r="D316">
        <v>110493</v>
      </c>
      <c r="E316">
        <v>129269</v>
      </c>
      <c r="F316">
        <v>152760</v>
      </c>
      <c r="G316">
        <v>159145</v>
      </c>
      <c r="H316">
        <v>152666</v>
      </c>
      <c r="I316">
        <v>153965</v>
      </c>
      <c r="J316">
        <f t="shared" si="6"/>
        <v>129269</v>
      </c>
    </row>
    <row r="317" spans="2:10" x14ac:dyDescent="0.25">
      <c r="B317">
        <v>309</v>
      </c>
      <c r="C317" t="s">
        <v>498</v>
      </c>
      <c r="D317">
        <v>134932</v>
      </c>
      <c r="E317">
        <v>137488</v>
      </c>
      <c r="F317">
        <v>158910</v>
      </c>
      <c r="G317">
        <v>178492</v>
      </c>
      <c r="H317">
        <v>180620</v>
      </c>
      <c r="I317">
        <v>188619</v>
      </c>
      <c r="J317">
        <f t="shared" si="6"/>
        <v>137488</v>
      </c>
    </row>
    <row r="318" spans="2:10" x14ac:dyDescent="0.25">
      <c r="B318">
        <v>310</v>
      </c>
      <c r="C318" t="s">
        <v>499</v>
      </c>
      <c r="D318">
        <v>24310</v>
      </c>
      <c r="E318">
        <v>22841</v>
      </c>
      <c r="F318">
        <v>22910</v>
      </c>
      <c r="G318">
        <v>23843</v>
      </c>
      <c r="H318">
        <v>23465</v>
      </c>
      <c r="I318">
        <v>23066</v>
      </c>
      <c r="J318">
        <f t="shared" si="6"/>
        <v>24310</v>
      </c>
    </row>
    <row r="319" spans="2:10" x14ac:dyDescent="0.25">
      <c r="B319">
        <v>311</v>
      </c>
      <c r="C319" t="s">
        <v>500</v>
      </c>
      <c r="D319">
        <v>27195</v>
      </c>
      <c r="E319">
        <v>24942</v>
      </c>
      <c r="F319">
        <v>26877</v>
      </c>
      <c r="G319">
        <v>28384</v>
      </c>
      <c r="H319">
        <v>29074</v>
      </c>
      <c r="I319">
        <v>29260</v>
      </c>
      <c r="J319">
        <f t="shared" si="6"/>
        <v>27195</v>
      </c>
    </row>
    <row r="320" spans="2:10" x14ac:dyDescent="0.25">
      <c r="B320">
        <v>312</v>
      </c>
      <c r="C320" t="s">
        <v>501</v>
      </c>
      <c r="D320">
        <v>35750</v>
      </c>
      <c r="E320">
        <v>34921</v>
      </c>
      <c r="F320">
        <v>36289</v>
      </c>
      <c r="G320">
        <v>38240</v>
      </c>
      <c r="H320">
        <v>38033</v>
      </c>
      <c r="I320">
        <v>40219</v>
      </c>
      <c r="J320">
        <f t="shared" si="6"/>
        <v>35750</v>
      </c>
    </row>
    <row r="321" spans="2:10" x14ac:dyDescent="0.25">
      <c r="B321">
        <v>313</v>
      </c>
      <c r="C321" t="s">
        <v>502</v>
      </c>
      <c r="D321">
        <v>9799</v>
      </c>
      <c r="E321">
        <v>9567</v>
      </c>
      <c r="F321">
        <v>9499</v>
      </c>
      <c r="G321">
        <v>9254</v>
      </c>
      <c r="H321">
        <v>9275</v>
      </c>
      <c r="I321">
        <v>9634</v>
      </c>
      <c r="J321">
        <f t="shared" si="6"/>
        <v>9799</v>
      </c>
    </row>
    <row r="322" spans="2:10" x14ac:dyDescent="0.25">
      <c r="B322">
        <v>314</v>
      </c>
      <c r="C322" t="s">
        <v>503</v>
      </c>
      <c r="D322">
        <v>321407</v>
      </c>
      <c r="E322">
        <v>352911</v>
      </c>
      <c r="F322">
        <v>402983</v>
      </c>
      <c r="G322">
        <v>453369</v>
      </c>
      <c r="H322">
        <v>496096</v>
      </c>
      <c r="I322">
        <v>549438</v>
      </c>
      <c r="J322">
        <f t="shared" si="6"/>
        <v>352911</v>
      </c>
    </row>
    <row r="323" spans="2:10" x14ac:dyDescent="0.25">
      <c r="B323">
        <v>315</v>
      </c>
      <c r="C323" t="s">
        <v>504</v>
      </c>
      <c r="D323">
        <v>144849</v>
      </c>
      <c r="E323">
        <v>124244</v>
      </c>
      <c r="F323">
        <v>141936</v>
      </c>
      <c r="G323">
        <v>165528</v>
      </c>
      <c r="H323">
        <v>171314</v>
      </c>
      <c r="I323">
        <v>175273</v>
      </c>
      <c r="J323">
        <f t="shared" si="6"/>
        <v>144849</v>
      </c>
    </row>
    <row r="324" spans="2:10" x14ac:dyDescent="0.25">
      <c r="B324">
        <v>316</v>
      </c>
      <c r="C324" t="s">
        <v>505</v>
      </c>
      <c r="D324">
        <v>21994</v>
      </c>
      <c r="E324">
        <v>23017</v>
      </c>
      <c r="F324">
        <v>26271</v>
      </c>
      <c r="G324">
        <v>29688</v>
      </c>
      <c r="H324">
        <v>30850</v>
      </c>
      <c r="I324">
        <v>31711</v>
      </c>
      <c r="J324">
        <f t="shared" si="6"/>
        <v>23017</v>
      </c>
    </row>
    <row r="325" spans="2:10" x14ac:dyDescent="0.25">
      <c r="B325">
        <v>317</v>
      </c>
      <c r="C325" t="s">
        <v>506</v>
      </c>
      <c r="D325">
        <v>104823</v>
      </c>
      <c r="E325">
        <v>105967</v>
      </c>
      <c r="F325">
        <v>115307</v>
      </c>
      <c r="G325">
        <v>122733</v>
      </c>
      <c r="H325">
        <v>119298</v>
      </c>
      <c r="I325">
        <v>121492</v>
      </c>
      <c r="J325">
        <f t="shared" si="6"/>
        <v>105967</v>
      </c>
    </row>
    <row r="326" spans="2:10" x14ac:dyDescent="0.25">
      <c r="B326">
        <v>318</v>
      </c>
      <c r="C326" t="s">
        <v>507</v>
      </c>
      <c r="D326">
        <v>106147</v>
      </c>
      <c r="E326">
        <v>107209</v>
      </c>
      <c r="F326">
        <v>114472</v>
      </c>
      <c r="G326">
        <v>115738</v>
      </c>
      <c r="H326">
        <v>112808</v>
      </c>
      <c r="I326">
        <v>110342</v>
      </c>
      <c r="J326">
        <f t="shared" si="6"/>
        <v>107209</v>
      </c>
    </row>
    <row r="327" spans="2:10" x14ac:dyDescent="0.25">
      <c r="B327">
        <v>319</v>
      </c>
      <c r="C327" t="s">
        <v>508</v>
      </c>
      <c r="D327">
        <v>347121</v>
      </c>
      <c r="E327">
        <v>341472</v>
      </c>
      <c r="F327">
        <v>347406</v>
      </c>
      <c r="G327">
        <v>345668</v>
      </c>
      <c r="H327">
        <v>337152</v>
      </c>
      <c r="I327">
        <v>327995</v>
      </c>
      <c r="J327">
        <f t="shared" si="6"/>
        <v>347121</v>
      </c>
    </row>
    <row r="328" spans="2:10" x14ac:dyDescent="0.25">
      <c r="B328">
        <v>320</v>
      </c>
      <c r="C328" t="s">
        <v>509</v>
      </c>
      <c r="D328">
        <v>284926</v>
      </c>
      <c r="E328">
        <v>287696</v>
      </c>
      <c r="F328">
        <v>303778</v>
      </c>
      <c r="G328">
        <v>317386</v>
      </c>
      <c r="H328">
        <v>315743</v>
      </c>
      <c r="I328">
        <v>320702</v>
      </c>
      <c r="J328">
        <f t="shared" si="6"/>
        <v>287696</v>
      </c>
    </row>
    <row r="329" spans="2:10" x14ac:dyDescent="0.25">
      <c r="B329">
        <v>321</v>
      </c>
      <c r="C329" t="s">
        <v>510</v>
      </c>
      <c r="D329">
        <v>50972</v>
      </c>
      <c r="E329">
        <v>51813</v>
      </c>
      <c r="F329">
        <v>55935</v>
      </c>
      <c r="G329">
        <v>56861</v>
      </c>
      <c r="H329">
        <v>58451</v>
      </c>
      <c r="I329">
        <v>58032</v>
      </c>
      <c r="J329">
        <f t="shared" si="6"/>
        <v>51813</v>
      </c>
    </row>
    <row r="330" spans="2:10" x14ac:dyDescent="0.25">
      <c r="B330">
        <v>322</v>
      </c>
      <c r="C330" t="s">
        <v>511</v>
      </c>
      <c r="D330">
        <v>230847</v>
      </c>
      <c r="E330">
        <v>255724</v>
      </c>
      <c r="F330">
        <v>309827</v>
      </c>
      <c r="G330">
        <v>353610</v>
      </c>
      <c r="H330">
        <v>378157</v>
      </c>
      <c r="I330">
        <v>425922</v>
      </c>
      <c r="J330">
        <f t="shared" ref="J330:J393" si="7">MAX(D330:E330)</f>
        <v>255724</v>
      </c>
    </row>
    <row r="331" spans="2:10" x14ac:dyDescent="0.25">
      <c r="B331">
        <v>323</v>
      </c>
      <c r="C331" t="s">
        <v>512</v>
      </c>
      <c r="D331">
        <v>241382</v>
      </c>
      <c r="E331">
        <v>271541</v>
      </c>
      <c r="F331">
        <v>340451</v>
      </c>
      <c r="G331">
        <v>376093</v>
      </c>
      <c r="H331">
        <v>403782</v>
      </c>
      <c r="I331">
        <v>449536</v>
      </c>
      <c r="J331">
        <f t="shared" si="7"/>
        <v>271541</v>
      </c>
    </row>
    <row r="332" spans="2:10" x14ac:dyDescent="0.25">
      <c r="B332">
        <v>324</v>
      </c>
      <c r="C332" t="s">
        <v>513</v>
      </c>
      <c r="D332">
        <v>9542</v>
      </c>
      <c r="E332">
        <v>10161</v>
      </c>
      <c r="F332">
        <v>11079</v>
      </c>
      <c r="G332">
        <v>12299</v>
      </c>
      <c r="H332">
        <v>13311</v>
      </c>
      <c r="I332">
        <v>14595</v>
      </c>
      <c r="J332">
        <f t="shared" si="7"/>
        <v>10161</v>
      </c>
    </row>
    <row r="333" spans="2:10" x14ac:dyDescent="0.25">
      <c r="B333">
        <v>325</v>
      </c>
      <c r="C333" t="s">
        <v>514</v>
      </c>
      <c r="D333">
        <v>400626</v>
      </c>
      <c r="E333">
        <v>396581</v>
      </c>
      <c r="F333">
        <v>397034</v>
      </c>
      <c r="G333">
        <v>387298</v>
      </c>
      <c r="H333">
        <v>404520</v>
      </c>
      <c r="I333">
        <v>415849</v>
      </c>
      <c r="J333">
        <f t="shared" si="7"/>
        <v>400626</v>
      </c>
    </row>
    <row r="334" spans="2:10" x14ac:dyDescent="0.25">
      <c r="B334">
        <v>326</v>
      </c>
      <c r="C334" t="s">
        <v>515</v>
      </c>
      <c r="D334">
        <v>719275</v>
      </c>
      <c r="E334">
        <v>751614</v>
      </c>
      <c r="F334">
        <v>798776</v>
      </c>
      <c r="G334">
        <v>858511</v>
      </c>
      <c r="H334">
        <v>968721</v>
      </c>
      <c r="I334">
        <v>1008046</v>
      </c>
      <c r="J334">
        <f t="shared" si="7"/>
        <v>751614</v>
      </c>
    </row>
    <row r="335" spans="2:10" x14ac:dyDescent="0.25">
      <c r="B335">
        <v>327</v>
      </c>
      <c r="C335" t="s">
        <v>516</v>
      </c>
      <c r="D335">
        <v>384025</v>
      </c>
      <c r="E335">
        <v>400000</v>
      </c>
      <c r="F335">
        <v>459114</v>
      </c>
      <c r="G335">
        <v>453112</v>
      </c>
      <c r="H335">
        <v>514633</v>
      </c>
      <c r="I335">
        <v>577488</v>
      </c>
      <c r="J335">
        <f t="shared" si="7"/>
        <v>400000</v>
      </c>
    </row>
    <row r="336" spans="2:10" x14ac:dyDescent="0.25">
      <c r="B336">
        <v>328</v>
      </c>
      <c r="C336" t="s">
        <v>517</v>
      </c>
      <c r="D336">
        <v>223969</v>
      </c>
      <c r="E336">
        <v>231959</v>
      </c>
      <c r="F336">
        <v>262137</v>
      </c>
      <c r="G336">
        <v>267570</v>
      </c>
      <c r="H336">
        <v>313422</v>
      </c>
      <c r="I336">
        <v>355168</v>
      </c>
      <c r="J336">
        <f t="shared" si="7"/>
        <v>231959</v>
      </c>
    </row>
    <row r="337" spans="2:10" x14ac:dyDescent="0.25">
      <c r="B337">
        <v>329</v>
      </c>
      <c r="C337" t="s">
        <v>518</v>
      </c>
      <c r="D337">
        <v>92382</v>
      </c>
      <c r="E337">
        <v>90585</v>
      </c>
      <c r="F337">
        <v>98756</v>
      </c>
      <c r="G337">
        <v>108603</v>
      </c>
      <c r="H337">
        <v>118218</v>
      </c>
      <c r="I337">
        <v>126350</v>
      </c>
      <c r="J337">
        <f t="shared" si="7"/>
        <v>92382</v>
      </c>
    </row>
    <row r="338" spans="2:10" x14ac:dyDescent="0.25">
      <c r="B338">
        <v>330</v>
      </c>
      <c r="C338" t="s">
        <v>519</v>
      </c>
      <c r="D338">
        <v>639697</v>
      </c>
      <c r="E338">
        <v>669140</v>
      </c>
      <c r="F338">
        <v>673898</v>
      </c>
      <c r="G338">
        <v>729514</v>
      </c>
      <c r="H338">
        <v>757204</v>
      </c>
      <c r="I338">
        <v>800638</v>
      </c>
      <c r="J338">
        <f t="shared" si="7"/>
        <v>669140</v>
      </c>
    </row>
    <row r="339" spans="2:10" x14ac:dyDescent="0.25">
      <c r="B339">
        <v>331</v>
      </c>
      <c r="C339" t="s">
        <v>520</v>
      </c>
      <c r="D339">
        <v>400559</v>
      </c>
      <c r="E339">
        <v>426360</v>
      </c>
      <c r="F339">
        <v>458293</v>
      </c>
      <c r="G339">
        <v>493391</v>
      </c>
      <c r="H339">
        <v>545811</v>
      </c>
      <c r="I339">
        <v>609011</v>
      </c>
      <c r="J339">
        <f t="shared" si="7"/>
        <v>426360</v>
      </c>
    </row>
    <row r="340" spans="2:10" x14ac:dyDescent="0.25">
      <c r="B340">
        <v>332</v>
      </c>
      <c r="C340" t="s">
        <v>521</v>
      </c>
      <c r="D340">
        <v>147388</v>
      </c>
      <c r="E340">
        <v>155935</v>
      </c>
      <c r="F340">
        <v>180754</v>
      </c>
      <c r="G340">
        <v>184989</v>
      </c>
      <c r="H340">
        <v>222201</v>
      </c>
      <c r="I340">
        <v>264739</v>
      </c>
      <c r="J340">
        <f t="shared" si="7"/>
        <v>155935</v>
      </c>
    </row>
    <row r="341" spans="2:10" x14ac:dyDescent="0.25">
      <c r="B341">
        <v>333</v>
      </c>
      <c r="C341" t="s">
        <v>522</v>
      </c>
      <c r="D341">
        <v>1686609</v>
      </c>
      <c r="E341">
        <v>1791869</v>
      </c>
      <c r="F341">
        <v>1891534</v>
      </c>
      <c r="G341">
        <v>2053193</v>
      </c>
      <c r="H341">
        <v>2247727</v>
      </c>
      <c r="I341">
        <v>2402445</v>
      </c>
      <c r="J341">
        <f t="shared" si="7"/>
        <v>1791869</v>
      </c>
    </row>
    <row r="342" spans="2:10" x14ac:dyDescent="0.25">
      <c r="B342">
        <v>334</v>
      </c>
      <c r="C342" t="s">
        <v>523</v>
      </c>
      <c r="D342">
        <v>532339</v>
      </c>
      <c r="E342">
        <v>551920</v>
      </c>
      <c r="F342">
        <v>584105</v>
      </c>
      <c r="G342">
        <v>641420</v>
      </c>
      <c r="H342">
        <v>713160</v>
      </c>
      <c r="I342">
        <v>761290</v>
      </c>
      <c r="J342">
        <f t="shared" si="7"/>
        <v>551920</v>
      </c>
    </row>
    <row r="343" spans="2:10" x14ac:dyDescent="0.25">
      <c r="B343">
        <v>335</v>
      </c>
      <c r="C343" t="s">
        <v>524</v>
      </c>
      <c r="D343">
        <v>1435813</v>
      </c>
      <c r="E343">
        <v>1408856</v>
      </c>
      <c r="F343">
        <v>1677736</v>
      </c>
      <c r="G343">
        <v>1842750</v>
      </c>
      <c r="H343">
        <v>1967887</v>
      </c>
      <c r="I343">
        <v>2046947</v>
      </c>
      <c r="J343">
        <f t="shared" si="7"/>
        <v>1435813</v>
      </c>
    </row>
    <row r="344" spans="2:10" x14ac:dyDescent="0.25">
      <c r="B344">
        <v>336</v>
      </c>
      <c r="C344" t="s">
        <v>525</v>
      </c>
      <c r="D344">
        <v>78854</v>
      </c>
      <c r="E344">
        <v>65175</v>
      </c>
      <c r="F344">
        <v>79828</v>
      </c>
      <c r="G344">
        <v>94957</v>
      </c>
      <c r="H344">
        <v>99900</v>
      </c>
      <c r="I344">
        <v>101557</v>
      </c>
      <c r="J344">
        <f t="shared" si="7"/>
        <v>78854</v>
      </c>
    </row>
    <row r="345" spans="2:10" x14ac:dyDescent="0.25">
      <c r="B345">
        <v>337</v>
      </c>
      <c r="C345" t="s">
        <v>526</v>
      </c>
      <c r="D345">
        <v>109840</v>
      </c>
      <c r="E345">
        <v>102928</v>
      </c>
      <c r="F345">
        <v>112144</v>
      </c>
      <c r="G345">
        <v>126732</v>
      </c>
      <c r="H345">
        <v>138799</v>
      </c>
      <c r="I345">
        <v>141457</v>
      </c>
      <c r="J345">
        <f t="shared" si="7"/>
        <v>109840</v>
      </c>
    </row>
    <row r="346" spans="2:10" x14ac:dyDescent="0.25">
      <c r="B346">
        <v>338</v>
      </c>
      <c r="C346" t="s">
        <v>527</v>
      </c>
      <c r="D346">
        <v>30969</v>
      </c>
      <c r="E346">
        <v>29358</v>
      </c>
      <c r="F346">
        <v>35168</v>
      </c>
      <c r="G346">
        <v>37353</v>
      </c>
      <c r="H346">
        <v>38241</v>
      </c>
      <c r="I346">
        <v>38280</v>
      </c>
      <c r="J346">
        <f t="shared" si="7"/>
        <v>30969</v>
      </c>
    </row>
    <row r="347" spans="2:10" x14ac:dyDescent="0.25">
      <c r="B347">
        <v>339</v>
      </c>
      <c r="C347" t="s">
        <v>528</v>
      </c>
      <c r="D347">
        <v>183413</v>
      </c>
      <c r="E347">
        <v>206091</v>
      </c>
      <c r="F347">
        <v>297668</v>
      </c>
      <c r="G347">
        <v>331498</v>
      </c>
      <c r="H347">
        <v>372935</v>
      </c>
      <c r="I347">
        <v>389050</v>
      </c>
      <c r="J347">
        <f t="shared" si="7"/>
        <v>206091</v>
      </c>
    </row>
    <row r="348" spans="2:10" x14ac:dyDescent="0.25">
      <c r="B348">
        <v>340</v>
      </c>
      <c r="C348" t="s">
        <v>529</v>
      </c>
      <c r="D348">
        <v>370979</v>
      </c>
      <c r="E348">
        <v>374800</v>
      </c>
      <c r="F348">
        <v>412603</v>
      </c>
      <c r="G348">
        <v>438131</v>
      </c>
      <c r="H348">
        <v>446201</v>
      </c>
      <c r="I348">
        <v>482885</v>
      </c>
      <c r="J348">
        <f t="shared" si="7"/>
        <v>374800</v>
      </c>
    </row>
    <row r="349" spans="2:10" x14ac:dyDescent="0.25">
      <c r="B349">
        <v>341</v>
      </c>
      <c r="C349" t="s">
        <v>530</v>
      </c>
      <c r="D349">
        <v>182428</v>
      </c>
      <c r="E349">
        <v>191992</v>
      </c>
      <c r="F349">
        <v>228013</v>
      </c>
      <c r="G349">
        <v>259379</v>
      </c>
      <c r="H349">
        <v>271953</v>
      </c>
      <c r="I349">
        <v>281141</v>
      </c>
      <c r="J349">
        <f t="shared" si="7"/>
        <v>191992</v>
      </c>
    </row>
    <row r="350" spans="2:10" x14ac:dyDescent="0.25">
      <c r="B350">
        <v>342</v>
      </c>
      <c r="C350" t="s">
        <v>531</v>
      </c>
      <c r="D350">
        <v>296670</v>
      </c>
      <c r="E350">
        <v>305292</v>
      </c>
      <c r="F350">
        <v>325868</v>
      </c>
      <c r="G350">
        <v>348834</v>
      </c>
      <c r="H350">
        <v>365656</v>
      </c>
      <c r="I350">
        <v>378412</v>
      </c>
      <c r="J350">
        <f t="shared" si="7"/>
        <v>305292</v>
      </c>
    </row>
    <row r="351" spans="2:10" x14ac:dyDescent="0.25">
      <c r="B351">
        <v>343</v>
      </c>
      <c r="C351" t="s">
        <v>532</v>
      </c>
      <c r="D351">
        <v>52734</v>
      </c>
      <c r="E351">
        <v>53948</v>
      </c>
      <c r="F351">
        <v>56760</v>
      </c>
      <c r="G351">
        <v>68627</v>
      </c>
      <c r="H351">
        <v>71977</v>
      </c>
      <c r="I351">
        <v>74688</v>
      </c>
      <c r="J351">
        <f t="shared" si="7"/>
        <v>53948</v>
      </c>
    </row>
    <row r="352" spans="2:10" x14ac:dyDescent="0.25">
      <c r="B352">
        <v>344</v>
      </c>
      <c r="C352" t="s">
        <v>533</v>
      </c>
      <c r="D352">
        <v>188125</v>
      </c>
      <c r="E352">
        <v>192614</v>
      </c>
      <c r="F352">
        <v>208196</v>
      </c>
      <c r="G352">
        <v>224480</v>
      </c>
      <c r="H352">
        <v>239947</v>
      </c>
      <c r="I352">
        <v>243033</v>
      </c>
      <c r="J352">
        <f t="shared" si="7"/>
        <v>192614</v>
      </c>
    </row>
    <row r="353" spans="2:10" x14ac:dyDescent="0.25">
      <c r="B353">
        <v>345</v>
      </c>
      <c r="C353" t="s">
        <v>534</v>
      </c>
      <c r="D353">
        <v>371137</v>
      </c>
      <c r="E353">
        <v>365492</v>
      </c>
      <c r="F353">
        <v>388030</v>
      </c>
      <c r="G353">
        <v>430489</v>
      </c>
      <c r="H353">
        <v>459576</v>
      </c>
      <c r="I353">
        <v>502889</v>
      </c>
      <c r="J353">
        <f t="shared" si="7"/>
        <v>371137</v>
      </c>
    </row>
    <row r="354" spans="2:10" x14ac:dyDescent="0.25">
      <c r="B354">
        <v>346</v>
      </c>
      <c r="C354" t="s">
        <v>535</v>
      </c>
      <c r="D354">
        <v>280450</v>
      </c>
      <c r="E354">
        <v>286223</v>
      </c>
      <c r="F354">
        <v>324961</v>
      </c>
      <c r="G354">
        <v>362064</v>
      </c>
      <c r="H354">
        <v>382683</v>
      </c>
      <c r="I354">
        <v>411001</v>
      </c>
      <c r="J354">
        <f t="shared" si="7"/>
        <v>286223</v>
      </c>
    </row>
    <row r="355" spans="2:10" x14ac:dyDescent="0.25">
      <c r="B355">
        <v>347</v>
      </c>
      <c r="C355" t="s">
        <v>536</v>
      </c>
      <c r="D355">
        <v>62481</v>
      </c>
      <c r="E355">
        <v>62062</v>
      </c>
      <c r="F355">
        <v>68593</v>
      </c>
      <c r="G355">
        <v>79477</v>
      </c>
      <c r="H355">
        <v>84063</v>
      </c>
      <c r="I355">
        <v>90414</v>
      </c>
      <c r="J355">
        <f t="shared" si="7"/>
        <v>62481</v>
      </c>
    </row>
    <row r="356" spans="2:10" x14ac:dyDescent="0.25">
      <c r="B356">
        <v>348</v>
      </c>
      <c r="C356" t="s">
        <v>537</v>
      </c>
      <c r="D356">
        <v>317587</v>
      </c>
      <c r="E356">
        <v>336788</v>
      </c>
      <c r="F356">
        <v>401288</v>
      </c>
      <c r="G356">
        <v>441502</v>
      </c>
      <c r="H356">
        <v>476022</v>
      </c>
      <c r="I356">
        <v>484104</v>
      </c>
      <c r="J356">
        <f t="shared" si="7"/>
        <v>336788</v>
      </c>
    </row>
    <row r="357" spans="2:10" x14ac:dyDescent="0.25">
      <c r="B357">
        <v>349</v>
      </c>
      <c r="C357" t="s">
        <v>538</v>
      </c>
      <c r="D357">
        <v>150382</v>
      </c>
      <c r="E357">
        <v>149917</v>
      </c>
      <c r="F357">
        <v>166264</v>
      </c>
      <c r="G357">
        <v>185575</v>
      </c>
      <c r="H357">
        <v>201443</v>
      </c>
      <c r="I357">
        <v>220452</v>
      </c>
      <c r="J357">
        <f t="shared" si="7"/>
        <v>150382</v>
      </c>
    </row>
    <row r="358" spans="2:10" x14ac:dyDescent="0.25">
      <c r="B358">
        <v>350</v>
      </c>
      <c r="C358" t="s">
        <v>539</v>
      </c>
      <c r="D358">
        <v>40243</v>
      </c>
      <c r="E358">
        <v>40601</v>
      </c>
      <c r="F358">
        <v>48469</v>
      </c>
      <c r="G358">
        <v>55201</v>
      </c>
      <c r="H358">
        <v>59421</v>
      </c>
      <c r="I358">
        <v>60874</v>
      </c>
      <c r="J358">
        <f t="shared" si="7"/>
        <v>40601</v>
      </c>
    </row>
    <row r="359" spans="2:10" x14ac:dyDescent="0.25">
      <c r="B359">
        <v>351</v>
      </c>
      <c r="C359" t="s">
        <v>540</v>
      </c>
      <c r="D359">
        <v>14605</v>
      </c>
      <c r="E359">
        <v>12308</v>
      </c>
      <c r="F359">
        <v>14018</v>
      </c>
      <c r="G359">
        <v>16817</v>
      </c>
      <c r="H359">
        <v>17983</v>
      </c>
      <c r="I359">
        <v>20000</v>
      </c>
      <c r="J359">
        <f t="shared" si="7"/>
        <v>14605</v>
      </c>
    </row>
    <row r="360" spans="2:10" x14ac:dyDescent="0.25">
      <c r="B360">
        <v>352</v>
      </c>
      <c r="C360" t="s">
        <v>541</v>
      </c>
      <c r="D360">
        <v>47771</v>
      </c>
      <c r="E360">
        <v>50359</v>
      </c>
      <c r="F360">
        <v>59989</v>
      </c>
      <c r="G360">
        <v>62981</v>
      </c>
      <c r="H360">
        <v>71660</v>
      </c>
      <c r="I360">
        <v>76582</v>
      </c>
      <c r="J360">
        <f t="shared" si="7"/>
        <v>50359</v>
      </c>
    </row>
    <row r="361" spans="2:10" x14ac:dyDescent="0.25">
      <c r="B361">
        <v>353</v>
      </c>
      <c r="C361" t="s">
        <v>542</v>
      </c>
      <c r="D361">
        <v>100247</v>
      </c>
      <c r="E361">
        <v>98400</v>
      </c>
      <c r="F361">
        <v>116780</v>
      </c>
      <c r="G361">
        <v>138402</v>
      </c>
      <c r="H361">
        <v>146798</v>
      </c>
      <c r="I361">
        <v>163023</v>
      </c>
      <c r="J361">
        <f t="shared" si="7"/>
        <v>100247</v>
      </c>
    </row>
    <row r="362" spans="2:10" x14ac:dyDescent="0.25">
      <c r="B362">
        <v>354</v>
      </c>
      <c r="C362" t="s">
        <v>543</v>
      </c>
      <c r="D362">
        <v>631717</v>
      </c>
      <c r="E362">
        <v>640074</v>
      </c>
      <c r="F362">
        <v>696548</v>
      </c>
      <c r="G362">
        <v>750417</v>
      </c>
      <c r="H362">
        <v>786533</v>
      </c>
      <c r="I362">
        <v>857963</v>
      </c>
      <c r="J362">
        <f t="shared" si="7"/>
        <v>640074</v>
      </c>
    </row>
    <row r="363" spans="2:10" x14ac:dyDescent="0.25">
      <c r="B363">
        <v>355</v>
      </c>
      <c r="C363" t="s">
        <v>544</v>
      </c>
      <c r="D363">
        <v>439173</v>
      </c>
      <c r="E363">
        <v>417988</v>
      </c>
      <c r="F363">
        <v>478922</v>
      </c>
      <c r="G363">
        <v>536762</v>
      </c>
      <c r="H363">
        <v>497035</v>
      </c>
      <c r="I363">
        <v>454789</v>
      </c>
      <c r="J363">
        <f t="shared" si="7"/>
        <v>439173</v>
      </c>
    </row>
    <row r="364" spans="2:10" x14ac:dyDescent="0.25">
      <c r="B364">
        <v>356</v>
      </c>
      <c r="C364" t="s">
        <v>545</v>
      </c>
      <c r="D364">
        <v>241807</v>
      </c>
      <c r="E364">
        <v>249356</v>
      </c>
      <c r="F364">
        <v>279172</v>
      </c>
      <c r="G364">
        <v>316146</v>
      </c>
      <c r="H364">
        <v>331474</v>
      </c>
      <c r="I364">
        <v>357845</v>
      </c>
      <c r="J364">
        <f t="shared" si="7"/>
        <v>249356</v>
      </c>
    </row>
    <row r="365" spans="2:10" x14ac:dyDescent="0.25">
      <c r="B365">
        <v>357</v>
      </c>
      <c r="C365" t="s">
        <v>546</v>
      </c>
      <c r="D365">
        <v>70520</v>
      </c>
      <c r="E365">
        <v>71037</v>
      </c>
      <c r="F365">
        <v>75565</v>
      </c>
      <c r="G365">
        <v>89797</v>
      </c>
      <c r="H365">
        <v>99076</v>
      </c>
      <c r="I365">
        <v>109702</v>
      </c>
      <c r="J365">
        <f t="shared" si="7"/>
        <v>71037</v>
      </c>
    </row>
    <row r="366" spans="2:10" x14ac:dyDescent="0.25">
      <c r="B366">
        <v>358</v>
      </c>
      <c r="C366" t="s">
        <v>547</v>
      </c>
      <c r="D366">
        <v>34720</v>
      </c>
      <c r="E366">
        <v>30421</v>
      </c>
      <c r="F366">
        <v>28681</v>
      </c>
      <c r="G366">
        <v>32528</v>
      </c>
      <c r="H366">
        <v>34945</v>
      </c>
      <c r="I366">
        <v>37068</v>
      </c>
      <c r="J366">
        <f t="shared" si="7"/>
        <v>34720</v>
      </c>
    </row>
    <row r="367" spans="2:10" x14ac:dyDescent="0.25">
      <c r="B367">
        <v>359</v>
      </c>
      <c r="C367" t="s">
        <v>548</v>
      </c>
      <c r="D367">
        <v>87089</v>
      </c>
      <c r="E367">
        <v>87115</v>
      </c>
      <c r="F367">
        <v>94691</v>
      </c>
      <c r="G367">
        <v>96310</v>
      </c>
      <c r="H367">
        <v>99455</v>
      </c>
      <c r="I367">
        <v>99658</v>
      </c>
      <c r="J367">
        <f t="shared" si="7"/>
        <v>87115</v>
      </c>
    </row>
    <row r="368" spans="2:10" x14ac:dyDescent="0.25">
      <c r="B368">
        <v>360</v>
      </c>
      <c r="C368" t="s">
        <v>549</v>
      </c>
      <c r="D368">
        <v>70239</v>
      </c>
      <c r="E368">
        <v>37037</v>
      </c>
      <c r="F368">
        <v>50262</v>
      </c>
      <c r="G368">
        <v>77834</v>
      </c>
      <c r="H368">
        <v>91044</v>
      </c>
      <c r="I368">
        <v>95287</v>
      </c>
      <c r="J368">
        <f t="shared" si="7"/>
        <v>70239</v>
      </c>
    </row>
    <row r="369" spans="2:10" x14ac:dyDescent="0.25">
      <c r="B369">
        <v>361</v>
      </c>
      <c r="C369" t="s">
        <v>550</v>
      </c>
      <c r="D369">
        <v>76148</v>
      </c>
      <c r="E369">
        <v>73174</v>
      </c>
      <c r="F369">
        <v>75242</v>
      </c>
      <c r="G369">
        <v>82145</v>
      </c>
      <c r="H369">
        <v>83786</v>
      </c>
      <c r="I369">
        <v>86455</v>
      </c>
      <c r="J369">
        <f t="shared" si="7"/>
        <v>76148</v>
      </c>
    </row>
    <row r="370" spans="2:10" x14ac:dyDescent="0.25">
      <c r="B370">
        <v>362</v>
      </c>
      <c r="C370" t="s">
        <v>551</v>
      </c>
      <c r="D370">
        <v>65468</v>
      </c>
      <c r="E370">
        <v>55582</v>
      </c>
      <c r="F370">
        <v>62820</v>
      </c>
      <c r="G370">
        <v>80374</v>
      </c>
      <c r="H370">
        <v>88837</v>
      </c>
      <c r="I370">
        <v>96800</v>
      </c>
      <c r="J370">
        <f t="shared" si="7"/>
        <v>65468</v>
      </c>
    </row>
    <row r="371" spans="2:10" x14ac:dyDescent="0.25">
      <c r="B371">
        <v>363</v>
      </c>
      <c r="C371" t="s">
        <v>552</v>
      </c>
      <c r="D371">
        <v>128247</v>
      </c>
      <c r="E371">
        <v>128477</v>
      </c>
      <c r="F371">
        <v>142163</v>
      </c>
      <c r="G371">
        <v>154696</v>
      </c>
      <c r="H371">
        <v>165554</v>
      </c>
      <c r="I371">
        <v>177538</v>
      </c>
      <c r="J371">
        <f t="shared" si="7"/>
        <v>128477</v>
      </c>
    </row>
    <row r="372" spans="2:10" x14ac:dyDescent="0.25">
      <c r="B372">
        <v>364</v>
      </c>
      <c r="C372" t="s">
        <v>553</v>
      </c>
      <c r="D372">
        <v>51649</v>
      </c>
      <c r="E372">
        <v>51993</v>
      </c>
      <c r="F372">
        <v>55403</v>
      </c>
      <c r="G372">
        <v>61457</v>
      </c>
      <c r="H372">
        <v>66760</v>
      </c>
      <c r="I372">
        <v>70755</v>
      </c>
      <c r="J372">
        <f t="shared" si="7"/>
        <v>51993</v>
      </c>
    </row>
    <row r="373" spans="2:10" x14ac:dyDescent="0.25">
      <c r="B373">
        <v>365</v>
      </c>
      <c r="C373" t="s">
        <v>554</v>
      </c>
      <c r="D373">
        <v>246999</v>
      </c>
      <c r="E373">
        <v>223482</v>
      </c>
      <c r="F373">
        <v>230660</v>
      </c>
      <c r="G373">
        <v>244908</v>
      </c>
      <c r="H373">
        <v>257280</v>
      </c>
      <c r="I373">
        <v>290574</v>
      </c>
      <c r="J373">
        <f t="shared" si="7"/>
        <v>246999</v>
      </c>
    </row>
    <row r="374" spans="2:10" x14ac:dyDescent="0.25">
      <c r="B374">
        <v>366</v>
      </c>
      <c r="C374" t="s">
        <v>555</v>
      </c>
      <c r="D374">
        <v>84513</v>
      </c>
      <c r="E374">
        <v>77933</v>
      </c>
      <c r="F374">
        <v>89205</v>
      </c>
      <c r="G374">
        <v>111476</v>
      </c>
      <c r="H374">
        <v>124594</v>
      </c>
      <c r="I374">
        <v>134428</v>
      </c>
      <c r="J374">
        <f t="shared" si="7"/>
        <v>84513</v>
      </c>
    </row>
    <row r="375" spans="2:10" x14ac:dyDescent="0.25">
      <c r="B375">
        <v>367</v>
      </c>
      <c r="C375" t="s">
        <v>556</v>
      </c>
      <c r="D375">
        <v>531224</v>
      </c>
      <c r="E375">
        <v>505085</v>
      </c>
      <c r="F375">
        <v>560958</v>
      </c>
      <c r="G375">
        <v>601553</v>
      </c>
      <c r="H375">
        <v>657584</v>
      </c>
      <c r="I375">
        <v>709535</v>
      </c>
      <c r="J375">
        <f t="shared" si="7"/>
        <v>531224</v>
      </c>
    </row>
    <row r="376" spans="2:10" x14ac:dyDescent="0.25">
      <c r="B376">
        <v>368</v>
      </c>
      <c r="C376" t="s">
        <v>557</v>
      </c>
      <c r="D376">
        <v>142506</v>
      </c>
      <c r="E376">
        <v>119222</v>
      </c>
      <c r="F376">
        <v>146099</v>
      </c>
      <c r="G376">
        <v>162499</v>
      </c>
      <c r="H376">
        <v>173357</v>
      </c>
      <c r="I376">
        <v>186253</v>
      </c>
      <c r="J376">
        <f t="shared" si="7"/>
        <v>142506</v>
      </c>
    </row>
    <row r="377" spans="2:10" x14ac:dyDescent="0.25">
      <c r="B377">
        <v>369</v>
      </c>
      <c r="C377" t="s">
        <v>558</v>
      </c>
      <c r="D377">
        <v>118316</v>
      </c>
      <c r="E377">
        <v>111398</v>
      </c>
      <c r="F377">
        <v>128492</v>
      </c>
      <c r="G377">
        <v>142929</v>
      </c>
      <c r="H377">
        <v>166486</v>
      </c>
      <c r="I377">
        <v>189447</v>
      </c>
      <c r="J377">
        <f t="shared" si="7"/>
        <v>118316</v>
      </c>
    </row>
    <row r="378" spans="2:10" x14ac:dyDescent="0.25">
      <c r="B378">
        <v>370</v>
      </c>
      <c r="C378" t="s">
        <v>559</v>
      </c>
      <c r="D378">
        <v>180343</v>
      </c>
      <c r="E378">
        <v>178675</v>
      </c>
      <c r="F378">
        <v>196470</v>
      </c>
      <c r="G378">
        <v>214238</v>
      </c>
      <c r="H378">
        <v>233464</v>
      </c>
      <c r="I378">
        <v>255195</v>
      </c>
      <c r="J378">
        <f t="shared" si="7"/>
        <v>180343</v>
      </c>
    </row>
    <row r="379" spans="2:10" x14ac:dyDescent="0.25">
      <c r="B379">
        <v>371</v>
      </c>
      <c r="C379" t="s">
        <v>560</v>
      </c>
      <c r="D379">
        <v>57518</v>
      </c>
      <c r="E379">
        <v>61043</v>
      </c>
      <c r="F379">
        <v>71505</v>
      </c>
      <c r="G379">
        <v>71535</v>
      </c>
      <c r="H379">
        <v>70963</v>
      </c>
      <c r="I379">
        <v>74455</v>
      </c>
      <c r="J379">
        <f t="shared" si="7"/>
        <v>61043</v>
      </c>
    </row>
    <row r="380" spans="2:10" x14ac:dyDescent="0.25">
      <c r="B380">
        <v>372</v>
      </c>
      <c r="C380" t="s">
        <v>561</v>
      </c>
      <c r="D380">
        <v>97474</v>
      </c>
      <c r="E380">
        <v>97468</v>
      </c>
      <c r="F380">
        <v>103783</v>
      </c>
      <c r="G380">
        <v>114298</v>
      </c>
      <c r="H380">
        <v>131310</v>
      </c>
      <c r="I380">
        <v>152470</v>
      </c>
      <c r="J380">
        <f t="shared" si="7"/>
        <v>97474</v>
      </c>
    </row>
    <row r="381" spans="2:10" x14ac:dyDescent="0.25">
      <c r="B381">
        <v>373</v>
      </c>
      <c r="C381" t="s">
        <v>562</v>
      </c>
      <c r="D381">
        <v>34916</v>
      </c>
      <c r="E381">
        <v>36276</v>
      </c>
      <c r="F381">
        <v>40626</v>
      </c>
      <c r="G381">
        <v>46712</v>
      </c>
      <c r="H381">
        <v>49321</v>
      </c>
      <c r="I381">
        <v>58595</v>
      </c>
      <c r="J381">
        <f t="shared" si="7"/>
        <v>36276</v>
      </c>
    </row>
    <row r="382" spans="2:10" x14ac:dyDescent="0.25">
      <c r="B382">
        <v>374</v>
      </c>
      <c r="C382" t="s">
        <v>563</v>
      </c>
      <c r="D382">
        <v>931191</v>
      </c>
      <c r="E382">
        <v>920193</v>
      </c>
      <c r="F382">
        <v>1010074</v>
      </c>
      <c r="G382">
        <v>1085581</v>
      </c>
      <c r="H382">
        <v>1160822</v>
      </c>
      <c r="I382">
        <v>1260793</v>
      </c>
      <c r="J382">
        <f t="shared" si="7"/>
        <v>931191</v>
      </c>
    </row>
    <row r="383" spans="2:10" x14ac:dyDescent="0.25">
      <c r="B383">
        <v>375</v>
      </c>
      <c r="C383" t="s">
        <v>564</v>
      </c>
      <c r="D383">
        <v>201970</v>
      </c>
      <c r="E383">
        <v>197115</v>
      </c>
      <c r="F383">
        <v>200608</v>
      </c>
      <c r="G383">
        <v>216758</v>
      </c>
      <c r="H383">
        <v>240573</v>
      </c>
      <c r="I383">
        <v>265155</v>
      </c>
      <c r="J383">
        <f t="shared" si="7"/>
        <v>201970</v>
      </c>
    </row>
    <row r="384" spans="2:10" x14ac:dyDescent="0.25">
      <c r="B384">
        <v>376</v>
      </c>
      <c r="C384" t="s">
        <v>565</v>
      </c>
      <c r="D384">
        <v>59283</v>
      </c>
      <c r="E384">
        <v>60623</v>
      </c>
      <c r="F384">
        <v>63721</v>
      </c>
      <c r="G384">
        <v>70122</v>
      </c>
      <c r="H384">
        <v>76306</v>
      </c>
      <c r="I384">
        <v>81862</v>
      </c>
      <c r="J384">
        <f t="shared" si="7"/>
        <v>60623</v>
      </c>
    </row>
    <row r="385" spans="2:10" x14ac:dyDescent="0.25">
      <c r="B385">
        <v>377</v>
      </c>
      <c r="C385" t="s">
        <v>566</v>
      </c>
      <c r="D385">
        <v>129673</v>
      </c>
      <c r="E385">
        <v>137196</v>
      </c>
      <c r="F385">
        <v>151535</v>
      </c>
      <c r="G385">
        <v>167876</v>
      </c>
      <c r="H385">
        <v>185390</v>
      </c>
      <c r="I385">
        <v>197760</v>
      </c>
      <c r="J385">
        <f t="shared" si="7"/>
        <v>137196</v>
      </c>
    </row>
    <row r="386" spans="2:10" x14ac:dyDescent="0.25">
      <c r="B386">
        <v>378</v>
      </c>
      <c r="C386" t="s">
        <v>567</v>
      </c>
      <c r="D386">
        <v>61919</v>
      </c>
      <c r="E386">
        <v>56507</v>
      </c>
      <c r="F386">
        <v>64341</v>
      </c>
      <c r="G386">
        <v>72558</v>
      </c>
      <c r="H386">
        <v>79882</v>
      </c>
      <c r="I386">
        <v>84581</v>
      </c>
      <c r="J386">
        <f t="shared" si="7"/>
        <v>61919</v>
      </c>
    </row>
    <row r="387" spans="2:10" x14ac:dyDescent="0.25">
      <c r="B387">
        <v>379</v>
      </c>
      <c r="C387" t="s">
        <v>568</v>
      </c>
      <c r="D387">
        <v>56260</v>
      </c>
      <c r="E387">
        <v>59981</v>
      </c>
      <c r="F387">
        <v>62779</v>
      </c>
      <c r="G387">
        <v>62979</v>
      </c>
      <c r="H387">
        <v>68748</v>
      </c>
      <c r="I387">
        <v>72091</v>
      </c>
      <c r="J387">
        <f t="shared" si="7"/>
        <v>59981</v>
      </c>
    </row>
    <row r="388" spans="2:10" x14ac:dyDescent="0.25">
      <c r="B388">
        <v>380</v>
      </c>
      <c r="C388" t="s">
        <v>569</v>
      </c>
      <c r="D388">
        <v>30343</v>
      </c>
      <c r="E388">
        <v>21844</v>
      </c>
      <c r="F388">
        <v>22640</v>
      </c>
      <c r="G388">
        <v>30774</v>
      </c>
      <c r="H388">
        <v>37310</v>
      </c>
      <c r="I388">
        <v>39438</v>
      </c>
      <c r="J388">
        <f t="shared" si="7"/>
        <v>30343</v>
      </c>
    </row>
    <row r="389" spans="2:10" x14ac:dyDescent="0.25">
      <c r="B389">
        <v>381</v>
      </c>
      <c r="C389" t="s">
        <v>570</v>
      </c>
      <c r="D389">
        <v>54236</v>
      </c>
      <c r="E389">
        <v>41366</v>
      </c>
      <c r="F389">
        <v>49887</v>
      </c>
      <c r="G389">
        <v>62284</v>
      </c>
      <c r="H389">
        <v>67842</v>
      </c>
      <c r="I389">
        <v>72032</v>
      </c>
      <c r="J389">
        <f t="shared" si="7"/>
        <v>54236</v>
      </c>
    </row>
    <row r="390" spans="2:10" x14ac:dyDescent="0.25">
      <c r="B390">
        <v>382</v>
      </c>
      <c r="C390" t="s">
        <v>571</v>
      </c>
      <c r="D390">
        <v>54864</v>
      </c>
      <c r="E390">
        <v>45923</v>
      </c>
      <c r="F390">
        <v>60373</v>
      </c>
      <c r="G390">
        <v>73223</v>
      </c>
      <c r="H390">
        <v>64331</v>
      </c>
      <c r="I390">
        <v>80522</v>
      </c>
      <c r="J390">
        <f t="shared" si="7"/>
        <v>54864</v>
      </c>
    </row>
    <row r="391" spans="2:10" x14ac:dyDescent="0.25">
      <c r="B391">
        <v>383</v>
      </c>
      <c r="C391" t="s">
        <v>572</v>
      </c>
      <c r="D391">
        <v>61588</v>
      </c>
      <c r="E391">
        <v>37926</v>
      </c>
      <c r="F391">
        <v>53233</v>
      </c>
      <c r="G391">
        <v>77396</v>
      </c>
      <c r="H391">
        <v>90796</v>
      </c>
      <c r="I391">
        <v>98282</v>
      </c>
      <c r="J391">
        <f t="shared" si="7"/>
        <v>61588</v>
      </c>
    </row>
    <row r="392" spans="2:10" x14ac:dyDescent="0.25">
      <c r="B392">
        <v>384</v>
      </c>
      <c r="C392" t="s">
        <v>573</v>
      </c>
      <c r="D392">
        <v>23354</v>
      </c>
      <c r="E392">
        <v>21099</v>
      </c>
      <c r="F392">
        <v>22541</v>
      </c>
      <c r="G392">
        <v>24813</v>
      </c>
      <c r="H392">
        <v>28124</v>
      </c>
      <c r="I392">
        <v>29328</v>
      </c>
      <c r="J392">
        <f t="shared" si="7"/>
        <v>23354</v>
      </c>
    </row>
    <row r="393" spans="2:10" x14ac:dyDescent="0.25">
      <c r="B393">
        <v>385</v>
      </c>
      <c r="C393" t="s">
        <v>574</v>
      </c>
      <c r="D393">
        <v>28559</v>
      </c>
      <c r="E393">
        <v>16453</v>
      </c>
      <c r="F393">
        <v>28651</v>
      </c>
      <c r="G393">
        <v>36461</v>
      </c>
      <c r="H393">
        <v>38569</v>
      </c>
      <c r="I393">
        <v>38539</v>
      </c>
      <c r="J393">
        <f t="shared" si="7"/>
        <v>28559</v>
      </c>
    </row>
    <row r="394" spans="2:10" x14ac:dyDescent="0.25">
      <c r="B394">
        <v>386</v>
      </c>
      <c r="C394" t="s">
        <v>575</v>
      </c>
      <c r="D394">
        <v>41164</v>
      </c>
      <c r="E394">
        <v>34704</v>
      </c>
      <c r="F394">
        <v>46518</v>
      </c>
      <c r="G394">
        <v>51090</v>
      </c>
      <c r="H394">
        <v>55905</v>
      </c>
      <c r="I394">
        <v>58161</v>
      </c>
      <c r="J394">
        <f t="shared" ref="J394:J422" si="8">MAX(D394:E394)</f>
        <v>41164</v>
      </c>
    </row>
    <row r="395" spans="2:10" x14ac:dyDescent="0.25">
      <c r="B395">
        <v>387</v>
      </c>
      <c r="C395" t="s">
        <v>576</v>
      </c>
      <c r="D395">
        <v>102601</v>
      </c>
      <c r="E395">
        <v>86241</v>
      </c>
      <c r="F395">
        <v>107034</v>
      </c>
      <c r="G395">
        <v>125209</v>
      </c>
      <c r="H395">
        <v>142921</v>
      </c>
      <c r="I395">
        <v>154520</v>
      </c>
      <c r="J395">
        <f t="shared" si="8"/>
        <v>102601</v>
      </c>
    </row>
    <row r="396" spans="2:10" x14ac:dyDescent="0.25">
      <c r="B396">
        <v>388</v>
      </c>
      <c r="C396" t="s">
        <v>577</v>
      </c>
      <c r="D396">
        <v>306476</v>
      </c>
      <c r="E396">
        <v>182727</v>
      </c>
      <c r="F396">
        <v>248229</v>
      </c>
      <c r="G396">
        <v>335899</v>
      </c>
      <c r="H396">
        <v>376933</v>
      </c>
      <c r="I396">
        <v>384400</v>
      </c>
      <c r="J396">
        <f t="shared" si="8"/>
        <v>306476</v>
      </c>
    </row>
    <row r="397" spans="2:10" x14ac:dyDescent="0.25">
      <c r="B397">
        <v>389</v>
      </c>
      <c r="C397" t="s">
        <v>578</v>
      </c>
      <c r="D397">
        <v>409878</v>
      </c>
      <c r="E397">
        <v>314008</v>
      </c>
      <c r="F397">
        <v>449867</v>
      </c>
      <c r="G397">
        <v>527272</v>
      </c>
      <c r="H397">
        <v>581879</v>
      </c>
      <c r="I397">
        <v>610266</v>
      </c>
      <c r="J397">
        <f t="shared" si="8"/>
        <v>409878</v>
      </c>
    </row>
    <row r="398" spans="2:10" x14ac:dyDescent="0.25">
      <c r="B398">
        <v>390</v>
      </c>
      <c r="C398" t="s">
        <v>579</v>
      </c>
      <c r="D398">
        <v>383517</v>
      </c>
      <c r="E398">
        <v>372288</v>
      </c>
      <c r="F398">
        <v>441037</v>
      </c>
      <c r="G398">
        <v>497772</v>
      </c>
      <c r="H398">
        <v>548993</v>
      </c>
      <c r="I398">
        <v>577136</v>
      </c>
      <c r="J398">
        <f t="shared" si="8"/>
        <v>383517</v>
      </c>
    </row>
    <row r="399" spans="2:10" x14ac:dyDescent="0.25">
      <c r="B399">
        <v>391</v>
      </c>
      <c r="C399" t="s">
        <v>580</v>
      </c>
      <c r="D399">
        <v>115625</v>
      </c>
      <c r="E399">
        <v>87958</v>
      </c>
      <c r="F399">
        <v>126495</v>
      </c>
      <c r="G399">
        <v>148362</v>
      </c>
      <c r="H399">
        <v>163948</v>
      </c>
      <c r="I399">
        <v>174570</v>
      </c>
      <c r="J399">
        <f t="shared" si="8"/>
        <v>115625</v>
      </c>
    </row>
    <row r="400" spans="2:10" x14ac:dyDescent="0.25">
      <c r="B400">
        <v>392</v>
      </c>
      <c r="C400" t="s">
        <v>581</v>
      </c>
      <c r="D400">
        <v>158909</v>
      </c>
      <c r="E400">
        <v>145658</v>
      </c>
      <c r="F400">
        <v>173313</v>
      </c>
      <c r="G400">
        <v>201671</v>
      </c>
      <c r="H400">
        <v>214837</v>
      </c>
      <c r="I400">
        <v>222830</v>
      </c>
      <c r="J400">
        <f t="shared" si="8"/>
        <v>158909</v>
      </c>
    </row>
    <row r="401" spans="2:10" x14ac:dyDescent="0.25">
      <c r="B401">
        <v>393</v>
      </c>
      <c r="C401" t="s">
        <v>582</v>
      </c>
      <c r="D401">
        <v>22507</v>
      </c>
      <c r="E401">
        <v>22248</v>
      </c>
      <c r="F401">
        <v>22398</v>
      </c>
      <c r="G401">
        <v>24101</v>
      </c>
      <c r="H401">
        <v>25919</v>
      </c>
      <c r="I401">
        <v>26448</v>
      </c>
      <c r="J401">
        <f t="shared" si="8"/>
        <v>22507</v>
      </c>
    </row>
    <row r="402" spans="2:10" x14ac:dyDescent="0.25">
      <c r="B402">
        <v>394</v>
      </c>
      <c r="C402" t="s">
        <v>583</v>
      </c>
      <c r="D402">
        <v>46859</v>
      </c>
      <c r="E402">
        <v>43937</v>
      </c>
      <c r="F402">
        <v>47421</v>
      </c>
      <c r="G402">
        <v>55722</v>
      </c>
      <c r="H402">
        <v>58233</v>
      </c>
      <c r="I402">
        <v>62196</v>
      </c>
      <c r="J402">
        <f t="shared" si="8"/>
        <v>46859</v>
      </c>
    </row>
    <row r="403" spans="2:10" x14ac:dyDescent="0.25">
      <c r="B403">
        <v>395</v>
      </c>
      <c r="C403" t="s">
        <v>584</v>
      </c>
      <c r="D403">
        <v>25024</v>
      </c>
      <c r="E403">
        <v>23863</v>
      </c>
      <c r="F403">
        <v>28009</v>
      </c>
      <c r="G403">
        <v>31068</v>
      </c>
      <c r="H403">
        <v>37243</v>
      </c>
      <c r="I403">
        <v>39064</v>
      </c>
      <c r="J403">
        <f t="shared" si="8"/>
        <v>25024</v>
      </c>
    </row>
    <row r="404" spans="2:10" x14ac:dyDescent="0.25">
      <c r="B404">
        <v>396</v>
      </c>
      <c r="C404" t="s">
        <v>585</v>
      </c>
      <c r="D404">
        <v>95717</v>
      </c>
      <c r="E404">
        <v>63090</v>
      </c>
      <c r="F404">
        <v>84073</v>
      </c>
      <c r="G404">
        <v>100077</v>
      </c>
      <c r="H404">
        <v>112370</v>
      </c>
      <c r="I404">
        <v>124412</v>
      </c>
      <c r="J404">
        <f t="shared" si="8"/>
        <v>95717</v>
      </c>
    </row>
    <row r="405" spans="2:10" x14ac:dyDescent="0.25">
      <c r="B405">
        <v>397</v>
      </c>
      <c r="C405" t="s">
        <v>586</v>
      </c>
      <c r="D405">
        <v>23292</v>
      </c>
      <c r="E405">
        <v>25257</v>
      </c>
      <c r="F405">
        <v>28450</v>
      </c>
      <c r="G405">
        <v>28107</v>
      </c>
      <c r="H405">
        <v>28018</v>
      </c>
      <c r="I405">
        <v>26472</v>
      </c>
      <c r="J405">
        <f t="shared" si="8"/>
        <v>25257</v>
      </c>
    </row>
    <row r="406" spans="2:10" x14ac:dyDescent="0.25">
      <c r="B406">
        <v>398</v>
      </c>
      <c r="C406" t="s">
        <v>587</v>
      </c>
      <c r="D406">
        <v>31739</v>
      </c>
      <c r="E406">
        <v>28935</v>
      </c>
      <c r="F406">
        <v>30976</v>
      </c>
      <c r="G406">
        <v>35146</v>
      </c>
      <c r="H406">
        <v>38189</v>
      </c>
      <c r="I406">
        <v>40354</v>
      </c>
      <c r="J406">
        <f t="shared" si="8"/>
        <v>31739</v>
      </c>
    </row>
    <row r="407" spans="2:10" x14ac:dyDescent="0.25">
      <c r="B407">
        <v>399</v>
      </c>
      <c r="C407" t="s">
        <v>588</v>
      </c>
      <c r="D407">
        <v>70387</v>
      </c>
      <c r="E407">
        <v>64064</v>
      </c>
      <c r="F407">
        <v>82704</v>
      </c>
      <c r="G407">
        <v>99189</v>
      </c>
      <c r="H407">
        <v>129211</v>
      </c>
      <c r="I407">
        <v>139743</v>
      </c>
      <c r="J407">
        <f t="shared" si="8"/>
        <v>70387</v>
      </c>
    </row>
    <row r="408" spans="2:10" x14ac:dyDescent="0.25">
      <c r="B408">
        <v>400</v>
      </c>
      <c r="C408" t="s">
        <v>589</v>
      </c>
      <c r="D408">
        <v>103258</v>
      </c>
      <c r="E408">
        <v>102731</v>
      </c>
      <c r="F408">
        <v>108654</v>
      </c>
      <c r="G408">
        <v>113651</v>
      </c>
      <c r="H408">
        <v>117212</v>
      </c>
      <c r="I408">
        <v>118995</v>
      </c>
      <c r="J408">
        <f t="shared" si="8"/>
        <v>103258</v>
      </c>
    </row>
    <row r="409" spans="2:10" x14ac:dyDescent="0.25">
      <c r="B409">
        <v>401</v>
      </c>
      <c r="C409" t="s">
        <v>590</v>
      </c>
      <c r="D409">
        <v>67464</v>
      </c>
      <c r="E409">
        <v>65054</v>
      </c>
      <c r="F409">
        <v>75567</v>
      </c>
      <c r="G409">
        <v>82518</v>
      </c>
      <c r="H409">
        <v>97496</v>
      </c>
      <c r="I409">
        <v>102641</v>
      </c>
      <c r="J409">
        <f t="shared" si="8"/>
        <v>67464</v>
      </c>
    </row>
    <row r="410" spans="2:10" x14ac:dyDescent="0.25">
      <c r="B410">
        <v>402</v>
      </c>
      <c r="C410" t="s">
        <v>591</v>
      </c>
      <c r="D410">
        <v>108637</v>
      </c>
      <c r="E410">
        <v>124954</v>
      </c>
      <c r="F410">
        <v>107201</v>
      </c>
      <c r="G410">
        <v>134364</v>
      </c>
      <c r="H410">
        <v>139513</v>
      </c>
      <c r="I410">
        <v>164911</v>
      </c>
      <c r="J410">
        <f t="shared" si="8"/>
        <v>124954</v>
      </c>
    </row>
    <row r="411" spans="2:10" x14ac:dyDescent="0.25">
      <c r="B411">
        <v>403</v>
      </c>
      <c r="C411" t="s">
        <v>592</v>
      </c>
      <c r="D411">
        <v>22967</v>
      </c>
      <c r="E411">
        <v>22456</v>
      </c>
      <c r="F411">
        <v>22026</v>
      </c>
      <c r="G411">
        <v>25126</v>
      </c>
      <c r="H411">
        <v>25500</v>
      </c>
      <c r="I411">
        <v>27382</v>
      </c>
      <c r="J411">
        <f t="shared" si="8"/>
        <v>22967</v>
      </c>
    </row>
    <row r="412" spans="2:10" x14ac:dyDescent="0.25">
      <c r="B412">
        <v>404</v>
      </c>
      <c r="C412" t="s">
        <v>593</v>
      </c>
      <c r="D412">
        <v>702344</v>
      </c>
      <c r="E412">
        <v>725989</v>
      </c>
      <c r="F412">
        <v>750515</v>
      </c>
      <c r="G412">
        <v>767269</v>
      </c>
      <c r="H412">
        <v>827977</v>
      </c>
      <c r="I412">
        <v>891867</v>
      </c>
      <c r="J412">
        <f t="shared" si="8"/>
        <v>725989</v>
      </c>
    </row>
    <row r="413" spans="2:10" x14ac:dyDescent="0.25">
      <c r="B413">
        <v>405</v>
      </c>
      <c r="C413" t="s">
        <v>594</v>
      </c>
      <c r="D413">
        <v>440949</v>
      </c>
      <c r="E413">
        <v>495826</v>
      </c>
      <c r="F413">
        <v>553149</v>
      </c>
      <c r="G413">
        <v>572678</v>
      </c>
      <c r="H413">
        <v>593306</v>
      </c>
      <c r="I413">
        <v>629608</v>
      </c>
      <c r="J413">
        <f t="shared" si="8"/>
        <v>495826</v>
      </c>
    </row>
    <row r="414" spans="2:10" x14ac:dyDescent="0.25">
      <c r="B414">
        <v>406</v>
      </c>
      <c r="C414" t="s">
        <v>595</v>
      </c>
      <c r="D414">
        <v>71079</v>
      </c>
      <c r="E414">
        <v>75470</v>
      </c>
      <c r="F414">
        <v>76485</v>
      </c>
      <c r="G414">
        <v>79333</v>
      </c>
      <c r="H414">
        <v>79414</v>
      </c>
      <c r="I414">
        <v>81469</v>
      </c>
      <c r="J414">
        <f t="shared" si="8"/>
        <v>75470</v>
      </c>
    </row>
    <row r="415" spans="2:10" x14ac:dyDescent="0.25">
      <c r="B415">
        <v>407</v>
      </c>
      <c r="C415" t="s">
        <v>596</v>
      </c>
      <c r="D415">
        <v>18709</v>
      </c>
      <c r="E415">
        <v>16723</v>
      </c>
      <c r="F415">
        <v>23818</v>
      </c>
      <c r="G415">
        <v>26646</v>
      </c>
      <c r="H415">
        <v>20718</v>
      </c>
      <c r="I415">
        <v>18283</v>
      </c>
      <c r="J415">
        <f t="shared" si="8"/>
        <v>18709</v>
      </c>
    </row>
    <row r="416" spans="2:10" x14ac:dyDescent="0.25">
      <c r="B416">
        <v>408</v>
      </c>
      <c r="C416" t="s">
        <v>597</v>
      </c>
      <c r="D416">
        <v>9113</v>
      </c>
      <c r="E416">
        <v>8341</v>
      </c>
      <c r="F416">
        <v>8778</v>
      </c>
      <c r="G416">
        <v>9154</v>
      </c>
      <c r="H416">
        <v>10203</v>
      </c>
      <c r="I416">
        <v>10927</v>
      </c>
      <c r="J416">
        <f t="shared" si="8"/>
        <v>9113</v>
      </c>
    </row>
    <row r="417" spans="2:10" x14ac:dyDescent="0.25">
      <c r="B417">
        <v>409</v>
      </c>
      <c r="C417" t="s">
        <v>651</v>
      </c>
      <c r="D417">
        <v>1120308</v>
      </c>
      <c r="E417">
        <v>1160963</v>
      </c>
      <c r="F417">
        <v>1237922</v>
      </c>
      <c r="G417">
        <v>1351740</v>
      </c>
      <c r="H417">
        <v>1406978</v>
      </c>
      <c r="I417">
        <v>1457648</v>
      </c>
      <c r="J417">
        <f t="shared" si="8"/>
        <v>1160963</v>
      </c>
    </row>
    <row r="418" spans="2:10" x14ac:dyDescent="0.25">
      <c r="B418">
        <v>410</v>
      </c>
      <c r="C418" t="s">
        <v>652</v>
      </c>
      <c r="D418">
        <v>346173</v>
      </c>
      <c r="E418">
        <v>350864</v>
      </c>
      <c r="F418">
        <v>386798</v>
      </c>
      <c r="G418">
        <v>409694</v>
      </c>
      <c r="H418">
        <v>439523</v>
      </c>
      <c r="I418">
        <v>462628</v>
      </c>
      <c r="J418">
        <f t="shared" si="8"/>
        <v>350864</v>
      </c>
    </row>
    <row r="419" spans="2:10" x14ac:dyDescent="0.25">
      <c r="B419">
        <v>411</v>
      </c>
      <c r="C419" t="s">
        <v>653</v>
      </c>
      <c r="D419">
        <v>1037371</v>
      </c>
      <c r="E419">
        <v>1084776</v>
      </c>
      <c r="F419">
        <v>1151272</v>
      </c>
      <c r="G419">
        <v>1250927</v>
      </c>
      <c r="H419">
        <v>1291171</v>
      </c>
      <c r="I419">
        <v>1376800</v>
      </c>
      <c r="J419">
        <f t="shared" si="8"/>
        <v>1084776</v>
      </c>
    </row>
    <row r="420" spans="2:10" x14ac:dyDescent="0.25">
      <c r="B420">
        <v>412</v>
      </c>
      <c r="C420" t="s">
        <v>601</v>
      </c>
      <c r="D420">
        <v>17396</v>
      </c>
      <c r="E420">
        <v>8975</v>
      </c>
      <c r="F420">
        <v>9467</v>
      </c>
      <c r="G420">
        <v>12219</v>
      </c>
      <c r="H420">
        <v>13913</v>
      </c>
      <c r="I420">
        <v>14553</v>
      </c>
      <c r="J420">
        <f t="shared" si="8"/>
        <v>17396</v>
      </c>
    </row>
    <row r="421" spans="2:10" x14ac:dyDescent="0.25">
      <c r="B421">
        <v>413</v>
      </c>
      <c r="C421" t="s">
        <v>602</v>
      </c>
      <c r="D421">
        <v>65696</v>
      </c>
      <c r="E421">
        <v>63246</v>
      </c>
      <c r="F421">
        <v>69287</v>
      </c>
      <c r="G421">
        <v>82834</v>
      </c>
      <c r="H421">
        <v>81574</v>
      </c>
      <c r="I421">
        <v>85347</v>
      </c>
      <c r="J421">
        <f t="shared" si="8"/>
        <v>65696</v>
      </c>
    </row>
    <row r="422" spans="2:10" x14ac:dyDescent="0.25">
      <c r="B422">
        <v>414</v>
      </c>
      <c r="C422" t="s">
        <v>603</v>
      </c>
      <c r="D422">
        <v>299308</v>
      </c>
      <c r="E422">
        <v>276434</v>
      </c>
      <c r="F422">
        <v>316706</v>
      </c>
      <c r="G422">
        <v>350396</v>
      </c>
      <c r="H422">
        <v>369917</v>
      </c>
      <c r="I422">
        <v>398367</v>
      </c>
      <c r="J422">
        <f t="shared" si="8"/>
        <v>299308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351E5-7D6C-4E71-B303-24EE1A274584}">
  <sheetPr>
    <tabColor theme="8" tint="-0.249977111117893"/>
  </sheetPr>
  <dimension ref="A1:AQ8"/>
  <sheetViews>
    <sheetView workbookViewId="0">
      <selection activeCell="F17" sqref="F17"/>
    </sheetView>
  </sheetViews>
  <sheetFormatPr defaultRowHeight="15" x14ac:dyDescent="0.25"/>
  <cols>
    <col min="1" max="1" width="20.140625" customWidth="1"/>
    <col min="2" max="2" width="20" bestFit="1" customWidth="1"/>
    <col min="3" max="6" width="10.140625" customWidth="1"/>
    <col min="7" max="7" width="14.28515625" customWidth="1"/>
    <col min="8" max="8" width="13.85546875" customWidth="1"/>
    <col min="9" max="16" width="10.140625" customWidth="1"/>
    <col min="17" max="17" width="13.85546875" customWidth="1"/>
    <col min="18" max="26" width="10.140625" customWidth="1"/>
    <col min="27" max="27" width="13.28515625" customWidth="1"/>
    <col min="28" max="43" width="10.140625" customWidth="1"/>
  </cols>
  <sheetData>
    <row r="1" spans="1:43" s="4" customFormat="1" x14ac:dyDescent="0.25">
      <c r="A1" s="46" t="s">
        <v>33</v>
      </c>
      <c r="B1" s="4" t="s">
        <v>2</v>
      </c>
      <c r="C1" s="47" t="s">
        <v>49</v>
      </c>
      <c r="D1" s="48" t="s">
        <v>50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7" t="s">
        <v>35</v>
      </c>
      <c r="M1" s="48" t="s">
        <v>36</v>
      </c>
      <c r="N1" s="4" t="s">
        <v>10</v>
      </c>
      <c r="O1" s="47" t="s">
        <v>604</v>
      </c>
      <c r="P1" s="48" t="s">
        <v>605</v>
      </c>
      <c r="Q1" s="47" t="s">
        <v>606</v>
      </c>
      <c r="R1" s="48" t="s">
        <v>607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7" t="s">
        <v>608</v>
      </c>
      <c r="AA1" s="49" t="s">
        <v>609</v>
      </c>
      <c r="AB1" s="48" t="s">
        <v>610</v>
      </c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  <c r="AJ1" s="4" t="s">
        <v>25</v>
      </c>
      <c r="AK1" s="4" t="s">
        <v>26</v>
      </c>
      <c r="AL1" s="4" t="s">
        <v>27</v>
      </c>
      <c r="AM1" s="4" t="s">
        <v>28</v>
      </c>
      <c r="AN1" s="4" t="s">
        <v>29</v>
      </c>
      <c r="AO1" s="4" t="s">
        <v>30</v>
      </c>
      <c r="AP1" s="4" t="s">
        <v>31</v>
      </c>
      <c r="AQ1" s="4" t="s">
        <v>32</v>
      </c>
    </row>
    <row r="2" spans="1:43" ht="15.75" thickBot="1" x14ac:dyDescent="0.3">
      <c r="A2" t="s">
        <v>737</v>
      </c>
      <c r="B2">
        <f>'2020'!L24*10^6*About!$A$27</f>
        <v>394544245368.2417</v>
      </c>
      <c r="C2" s="37">
        <f>'2020'!D7*About!$A$27</f>
        <v>25463888046.011726</v>
      </c>
      <c r="D2" s="40">
        <f>'2020'!L28*10^6*About!$A$27</f>
        <v>187266401420.34149</v>
      </c>
      <c r="E2" s="41">
        <f>('2020'!F7-'2020'!D7)*About!$A$27</f>
        <v>60318826776.774017</v>
      </c>
      <c r="F2">
        <f>'2020'!L30*10^6*About!$A$27</f>
        <v>67686544234.982292</v>
      </c>
      <c r="G2">
        <f>'2020'!L47*10^6*About!$A$27</f>
        <v>889607000923.45386</v>
      </c>
      <c r="H2">
        <f>SUM('2020'!L48:L49)*10^6*About!$A$27</f>
        <v>55872891422.698425</v>
      </c>
      <c r="I2">
        <f>'2020'!L35*10^6*About!$A$27</f>
        <v>109756880719.90759</v>
      </c>
      <c r="J2">
        <f>SUM('2020'!L50:L51)*10^6*About!$A$27</f>
        <v>225638373515.80887</v>
      </c>
      <c r="K2">
        <f>'2020'!L52*10^6*About!$A$27</f>
        <v>314140082546.72333</v>
      </c>
      <c r="L2" s="37">
        <f>'2020'!G7*About!$A$27</f>
        <v>416965624150.40704</v>
      </c>
      <c r="M2" s="37">
        <f>'2020'!H7*About!$A$27</f>
        <v>263399469798.4592</v>
      </c>
      <c r="N2">
        <f>'2020'!L54*10^6*About!$A$27</f>
        <v>208104631093.73251</v>
      </c>
      <c r="O2" s="37">
        <f>'2020'!J7*About!$A$27</f>
        <v>23574966094.9496</v>
      </c>
      <c r="P2" s="38">
        <f>'2020'!K7*About!$A$27</f>
        <v>94668902419.139847</v>
      </c>
      <c r="Q2" s="37">
        <f>(('2020'!L37*(('2020'!D83)/SUM('2020'!D83:D84)))+('2020'!D38*(('2020'!D91)/SUM('2020'!D85:D92))))*10^6*About!$A$27</f>
        <v>137606201453.2103</v>
      </c>
      <c r="R2" s="38">
        <f>'2020'!L38*((SUM('2020'!D85:D90,'2020'!D92)/SUM('2020'!D85:D92)))*10^6*About!$A$27</f>
        <v>263947361904.01678</v>
      </c>
      <c r="S2" s="7">
        <f>(('2020'!L37*('2020'!E84)/SUM('2020'!D83:D84))+('2020'!L39*(SUM('2020'!D93:D112)/SUM('2020'!D93:D140))))*10^6*About!$A$27</f>
        <v>194231348025.60452</v>
      </c>
      <c r="T2" s="7">
        <f>('2020'!L40+('2020'!L41*(SUM('2020'!D150:D160)/SUM('2020'!D150:D177))))*10^6*About!$A$27</f>
        <v>389707953293.51068</v>
      </c>
      <c r="U2" s="7">
        <f>'2020'!L41*(SUM('2020'!D161:D177)/SUM('2020'!D150:D177))*10^6*About!$A$27</f>
        <v>48082050199.385712</v>
      </c>
      <c r="V2" s="7">
        <f>'2020'!L39*(SUM('2020'!D113:D140)/SUM('2020'!D93:D140))*10^6*About!$A$27</f>
        <v>157614434246.29208</v>
      </c>
      <c r="W2">
        <f>'2020'!L42*10^6*About!$A$27</f>
        <v>511318171499.66583</v>
      </c>
      <c r="X2">
        <f>'2020'!L43*10^6*About!$A$27</f>
        <v>250919253432.04117</v>
      </c>
      <c r="Y2" s="7">
        <f>(SUM('2020'!L44:L45)+('2020'!L109*(SUM('2020'!D417:D419)/SUM('2020'!D416:D427))))*10^6*About!$A$27</f>
        <v>281591104898.94171</v>
      </c>
      <c r="Z2" s="37">
        <f>'2020'!P7*About!$A$27</f>
        <v>355164347331.42365</v>
      </c>
      <c r="AA2" s="37">
        <f>'2020'!Q7*About!$A$27</f>
        <v>68286369268.117851</v>
      </c>
      <c r="AB2" s="37">
        <f>('2020'!R7+('2020'!L94*10^6))*About!$A$27</f>
        <v>128794305729.494</v>
      </c>
      <c r="AC2">
        <f>'2020'!L32*10^6*About!$A$27</f>
        <v>1600690963204.8098</v>
      </c>
      <c r="AD2" s="7">
        <f>(SUM('2020'!L55,'2020'!L57:L60)+('2020'!L109*(SUM('2020'!D416)/SUM('2020'!D416:D427))))*10^6*About!$A$27</f>
        <v>3851257026579.2417</v>
      </c>
      <c r="AE2">
        <f>SUM('2020'!L62:L69)*10^6*About!$A$27</f>
        <v>1074485300416.1339</v>
      </c>
      <c r="AF2">
        <f>'2020'!L106*10^6*About!$A$27</f>
        <v>848948057516.87537</v>
      </c>
      <c r="AG2" s="7">
        <f>(SUM('2020'!L71:L72)+('2020'!L73*(SUM('2020'!D341:D342)/SUM('2020'!D341:D345))))*10^6*About!$A$27</f>
        <v>714673423554.30481</v>
      </c>
      <c r="AH2" s="7">
        <f>('2020'!L73*(SUM('2020'!D343:D345)/SUM('2020'!D341:D345)))*10^6*About!$A$27</f>
        <v>604106187799.15405</v>
      </c>
      <c r="AI2">
        <f>('2020'!L89+'2020'!L74)*10^6*About!$A$27</f>
        <v>965760129407.17371</v>
      </c>
      <c r="AJ2">
        <f>'2020'!L76*10^6*About!$A$27</f>
        <v>2769713873660.7026</v>
      </c>
      <c r="AK2">
        <f>'2020'!L81*10^6*About!$A$27</f>
        <v>3687007598641.48</v>
      </c>
      <c r="AL2">
        <f>SUM('2020'!L88,'2020'!L90:L91,'2020'!L93)*10^6*About!$A$27</f>
        <v>3221407562707.9224</v>
      </c>
      <c r="AM2">
        <f>'2020'!L110*10^6*About!$A$27</f>
        <v>3785837937220.5977</v>
      </c>
      <c r="AN2">
        <f>'2020'!L96*10^6*About!$A$27</f>
        <v>313512008191.30566</v>
      </c>
      <c r="AO2">
        <f>('2020'!L97+('2020'!L109*(SUM('2020'!D420:D426)/SUM('2020'!D416:D427))))*10^6*About!$A$27</f>
        <v>2674520688834.71</v>
      </c>
      <c r="AP2">
        <f>'2020'!L103*10^6*About!$A$27</f>
        <v>271061988338.98099</v>
      </c>
      <c r="AQ2">
        <f>('2020'!L109*('2020'!D427/SUM('2020'!D416:D427)))*10^6*About!$A$27</f>
        <v>19920957239.066349</v>
      </c>
    </row>
    <row r="4" spans="1:43" x14ac:dyDescent="0.25">
      <c r="B4" s="45"/>
    </row>
    <row r="5" spans="1:43" x14ac:dyDescent="0.25">
      <c r="B5" s="50"/>
      <c r="C5" s="43"/>
      <c r="O5" s="9"/>
    </row>
    <row r="6" spans="1:43" x14ac:dyDescent="0.25">
      <c r="F6" s="29"/>
      <c r="G6" s="52"/>
      <c r="H6" s="42"/>
      <c r="O6" s="29"/>
      <c r="P6" s="42"/>
      <c r="Q6" s="51"/>
    </row>
    <row r="7" spans="1:43" x14ac:dyDescent="0.25">
      <c r="O7" s="29"/>
      <c r="Z7" s="9"/>
    </row>
    <row r="8" spans="1:43" x14ac:dyDescent="0.25">
      <c r="O8" s="2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6D790-F225-4089-87C4-A4E67348D1C8}">
  <dimension ref="A1:B31"/>
  <sheetViews>
    <sheetView workbookViewId="0">
      <selection activeCell="B2" sqref="B2"/>
    </sheetView>
  </sheetViews>
  <sheetFormatPr defaultRowHeight="15" x14ac:dyDescent="0.25"/>
  <cols>
    <col min="2" max="2" width="21.28515625" customWidth="1"/>
  </cols>
  <sheetData>
    <row r="1" spans="1:2" x14ac:dyDescent="0.25">
      <c r="B1" s="54" t="s">
        <v>740</v>
      </c>
    </row>
    <row r="2" spans="1:2" x14ac:dyDescent="0.25">
      <c r="A2">
        <v>2021</v>
      </c>
      <c r="B2" s="7">
        <v>19991319900409.637</v>
      </c>
    </row>
    <row r="3" spans="1:2" x14ac:dyDescent="0.25">
      <c r="A3">
        <v>2022</v>
      </c>
      <c r="B3" s="7">
        <v>20196793945608.313</v>
      </c>
    </row>
    <row r="4" spans="1:2" x14ac:dyDescent="0.25">
      <c r="A4">
        <v>2023</v>
      </c>
      <c r="B4">
        <v>20353281072644.289</v>
      </c>
    </row>
    <row r="5" spans="1:2" x14ac:dyDescent="0.25">
      <c r="A5">
        <v>2024</v>
      </c>
      <c r="B5">
        <v>20549771783508.371</v>
      </c>
    </row>
    <row r="6" spans="1:2" x14ac:dyDescent="0.25">
      <c r="A6">
        <v>2025</v>
      </c>
      <c r="B6">
        <v>20870857005495.758</v>
      </c>
    </row>
    <row r="7" spans="1:2" x14ac:dyDescent="0.25">
      <c r="A7">
        <v>2026</v>
      </c>
      <c r="B7">
        <v>21311901045773.098</v>
      </c>
    </row>
    <row r="8" spans="1:2" x14ac:dyDescent="0.25">
      <c r="A8">
        <v>2027</v>
      </c>
      <c r="B8">
        <v>21754391118475.055</v>
      </c>
    </row>
    <row r="9" spans="1:2" x14ac:dyDescent="0.25">
      <c r="A9">
        <v>2028</v>
      </c>
      <c r="B9">
        <v>22171445791271.645</v>
      </c>
    </row>
    <row r="10" spans="1:2" x14ac:dyDescent="0.25">
      <c r="A10">
        <v>2029</v>
      </c>
      <c r="B10">
        <v>22550270469643.211</v>
      </c>
    </row>
    <row r="11" spans="1:2" x14ac:dyDescent="0.25">
      <c r="A11">
        <v>2030</v>
      </c>
      <c r="B11">
        <v>22898069352694.797</v>
      </c>
    </row>
    <row r="12" spans="1:2" x14ac:dyDescent="0.25">
      <c r="A12">
        <v>2031</v>
      </c>
      <c r="B12">
        <v>23256218156822.387</v>
      </c>
    </row>
    <row r="13" spans="1:2" x14ac:dyDescent="0.25">
      <c r="A13">
        <v>2032</v>
      </c>
      <c r="B13">
        <v>23676466485360.797</v>
      </c>
    </row>
    <row r="14" spans="1:2" x14ac:dyDescent="0.25">
      <c r="A14">
        <v>2033</v>
      </c>
      <c r="B14">
        <v>24137525299572.52</v>
      </c>
    </row>
    <row r="15" spans="1:2" x14ac:dyDescent="0.25">
      <c r="A15">
        <v>2034</v>
      </c>
      <c r="B15">
        <v>24598983569373.762</v>
      </c>
    </row>
    <row r="16" spans="1:2" x14ac:dyDescent="0.25">
      <c r="A16">
        <v>2035</v>
      </c>
      <c r="B16">
        <v>25065123470669.203</v>
      </c>
    </row>
    <row r="17" spans="1:2" x14ac:dyDescent="0.25">
      <c r="A17">
        <v>2036</v>
      </c>
      <c r="B17">
        <v>25560933012981.219</v>
      </c>
    </row>
    <row r="18" spans="1:2" x14ac:dyDescent="0.25">
      <c r="A18">
        <v>2037</v>
      </c>
      <c r="B18">
        <v>26083606011180.895</v>
      </c>
    </row>
    <row r="19" spans="1:2" x14ac:dyDescent="0.25">
      <c r="A19">
        <v>2038</v>
      </c>
      <c r="B19">
        <v>26620895127074.152</v>
      </c>
    </row>
    <row r="20" spans="1:2" x14ac:dyDescent="0.25">
      <c r="A20">
        <v>2039</v>
      </c>
      <c r="B20">
        <v>27166738606955.355</v>
      </c>
    </row>
    <row r="21" spans="1:2" x14ac:dyDescent="0.25">
      <c r="A21">
        <v>2040</v>
      </c>
      <c r="B21">
        <v>27762753836297.801</v>
      </c>
    </row>
    <row r="22" spans="1:2" x14ac:dyDescent="0.25">
      <c r="A22">
        <v>2041</v>
      </c>
      <c r="B22">
        <v>28361125861185.738</v>
      </c>
    </row>
    <row r="23" spans="1:2" x14ac:dyDescent="0.25">
      <c r="A23">
        <v>2042</v>
      </c>
      <c r="B23">
        <v>28964878565872.152</v>
      </c>
    </row>
    <row r="24" spans="1:2" x14ac:dyDescent="0.25">
      <c r="A24">
        <v>2043</v>
      </c>
      <c r="B24">
        <v>29580740796860.582</v>
      </c>
    </row>
    <row r="25" spans="1:2" x14ac:dyDescent="0.25">
      <c r="A25">
        <v>2044</v>
      </c>
      <c r="B25">
        <v>30194997212779.535</v>
      </c>
    </row>
    <row r="26" spans="1:2" x14ac:dyDescent="0.25">
      <c r="A26">
        <v>2045</v>
      </c>
      <c r="B26">
        <v>30811206972298.781</v>
      </c>
    </row>
    <row r="27" spans="1:2" x14ac:dyDescent="0.25">
      <c r="A27">
        <v>2046</v>
      </c>
      <c r="B27">
        <v>31442737889281.586</v>
      </c>
    </row>
    <row r="28" spans="1:2" x14ac:dyDescent="0.25">
      <c r="A28">
        <v>2047</v>
      </c>
      <c r="B28">
        <v>32098825402645.672</v>
      </c>
    </row>
    <row r="29" spans="1:2" x14ac:dyDescent="0.25">
      <c r="A29">
        <v>2048</v>
      </c>
      <c r="B29">
        <v>32764360063608.441</v>
      </c>
    </row>
    <row r="30" spans="1:2" x14ac:dyDescent="0.25">
      <c r="A30">
        <v>2049</v>
      </c>
      <c r="B30">
        <v>33437811955134.973</v>
      </c>
    </row>
    <row r="31" spans="1:2" x14ac:dyDescent="0.25">
      <c r="A31">
        <v>2050</v>
      </c>
      <c r="B31">
        <v>34160235230153.73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5DAF-9643-479E-B698-7380301520CF}">
  <sheetPr>
    <tabColor theme="8" tint="-0.249977111117893"/>
  </sheetPr>
  <dimension ref="A1:AQ8"/>
  <sheetViews>
    <sheetView tabSelected="1" workbookViewId="0">
      <selection activeCell="A2" sqref="A1:A2"/>
    </sheetView>
  </sheetViews>
  <sheetFormatPr defaultRowHeight="15" x14ac:dyDescent="0.25"/>
  <cols>
    <col min="1" max="1" width="20.140625" customWidth="1"/>
    <col min="2" max="2" width="20" bestFit="1" customWidth="1"/>
    <col min="3" max="6" width="10.140625" customWidth="1"/>
    <col min="7" max="7" width="14.28515625" customWidth="1"/>
    <col min="8" max="8" width="13.85546875" customWidth="1"/>
    <col min="9" max="16" width="10.140625" customWidth="1"/>
    <col min="17" max="17" width="13.85546875" customWidth="1"/>
    <col min="18" max="26" width="10.140625" customWidth="1"/>
    <col min="27" max="27" width="13.28515625" customWidth="1"/>
    <col min="28" max="43" width="10.140625" customWidth="1"/>
  </cols>
  <sheetData>
    <row r="1" spans="1:43" s="4" customFormat="1" x14ac:dyDescent="0.25">
      <c r="A1" s="46" t="s">
        <v>33</v>
      </c>
      <c r="B1" s="4" t="s">
        <v>2</v>
      </c>
      <c r="C1" s="47" t="s">
        <v>49</v>
      </c>
      <c r="D1" s="48" t="s">
        <v>50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7" t="s">
        <v>35</v>
      </c>
      <c r="M1" s="48" t="s">
        <v>36</v>
      </c>
      <c r="N1" s="4" t="s">
        <v>10</v>
      </c>
      <c r="O1" s="47" t="s">
        <v>604</v>
      </c>
      <c r="P1" s="48" t="s">
        <v>605</v>
      </c>
      <c r="Q1" s="47" t="s">
        <v>606</v>
      </c>
      <c r="R1" s="48" t="s">
        <v>607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7" t="s">
        <v>608</v>
      </c>
      <c r="AA1" s="49" t="s">
        <v>609</v>
      </c>
      <c r="AB1" s="48" t="s">
        <v>610</v>
      </c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  <c r="AJ1" s="4" t="s">
        <v>25</v>
      </c>
      <c r="AK1" s="4" t="s">
        <v>26</v>
      </c>
      <c r="AL1" s="4" t="s">
        <v>27</v>
      </c>
      <c r="AM1" s="4" t="s">
        <v>28</v>
      </c>
      <c r="AN1" s="4" t="s">
        <v>29</v>
      </c>
      <c r="AO1" s="4" t="s">
        <v>30</v>
      </c>
      <c r="AP1" s="4" t="s">
        <v>31</v>
      </c>
      <c r="AQ1" s="4" t="s">
        <v>32</v>
      </c>
    </row>
    <row r="2" spans="1:43" ht="15.75" thickBot="1" x14ac:dyDescent="0.3">
      <c r="A2" t="s">
        <v>737</v>
      </c>
      <c r="B2">
        <f>BObIC!B2*('GDP Forecast'!$B2/'GDP Forecast'!$B3)</f>
        <v>448891352695.21979</v>
      </c>
      <c r="C2" s="37">
        <f>BObIC!C2*('GDP Forecast'!$B2/'GDP Forecast'!$B3)</f>
        <v>27228375796.005306</v>
      </c>
      <c r="D2" s="40">
        <f>BObIC!D2*('GDP Forecast'!$B2/'GDP Forecast'!$B3)</f>
        <v>350442431503.64838</v>
      </c>
      <c r="E2" s="41">
        <f>BObIC!E2*('GDP Forecast'!$B2/'GDP Forecast'!$B3)</f>
        <v>70528631096.609344</v>
      </c>
      <c r="F2">
        <f>BObIC!F2*('GDP Forecast'!$B2/'GDP Forecast'!$B3)</f>
        <v>64685180770.476074</v>
      </c>
      <c r="G2">
        <f>BObIC!G2*('GDP Forecast'!$B2/'GDP Forecast'!$B3)</f>
        <v>910224582511.6814</v>
      </c>
      <c r="H2">
        <f>BObIC!H2*('GDP Forecast'!$B2/'GDP Forecast'!$B3)</f>
        <v>57969837992.600594</v>
      </c>
      <c r="I2">
        <f>BObIC!I2*('GDP Forecast'!$B2/'GDP Forecast'!$B3)</f>
        <v>136826262289.71111</v>
      </c>
      <c r="J2">
        <f>BObIC!J2*('GDP Forecast'!$B2/'GDP Forecast'!$B3)</f>
        <v>230043472697.17026</v>
      </c>
      <c r="K2">
        <f>BObIC!K2*('GDP Forecast'!$B2/'GDP Forecast'!$B3)</f>
        <v>510686428406.05322</v>
      </c>
      <c r="L2" s="37">
        <f>BObIC!L2*('GDP Forecast'!$B2/'GDP Forecast'!$B3)</f>
        <v>493434616692.49365</v>
      </c>
      <c r="M2" s="37">
        <f>BObIC!M2*('GDP Forecast'!$B2/'GDP Forecast'!$B3)</f>
        <v>255334909222.60876</v>
      </c>
      <c r="N2">
        <f>BObIC!N2*('GDP Forecast'!$B2/'GDP Forecast'!$B3)</f>
        <v>229718901989.65961</v>
      </c>
      <c r="O2" s="37">
        <f>BObIC!O2*('GDP Forecast'!$B2/'GDP Forecast'!$B3)</f>
        <v>25338862438.419579</v>
      </c>
      <c r="P2" s="38">
        <f>BObIC!P2*('GDP Forecast'!$B2/'GDP Forecast'!$B3)</f>
        <v>96594888085.744507</v>
      </c>
      <c r="Q2" s="37">
        <f>BObIC!Q2*('GDP Forecast'!$B2/'GDP Forecast'!$B3)</f>
        <v>223618810834.17773</v>
      </c>
      <c r="R2" s="38">
        <f>BObIC!R2*('GDP Forecast'!$B2/'GDP Forecast'!$B3)</f>
        <v>290455593658.25372</v>
      </c>
      <c r="S2" s="7">
        <f>BObIC!S2*('GDP Forecast'!$B2/'GDP Forecast'!$B3)</f>
        <v>207326545068.28888</v>
      </c>
      <c r="T2" s="7">
        <f>BObIC!T2*('GDP Forecast'!$B2/'GDP Forecast'!$B3)</f>
        <v>389199701617.24646</v>
      </c>
      <c r="U2" s="7">
        <f>BObIC!U2*('GDP Forecast'!$B2/'GDP Forecast'!$B3)</f>
        <v>49317130013.6147</v>
      </c>
      <c r="V2" s="7">
        <f>BObIC!V2*('GDP Forecast'!$B2/'GDP Forecast'!$B3)</f>
        <v>171004952713.82574</v>
      </c>
      <c r="W2">
        <f>BObIC!W2*('GDP Forecast'!$B2/'GDP Forecast'!$B3)</f>
        <v>561954342564.75806</v>
      </c>
      <c r="X2">
        <f>BObIC!X2*('GDP Forecast'!$B2/'GDP Forecast'!$B3)</f>
        <v>234572366290.34219</v>
      </c>
      <c r="Y2" s="7">
        <f>BObIC!Y2*('GDP Forecast'!$B2/'GDP Forecast'!$B3)</f>
        <v>294675113299.82245</v>
      </c>
      <c r="Z2" s="37">
        <f>BObIC!Z2*('GDP Forecast'!$B2/'GDP Forecast'!$B3)</f>
        <v>395723146254.9762</v>
      </c>
      <c r="AA2" s="37">
        <f>BObIC!AA2*('GDP Forecast'!$B2/'GDP Forecast'!$B3)</f>
        <v>93306830411.94455</v>
      </c>
      <c r="AB2" s="37">
        <f>BObIC!AB2*('GDP Forecast'!$B2/'GDP Forecast'!$B3)</f>
        <v>133557864270.42197</v>
      </c>
      <c r="AC2">
        <f>BObIC!AC2*('GDP Forecast'!$B2/'GDP Forecast'!$B3)</f>
        <v>1664456457310.5483</v>
      </c>
      <c r="AD2" s="7">
        <f>BObIC!AD2*('GDP Forecast'!$B2/'GDP Forecast'!$B3)</f>
        <v>4360185433985.8301</v>
      </c>
      <c r="AE2">
        <f>BObIC!AE2*('GDP Forecast'!$B2/'GDP Forecast'!$B3)</f>
        <v>1225740857571.9868</v>
      </c>
      <c r="AF2">
        <f>BObIC!AF2*('GDP Forecast'!$B2/'GDP Forecast'!$B3)</f>
        <v>1067931560317.9113</v>
      </c>
      <c r="AG2" s="7">
        <f>BObIC!AG2*('GDP Forecast'!$B2/'GDP Forecast'!$B3)</f>
        <v>740511945010.00952</v>
      </c>
      <c r="AH2" s="7">
        <f>BObIC!AH2*('GDP Forecast'!$B2/'GDP Forecast'!$B3)</f>
        <v>605571679540.54004</v>
      </c>
      <c r="AI2">
        <f>BObIC!AI2*('GDP Forecast'!$B2/'GDP Forecast'!$B3)</f>
        <v>1068059040285.7191</v>
      </c>
      <c r="AJ2">
        <f>BObIC!AJ2*('GDP Forecast'!$B2/'GDP Forecast'!$B3)</f>
        <v>2762547932906.9883</v>
      </c>
      <c r="AK2">
        <f>BObIC!AK2*('GDP Forecast'!$B2/'GDP Forecast'!$B3)</f>
        <v>3836794783735.3784</v>
      </c>
      <c r="AL2">
        <f>BObIC!AL2*('GDP Forecast'!$B2/'GDP Forecast'!$B3)</f>
        <v>3441215218103.7817</v>
      </c>
      <c r="AM2">
        <f>BObIC!AM2*('GDP Forecast'!$B2/'GDP Forecast'!$B3)</f>
        <v>3813006350795.2437</v>
      </c>
      <c r="AN2">
        <f>BObIC!AN2*('GDP Forecast'!$B2/'GDP Forecast'!$B3)</f>
        <v>313563818711.24915</v>
      </c>
      <c r="AO2">
        <f>BObIC!AO2*('GDP Forecast'!$B2/'GDP Forecast'!$B3)</f>
        <v>2763395644120.0957</v>
      </c>
      <c r="AP2">
        <f>BObIC!AP2*('GDP Forecast'!$B2/'GDP Forecast'!$B3)</f>
        <v>306920602757.26489</v>
      </c>
      <c r="AQ2">
        <f>BObIC!AQ2*('GDP Forecast'!$B2/'GDP Forecast'!$B3)</f>
        <v>21464665649.605835</v>
      </c>
    </row>
    <row r="4" spans="1:43" x14ac:dyDescent="0.25">
      <c r="B4" s="45"/>
    </row>
    <row r="5" spans="1:43" x14ac:dyDescent="0.25">
      <c r="B5" s="50"/>
      <c r="C5" s="43"/>
      <c r="O5" s="9"/>
    </row>
    <row r="6" spans="1:43" x14ac:dyDescent="0.25">
      <c r="F6" s="29"/>
      <c r="G6" s="52"/>
      <c r="H6" s="42"/>
      <c r="O6" s="29"/>
      <c r="P6" s="42"/>
      <c r="Q6" s="51"/>
    </row>
    <row r="7" spans="1:43" x14ac:dyDescent="0.25">
      <c r="O7" s="29"/>
      <c r="Z7" s="9"/>
    </row>
    <row r="8" spans="1:43" x14ac:dyDescent="0.25">
      <c r="O8" s="2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Q8"/>
  <sheetViews>
    <sheetView workbookViewId="0">
      <selection activeCell="B2" sqref="B2"/>
    </sheetView>
  </sheetViews>
  <sheetFormatPr defaultRowHeight="15" x14ac:dyDescent="0.25"/>
  <cols>
    <col min="1" max="1" width="20.140625" customWidth="1"/>
    <col min="2" max="2" width="20" bestFit="1" customWidth="1"/>
    <col min="3" max="6" width="10.140625" customWidth="1"/>
    <col min="7" max="7" width="14.28515625" customWidth="1"/>
    <col min="8" max="8" width="13.85546875" customWidth="1"/>
    <col min="9" max="16" width="10.140625" customWidth="1"/>
    <col min="17" max="17" width="13.85546875" customWidth="1"/>
    <col min="18" max="26" width="10.140625" customWidth="1"/>
    <col min="27" max="27" width="13.28515625" customWidth="1"/>
    <col min="28" max="43" width="10.140625" customWidth="1"/>
  </cols>
  <sheetData>
    <row r="1" spans="1:43" s="4" customFormat="1" x14ac:dyDescent="0.25">
      <c r="A1" s="46" t="s">
        <v>33</v>
      </c>
      <c r="B1" s="4" t="s">
        <v>2</v>
      </c>
      <c r="C1" s="47" t="s">
        <v>49</v>
      </c>
      <c r="D1" s="48" t="s">
        <v>50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7" t="s">
        <v>35</v>
      </c>
      <c r="M1" s="48" t="s">
        <v>36</v>
      </c>
      <c r="N1" s="4" t="s">
        <v>10</v>
      </c>
      <c r="O1" s="47" t="s">
        <v>604</v>
      </c>
      <c r="P1" s="48" t="s">
        <v>605</v>
      </c>
      <c r="Q1" s="47" t="s">
        <v>606</v>
      </c>
      <c r="R1" s="48" t="s">
        <v>607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7" t="s">
        <v>608</v>
      </c>
      <c r="AA1" s="49" t="s">
        <v>609</v>
      </c>
      <c r="AB1" s="48" t="s">
        <v>610</v>
      </c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  <c r="AJ1" s="4" t="s">
        <v>25</v>
      </c>
      <c r="AK1" s="4" t="s">
        <v>26</v>
      </c>
      <c r="AL1" s="4" t="s">
        <v>27</v>
      </c>
      <c r="AM1" s="4" t="s">
        <v>28</v>
      </c>
      <c r="AN1" s="4" t="s">
        <v>29</v>
      </c>
      <c r="AO1" s="4" t="s">
        <v>30</v>
      </c>
      <c r="AP1" s="4" t="s">
        <v>31</v>
      </c>
      <c r="AQ1" s="4" t="s">
        <v>32</v>
      </c>
    </row>
    <row r="2" spans="1:43" ht="15.75" thickBot="1" x14ac:dyDescent="0.3">
      <c r="A2" t="s">
        <v>737</v>
      </c>
      <c r="B2">
        <f>'2021'!M24*10^6*About!$A$24</f>
        <v>453505131202.71606</v>
      </c>
      <c r="C2" s="37">
        <f>'2021'!D7*About!$A$24</f>
        <v>27508233481.584152</v>
      </c>
      <c r="D2" s="40">
        <f>'2021'!M28*10^6*About!$A$24</f>
        <v>354044335948.62897</v>
      </c>
      <c r="E2" s="41">
        <f>('2021'!F7-'2021'!D7)*About!$A$24</f>
        <v>71253535865.576035</v>
      </c>
      <c r="F2">
        <f>'2021'!M30*10^6*About!$A$24</f>
        <v>65350025604.310432</v>
      </c>
      <c r="G2">
        <f>'2021'!M47*10^6*About!$A$24</f>
        <v>919580019168.17346</v>
      </c>
      <c r="H2">
        <f>SUM('2021'!M48:M49)*10^6*About!$A$24</f>
        <v>58565661438.535622</v>
      </c>
      <c r="I2">
        <f>'2021'!M35*10^6*About!$A$24</f>
        <v>138232584920.83994</v>
      </c>
      <c r="J2">
        <f>SUM('2021'!M50:M51)*10^6*About!$A$24</f>
        <v>232407897014.4296</v>
      </c>
      <c r="K2">
        <f>'2021'!M52*10^6*About!$A$24</f>
        <v>515935346776.39581</v>
      </c>
      <c r="L2" s="37">
        <f>'2021'!G7*About!$A$24</f>
        <v>498506218129.41467</v>
      </c>
      <c r="M2" s="37">
        <f>'2021'!H7*About!$A$24</f>
        <v>257959283047.83734</v>
      </c>
      <c r="N2">
        <f>'2021'!M54*10^6*About!$A$24</f>
        <v>232079990316.27112</v>
      </c>
      <c r="O2" s="37">
        <f>'2021'!J7*About!$A$24</f>
        <v>25599299397.65448</v>
      </c>
      <c r="P2" s="38">
        <f>'2021'!K7*About!$A$24</f>
        <v>97587706093.728302</v>
      </c>
      <c r="Q2" s="37">
        <f>(('2021'!M37*(('2021'!E83)/SUM('2021'!E83:E84)))+('2021'!M38*(('2021'!E91)/SUM('2021'!E85:E92))))*10^6*About!$A$24</f>
        <v>225917201429.37173</v>
      </c>
      <c r="R2" s="38">
        <f>'2021'!M38*((SUM('2021'!E85:E90,'2021'!E92)/SUM('2021'!E85:E92)))*10^6*About!$A$24</f>
        <v>293440943603.97302</v>
      </c>
      <c r="S2" s="7">
        <f>(('2021'!M37*('2021'!E84)/SUM('2021'!E83:E84))+('2021'!M39*(SUM('2021'!E93:E112)/SUM('2021'!E93:E140))))*10^6*About!$A$24</f>
        <v>209457481099.74991</v>
      </c>
      <c r="T2" s="7">
        <f>('2021'!M40+('2021'!M41*(SUM('2021'!E150:E160)/SUM('2021'!E150:E177))))*10^6*About!$A$24</f>
        <v>393199959603.20239</v>
      </c>
      <c r="U2" s="7">
        <f>'2021'!M41*(SUM('2021'!E161:E177)/SUM('2021'!E150:E177))*10^6*About!$A$24</f>
        <v>49824019516.257233</v>
      </c>
      <c r="V2" s="7">
        <f>'2021'!M39*(SUM('2021'!E113:E140)/SUM('2021'!E93:E140))*10^6*About!$A$24</f>
        <v>172762569497.41782</v>
      </c>
      <c r="W2">
        <f>'2021'!M42*10^6*About!$A$24</f>
        <v>567730200915.23035</v>
      </c>
      <c r="X2">
        <f>'2021'!M43*10^6*About!$A$24</f>
        <v>236983339314.31519</v>
      </c>
      <c r="Y2" s="7">
        <f>(SUM('2021'!M44:M45)+('2021'!M109*(SUM('2021'!E417:E419)/SUM('2021'!E416:E427))))*10^6*About!$A$24</f>
        <v>297703832156.34241</v>
      </c>
      <c r="Z2" s="37">
        <f>'2021'!P7*About!$A$24</f>
        <v>399790453268.46118</v>
      </c>
      <c r="AA2" s="37">
        <f>'2021'!Q7*About!$A$24</f>
        <v>94265853227.092255</v>
      </c>
      <c r="AB2" s="37">
        <f>('2021'!R7+('2021'!M94*10^6))*About!$A$24</f>
        <v>134930593773.84895</v>
      </c>
      <c r="AC2">
        <f>'2021'!M32*10^6*About!$A$24</f>
        <v>1681564012141.5652</v>
      </c>
      <c r="AD2" s="7">
        <f>(SUM('2021'!M55,'2021'!M57:M60)+('2021'!M109*(SUM('2021'!E416)/SUM('2021'!E416:E427))))*10^6*About!$A$24</f>
        <v>4405000130734.2451</v>
      </c>
      <c r="AE2">
        <f>SUM('2021'!M62:M69)*10^6*About!$A$24</f>
        <v>1238339221943.3884</v>
      </c>
      <c r="AF2">
        <f>'2021'!M106*10^6*About!$A$24</f>
        <v>1078907935003.8748</v>
      </c>
      <c r="AG2" s="7">
        <f>(SUM('2021'!M71:M72)+('2021'!M73*(SUM('2021'!E341:E342)/SUM('2021'!E341:E345))))*10^6*About!$A$24</f>
        <v>748123047509.3512</v>
      </c>
      <c r="AH2" s="7">
        <f>('2021'!M73*(SUM('2021'!E343:E345)/SUM('2021'!E341:E345)))*10^6*About!$A$24</f>
        <v>611795843991.55273</v>
      </c>
      <c r="AI2">
        <f>('2021'!M89+'2021'!M74)*10^6*About!$A$24</f>
        <v>1079036725231.5753</v>
      </c>
      <c r="AJ2">
        <f>'2021'!M76*10^6*About!$A$24</f>
        <v>2790941850950.2891</v>
      </c>
      <c r="AK2">
        <f>'2021'!M81*10^6*About!$A$24</f>
        <v>3876229986050.1157</v>
      </c>
      <c r="AL2">
        <f>SUM('2021'!M88,'2021'!M90:M91,'2021'!M93)*10^6*About!$A$24</f>
        <v>3476584589150.0898</v>
      </c>
      <c r="AM2">
        <f>'2021'!M110*10^6*About!$A$24</f>
        <v>3852197051717.9019</v>
      </c>
      <c r="AN2">
        <f>'2021'!M96*10^6*About!$A$24</f>
        <v>316786678761.48645</v>
      </c>
      <c r="AO2">
        <f>('2021'!M97+('2021'!M109*(SUM('2021'!E420:E426)/SUM('2021'!E416:E427))))*10^6*About!$A$24</f>
        <v>2791798275077.4507</v>
      </c>
      <c r="AP2">
        <f>'2021'!M103*10^6*About!$A$24</f>
        <v>310075182750.85797</v>
      </c>
      <c r="AQ2">
        <f>('2021'!M109*('2021'!E427/SUM('2021'!E416:E427)))*10^6*About!$A$24</f>
        <v>21685282982.62001</v>
      </c>
    </row>
    <row r="4" spans="1:43" x14ac:dyDescent="0.25">
      <c r="B4" s="45"/>
    </row>
    <row r="5" spans="1:43" x14ac:dyDescent="0.25">
      <c r="B5" s="50"/>
      <c r="C5" s="43"/>
      <c r="O5" s="9"/>
    </row>
    <row r="6" spans="1:43" x14ac:dyDescent="0.25">
      <c r="F6" s="29"/>
      <c r="G6" s="52"/>
      <c r="H6" s="42"/>
      <c r="O6" s="29"/>
      <c r="P6" s="42"/>
      <c r="Q6" s="51"/>
    </row>
    <row r="7" spans="1:43" x14ac:dyDescent="0.25">
      <c r="O7" s="29"/>
      <c r="Z7" s="9"/>
    </row>
    <row r="8" spans="1:43" x14ac:dyDescent="0.25">
      <c r="O8" s="2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2021</vt:lpstr>
      <vt:lpstr>2020</vt:lpstr>
      <vt:lpstr>Data</vt:lpstr>
      <vt:lpstr>SYObIC_old</vt:lpstr>
      <vt:lpstr>GDP Forecast</vt:lpstr>
      <vt:lpstr>SYObIC</vt:lpstr>
      <vt:lpstr>BObIC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cp:lastPrinted>2023-08-29T15:05:06Z</cp:lastPrinted>
  <dcterms:created xsi:type="dcterms:W3CDTF">2019-12-02T22:49:06Z</dcterms:created>
  <dcterms:modified xsi:type="dcterms:W3CDTF">2025-12-17T14:39:22Z</dcterms:modified>
</cp:coreProperties>
</file>