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isic52-staging\io-model\BObIC\"/>
    </mc:Choice>
  </mc:AlternateContent>
  <xr:revisionPtr revIDLastSave="0" documentId="11_A122D9F82BDC0A3185127929F06E248147B61FC3" xr6:coauthVersionLast="47" xr6:coauthVersionMax="47" xr10:uidLastSave="{00000000-0000-0000-0000-000000000000}"/>
  <bookViews>
    <workbookView xWindow="1170" yWindow="1170" windowWidth="43200" windowHeight="17025" xr2:uid="{00000000-000D-0000-FFFF-FFFF00000000}"/>
  </bookViews>
  <sheets>
    <sheet name="About" sheetId="1" r:id="rId1"/>
    <sheet name="2024 Data" sheetId="2" r:id="rId2"/>
    <sheet name="BLS Table 2.11" sheetId="3" r:id="rId3"/>
    <sheet name="AEO25 Table 23" sheetId="4" r:id="rId4"/>
    <sheet name="AEO 2026 Table 23 " sheetId="5" r:id="rId5"/>
    <sheet name="g2025 derivation" sheetId="6" r:id="rId6"/>
    <sheet name="Calculations" sheetId="7" r:id="rId7"/>
    <sheet name="Checks" sheetId="8" r:id="rId8"/>
    <sheet name="SYObIC" sheetId="9" r:id="rId9"/>
    <sheet name="BObIC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0" l="1"/>
  <c r="AX2" i="9"/>
  <c r="AX2" i="10" s="1"/>
  <c r="AW2" i="9"/>
  <c r="AV2" i="9"/>
  <c r="AV2" i="10" s="1"/>
  <c r="AR2" i="9"/>
  <c r="AP2" i="9"/>
  <c r="AO2" i="9"/>
  <c r="AO2" i="10" s="1"/>
  <c r="AN2" i="9"/>
  <c r="AN2" i="10" s="1"/>
  <c r="AB2" i="9"/>
  <c r="AB2" i="10" s="1"/>
  <c r="AA2" i="9"/>
  <c r="Z2" i="9"/>
  <c r="Z2" i="10" s="1"/>
  <c r="V2" i="9"/>
  <c r="V2" i="10" s="1"/>
  <c r="U2" i="9"/>
  <c r="T2" i="9"/>
  <c r="T2" i="10" s="1"/>
  <c r="S2" i="9"/>
  <c r="S2" i="10" s="1"/>
  <c r="R2" i="9"/>
  <c r="R2" i="10" s="1"/>
  <c r="F2" i="9"/>
  <c r="F2" i="10" s="1"/>
  <c r="E2" i="9"/>
  <c r="D2" i="9"/>
  <c r="D2" i="10" s="1"/>
  <c r="B4" i="8"/>
  <c r="B7" i="8" s="1"/>
  <c r="C7" i="8" s="1"/>
  <c r="BA3" i="7"/>
  <c r="BA2" i="9" s="1"/>
  <c r="BA2" i="10" s="1"/>
  <c r="AZ3" i="7"/>
  <c r="AZ2" i="9" s="1"/>
  <c r="AZ2" i="10" s="1"/>
  <c r="AY3" i="7"/>
  <c r="AY2" i="9" s="1"/>
  <c r="AX3" i="7"/>
  <c r="AW3" i="7"/>
  <c r="AV3" i="7"/>
  <c r="AU3" i="7"/>
  <c r="AU2" i="9" s="1"/>
  <c r="AU2" i="10" s="1"/>
  <c r="AT3" i="7"/>
  <c r="AT2" i="9" s="1"/>
  <c r="AT2" i="10" s="1"/>
  <c r="AS3" i="7"/>
  <c r="AS2" i="9" s="1"/>
  <c r="AS2" i="10" s="1"/>
  <c r="AR3" i="7"/>
  <c r="AQ3" i="7"/>
  <c r="AQ2" i="9" s="1"/>
  <c r="AP3" i="7"/>
  <c r="AO3" i="7"/>
  <c r="AN3" i="7"/>
  <c r="AM3" i="7"/>
  <c r="AM2" i="9" s="1"/>
  <c r="AM2" i="10" s="1"/>
  <c r="AL3" i="7"/>
  <c r="AL2" i="9" s="1"/>
  <c r="AL2" i="10" s="1"/>
  <c r="AK3" i="7"/>
  <c r="AK2" i="9" s="1"/>
  <c r="AK2" i="10" s="1"/>
  <c r="AJ3" i="7"/>
  <c r="AJ2" i="9" s="1"/>
  <c r="AI3" i="7"/>
  <c r="AI2" i="9" s="1"/>
  <c r="AH3" i="7"/>
  <c r="AH2" i="9" s="1"/>
  <c r="AG3" i="7"/>
  <c r="AG2" i="9" s="1"/>
  <c r="AG2" i="10" s="1"/>
  <c r="AF3" i="7"/>
  <c r="AF2" i="9" s="1"/>
  <c r="AF2" i="10" s="1"/>
  <c r="AE3" i="7"/>
  <c r="AE2" i="9" s="1"/>
  <c r="AE2" i="10" s="1"/>
  <c r="AD3" i="7"/>
  <c r="AD2" i="9" s="1"/>
  <c r="AD2" i="10" s="1"/>
  <c r="AC3" i="7"/>
  <c r="AC2" i="9" s="1"/>
  <c r="AC2" i="10" s="1"/>
  <c r="AB3" i="7"/>
  <c r="AA3" i="7"/>
  <c r="Z3" i="7"/>
  <c r="Y3" i="7"/>
  <c r="Y2" i="9" s="1"/>
  <c r="Y2" i="10" s="1"/>
  <c r="X3" i="7"/>
  <c r="X2" i="9" s="1"/>
  <c r="X2" i="10" s="1"/>
  <c r="W3" i="7"/>
  <c r="W2" i="9" s="1"/>
  <c r="W2" i="10" s="1"/>
  <c r="V3" i="7"/>
  <c r="U3" i="7"/>
  <c r="T3" i="7"/>
  <c r="S3" i="7"/>
  <c r="R3" i="7"/>
  <c r="Q3" i="7"/>
  <c r="Q2" i="9" s="1"/>
  <c r="Q2" i="10" s="1"/>
  <c r="P3" i="7"/>
  <c r="P2" i="9" s="1"/>
  <c r="P2" i="10" s="1"/>
  <c r="O3" i="7"/>
  <c r="O2" i="9" s="1"/>
  <c r="O2" i="10" s="1"/>
  <c r="N3" i="7"/>
  <c r="N2" i="9" s="1"/>
  <c r="M3" i="7"/>
  <c r="M2" i="9" s="1"/>
  <c r="L3" i="7"/>
  <c r="L2" i="9" s="1"/>
  <c r="K3" i="7"/>
  <c r="K2" i="9" s="1"/>
  <c r="K2" i="10" s="1"/>
  <c r="J3" i="7"/>
  <c r="J2" i="9" s="1"/>
  <c r="J2" i="10" s="1"/>
  <c r="I3" i="7"/>
  <c r="I2" i="9" s="1"/>
  <c r="I2" i="10" s="1"/>
  <c r="H3" i="7"/>
  <c r="H2" i="9" s="1"/>
  <c r="H2" i="10" s="1"/>
  <c r="G3" i="7"/>
  <c r="G2" i="9" s="1"/>
  <c r="G2" i="10" s="1"/>
  <c r="F3" i="7"/>
  <c r="E3" i="7"/>
  <c r="D3" i="7"/>
  <c r="C3" i="7"/>
  <c r="C2" i="9" s="1"/>
  <c r="C2" i="10" s="1"/>
  <c r="B3" i="7"/>
  <c r="B2" i="9" s="1"/>
  <c r="B2" i="10" s="1"/>
  <c r="AX6" i="6"/>
  <c r="AN6" i="6"/>
  <c r="AM6" i="6"/>
  <c r="AL6" i="6"/>
  <c r="AK6" i="6"/>
  <c r="AC6" i="6"/>
  <c r="AB6" i="6"/>
  <c r="V6" i="6"/>
  <c r="U6" i="6"/>
  <c r="T6" i="6"/>
  <c r="S6" i="6"/>
  <c r="R6" i="6"/>
  <c r="Q6" i="6"/>
  <c r="P6" i="6"/>
  <c r="O6" i="6"/>
  <c r="J6" i="6"/>
  <c r="G6" i="6"/>
  <c r="F6" i="6"/>
  <c r="BA5" i="6"/>
  <c r="AZ5" i="6"/>
  <c r="AZ6" i="6" s="1"/>
  <c r="AY5" i="6"/>
  <c r="AX5" i="6"/>
  <c r="AW5" i="6"/>
  <c r="AW6" i="6" s="1"/>
  <c r="AV5" i="6"/>
  <c r="AV6" i="6" s="1"/>
  <c r="AU5" i="6"/>
  <c r="AU6" i="6" s="1"/>
  <c r="AT5" i="6"/>
  <c r="AT6" i="6" s="1"/>
  <c r="AS5" i="6"/>
  <c r="AS6" i="6" s="1"/>
  <c r="AR5" i="6"/>
  <c r="AQ5" i="6"/>
  <c r="AP5" i="6"/>
  <c r="AO5" i="6"/>
  <c r="AN5" i="6"/>
  <c r="AM5" i="6"/>
  <c r="AL5" i="6"/>
  <c r="AK5" i="6"/>
  <c r="AJ5" i="6"/>
  <c r="AJ6" i="6" s="1"/>
  <c r="AI5" i="6"/>
  <c r="AI6" i="6" s="1"/>
  <c r="AH5" i="6"/>
  <c r="AH6" i="6" s="1"/>
  <c r="AG5" i="6"/>
  <c r="AG6" i="6" s="1"/>
  <c r="AF5" i="6"/>
  <c r="AE5" i="6"/>
  <c r="AD5" i="6"/>
  <c r="AD6" i="6" s="1"/>
  <c r="AC5" i="6"/>
  <c r="AB5" i="6"/>
  <c r="AA5" i="6"/>
  <c r="AA6" i="6" s="1"/>
  <c r="Z5" i="6"/>
  <c r="Z6" i="6" s="1"/>
  <c r="Y5" i="6"/>
  <c r="Y6" i="6" s="1"/>
  <c r="X5" i="6"/>
  <c r="X6" i="6" s="1"/>
  <c r="W5" i="6"/>
  <c r="W6" i="6" s="1"/>
  <c r="V5" i="6"/>
  <c r="U5" i="6"/>
  <c r="T5" i="6"/>
  <c r="S5" i="6"/>
  <c r="R5" i="6"/>
  <c r="Q5" i="6"/>
  <c r="P5" i="6"/>
  <c r="O5" i="6"/>
  <c r="N5" i="6"/>
  <c r="N6" i="6" s="1"/>
  <c r="M5" i="6"/>
  <c r="M6" i="6" s="1"/>
  <c r="L5" i="6"/>
  <c r="L6" i="6" s="1"/>
  <c r="K5" i="6"/>
  <c r="K6" i="6" s="1"/>
  <c r="J5" i="6"/>
  <c r="I5" i="6"/>
  <c r="H5" i="6"/>
  <c r="H6" i="6" s="1"/>
  <c r="G5" i="6"/>
  <c r="F5" i="6"/>
  <c r="E5" i="6"/>
  <c r="E6" i="6" s="1"/>
  <c r="D5" i="6"/>
  <c r="D6" i="6" s="1"/>
  <c r="C5" i="6"/>
  <c r="C6" i="6" s="1"/>
  <c r="B5" i="6"/>
  <c r="B6" i="6" s="1"/>
  <c r="BA4" i="6"/>
  <c r="BA6" i="6" s="1"/>
  <c r="AZ4" i="6"/>
  <c r="AY4" i="6"/>
  <c r="AY6" i="6" s="1"/>
  <c r="AX4" i="6"/>
  <c r="AW4" i="6"/>
  <c r="AV4" i="6"/>
  <c r="AU4" i="6"/>
  <c r="AT4" i="6"/>
  <c r="AS4" i="6"/>
  <c r="AR4" i="6"/>
  <c r="AR6" i="6" s="1"/>
  <c r="AQ4" i="6"/>
  <c r="AQ6" i="6" s="1"/>
  <c r="AP4" i="6"/>
  <c r="AP6" i="6" s="1"/>
  <c r="AO4" i="6"/>
  <c r="AO6" i="6" s="1"/>
  <c r="AN4" i="6"/>
  <c r="AM4" i="6"/>
  <c r="AL4" i="6"/>
  <c r="AK4" i="6"/>
  <c r="AJ4" i="6"/>
  <c r="AI4" i="6"/>
  <c r="AH4" i="6"/>
  <c r="AG4" i="6"/>
  <c r="AF4" i="6"/>
  <c r="AF6" i="6" s="1"/>
  <c r="AE4" i="6"/>
  <c r="AE6" i="6" s="1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I6" i="6" s="1"/>
  <c r="H4" i="6"/>
  <c r="G4" i="6"/>
  <c r="F4" i="6"/>
  <c r="E4" i="6"/>
  <c r="D4" i="6"/>
  <c r="C4" i="6"/>
  <c r="B4" i="6"/>
  <c r="AA2" i="10" l="1"/>
  <c r="AH2" i="10"/>
  <c r="E2" i="10"/>
  <c r="B10" i="8" s="1"/>
  <c r="AI2" i="10"/>
  <c r="AJ2" i="10"/>
  <c r="AQ2" i="10"/>
  <c r="L2" i="10"/>
  <c r="M2" i="10"/>
  <c r="N2" i="10"/>
  <c r="AP2" i="10"/>
  <c r="AR2" i="10"/>
  <c r="AW2" i="10"/>
  <c r="AY2" i="10"/>
  <c r="C4" i="8"/>
</calcChain>
</file>

<file path=xl/sharedStrings.xml><?xml version="1.0" encoding="utf-8"?>
<sst xmlns="http://schemas.openxmlformats.org/spreadsheetml/2006/main" count="3526" uniqueCount="1632">
  <si>
    <t>BObIC BAU Output by ISIC Code</t>
  </si>
  <si>
    <t>Sources:</t>
  </si>
  <si>
    <t>Gross output by industry, detail level (2024) -&gt; SYObIC</t>
  </si>
  <si>
    <t>BEA</t>
  </si>
  <si>
    <t>Underlying Detail: Gross Output by Industry (Industry File Download), September 2025 revision</t>
  </si>
  <si>
    <t>https://apps.bea.gov/histdata/index.cfm</t>
  </si>
  <si>
    <t>Tab '2024 Data', verbatim; column E = editable 52-code assignment. IT-YEAR CONVENTION: the model's Initial Time is 2025; 'SY Start Year' variables hold the prior year (2024). SYObIC = this 2024 data directly.</t>
  </si>
  <si>
    <t>2024-&gt;2025 growth per code -&gt; BObIC</t>
  </si>
  <si>
    <t>Energy Innovation, io-model/BPCiOaDCSbIC</t>
  </si>
  <si>
    <t>Scaled 2025 growth rates (AEO 2026 ELECTRNP / BLS 2.11 with the per-year GDP-fit factor) from the BPCiObIC workbook</t>
  </si>
  <si>
    <t>https://www.eia.gov/outlooks/aeo/tables_ref.php</t>
  </si>
  <si>
    <t>Tab 'g2025 derivation' — computed LIVE from the embedded raw sources (BLS Table 2.11 + both AEO tabs, identical machinery to the BPCiObIC workbook); the only imported number is the single 2025 GDP-fit scalar (editable cell B2 with provenance). BObIC (non-SY = 2025 level) = SYObIC x (1 + g2025). BPCiObIC itself is rebased to 2025 = 0 — no double count.</t>
  </si>
  <si>
    <t>Notes:</t>
  </si>
  <si>
    <t>Currency</t>
  </si>
  <si>
    <t>2024 USD -&gt; 2012 USD factor below (editable; CPI-U from InputData/cpi.xlsx):</t>
  </si>
  <si>
    <t>2012 USD per 2024 USD</t>
  </si>
  <si>
    <t>Export</t>
  </si>
  <si>
    <t>SYObIC.csv = tab SYObIC; BObIC.csv = tab BObIC. Canonical 52-code column order (positional Vensim read).</t>
  </si>
  <si>
    <t>U.Real Gross Output by Industry - Detail Level (BEA, Sep 2025 revision) — pasted from stock workbook</t>
  </si>
  <si>
    <t>Line</t>
  </si>
  <si>
    <t>Industry</t>
  </si>
  <si>
    <t>2024 (millions of 2024 USD)</t>
  </si>
  <si>
    <t>ISIC Code (editable)</t>
  </si>
  <si>
    <t>Oilseed farming</t>
  </si>
  <si>
    <t>ISIC 01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</si>
  <si>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</si>
  <si>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</si>
  <si>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</si>
  <si>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</si>
  <si>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</si>
  <si>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</si>
  <si>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</si>
  <si>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</si>
  <si>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</si>
  <si>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</si>
  <si>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ISIC 02</t>
  </si>
  <si>
    <t>Fishing, hunting and trapping</t>
  </si>
  <si>
    <t>ISIC 03</t>
  </si>
  <si>
    <t>Support activities for agriculture and forestry</t>
  </si>
  <si>
    <t>Oil and gas extraction</t>
  </si>
  <si>
    <t>ISIC 06</t>
  </si>
  <si>
    <t>Coal mining</t>
  </si>
  <si>
    <t>ISIC 05</t>
  </si>
  <si>
    <t>Copper, nickel, lead, and zinc mining</t>
  </si>
  <si>
    <t>ISIC 07</t>
  </si>
  <si>
    <t>Iron, gold, silver, and other metal ore mining</t>
  </si>
  <si>
    <t>Stone mining and quarrying</t>
  </si>
  <si>
    <t>ISIC 08</t>
  </si>
  <si>
    <t>Other nonmetallic mineral mining and quarrying</t>
  </si>
  <si>
    <t>Drilling oil and gas wells</t>
  </si>
  <si>
    <t>ISIC 09</t>
  </si>
  <si>
    <t>Other support activities for mining</t>
  </si>
  <si>
    <t>Hydroelectric power generation</t>
  </si>
  <si>
    <t>ISIC 351</t>
  </si>
  <si>
    <t>Fossil fuel electric power generation</t>
  </si>
  <si>
    <t>Nuclear electric power generation</t>
  </si>
  <si>
    <t>Solar electric power generation</t>
  </si>
  <si>
    <t>Wind electric power generation</t>
  </si>
  <si>
    <t>Geothermal electric power generation</t>
  </si>
  <si>
    <t>Biomass electric power generation</t>
  </si>
  <si>
    <t>Other electric power generation</t>
  </si>
  <si>
    <t>Electric bulk power transmission and control</t>
  </si>
  <si>
    <t>Electric power distribution</t>
  </si>
  <si>
    <t>Natural gas distribution</t>
  </si>
  <si>
    <t>ISIC 352T353</t>
  </si>
  <si>
    <t>Water, sewage and other systems</t>
  </si>
  <si>
    <t>ISIC 36T39</t>
  </si>
  <si>
    <t>Health care structures</t>
  </si>
  <si>
    <t>ISIC 41T43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</si>
  <si>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</si>
  <si>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</si>
  <si>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</si>
  <si>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</si>
  <si>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</si>
  <si>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</si>
  <si>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</si>
  <si>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</si>
  <si>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</si>
  <si>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</si>
  <si>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</si>
  <si>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</si>
  <si>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ISIC 16</t>
  </si>
  <si>
    <t>Veneer, plywood, and engineered wood product manufacturing</t>
  </si>
  <si>
    <t>Millwork</t>
  </si>
  <si>
    <t>All other wood product manufacturing</t>
  </si>
  <si>
    <t>Clay product and refractory manufacturing</t>
  </si>
  <si>
    <t>ISIC 239</t>
  </si>
  <si>
    <t>Glass and glass product manufacturing</t>
  </si>
  <si>
    <t>ISIC 231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</si>
  <si>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</si>
  <si>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</si>
  <si>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</si>
  <si>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</si>
  <si>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</si>
  <si>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</si>
  <si>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</si>
  <si>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</si>
  <si>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</si>
  <si>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</si>
  <si>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</si>
  <si>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ISIC 241</t>
  </si>
  <si>
    <t>Steel product manufacturing from purchased steel</t>
  </si>
  <si>
    <t>Secondary smelting and alloying of aluminum</t>
  </si>
  <si>
    <t>ISIC 242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</si>
  <si>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</si>
  <si>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</si>
  <si>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</si>
  <si>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</si>
  <si>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</si>
  <si>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</si>
  <si>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</si>
  <si>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</si>
  <si>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ISIC 25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</si>
  <si>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</si>
  <si>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</si>
  <si>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</si>
  <si>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</si>
  <si>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</si>
  <si>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</si>
  <si>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</si>
  <si>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</si>
  <si>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</si>
  <si>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</si>
  <si>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</si>
  <si>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</si>
  <si>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</si>
  <si>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</si>
  <si>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</si>
  <si>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</si>
  <si>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</si>
  <si>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</si>
  <si>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</si>
  <si>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</si>
  <si>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ISIC 28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</si>
  <si>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</si>
  <si>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</si>
  <si>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</si>
  <si>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</si>
  <si>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</si>
  <si>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</si>
  <si>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</si>
  <si>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</si>
  <si>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</si>
  <si>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</si>
  <si>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</si>
  <si>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</si>
  <si>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</si>
  <si>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</si>
  <si>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</si>
  <si>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</si>
  <si>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</si>
  <si>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</si>
  <si>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</si>
  <si>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</si>
  <si>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</si>
  <si>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</si>
  <si>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</si>
  <si>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</si>
  <si>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</si>
  <si>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</si>
  <si>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</si>
  <si>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</si>
  <si>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ISIC 26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</si>
  <si>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</si>
  <si>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</si>
  <si>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</si>
  <si>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</si>
  <si>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</si>
  <si>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</si>
  <si>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</si>
  <si>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</si>
  <si>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</si>
  <si>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</si>
  <si>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</si>
  <si>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</si>
  <si>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</si>
  <si>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</si>
  <si>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</si>
  <si>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</si>
  <si>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</si>
  <si>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</si>
  <si>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</si>
  <si>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</si>
  <si>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ISIC 27</t>
  </si>
  <si>
    <t>Lighting fixture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</si>
  <si>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</si>
  <si>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</si>
  <si>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</si>
  <si>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</si>
  <si>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</si>
  <si>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</si>
  <si>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</si>
  <si>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</si>
  <si>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</si>
  <si>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</si>
  <si>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</si>
  <si>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</si>
  <si>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</si>
  <si>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ISIC 29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</si>
  <si>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</si>
  <si>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</si>
  <si>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</si>
  <si>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</si>
  <si>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</si>
  <si>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</si>
  <si>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</si>
  <si>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</si>
  <si>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</si>
  <si>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</si>
  <si>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</si>
  <si>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</si>
  <si>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</si>
  <si>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</si>
  <si>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ISIC 302T309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</si>
  <si>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</si>
  <si>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</si>
  <si>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</si>
  <si>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</si>
  <si>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</si>
  <si>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</si>
  <si>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ISIC 301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</si>
  <si>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</si>
  <si>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</si>
  <si>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</si>
  <si>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</si>
  <si>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</si>
  <si>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ISIC 31T33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</si>
  <si>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</si>
  <si>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</si>
  <si>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</si>
  <si>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</si>
  <si>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</si>
  <si>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</si>
  <si>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</si>
  <si>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</si>
  <si>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</si>
  <si>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</si>
  <si>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</si>
  <si>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</si>
  <si>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</si>
  <si>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</si>
  <si>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</si>
  <si>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</si>
  <si>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</si>
  <si>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</si>
  <si>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</si>
  <si>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ISIC 10T12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</si>
  <si>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</si>
  <si>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</si>
  <si>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</si>
  <si>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</si>
  <si>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</si>
  <si>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</si>
  <si>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</si>
  <si>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</si>
  <si>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</si>
  <si>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</si>
  <si>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</si>
  <si>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</si>
  <si>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</si>
  <si>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</si>
  <si>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</si>
  <si>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</si>
  <si>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</si>
  <si>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</si>
  <si>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</si>
  <si>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</si>
  <si>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</si>
  <si>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</si>
  <si>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</si>
  <si>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</si>
  <si>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</si>
  <si>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</si>
  <si>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</si>
  <si>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manufacturing</t>
  </si>
  <si>
    <t>Fiber, yarn, and thread mills</t>
  </si>
  <si>
    <t>ISIC 13T15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</si>
  <si>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</si>
  <si>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</si>
  <si>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</si>
  <si>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</si>
  <si>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</si>
  <si>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</si>
  <si>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</si>
  <si>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</si>
  <si>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ISIC 17T18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</si>
  <si>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</si>
  <si>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</si>
  <si>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</si>
  <si>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</si>
  <si>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</si>
  <si>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</si>
  <si>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</si>
  <si>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</si>
  <si>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</si>
  <si>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</si>
  <si>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ISIC 19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</si>
  <si>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</si>
  <si>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</si>
  <si>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</si>
  <si>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</si>
  <si>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ISIC 20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</si>
  <si>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</si>
  <si>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</si>
  <si>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</si>
  <si>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</si>
  <si>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</si>
  <si>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</si>
  <si>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</si>
  <si>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ISIC 21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</si>
  <si>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</si>
  <si>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</si>
  <si>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</si>
  <si>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</si>
  <si>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</si>
  <si>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</si>
  <si>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</si>
  <si>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</si>
  <si>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</si>
  <si>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</si>
  <si>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</si>
  <si>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</si>
  <si>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ISIC 22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</si>
  <si>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</si>
  <si>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</si>
  <si>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</si>
  <si>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</si>
  <si>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</si>
  <si>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</si>
  <si>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</si>
  <si>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</si>
  <si>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</si>
  <si>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</si>
  <si>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ISIC 45T47</t>
  </si>
  <si>
    <t>Professional and commercial equipment and supplies</t>
  </si>
  <si>
    <t>Household appliances and electrical and electronic goods</t>
  </si>
  <si>
    <t>Machinery, equipment, and supplies</t>
  </si>
  <si>
    <t>Other durable goods merchant wholesalers</t>
  </si>
  <si>
    <t>Drugs and druggists' sundries</t>
  </si>
  <si>
    <t>Grocery and related product wholesalers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</si>
  <si>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</si>
  <si>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</si>
  <si>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</si>
  <si>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</si>
  <si>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</si>
  <si>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</si>
  <si>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</si>
  <si>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</si>
  <si>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</si>
  <si>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</si>
  <si>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</si>
  <si>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</si>
  <si>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Furniture and home furnishings stores</t>
  </si>
  <si>
    <t>Electronics and appliance stores</t>
  </si>
  <si>
    <t>Sporting goods, hobby, book, and music stores</t>
  </si>
  <si>
    <t>Miscellaneous store retailers</t>
  </si>
  <si>
    <t>Air transportation</t>
  </si>
  <si>
    <t>ISIC 51</t>
  </si>
  <si>
    <t>Rail transportation</t>
  </si>
  <si>
    <t>ISIC 49</t>
  </si>
  <si>
    <t>Water transportation</t>
  </si>
  <si>
    <t>ISIC 50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</si>
  <si>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</si>
  <si>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</si>
  <si>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</si>
  <si>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</si>
  <si>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ISIC 52</t>
  </si>
  <si>
    <t>Couriers and messengers</t>
  </si>
  <si>
    <t>ISIC 53</t>
  </si>
  <si>
    <t>Warehousing and storage</t>
  </si>
  <si>
    <t>Newspaper publishers</t>
  </si>
  <si>
    <t>ISIC 58T60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</si>
  <si>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</si>
  <si>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</si>
  <si>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</si>
  <si>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</si>
  <si>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</si>
  <si>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</si>
  <si>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</si>
  <si>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</si>
  <si>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</si>
  <si>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ISIC 61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</si>
  <si>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</si>
  <si>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</si>
  <si>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</si>
  <si>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ISIC 62T63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</si>
  <si>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</si>
  <si>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</si>
  <si>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</si>
  <si>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ISIC 64T66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</si>
  <si>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</si>
  <si>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</si>
  <si>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</si>
  <si>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</si>
  <si>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 insurance</t>
  </si>
  <si>
    <t>Insurance agencies, brokerages, and related activities</t>
  </si>
  <si>
    <t>Funds, trusts, and other financial vehicles</t>
  </si>
  <si>
    <t>Owner-occupied housing</t>
  </si>
  <si>
    <t>ISIC 68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</si>
  <si>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</si>
  <si>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</si>
  <si>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</si>
  <si>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</si>
  <si>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</si>
  <si>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</si>
  <si>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</si>
  <si>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ISIC 69T75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</si>
  <si>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</si>
  <si>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</si>
  <si>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</si>
  <si>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</si>
  <si>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</si>
  <si>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</si>
  <si>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</si>
  <si>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</si>
  <si>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</si>
  <si>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</si>
  <si>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</si>
  <si>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</si>
  <si>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>All other miscellaneous professional, scientific, and technical services</t>
  </si>
  <si>
    <t>Management of companies and enterprises</t>
  </si>
  <si>
    <t>Employment services</t>
  </si>
  <si>
    <t>ISIC 77T82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</si>
  <si>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</si>
  <si>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</si>
  <si>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</si>
  <si>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</si>
  <si>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</si>
  <si>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</si>
  <si>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</si>
  <si>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</si>
  <si>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</si>
  <si>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ISIC 85</t>
  </si>
  <si>
    <t>Junior colleges, colleges, universities, and professional schools</t>
  </si>
  <si>
    <t>Other educational services</t>
  </si>
  <si>
    <t>Offices of physicians</t>
  </si>
  <si>
    <t>ISIC 86T88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</si>
  <si>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</si>
  <si>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</si>
  <si>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</si>
  <si>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</si>
  <si>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</si>
  <si>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</si>
  <si>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</si>
  <si>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</si>
  <si>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</si>
  <si>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</si>
  <si>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</si>
  <si>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</si>
  <si>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</si>
  <si>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ISIC 90T93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</si>
  <si>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</si>
  <si>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</si>
  <si>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</si>
  <si>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</si>
  <si>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</si>
  <si>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</si>
  <si>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</si>
  <si>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</si>
  <si>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ISIC 55T56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</si>
  <si>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</si>
  <si>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</si>
  <si>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</si>
  <si>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</si>
  <si>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</si>
  <si>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ISIC 94T96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</si>
  <si>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</si>
  <si>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</si>
  <si>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</si>
  <si>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</si>
  <si>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</si>
  <si>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</si>
  <si>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</si>
  <si>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</si>
  <si>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</si>
  <si>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</si>
  <si>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ISIC 97T98</t>
  </si>
  <si>
    <t>Federal general government (defense)</t>
  </si>
  <si>
    <t>ISIC 84</t>
  </si>
  <si>
    <t>Federal general government (nondefense)</t>
  </si>
  <si>
    <t>Postal service</t>
  </si>
  <si>
    <t>Federal electric utilities</t>
  </si>
  <si>
    <t>Other federal government enterprises</t>
  </si>
  <si>
    <t>State and local government (educational services)</t>
  </si>
  <si>
    <t>State and local government (hospitals and health services)</t>
  </si>
  <si>
    <t>State and local government (other services)</t>
  </si>
  <si>
    <t>State and local government passenger transit</t>
  </si>
  <si>
    <t>State and local government electric utilities</t>
  </si>
  <si>
    <t>Other state and local government enterprises</t>
  </si>
  <si>
    <t>Table 2.11 Employment and output by industry (Employment in thousands; Output in billion of chained 2017 dollars)</t>
  </si>
  <si>
    <t>2024 National Employment Matrix title</t>
  </si>
  <si>
    <t>2024 National Employment Matrix code</t>
  </si>
  <si>
    <t>Industry type</t>
  </si>
  <si>
    <t>Employment, 2024</t>
  </si>
  <si>
    <t>Employment, 2034</t>
  </si>
  <si>
    <t xml:space="preserve">Employment change, numeric, 2024–34 </t>
  </si>
  <si>
    <t xml:space="preserve">Employment change, percent, 2024–34 </t>
  </si>
  <si>
    <t xml:space="preserve">Compound annual rate of change, employment, 2024–34 </t>
  </si>
  <si>
    <t>Output, 2024</t>
  </si>
  <si>
    <t>Output, 2034</t>
  </si>
  <si>
    <t xml:space="preserve">Compound annual rate of change, output, 2024–34 </t>
  </si>
  <si>
    <t>Assigned ISIC Code (editable)</t>
  </si>
  <si>
    <t>Total, all industries</t>
  </si>
  <si>
    <t>TE1000</t>
  </si>
  <si>
    <t>Summary</t>
  </si>
  <si>
    <t xml:space="preserve">  Self-employed workers</t>
  </si>
  <si>
    <t>TE1100</t>
  </si>
  <si>
    <t>Line item</t>
  </si>
  <si>
    <t>—</t>
  </si>
  <si>
    <t xml:space="preserve">  Total wage and salary employment</t>
  </si>
  <si>
    <t>TE1200</t>
  </si>
  <si>
    <t xml:space="preserve">    Agriculture, forestry, fishing, and hunting</t>
  </si>
  <si>
    <t>110000</t>
  </si>
  <si>
    <t xml:space="preserve">      Crop production</t>
  </si>
  <si>
    <t>111000</t>
  </si>
  <si>
    <t xml:space="preserve">      Animal production and aquaculture</t>
  </si>
  <si>
    <t>112000</t>
  </si>
  <si>
    <t xml:space="preserve">      Forestry and logging</t>
  </si>
  <si>
    <t>113000</t>
  </si>
  <si>
    <t xml:space="preserve">        Forestry</t>
  </si>
  <si>
    <t>1131-2</t>
  </si>
  <si>
    <t xml:space="preserve">        Logging</t>
  </si>
  <si>
    <t>113300</t>
  </si>
  <si>
    <t xml:space="preserve">      Fishing, hunting and trapping</t>
  </si>
  <si>
    <t>114000</t>
  </si>
  <si>
    <t xml:space="preserve">      Support activities for agriculture and forestry</t>
  </si>
  <si>
    <t>115000</t>
  </si>
  <si>
    <t xml:space="preserve">    Mining, quarrying, and oil and gas extraction</t>
  </si>
  <si>
    <t>210000</t>
  </si>
  <si>
    <t xml:space="preserve">      Oil and gas extraction</t>
  </si>
  <si>
    <t>211000</t>
  </si>
  <si>
    <t xml:space="preserve">      Mining (except oil and gas)</t>
  </si>
  <si>
    <t>212000</t>
  </si>
  <si>
    <t xml:space="preserve">        Coal mining</t>
  </si>
  <si>
    <t>212100</t>
  </si>
  <si>
    <t xml:space="preserve">        Metal ore mining</t>
  </si>
  <si>
    <t>212200</t>
  </si>
  <si>
    <t xml:space="preserve">        Nonmetallic mineral mining and quarrying</t>
  </si>
  <si>
    <t>212300</t>
  </si>
  <si>
    <t xml:space="preserve">      Support activities for mining</t>
  </si>
  <si>
    <t>213000</t>
  </si>
  <si>
    <t xml:space="preserve">    Utilities</t>
  </si>
  <si>
    <t>220000</t>
  </si>
  <si>
    <t xml:space="preserve">      Utilities</t>
  </si>
  <si>
    <t>221000</t>
  </si>
  <si>
    <t xml:space="preserve">        Electric power generation, transmission and distribution</t>
  </si>
  <si>
    <t>221100</t>
  </si>
  <si>
    <t xml:space="preserve">          Electric power generation</t>
  </si>
  <si>
    <t>221110</t>
  </si>
  <si>
    <t xml:space="preserve">            Hydroelectric power generation</t>
  </si>
  <si>
    <t>221111</t>
  </si>
  <si>
    <t xml:space="preserve">            Fossil fuel electric power generation</t>
  </si>
  <si>
    <t>221112</t>
  </si>
  <si>
    <t xml:space="preserve">            Nuclear electric power generation</t>
  </si>
  <si>
    <t>221113</t>
  </si>
  <si>
    <t xml:space="preserve">            Solar electric power generation</t>
  </si>
  <si>
    <t>221114</t>
  </si>
  <si>
    <t xml:space="preserve">            Wind electric power generation</t>
  </si>
  <si>
    <t>221115</t>
  </si>
  <si>
    <t xml:space="preserve">            Geothermal electric power generation</t>
  </si>
  <si>
    <t>221116</t>
  </si>
  <si>
    <t xml:space="preserve">            Biomass electric power generation</t>
  </si>
  <si>
    <t>221117</t>
  </si>
  <si>
    <t xml:space="preserve">            Other electric power generation</t>
  </si>
  <si>
    <t>221118</t>
  </si>
  <si>
    <t xml:space="preserve">        Natural gas distribution</t>
  </si>
  <si>
    <t>221200</t>
  </si>
  <si>
    <t xml:space="preserve">        Water, sewage and other systems</t>
  </si>
  <si>
    <t>221300</t>
  </si>
  <si>
    <t xml:space="preserve">    Construction</t>
  </si>
  <si>
    <t>230000</t>
  </si>
  <si>
    <t xml:space="preserve">      Construction of buildings</t>
  </si>
  <si>
    <t>236000</t>
  </si>
  <si>
    <t xml:space="preserve">        Residential building construction</t>
  </si>
  <si>
    <t>236100</t>
  </si>
  <si>
    <t xml:space="preserve">        Nonresidential building construction</t>
  </si>
  <si>
    <t>236200</t>
  </si>
  <si>
    <t xml:space="preserve">      Heavy and civil engineering construction</t>
  </si>
  <si>
    <t>237000</t>
  </si>
  <si>
    <t xml:space="preserve">        Utility system construction</t>
  </si>
  <si>
    <t>237100</t>
  </si>
  <si>
    <t xml:space="preserve">          Power and communication line and related structures construction</t>
  </si>
  <si>
    <t>237130</t>
  </si>
  <si>
    <t xml:space="preserve">        Land subdivision</t>
  </si>
  <si>
    <t>237200</t>
  </si>
  <si>
    <t xml:space="preserve">        Highway, street, and bridge construction</t>
  </si>
  <si>
    <t>237300</t>
  </si>
  <si>
    <t xml:space="preserve">        Other heavy and civil engineering construction</t>
  </si>
  <si>
    <t>237900</t>
  </si>
  <si>
    <t xml:space="preserve">      Specialty trade contractors</t>
  </si>
  <si>
    <t>238000</t>
  </si>
  <si>
    <t xml:space="preserve">        Foundation, structure, and building exterior contractors</t>
  </si>
  <si>
    <t>238100</t>
  </si>
  <si>
    <t xml:space="preserve">          Poured concrete foundation and structure contractors</t>
  </si>
  <si>
    <t>238110</t>
  </si>
  <si>
    <t xml:space="preserve">          Masonry contractors</t>
  </si>
  <si>
    <t>238140</t>
  </si>
  <si>
    <t xml:space="preserve">          Roofing contractors</t>
  </si>
  <si>
    <t>238160</t>
  </si>
  <si>
    <t xml:space="preserve">        Building equipment contractors</t>
  </si>
  <si>
    <t>238200</t>
  </si>
  <si>
    <t xml:space="preserve">          Electrical contractors and other wiring installation contractors</t>
  </si>
  <si>
    <t>238210</t>
  </si>
  <si>
    <t xml:space="preserve">          Plumbing, heating, and air-conditioning contractors</t>
  </si>
  <si>
    <t>238220</t>
  </si>
  <si>
    <t xml:space="preserve">          Other building equipment contractors</t>
  </si>
  <si>
    <t>238290</t>
  </si>
  <si>
    <t xml:space="preserve">        Building finishing contractors</t>
  </si>
  <si>
    <t>238300</t>
  </si>
  <si>
    <t xml:space="preserve">          Drywall and insulation contractors</t>
  </si>
  <si>
    <t>238310</t>
  </si>
  <si>
    <t xml:space="preserve">          Painting and wall covering contractors</t>
  </si>
  <si>
    <t>238320</t>
  </si>
  <si>
    <t xml:space="preserve">        Other specialty trade contractors</t>
  </si>
  <si>
    <t>238900</t>
  </si>
  <si>
    <t xml:space="preserve">    Manufacturing</t>
  </si>
  <si>
    <t>31-330</t>
  </si>
  <si>
    <t xml:space="preserve">      Food manufacturing</t>
  </si>
  <si>
    <t>311000</t>
  </si>
  <si>
    <t xml:space="preserve">        Animal food manufacturing</t>
  </si>
  <si>
    <t>311100</t>
  </si>
  <si>
    <t xml:space="preserve">        Grain and oilseed milling</t>
  </si>
  <si>
    <t>311200</t>
  </si>
  <si>
    <t xml:space="preserve">        Sugar and confectionery product manufacturing</t>
  </si>
  <si>
    <t>311300</t>
  </si>
  <si>
    <t xml:space="preserve">        Fruit and vegetable preserving and specialty food manufacturing</t>
  </si>
  <si>
    <t>311400</t>
  </si>
  <si>
    <t xml:space="preserve">        Dairy product manufacturing</t>
  </si>
  <si>
    <t>311500</t>
  </si>
  <si>
    <t xml:space="preserve">        Animal slaughtering and processing</t>
  </si>
  <si>
    <t>311600</t>
  </si>
  <si>
    <t xml:space="preserve">        Seafood product preparation and packaging</t>
  </si>
  <si>
    <t>311700</t>
  </si>
  <si>
    <t xml:space="preserve">        Bakeries and tortilla manufacturing</t>
  </si>
  <si>
    <t>311800</t>
  </si>
  <si>
    <t xml:space="preserve">        Other food manufacturing</t>
  </si>
  <si>
    <t>311900</t>
  </si>
  <si>
    <t xml:space="preserve">      Beverage and tobacco product manufacturing</t>
  </si>
  <si>
    <t>312000</t>
  </si>
  <si>
    <t xml:space="preserve">        Beverage manufacturing</t>
  </si>
  <si>
    <t>312100</t>
  </si>
  <si>
    <t xml:space="preserve">        Tobacco manufacturing</t>
  </si>
  <si>
    <t>312200</t>
  </si>
  <si>
    <t xml:space="preserve">      Textile mills</t>
  </si>
  <si>
    <t>313000</t>
  </si>
  <si>
    <t xml:space="preserve">      Textile product mills</t>
  </si>
  <si>
    <t>314000</t>
  </si>
  <si>
    <t xml:space="preserve">      Apparel manufacturing</t>
  </si>
  <si>
    <t>315000</t>
  </si>
  <si>
    <t xml:space="preserve">      Leather and allied product manufacturing</t>
  </si>
  <si>
    <t>316000</t>
  </si>
  <si>
    <t xml:space="preserve">      Wood product manufacturing</t>
  </si>
  <si>
    <t>321000</t>
  </si>
  <si>
    <t xml:space="preserve">        Sawmills and wood preservation</t>
  </si>
  <si>
    <t>321100</t>
  </si>
  <si>
    <t xml:space="preserve">        Veneer, plywood, and engineered wood product manufacturing</t>
  </si>
  <si>
    <t>321200</t>
  </si>
  <si>
    <t xml:space="preserve">        Other wood product manufacturing</t>
  </si>
  <si>
    <t>321900</t>
  </si>
  <si>
    <t xml:space="preserve">      Paper manufacturing</t>
  </si>
  <si>
    <t>322000</t>
  </si>
  <si>
    <t xml:space="preserve">        Pulp, paper, and paperboard mills</t>
  </si>
  <si>
    <t>322100</t>
  </si>
  <si>
    <t xml:space="preserve">        Converted paper product manufacturing</t>
  </si>
  <si>
    <t>322200</t>
  </si>
  <si>
    <t xml:space="preserve">      Printing and related support activities</t>
  </si>
  <si>
    <t>323000</t>
  </si>
  <si>
    <t xml:space="preserve">      Petroleum and coal products manufacturing</t>
  </si>
  <si>
    <t>324000</t>
  </si>
  <si>
    <t xml:space="preserve">      Chemical manufacturing</t>
  </si>
  <si>
    <t>325000</t>
  </si>
  <si>
    <t xml:space="preserve">        Chemical manufacturing (3251,2,3,9)</t>
  </si>
  <si>
    <t>3250A1</t>
  </si>
  <si>
    <t xml:space="preserve">        Chemical manufacturing (3255,6)</t>
  </si>
  <si>
    <t>3250A2</t>
  </si>
  <si>
    <t xml:space="preserve">        Pharmaceutical and medicine manufacturing</t>
  </si>
  <si>
    <t>325400</t>
  </si>
  <si>
    <t xml:space="preserve">      Plastics and rubber products manufacturing</t>
  </si>
  <si>
    <t>326000</t>
  </si>
  <si>
    <t xml:space="preserve">        Plastics product manufacturing</t>
  </si>
  <si>
    <t>326100</t>
  </si>
  <si>
    <t xml:space="preserve">        Rubber product manufacturing</t>
  </si>
  <si>
    <t>326200</t>
  </si>
  <si>
    <t xml:space="preserve">      Nonmetallic mineral product manufacturing</t>
  </si>
  <si>
    <t>327000</t>
  </si>
  <si>
    <t xml:space="preserve">      Primary metal manufacturing</t>
  </si>
  <si>
    <t>331000</t>
  </si>
  <si>
    <t xml:space="preserve">        Iron and steel mills and ferroalloy manufacturing</t>
  </si>
  <si>
    <t>331100</t>
  </si>
  <si>
    <t xml:space="preserve">        Steel product manufacturing from purchased steel</t>
  </si>
  <si>
    <t>331200</t>
  </si>
  <si>
    <t xml:space="preserve">        Alumina and aluminum production and processing</t>
  </si>
  <si>
    <t>331300</t>
  </si>
  <si>
    <t xml:space="preserve">        Nonferrous metal (except aluminum) production and processing</t>
  </si>
  <si>
    <t>331400</t>
  </si>
  <si>
    <t xml:space="preserve">        Foundries</t>
  </si>
  <si>
    <t>331500</t>
  </si>
  <si>
    <t xml:space="preserve">      Fabricated metal product manufacturing</t>
  </si>
  <si>
    <t>332000</t>
  </si>
  <si>
    <t xml:space="preserve">        Fabricated metal product manufacturing (3321,2,5,6,9)</t>
  </si>
  <si>
    <t>3320A1</t>
  </si>
  <si>
    <t xml:space="preserve">        Fabricated metal product manufacturing (3323,4)</t>
  </si>
  <si>
    <t>3320A2</t>
  </si>
  <si>
    <t xml:space="preserve">        Machine shops; turned product; and screw, nut, and bolt manufacturing</t>
  </si>
  <si>
    <t>332700</t>
  </si>
  <si>
    <t xml:space="preserve">          Machine shops</t>
  </si>
  <si>
    <t>332710</t>
  </si>
  <si>
    <t xml:space="preserve">          Turned product and screw, nut, and bolt manufacturing</t>
  </si>
  <si>
    <t>332720</t>
  </si>
  <si>
    <t xml:space="preserve">        Coating, engraving, heat treating, and allied activities</t>
  </si>
  <si>
    <t>332800</t>
  </si>
  <si>
    <t xml:space="preserve">      Machinery manufacturing</t>
  </si>
  <si>
    <t>333000</t>
  </si>
  <si>
    <t xml:space="preserve">        Machinery manufacturing (3331,2,4,9)</t>
  </si>
  <si>
    <t>3330A1</t>
  </si>
  <si>
    <t xml:space="preserve">        Commercial and service industry machinery manufacturing</t>
  </si>
  <si>
    <t>333300</t>
  </si>
  <si>
    <t xml:space="preserve">        Metalworking machinery manufacturing</t>
  </si>
  <si>
    <t>333500</t>
  </si>
  <si>
    <t xml:space="preserve">        Engine, turbine, and power transmission equipment manufacturing</t>
  </si>
  <si>
    <t>333600</t>
  </si>
  <si>
    <t xml:space="preserve">      Computer and electronic product manufacturing</t>
  </si>
  <si>
    <t>334000</t>
  </si>
  <si>
    <t xml:space="preserve">        Computer and peripheral equipment manufacturing</t>
  </si>
  <si>
    <t>334100</t>
  </si>
  <si>
    <t xml:space="preserve">        Communications equipment manufacturing</t>
  </si>
  <si>
    <t>334200</t>
  </si>
  <si>
    <t xml:space="preserve">        Audio and video equipment manufacturing</t>
  </si>
  <si>
    <t>334300</t>
  </si>
  <si>
    <t xml:space="preserve">        Semiconductor and other electronic component manufacturing</t>
  </si>
  <si>
    <t>334400</t>
  </si>
  <si>
    <t xml:space="preserve">        Navigational, measuring, electromedical, and control instruments manufacturing</t>
  </si>
  <si>
    <t>334500</t>
  </si>
  <si>
    <t xml:space="preserve">        Manufacturing and reproducing magnetic and optical media</t>
  </si>
  <si>
    <t>334600</t>
  </si>
  <si>
    <t xml:space="preserve">      Electrical equipment, appliance, and component manufacturing</t>
  </si>
  <si>
    <t>335000</t>
  </si>
  <si>
    <t xml:space="preserve">        Electric lighting equipment manufacturing</t>
  </si>
  <si>
    <t>335100</t>
  </si>
  <si>
    <t xml:space="preserve">        Household appliance manufacturing</t>
  </si>
  <si>
    <t>335200</t>
  </si>
  <si>
    <t xml:space="preserve">        Electrical equipment manufacturing</t>
  </si>
  <si>
    <t>335300</t>
  </si>
  <si>
    <t xml:space="preserve">        Other electrical equipment and component manufacturing</t>
  </si>
  <si>
    <t>335900</t>
  </si>
  <si>
    <t xml:space="preserve">      Transportation equipment manufacturing</t>
  </si>
  <si>
    <t>336000</t>
  </si>
  <si>
    <t xml:space="preserve">        Motor vehicle manufacturing</t>
  </si>
  <si>
    <t>336100</t>
  </si>
  <si>
    <t xml:space="preserve">        Motor vehicle body and trailer manufacturing</t>
  </si>
  <si>
    <t>336200</t>
  </si>
  <si>
    <t xml:space="preserve">        Motor vehicle parts manufacturing</t>
  </si>
  <si>
    <t>336300</t>
  </si>
  <si>
    <t xml:space="preserve">        Aerospace product and parts manufacturing</t>
  </si>
  <si>
    <t>336400</t>
  </si>
  <si>
    <t xml:space="preserve">        Railroad rolling stock manufacturing</t>
  </si>
  <si>
    <t>336500</t>
  </si>
  <si>
    <t xml:space="preserve">        Ship and boat building</t>
  </si>
  <si>
    <t>336600</t>
  </si>
  <si>
    <t xml:space="preserve">        Other transportation equipment manufacturing</t>
  </si>
  <si>
    <t>336900</t>
  </si>
  <si>
    <t xml:space="preserve">      Furniture and related product manufacturing</t>
  </si>
  <si>
    <t>337000</t>
  </si>
  <si>
    <t xml:space="preserve">        Furniture and related product manufacturing (3371,2)</t>
  </si>
  <si>
    <t>3370A1</t>
  </si>
  <si>
    <t xml:space="preserve">        Other furniture related product manufacturing</t>
  </si>
  <si>
    <t>337900</t>
  </si>
  <si>
    <t xml:space="preserve">      Miscellaneous manufacturing</t>
  </si>
  <si>
    <t>339000</t>
  </si>
  <si>
    <t xml:space="preserve">        Medical equipment and supplies manufacturing</t>
  </si>
  <si>
    <t>339100</t>
  </si>
  <si>
    <t xml:space="preserve">        Other miscellaneous manufacturing</t>
  </si>
  <si>
    <t>339900</t>
  </si>
  <si>
    <t xml:space="preserve">          Jewelry and silverware manufacturing</t>
  </si>
  <si>
    <t>339910</t>
  </si>
  <si>
    <t xml:space="preserve">    Wholesale trade</t>
  </si>
  <si>
    <t>420000</t>
  </si>
  <si>
    <t xml:space="preserve">      Merchant wholesalers, durable goods</t>
  </si>
  <si>
    <t>423000</t>
  </si>
  <si>
    <t xml:space="preserve">        Merchant wholesalers, durable goods (4232,3,5,6,7,9)</t>
  </si>
  <si>
    <t>4230A1</t>
  </si>
  <si>
    <t xml:space="preserve">        Motor vehicle and motor vehicle parts and supplies merchant wholesalers</t>
  </si>
  <si>
    <t>423100</t>
  </si>
  <si>
    <t xml:space="preserve">        Professional and commercial equipment and supplies merchant wholesalers</t>
  </si>
  <si>
    <t>423400</t>
  </si>
  <si>
    <t xml:space="preserve">        Machinery, equipment, and supplies merchant wholesalers</t>
  </si>
  <si>
    <t>423800</t>
  </si>
  <si>
    <t xml:space="preserve">          Farm and garden machinery and equipment merchant wholesalers</t>
  </si>
  <si>
    <t>423820</t>
  </si>
  <si>
    <t xml:space="preserve">      Merchant wholesalers, nondurable goods</t>
  </si>
  <si>
    <t>424000</t>
  </si>
  <si>
    <t xml:space="preserve">        Merchant wholesalers, nondurable goods (4244,8)</t>
  </si>
  <si>
    <t>4240A1</t>
  </si>
  <si>
    <t xml:space="preserve">        Merchant wholesalers, nondurable goods (4242,6)</t>
  </si>
  <si>
    <t>4240A2</t>
  </si>
  <si>
    <t xml:space="preserve">        Merchant wholesalers, nondurable goods (4241,7,9)</t>
  </si>
  <si>
    <t>4240A3</t>
  </si>
  <si>
    <t xml:space="preserve">        Apparel, piece goods, and notions merchant wholesalers</t>
  </si>
  <si>
    <t>424300</t>
  </si>
  <si>
    <t xml:space="preserve">        Farm product raw material merchant wholesalers</t>
  </si>
  <si>
    <t>424500</t>
  </si>
  <si>
    <t xml:space="preserve">      Wholesale trade agents and brokers</t>
  </si>
  <si>
    <t>425000</t>
  </si>
  <si>
    <t xml:space="preserve">    Retail trade</t>
  </si>
  <si>
    <t>44-450</t>
  </si>
  <si>
    <t xml:space="preserve">      Motor vehicle and parts dealers</t>
  </si>
  <si>
    <t>441000</t>
  </si>
  <si>
    <t xml:space="preserve">        Automobile dealers</t>
  </si>
  <si>
    <t>441100</t>
  </si>
  <si>
    <t xml:space="preserve">        Other motor vehicle dealers</t>
  </si>
  <si>
    <t>441200</t>
  </si>
  <si>
    <t xml:space="preserve">        Automotive parts, accessories, and tire retailers</t>
  </si>
  <si>
    <t>441300</t>
  </si>
  <si>
    <t xml:space="preserve">      Food and beverage retailers</t>
  </si>
  <si>
    <t>445000</t>
  </si>
  <si>
    <t xml:space="preserve">        Grocery and specialty food retailers</t>
  </si>
  <si>
    <t>4450A1</t>
  </si>
  <si>
    <t xml:space="preserve">        Beer, wine, and liquor retailers</t>
  </si>
  <si>
    <t>445300</t>
  </si>
  <si>
    <t xml:space="preserve">      General merchandise retailers</t>
  </si>
  <si>
    <t>455000</t>
  </si>
  <si>
    <t xml:space="preserve">      All other retail trade (444, 449, 456-9)</t>
  </si>
  <si>
    <t>4445R0</t>
  </si>
  <si>
    <t xml:space="preserve">        Building material and garden equipment and supplies dealers</t>
  </si>
  <si>
    <t>444000</t>
  </si>
  <si>
    <t xml:space="preserve">          Building material and supplies dealers</t>
  </si>
  <si>
    <t>444100</t>
  </si>
  <si>
    <t xml:space="preserve">          Lawn and garden equipment and supplies retailers</t>
  </si>
  <si>
    <t>444200</t>
  </si>
  <si>
    <t xml:space="preserve">        Furniture, home furnishings, electronics, and appliance retailers</t>
  </si>
  <si>
    <t>449000</t>
  </si>
  <si>
    <t xml:space="preserve">          Furniture and home furnishings retailers</t>
  </si>
  <si>
    <t>449100</t>
  </si>
  <si>
    <t xml:space="preserve">          Electronics and appliance retailers</t>
  </si>
  <si>
    <t>449200</t>
  </si>
  <si>
    <t xml:space="preserve">        Health and personal care retailers</t>
  </si>
  <si>
    <t>456000</t>
  </si>
  <si>
    <t xml:space="preserve">          Health and personal care retailers</t>
  </si>
  <si>
    <t>456100</t>
  </si>
  <si>
    <t xml:space="preserve">            Pharmacies and drug retailers</t>
  </si>
  <si>
    <t>456110</t>
  </si>
  <si>
    <t xml:space="preserve">        Gasoline stations and fuel dealers</t>
  </si>
  <si>
    <t>457000</t>
  </si>
  <si>
    <t xml:space="preserve">          Gasoline stations</t>
  </si>
  <si>
    <t>457100</t>
  </si>
  <si>
    <t xml:space="preserve">          Fuel dealers</t>
  </si>
  <si>
    <t>457200</t>
  </si>
  <si>
    <t xml:space="preserve">        Clothing, clothing accessories, shoe, and jewelry retailers</t>
  </si>
  <si>
    <t>458000</t>
  </si>
  <si>
    <t xml:space="preserve">          Clothing and clothing accessories retailers</t>
  </si>
  <si>
    <t>458100</t>
  </si>
  <si>
    <t xml:space="preserve">          Shoe retailers</t>
  </si>
  <si>
    <t>458200</t>
  </si>
  <si>
    <t xml:space="preserve">          Jewelry, luggage, and leather goods retailers</t>
  </si>
  <si>
    <t>458300</t>
  </si>
  <si>
    <t xml:space="preserve">        Sporting goods, hobby, musical instrument, book, and miscellaneous retailers</t>
  </si>
  <si>
    <t>459000</t>
  </si>
  <si>
    <t xml:space="preserve">          Sporting goods retailers</t>
  </si>
  <si>
    <t>459110</t>
  </si>
  <si>
    <t xml:space="preserve">          Book retailers and news dealers</t>
  </si>
  <si>
    <t>459200</t>
  </si>
  <si>
    <t xml:space="preserve">          Florists</t>
  </si>
  <si>
    <t>459300</t>
  </si>
  <si>
    <t xml:space="preserve">          Miscellaneous store retailers (4594 and 4595 only)</t>
  </si>
  <si>
    <t>4590A1</t>
  </si>
  <si>
    <t xml:space="preserve">          Other miscellaneous retailers</t>
  </si>
  <si>
    <t>459900</t>
  </si>
  <si>
    <t xml:space="preserve">    Transportation and warehousing</t>
  </si>
  <si>
    <t>48-490</t>
  </si>
  <si>
    <t xml:space="preserve">      Air transportation</t>
  </si>
  <si>
    <t>481000</t>
  </si>
  <si>
    <t xml:space="preserve">        Scheduled air transportation</t>
  </si>
  <si>
    <t>481100</t>
  </si>
  <si>
    <t xml:space="preserve">        Nonscheduled air transportation</t>
  </si>
  <si>
    <t>481200</t>
  </si>
  <si>
    <t xml:space="preserve">      Rail transportation</t>
  </si>
  <si>
    <t>482000</t>
  </si>
  <si>
    <t xml:space="preserve">      Water transportation</t>
  </si>
  <si>
    <t>483000</t>
  </si>
  <si>
    <t xml:space="preserve">        Deep sea, coastal, and great lakes water transportation</t>
  </si>
  <si>
    <t>483100</t>
  </si>
  <si>
    <t xml:space="preserve">        Inland water transportation</t>
  </si>
  <si>
    <t>483200</t>
  </si>
  <si>
    <t xml:space="preserve">      Truck transportation</t>
  </si>
  <si>
    <t>484000</t>
  </si>
  <si>
    <t xml:space="preserve">      Transit and ground passenger transportation</t>
  </si>
  <si>
    <t>485000</t>
  </si>
  <si>
    <t xml:space="preserve">        Urban transit systems</t>
  </si>
  <si>
    <t>485100</t>
  </si>
  <si>
    <t xml:space="preserve">        Interurban and rural bus transportation</t>
  </si>
  <si>
    <t>485200</t>
  </si>
  <si>
    <t xml:space="preserve">        Taxi and limousine service</t>
  </si>
  <si>
    <t>485300</t>
  </si>
  <si>
    <t xml:space="preserve">        School and employee bus transportation</t>
  </si>
  <si>
    <t>485400</t>
  </si>
  <si>
    <t xml:space="preserve">        Charter bus industry</t>
  </si>
  <si>
    <t>485500</t>
  </si>
  <si>
    <t xml:space="preserve">        Other transit and ground passenger transportation</t>
  </si>
  <si>
    <t>485900</t>
  </si>
  <si>
    <t xml:space="preserve">      Pipeline transportation</t>
  </si>
  <si>
    <t>486000</t>
  </si>
  <si>
    <t xml:space="preserve">        Pipeline transportation of crude oil</t>
  </si>
  <si>
    <t>486100</t>
  </si>
  <si>
    <t xml:space="preserve">        Pipeline transportation of natural gas</t>
  </si>
  <si>
    <t>486200</t>
  </si>
  <si>
    <t xml:space="preserve">        Other pipeline transportation</t>
  </si>
  <si>
    <t>486900</t>
  </si>
  <si>
    <t xml:space="preserve">      Scenic and sightseeing transportation and support activities for transportation</t>
  </si>
  <si>
    <t>487-80</t>
  </si>
  <si>
    <t xml:space="preserve">        Scenic and sightseeing transportation</t>
  </si>
  <si>
    <t>487000</t>
  </si>
  <si>
    <t xml:space="preserve">          Scenic and sightseeing transportation, land</t>
  </si>
  <si>
    <t>487100</t>
  </si>
  <si>
    <t xml:space="preserve">          Scenic and sightseeing transportation, water</t>
  </si>
  <si>
    <t>487200</t>
  </si>
  <si>
    <t xml:space="preserve">          Scenic and sightseeing transportation, other</t>
  </si>
  <si>
    <t>487900</t>
  </si>
  <si>
    <t xml:space="preserve">        Support activities for transportation</t>
  </si>
  <si>
    <t>488000</t>
  </si>
  <si>
    <t xml:space="preserve">          Support activities for air transportation</t>
  </si>
  <si>
    <t>488100</t>
  </si>
  <si>
    <t xml:space="preserve">          Support activities for rail transportation</t>
  </si>
  <si>
    <t>488200</t>
  </si>
  <si>
    <t xml:space="preserve">          Support activities for water transportation</t>
  </si>
  <si>
    <t>488300</t>
  </si>
  <si>
    <t xml:space="preserve">          Support activities for road transportation</t>
  </si>
  <si>
    <t>488400</t>
  </si>
  <si>
    <t xml:space="preserve">          Freight transportation arrangement</t>
  </si>
  <si>
    <t>488500</t>
  </si>
  <si>
    <t xml:space="preserve">          Other support activities for transportation</t>
  </si>
  <si>
    <t>488900</t>
  </si>
  <si>
    <t xml:space="preserve">      Couriers and messengers</t>
  </si>
  <si>
    <t>492000</t>
  </si>
  <si>
    <t xml:space="preserve">        Couriers and express delivery services</t>
  </si>
  <si>
    <t>492100</t>
  </si>
  <si>
    <t xml:space="preserve">        Local messengers and local delivery</t>
  </si>
  <si>
    <t>492200</t>
  </si>
  <si>
    <t xml:space="preserve">      Warehousing and storage</t>
  </si>
  <si>
    <t>493000</t>
  </si>
  <si>
    <t xml:space="preserve">    Information</t>
  </si>
  <si>
    <t>510000</t>
  </si>
  <si>
    <t xml:space="preserve">      Motion picture and sound recording industries</t>
  </si>
  <si>
    <t>512000</t>
  </si>
  <si>
    <t xml:space="preserve">        Motion picture and video industries</t>
  </si>
  <si>
    <t>512100</t>
  </si>
  <si>
    <t xml:space="preserve">          Motion picture and video exhibition</t>
  </si>
  <si>
    <t>512130</t>
  </si>
  <si>
    <t xml:space="preserve">        Sound recording industries</t>
  </si>
  <si>
    <t>512200</t>
  </si>
  <si>
    <t xml:space="preserve">      Publishing, broadcasting, and content providers</t>
  </si>
  <si>
    <t>513-90</t>
  </si>
  <si>
    <t xml:space="preserve">        Software publishers</t>
  </si>
  <si>
    <t>513200</t>
  </si>
  <si>
    <t xml:space="preserve">        Miscellaneous information services (5131, 516, 519)</t>
  </si>
  <si>
    <t>5136A9</t>
  </si>
  <si>
    <t xml:space="preserve">          Newspaper, Periodical, Book, and Directory Publishers</t>
  </si>
  <si>
    <t>513100</t>
  </si>
  <si>
    <t xml:space="preserve">            Newspaper publishers</t>
  </si>
  <si>
    <t>513110</t>
  </si>
  <si>
    <t xml:space="preserve">          Broadcasting and Content Providers</t>
  </si>
  <si>
    <t>516000</t>
  </si>
  <si>
    <t xml:space="preserve">            Radio and Television Broadcasting Stations</t>
  </si>
  <si>
    <t>516100</t>
  </si>
  <si>
    <t xml:space="preserve">              Radio broadcasting stations</t>
  </si>
  <si>
    <t>516110</t>
  </si>
  <si>
    <t xml:space="preserve">              Television broadcasting stations</t>
  </si>
  <si>
    <t>516120</t>
  </si>
  <si>
    <t xml:space="preserve">            Media streaming distribution services, social networks, and other media networks and content providers</t>
  </si>
  <si>
    <t>516210</t>
  </si>
  <si>
    <t xml:space="preserve">          Web search portals, libraries, archives, and other information services</t>
  </si>
  <si>
    <t>519000</t>
  </si>
  <si>
    <t xml:space="preserve">        Telecommunications</t>
  </si>
  <si>
    <t>517000</t>
  </si>
  <si>
    <t xml:space="preserve">        Computing infrastructure providers, data processing, web hosting, and related services</t>
  </si>
  <si>
    <t>518000</t>
  </si>
  <si>
    <t xml:space="preserve">    Finance and insurance</t>
  </si>
  <si>
    <t>520000</t>
  </si>
  <si>
    <t xml:space="preserve">      Monetary authorities - central bank, and credit intermediation and related activities</t>
  </si>
  <si>
    <t>521-20</t>
  </si>
  <si>
    <t xml:space="preserve">        Monetary authorities-central bank</t>
  </si>
  <si>
    <t>521000</t>
  </si>
  <si>
    <t xml:space="preserve">        Credit intermediation and related activities</t>
  </si>
  <si>
    <t>522000</t>
  </si>
  <si>
    <t xml:space="preserve">          Credit intermediation and related activities (5221,3)</t>
  </si>
  <si>
    <t>5220A1</t>
  </si>
  <si>
    <t xml:space="preserve">          Nondepository credit intermediation</t>
  </si>
  <si>
    <t>522200</t>
  </si>
  <si>
    <t xml:space="preserve">            Other nondepository credit intermediation</t>
  </si>
  <si>
    <t>522290</t>
  </si>
  <si>
    <t xml:space="preserve">      Securities, commodity contracts, and other financial investments and related activities</t>
  </si>
  <si>
    <t>523000</t>
  </si>
  <si>
    <t xml:space="preserve">      Insurance carriers and related activities</t>
  </si>
  <si>
    <t>524000</t>
  </si>
  <si>
    <t xml:space="preserve">        Insurance carriers</t>
  </si>
  <si>
    <t>524100</t>
  </si>
  <si>
    <t xml:space="preserve">          Direct health and medical insurance carriers</t>
  </si>
  <si>
    <t>524114</t>
  </si>
  <si>
    <t xml:space="preserve">          Direct insurance (except life, health, and medical) carriers</t>
  </si>
  <si>
    <t>524120</t>
  </si>
  <si>
    <t xml:space="preserve">        Agencies, brokerages, and other insurance related activities</t>
  </si>
  <si>
    <t>524200</t>
  </si>
  <si>
    <t xml:space="preserve">          Insurance agencies and brokerages</t>
  </si>
  <si>
    <t>524210</t>
  </si>
  <si>
    <t xml:space="preserve">          Other insurance related activities</t>
  </si>
  <si>
    <t>524290</t>
  </si>
  <si>
    <t xml:space="preserve">      Funds, trusts, and other financial vehicles</t>
  </si>
  <si>
    <t>525000</t>
  </si>
  <si>
    <t xml:space="preserve">        Insurance and employee benefit funds</t>
  </si>
  <si>
    <t>525100</t>
  </si>
  <si>
    <t xml:space="preserve">        Other investment pools and funds</t>
  </si>
  <si>
    <t>525900</t>
  </si>
  <si>
    <t xml:space="preserve">    Real estate and rental and leasing</t>
  </si>
  <si>
    <t>530000</t>
  </si>
  <si>
    <t xml:space="preserve">      Real estate</t>
  </si>
  <si>
    <t>531000</t>
  </si>
  <si>
    <t xml:space="preserve">      Rental and leasing services</t>
  </si>
  <si>
    <t>532000</t>
  </si>
  <si>
    <t xml:space="preserve">        Rental and leasing services (5322,3,4)</t>
  </si>
  <si>
    <t>5320A1</t>
  </si>
  <si>
    <t xml:space="preserve">        Automotive equipment rental and leasing</t>
  </si>
  <si>
    <t>532100</t>
  </si>
  <si>
    <t xml:space="preserve">      Lessors of nonfinancial intangible assets (except copyrighted works)</t>
  </si>
  <si>
    <t>533000</t>
  </si>
  <si>
    <t xml:space="preserve">    Professional, scientific, and technical services</t>
  </si>
  <si>
    <t>540000</t>
  </si>
  <si>
    <t xml:space="preserve">      Professional, scientific, and technical services</t>
  </si>
  <si>
    <t>541000</t>
  </si>
  <si>
    <t xml:space="preserve">        Legal services</t>
  </si>
  <si>
    <t>541100</t>
  </si>
  <si>
    <t xml:space="preserve">        Accounting, tax preparation, bookkeeping, and payroll services</t>
  </si>
  <si>
    <t>541200</t>
  </si>
  <si>
    <t xml:space="preserve">        Architectural, engineering, and related services</t>
  </si>
  <si>
    <t>541300</t>
  </si>
  <si>
    <t xml:space="preserve">          Engineering services</t>
  </si>
  <si>
    <t>541330</t>
  </si>
  <si>
    <t xml:space="preserve">          Testing laboratories and services</t>
  </si>
  <si>
    <t>541380</t>
  </si>
  <si>
    <t xml:space="preserve">        Specialized design services</t>
  </si>
  <si>
    <t>541400</t>
  </si>
  <si>
    <t xml:space="preserve">        Computer systems design and related services</t>
  </si>
  <si>
    <t>541500</t>
  </si>
  <si>
    <t xml:space="preserve">        Management, scientific, and technical consulting services</t>
  </si>
  <si>
    <t>541600</t>
  </si>
  <si>
    <t xml:space="preserve">        Scientific research and development services</t>
  </si>
  <si>
    <t>541700</t>
  </si>
  <si>
    <t xml:space="preserve">          Research and development in the physical, engineering, and life sciences</t>
  </si>
  <si>
    <t>541710</t>
  </si>
  <si>
    <t xml:space="preserve">          Research and development in the social sciences and humanities</t>
  </si>
  <si>
    <t>541720</t>
  </si>
  <si>
    <t xml:space="preserve">        Advertising, public relations, and related services</t>
  </si>
  <si>
    <t>541800</t>
  </si>
  <si>
    <t xml:space="preserve">        Other professional, scientific, and technical services</t>
  </si>
  <si>
    <t>541900</t>
  </si>
  <si>
    <t xml:space="preserve">          Photographic services</t>
  </si>
  <si>
    <t>541920</t>
  </si>
  <si>
    <t xml:space="preserve">          Veterinary services</t>
  </si>
  <si>
    <t>541940</t>
  </si>
  <si>
    <t xml:space="preserve">    Management of companies and enterprises</t>
  </si>
  <si>
    <t>550000</t>
  </si>
  <si>
    <t xml:space="preserve">      Management of companies and enterprises</t>
  </si>
  <si>
    <t>551000</t>
  </si>
  <si>
    <t xml:space="preserve">    Administrative and support and waste management and remediation services</t>
  </si>
  <si>
    <t>560000</t>
  </si>
  <si>
    <t xml:space="preserve">      Administrative and support services</t>
  </si>
  <si>
    <t>561000</t>
  </si>
  <si>
    <t xml:space="preserve">        Office administrative services</t>
  </si>
  <si>
    <t>561100</t>
  </si>
  <si>
    <t xml:space="preserve">        Facilities support services</t>
  </si>
  <si>
    <t>561200</t>
  </si>
  <si>
    <t xml:space="preserve">        Employment services</t>
  </si>
  <si>
    <t>561300</t>
  </si>
  <si>
    <t xml:space="preserve">          Temporary help services</t>
  </si>
  <si>
    <t>561320</t>
  </si>
  <si>
    <t xml:space="preserve">        Business support services</t>
  </si>
  <si>
    <t>561400</t>
  </si>
  <si>
    <t xml:space="preserve">        Travel arrangement and reservation services</t>
  </si>
  <si>
    <t>561500</t>
  </si>
  <si>
    <t xml:space="preserve">        Investigation and security services</t>
  </si>
  <si>
    <t>561600</t>
  </si>
  <si>
    <t xml:space="preserve">          Investigation, guard, and armored car services</t>
  </si>
  <si>
    <t>561610</t>
  </si>
  <si>
    <t xml:space="preserve">          Security systems services</t>
  </si>
  <si>
    <t>561620</t>
  </si>
  <si>
    <t xml:space="preserve">        Services to buildings and dwellings</t>
  </si>
  <si>
    <t>561700</t>
  </si>
  <si>
    <t xml:space="preserve">          Exterminating and pest control services</t>
  </si>
  <si>
    <t>561710</t>
  </si>
  <si>
    <t xml:space="preserve">          Landscaping services</t>
  </si>
  <si>
    <t>561730</t>
  </si>
  <si>
    <t xml:space="preserve">        Other support services</t>
  </si>
  <si>
    <t>561900</t>
  </si>
  <si>
    <t xml:space="preserve">      Waste management and remediation services</t>
  </si>
  <si>
    <t>562000</t>
  </si>
  <si>
    <t xml:space="preserve">        Waste collection</t>
  </si>
  <si>
    <t>562100</t>
  </si>
  <si>
    <t xml:space="preserve">        Waste treatment and disposal</t>
  </si>
  <si>
    <t>562200</t>
  </si>
  <si>
    <t xml:space="preserve">        Remediation and other waste management services</t>
  </si>
  <si>
    <t>562900</t>
  </si>
  <si>
    <t xml:space="preserve">    Educational services; state, local, and private</t>
  </si>
  <si>
    <t>610000</t>
  </si>
  <si>
    <t xml:space="preserve">      Educational services; state, local, and private</t>
  </si>
  <si>
    <t>611000</t>
  </si>
  <si>
    <t xml:space="preserve">        Educational services; private</t>
  </si>
  <si>
    <t>6110P0</t>
  </si>
  <si>
    <t xml:space="preserve">          Elementary and secondary schools; private</t>
  </si>
  <si>
    <t>61110P</t>
  </si>
  <si>
    <t xml:space="preserve">          Junior colleges, colleges, universities, and professional schools; private (6112,3)</t>
  </si>
  <si>
    <t>6110P1</t>
  </si>
  <si>
    <t xml:space="preserve">            Junior colleges; private</t>
  </si>
  <si>
    <t>61120P</t>
  </si>
  <si>
    <t xml:space="preserve">            Colleges, universities, and professional schools; private</t>
  </si>
  <si>
    <t>61130P</t>
  </si>
  <si>
    <t xml:space="preserve">          Other educational services; private (6114-7)</t>
  </si>
  <si>
    <t>6110P2</t>
  </si>
  <si>
    <t xml:space="preserve">            Business schools and computer and management training; private</t>
  </si>
  <si>
    <t>61140P</t>
  </si>
  <si>
    <t xml:space="preserve">            Technical and trade schools; private</t>
  </si>
  <si>
    <t>61150P</t>
  </si>
  <si>
    <t xml:space="preserve">            Other schools and instruction; private</t>
  </si>
  <si>
    <t>61160P</t>
  </si>
  <si>
    <t xml:space="preserve">            Educational support services; private</t>
  </si>
  <si>
    <t>61170P</t>
  </si>
  <si>
    <t xml:space="preserve">        Educational services; state and local</t>
  </si>
  <si>
    <t>6110Y0</t>
  </si>
  <si>
    <t xml:space="preserve">          Elementary and secondary schools; state</t>
  </si>
  <si>
    <t>61110S</t>
  </si>
  <si>
    <t xml:space="preserve">          Elementary and secondary schools; local</t>
  </si>
  <si>
    <t>61110L</t>
  </si>
  <si>
    <t xml:space="preserve">          Junior colleges, colleges, universities, and professional schools; state and local (6112,3)</t>
  </si>
  <si>
    <t>6110Y1</t>
  </si>
  <si>
    <t xml:space="preserve">            Junior colleges; state</t>
  </si>
  <si>
    <t>61120S</t>
  </si>
  <si>
    <t xml:space="preserve">            Junior colleges; local</t>
  </si>
  <si>
    <t>61120L</t>
  </si>
  <si>
    <t xml:space="preserve">            Colleges, universities, and professional schools; state</t>
  </si>
  <si>
    <t>61130S</t>
  </si>
  <si>
    <t xml:space="preserve">            Colleges, universities, and professional schools; local</t>
  </si>
  <si>
    <t>61130L</t>
  </si>
  <si>
    <t xml:space="preserve">          Other educational services; state and local (6114-7)</t>
  </si>
  <si>
    <t>6110Y2</t>
  </si>
  <si>
    <t xml:space="preserve">            Business schools and computer and management training; state</t>
  </si>
  <si>
    <t>61140S</t>
  </si>
  <si>
    <t xml:space="preserve">            Business schools and computer and management training; local</t>
  </si>
  <si>
    <t>61140L</t>
  </si>
  <si>
    <t xml:space="preserve">            Technical and trade schools; state</t>
  </si>
  <si>
    <t>61150S</t>
  </si>
  <si>
    <t xml:space="preserve">            Technical and trade schools; local</t>
  </si>
  <si>
    <t>61150L</t>
  </si>
  <si>
    <t xml:space="preserve">            Other schools and instruction; state</t>
  </si>
  <si>
    <t>61160S</t>
  </si>
  <si>
    <t xml:space="preserve">            Other schools and instruction; local</t>
  </si>
  <si>
    <t>61160L</t>
  </si>
  <si>
    <t xml:space="preserve">            Educational support services; local</t>
  </si>
  <si>
    <t>61170L</t>
  </si>
  <si>
    <t xml:space="preserve">    Healthcare and social assistance</t>
  </si>
  <si>
    <t>620000</t>
  </si>
  <si>
    <t xml:space="preserve">      Ambulatory healthcare services</t>
  </si>
  <si>
    <t>621000</t>
  </si>
  <si>
    <t xml:space="preserve">        Offices of physicians</t>
  </si>
  <si>
    <t>621100</t>
  </si>
  <si>
    <t xml:space="preserve">        Offices of dentists</t>
  </si>
  <si>
    <t>621200</t>
  </si>
  <si>
    <t xml:space="preserve">        Offices of other health practitioners</t>
  </si>
  <si>
    <t>621300</t>
  </si>
  <si>
    <t xml:space="preserve">          Offices of chiropractors</t>
  </si>
  <si>
    <t>621310</t>
  </si>
  <si>
    <t xml:space="preserve">          Offices of optometrists</t>
  </si>
  <si>
    <t>621320</t>
  </si>
  <si>
    <t xml:space="preserve">          Offices of mental health practitioners (except physicians)</t>
  </si>
  <si>
    <t>621330</t>
  </si>
  <si>
    <t xml:space="preserve">          Offices of physical, occupational and speech therapists, and audiologists</t>
  </si>
  <si>
    <t>621340</t>
  </si>
  <si>
    <t xml:space="preserve">          Offices of all other health practitioners</t>
  </si>
  <si>
    <t>621390</t>
  </si>
  <si>
    <t xml:space="preserve">        Outpatient care centers</t>
  </si>
  <si>
    <t>621400</t>
  </si>
  <si>
    <t xml:space="preserve">          Outpatient mental health and substance abuse centers</t>
  </si>
  <si>
    <t>621420</t>
  </si>
  <si>
    <t xml:space="preserve">        Medical and diagnostic laboratories</t>
  </si>
  <si>
    <t>621500</t>
  </si>
  <si>
    <t xml:space="preserve">        Home healthcare services</t>
  </si>
  <si>
    <t>621600</t>
  </si>
  <si>
    <t xml:space="preserve">        Other ambulatory healthcare services</t>
  </si>
  <si>
    <t>621900</t>
  </si>
  <si>
    <t xml:space="preserve">          Ambulance services</t>
  </si>
  <si>
    <t>621910</t>
  </si>
  <si>
    <t xml:space="preserve">          All other ambulatory healthcare services</t>
  </si>
  <si>
    <t>621990</t>
  </si>
  <si>
    <t xml:space="preserve">      Hospitals; state, local, and private</t>
  </si>
  <si>
    <t>622000</t>
  </si>
  <si>
    <t xml:space="preserve">        Hospitals; private</t>
  </si>
  <si>
    <t>6220P0</t>
  </si>
  <si>
    <t xml:space="preserve">          General medical and surgical hospitals; private</t>
  </si>
  <si>
    <t>62210P</t>
  </si>
  <si>
    <t xml:space="preserve">          Psychiatric and substance abuse hospitals; private</t>
  </si>
  <si>
    <t>62220P</t>
  </si>
  <si>
    <t xml:space="preserve">          Specialty (except psychiatric and substance abuse) hospitals; private</t>
  </si>
  <si>
    <t>62230P</t>
  </si>
  <si>
    <t xml:space="preserve">        Hospitals; state and local</t>
  </si>
  <si>
    <t>6220Y0</t>
  </si>
  <si>
    <t xml:space="preserve">          General medical and surgical hospitals; state</t>
  </si>
  <si>
    <t>62210S</t>
  </si>
  <si>
    <t xml:space="preserve">          General medical and surgical hospitals; local</t>
  </si>
  <si>
    <t>62210L</t>
  </si>
  <si>
    <t xml:space="preserve">          Psychiatric and substance abuse hospitals; state</t>
  </si>
  <si>
    <t>62220S</t>
  </si>
  <si>
    <t xml:space="preserve">          Psychiatric and substance abuse hospitals; local</t>
  </si>
  <si>
    <t>62220L</t>
  </si>
  <si>
    <t xml:space="preserve">          Specialty (except psychiatric and substance abuse) hospitals; state</t>
  </si>
  <si>
    <t>62230S</t>
  </si>
  <si>
    <t xml:space="preserve">          Specialty (except psychiatric and substance abuse) hospitals; local</t>
  </si>
  <si>
    <t>62230L</t>
  </si>
  <si>
    <t xml:space="preserve">      Nursing and residential care facilities</t>
  </si>
  <si>
    <t>623000</t>
  </si>
  <si>
    <t xml:space="preserve">          Nursing care facilities (skilled nursing facilities)</t>
  </si>
  <si>
    <t>623100</t>
  </si>
  <si>
    <t xml:space="preserve">          Continuing care retirement communities and assisted living facilities for the elderly</t>
  </si>
  <si>
    <t>623300</t>
  </si>
  <si>
    <t xml:space="preserve">          Residential intellectual and developmental disability, mental health, and substance abuse facilities</t>
  </si>
  <si>
    <t>623200</t>
  </si>
  <si>
    <t xml:space="preserve">            Residential intellectual and developmental disability facilities</t>
  </si>
  <si>
    <t>623210</t>
  </si>
  <si>
    <t xml:space="preserve">            Residential mental health and substance abuse facilities</t>
  </si>
  <si>
    <t>623220</t>
  </si>
  <si>
    <t xml:space="preserve">          Other residential care facilities</t>
  </si>
  <si>
    <t>623900</t>
  </si>
  <si>
    <t xml:space="preserve">      Social assistance</t>
  </si>
  <si>
    <t>624000</t>
  </si>
  <si>
    <t xml:space="preserve">        Individual and family services</t>
  </si>
  <si>
    <t>624100</t>
  </si>
  <si>
    <t xml:space="preserve">          Services for the elderly and persons with disabilities</t>
  </si>
  <si>
    <t>624120</t>
  </si>
  <si>
    <t xml:space="preserve">        Community food and housing, emergency and other relief services, and vocational rehabilitation services</t>
  </si>
  <si>
    <t>6242-3</t>
  </si>
  <si>
    <t xml:space="preserve">          Community food and housing, and emergency and other relief services</t>
  </si>
  <si>
    <t>624200</t>
  </si>
  <si>
    <t xml:space="preserve">          Vocational rehabilitation services</t>
  </si>
  <si>
    <t>624300</t>
  </si>
  <si>
    <t xml:space="preserve">        Child daycare services</t>
  </si>
  <si>
    <t>624400</t>
  </si>
  <si>
    <t xml:space="preserve">    Arts, entertainment, and recreation</t>
  </si>
  <si>
    <t>710000</t>
  </si>
  <si>
    <t xml:space="preserve">      Performing arts, spectator sports, and related industries</t>
  </si>
  <si>
    <t>711000</t>
  </si>
  <si>
    <t xml:space="preserve">        Performing arts companies</t>
  </si>
  <si>
    <t>711100</t>
  </si>
  <si>
    <t xml:space="preserve">          Theater companies and dinner theaters</t>
  </si>
  <si>
    <t>711110</t>
  </si>
  <si>
    <t xml:space="preserve">        Spectator sports</t>
  </si>
  <si>
    <t>711200</t>
  </si>
  <si>
    <t xml:space="preserve">        Promoters of performing arts and sports, and agents for public figures</t>
  </si>
  <si>
    <t>7113-4</t>
  </si>
  <si>
    <t xml:space="preserve">          Promoters of performing arts, sports, and similar events</t>
  </si>
  <si>
    <t>711300</t>
  </si>
  <si>
    <t xml:space="preserve">          Agents and managers for artists, athletes, entertainers, and other public figures</t>
  </si>
  <si>
    <t>711400</t>
  </si>
  <si>
    <t xml:space="preserve">        Independent artists, writers, and performers</t>
  </si>
  <si>
    <t>711500</t>
  </si>
  <si>
    <t xml:space="preserve">      Museums, historical sites, and similar institutions</t>
  </si>
  <si>
    <t>712000</t>
  </si>
  <si>
    <t xml:space="preserve">      Amusement, gambling, and recreation industries</t>
  </si>
  <si>
    <t>713000</t>
  </si>
  <si>
    <t xml:space="preserve">        Amusement parks and arcades</t>
  </si>
  <si>
    <t>713100</t>
  </si>
  <si>
    <t xml:space="preserve">        Gambling industries (except casino hotels)</t>
  </si>
  <si>
    <t>713200</t>
  </si>
  <si>
    <t xml:space="preserve">        Other amusement and recreation industries</t>
  </si>
  <si>
    <t>713900</t>
  </si>
  <si>
    <t xml:space="preserve">          Fitness and recreational sports centers</t>
  </si>
  <si>
    <t>713940</t>
  </si>
  <si>
    <t xml:space="preserve">    Accommodation and food services</t>
  </si>
  <si>
    <t>720000</t>
  </si>
  <si>
    <t xml:space="preserve">      Accommodation</t>
  </si>
  <si>
    <t>721000</t>
  </si>
  <si>
    <t xml:space="preserve">        Traveler accommodation</t>
  </si>
  <si>
    <t>721100</t>
  </si>
  <si>
    <t xml:space="preserve">          Casino hotels</t>
  </si>
  <si>
    <t>721120</t>
  </si>
  <si>
    <t xml:space="preserve">        RV (recreational vehicle) parks and recreational camps</t>
  </si>
  <si>
    <t>721200</t>
  </si>
  <si>
    <t xml:space="preserve">        Rooming and boarding houses, dormitories, and workers' camps</t>
  </si>
  <si>
    <t>721300</t>
  </si>
  <si>
    <t xml:space="preserve">      Food services and drinking places</t>
  </si>
  <si>
    <t>722000</t>
  </si>
  <si>
    <t xml:space="preserve">        Full-service restaurants</t>
  </si>
  <si>
    <t>722511</t>
  </si>
  <si>
    <t xml:space="preserve">          Special food services</t>
  </si>
  <si>
    <t>722300</t>
  </si>
  <si>
    <t xml:space="preserve">          Drinking places (alcoholic beverages)</t>
  </si>
  <si>
    <t>722400</t>
  </si>
  <si>
    <t xml:space="preserve">    Other services (except public administration)</t>
  </si>
  <si>
    <t>810000</t>
  </si>
  <si>
    <t xml:space="preserve">      Repair and maintenance</t>
  </si>
  <si>
    <t>811000</t>
  </si>
  <si>
    <t xml:space="preserve">        Automotive repair and maintenance</t>
  </si>
  <si>
    <t>811100</t>
  </si>
  <si>
    <t xml:space="preserve">          Automotive mechanical and electrical repair and maintenance</t>
  </si>
  <si>
    <t>811110</t>
  </si>
  <si>
    <t xml:space="preserve">          Automotive body, paint, interior, and glass repair</t>
  </si>
  <si>
    <t>811120</t>
  </si>
  <si>
    <t xml:space="preserve">          Other automotive repair and maintenance</t>
  </si>
  <si>
    <t>811190</t>
  </si>
  <si>
    <t xml:space="preserve">        Electronic and precision equipment repair and maintenance</t>
  </si>
  <si>
    <t>811200</t>
  </si>
  <si>
    <t xml:space="preserve">        Commercial and industrial machinery and equipment (except automotive and electronic) repair and maintenance</t>
  </si>
  <si>
    <t>811300</t>
  </si>
  <si>
    <t xml:space="preserve">        Personal and household goods repair and maintenance</t>
  </si>
  <si>
    <t>811400</t>
  </si>
  <si>
    <t xml:space="preserve">      Personal and laundry services</t>
  </si>
  <si>
    <t>812000</t>
  </si>
  <si>
    <t xml:space="preserve">        Personal care services</t>
  </si>
  <si>
    <t>812100</t>
  </si>
  <si>
    <t xml:space="preserve">        Death care services</t>
  </si>
  <si>
    <t>812200</t>
  </si>
  <si>
    <t xml:space="preserve">        Drycleaning and laundry services</t>
  </si>
  <si>
    <t>812300</t>
  </si>
  <si>
    <t xml:space="preserve">        Other personal services</t>
  </si>
  <si>
    <t>812900</t>
  </si>
  <si>
    <t xml:space="preserve">      Religious, grantmaking, civic, professional, and similar organizations</t>
  </si>
  <si>
    <t>813000</t>
  </si>
  <si>
    <t xml:space="preserve">        Grantmaking and giving services and social advocacy organizations</t>
  </si>
  <si>
    <t>8132-3</t>
  </si>
  <si>
    <t xml:space="preserve">          Grantmaking and giving services</t>
  </si>
  <si>
    <t>813200</t>
  </si>
  <si>
    <t xml:space="preserve">          Social advocacy organizations</t>
  </si>
  <si>
    <t>813300</t>
  </si>
  <si>
    <t xml:space="preserve">        Civic, social, professional, and similar organizations</t>
  </si>
  <si>
    <t>8134-9</t>
  </si>
  <si>
    <t xml:space="preserve">          Civic and social organizations</t>
  </si>
  <si>
    <t>813400</t>
  </si>
  <si>
    <t xml:space="preserve">          Business, professional, labor, political, and similar organizations</t>
  </si>
  <si>
    <t>813900</t>
  </si>
  <si>
    <t xml:space="preserve">            Labor unions and similar labor organizations</t>
  </si>
  <si>
    <t>813930</t>
  </si>
  <si>
    <t xml:space="preserve">      Private households</t>
  </si>
  <si>
    <t>814000</t>
  </si>
  <si>
    <t xml:space="preserve">    Government, excluding state and local education and hospitals</t>
  </si>
  <si>
    <t>900000</t>
  </si>
  <si>
    <t xml:space="preserve">      Federal government</t>
  </si>
  <si>
    <t>910000</t>
  </si>
  <si>
    <t xml:space="preserve">        Postal service</t>
  </si>
  <si>
    <t>491000</t>
  </si>
  <si>
    <t xml:space="preserve">        Federal government, excluding postal service</t>
  </si>
  <si>
    <t>999100</t>
  </si>
  <si>
    <t xml:space="preserve">      State and local government, excluding education and hospitals</t>
  </si>
  <si>
    <t>9992-3</t>
  </si>
  <si>
    <t xml:space="preserve">        State government, excluding education and hospitals</t>
  </si>
  <si>
    <t>999200</t>
  </si>
  <si>
    <t xml:space="preserve">        Local government, excluding education and hospitals</t>
  </si>
  <si>
    <t>999300</t>
  </si>
  <si>
    <t>Source: Employment Projections program, U.S. Bureau of Labor Statistics</t>
  </si>
  <si>
    <t>Table 23.  Industrial Sector Macroeconomic Indicators</t>
  </si>
  <si>
    <t>https://www.eia.gov/outlooks/aeo/data/browser/#/?id=34-AEO2025&amp;cases=highZTC&amp;sourcekey=0</t>
  </si>
  <si>
    <t>Tue Dec 02 2025 13:21:59 GMT-0800 (Pacific Standard Time)</t>
  </si>
  <si>
    <t>Source: U.S. Energy Information Administration</t>
  </si>
  <si>
    <t>ISIC assignment (editable)</t>
  </si>
  <si>
    <t>full name</t>
  </si>
  <si>
    <t>api key</t>
  </si>
  <si>
    <t>units</t>
  </si>
  <si>
    <t>Growth (2024-2050)</t>
  </si>
  <si>
    <t>ISM000:ba_GDP(billionm_</t>
  </si>
  <si>
    <t>Gross Domestic Product (billion 2012 dollars)</t>
  </si>
  <si>
    <t>Industrial Macroeconomic: Gross Domestic Product: High Zero-Carbon Technology Cost</t>
  </si>
  <si>
    <t>AEO.2025.HIGHZTC.ECI_GDP_NA_NA_NA_NA_NA_BLNY09DLR.A</t>
  </si>
  <si>
    <t>billion 2012 $</t>
  </si>
  <si>
    <t>ISM000:ca_NonfarmEmploy</t>
  </si>
  <si>
    <t>Nonfarm Employment (millions)</t>
  </si>
  <si>
    <t>Industrial Macroeconomic: Employment, Nonfarm: High Zero-Carbon Technology Cost</t>
  </si>
  <si>
    <t>AEO.2025.HIGHZTC.ECI_NFE_NA_NA_NA_NA_NA_MILL.A</t>
  </si>
  <si>
    <t>millions</t>
  </si>
  <si>
    <t>Value of Shipments (billion 2012 dollars)</t>
  </si>
  <si>
    <t>Nonmanufacturing Sector</t>
  </si>
  <si>
    <t>ISM000:ea_Agricultural</t>
  </si>
  <si>
    <t>,ISIC 01,</t>
  </si>
  <si>
    <t>Agriculture/Forestry/Fishing/Hunting</t>
  </si>
  <si>
    <t>Industrial Macroeconomic: Nonmanufacturing: Agriculture/Forestry/Fishing/Hunting: High Zero-Carbon Technology Cost</t>
  </si>
  <si>
    <t>AEO.2025.HIGHZTC.ECI_VOS_NMFG_AFF_NA_NA_NA_BLNY09DLR.A</t>
  </si>
  <si>
    <t>ISM000:ea_Mining</t>
  </si>
  <si>
    <t>,ISIC 05,ISIC 06,ISIC 08,</t>
  </si>
  <si>
    <t>Mining</t>
  </si>
  <si>
    <t>Industrial Macroeconomic: Nonmanufacturing: Mining: High Zero-Carbon Technology Cost</t>
  </si>
  <si>
    <t>AEO.2025.HIGHZTC.ECI_VOS_NMFG_MING_NA_NA_NA_BLNY09DLR.A</t>
  </si>
  <si>
    <t>ISM000:ea_Construction</t>
  </si>
  <si>
    <t>,ISIC 41T43,</t>
  </si>
  <si>
    <t>Construction</t>
  </si>
  <si>
    <t>Industrial Macroeconomic: Nonmanufacturing: Construction: High Zero-Carbon Technology Cost</t>
  </si>
  <si>
    <t>AEO.2025.HIGHZTC.ECI_VOS_NMFG_CNS_NA_NA_NA_BLNY09DLR.A</t>
  </si>
  <si>
    <t>Manufacturing Sector</t>
  </si>
  <si>
    <t>ISM000:fa_FoodandKindre</t>
  </si>
  <si>
    <t>,ISIC 10T12,</t>
  </si>
  <si>
    <t>Food Products</t>
  </si>
  <si>
    <t>Industrial Macroeconomic: Manufacturing: Food Products: High Zero-Carbon Technology Cost</t>
  </si>
  <si>
    <t>AEO.2025.HIGHZTC.ECI_VOS_MANF_FPA_NA_NA_NA_BLNY09DLR.A</t>
  </si>
  <si>
    <t>ISM000:fa_BeveragesandT</t>
  </si>
  <si>
    <t>Beverages and Tobacco Products</t>
  </si>
  <si>
    <t>Industrial Macroeconomic: Manufacturing: Beverages and Tobacco Products: High Zero-Carbon Technology Cost</t>
  </si>
  <si>
    <t>AEO.2025.HIGHZTC.ECI_VOS_MANF_BVTP_NA_NA_NA_BLNY09DLR.A</t>
  </si>
  <si>
    <t>ISM000:fa_TextileMillPr</t>
  </si>
  <si>
    <t>,ISIC 13T15,</t>
  </si>
  <si>
    <t>Textile Mills and Products</t>
  </si>
  <si>
    <t>Industrial Macroeconomic: Manufacturing: Textile Mills and Products: High Zero-Carbon Technology Cost</t>
  </si>
  <si>
    <t>AEO.2025.HIGHZTC.ECI_VOS_MANF_TMP_NA_NA_NA_BLNY09DLR.A</t>
  </si>
  <si>
    <t>ISM000:fa_LumberandWood</t>
  </si>
  <si>
    <t>,ISIC 16,</t>
  </si>
  <si>
    <t>Wood Products</t>
  </si>
  <si>
    <t>Industrial Macroeconomic: Manufacturing: Wood Products: High Zero-Carbon Technology Cost</t>
  </si>
  <si>
    <t>AEO.2025.HIGHZTC.ECI_VOS_MANF_WDP_NA_NA_NA_BLNY09DLR.A</t>
  </si>
  <si>
    <t>ISM000:fa_FurnitureandF</t>
  </si>
  <si>
    <t>,ISIC 31T33,</t>
  </si>
  <si>
    <t>Furniture and Related Products</t>
  </si>
  <si>
    <t>Industrial Macroeconomic: Manufacturing: Furniture and Related Products: High Zero-Carbon Technology Cost</t>
  </si>
  <si>
    <t>AEO.2025.HIGHZTC.ECI_VOS_MANF_FRP_NA_NA_NA_BLNY09DLR.A</t>
  </si>
  <si>
    <t>ISM000:fa_PaperandAllie</t>
  </si>
  <si>
    <t>,ISIC 17T18,</t>
  </si>
  <si>
    <t>Paper Products</t>
  </si>
  <si>
    <t>Industrial Macroeconomic: Manufacturing: Paper Products: High Zero-Carbon Technology Cost</t>
  </si>
  <si>
    <t>AEO.2025.HIGHZTC.ECI_VOS_MANF_PPM_NA_NA_NA_BLNY09DLR.A</t>
  </si>
  <si>
    <t>ISM000:fa_PrintingandPu</t>
  </si>
  <si>
    <t>Industrial Macroeconomic: Manufacturing: Printing: High Zero-Carbon Technology Cost</t>
  </si>
  <si>
    <t>AEO.2025.HIGHZTC.ECI_VOS_MANF_PRN_NA_NA_NA_BLNY09DLR.A</t>
  </si>
  <si>
    <t>ISM000:fa_ChemicalandAl</t>
  </si>
  <si>
    <t>,ISIC 20,</t>
  </si>
  <si>
    <t>Chemical Manufacturing</t>
  </si>
  <si>
    <t>Industrial Macroeconomic: Manufacturing: Chemical Manufacturing: High Zero-Carbon Technology Cost</t>
  </si>
  <si>
    <t>AEO.2025.HIGHZTC.ECI_VOS_MANF_CHE_NA_NA_NA_BLNY09DLR.A</t>
  </si>
  <si>
    <t>ISM000:fa_BulkChemicals</t>
  </si>
  <si>
    <t>Bulk Chemicals</t>
  </si>
  <si>
    <t>Industrial Macroeconomic: Manufacturing: Chemicals: Bulk Chemicals: High Zero-Carbon Technology Cost</t>
  </si>
  <si>
    <t>AEO.2025.HIGHZTC.ECI_VOS_MANF_BCH_NA_NA_NA_BLNY09DLR.A</t>
  </si>
  <si>
    <t>ISM000:fa_Inorganic</t>
  </si>
  <si>
    <t>Inorganic</t>
  </si>
  <si>
    <t>Industrial Macroeconomic: Manufacturing: Chemicals: Bulk Chemicals: Inorganic: High Zero-Carbon Technology Cost</t>
  </si>
  <si>
    <t>AEO.2025.HIGHZTC.ECI_VOS_MANF_CHEIN_NA_NA_NA_BLNY09DLR.A</t>
  </si>
  <si>
    <t>ISM000:fa_Organic</t>
  </si>
  <si>
    <t>Organic</t>
  </si>
  <si>
    <t>Industrial Macroeconomic: Manufacturing: Chemicals: Bulk Chemicals: Organic: High Zero-Carbon Technology Cost</t>
  </si>
  <si>
    <t>AEO.2025.HIGHZTC.ECI_VOS_MANF_CHEOR_NA_NA_NA_BLNY09DLR.A</t>
  </si>
  <si>
    <t>ISM000:fa_Resins</t>
  </si>
  <si>
    <t>Resin</t>
  </si>
  <si>
    <t xml:space="preserve"> Synthetic Rubber</t>
  </si>
  <si>
    <t xml:space="preserve"> and Fibers</t>
  </si>
  <si>
    <t>Industrial Macroeconomic: Manufacturing: Chemicals: Bulk Chemicals: Resin, Synthetic Rubber, and Fibers: High Zero-Carbon Technology Cost</t>
  </si>
  <si>
    <t>AEO.2025.HIGHZTC.ECI_VOS_MANF_CHEBR_NA_NA_NA_BLNY09DLR.A</t>
  </si>
  <si>
    <t>ISM000:fa_AgriculturalC</t>
  </si>
  <si>
    <t>Agricultural Chemicals</t>
  </si>
  <si>
    <t>Industrial Macroeconomic: Manufacturing: Chemicals: Bulk Chemicals: Agricultural Chemicals: High Zero-Carbon Technology Cost</t>
  </si>
  <si>
    <t>AEO.2025.HIGHZTC.ECI_VOS_MANF_AGC_NA_NA_NA_BLNY09DLR.A</t>
  </si>
  <si>
    <t>ISM000:fa_OtherChemical</t>
  </si>
  <si>
    <t>Other Chemical Products</t>
  </si>
  <si>
    <t>Industrial Macroeconomic: Manufacturing: Chemicals: Other Chemical Products: High Zero-Carbon Technology Cost</t>
  </si>
  <si>
    <t>AEO.2025.HIGHZTC.ECI_VOS_MANF_CHEO_NA_NA_NA_BLNY09DLR.A</t>
  </si>
  <si>
    <t>ISM000:fa_PetroleumandC</t>
  </si>
  <si>
    <t>Petroleum and Coal Products</t>
  </si>
  <si>
    <t>Industrial Macroeconomic: Manufacturing: Petroleum and Coal Products: High Zero-Carbon Technology Cost</t>
  </si>
  <si>
    <t>AEO.2025.HIGHZTC.ECI_VOS_MANF_PCL_NA_NA_NA_BLNY09DLR.A</t>
  </si>
  <si>
    <t>ISM000:fa_PetroleumRefi</t>
  </si>
  <si>
    <t>,ISIC 19,</t>
  </si>
  <si>
    <t>Petroleum Refineries</t>
  </si>
  <si>
    <t>Industrial Macroeconomic: Manufacturing: Petroleum and Coal: Petroleum Refineries: High Zero-Carbon Technology Cost</t>
  </si>
  <si>
    <t>AEO.2025.HIGHZTC.ECI_VOS_MANF_REF_NA_NA_NA_BLNY09DLR.A</t>
  </si>
  <si>
    <t>ISM000:fa_OtherPetroleu</t>
  </si>
  <si>
    <t>,ISIC 241,</t>
  </si>
  <si>
    <t>Other Petroleum and Coal Products</t>
  </si>
  <si>
    <t>Industrial Macroeconomic: Manufacturing: Petroleum and Coal: Other Petroleum &amp; Coal Products: High Zero-Carbon Technology Cost</t>
  </si>
  <si>
    <t>AEO.2025.HIGHZTC.ECI_VOS_MANF_PCLO_NA_NA_NA_BLNY09DLR.A</t>
  </si>
  <si>
    <t>ISM000:fa_RubberandMisc</t>
  </si>
  <si>
    <t>,ISIC 22,</t>
  </si>
  <si>
    <t>Plastics and Rubber Products</t>
  </si>
  <si>
    <t>Industrial Macroeconomic: Manufacturing: Plastics and Rubber Products: High Zero-Carbon Technology Cost</t>
  </si>
  <si>
    <t>AEO.2025.HIGHZTC.ECI_VOS_MANF_PRP_NA_NA_NA_BLNY09DLR.A</t>
  </si>
  <si>
    <t>ISM000:fa_Stone,Clay,an</t>
  </si>
  <si>
    <t>Non-metallic minerals</t>
  </si>
  <si>
    <t>Industrial Macroeconomic: Manufacturing: Stone, Clay, and Glass Products: High Zero-Carbon Technology Cost</t>
  </si>
  <si>
    <t>AEO.2025.HIGHZTC.ECI_VOS_MANF_SCG_NA_NA_NA_BLNY09DLR.A</t>
  </si>
  <si>
    <t>ISM000:fa_GlassandGlass</t>
  </si>
  <si>
    <t>,ISIC 231,</t>
  </si>
  <si>
    <t>Glass and Glass Products</t>
  </si>
  <si>
    <t>Industrial Macroeconomic: Manufacturing: Stone, Clay, and Glass: Glass and Glass Products: High Zero-Carbon Technology Cost</t>
  </si>
  <si>
    <t>AEO.2025.HIGHZTC.ECI_VOS_MANF_SCGG_NA_NA_NA_BLNY09DLR.A</t>
  </si>
  <si>
    <t>ISM000:fa_CementandHydr</t>
  </si>
  <si>
    <t>,ISIC 239,</t>
  </si>
  <si>
    <t>Cement and Lime</t>
  </si>
  <si>
    <t>Industrial Macroeconomic: Manufacturing: Stone, Clay, and Glass: Cement and Lime: High Zero-Carbon Technology Cost</t>
  </si>
  <si>
    <t>AEO.2025.HIGHZTC.ECI_VOS_MANF_SCGCL_NA_NA_NA_BLNY09DLR.A</t>
  </si>
  <si>
    <t>ISM000:fa_OtherStone,Cl</t>
  </si>
  <si>
    <t>Other Nonmetallic Mineral Products</t>
  </si>
  <si>
    <t>Industrial Macroeconomic: Manufacturing: Stone, Clay, and Glass: Other Nonmetallic Mineral Products: High Zero-Carbon Technology Cost</t>
  </si>
  <si>
    <t>AEO.2025.HIGHZTC.ECI_VOS_MANF_SCGOM_NA_NA_NA_BLNY09DLR.A</t>
  </si>
  <si>
    <t>ISM000:ga_PrimaryMetals</t>
  </si>
  <si>
    <t>Primary Metals Industry</t>
  </si>
  <si>
    <t>Industrial Macroeconomic: Manufacturing: Primary Metals Industry: High Zero-Carbon Technology Cost</t>
  </si>
  <si>
    <t>AEO.2025.HIGHZTC.ECI_VOS_MANF_PMM_NA_NA_NA_BLNY09DLR.A</t>
  </si>
  <si>
    <t>ISM000:ga_BlastFurnacea</t>
  </si>
  <si>
    <t>Iron and Steel Mills and Products</t>
  </si>
  <si>
    <t>Industrial Macroeconomic: Manufacturing: Primary Metals: Iron and Steel Mills and Products: High Zero-Carbon Technology Cost</t>
  </si>
  <si>
    <t>AEO.2025.HIGHZTC.ECI_VOS_MANF_ISM_NA_NA_NA_BLNY09DLR.A</t>
  </si>
  <si>
    <t>ISM000:ga_Aluminum</t>
  </si>
  <si>
    <t>,ISIC 242,</t>
  </si>
  <si>
    <t>Alumina and Aluminum Products</t>
  </si>
  <si>
    <t>Industrial Macroeconomic: Manufacturing: Primary Metals: Alumina and Aluminum Products: High Zero-Carbon Technology Cost</t>
  </si>
  <si>
    <t>AEO.2025.HIGHZTC.ECI_VOS_MANF_AAP_NA_NA_NA_BLNY09DLR.A</t>
  </si>
  <si>
    <t>ISM000:ga_OtherPrimaryM</t>
  </si>
  <si>
    <t>Other Primary Metal Products</t>
  </si>
  <si>
    <t>Industrial Macroeconomic: Manufacturing: Primary Metals: Other Primary Metal Products: High Zero-Carbon Technology Cost</t>
  </si>
  <si>
    <t>AEO.2025.HIGHZTC.ECI_VOS_MANF_PMO_NA_NA_NA_BLNY09DLR.A</t>
  </si>
  <si>
    <t>ISM000:ga_FabricatedMet</t>
  </si>
  <si>
    <t>,ISIC 25,</t>
  </si>
  <si>
    <t>Fabricated Metal Products</t>
  </si>
  <si>
    <t>Industrial Macroeconomic: Manufacturing: Fabricated Metal Products: High Zero-Carbon Technology Cost</t>
  </si>
  <si>
    <t>AEO.2025.HIGHZTC.ECI_VOS_MANF_FBP_NA_NA_NA_BLNY09DLR.A</t>
  </si>
  <si>
    <t>ISM000:ga_IndustrialMac</t>
  </si>
  <si>
    <t>,ISIC 28,</t>
  </si>
  <si>
    <t>Machinery</t>
  </si>
  <si>
    <t>Industrial Macroeconomic: Manufacturing: Machinery: High Zero-Carbon Technology Cost</t>
  </si>
  <si>
    <t>AEO.2025.HIGHZTC.ECI_VOS_MANF_MCHI_NA_NA_NA_BLNY09DLR.A</t>
  </si>
  <si>
    <t>ISM000:ga_Electronicand</t>
  </si>
  <si>
    <t>,ISIC 26,</t>
  </si>
  <si>
    <t>Computers and Electronics</t>
  </si>
  <si>
    <t>Industrial Macroeconomic: Manufacturing: Computers and Electronics: High Zero-Carbon Technology Cost</t>
  </si>
  <si>
    <t>AEO.2025.HIGHZTC.ECI_VOS_MANF_CMPEL_NA_NA_NA_BLNY09DLR.A</t>
  </si>
  <si>
    <t>ISM000:ga_Transportatio</t>
  </si>
  <si>
    <t>,ISIC 29,ISIC 302T309,</t>
  </si>
  <si>
    <t>Transportation Equipment</t>
  </si>
  <si>
    <t>Industrial Macroeconomic: Manufacturing: Transportation Equipment: High Zero-Carbon Technology Cost</t>
  </si>
  <si>
    <t>AEO.2025.HIGHZTC.ECI_VOS_MANF_TEQ_NA_NA_NA_BLNY09DLR.A</t>
  </si>
  <si>
    <t>ISM000:ga_Instrumentsan</t>
  </si>
  <si>
    <t>,ISIC 27,</t>
  </si>
  <si>
    <t>Electrical Equipment</t>
  </si>
  <si>
    <t>Industrial Macroeconomic: Manufacturing: Electrical Equipment: High Zero-Carbon Technology Cost</t>
  </si>
  <si>
    <t>AEO.2025.HIGHZTC.ECI_VOS_MANF_EEQ_NA_NA_NA_BLNY09DLR.A</t>
  </si>
  <si>
    <t>ISM000:ga_Miscellaneous</t>
  </si>
  <si>
    <t>Miscellaneous Manufacturing</t>
  </si>
  <si>
    <t>Industrial Macroeconomic: Manufacturing: Miscellaneous Manufacturing: High Zero-Carbon Technology Cost</t>
  </si>
  <si>
    <t>AEO.2025.HIGHZTC.ECI_VOS_MANF_MISC_NA_NA_NA_BLNY09DLR.A</t>
  </si>
  <si>
    <t>ISM000:ha_TotalIndustri</t>
  </si>
  <si>
    <t>Total Industrial Value of Shipments</t>
  </si>
  <si>
    <t>Industrial Macroeconomic: Total Industrial Value of Shipments: High Zero-Carbon Technology Cost</t>
  </si>
  <si>
    <t>AEO.2025.HIGHZTC.ECI_VOS_IDAL_NA_NA_NA_NA_BLNY09DLR.A</t>
  </si>
  <si>
    <t>https://www.eia.gov/outlooks/aeo/data/browser/#/?id=34-AEO2026&amp;cases=electrnp&amp;sourcekey=0</t>
  </si>
  <si>
    <t>Thu Apr 23 2026 15:01:03 GMT-0700 (Pacific Daylight Time)</t>
  </si>
  <si>
    <t>Growth (2025-2050)</t>
  </si>
  <si>
    <t>Industrial Macroeconomic: Gross Domestic Product: Alternative Electricity and Transportation</t>
  </si>
  <si>
    <t>AEO.2026.ELECTRNP.ECI_GDP_NA_NA_NA_NA_NA_BLNY09DLR.A</t>
  </si>
  <si>
    <t>Industrial Macroeconomic: Employment, Nonfarm: Alternative Electricity and Transportation</t>
  </si>
  <si>
    <t>AEO.2026.ELECTRNP.ECI_NFE_NA_NA_NA_NA_NA_MILL.A</t>
  </si>
  <si>
    <t>Industrial Macroeconomic: Nonmanufacturing: Agriculture/Forestry/Fishing/Hunting: Alternative Electricity and Transportation</t>
  </si>
  <si>
    <t>AEO.2026.ELECTRNP.ECI_VOS_NMFG_AFF_NA_NA_NA_BLNY09DLR.A</t>
  </si>
  <si>
    <t>Industrial Macroeconomic: Nonmanufacturing: Mining: Alternative Electricity and Transportation</t>
  </si>
  <si>
    <t>AEO.2026.ELECTRNP.ECI_VOS_NMFG_MING_NA_NA_NA_BLNY09DLR.A</t>
  </si>
  <si>
    <t>Industrial Macroeconomic: Nonmanufacturing: Construction: Alternative Electricity and Transportation</t>
  </si>
  <si>
    <t>AEO.2026.ELECTRNP.ECI_VOS_NMFG_CNS_NA_NA_NA_BLNY09DLR.A</t>
  </si>
  <si>
    <t>Industrial Macroeconomic: Manufacturing: Food Products: Alternative Electricity and Transportation</t>
  </si>
  <si>
    <t>AEO.2026.ELECTRNP.ECI_VOS_MANF_FPA_NA_NA_NA_BLNY09DLR.A</t>
  </si>
  <si>
    <t>Industrial Macroeconomic: Manufacturing: Beverages and Tobacco Products: Alternative Electricity and Transportation</t>
  </si>
  <si>
    <t>AEO.2026.ELECTRNP.ECI_VOS_MANF_BVTP_NA_NA_NA_BLNY09DLR.A</t>
  </si>
  <si>
    <t>Industrial Macroeconomic: Manufacturing: Textile Mills and Products: Alternative Electricity and Transportation</t>
  </si>
  <si>
    <t>AEO.2026.ELECTRNP.ECI_VOS_MANF_TMP_NA_NA_NA_BLNY09DLR.A</t>
  </si>
  <si>
    <t>Industrial Macroeconomic: Manufacturing: Wood Products: Alternative Electricity and Transportation</t>
  </si>
  <si>
    <t>AEO.2026.ELECTRNP.ECI_VOS_MANF_WDP_NA_NA_NA_BLNY09DLR.A</t>
  </si>
  <si>
    <t>Industrial Macroeconomic: Manufacturing: Furniture and Related Products: Alternative Electricity and Transportation</t>
  </si>
  <si>
    <t>AEO.2026.ELECTRNP.ECI_VOS_MANF_FRP_NA_NA_NA_BLNY09DLR.A</t>
  </si>
  <si>
    <t>Industrial Macroeconomic: Manufacturing: Paper Products: Alternative Electricity and Transportation</t>
  </si>
  <si>
    <t>AEO.2026.ELECTRNP.ECI_VOS_MANF_PPM_NA_NA_NA_BLNY09DLR.A</t>
  </si>
  <si>
    <t>Industrial Macroeconomic: Manufacturing: Printing: Alternative Electricity and Transportation</t>
  </si>
  <si>
    <t>AEO.2026.ELECTRNP.ECI_VOS_MANF_PRN_NA_NA_NA_BLNY09DLR.A</t>
  </si>
  <si>
    <t>Industrial Macroeconomic: Manufacturing: Chemical Manufacturing: Alternative Electricity and Transportation</t>
  </si>
  <si>
    <t>AEO.2026.ELECTRNP.ECI_VOS_MANF_CHE_NA_NA_NA_BLNY09DLR.A</t>
  </si>
  <si>
    <t>Industrial Macroeconomic: Manufacturing: Chemicals: Bulk Chemicals: Alternative Electricity and Transportation</t>
  </si>
  <si>
    <t>AEO.2026.ELECTRNP.ECI_VOS_MANF_BCH_NA_NA_NA_BLNY09DLR.A</t>
  </si>
  <si>
    <t>Industrial Macroeconomic: Manufacturing: Chemicals: Bulk Chemicals: Inorganic: Alternative Electricity and Transportation</t>
  </si>
  <si>
    <t>AEO.2026.ELECTRNP.ECI_VOS_MANF_CHEIN_NA_NA_NA_BLNY09DLR.A</t>
  </si>
  <si>
    <t>Industrial Macroeconomic: Manufacturing: Chemicals: Bulk Chemicals: Organic: Alternative Electricity and Transportation</t>
  </si>
  <si>
    <t>AEO.2026.ELECTRNP.ECI_VOS_MANF_CHEOR_NA_NA_NA_BLNY09DLR.A</t>
  </si>
  <si>
    <t>Industrial Macroeconomic: Manufacturing: Chemicals: Bulk Chemicals: Resin, Synthetic Rubber, and Fibers: Alternative Electricity and Transportation</t>
  </si>
  <si>
    <t>AEO.2026.ELECTRNP.ECI_VOS_MANF_CHEBR_NA_NA_NA_BLNY09DLR.A</t>
  </si>
  <si>
    <t>Industrial Macroeconomic: Manufacturing: Chemicals: Bulk Chemicals: Agricultural Chemicals: Alternative Electricity and Transportation</t>
  </si>
  <si>
    <t>AEO.2026.ELECTRNP.ECI_VOS_MANF_AGC_NA_NA_NA_BLNY09DLR.A</t>
  </si>
  <si>
    <t>Industrial Macroeconomic: Manufacturing: Chemicals: Other Chemical Products: Alternative Electricity and Transportation</t>
  </si>
  <si>
    <t>AEO.2026.ELECTRNP.ECI_VOS_MANF_CHEO_NA_NA_NA_BLNY09DLR.A</t>
  </si>
  <si>
    <t>Industrial Macroeconomic: Manufacturing: Petroleum and Coal Products: Alternative Electricity and Transportation</t>
  </si>
  <si>
    <t>AEO.2026.ELECTRNP.ECI_VOS_MANF_PCL_NA_NA_NA_BLNY09DLR.A</t>
  </si>
  <si>
    <t>Industrial Macroeconomic: Manufacturing: Petroleum and Coal: Petroleum Refineries: Alternative Electricity and Transportation</t>
  </si>
  <si>
    <t>AEO.2026.ELECTRNP.ECI_VOS_MANF_REF_NA_NA_NA_BLNY09DLR.A</t>
  </si>
  <si>
    <t>Industrial Macroeconomic: Manufacturing: Petroleum and Coal: Other Petroleum &amp; Coal Products: Alternative Electricity and Transportation</t>
  </si>
  <si>
    <t>AEO.2026.ELECTRNP.ECI_VOS_MANF_PCLO_NA_NA_NA_BLNY09DLR.A</t>
  </si>
  <si>
    <t>Industrial Macroeconomic: Manufacturing: Plastics and Rubber Products: Alternative Electricity and Transportation</t>
  </si>
  <si>
    <t>AEO.2026.ELECTRNP.ECI_VOS_MANF_PRP_NA_NA_NA_BLNY09DLR.A</t>
  </si>
  <si>
    <t>Industrial Macroeconomic: Manufacturing: Stone, Clay, and Glass Products: Alternative Electricity and Transportation</t>
  </si>
  <si>
    <t>AEO.2026.ELECTRNP.ECI_VOS_MANF_SCG_NA_NA_NA_BLNY09DLR.A</t>
  </si>
  <si>
    <t>Industrial Macroeconomic: Manufacturing: Stone, Clay, and Glass: Glass and Glass Products: Alternative Electricity and Transportation</t>
  </si>
  <si>
    <t>AEO.2026.ELECTRNP.ECI_VOS_MANF_SCGG_NA_NA_NA_BLNY09DLR.A</t>
  </si>
  <si>
    <t>Industrial Macroeconomic: Manufacturing: Stone, Clay, and Glass: Cement and Lime: Alternative Electricity and Transportation</t>
  </si>
  <si>
    <t>AEO.2026.ELECTRNP.ECI_VOS_MANF_SCGCL_NA_NA_NA_BLNY09DLR.A</t>
  </si>
  <si>
    <t>Industrial Macroeconomic: Manufacturing: Stone, Clay, and Glass: Other Nonmetallic Mineral Products: Alternative Electricity and Transportation</t>
  </si>
  <si>
    <t>AEO.2026.ELECTRNP.ECI_VOS_MANF_SCGOM_NA_NA_NA_BLNY09DLR.A</t>
  </si>
  <si>
    <t>Industrial Macroeconomic: Manufacturing: Primary Metals Industry: Alternative Electricity and Transportation</t>
  </si>
  <si>
    <t>AEO.2026.ELECTRNP.ECI_VOS_MANF_PMM_NA_NA_NA_BLNY09DLR.A</t>
  </si>
  <si>
    <t>Industrial Macroeconomic: Manufacturing: Primary Metals: Iron and Steel Mills and Products: Alternative Electricity and Transportation</t>
  </si>
  <si>
    <t>AEO.2026.ELECTRNP.ECI_VOS_MANF_ISM_NA_NA_NA_BLNY09DLR.A</t>
  </si>
  <si>
    <t>Industrial Macroeconomic: Manufacturing: Primary Metals: Alumina and Aluminum Products: Alternative Electricity and Transportation</t>
  </si>
  <si>
    <t>AEO.2026.ELECTRNP.ECI_VOS_MANF_AAP_NA_NA_NA_BLNY09DLR.A</t>
  </si>
  <si>
    <t>Industrial Macroeconomic: Manufacturing: Primary Metals: Other Primary Metal Products: Alternative Electricity and Transportation</t>
  </si>
  <si>
    <t>AEO.2026.ELECTRNP.ECI_VOS_MANF_PMO_NA_NA_NA_BLNY09DLR.A</t>
  </si>
  <si>
    <t>Industrial Macroeconomic: Manufacturing: Fabricated Metal Products: Alternative Electricity and Transportation</t>
  </si>
  <si>
    <t>AEO.2026.ELECTRNP.ECI_VOS_MANF_FBP_NA_NA_NA_BLNY09DLR.A</t>
  </si>
  <si>
    <t>Industrial Macroeconomic: Manufacturing: Machinery: Alternative Electricity and Transportation</t>
  </si>
  <si>
    <t>AEO.2026.ELECTRNP.ECI_VOS_MANF_MCHI_NA_NA_NA_BLNY09DLR.A</t>
  </si>
  <si>
    <t>Industrial Macroeconomic: Manufacturing: Computers and Electronics: Alternative Electricity and Transportation</t>
  </si>
  <si>
    <t>AEO.2026.ELECTRNP.ECI_VOS_MANF_CMPEL_NA_NA_NA_BLNY09DLR.A</t>
  </si>
  <si>
    <t>Industrial Macroeconomic: Manufacturing: Transportation Equipment: Alternative Electricity and Transportation</t>
  </si>
  <si>
    <t>AEO.2026.ELECTRNP.ECI_VOS_MANF_TEQ_NA_NA_NA_BLNY09DLR.A</t>
  </si>
  <si>
    <t>Industrial Macroeconomic: Manufacturing: Electrical Equipment: Alternative Electricity and Transportation</t>
  </si>
  <si>
    <t>AEO.2026.ELECTRNP.ECI_VOS_MANF_EEQ_NA_NA_NA_BLNY09DLR.A</t>
  </si>
  <si>
    <t>Industrial Macroeconomic: Manufacturing: Miscellaneous Manufacturing: Alternative Electricity and Transportation</t>
  </si>
  <si>
    <t>AEO.2026.ELECTRNP.ECI_VOS_MANF_MISC_NA_NA_NA_BLNY09DLR.A</t>
  </si>
  <si>
    <t>Industrial Macroeconomic: Total Industrial Value of Shipments: Alternative Electricity and Transportation</t>
  </si>
  <si>
    <t>AEO.2026.ELECTRNP.ECI_VOS_IDAL_NA_NA_NA_NA_BLNY09DLR.A</t>
  </si>
  <si>
    <t>2024-&gt;2025 output growth per code, derived LIVE from the raw sources (same machinery as the BPCiObIC workbook). Row 4 = BLS compound rate; row 5 = AEO 2025 rate (2026-edition ELECTRNP vs 2025-edition HIGHZTC base-year splice); row 6 = g2025.</t>
  </si>
  <si>
    <t>f2025 (2025 GDP-fit factor — the ONE imported number; from the BPCiObIC workbook 'Rescale to Fit GDP Proj' row 5, col D. Repaste on BPCiObIC source updates.)</t>
  </si>
  <si>
    <t>ISIC</t>
  </si>
  <si>
    <t>BLS compound rate</t>
  </si>
  <si>
    <t>AEO 2025 rate</t>
  </si>
  <si>
    <t>g2025</t>
  </si>
  <si>
    <t>Per-code 2024 gross output (millions, 2024 USD)</t>
  </si>
  <si>
    <t>sum</t>
  </si>
  <si>
    <t>Validation checks</t>
  </si>
  <si>
    <t>Unassigned output (2024 value but no ISIC code) — should be 0</t>
  </si>
  <si>
    <t>Coverage: per-code totals = assigned rows total</t>
  </si>
  <si>
    <t>BObIC/SYObIC economy growth (should be ~2%)</t>
  </si>
  <si>
    <t>Unit: USD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</si>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</sst>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outlooks/aeo/tables_ref.php" TargetMode="External"/><Relationship Id="rId1" Type="http://schemas.openxmlformats.org/officeDocument/2006/relationships/hyperlink" Target="https://apps.bea.gov/histdata/index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2025</v>
      </c>
    </row>
    <row r="7" spans="1:2" x14ac:dyDescent="0.25">
      <c r="B7" s="4" t="s">
        <v>5</v>
      </c>
    </row>
    <row r="8" spans="1:2" ht="30" x14ac:dyDescent="0.25">
      <c r="B8" s="3" t="s">
        <v>6</v>
      </c>
    </row>
    <row r="10" spans="1:2" x14ac:dyDescent="0.25">
      <c r="B10" s="2" t="s">
        <v>7</v>
      </c>
    </row>
    <row r="11" spans="1:2" x14ac:dyDescent="0.25">
      <c r="B11" s="3" t="s">
        <v>8</v>
      </c>
    </row>
    <row r="12" spans="1:2" x14ac:dyDescent="0.25">
      <c r="B12" s="3" t="s">
        <v>9</v>
      </c>
    </row>
    <row r="13" spans="1:2" x14ac:dyDescent="0.25">
      <c r="B13" s="3">
        <v>2026</v>
      </c>
    </row>
    <row r="14" spans="1:2" x14ac:dyDescent="0.25">
      <c r="B14" s="4" t="s">
        <v>10</v>
      </c>
    </row>
    <row r="15" spans="1:2" ht="60" x14ac:dyDescent="0.25">
      <c r="B15" s="3" t="s">
        <v>11</v>
      </c>
    </row>
    <row r="18" spans="1:2" x14ac:dyDescent="0.25">
      <c r="A18" s="1" t="s">
        <v>12</v>
      </c>
    </row>
    <row r="19" spans="1:2" x14ac:dyDescent="0.25">
      <c r="A19" s="1" t="s">
        <v>13</v>
      </c>
      <c r="B19" s="3" t="s">
        <v>14</v>
      </c>
    </row>
    <row r="20" spans="1:2" x14ac:dyDescent="0.25">
      <c r="A20">
        <v>0.73191600598044548</v>
      </c>
      <c r="B20" s="3" t="s">
        <v>15</v>
      </c>
    </row>
    <row r="21" spans="1:2" x14ac:dyDescent="0.25">
      <c r="A21" s="1" t="s">
        <v>16</v>
      </c>
      <c r="B21" s="3" t="s">
        <v>17</v>
      </c>
    </row>
  </sheetData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7"/>
  <sheetViews>
    <sheetView workbookViewId="0">
      <pane ySplit="3" topLeftCell="A4" activePane="bottomLeft" state="frozen"/>
      <selection pane="bottomLeft"/>
    </sheetView>
  </sheetViews>
  <sheetFormatPr defaultRowHeight="15" x14ac:dyDescent="0.25"/>
  <sheetData>
    <row r="1" spans="1:5" x14ac:dyDescent="0.25">
      <c r="A1" s="1" t="s">
        <v>18</v>
      </c>
    </row>
    <row r="3" spans="1:5" x14ac:dyDescent="0.25">
      <c r="A3" s="1" t="s">
        <v>19</v>
      </c>
      <c r="B3" s="1" t="s">
        <v>20</v>
      </c>
      <c r="C3" s="1" t="s">
        <v>21</v>
      </c>
      <c r="D3" s="1"/>
      <c r="E3" s="1" t="s">
        <v>22</v>
      </c>
    </row>
    <row r="4" spans="1:5" x14ac:dyDescent="0.25">
      <c r="A4">
        <v>1</v>
      </c>
      <c r="B4" t="s">
        <v>23</v>
      </c>
      <c r="C4">
        <v>50014</v>
      </c>
      <c r="E4" t="s">
        <v>24</v>
      </c>
    </row>
    <row r="5" spans="1:5" x14ac:dyDescent="0.25">
      <c r="A5">
        <v>2</v>
      </c>
      <c r="B5" t="s">
        <v>25</v>
      </c>
      <c r="C5">
        <v>82647</v>
      </c>
      <c r="E5" t="s">
        <v>24</v>
      </c>
    </row>
    <row r="6" spans="1:5" x14ac:dyDescent="0.25">
      <c r="A6">
        <v>3</v>
      </c>
      <c r="B6" t="s">
        <v>26</v>
      </c>
      <c r="C6">
        <v>26862</v>
      </c>
      <c r="E6" t="s">
        <v>24</v>
      </c>
    </row>
    <row r="7" spans="1:5" x14ac:dyDescent="0.25">
      <c r="A7">
        <v>4</v>
      </c>
      <c r="B7" t="s">
        <v>27</v>
      </c>
      <c r="C7">
        <v>30307</v>
      </c>
      <c r="E7" t="s">
        <v>24</v>
      </c>
    </row>
    <row r="8" spans="1:5" x14ac:dyDescent="0.25">
      <c r="A8">
        <v>5</v>
      </c>
      <c r="B8" t="s">
        <v>28</v>
      </c>
      <c r="C8">
        <v>31895</v>
      </c>
      <c r="E8" t="s">
        <v>24</v>
      </c>
    </row>
    <row r="9" spans="1:5" x14ac:dyDescent="0.25">
      <c r="A9">
        <v>6</v>
      </c>
      <c r="B9" t="s">
        <v>29</v>
      </c>
      <c r="C9">
        <v>29353</v>
      </c>
      <c r="E9" t="s">
        <v>24</v>
      </c>
    </row>
    <row r="10" spans="1:5" x14ac:dyDescent="0.25">
      <c r="A10">
        <v>7</v>
      </c>
      <c r="B10" t="s">
        <v>30</v>
      </c>
      <c r="C10">
        <v>52126</v>
      </c>
      <c r="E10" t="s">
        <v>24</v>
      </c>
    </row>
    <row r="11" spans="1:5" x14ac:dyDescent="0.25">
      <c r="A11">
        <v>8</v>
      </c>
      <c r="B11" t="s">
        <v>31</v>
      </c>
      <c r="C11">
        <v>141304</v>
      </c>
      <c r="E11" t="s">
        <v>24</v>
      </c>
    </row>
    <row r="12" spans="1:5" x14ac:dyDescent="0.25">
      <c r="A12">
        <v>9</v>
      </c>
      <c r="B12" t="s">
        <v>32</v>
      </c>
      <c r="C12">
        <v>75391</v>
      </c>
      <c r="E12" t="s">
        <v>24</v>
      </c>
    </row>
    <row r="13" spans="1:5" x14ac:dyDescent="0.25">
      <c r="A13">
        <v>10</v>
      </c>
      <c r="B13" t="s">
        <v>33</v>
      </c>
      <c r="C13">
        <v>45807</v>
      </c>
      <c r="E13" t="s">
        <v>24</v>
      </c>
    </row>
    <row r="14" spans="1:5" x14ac:dyDescent="0.25">
      <c r="A14">
        <v>11</v>
      </c>
      <c r="B14" t="s">
        <v>34</v>
      </c>
      <c r="C14">
        <v>26473</v>
      </c>
      <c r="E14" t="s">
        <v>35</v>
      </c>
    </row>
    <row r="15" spans="1:5" x14ac:dyDescent="0.25">
      <c r="A15">
        <v>12</v>
      </c>
      <c r="B15" t="s">
        <v>36</v>
      </c>
      <c r="C15">
        <v>9657</v>
      </c>
      <c r="E15" t="s">
        <v>37</v>
      </c>
    </row>
    <row r="16" spans="1:5" x14ac:dyDescent="0.25">
      <c r="A16">
        <v>13</v>
      </c>
      <c r="B16" t="s">
        <v>38</v>
      </c>
      <c r="C16">
        <v>32009</v>
      </c>
      <c r="E16" t="s">
        <v>24</v>
      </c>
    </row>
    <row r="17" spans="1:5" x14ac:dyDescent="0.25">
      <c r="A17">
        <v>14</v>
      </c>
      <c r="B17" t="s">
        <v>39</v>
      </c>
      <c r="C17">
        <v>455994</v>
      </c>
      <c r="E17" t="s">
        <v>40</v>
      </c>
    </row>
    <row r="18" spans="1:5" x14ac:dyDescent="0.25">
      <c r="A18">
        <v>15</v>
      </c>
      <c r="B18" t="s">
        <v>41</v>
      </c>
      <c r="C18">
        <v>46019</v>
      </c>
      <c r="E18" t="s">
        <v>42</v>
      </c>
    </row>
    <row r="19" spans="1:5" x14ac:dyDescent="0.25">
      <c r="A19">
        <v>16</v>
      </c>
      <c r="B19" t="s">
        <v>43</v>
      </c>
      <c r="C19">
        <v>17136</v>
      </c>
      <c r="E19" t="s">
        <v>44</v>
      </c>
    </row>
    <row r="20" spans="1:5" x14ac:dyDescent="0.25">
      <c r="A20">
        <v>17</v>
      </c>
      <c r="B20" t="s">
        <v>45</v>
      </c>
      <c r="C20">
        <v>23469</v>
      </c>
      <c r="E20" t="s">
        <v>44</v>
      </c>
    </row>
    <row r="21" spans="1:5" x14ac:dyDescent="0.25">
      <c r="A21">
        <v>18</v>
      </c>
      <c r="B21" t="s">
        <v>46</v>
      </c>
      <c r="C21">
        <v>27727</v>
      </c>
      <c r="E21" t="s">
        <v>47</v>
      </c>
    </row>
    <row r="22" spans="1:5" x14ac:dyDescent="0.25">
      <c r="A22">
        <v>19</v>
      </c>
      <c r="B22" t="s">
        <v>48</v>
      </c>
      <c r="C22">
        <v>25501</v>
      </c>
      <c r="E22" t="s">
        <v>47</v>
      </c>
    </row>
    <row r="23" spans="1:5" x14ac:dyDescent="0.25">
      <c r="A23">
        <v>20</v>
      </c>
      <c r="B23" t="s">
        <v>49</v>
      </c>
      <c r="C23">
        <v>18933</v>
      </c>
      <c r="E23" t="s">
        <v>50</v>
      </c>
    </row>
    <row r="24" spans="1:5" x14ac:dyDescent="0.25">
      <c r="A24">
        <v>21</v>
      </c>
      <c r="B24" t="s">
        <v>51</v>
      </c>
      <c r="C24">
        <v>91628</v>
      </c>
      <c r="E24" t="s">
        <v>50</v>
      </c>
    </row>
    <row r="25" spans="1:5" x14ac:dyDescent="0.25">
      <c r="A25">
        <v>22</v>
      </c>
      <c r="B25" t="s">
        <v>52</v>
      </c>
      <c r="C25">
        <v>4372</v>
      </c>
      <c r="E25" t="s">
        <v>53</v>
      </c>
    </row>
    <row r="26" spans="1:5" x14ac:dyDescent="0.25">
      <c r="A26">
        <v>23</v>
      </c>
      <c r="B26" t="s">
        <v>54</v>
      </c>
      <c r="C26">
        <v>96665</v>
      </c>
      <c r="E26" t="s">
        <v>53</v>
      </c>
    </row>
    <row r="27" spans="1:5" x14ac:dyDescent="0.25">
      <c r="A27">
        <v>24</v>
      </c>
      <c r="B27" t="s">
        <v>55</v>
      </c>
      <c r="C27">
        <v>36967</v>
      </c>
      <c r="E27" t="s">
        <v>53</v>
      </c>
    </row>
    <row r="28" spans="1:5" x14ac:dyDescent="0.25">
      <c r="A28">
        <v>25</v>
      </c>
      <c r="B28" t="s">
        <v>56</v>
      </c>
      <c r="C28">
        <v>2569</v>
      </c>
      <c r="E28" t="s">
        <v>53</v>
      </c>
    </row>
    <row r="29" spans="1:5" x14ac:dyDescent="0.25">
      <c r="A29">
        <v>26</v>
      </c>
      <c r="B29" t="s">
        <v>57</v>
      </c>
      <c r="C29">
        <v>10114</v>
      </c>
      <c r="E29" t="s">
        <v>53</v>
      </c>
    </row>
    <row r="30" spans="1:5" x14ac:dyDescent="0.25">
      <c r="A30">
        <v>27</v>
      </c>
      <c r="B30" t="s">
        <v>58</v>
      </c>
      <c r="C30">
        <v>1393</v>
      </c>
      <c r="E30" t="s">
        <v>53</v>
      </c>
    </row>
    <row r="31" spans="1:5" x14ac:dyDescent="0.25">
      <c r="A31">
        <v>28</v>
      </c>
      <c r="B31" t="s">
        <v>59</v>
      </c>
      <c r="C31">
        <v>1686</v>
      </c>
      <c r="E31" t="s">
        <v>53</v>
      </c>
    </row>
    <row r="32" spans="1:5" x14ac:dyDescent="0.25">
      <c r="A32">
        <v>29</v>
      </c>
      <c r="B32" t="s">
        <v>60</v>
      </c>
      <c r="C32">
        <v>197</v>
      </c>
      <c r="E32" t="s">
        <v>53</v>
      </c>
    </row>
    <row r="33" spans="1:5" x14ac:dyDescent="0.25">
      <c r="A33">
        <v>30</v>
      </c>
      <c r="B33" t="s">
        <v>61</v>
      </c>
      <c r="C33">
        <v>21051</v>
      </c>
      <c r="E33" t="s">
        <v>53</v>
      </c>
    </row>
    <row r="34" spans="1:5" x14ac:dyDescent="0.25">
      <c r="A34">
        <v>31</v>
      </c>
      <c r="B34" t="s">
        <v>62</v>
      </c>
      <c r="C34">
        <v>327897</v>
      </c>
      <c r="E34" t="s">
        <v>53</v>
      </c>
    </row>
    <row r="35" spans="1:5" x14ac:dyDescent="0.25">
      <c r="A35">
        <v>32</v>
      </c>
      <c r="B35" t="s">
        <v>63</v>
      </c>
      <c r="C35">
        <v>118202</v>
      </c>
      <c r="E35" t="s">
        <v>64</v>
      </c>
    </row>
    <row r="36" spans="1:5" x14ac:dyDescent="0.25">
      <c r="A36">
        <v>33</v>
      </c>
      <c r="B36" t="s">
        <v>65</v>
      </c>
      <c r="C36">
        <v>22159</v>
      </c>
      <c r="E36" t="s">
        <v>66</v>
      </c>
    </row>
    <row r="37" spans="1:5" x14ac:dyDescent="0.25">
      <c r="A37">
        <v>34</v>
      </c>
      <c r="B37" t="s">
        <v>67</v>
      </c>
      <c r="C37">
        <v>73390</v>
      </c>
      <c r="E37" t="s">
        <v>68</v>
      </c>
    </row>
    <row r="38" spans="1:5" x14ac:dyDescent="0.25">
      <c r="A38">
        <v>35</v>
      </c>
      <c r="B38" t="s">
        <v>69</v>
      </c>
      <c r="C38">
        <v>146059</v>
      </c>
      <c r="E38" t="s">
        <v>68</v>
      </c>
    </row>
    <row r="39" spans="1:5" x14ac:dyDescent="0.25">
      <c r="A39">
        <v>36</v>
      </c>
      <c r="B39" t="s">
        <v>70</v>
      </c>
      <c r="C39">
        <v>285660</v>
      </c>
      <c r="E39" t="s">
        <v>68</v>
      </c>
    </row>
    <row r="40" spans="1:5" x14ac:dyDescent="0.25">
      <c r="A40">
        <v>37</v>
      </c>
      <c r="B40" t="s">
        <v>71</v>
      </c>
      <c r="C40">
        <v>92630</v>
      </c>
      <c r="E40" t="s">
        <v>68</v>
      </c>
    </row>
    <row r="41" spans="1:5" x14ac:dyDescent="0.25">
      <c r="A41">
        <v>38</v>
      </c>
      <c r="B41" t="s">
        <v>72</v>
      </c>
      <c r="C41">
        <v>244750</v>
      </c>
      <c r="E41" t="s">
        <v>68</v>
      </c>
    </row>
    <row r="42" spans="1:5" x14ac:dyDescent="0.25">
      <c r="A42">
        <v>39</v>
      </c>
      <c r="B42" t="s">
        <v>73</v>
      </c>
      <c r="C42">
        <v>121220</v>
      </c>
      <c r="E42" t="s">
        <v>68</v>
      </c>
    </row>
    <row r="43" spans="1:5" x14ac:dyDescent="0.25">
      <c r="A43">
        <v>40</v>
      </c>
      <c r="B43" t="s">
        <v>74</v>
      </c>
      <c r="C43">
        <v>420544</v>
      </c>
      <c r="E43" t="s">
        <v>68</v>
      </c>
    </row>
    <row r="44" spans="1:5" x14ac:dyDescent="0.25">
      <c r="A44">
        <v>41</v>
      </c>
      <c r="B44" t="s">
        <v>75</v>
      </c>
      <c r="C44">
        <v>214762</v>
      </c>
      <c r="E44" t="s">
        <v>68</v>
      </c>
    </row>
    <row r="45" spans="1:5" x14ac:dyDescent="0.25">
      <c r="A45">
        <v>42</v>
      </c>
      <c r="B45" t="s">
        <v>76</v>
      </c>
      <c r="C45">
        <v>152595</v>
      </c>
      <c r="E45" t="s">
        <v>68</v>
      </c>
    </row>
    <row r="46" spans="1:5" x14ac:dyDescent="0.25">
      <c r="A46">
        <v>43</v>
      </c>
      <c r="B46" t="s">
        <v>77</v>
      </c>
      <c r="C46">
        <v>149282</v>
      </c>
      <c r="E46" t="s">
        <v>68</v>
      </c>
    </row>
    <row r="47" spans="1:5" x14ac:dyDescent="0.25">
      <c r="A47">
        <v>44</v>
      </c>
      <c r="B47" t="s">
        <v>78</v>
      </c>
      <c r="C47">
        <v>415640</v>
      </c>
      <c r="E47" t="s">
        <v>68</v>
      </c>
    </row>
    <row r="48" spans="1:5" x14ac:dyDescent="0.25">
      <c r="A48">
        <v>45</v>
      </c>
      <c r="B48" t="s">
        <v>79</v>
      </c>
      <c r="C48">
        <v>194976</v>
      </c>
      <c r="E48" t="s">
        <v>68</v>
      </c>
    </row>
    <row r="49" spans="1:5" x14ac:dyDescent="0.25">
      <c r="A49">
        <v>46</v>
      </c>
      <c r="B49" t="s">
        <v>80</v>
      </c>
      <c r="C49">
        <v>48917</v>
      </c>
      <c r="E49" t="s">
        <v>81</v>
      </c>
    </row>
    <row r="50" spans="1:5" x14ac:dyDescent="0.25">
      <c r="A50">
        <v>47</v>
      </c>
      <c r="B50" t="s">
        <v>82</v>
      </c>
      <c r="C50">
        <v>38846</v>
      </c>
      <c r="E50" t="s">
        <v>81</v>
      </c>
    </row>
    <row r="51" spans="1:5" x14ac:dyDescent="0.25">
      <c r="A51">
        <v>48</v>
      </c>
      <c r="B51" t="s">
        <v>83</v>
      </c>
      <c r="C51">
        <v>38334</v>
      </c>
      <c r="E51" t="s">
        <v>81</v>
      </c>
    </row>
    <row r="52" spans="1:5" x14ac:dyDescent="0.25">
      <c r="A52">
        <v>49</v>
      </c>
      <c r="B52" t="s">
        <v>84</v>
      </c>
      <c r="C52">
        <v>48059</v>
      </c>
      <c r="E52" t="s">
        <v>81</v>
      </c>
    </row>
    <row r="53" spans="1:5" x14ac:dyDescent="0.25">
      <c r="A53">
        <v>50</v>
      </c>
      <c r="B53" t="s">
        <v>85</v>
      </c>
      <c r="C53">
        <v>10481</v>
      </c>
      <c r="E53" t="s">
        <v>86</v>
      </c>
    </row>
    <row r="54" spans="1:5" x14ac:dyDescent="0.25">
      <c r="A54">
        <v>51</v>
      </c>
      <c r="B54" t="s">
        <v>87</v>
      </c>
      <c r="C54">
        <v>33702</v>
      </c>
      <c r="E54" t="s">
        <v>88</v>
      </c>
    </row>
    <row r="55" spans="1:5" x14ac:dyDescent="0.25">
      <c r="A55">
        <v>52</v>
      </c>
      <c r="B55" t="s">
        <v>89</v>
      </c>
      <c r="C55">
        <v>12485</v>
      </c>
      <c r="E55" t="s">
        <v>86</v>
      </c>
    </row>
    <row r="56" spans="1:5" x14ac:dyDescent="0.25">
      <c r="A56">
        <v>53</v>
      </c>
      <c r="B56" t="s">
        <v>90</v>
      </c>
      <c r="C56">
        <v>44436</v>
      </c>
      <c r="E56" t="s">
        <v>86</v>
      </c>
    </row>
    <row r="57" spans="1:5" x14ac:dyDescent="0.25">
      <c r="A57">
        <v>54</v>
      </c>
      <c r="B57" t="s">
        <v>91</v>
      </c>
      <c r="C57">
        <v>8962</v>
      </c>
      <c r="E57" t="s">
        <v>86</v>
      </c>
    </row>
    <row r="58" spans="1:5" x14ac:dyDescent="0.25">
      <c r="A58">
        <v>55</v>
      </c>
      <c r="B58" t="s">
        <v>92</v>
      </c>
      <c r="C58">
        <v>18579</v>
      </c>
      <c r="E58" t="s">
        <v>86</v>
      </c>
    </row>
    <row r="59" spans="1:5" x14ac:dyDescent="0.25">
      <c r="A59">
        <v>56</v>
      </c>
      <c r="B59" t="s">
        <v>93</v>
      </c>
      <c r="C59">
        <v>12494</v>
      </c>
      <c r="E59" t="s">
        <v>86</v>
      </c>
    </row>
    <row r="60" spans="1:5" x14ac:dyDescent="0.25">
      <c r="A60">
        <v>57</v>
      </c>
      <c r="B60" t="s">
        <v>94</v>
      </c>
      <c r="C60">
        <v>3977</v>
      </c>
      <c r="E60" t="s">
        <v>86</v>
      </c>
    </row>
    <row r="61" spans="1:5" x14ac:dyDescent="0.25">
      <c r="A61">
        <v>58</v>
      </c>
      <c r="B61" t="s">
        <v>95</v>
      </c>
      <c r="C61">
        <v>7393</v>
      </c>
      <c r="E61" t="s">
        <v>86</v>
      </c>
    </row>
    <row r="62" spans="1:5" x14ac:dyDescent="0.25">
      <c r="A62">
        <v>59</v>
      </c>
      <c r="B62" t="s">
        <v>96</v>
      </c>
      <c r="C62">
        <v>5963</v>
      </c>
      <c r="E62" t="s">
        <v>86</v>
      </c>
    </row>
    <row r="63" spans="1:5" x14ac:dyDescent="0.25">
      <c r="A63">
        <v>60</v>
      </c>
      <c r="B63" t="s">
        <v>97</v>
      </c>
      <c r="C63">
        <v>11488</v>
      </c>
      <c r="E63" t="s">
        <v>86</v>
      </c>
    </row>
    <row r="64" spans="1:5" x14ac:dyDescent="0.25">
      <c r="A64">
        <v>61</v>
      </c>
      <c r="B64" t="s">
        <v>98</v>
      </c>
      <c r="C64">
        <v>5328</v>
      </c>
      <c r="E64" t="s">
        <v>86</v>
      </c>
    </row>
    <row r="65" spans="1:5" x14ac:dyDescent="0.25">
      <c r="A65">
        <v>62</v>
      </c>
      <c r="B65" t="s">
        <v>99</v>
      </c>
      <c r="C65">
        <v>128733</v>
      </c>
      <c r="E65" t="s">
        <v>100</v>
      </c>
    </row>
    <row r="66" spans="1:5" x14ac:dyDescent="0.25">
      <c r="A66">
        <v>63</v>
      </c>
      <c r="B66" t="s">
        <v>101</v>
      </c>
      <c r="C66">
        <v>40764</v>
      </c>
      <c r="E66" t="s">
        <v>100</v>
      </c>
    </row>
    <row r="67" spans="1:5" x14ac:dyDescent="0.25">
      <c r="A67">
        <v>64</v>
      </c>
      <c r="B67" t="s">
        <v>102</v>
      </c>
      <c r="C67">
        <v>7930</v>
      </c>
      <c r="E67" t="s">
        <v>103</v>
      </c>
    </row>
    <row r="68" spans="1:5" x14ac:dyDescent="0.25">
      <c r="A68">
        <v>65</v>
      </c>
      <c r="B68" t="s">
        <v>104</v>
      </c>
      <c r="C68">
        <v>2255</v>
      </c>
      <c r="E68" t="s">
        <v>103</v>
      </c>
    </row>
    <row r="69" spans="1:5" x14ac:dyDescent="0.25">
      <c r="A69">
        <v>66</v>
      </c>
      <c r="B69" t="s">
        <v>105</v>
      </c>
      <c r="C69">
        <v>35240</v>
      </c>
      <c r="E69" t="s">
        <v>103</v>
      </c>
    </row>
    <row r="70" spans="1:5" x14ac:dyDescent="0.25">
      <c r="A70">
        <v>67</v>
      </c>
      <c r="B70" t="s">
        <v>106</v>
      </c>
      <c r="C70">
        <v>10489</v>
      </c>
      <c r="E70" t="s">
        <v>103</v>
      </c>
    </row>
    <row r="71" spans="1:5" x14ac:dyDescent="0.25">
      <c r="A71">
        <v>68</v>
      </c>
      <c r="B71" t="s">
        <v>107</v>
      </c>
      <c r="C71">
        <v>30862</v>
      </c>
      <c r="E71" t="s">
        <v>103</v>
      </c>
    </row>
    <row r="72" spans="1:5" x14ac:dyDescent="0.25">
      <c r="A72">
        <v>69</v>
      </c>
      <c r="B72" t="s">
        <v>108</v>
      </c>
      <c r="C72">
        <v>12637</v>
      </c>
      <c r="E72" t="s">
        <v>103</v>
      </c>
    </row>
    <row r="73" spans="1:5" x14ac:dyDescent="0.25">
      <c r="A73">
        <v>70</v>
      </c>
      <c r="B73" t="s">
        <v>109</v>
      </c>
      <c r="C73">
        <v>19725</v>
      </c>
      <c r="E73" t="s">
        <v>100</v>
      </c>
    </row>
    <row r="74" spans="1:5" x14ac:dyDescent="0.25">
      <c r="A74">
        <v>71</v>
      </c>
      <c r="B74" t="s">
        <v>110</v>
      </c>
      <c r="C74">
        <v>13464</v>
      </c>
      <c r="E74" t="s">
        <v>103</v>
      </c>
    </row>
    <row r="75" spans="1:5" x14ac:dyDescent="0.25">
      <c r="A75">
        <v>72</v>
      </c>
      <c r="B75" t="s">
        <v>111</v>
      </c>
      <c r="C75">
        <v>7154</v>
      </c>
      <c r="E75" t="s">
        <v>112</v>
      </c>
    </row>
    <row r="76" spans="1:5" x14ac:dyDescent="0.25">
      <c r="A76">
        <v>73</v>
      </c>
      <c r="B76" t="s">
        <v>113</v>
      </c>
      <c r="C76">
        <v>11906</v>
      </c>
      <c r="E76" t="s">
        <v>112</v>
      </c>
    </row>
    <row r="77" spans="1:5" x14ac:dyDescent="0.25">
      <c r="A77">
        <v>74</v>
      </c>
      <c r="B77" t="s">
        <v>114</v>
      </c>
      <c r="C77">
        <v>15210</v>
      </c>
      <c r="E77" t="s">
        <v>112</v>
      </c>
    </row>
    <row r="78" spans="1:5" x14ac:dyDescent="0.25">
      <c r="A78">
        <v>75</v>
      </c>
      <c r="B78" t="s">
        <v>115</v>
      </c>
      <c r="C78">
        <v>10305</v>
      </c>
      <c r="E78" t="s">
        <v>112</v>
      </c>
    </row>
    <row r="79" spans="1:5" x14ac:dyDescent="0.25">
      <c r="A79">
        <v>76</v>
      </c>
      <c r="B79" t="s">
        <v>116</v>
      </c>
      <c r="C79">
        <v>74843</v>
      </c>
      <c r="E79" t="s">
        <v>112</v>
      </c>
    </row>
    <row r="80" spans="1:5" x14ac:dyDescent="0.25">
      <c r="A80">
        <v>77</v>
      </c>
      <c r="B80" t="s">
        <v>117</v>
      </c>
      <c r="C80">
        <v>63070</v>
      </c>
      <c r="E80" t="s">
        <v>112</v>
      </c>
    </row>
    <row r="81" spans="1:5" x14ac:dyDescent="0.25">
      <c r="A81">
        <v>78</v>
      </c>
      <c r="B81" t="s">
        <v>118</v>
      </c>
      <c r="C81">
        <v>6027</v>
      </c>
      <c r="E81" t="s">
        <v>112</v>
      </c>
    </row>
    <row r="82" spans="1:5" x14ac:dyDescent="0.25">
      <c r="A82">
        <v>79</v>
      </c>
      <c r="B82" t="s">
        <v>119</v>
      </c>
      <c r="C82">
        <v>10216</v>
      </c>
      <c r="E82" t="s">
        <v>112</v>
      </c>
    </row>
    <row r="83" spans="1:5" x14ac:dyDescent="0.25">
      <c r="A83">
        <v>80</v>
      </c>
      <c r="B83" t="s">
        <v>120</v>
      </c>
      <c r="C83">
        <v>26116</v>
      </c>
      <c r="E83" t="s">
        <v>112</v>
      </c>
    </row>
    <row r="84" spans="1:5" x14ac:dyDescent="0.25">
      <c r="A84">
        <v>81</v>
      </c>
      <c r="B84" t="s">
        <v>121</v>
      </c>
      <c r="C84">
        <v>10520</v>
      </c>
      <c r="E84" t="s">
        <v>112</v>
      </c>
    </row>
    <row r="85" spans="1:5" x14ac:dyDescent="0.25">
      <c r="A85">
        <v>82</v>
      </c>
      <c r="B85" t="s">
        <v>122</v>
      </c>
      <c r="C85">
        <v>10643</v>
      </c>
      <c r="E85" t="s">
        <v>112</v>
      </c>
    </row>
    <row r="86" spans="1:5" x14ac:dyDescent="0.25">
      <c r="A86">
        <v>83</v>
      </c>
      <c r="B86" t="s">
        <v>123</v>
      </c>
      <c r="C86">
        <v>45342</v>
      </c>
      <c r="E86" t="s">
        <v>112</v>
      </c>
    </row>
    <row r="87" spans="1:5" x14ac:dyDescent="0.25">
      <c r="A87">
        <v>84</v>
      </c>
      <c r="B87" t="s">
        <v>124</v>
      </c>
      <c r="C87">
        <v>33604</v>
      </c>
      <c r="E87" t="s">
        <v>112</v>
      </c>
    </row>
    <row r="88" spans="1:5" x14ac:dyDescent="0.25">
      <c r="A88">
        <v>85</v>
      </c>
      <c r="B88" t="s">
        <v>125</v>
      </c>
      <c r="C88">
        <v>32129</v>
      </c>
      <c r="E88" t="s">
        <v>112</v>
      </c>
    </row>
    <row r="89" spans="1:5" x14ac:dyDescent="0.25">
      <c r="A89">
        <v>86</v>
      </c>
      <c r="B89" t="s">
        <v>126</v>
      </c>
      <c r="C89">
        <v>6559</v>
      </c>
      <c r="E89" t="s">
        <v>112</v>
      </c>
    </row>
    <row r="90" spans="1:5" x14ac:dyDescent="0.25">
      <c r="A90">
        <v>87</v>
      </c>
      <c r="B90" t="s">
        <v>127</v>
      </c>
      <c r="C90">
        <v>32432</v>
      </c>
      <c r="E90" t="s">
        <v>112</v>
      </c>
    </row>
    <row r="91" spans="1:5" x14ac:dyDescent="0.25">
      <c r="A91">
        <v>88</v>
      </c>
      <c r="B91" t="s">
        <v>128</v>
      </c>
      <c r="C91">
        <v>5847</v>
      </c>
      <c r="E91" t="s">
        <v>112</v>
      </c>
    </row>
    <row r="92" spans="1:5" x14ac:dyDescent="0.25">
      <c r="A92">
        <v>89</v>
      </c>
      <c r="B92" t="s">
        <v>129</v>
      </c>
      <c r="C92">
        <v>7465</v>
      </c>
      <c r="E92" t="s">
        <v>112</v>
      </c>
    </row>
    <row r="93" spans="1:5" x14ac:dyDescent="0.25">
      <c r="A93">
        <v>90</v>
      </c>
      <c r="B93" t="s">
        <v>130</v>
      </c>
      <c r="C93">
        <v>30598</v>
      </c>
      <c r="E93" t="s">
        <v>112</v>
      </c>
    </row>
    <row r="94" spans="1:5" x14ac:dyDescent="0.25">
      <c r="A94">
        <v>91</v>
      </c>
      <c r="B94" t="s">
        <v>131</v>
      </c>
      <c r="C94">
        <v>20509</v>
      </c>
      <c r="E94" t="s">
        <v>112</v>
      </c>
    </row>
    <row r="95" spans="1:5" x14ac:dyDescent="0.25">
      <c r="A95">
        <v>92</v>
      </c>
      <c r="B95" t="s">
        <v>132</v>
      </c>
      <c r="C95">
        <v>34572</v>
      </c>
      <c r="E95" t="s">
        <v>133</v>
      </c>
    </row>
    <row r="96" spans="1:5" x14ac:dyDescent="0.25">
      <c r="A96">
        <v>93</v>
      </c>
      <c r="B96" t="s">
        <v>134</v>
      </c>
      <c r="C96">
        <v>11185</v>
      </c>
      <c r="E96" t="s">
        <v>133</v>
      </c>
    </row>
    <row r="97" spans="1:5" x14ac:dyDescent="0.25">
      <c r="A97">
        <v>94</v>
      </c>
      <c r="B97" t="s">
        <v>135</v>
      </c>
      <c r="C97">
        <v>42306</v>
      </c>
      <c r="E97" t="s">
        <v>133</v>
      </c>
    </row>
    <row r="98" spans="1:5" x14ac:dyDescent="0.25">
      <c r="A98">
        <v>95</v>
      </c>
      <c r="B98" t="s">
        <v>136</v>
      </c>
      <c r="C98">
        <v>15772</v>
      </c>
      <c r="E98" t="s">
        <v>133</v>
      </c>
    </row>
    <row r="99" spans="1:5" x14ac:dyDescent="0.25">
      <c r="A99">
        <v>96</v>
      </c>
      <c r="B99" t="s">
        <v>137</v>
      </c>
      <c r="C99">
        <v>12903</v>
      </c>
      <c r="E99" t="s">
        <v>133</v>
      </c>
    </row>
    <row r="100" spans="1:5" x14ac:dyDescent="0.25">
      <c r="A100">
        <v>97</v>
      </c>
      <c r="B100" t="s">
        <v>138</v>
      </c>
      <c r="C100">
        <v>26973</v>
      </c>
      <c r="E100" t="s">
        <v>133</v>
      </c>
    </row>
    <row r="101" spans="1:5" x14ac:dyDescent="0.25">
      <c r="A101">
        <v>98</v>
      </c>
      <c r="B101" t="s">
        <v>139</v>
      </c>
      <c r="C101">
        <v>7250</v>
      </c>
      <c r="E101" t="s">
        <v>133</v>
      </c>
    </row>
    <row r="102" spans="1:5" x14ac:dyDescent="0.25">
      <c r="A102">
        <v>99</v>
      </c>
      <c r="B102" t="s">
        <v>140</v>
      </c>
      <c r="C102">
        <v>1355</v>
      </c>
      <c r="E102" t="s">
        <v>133</v>
      </c>
    </row>
    <row r="103" spans="1:5" x14ac:dyDescent="0.25">
      <c r="A103">
        <v>100</v>
      </c>
      <c r="B103" t="s">
        <v>141</v>
      </c>
      <c r="C103">
        <v>19944</v>
      </c>
      <c r="E103" t="s">
        <v>133</v>
      </c>
    </row>
    <row r="104" spans="1:5" x14ac:dyDescent="0.25">
      <c r="A104">
        <v>101</v>
      </c>
      <c r="B104" t="s">
        <v>142</v>
      </c>
      <c r="C104">
        <v>7572</v>
      </c>
      <c r="E104" t="s">
        <v>133</v>
      </c>
    </row>
    <row r="105" spans="1:5" x14ac:dyDescent="0.25">
      <c r="A105">
        <v>102</v>
      </c>
      <c r="B105" t="s">
        <v>143</v>
      </c>
      <c r="C105">
        <v>45873</v>
      </c>
      <c r="E105" t="s">
        <v>133</v>
      </c>
    </row>
    <row r="106" spans="1:5" x14ac:dyDescent="0.25">
      <c r="A106">
        <v>103</v>
      </c>
      <c r="B106" t="s">
        <v>144</v>
      </c>
      <c r="C106">
        <v>10205</v>
      </c>
      <c r="E106" t="s">
        <v>133</v>
      </c>
    </row>
    <row r="107" spans="1:5" x14ac:dyDescent="0.25">
      <c r="A107">
        <v>104</v>
      </c>
      <c r="B107" t="s">
        <v>145</v>
      </c>
      <c r="C107">
        <v>6495</v>
      </c>
      <c r="E107" t="s">
        <v>133</v>
      </c>
    </row>
    <row r="108" spans="1:5" x14ac:dyDescent="0.25">
      <c r="A108">
        <v>105</v>
      </c>
      <c r="B108" t="s">
        <v>146</v>
      </c>
      <c r="C108">
        <v>9296</v>
      </c>
      <c r="E108" t="s">
        <v>133</v>
      </c>
    </row>
    <row r="109" spans="1:5" x14ac:dyDescent="0.25">
      <c r="A109">
        <v>106</v>
      </c>
      <c r="B109" t="s">
        <v>147</v>
      </c>
      <c r="C109">
        <v>9133</v>
      </c>
      <c r="E109" t="s">
        <v>133</v>
      </c>
    </row>
    <row r="110" spans="1:5" x14ac:dyDescent="0.25">
      <c r="A110">
        <v>107</v>
      </c>
      <c r="B110" t="s">
        <v>148</v>
      </c>
      <c r="C110">
        <v>8764</v>
      </c>
      <c r="E110" t="s">
        <v>133</v>
      </c>
    </row>
    <row r="111" spans="1:5" x14ac:dyDescent="0.25">
      <c r="A111">
        <v>108</v>
      </c>
      <c r="B111" t="s">
        <v>149</v>
      </c>
      <c r="C111">
        <v>11003</v>
      </c>
      <c r="E111" t="s">
        <v>133</v>
      </c>
    </row>
    <row r="112" spans="1:5" x14ac:dyDescent="0.25">
      <c r="A112">
        <v>109</v>
      </c>
      <c r="B112" t="s">
        <v>150</v>
      </c>
      <c r="C112">
        <v>4552</v>
      </c>
      <c r="E112" t="s">
        <v>133</v>
      </c>
    </row>
    <row r="113" spans="1:5" x14ac:dyDescent="0.25">
      <c r="A113">
        <v>110</v>
      </c>
      <c r="B113" t="s">
        <v>151</v>
      </c>
      <c r="C113">
        <v>5592</v>
      </c>
      <c r="E113" t="s">
        <v>133</v>
      </c>
    </row>
    <row r="114" spans="1:5" x14ac:dyDescent="0.25">
      <c r="A114">
        <v>111</v>
      </c>
      <c r="B114" t="s">
        <v>152</v>
      </c>
      <c r="C114">
        <v>30699</v>
      </c>
      <c r="E114" t="s">
        <v>133</v>
      </c>
    </row>
    <row r="115" spans="1:5" x14ac:dyDescent="0.25">
      <c r="A115">
        <v>112</v>
      </c>
      <c r="B115" t="s">
        <v>153</v>
      </c>
      <c r="C115">
        <v>9217</v>
      </c>
      <c r="E115" t="s">
        <v>133</v>
      </c>
    </row>
    <row r="116" spans="1:5" x14ac:dyDescent="0.25">
      <c r="A116">
        <v>113</v>
      </c>
      <c r="B116" t="s">
        <v>154</v>
      </c>
      <c r="C116">
        <v>16519</v>
      </c>
      <c r="E116" t="s">
        <v>133</v>
      </c>
    </row>
    <row r="117" spans="1:5" x14ac:dyDescent="0.25">
      <c r="A117">
        <v>114</v>
      </c>
      <c r="B117" t="s">
        <v>155</v>
      </c>
      <c r="C117">
        <v>33966</v>
      </c>
      <c r="E117" t="s">
        <v>133</v>
      </c>
    </row>
    <row r="118" spans="1:5" x14ac:dyDescent="0.25">
      <c r="A118">
        <v>115</v>
      </c>
      <c r="B118" t="s">
        <v>156</v>
      </c>
      <c r="C118">
        <v>2886</v>
      </c>
      <c r="E118" t="s">
        <v>133</v>
      </c>
    </row>
    <row r="119" spans="1:5" x14ac:dyDescent="0.25">
      <c r="A119">
        <v>116</v>
      </c>
      <c r="B119" t="s">
        <v>157</v>
      </c>
      <c r="C119">
        <v>8975</v>
      </c>
      <c r="E119" t="s">
        <v>133</v>
      </c>
    </row>
    <row r="120" spans="1:5" x14ac:dyDescent="0.25">
      <c r="A120">
        <v>117</v>
      </c>
      <c r="B120" t="s">
        <v>158</v>
      </c>
      <c r="C120">
        <v>3558</v>
      </c>
      <c r="E120" t="s">
        <v>133</v>
      </c>
    </row>
    <row r="121" spans="1:5" x14ac:dyDescent="0.25">
      <c r="A121">
        <v>118</v>
      </c>
      <c r="B121" t="s">
        <v>159</v>
      </c>
      <c r="C121">
        <v>27091</v>
      </c>
      <c r="E121" t="s">
        <v>133</v>
      </c>
    </row>
    <row r="122" spans="1:5" x14ac:dyDescent="0.25">
      <c r="A122">
        <v>119</v>
      </c>
      <c r="B122" t="s">
        <v>160</v>
      </c>
      <c r="C122">
        <v>13068</v>
      </c>
      <c r="E122" t="s">
        <v>133</v>
      </c>
    </row>
    <row r="123" spans="1:5" x14ac:dyDescent="0.25">
      <c r="A123">
        <v>120</v>
      </c>
      <c r="B123" t="s">
        <v>161</v>
      </c>
      <c r="C123">
        <v>29563</v>
      </c>
      <c r="E123" t="s">
        <v>162</v>
      </c>
    </row>
    <row r="124" spans="1:5" x14ac:dyDescent="0.25">
      <c r="A124">
        <v>121</v>
      </c>
      <c r="B124" t="s">
        <v>163</v>
      </c>
      <c r="C124">
        <v>7751</v>
      </c>
      <c r="E124" t="s">
        <v>162</v>
      </c>
    </row>
    <row r="125" spans="1:5" x14ac:dyDescent="0.25">
      <c r="A125">
        <v>122</v>
      </c>
      <c r="B125" t="s">
        <v>164</v>
      </c>
      <c r="C125">
        <v>8786</v>
      </c>
      <c r="E125" t="s">
        <v>162</v>
      </c>
    </row>
    <row r="126" spans="1:5" x14ac:dyDescent="0.25">
      <c r="A126">
        <v>123</v>
      </c>
      <c r="B126" t="s">
        <v>165</v>
      </c>
      <c r="C126">
        <v>7479</v>
      </c>
      <c r="E126" t="s">
        <v>162</v>
      </c>
    </row>
    <row r="127" spans="1:5" x14ac:dyDescent="0.25">
      <c r="A127">
        <v>124</v>
      </c>
      <c r="B127" t="s">
        <v>166</v>
      </c>
      <c r="C127">
        <v>37746</v>
      </c>
      <c r="E127" t="s">
        <v>162</v>
      </c>
    </row>
    <row r="128" spans="1:5" x14ac:dyDescent="0.25">
      <c r="A128">
        <v>125</v>
      </c>
      <c r="B128" t="s">
        <v>167</v>
      </c>
      <c r="C128">
        <v>4928</v>
      </c>
      <c r="E128" t="s">
        <v>162</v>
      </c>
    </row>
    <row r="129" spans="1:5" x14ac:dyDescent="0.25">
      <c r="A129">
        <v>126</v>
      </c>
      <c r="B129" t="s">
        <v>168</v>
      </c>
      <c r="C129">
        <v>76111</v>
      </c>
      <c r="E129" t="s">
        <v>162</v>
      </c>
    </row>
    <row r="130" spans="1:5" x14ac:dyDescent="0.25">
      <c r="A130">
        <v>127</v>
      </c>
      <c r="B130" t="s">
        <v>169</v>
      </c>
      <c r="C130">
        <v>28409</v>
      </c>
      <c r="E130" t="s">
        <v>162</v>
      </c>
    </row>
    <row r="131" spans="1:5" x14ac:dyDescent="0.25">
      <c r="A131">
        <v>128</v>
      </c>
      <c r="B131" t="s">
        <v>170</v>
      </c>
      <c r="C131">
        <v>35732</v>
      </c>
      <c r="E131" t="s">
        <v>162</v>
      </c>
    </row>
    <row r="132" spans="1:5" x14ac:dyDescent="0.25">
      <c r="A132">
        <v>129</v>
      </c>
      <c r="B132" t="s">
        <v>171</v>
      </c>
      <c r="C132">
        <v>38687</v>
      </c>
      <c r="E132" t="s">
        <v>162</v>
      </c>
    </row>
    <row r="133" spans="1:5" x14ac:dyDescent="0.25">
      <c r="A133">
        <v>130</v>
      </c>
      <c r="B133" t="s">
        <v>172</v>
      </c>
      <c r="C133">
        <v>54919</v>
      </c>
      <c r="E133" t="s">
        <v>162</v>
      </c>
    </row>
    <row r="134" spans="1:5" x14ac:dyDescent="0.25">
      <c r="A134">
        <v>131</v>
      </c>
      <c r="B134" t="s">
        <v>173</v>
      </c>
      <c r="C134">
        <v>2603</v>
      </c>
      <c r="E134" t="s">
        <v>162</v>
      </c>
    </row>
    <row r="135" spans="1:5" x14ac:dyDescent="0.25">
      <c r="A135">
        <v>132</v>
      </c>
      <c r="B135" t="s">
        <v>174</v>
      </c>
      <c r="C135">
        <v>14161</v>
      </c>
      <c r="E135" t="s">
        <v>162</v>
      </c>
    </row>
    <row r="136" spans="1:5" x14ac:dyDescent="0.25">
      <c r="A136">
        <v>133</v>
      </c>
      <c r="B136" t="s">
        <v>175</v>
      </c>
      <c r="C136">
        <v>5419</v>
      </c>
      <c r="E136" t="s">
        <v>162</v>
      </c>
    </row>
    <row r="137" spans="1:5" x14ac:dyDescent="0.25">
      <c r="A137">
        <v>134</v>
      </c>
      <c r="B137" t="s">
        <v>176</v>
      </c>
      <c r="C137">
        <v>13082</v>
      </c>
      <c r="E137" t="s">
        <v>162</v>
      </c>
    </row>
    <row r="138" spans="1:5" x14ac:dyDescent="0.25">
      <c r="A138">
        <v>135</v>
      </c>
      <c r="B138" t="s">
        <v>177</v>
      </c>
      <c r="C138">
        <v>18044</v>
      </c>
      <c r="E138" t="s">
        <v>162</v>
      </c>
    </row>
    <row r="139" spans="1:5" x14ac:dyDescent="0.25">
      <c r="A139">
        <v>136</v>
      </c>
      <c r="B139" t="s">
        <v>178</v>
      </c>
      <c r="C139">
        <v>7731</v>
      </c>
      <c r="E139" t="s">
        <v>162</v>
      </c>
    </row>
    <row r="140" spans="1:5" x14ac:dyDescent="0.25">
      <c r="A140">
        <v>137</v>
      </c>
      <c r="B140" t="s">
        <v>179</v>
      </c>
      <c r="C140">
        <v>14823</v>
      </c>
      <c r="E140" t="s">
        <v>162</v>
      </c>
    </row>
    <row r="141" spans="1:5" x14ac:dyDescent="0.25">
      <c r="A141">
        <v>138</v>
      </c>
      <c r="B141" t="s">
        <v>180</v>
      </c>
      <c r="C141">
        <v>5104</v>
      </c>
      <c r="E141" t="s">
        <v>162</v>
      </c>
    </row>
    <row r="142" spans="1:5" x14ac:dyDescent="0.25">
      <c r="A142">
        <v>139</v>
      </c>
      <c r="B142" t="s">
        <v>181</v>
      </c>
      <c r="C142">
        <v>1513</v>
      </c>
      <c r="E142" t="s">
        <v>162</v>
      </c>
    </row>
    <row r="143" spans="1:5" x14ac:dyDescent="0.25">
      <c r="A143">
        <v>140</v>
      </c>
      <c r="B143" t="s">
        <v>182</v>
      </c>
      <c r="C143">
        <v>1003</v>
      </c>
      <c r="E143" t="s">
        <v>183</v>
      </c>
    </row>
    <row r="144" spans="1:5" x14ac:dyDescent="0.25">
      <c r="A144">
        <v>141</v>
      </c>
      <c r="B144" t="s">
        <v>184</v>
      </c>
      <c r="C144">
        <v>15453</v>
      </c>
      <c r="E144" t="s">
        <v>183</v>
      </c>
    </row>
    <row r="145" spans="1:5" x14ac:dyDescent="0.25">
      <c r="A145">
        <v>142</v>
      </c>
      <c r="B145" t="s">
        <v>185</v>
      </c>
      <c r="C145">
        <v>2949</v>
      </c>
      <c r="E145" t="s">
        <v>183</v>
      </c>
    </row>
    <row r="146" spans="1:5" x14ac:dyDescent="0.25">
      <c r="A146">
        <v>143</v>
      </c>
      <c r="B146" t="s">
        <v>186</v>
      </c>
      <c r="C146">
        <v>23129</v>
      </c>
      <c r="E146" t="s">
        <v>183</v>
      </c>
    </row>
    <row r="147" spans="1:5" x14ac:dyDescent="0.25">
      <c r="A147">
        <v>144</v>
      </c>
      <c r="B147" t="s">
        <v>187</v>
      </c>
      <c r="C147">
        <v>9679</v>
      </c>
      <c r="E147" t="s">
        <v>183</v>
      </c>
    </row>
    <row r="148" spans="1:5" x14ac:dyDescent="0.25">
      <c r="A148">
        <v>145</v>
      </c>
      <c r="B148" t="s">
        <v>188</v>
      </c>
      <c r="C148">
        <v>15322</v>
      </c>
      <c r="E148" t="s">
        <v>183</v>
      </c>
    </row>
    <row r="149" spans="1:5" x14ac:dyDescent="0.25">
      <c r="A149">
        <v>146</v>
      </c>
      <c r="B149" t="s">
        <v>189</v>
      </c>
      <c r="C149">
        <v>16157</v>
      </c>
      <c r="E149" t="s">
        <v>183</v>
      </c>
    </row>
    <row r="150" spans="1:5" x14ac:dyDescent="0.25">
      <c r="A150">
        <v>147</v>
      </c>
      <c r="B150" t="s">
        <v>190</v>
      </c>
      <c r="C150">
        <v>11034</v>
      </c>
      <c r="E150" t="s">
        <v>183</v>
      </c>
    </row>
    <row r="151" spans="1:5" x14ac:dyDescent="0.25">
      <c r="A151">
        <v>148</v>
      </c>
      <c r="B151" t="s">
        <v>191</v>
      </c>
      <c r="C151">
        <v>35254</v>
      </c>
      <c r="E151" t="s">
        <v>183</v>
      </c>
    </row>
    <row r="152" spans="1:5" x14ac:dyDescent="0.25">
      <c r="A152">
        <v>149</v>
      </c>
      <c r="B152" t="s">
        <v>192</v>
      </c>
      <c r="C152">
        <v>11328</v>
      </c>
      <c r="E152" t="s">
        <v>183</v>
      </c>
    </row>
    <row r="153" spans="1:5" x14ac:dyDescent="0.25">
      <c r="A153">
        <v>150</v>
      </c>
      <c r="B153" t="s">
        <v>193</v>
      </c>
      <c r="C153">
        <v>13595</v>
      </c>
      <c r="E153" t="s">
        <v>183</v>
      </c>
    </row>
    <row r="154" spans="1:5" x14ac:dyDescent="0.25">
      <c r="A154">
        <v>151</v>
      </c>
      <c r="B154" t="s">
        <v>194</v>
      </c>
      <c r="C154">
        <v>17306</v>
      </c>
      <c r="E154" t="s">
        <v>183</v>
      </c>
    </row>
    <row r="155" spans="1:5" x14ac:dyDescent="0.25">
      <c r="A155">
        <v>152</v>
      </c>
      <c r="B155" t="s">
        <v>195</v>
      </c>
      <c r="C155">
        <v>3768</v>
      </c>
      <c r="E155" t="s">
        <v>183</v>
      </c>
    </row>
    <row r="156" spans="1:5" x14ac:dyDescent="0.25">
      <c r="A156">
        <v>153</v>
      </c>
      <c r="B156" t="s">
        <v>196</v>
      </c>
      <c r="C156">
        <v>16718</v>
      </c>
      <c r="E156" t="s">
        <v>183</v>
      </c>
    </row>
    <row r="157" spans="1:5" x14ac:dyDescent="0.25">
      <c r="A157">
        <v>154</v>
      </c>
      <c r="B157" t="s">
        <v>197</v>
      </c>
      <c r="C157">
        <v>28276</v>
      </c>
      <c r="E157" t="s">
        <v>198</v>
      </c>
    </row>
    <row r="158" spans="1:5" x14ac:dyDescent="0.25">
      <c r="A158">
        <v>155</v>
      </c>
      <c r="B158" t="s">
        <v>199</v>
      </c>
      <c r="C158">
        <v>347142</v>
      </c>
      <c r="E158" t="s">
        <v>198</v>
      </c>
    </row>
    <row r="159" spans="1:5" x14ac:dyDescent="0.25">
      <c r="A159">
        <v>156</v>
      </c>
      <c r="B159" t="s">
        <v>200</v>
      </c>
      <c r="C159">
        <v>39749</v>
      </c>
      <c r="E159" t="s">
        <v>198</v>
      </c>
    </row>
    <row r="160" spans="1:5" x14ac:dyDescent="0.25">
      <c r="A160">
        <v>157</v>
      </c>
      <c r="B160" t="s">
        <v>201</v>
      </c>
      <c r="C160">
        <v>18790</v>
      </c>
      <c r="E160" t="s">
        <v>198</v>
      </c>
    </row>
    <row r="161" spans="1:5" x14ac:dyDescent="0.25">
      <c r="A161">
        <v>158</v>
      </c>
      <c r="B161" t="s">
        <v>202</v>
      </c>
      <c r="C161">
        <v>15287</v>
      </c>
      <c r="E161" t="s">
        <v>198</v>
      </c>
    </row>
    <row r="162" spans="1:5" x14ac:dyDescent="0.25">
      <c r="A162">
        <v>159</v>
      </c>
      <c r="B162" t="s">
        <v>203</v>
      </c>
      <c r="C162">
        <v>7669</v>
      </c>
      <c r="E162" t="s">
        <v>198</v>
      </c>
    </row>
    <row r="163" spans="1:5" x14ac:dyDescent="0.25">
      <c r="A163">
        <v>160</v>
      </c>
      <c r="B163" t="s">
        <v>204</v>
      </c>
      <c r="C163">
        <v>28438</v>
      </c>
      <c r="E163" t="s">
        <v>198</v>
      </c>
    </row>
    <row r="164" spans="1:5" x14ac:dyDescent="0.25">
      <c r="A164">
        <v>161</v>
      </c>
      <c r="B164" t="s">
        <v>205</v>
      </c>
      <c r="C164">
        <v>38549</v>
      </c>
      <c r="E164" t="s">
        <v>198</v>
      </c>
    </row>
    <row r="165" spans="1:5" x14ac:dyDescent="0.25">
      <c r="A165">
        <v>162</v>
      </c>
      <c r="B165" t="s">
        <v>206</v>
      </c>
      <c r="C165">
        <v>29094</v>
      </c>
      <c r="E165" t="s">
        <v>198</v>
      </c>
    </row>
    <row r="166" spans="1:5" x14ac:dyDescent="0.25">
      <c r="A166">
        <v>163</v>
      </c>
      <c r="B166" t="s">
        <v>207</v>
      </c>
      <c r="C166">
        <v>48972</v>
      </c>
      <c r="E166" t="s">
        <v>198</v>
      </c>
    </row>
    <row r="167" spans="1:5" x14ac:dyDescent="0.25">
      <c r="A167">
        <v>164</v>
      </c>
      <c r="B167" t="s">
        <v>208</v>
      </c>
      <c r="C167">
        <v>30887</v>
      </c>
      <c r="E167" t="s">
        <v>198</v>
      </c>
    </row>
    <row r="168" spans="1:5" x14ac:dyDescent="0.25">
      <c r="A168">
        <v>165</v>
      </c>
      <c r="B168" t="s">
        <v>209</v>
      </c>
      <c r="C168">
        <v>43591</v>
      </c>
      <c r="E168" t="s">
        <v>198</v>
      </c>
    </row>
    <row r="169" spans="1:5" x14ac:dyDescent="0.25">
      <c r="A169">
        <v>166</v>
      </c>
      <c r="B169" t="s">
        <v>210</v>
      </c>
      <c r="C169">
        <v>64775</v>
      </c>
      <c r="E169" t="s">
        <v>198</v>
      </c>
    </row>
    <row r="170" spans="1:5" x14ac:dyDescent="0.25">
      <c r="A170">
        <v>167</v>
      </c>
      <c r="B170" t="s">
        <v>211</v>
      </c>
      <c r="C170">
        <v>29748</v>
      </c>
      <c r="E170" t="s">
        <v>198</v>
      </c>
    </row>
    <row r="171" spans="1:5" x14ac:dyDescent="0.25">
      <c r="A171">
        <v>168</v>
      </c>
      <c r="B171" t="s">
        <v>212</v>
      </c>
      <c r="C171">
        <v>133065</v>
      </c>
      <c r="E171" t="s">
        <v>213</v>
      </c>
    </row>
    <row r="172" spans="1:5" x14ac:dyDescent="0.25">
      <c r="A172">
        <v>169</v>
      </c>
      <c r="B172" t="s">
        <v>214</v>
      </c>
      <c r="C172">
        <v>73199</v>
      </c>
      <c r="E172" t="s">
        <v>213</v>
      </c>
    </row>
    <row r="173" spans="1:5" x14ac:dyDescent="0.25">
      <c r="A173">
        <v>170</v>
      </c>
      <c r="B173" t="s">
        <v>215</v>
      </c>
      <c r="C173">
        <v>41882</v>
      </c>
      <c r="E173" t="s">
        <v>213</v>
      </c>
    </row>
    <row r="174" spans="1:5" x14ac:dyDescent="0.25">
      <c r="A174">
        <v>171</v>
      </c>
      <c r="B174" t="s">
        <v>216</v>
      </c>
      <c r="C174">
        <v>24793</v>
      </c>
      <c r="E174" t="s">
        <v>213</v>
      </c>
    </row>
    <row r="175" spans="1:5" x14ac:dyDescent="0.25">
      <c r="A175">
        <v>172</v>
      </c>
      <c r="B175" t="s">
        <v>217</v>
      </c>
      <c r="C175">
        <v>23078</v>
      </c>
      <c r="E175" t="s">
        <v>213</v>
      </c>
    </row>
    <row r="176" spans="1:5" x14ac:dyDescent="0.25">
      <c r="A176">
        <v>173</v>
      </c>
      <c r="B176" t="s">
        <v>218</v>
      </c>
      <c r="C176">
        <v>11960</v>
      </c>
      <c r="E176" t="s">
        <v>213</v>
      </c>
    </row>
    <row r="177" spans="1:5" x14ac:dyDescent="0.25">
      <c r="A177">
        <v>174</v>
      </c>
      <c r="B177" t="s">
        <v>219</v>
      </c>
      <c r="C177">
        <v>28157</v>
      </c>
      <c r="E177" t="s">
        <v>220</v>
      </c>
    </row>
    <row r="178" spans="1:5" x14ac:dyDescent="0.25">
      <c r="A178">
        <v>175</v>
      </c>
      <c r="B178" t="s">
        <v>221</v>
      </c>
      <c r="C178">
        <v>16020</v>
      </c>
      <c r="E178" t="s">
        <v>220</v>
      </c>
    </row>
    <row r="179" spans="1:5" x14ac:dyDescent="0.25">
      <c r="A179">
        <v>176</v>
      </c>
      <c r="B179" t="s">
        <v>222</v>
      </c>
      <c r="C179">
        <v>6342</v>
      </c>
      <c r="E179" t="s">
        <v>213</v>
      </c>
    </row>
    <row r="180" spans="1:5" x14ac:dyDescent="0.25">
      <c r="A180">
        <v>177</v>
      </c>
      <c r="B180" t="s">
        <v>223</v>
      </c>
      <c r="C180">
        <v>7109</v>
      </c>
      <c r="E180" t="s">
        <v>213</v>
      </c>
    </row>
    <row r="181" spans="1:5" x14ac:dyDescent="0.25">
      <c r="A181">
        <v>178</v>
      </c>
      <c r="B181" t="s">
        <v>224</v>
      </c>
      <c r="C181">
        <v>11535</v>
      </c>
      <c r="E181" t="s">
        <v>213</v>
      </c>
    </row>
    <row r="182" spans="1:5" x14ac:dyDescent="0.25">
      <c r="A182">
        <v>179</v>
      </c>
      <c r="B182" t="s">
        <v>225</v>
      </c>
      <c r="C182">
        <v>18907</v>
      </c>
      <c r="E182" t="s">
        <v>226</v>
      </c>
    </row>
    <row r="183" spans="1:5" x14ac:dyDescent="0.25">
      <c r="A183">
        <v>180</v>
      </c>
      <c r="B183" t="s">
        <v>227</v>
      </c>
      <c r="C183">
        <v>13026</v>
      </c>
      <c r="E183" t="s">
        <v>226</v>
      </c>
    </row>
    <row r="184" spans="1:5" x14ac:dyDescent="0.25">
      <c r="A184">
        <v>181</v>
      </c>
      <c r="B184" t="s">
        <v>228</v>
      </c>
      <c r="C184">
        <v>4036</v>
      </c>
      <c r="E184" t="s">
        <v>226</v>
      </c>
    </row>
    <row r="185" spans="1:5" x14ac:dyDescent="0.25">
      <c r="A185">
        <v>182</v>
      </c>
      <c r="B185" t="s">
        <v>229</v>
      </c>
      <c r="C185">
        <v>5528</v>
      </c>
      <c r="E185" t="s">
        <v>226</v>
      </c>
    </row>
    <row r="186" spans="1:5" x14ac:dyDescent="0.25">
      <c r="A186">
        <v>183</v>
      </c>
      <c r="B186" t="s">
        <v>230</v>
      </c>
      <c r="C186">
        <v>3549</v>
      </c>
      <c r="E186" t="s">
        <v>226</v>
      </c>
    </row>
    <row r="187" spans="1:5" x14ac:dyDescent="0.25">
      <c r="A187">
        <v>184</v>
      </c>
      <c r="B187" t="s">
        <v>231</v>
      </c>
      <c r="C187">
        <v>9895</v>
      </c>
      <c r="E187" t="s">
        <v>226</v>
      </c>
    </row>
    <row r="188" spans="1:5" x14ac:dyDescent="0.25">
      <c r="A188">
        <v>185</v>
      </c>
      <c r="B188" t="s">
        <v>232</v>
      </c>
      <c r="C188">
        <v>19221</v>
      </c>
      <c r="E188" t="s">
        <v>226</v>
      </c>
    </row>
    <row r="189" spans="1:5" x14ac:dyDescent="0.25">
      <c r="A189">
        <v>186</v>
      </c>
      <c r="B189" t="s">
        <v>233</v>
      </c>
      <c r="C189">
        <v>10447</v>
      </c>
      <c r="E189" t="s">
        <v>226</v>
      </c>
    </row>
    <row r="190" spans="1:5" x14ac:dyDescent="0.25">
      <c r="A190">
        <v>187</v>
      </c>
      <c r="B190" t="s">
        <v>234</v>
      </c>
      <c r="C190">
        <v>44053</v>
      </c>
      <c r="E190" t="s">
        <v>226</v>
      </c>
    </row>
    <row r="191" spans="1:5" x14ac:dyDescent="0.25">
      <c r="A191">
        <v>188</v>
      </c>
      <c r="B191" t="s">
        <v>235</v>
      </c>
      <c r="C191">
        <v>38273</v>
      </c>
      <c r="E191" t="s">
        <v>226</v>
      </c>
    </row>
    <row r="192" spans="1:5" x14ac:dyDescent="0.25">
      <c r="A192">
        <v>189</v>
      </c>
      <c r="B192" t="s">
        <v>236</v>
      </c>
      <c r="C192">
        <v>5984</v>
      </c>
      <c r="E192" t="s">
        <v>226</v>
      </c>
    </row>
    <row r="193" spans="1:5" x14ac:dyDescent="0.25">
      <c r="A193">
        <v>190</v>
      </c>
      <c r="B193" t="s">
        <v>237</v>
      </c>
      <c r="C193">
        <v>8816</v>
      </c>
      <c r="E193" t="s">
        <v>226</v>
      </c>
    </row>
    <row r="194" spans="1:5" x14ac:dyDescent="0.25">
      <c r="A194">
        <v>191</v>
      </c>
      <c r="B194" t="s">
        <v>238</v>
      </c>
      <c r="C194">
        <v>7031</v>
      </c>
      <c r="E194" t="s">
        <v>226</v>
      </c>
    </row>
    <row r="195" spans="1:5" x14ac:dyDescent="0.25">
      <c r="A195">
        <v>192</v>
      </c>
      <c r="B195" t="s">
        <v>239</v>
      </c>
      <c r="C195">
        <v>9344</v>
      </c>
      <c r="E195" t="s">
        <v>226</v>
      </c>
    </row>
    <row r="196" spans="1:5" x14ac:dyDescent="0.25">
      <c r="A196">
        <v>193</v>
      </c>
      <c r="B196" t="s">
        <v>240</v>
      </c>
      <c r="C196">
        <v>10794</v>
      </c>
      <c r="E196" t="s">
        <v>226</v>
      </c>
    </row>
    <row r="197" spans="1:5" x14ac:dyDescent="0.25">
      <c r="A197">
        <v>194</v>
      </c>
      <c r="B197" t="s">
        <v>241</v>
      </c>
      <c r="C197">
        <v>1532</v>
      </c>
      <c r="E197" t="s">
        <v>226</v>
      </c>
    </row>
    <row r="198" spans="1:5" x14ac:dyDescent="0.25">
      <c r="A198">
        <v>195</v>
      </c>
      <c r="B198" t="s">
        <v>242</v>
      </c>
      <c r="C198">
        <v>2896</v>
      </c>
      <c r="E198" t="s">
        <v>226</v>
      </c>
    </row>
    <row r="199" spans="1:5" x14ac:dyDescent="0.25">
      <c r="A199">
        <v>196</v>
      </c>
      <c r="B199" t="s">
        <v>243</v>
      </c>
      <c r="C199">
        <v>15817</v>
      </c>
      <c r="E199" t="s">
        <v>226</v>
      </c>
    </row>
    <row r="200" spans="1:5" x14ac:dyDescent="0.25">
      <c r="A200">
        <v>197</v>
      </c>
      <c r="B200" t="s">
        <v>244</v>
      </c>
      <c r="C200">
        <v>33634</v>
      </c>
      <c r="E200" t="s">
        <v>226</v>
      </c>
    </row>
    <row r="201" spans="1:5" x14ac:dyDescent="0.25">
      <c r="A201">
        <v>198</v>
      </c>
      <c r="B201" t="s">
        <v>245</v>
      </c>
      <c r="C201">
        <v>29547</v>
      </c>
      <c r="E201" t="s">
        <v>246</v>
      </c>
    </row>
    <row r="202" spans="1:5" x14ac:dyDescent="0.25">
      <c r="A202">
        <v>199</v>
      </c>
      <c r="B202" t="s">
        <v>247</v>
      </c>
      <c r="C202">
        <v>51236</v>
      </c>
      <c r="E202" t="s">
        <v>246</v>
      </c>
    </row>
    <row r="203" spans="1:5" x14ac:dyDescent="0.25">
      <c r="A203">
        <v>200</v>
      </c>
      <c r="B203" t="s">
        <v>248</v>
      </c>
      <c r="C203">
        <v>21058</v>
      </c>
      <c r="E203" t="s">
        <v>246</v>
      </c>
    </row>
    <row r="204" spans="1:5" x14ac:dyDescent="0.25">
      <c r="A204">
        <v>201</v>
      </c>
      <c r="B204" t="s">
        <v>249</v>
      </c>
      <c r="C204">
        <v>16316</v>
      </c>
      <c r="E204" t="s">
        <v>246</v>
      </c>
    </row>
    <row r="205" spans="1:5" x14ac:dyDescent="0.25">
      <c r="A205">
        <v>202</v>
      </c>
      <c r="B205" t="s">
        <v>250</v>
      </c>
      <c r="C205">
        <v>17421</v>
      </c>
      <c r="E205" t="s">
        <v>246</v>
      </c>
    </row>
    <row r="206" spans="1:5" x14ac:dyDescent="0.25">
      <c r="A206">
        <v>203</v>
      </c>
      <c r="B206" t="s">
        <v>251</v>
      </c>
      <c r="C206">
        <v>49161</v>
      </c>
      <c r="E206" t="s">
        <v>246</v>
      </c>
    </row>
    <row r="207" spans="1:5" x14ac:dyDescent="0.25">
      <c r="A207">
        <v>204</v>
      </c>
      <c r="B207" t="s">
        <v>252</v>
      </c>
      <c r="C207">
        <v>9910</v>
      </c>
      <c r="E207" t="s">
        <v>246</v>
      </c>
    </row>
    <row r="208" spans="1:5" x14ac:dyDescent="0.25">
      <c r="A208">
        <v>205</v>
      </c>
      <c r="B208" t="s">
        <v>253</v>
      </c>
      <c r="C208">
        <v>44612</v>
      </c>
      <c r="E208" t="s">
        <v>246</v>
      </c>
    </row>
    <row r="209" spans="1:5" x14ac:dyDescent="0.25">
      <c r="A209">
        <v>206</v>
      </c>
      <c r="B209" t="s">
        <v>254</v>
      </c>
      <c r="C209">
        <v>45944</v>
      </c>
      <c r="E209" t="s">
        <v>246</v>
      </c>
    </row>
    <row r="210" spans="1:5" x14ac:dyDescent="0.25">
      <c r="A210">
        <v>207</v>
      </c>
      <c r="B210" t="s">
        <v>255</v>
      </c>
      <c r="C210">
        <v>39515</v>
      </c>
      <c r="E210" t="s">
        <v>246</v>
      </c>
    </row>
    <row r="211" spans="1:5" x14ac:dyDescent="0.25">
      <c r="A211">
        <v>208</v>
      </c>
      <c r="B211" t="s">
        <v>256</v>
      </c>
      <c r="C211">
        <v>68417</v>
      </c>
      <c r="E211" t="s">
        <v>246</v>
      </c>
    </row>
    <row r="212" spans="1:5" x14ac:dyDescent="0.25">
      <c r="A212">
        <v>209</v>
      </c>
      <c r="B212" t="s">
        <v>257</v>
      </c>
      <c r="C212">
        <v>30465</v>
      </c>
      <c r="E212" t="s">
        <v>246</v>
      </c>
    </row>
    <row r="213" spans="1:5" x14ac:dyDescent="0.25">
      <c r="A213">
        <v>210</v>
      </c>
      <c r="B213" t="s">
        <v>258</v>
      </c>
      <c r="C213">
        <v>61149</v>
      </c>
      <c r="E213" t="s">
        <v>246</v>
      </c>
    </row>
    <row r="214" spans="1:5" x14ac:dyDescent="0.25">
      <c r="A214">
        <v>211</v>
      </c>
      <c r="B214" t="s">
        <v>259</v>
      </c>
      <c r="C214">
        <v>8979</v>
      </c>
      <c r="E214" t="s">
        <v>246</v>
      </c>
    </row>
    <row r="215" spans="1:5" x14ac:dyDescent="0.25">
      <c r="A215">
        <v>212</v>
      </c>
      <c r="B215" t="s">
        <v>260</v>
      </c>
      <c r="C215">
        <v>84243</v>
      </c>
      <c r="E215" t="s">
        <v>246</v>
      </c>
    </row>
    <row r="216" spans="1:5" x14ac:dyDescent="0.25">
      <c r="A216">
        <v>213</v>
      </c>
      <c r="B216" t="s">
        <v>261</v>
      </c>
      <c r="C216">
        <v>204880</v>
      </c>
      <c r="E216" t="s">
        <v>246</v>
      </c>
    </row>
    <row r="217" spans="1:5" x14ac:dyDescent="0.25">
      <c r="A217">
        <v>214</v>
      </c>
      <c r="B217" t="s">
        <v>262</v>
      </c>
      <c r="C217">
        <v>14247</v>
      </c>
      <c r="E217" t="s">
        <v>246</v>
      </c>
    </row>
    <row r="218" spans="1:5" x14ac:dyDescent="0.25">
      <c r="A218">
        <v>215</v>
      </c>
      <c r="B218" t="s">
        <v>263</v>
      </c>
      <c r="C218">
        <v>54822</v>
      </c>
      <c r="E218" t="s">
        <v>246</v>
      </c>
    </row>
    <row r="219" spans="1:5" x14ac:dyDescent="0.25">
      <c r="A219">
        <v>216</v>
      </c>
      <c r="B219" t="s">
        <v>264</v>
      </c>
      <c r="C219">
        <v>35687</v>
      </c>
      <c r="E219" t="s">
        <v>246</v>
      </c>
    </row>
    <row r="220" spans="1:5" x14ac:dyDescent="0.25">
      <c r="A220">
        <v>217</v>
      </c>
      <c r="B220" t="s">
        <v>265</v>
      </c>
      <c r="C220">
        <v>45626</v>
      </c>
      <c r="E220" t="s">
        <v>246</v>
      </c>
    </row>
    <row r="221" spans="1:5" x14ac:dyDescent="0.25">
      <c r="A221">
        <v>218</v>
      </c>
      <c r="B221" t="s">
        <v>266</v>
      </c>
      <c r="C221">
        <v>17069</v>
      </c>
      <c r="E221" t="s">
        <v>246</v>
      </c>
    </row>
    <row r="222" spans="1:5" x14ac:dyDescent="0.25">
      <c r="A222">
        <v>219</v>
      </c>
      <c r="B222" t="s">
        <v>267</v>
      </c>
      <c r="C222">
        <v>12849</v>
      </c>
      <c r="E222" t="s">
        <v>246</v>
      </c>
    </row>
    <row r="223" spans="1:5" x14ac:dyDescent="0.25">
      <c r="A223">
        <v>220</v>
      </c>
      <c r="B223" t="s">
        <v>268</v>
      </c>
      <c r="C223">
        <v>31183</v>
      </c>
      <c r="E223" t="s">
        <v>246</v>
      </c>
    </row>
    <row r="224" spans="1:5" x14ac:dyDescent="0.25">
      <c r="A224">
        <v>221</v>
      </c>
      <c r="B224" t="s">
        <v>269</v>
      </c>
      <c r="C224">
        <v>44462</v>
      </c>
      <c r="E224" t="s">
        <v>246</v>
      </c>
    </row>
    <row r="225" spans="1:5" x14ac:dyDescent="0.25">
      <c r="A225">
        <v>222</v>
      </c>
      <c r="B225" t="s">
        <v>270</v>
      </c>
      <c r="C225">
        <v>54906</v>
      </c>
      <c r="E225" t="s">
        <v>246</v>
      </c>
    </row>
    <row r="226" spans="1:5" x14ac:dyDescent="0.25">
      <c r="A226">
        <v>223</v>
      </c>
      <c r="B226" t="s">
        <v>271</v>
      </c>
      <c r="C226">
        <v>35330</v>
      </c>
      <c r="E226" t="s">
        <v>246</v>
      </c>
    </row>
    <row r="227" spans="1:5" x14ac:dyDescent="0.25">
      <c r="A227">
        <v>224</v>
      </c>
      <c r="B227" t="s">
        <v>272</v>
      </c>
      <c r="C227">
        <v>28260</v>
      </c>
      <c r="E227" t="s">
        <v>246</v>
      </c>
    </row>
    <row r="228" spans="1:5" x14ac:dyDescent="0.25">
      <c r="A228">
        <v>225</v>
      </c>
      <c r="B228" t="s">
        <v>273</v>
      </c>
      <c r="C228">
        <v>26403</v>
      </c>
      <c r="E228" t="s">
        <v>246</v>
      </c>
    </row>
    <row r="229" spans="1:5" x14ac:dyDescent="0.25">
      <c r="A229">
        <v>226</v>
      </c>
      <c r="B229" t="s">
        <v>274</v>
      </c>
      <c r="C229">
        <v>69178</v>
      </c>
      <c r="E229" t="s">
        <v>246</v>
      </c>
    </row>
    <row r="230" spans="1:5" x14ac:dyDescent="0.25">
      <c r="A230">
        <v>227</v>
      </c>
      <c r="B230" t="s">
        <v>275</v>
      </c>
      <c r="C230">
        <v>6175</v>
      </c>
      <c r="E230" t="s">
        <v>276</v>
      </c>
    </row>
    <row r="231" spans="1:5" x14ac:dyDescent="0.25">
      <c r="A231">
        <v>228</v>
      </c>
      <c r="B231" t="s">
        <v>277</v>
      </c>
      <c r="C231">
        <v>12212</v>
      </c>
      <c r="E231" t="s">
        <v>276</v>
      </c>
    </row>
    <row r="232" spans="1:5" x14ac:dyDescent="0.25">
      <c r="A232">
        <v>229</v>
      </c>
      <c r="B232" t="s">
        <v>278</v>
      </c>
      <c r="C232">
        <v>6542</v>
      </c>
      <c r="E232" t="s">
        <v>276</v>
      </c>
    </row>
    <row r="233" spans="1:5" x14ac:dyDescent="0.25">
      <c r="A233">
        <v>230</v>
      </c>
      <c r="B233" t="s">
        <v>279</v>
      </c>
      <c r="C233">
        <v>8551</v>
      </c>
      <c r="E233" t="s">
        <v>276</v>
      </c>
    </row>
    <row r="234" spans="1:5" x14ac:dyDescent="0.25">
      <c r="A234">
        <v>231</v>
      </c>
      <c r="B234" t="s">
        <v>280</v>
      </c>
      <c r="C234">
        <v>3265</v>
      </c>
      <c r="E234" t="s">
        <v>276</v>
      </c>
    </row>
    <row r="235" spans="1:5" x14ac:dyDescent="0.25">
      <c r="A235">
        <v>232</v>
      </c>
      <c r="B235" t="s">
        <v>281</v>
      </c>
      <c r="C235">
        <v>10081</v>
      </c>
      <c r="E235" t="s">
        <v>276</v>
      </c>
    </row>
    <row r="236" spans="1:5" x14ac:dyDescent="0.25">
      <c r="A236">
        <v>233</v>
      </c>
      <c r="B236" t="s">
        <v>282</v>
      </c>
      <c r="C236">
        <v>11865</v>
      </c>
      <c r="E236" t="s">
        <v>276</v>
      </c>
    </row>
    <row r="237" spans="1:5" x14ac:dyDescent="0.25">
      <c r="A237">
        <v>234</v>
      </c>
      <c r="B237" t="s">
        <v>283</v>
      </c>
      <c r="C237">
        <v>10017</v>
      </c>
      <c r="E237" t="s">
        <v>276</v>
      </c>
    </row>
    <row r="238" spans="1:5" x14ac:dyDescent="0.25">
      <c r="A238">
        <v>235</v>
      </c>
      <c r="B238" t="s">
        <v>284</v>
      </c>
      <c r="C238">
        <v>7579</v>
      </c>
      <c r="E238" t="s">
        <v>285</v>
      </c>
    </row>
    <row r="239" spans="1:5" x14ac:dyDescent="0.25">
      <c r="A239">
        <v>236</v>
      </c>
      <c r="B239" t="s">
        <v>286</v>
      </c>
      <c r="C239">
        <v>32805</v>
      </c>
      <c r="E239" t="s">
        <v>285</v>
      </c>
    </row>
    <row r="240" spans="1:5" x14ac:dyDescent="0.25">
      <c r="A240">
        <v>237</v>
      </c>
      <c r="B240" t="s">
        <v>287</v>
      </c>
      <c r="C240">
        <v>39425</v>
      </c>
      <c r="E240" t="s">
        <v>285</v>
      </c>
    </row>
    <row r="241" spans="1:5" x14ac:dyDescent="0.25">
      <c r="A241">
        <v>238</v>
      </c>
      <c r="B241" t="s">
        <v>288</v>
      </c>
      <c r="C241">
        <v>86934</v>
      </c>
      <c r="E241" t="s">
        <v>285</v>
      </c>
    </row>
    <row r="242" spans="1:5" x14ac:dyDescent="0.25">
      <c r="A242">
        <v>239</v>
      </c>
      <c r="B242" t="s">
        <v>289</v>
      </c>
      <c r="C242">
        <v>25121</v>
      </c>
      <c r="E242" t="s">
        <v>285</v>
      </c>
    </row>
    <row r="243" spans="1:5" x14ac:dyDescent="0.25">
      <c r="A243">
        <v>240</v>
      </c>
      <c r="B243" t="s">
        <v>290</v>
      </c>
      <c r="C243">
        <v>5883</v>
      </c>
      <c r="E243" t="s">
        <v>285</v>
      </c>
    </row>
    <row r="244" spans="1:5" x14ac:dyDescent="0.25">
      <c r="A244">
        <v>241</v>
      </c>
      <c r="B244" t="s">
        <v>291</v>
      </c>
      <c r="C244">
        <v>13959</v>
      </c>
      <c r="E244" t="s">
        <v>285</v>
      </c>
    </row>
    <row r="245" spans="1:5" x14ac:dyDescent="0.25">
      <c r="A245">
        <v>242</v>
      </c>
      <c r="B245" t="s">
        <v>292</v>
      </c>
      <c r="C245">
        <v>7128</v>
      </c>
      <c r="E245" t="s">
        <v>285</v>
      </c>
    </row>
    <row r="246" spans="1:5" x14ac:dyDescent="0.25">
      <c r="A246">
        <v>243</v>
      </c>
      <c r="B246" t="s">
        <v>293</v>
      </c>
      <c r="C246">
        <v>81430</v>
      </c>
      <c r="E246" t="s">
        <v>285</v>
      </c>
    </row>
    <row r="247" spans="1:5" x14ac:dyDescent="0.25">
      <c r="A247">
        <v>244</v>
      </c>
      <c r="B247" t="s">
        <v>294</v>
      </c>
      <c r="C247">
        <v>2982</v>
      </c>
      <c r="E247" t="s">
        <v>285</v>
      </c>
    </row>
    <row r="248" spans="1:5" x14ac:dyDescent="0.25">
      <c r="A248">
        <v>245</v>
      </c>
      <c r="B248" t="s">
        <v>295</v>
      </c>
      <c r="C248">
        <v>592319</v>
      </c>
      <c r="E248" t="s">
        <v>296</v>
      </c>
    </row>
    <row r="249" spans="1:5" x14ac:dyDescent="0.25">
      <c r="A249">
        <v>246</v>
      </c>
      <c r="B249" t="s">
        <v>297</v>
      </c>
      <c r="C249">
        <v>18352</v>
      </c>
      <c r="E249" t="s">
        <v>296</v>
      </c>
    </row>
    <row r="250" spans="1:5" x14ac:dyDescent="0.25">
      <c r="A250">
        <v>247</v>
      </c>
      <c r="B250" t="s">
        <v>298</v>
      </c>
      <c r="C250">
        <v>15265</v>
      </c>
      <c r="E250" t="s">
        <v>296</v>
      </c>
    </row>
    <row r="251" spans="1:5" x14ac:dyDescent="0.25">
      <c r="A251">
        <v>248</v>
      </c>
      <c r="B251" t="s">
        <v>299</v>
      </c>
      <c r="C251">
        <v>24695</v>
      </c>
      <c r="E251" t="s">
        <v>100</v>
      </c>
    </row>
    <row r="252" spans="1:5" x14ac:dyDescent="0.25">
      <c r="A252">
        <v>249</v>
      </c>
      <c r="B252" t="s">
        <v>300</v>
      </c>
      <c r="C252">
        <v>74900</v>
      </c>
      <c r="E252" t="s">
        <v>301</v>
      </c>
    </row>
    <row r="253" spans="1:5" x14ac:dyDescent="0.25">
      <c r="A253">
        <v>250</v>
      </c>
      <c r="B253" t="s">
        <v>302</v>
      </c>
      <c r="C253">
        <v>13703</v>
      </c>
      <c r="E253" t="s">
        <v>301</v>
      </c>
    </row>
    <row r="254" spans="1:5" x14ac:dyDescent="0.25">
      <c r="A254">
        <v>251</v>
      </c>
      <c r="B254" t="s">
        <v>303</v>
      </c>
      <c r="C254">
        <v>6194</v>
      </c>
      <c r="E254" t="s">
        <v>301</v>
      </c>
    </row>
    <row r="255" spans="1:5" x14ac:dyDescent="0.25">
      <c r="A255">
        <v>252</v>
      </c>
      <c r="B255" t="s">
        <v>304</v>
      </c>
      <c r="C255">
        <v>40633</v>
      </c>
      <c r="E255" t="s">
        <v>301</v>
      </c>
    </row>
    <row r="256" spans="1:5" x14ac:dyDescent="0.25">
      <c r="A256">
        <v>253</v>
      </c>
      <c r="B256" t="s">
        <v>305</v>
      </c>
      <c r="C256">
        <v>150723</v>
      </c>
      <c r="E256" t="s">
        <v>301</v>
      </c>
    </row>
    <row r="257" spans="1:5" x14ac:dyDescent="0.25">
      <c r="A257">
        <v>254</v>
      </c>
      <c r="B257" t="s">
        <v>306</v>
      </c>
      <c r="C257">
        <v>114055</v>
      </c>
      <c r="E257" t="s">
        <v>301</v>
      </c>
    </row>
    <row r="258" spans="1:5" x14ac:dyDescent="0.25">
      <c r="A258">
        <v>255</v>
      </c>
      <c r="B258" t="s">
        <v>307</v>
      </c>
      <c r="C258">
        <v>15212</v>
      </c>
      <c r="E258" t="s">
        <v>301</v>
      </c>
    </row>
    <row r="259" spans="1:5" x14ac:dyDescent="0.25">
      <c r="A259">
        <v>256</v>
      </c>
      <c r="B259" t="s">
        <v>308</v>
      </c>
      <c r="C259">
        <v>21109</v>
      </c>
      <c r="E259" t="s">
        <v>309</v>
      </c>
    </row>
    <row r="260" spans="1:5" x14ac:dyDescent="0.25">
      <c r="A260">
        <v>257</v>
      </c>
      <c r="B260" t="s">
        <v>310</v>
      </c>
      <c r="C260">
        <v>232338</v>
      </c>
      <c r="E260" t="s">
        <v>309</v>
      </c>
    </row>
    <row r="261" spans="1:5" x14ac:dyDescent="0.25">
      <c r="A261">
        <v>258</v>
      </c>
      <c r="B261" t="s">
        <v>311</v>
      </c>
      <c r="C261">
        <v>28229</v>
      </c>
      <c r="E261" t="s">
        <v>309</v>
      </c>
    </row>
    <row r="262" spans="1:5" x14ac:dyDescent="0.25">
      <c r="A262">
        <v>259</v>
      </c>
      <c r="B262" t="s">
        <v>312</v>
      </c>
      <c r="C262">
        <v>51716</v>
      </c>
      <c r="E262" t="s">
        <v>309</v>
      </c>
    </row>
    <row r="263" spans="1:5" x14ac:dyDescent="0.25">
      <c r="A263">
        <v>260</v>
      </c>
      <c r="B263" t="s">
        <v>313</v>
      </c>
      <c r="C263">
        <v>32221</v>
      </c>
      <c r="E263" t="s">
        <v>301</v>
      </c>
    </row>
    <row r="264" spans="1:5" x14ac:dyDescent="0.25">
      <c r="A264">
        <v>261</v>
      </c>
      <c r="B264" t="s">
        <v>314</v>
      </c>
      <c r="C264">
        <v>21722</v>
      </c>
      <c r="E264" t="s">
        <v>301</v>
      </c>
    </row>
    <row r="265" spans="1:5" x14ac:dyDescent="0.25">
      <c r="A265">
        <v>262</v>
      </c>
      <c r="B265" t="s">
        <v>315</v>
      </c>
      <c r="C265">
        <v>33363</v>
      </c>
      <c r="E265" t="s">
        <v>301</v>
      </c>
    </row>
    <row r="266" spans="1:5" x14ac:dyDescent="0.25">
      <c r="A266">
        <v>263</v>
      </c>
      <c r="B266" t="s">
        <v>316</v>
      </c>
      <c r="C266">
        <v>19008</v>
      </c>
      <c r="E266" t="s">
        <v>301</v>
      </c>
    </row>
    <row r="267" spans="1:5" x14ac:dyDescent="0.25">
      <c r="A267">
        <v>264</v>
      </c>
      <c r="B267" t="s">
        <v>317</v>
      </c>
      <c r="C267">
        <v>45339</v>
      </c>
      <c r="E267" t="s">
        <v>301</v>
      </c>
    </row>
    <row r="268" spans="1:5" x14ac:dyDescent="0.25">
      <c r="A268">
        <v>265</v>
      </c>
      <c r="B268" t="s">
        <v>318</v>
      </c>
      <c r="C268">
        <v>41356</v>
      </c>
      <c r="E268" t="s">
        <v>301</v>
      </c>
    </row>
    <row r="269" spans="1:5" x14ac:dyDescent="0.25">
      <c r="A269">
        <v>266</v>
      </c>
      <c r="B269" t="s">
        <v>319</v>
      </c>
      <c r="C269">
        <v>4597</v>
      </c>
      <c r="E269" t="s">
        <v>301</v>
      </c>
    </row>
    <row r="270" spans="1:5" x14ac:dyDescent="0.25">
      <c r="A270">
        <v>267</v>
      </c>
      <c r="B270" t="s">
        <v>320</v>
      </c>
      <c r="C270">
        <v>49406</v>
      </c>
      <c r="E270" t="s">
        <v>301</v>
      </c>
    </row>
    <row r="271" spans="1:5" x14ac:dyDescent="0.25">
      <c r="A271">
        <v>268</v>
      </c>
      <c r="B271" t="s">
        <v>321</v>
      </c>
      <c r="C271">
        <v>49529</v>
      </c>
      <c r="E271" t="s">
        <v>322</v>
      </c>
    </row>
    <row r="272" spans="1:5" x14ac:dyDescent="0.25">
      <c r="A272">
        <v>269</v>
      </c>
      <c r="B272" t="s">
        <v>323</v>
      </c>
      <c r="C272">
        <v>27859</v>
      </c>
      <c r="E272" t="s">
        <v>322</v>
      </c>
    </row>
    <row r="273" spans="1:5" x14ac:dyDescent="0.25">
      <c r="A273">
        <v>270</v>
      </c>
      <c r="B273" t="s">
        <v>324</v>
      </c>
      <c r="C273">
        <v>4263</v>
      </c>
      <c r="E273" t="s">
        <v>322</v>
      </c>
    </row>
    <row r="274" spans="1:5" x14ac:dyDescent="0.25">
      <c r="A274">
        <v>271</v>
      </c>
      <c r="B274" t="s">
        <v>325</v>
      </c>
      <c r="C274">
        <v>11726</v>
      </c>
      <c r="E274" t="s">
        <v>322</v>
      </c>
    </row>
    <row r="275" spans="1:5" x14ac:dyDescent="0.25">
      <c r="A275">
        <v>272</v>
      </c>
      <c r="B275" t="s">
        <v>326</v>
      </c>
      <c r="C275">
        <v>13411</v>
      </c>
      <c r="E275" t="s">
        <v>322</v>
      </c>
    </row>
    <row r="276" spans="1:5" x14ac:dyDescent="0.25">
      <c r="A276">
        <v>273</v>
      </c>
      <c r="B276" t="s">
        <v>327</v>
      </c>
      <c r="C276">
        <v>16534</v>
      </c>
      <c r="E276" t="s">
        <v>322</v>
      </c>
    </row>
    <row r="277" spans="1:5" x14ac:dyDescent="0.25">
      <c r="A277">
        <v>274</v>
      </c>
      <c r="B277" t="s">
        <v>328</v>
      </c>
      <c r="C277">
        <v>127540</v>
      </c>
      <c r="E277" t="s">
        <v>322</v>
      </c>
    </row>
    <row r="278" spans="1:5" x14ac:dyDescent="0.25">
      <c r="A278">
        <v>275</v>
      </c>
      <c r="B278" t="s">
        <v>329</v>
      </c>
      <c r="C278">
        <v>21521</v>
      </c>
      <c r="E278" t="s">
        <v>322</v>
      </c>
    </row>
    <row r="279" spans="1:5" x14ac:dyDescent="0.25">
      <c r="A279">
        <v>276</v>
      </c>
      <c r="B279" t="s">
        <v>330</v>
      </c>
      <c r="C279">
        <v>6976</v>
      </c>
      <c r="E279" t="s">
        <v>322</v>
      </c>
    </row>
    <row r="280" spans="1:5" x14ac:dyDescent="0.25">
      <c r="A280">
        <v>277</v>
      </c>
      <c r="B280" t="s">
        <v>331</v>
      </c>
      <c r="C280">
        <v>19017</v>
      </c>
      <c r="E280" t="s">
        <v>322</v>
      </c>
    </row>
    <row r="281" spans="1:5" x14ac:dyDescent="0.25">
      <c r="A281">
        <v>278</v>
      </c>
      <c r="B281" t="s">
        <v>332</v>
      </c>
      <c r="C281">
        <v>228345</v>
      </c>
      <c r="E281" t="s">
        <v>333</v>
      </c>
    </row>
    <row r="282" spans="1:5" x14ac:dyDescent="0.25">
      <c r="A282">
        <v>279</v>
      </c>
      <c r="B282" t="s">
        <v>334</v>
      </c>
      <c r="C282">
        <v>270522</v>
      </c>
      <c r="E282" t="s">
        <v>333</v>
      </c>
    </row>
    <row r="283" spans="1:5" x14ac:dyDescent="0.25">
      <c r="A283">
        <v>280</v>
      </c>
      <c r="B283" t="s">
        <v>335</v>
      </c>
      <c r="C283">
        <v>371711</v>
      </c>
      <c r="E283" t="s">
        <v>333</v>
      </c>
    </row>
    <row r="284" spans="1:5" x14ac:dyDescent="0.25">
      <c r="A284">
        <v>281</v>
      </c>
      <c r="B284" t="s">
        <v>336</v>
      </c>
      <c r="C284">
        <v>274798</v>
      </c>
      <c r="E284" t="s">
        <v>333</v>
      </c>
    </row>
    <row r="285" spans="1:5" x14ac:dyDescent="0.25">
      <c r="A285">
        <v>282</v>
      </c>
      <c r="B285" t="s">
        <v>337</v>
      </c>
      <c r="C285">
        <v>411607</v>
      </c>
      <c r="E285" t="s">
        <v>333</v>
      </c>
    </row>
    <row r="286" spans="1:5" x14ac:dyDescent="0.25">
      <c r="A286">
        <v>283</v>
      </c>
      <c r="B286" t="s">
        <v>338</v>
      </c>
      <c r="C286">
        <v>338016</v>
      </c>
      <c r="E286" t="s">
        <v>333</v>
      </c>
    </row>
    <row r="287" spans="1:5" x14ac:dyDescent="0.25">
      <c r="A287">
        <v>284</v>
      </c>
      <c r="B287" t="s">
        <v>339</v>
      </c>
      <c r="C287">
        <v>248250</v>
      </c>
      <c r="E287" t="s">
        <v>333</v>
      </c>
    </row>
    <row r="288" spans="1:5" x14ac:dyDescent="0.25">
      <c r="A288">
        <v>285</v>
      </c>
      <c r="B288" t="s">
        <v>340</v>
      </c>
      <c r="C288">
        <v>204610</v>
      </c>
      <c r="E288" t="s">
        <v>333</v>
      </c>
    </row>
    <row r="289" spans="1:5" x14ac:dyDescent="0.25">
      <c r="A289">
        <v>286</v>
      </c>
      <c r="B289" t="s">
        <v>341</v>
      </c>
      <c r="C289">
        <v>440780</v>
      </c>
      <c r="E289" t="s">
        <v>333</v>
      </c>
    </row>
    <row r="290" spans="1:5" x14ac:dyDescent="0.25">
      <c r="A290">
        <v>287</v>
      </c>
      <c r="B290" t="s">
        <v>342</v>
      </c>
      <c r="C290">
        <v>67279</v>
      </c>
      <c r="E290" t="s">
        <v>333</v>
      </c>
    </row>
    <row r="291" spans="1:5" x14ac:dyDescent="0.25">
      <c r="A291">
        <v>288</v>
      </c>
      <c r="B291" t="s">
        <v>343</v>
      </c>
      <c r="C291">
        <v>83587</v>
      </c>
      <c r="E291" t="s">
        <v>333</v>
      </c>
    </row>
    <row r="292" spans="1:5" x14ac:dyDescent="0.25">
      <c r="A292">
        <v>289</v>
      </c>
      <c r="B292" t="s">
        <v>344</v>
      </c>
      <c r="C292">
        <v>551804</v>
      </c>
      <c r="E292" t="s">
        <v>333</v>
      </c>
    </row>
    <row r="293" spans="1:5" x14ac:dyDescent="0.25">
      <c r="A293">
        <v>290</v>
      </c>
      <c r="B293" t="s">
        <v>345</v>
      </c>
      <c r="C293">
        <v>350863</v>
      </c>
      <c r="E293" t="s">
        <v>333</v>
      </c>
    </row>
    <row r="294" spans="1:5" x14ac:dyDescent="0.25">
      <c r="A294">
        <v>291</v>
      </c>
      <c r="B294" t="s">
        <v>346</v>
      </c>
      <c r="C294">
        <v>308464</v>
      </c>
      <c r="E294" t="s">
        <v>333</v>
      </c>
    </row>
    <row r="295" spans="1:5" x14ac:dyDescent="0.25">
      <c r="A295">
        <v>292</v>
      </c>
      <c r="B295" t="s">
        <v>347</v>
      </c>
      <c r="C295">
        <v>199346</v>
      </c>
      <c r="E295" t="s">
        <v>333</v>
      </c>
    </row>
    <row r="296" spans="1:5" x14ac:dyDescent="0.25">
      <c r="A296">
        <v>293</v>
      </c>
      <c r="B296" t="s">
        <v>348</v>
      </c>
      <c r="C296">
        <v>157624</v>
      </c>
      <c r="E296" t="s">
        <v>333</v>
      </c>
    </row>
    <row r="297" spans="1:5" x14ac:dyDescent="0.25">
      <c r="A297">
        <v>294</v>
      </c>
      <c r="B297" t="s">
        <v>349</v>
      </c>
      <c r="C297">
        <v>149847</v>
      </c>
      <c r="E297" t="s">
        <v>333</v>
      </c>
    </row>
    <row r="298" spans="1:5" x14ac:dyDescent="0.25">
      <c r="A298">
        <v>295</v>
      </c>
      <c r="B298" t="s">
        <v>350</v>
      </c>
      <c r="C298">
        <v>181336</v>
      </c>
      <c r="E298" t="s">
        <v>333</v>
      </c>
    </row>
    <row r="299" spans="1:5" x14ac:dyDescent="0.25">
      <c r="A299">
        <v>296</v>
      </c>
      <c r="B299" t="s">
        <v>351</v>
      </c>
      <c r="C299">
        <v>668146</v>
      </c>
      <c r="E299" t="s">
        <v>333</v>
      </c>
    </row>
    <row r="300" spans="1:5" x14ac:dyDescent="0.25">
      <c r="A300">
        <v>297</v>
      </c>
      <c r="B300" t="s">
        <v>352</v>
      </c>
      <c r="C300">
        <v>76386</v>
      </c>
      <c r="E300" t="s">
        <v>333</v>
      </c>
    </row>
    <row r="301" spans="1:5" x14ac:dyDescent="0.25">
      <c r="A301">
        <v>298</v>
      </c>
      <c r="B301" t="s">
        <v>353</v>
      </c>
      <c r="C301">
        <v>34486</v>
      </c>
      <c r="E301" t="s">
        <v>333</v>
      </c>
    </row>
    <row r="302" spans="1:5" x14ac:dyDescent="0.25">
      <c r="A302">
        <v>299</v>
      </c>
      <c r="B302" t="s">
        <v>354</v>
      </c>
      <c r="C302">
        <v>51007</v>
      </c>
      <c r="E302" t="s">
        <v>333</v>
      </c>
    </row>
    <row r="303" spans="1:5" x14ac:dyDescent="0.25">
      <c r="A303">
        <v>300</v>
      </c>
      <c r="B303" t="s">
        <v>355</v>
      </c>
      <c r="C303">
        <v>104696</v>
      </c>
      <c r="E303" t="s">
        <v>333</v>
      </c>
    </row>
    <row r="304" spans="1:5" x14ac:dyDescent="0.25">
      <c r="A304">
        <v>301</v>
      </c>
      <c r="B304" t="s">
        <v>356</v>
      </c>
      <c r="C304">
        <v>329276</v>
      </c>
      <c r="E304" t="s">
        <v>357</v>
      </c>
    </row>
    <row r="305" spans="1:5" x14ac:dyDescent="0.25">
      <c r="A305">
        <v>302</v>
      </c>
      <c r="B305" t="s">
        <v>358</v>
      </c>
      <c r="C305">
        <v>92458</v>
      </c>
      <c r="E305" t="s">
        <v>359</v>
      </c>
    </row>
    <row r="306" spans="1:5" x14ac:dyDescent="0.25">
      <c r="A306">
        <v>303</v>
      </c>
      <c r="B306" t="s">
        <v>360</v>
      </c>
      <c r="C306">
        <v>77558</v>
      </c>
      <c r="E306" t="s">
        <v>361</v>
      </c>
    </row>
    <row r="307" spans="1:5" x14ac:dyDescent="0.25">
      <c r="A307">
        <v>304</v>
      </c>
      <c r="B307" t="s">
        <v>362</v>
      </c>
      <c r="C307">
        <v>526947</v>
      </c>
      <c r="E307" t="s">
        <v>359</v>
      </c>
    </row>
    <row r="308" spans="1:5" x14ac:dyDescent="0.25">
      <c r="A308">
        <v>305</v>
      </c>
      <c r="B308" t="s">
        <v>363</v>
      </c>
      <c r="C308">
        <v>178213</v>
      </c>
      <c r="E308" t="s">
        <v>359</v>
      </c>
    </row>
    <row r="309" spans="1:5" x14ac:dyDescent="0.25">
      <c r="A309">
        <v>306</v>
      </c>
      <c r="B309" t="s">
        <v>364</v>
      </c>
      <c r="C309">
        <v>73211</v>
      </c>
      <c r="E309" t="s">
        <v>359</v>
      </c>
    </row>
    <row r="310" spans="1:5" x14ac:dyDescent="0.25">
      <c r="A310">
        <v>307</v>
      </c>
      <c r="B310" t="s">
        <v>365</v>
      </c>
      <c r="C310">
        <v>200945</v>
      </c>
      <c r="E310" t="s">
        <v>366</v>
      </c>
    </row>
    <row r="311" spans="1:5" x14ac:dyDescent="0.25">
      <c r="A311">
        <v>308</v>
      </c>
      <c r="B311" t="s">
        <v>367</v>
      </c>
      <c r="C311">
        <v>153965</v>
      </c>
      <c r="E311" t="s">
        <v>368</v>
      </c>
    </row>
    <row r="312" spans="1:5" x14ac:dyDescent="0.25">
      <c r="A312">
        <v>309</v>
      </c>
      <c r="B312" t="s">
        <v>369</v>
      </c>
      <c r="C312">
        <v>188619</v>
      </c>
      <c r="E312" t="s">
        <v>366</v>
      </c>
    </row>
    <row r="313" spans="1:5" x14ac:dyDescent="0.25">
      <c r="A313">
        <v>310</v>
      </c>
      <c r="B313" t="s">
        <v>370</v>
      </c>
      <c r="C313">
        <v>23066</v>
      </c>
      <c r="E313" t="s">
        <v>371</v>
      </c>
    </row>
    <row r="314" spans="1:5" x14ac:dyDescent="0.25">
      <c r="A314">
        <v>311</v>
      </c>
      <c r="B314" t="s">
        <v>372</v>
      </c>
      <c r="C314">
        <v>29260</v>
      </c>
      <c r="E314" t="s">
        <v>371</v>
      </c>
    </row>
    <row r="315" spans="1:5" x14ac:dyDescent="0.25">
      <c r="A315">
        <v>312</v>
      </c>
      <c r="B315" t="s">
        <v>373</v>
      </c>
      <c r="C315">
        <v>40219</v>
      </c>
      <c r="E315" t="s">
        <v>371</v>
      </c>
    </row>
    <row r="316" spans="1:5" x14ac:dyDescent="0.25">
      <c r="A316">
        <v>313</v>
      </c>
      <c r="B316" t="s">
        <v>374</v>
      </c>
      <c r="C316">
        <v>9634</v>
      </c>
      <c r="E316" t="s">
        <v>371</v>
      </c>
    </row>
    <row r="317" spans="1:5" x14ac:dyDescent="0.25">
      <c r="A317">
        <v>314</v>
      </c>
      <c r="B317" t="s">
        <v>375</v>
      </c>
      <c r="C317">
        <v>549438</v>
      </c>
      <c r="E317" t="s">
        <v>371</v>
      </c>
    </row>
    <row r="318" spans="1:5" x14ac:dyDescent="0.25">
      <c r="A318">
        <v>315</v>
      </c>
      <c r="B318" t="s">
        <v>376</v>
      </c>
      <c r="C318">
        <v>175273</v>
      </c>
      <c r="E318" t="s">
        <v>371</v>
      </c>
    </row>
    <row r="319" spans="1:5" x14ac:dyDescent="0.25">
      <c r="A319">
        <v>316</v>
      </c>
      <c r="B319" t="s">
        <v>377</v>
      </c>
      <c r="C319">
        <v>31711</v>
      </c>
      <c r="E319" t="s">
        <v>371</v>
      </c>
    </row>
    <row r="320" spans="1:5" x14ac:dyDescent="0.25">
      <c r="A320">
        <v>317</v>
      </c>
      <c r="B320" t="s">
        <v>378</v>
      </c>
      <c r="C320">
        <v>121492</v>
      </c>
      <c r="E320" t="s">
        <v>371</v>
      </c>
    </row>
    <row r="321" spans="1:5" x14ac:dyDescent="0.25">
      <c r="A321">
        <v>318</v>
      </c>
      <c r="B321" t="s">
        <v>379</v>
      </c>
      <c r="C321">
        <v>110342</v>
      </c>
      <c r="E321" t="s">
        <v>371</v>
      </c>
    </row>
    <row r="322" spans="1:5" x14ac:dyDescent="0.25">
      <c r="A322">
        <v>319</v>
      </c>
      <c r="B322" t="s">
        <v>380</v>
      </c>
      <c r="C322">
        <v>327995</v>
      </c>
      <c r="E322" t="s">
        <v>381</v>
      </c>
    </row>
    <row r="323" spans="1:5" x14ac:dyDescent="0.25">
      <c r="A323">
        <v>320</v>
      </c>
      <c r="B323" t="s">
        <v>382</v>
      </c>
      <c r="C323">
        <v>320702</v>
      </c>
      <c r="E323" t="s">
        <v>381</v>
      </c>
    </row>
    <row r="324" spans="1:5" x14ac:dyDescent="0.25">
      <c r="A324">
        <v>321</v>
      </c>
      <c r="B324" t="s">
        <v>383</v>
      </c>
      <c r="C324">
        <v>58032</v>
      </c>
      <c r="E324" t="s">
        <v>381</v>
      </c>
    </row>
    <row r="325" spans="1:5" x14ac:dyDescent="0.25">
      <c r="A325">
        <v>322</v>
      </c>
      <c r="B325" t="s">
        <v>384</v>
      </c>
      <c r="C325">
        <v>425922</v>
      </c>
      <c r="E325" t="s">
        <v>385</v>
      </c>
    </row>
    <row r="326" spans="1:5" x14ac:dyDescent="0.25">
      <c r="A326">
        <v>323</v>
      </c>
      <c r="B326" t="s">
        <v>386</v>
      </c>
      <c r="C326">
        <v>449536</v>
      </c>
      <c r="E326" t="s">
        <v>385</v>
      </c>
    </row>
    <row r="327" spans="1:5" x14ac:dyDescent="0.25">
      <c r="A327">
        <v>324</v>
      </c>
      <c r="B327" t="s">
        <v>387</v>
      </c>
      <c r="C327">
        <v>14595</v>
      </c>
      <c r="E327" t="s">
        <v>385</v>
      </c>
    </row>
    <row r="328" spans="1:5" x14ac:dyDescent="0.25">
      <c r="A328">
        <v>325</v>
      </c>
      <c r="B328" t="s">
        <v>388</v>
      </c>
      <c r="C328">
        <v>415849</v>
      </c>
      <c r="E328" t="s">
        <v>389</v>
      </c>
    </row>
    <row r="329" spans="1:5" x14ac:dyDescent="0.25">
      <c r="A329">
        <v>326</v>
      </c>
      <c r="B329" t="s">
        <v>390</v>
      </c>
      <c r="C329">
        <v>1008046</v>
      </c>
      <c r="E329" t="s">
        <v>389</v>
      </c>
    </row>
    <row r="330" spans="1:5" x14ac:dyDescent="0.25">
      <c r="A330">
        <v>327</v>
      </c>
      <c r="B330" t="s">
        <v>391</v>
      </c>
      <c r="C330">
        <v>577488</v>
      </c>
      <c r="E330" t="s">
        <v>389</v>
      </c>
    </row>
    <row r="331" spans="1:5" x14ac:dyDescent="0.25">
      <c r="A331">
        <v>328</v>
      </c>
      <c r="B331" t="s">
        <v>392</v>
      </c>
      <c r="C331">
        <v>355168</v>
      </c>
      <c r="E331" t="s">
        <v>389</v>
      </c>
    </row>
    <row r="332" spans="1:5" x14ac:dyDescent="0.25">
      <c r="A332">
        <v>329</v>
      </c>
      <c r="B332" t="s">
        <v>393</v>
      </c>
      <c r="C332">
        <v>126350</v>
      </c>
      <c r="E332" t="s">
        <v>389</v>
      </c>
    </row>
    <row r="333" spans="1:5" x14ac:dyDescent="0.25">
      <c r="A333">
        <v>330</v>
      </c>
      <c r="B333" t="s">
        <v>394</v>
      </c>
      <c r="C333">
        <v>800638</v>
      </c>
      <c r="E333" t="s">
        <v>389</v>
      </c>
    </row>
    <row r="334" spans="1:5" x14ac:dyDescent="0.25">
      <c r="A334">
        <v>331</v>
      </c>
      <c r="B334" t="s">
        <v>395</v>
      </c>
      <c r="C334">
        <v>609011</v>
      </c>
      <c r="E334" t="s">
        <v>389</v>
      </c>
    </row>
    <row r="335" spans="1:5" x14ac:dyDescent="0.25">
      <c r="A335">
        <v>332</v>
      </c>
      <c r="B335" t="s">
        <v>396</v>
      </c>
      <c r="C335">
        <v>264739</v>
      </c>
      <c r="E335" t="s">
        <v>389</v>
      </c>
    </row>
    <row r="336" spans="1:5" x14ac:dyDescent="0.25">
      <c r="A336">
        <v>333</v>
      </c>
      <c r="B336" t="s">
        <v>397</v>
      </c>
      <c r="C336">
        <v>2402445</v>
      </c>
      <c r="E336" t="s">
        <v>398</v>
      </c>
    </row>
    <row r="337" spans="1:5" x14ac:dyDescent="0.25">
      <c r="A337">
        <v>334</v>
      </c>
      <c r="B337" t="s">
        <v>399</v>
      </c>
      <c r="C337">
        <v>761290</v>
      </c>
      <c r="E337" t="s">
        <v>398</v>
      </c>
    </row>
    <row r="338" spans="1:5" x14ac:dyDescent="0.25">
      <c r="A338">
        <v>335</v>
      </c>
      <c r="B338" t="s">
        <v>400</v>
      </c>
      <c r="C338">
        <v>2046947</v>
      </c>
      <c r="E338" t="s">
        <v>398</v>
      </c>
    </row>
    <row r="339" spans="1:5" x14ac:dyDescent="0.25">
      <c r="A339">
        <v>336</v>
      </c>
      <c r="B339" t="s">
        <v>401</v>
      </c>
      <c r="C339">
        <v>101557</v>
      </c>
      <c r="E339" t="s">
        <v>398</v>
      </c>
    </row>
    <row r="340" spans="1:5" x14ac:dyDescent="0.25">
      <c r="A340">
        <v>337</v>
      </c>
      <c r="B340" t="s">
        <v>402</v>
      </c>
      <c r="C340">
        <v>141457</v>
      </c>
      <c r="E340" t="s">
        <v>398</v>
      </c>
    </row>
    <row r="341" spans="1:5" x14ac:dyDescent="0.25">
      <c r="A341">
        <v>338</v>
      </c>
      <c r="B341" t="s">
        <v>403</v>
      </c>
      <c r="C341">
        <v>38280</v>
      </c>
      <c r="E341" t="s">
        <v>398</v>
      </c>
    </row>
    <row r="342" spans="1:5" x14ac:dyDescent="0.25">
      <c r="A342">
        <v>339</v>
      </c>
      <c r="B342" t="s">
        <v>404</v>
      </c>
      <c r="C342">
        <v>389050</v>
      </c>
      <c r="E342" t="s">
        <v>398</v>
      </c>
    </row>
    <row r="343" spans="1:5" x14ac:dyDescent="0.25">
      <c r="A343">
        <v>340</v>
      </c>
      <c r="B343" t="s">
        <v>405</v>
      </c>
      <c r="C343">
        <v>482885</v>
      </c>
      <c r="E343" t="s">
        <v>406</v>
      </c>
    </row>
    <row r="344" spans="1:5" x14ac:dyDescent="0.25">
      <c r="A344">
        <v>341</v>
      </c>
      <c r="B344" t="s">
        <v>407</v>
      </c>
      <c r="C344">
        <v>281141</v>
      </c>
      <c r="E344" t="s">
        <v>385</v>
      </c>
    </row>
    <row r="345" spans="1:5" x14ac:dyDescent="0.25">
      <c r="A345">
        <v>342</v>
      </c>
      <c r="B345" t="s">
        <v>408</v>
      </c>
      <c r="C345">
        <v>378412</v>
      </c>
      <c r="E345" t="s">
        <v>385</v>
      </c>
    </row>
    <row r="346" spans="1:5" x14ac:dyDescent="0.25">
      <c r="A346">
        <v>343</v>
      </c>
      <c r="B346" t="s">
        <v>409</v>
      </c>
      <c r="C346">
        <v>74688</v>
      </c>
      <c r="E346" t="s">
        <v>385</v>
      </c>
    </row>
    <row r="347" spans="1:5" x14ac:dyDescent="0.25">
      <c r="A347">
        <v>344</v>
      </c>
      <c r="B347" t="s">
        <v>410</v>
      </c>
      <c r="C347">
        <v>243033</v>
      </c>
      <c r="E347" t="s">
        <v>406</v>
      </c>
    </row>
    <row r="348" spans="1:5" x14ac:dyDescent="0.25">
      <c r="A348">
        <v>345</v>
      </c>
      <c r="B348" t="s">
        <v>411</v>
      </c>
      <c r="C348">
        <v>502889</v>
      </c>
      <c r="E348" t="s">
        <v>406</v>
      </c>
    </row>
    <row r="349" spans="1:5" x14ac:dyDescent="0.25">
      <c r="A349">
        <v>346</v>
      </c>
      <c r="B349" t="s">
        <v>412</v>
      </c>
      <c r="C349">
        <v>411001</v>
      </c>
      <c r="E349" t="s">
        <v>406</v>
      </c>
    </row>
    <row r="350" spans="1:5" x14ac:dyDescent="0.25">
      <c r="A350">
        <v>347</v>
      </c>
      <c r="B350" t="s">
        <v>413</v>
      </c>
      <c r="C350">
        <v>90414</v>
      </c>
      <c r="E350" t="s">
        <v>406</v>
      </c>
    </row>
    <row r="351" spans="1:5" x14ac:dyDescent="0.25">
      <c r="A351">
        <v>348</v>
      </c>
      <c r="B351" t="s">
        <v>414</v>
      </c>
      <c r="C351">
        <v>484104</v>
      </c>
      <c r="E351" t="s">
        <v>406</v>
      </c>
    </row>
    <row r="352" spans="1:5" x14ac:dyDescent="0.25">
      <c r="A352">
        <v>349</v>
      </c>
      <c r="B352" t="s">
        <v>415</v>
      </c>
      <c r="C352">
        <v>220452</v>
      </c>
      <c r="E352" t="s">
        <v>406</v>
      </c>
    </row>
    <row r="353" spans="1:5" x14ac:dyDescent="0.25">
      <c r="A353">
        <v>350</v>
      </c>
      <c r="B353" t="s">
        <v>416</v>
      </c>
      <c r="C353">
        <v>60874</v>
      </c>
      <c r="E353" t="s">
        <v>406</v>
      </c>
    </row>
    <row r="354" spans="1:5" x14ac:dyDescent="0.25">
      <c r="A354">
        <v>351</v>
      </c>
      <c r="B354" t="s">
        <v>417</v>
      </c>
      <c r="C354">
        <v>20000</v>
      </c>
      <c r="E354" t="s">
        <v>406</v>
      </c>
    </row>
    <row r="355" spans="1:5" x14ac:dyDescent="0.25">
      <c r="A355">
        <v>352</v>
      </c>
      <c r="B355" t="s">
        <v>418</v>
      </c>
      <c r="C355">
        <v>76582</v>
      </c>
      <c r="E355" t="s">
        <v>406</v>
      </c>
    </row>
    <row r="356" spans="1:5" x14ac:dyDescent="0.25">
      <c r="A356">
        <v>353</v>
      </c>
      <c r="B356" t="s">
        <v>419</v>
      </c>
      <c r="C356">
        <v>163023</v>
      </c>
      <c r="E356" t="s">
        <v>406</v>
      </c>
    </row>
    <row r="357" spans="1:5" x14ac:dyDescent="0.25">
      <c r="A357">
        <v>354</v>
      </c>
      <c r="B357" t="s">
        <v>420</v>
      </c>
      <c r="C357">
        <v>857963</v>
      </c>
      <c r="E357" t="s">
        <v>406</v>
      </c>
    </row>
    <row r="358" spans="1:5" x14ac:dyDescent="0.25">
      <c r="A358">
        <v>355</v>
      </c>
      <c r="B358" t="s">
        <v>421</v>
      </c>
      <c r="C358">
        <v>454789</v>
      </c>
      <c r="E358" t="s">
        <v>422</v>
      </c>
    </row>
    <row r="359" spans="1:5" x14ac:dyDescent="0.25">
      <c r="A359">
        <v>356</v>
      </c>
      <c r="B359" t="s">
        <v>423</v>
      </c>
      <c r="C359">
        <v>357845</v>
      </c>
      <c r="E359" t="s">
        <v>422</v>
      </c>
    </row>
    <row r="360" spans="1:5" x14ac:dyDescent="0.25">
      <c r="A360">
        <v>357</v>
      </c>
      <c r="B360" t="s">
        <v>424</v>
      </c>
      <c r="C360">
        <v>109702</v>
      </c>
      <c r="E360" t="s">
        <v>422</v>
      </c>
    </row>
    <row r="361" spans="1:5" x14ac:dyDescent="0.25">
      <c r="A361">
        <v>358</v>
      </c>
      <c r="B361" t="s">
        <v>425</v>
      </c>
      <c r="C361">
        <v>37068</v>
      </c>
      <c r="E361" t="s">
        <v>422</v>
      </c>
    </row>
    <row r="362" spans="1:5" x14ac:dyDescent="0.25">
      <c r="A362">
        <v>359</v>
      </c>
      <c r="B362" t="s">
        <v>426</v>
      </c>
      <c r="C362">
        <v>99658</v>
      </c>
      <c r="E362" t="s">
        <v>422</v>
      </c>
    </row>
    <row r="363" spans="1:5" x14ac:dyDescent="0.25">
      <c r="A363">
        <v>360</v>
      </c>
      <c r="B363" t="s">
        <v>427</v>
      </c>
      <c r="C363">
        <v>95287</v>
      </c>
      <c r="E363" t="s">
        <v>422</v>
      </c>
    </row>
    <row r="364" spans="1:5" x14ac:dyDescent="0.25">
      <c r="A364">
        <v>361</v>
      </c>
      <c r="B364" t="s">
        <v>428</v>
      </c>
      <c r="C364">
        <v>86455</v>
      </c>
      <c r="E364" t="s">
        <v>422</v>
      </c>
    </row>
    <row r="365" spans="1:5" x14ac:dyDescent="0.25">
      <c r="A365">
        <v>362</v>
      </c>
      <c r="B365" t="s">
        <v>429</v>
      </c>
      <c r="C365">
        <v>96800</v>
      </c>
      <c r="E365" t="s">
        <v>422</v>
      </c>
    </row>
    <row r="366" spans="1:5" x14ac:dyDescent="0.25">
      <c r="A366">
        <v>363</v>
      </c>
      <c r="B366" t="s">
        <v>430</v>
      </c>
      <c r="C366">
        <v>177538</v>
      </c>
      <c r="E366" t="s">
        <v>66</v>
      </c>
    </row>
    <row r="367" spans="1:5" x14ac:dyDescent="0.25">
      <c r="A367">
        <v>364</v>
      </c>
      <c r="B367" t="s">
        <v>431</v>
      </c>
      <c r="C367">
        <v>70755</v>
      </c>
      <c r="E367" t="s">
        <v>432</v>
      </c>
    </row>
    <row r="368" spans="1:5" x14ac:dyDescent="0.25">
      <c r="A368">
        <v>365</v>
      </c>
      <c r="B368" t="s">
        <v>433</v>
      </c>
      <c r="C368">
        <v>290574</v>
      </c>
      <c r="E368" t="s">
        <v>432</v>
      </c>
    </row>
    <row r="369" spans="1:5" x14ac:dyDescent="0.25">
      <c r="A369">
        <v>366</v>
      </c>
      <c r="B369" t="s">
        <v>434</v>
      </c>
      <c r="C369">
        <v>134428</v>
      </c>
      <c r="E369" t="s">
        <v>432</v>
      </c>
    </row>
    <row r="370" spans="1:5" x14ac:dyDescent="0.25">
      <c r="A370">
        <v>367</v>
      </c>
      <c r="B370" t="s">
        <v>435</v>
      </c>
      <c r="C370">
        <v>709535</v>
      </c>
      <c r="E370" t="s">
        <v>436</v>
      </c>
    </row>
    <row r="371" spans="1:5" x14ac:dyDescent="0.25">
      <c r="A371">
        <v>368</v>
      </c>
      <c r="B371" t="s">
        <v>437</v>
      </c>
      <c r="C371">
        <v>186253</v>
      </c>
      <c r="E371" t="s">
        <v>436</v>
      </c>
    </row>
    <row r="372" spans="1:5" x14ac:dyDescent="0.25">
      <c r="A372">
        <v>369</v>
      </c>
      <c r="B372" t="s">
        <v>438</v>
      </c>
      <c r="C372">
        <v>189447</v>
      </c>
      <c r="E372" t="s">
        <v>436</v>
      </c>
    </row>
    <row r="373" spans="1:5" x14ac:dyDescent="0.25">
      <c r="A373">
        <v>370</v>
      </c>
      <c r="B373" t="s">
        <v>439</v>
      </c>
      <c r="C373">
        <v>255195</v>
      </c>
      <c r="E373" t="s">
        <v>436</v>
      </c>
    </row>
    <row r="374" spans="1:5" x14ac:dyDescent="0.25">
      <c r="A374">
        <v>371</v>
      </c>
      <c r="B374" t="s">
        <v>440</v>
      </c>
      <c r="C374">
        <v>74455</v>
      </c>
      <c r="E374" t="s">
        <v>436</v>
      </c>
    </row>
    <row r="375" spans="1:5" x14ac:dyDescent="0.25">
      <c r="A375">
        <v>372</v>
      </c>
      <c r="B375" t="s">
        <v>441</v>
      </c>
      <c r="C375">
        <v>152470</v>
      </c>
      <c r="E375" t="s">
        <v>436</v>
      </c>
    </row>
    <row r="376" spans="1:5" x14ac:dyDescent="0.25">
      <c r="A376">
        <v>373</v>
      </c>
      <c r="B376" t="s">
        <v>442</v>
      </c>
      <c r="C376">
        <v>58595</v>
      </c>
      <c r="E376" t="s">
        <v>436</v>
      </c>
    </row>
    <row r="377" spans="1:5" x14ac:dyDescent="0.25">
      <c r="A377">
        <v>374</v>
      </c>
      <c r="B377" t="s">
        <v>443</v>
      </c>
      <c r="C377">
        <v>1260793</v>
      </c>
      <c r="E377" t="s">
        <v>436</v>
      </c>
    </row>
    <row r="378" spans="1:5" x14ac:dyDescent="0.25">
      <c r="A378">
        <v>375</v>
      </c>
      <c r="B378" t="s">
        <v>444</v>
      </c>
      <c r="C378">
        <v>265155</v>
      </c>
      <c r="E378" t="s">
        <v>436</v>
      </c>
    </row>
    <row r="379" spans="1:5" x14ac:dyDescent="0.25">
      <c r="A379">
        <v>376</v>
      </c>
      <c r="B379" t="s">
        <v>445</v>
      </c>
      <c r="C379">
        <v>81862</v>
      </c>
      <c r="E379" t="s">
        <v>436</v>
      </c>
    </row>
    <row r="380" spans="1:5" x14ac:dyDescent="0.25">
      <c r="A380">
        <v>377</v>
      </c>
      <c r="B380" t="s">
        <v>446</v>
      </c>
      <c r="C380">
        <v>197760</v>
      </c>
      <c r="E380" t="s">
        <v>436</v>
      </c>
    </row>
    <row r="381" spans="1:5" x14ac:dyDescent="0.25">
      <c r="A381">
        <v>378</v>
      </c>
      <c r="B381" t="s">
        <v>447</v>
      </c>
      <c r="C381">
        <v>84581</v>
      </c>
      <c r="E381" t="s">
        <v>436</v>
      </c>
    </row>
    <row r="382" spans="1:5" x14ac:dyDescent="0.25">
      <c r="A382">
        <v>379</v>
      </c>
      <c r="B382" t="s">
        <v>448</v>
      </c>
      <c r="C382">
        <v>72091</v>
      </c>
      <c r="E382" t="s">
        <v>436</v>
      </c>
    </row>
    <row r="383" spans="1:5" x14ac:dyDescent="0.25">
      <c r="A383">
        <v>380</v>
      </c>
      <c r="B383" t="s">
        <v>449</v>
      </c>
      <c r="C383">
        <v>39438</v>
      </c>
      <c r="E383" t="s">
        <v>450</v>
      </c>
    </row>
    <row r="384" spans="1:5" x14ac:dyDescent="0.25">
      <c r="A384">
        <v>381</v>
      </c>
      <c r="B384" t="s">
        <v>451</v>
      </c>
      <c r="C384">
        <v>72032</v>
      </c>
      <c r="E384" t="s">
        <v>450</v>
      </c>
    </row>
    <row r="385" spans="1:5" x14ac:dyDescent="0.25">
      <c r="A385">
        <v>382</v>
      </c>
      <c r="B385" t="s">
        <v>452</v>
      </c>
      <c r="C385">
        <v>80522</v>
      </c>
      <c r="E385" t="s">
        <v>450</v>
      </c>
    </row>
    <row r="386" spans="1:5" x14ac:dyDescent="0.25">
      <c r="A386">
        <v>383</v>
      </c>
      <c r="B386" t="s">
        <v>453</v>
      </c>
      <c r="C386">
        <v>98282</v>
      </c>
      <c r="E386" t="s">
        <v>450</v>
      </c>
    </row>
    <row r="387" spans="1:5" x14ac:dyDescent="0.25">
      <c r="A387">
        <v>384</v>
      </c>
      <c r="B387" t="s">
        <v>454</v>
      </c>
      <c r="C387">
        <v>29328</v>
      </c>
      <c r="E387" t="s">
        <v>450</v>
      </c>
    </row>
    <row r="388" spans="1:5" x14ac:dyDescent="0.25">
      <c r="A388">
        <v>385</v>
      </c>
      <c r="B388" t="s">
        <v>455</v>
      </c>
      <c r="C388">
        <v>38539</v>
      </c>
      <c r="E388" t="s">
        <v>450</v>
      </c>
    </row>
    <row r="389" spans="1:5" x14ac:dyDescent="0.25">
      <c r="A389">
        <v>386</v>
      </c>
      <c r="B389" t="s">
        <v>456</v>
      </c>
      <c r="C389">
        <v>58161</v>
      </c>
      <c r="E389" t="s">
        <v>450</v>
      </c>
    </row>
    <row r="390" spans="1:5" x14ac:dyDescent="0.25">
      <c r="A390">
        <v>387</v>
      </c>
      <c r="B390" t="s">
        <v>457</v>
      </c>
      <c r="C390">
        <v>154520</v>
      </c>
      <c r="E390" t="s">
        <v>450</v>
      </c>
    </row>
    <row r="391" spans="1:5" x14ac:dyDescent="0.25">
      <c r="A391">
        <v>388</v>
      </c>
      <c r="B391" t="s">
        <v>458</v>
      </c>
      <c r="C391">
        <v>384400</v>
      </c>
      <c r="E391" t="s">
        <v>459</v>
      </c>
    </row>
    <row r="392" spans="1:5" x14ac:dyDescent="0.25">
      <c r="A392">
        <v>389</v>
      </c>
      <c r="B392" t="s">
        <v>460</v>
      </c>
      <c r="C392">
        <v>610266</v>
      </c>
      <c r="E392" t="s">
        <v>459</v>
      </c>
    </row>
    <row r="393" spans="1:5" x14ac:dyDescent="0.25">
      <c r="A393">
        <v>390</v>
      </c>
      <c r="B393" t="s">
        <v>461</v>
      </c>
      <c r="C393">
        <v>577136</v>
      </c>
      <c r="E393" t="s">
        <v>459</v>
      </c>
    </row>
    <row r="394" spans="1:5" x14ac:dyDescent="0.25">
      <c r="A394">
        <v>391</v>
      </c>
      <c r="B394" t="s">
        <v>462</v>
      </c>
      <c r="C394">
        <v>174570</v>
      </c>
      <c r="E394" t="s">
        <v>459</v>
      </c>
    </row>
    <row r="395" spans="1:5" x14ac:dyDescent="0.25">
      <c r="A395">
        <v>392</v>
      </c>
      <c r="B395" t="s">
        <v>463</v>
      </c>
      <c r="C395">
        <v>222830</v>
      </c>
      <c r="E395" t="s">
        <v>333</v>
      </c>
    </row>
    <row r="396" spans="1:5" x14ac:dyDescent="0.25">
      <c r="A396">
        <v>393</v>
      </c>
      <c r="B396" t="s">
        <v>464</v>
      </c>
      <c r="C396">
        <v>26448</v>
      </c>
      <c r="E396" t="s">
        <v>465</v>
      </c>
    </row>
    <row r="397" spans="1:5" x14ac:dyDescent="0.25">
      <c r="A397">
        <v>394</v>
      </c>
      <c r="B397" t="s">
        <v>466</v>
      </c>
      <c r="C397">
        <v>62196</v>
      </c>
      <c r="E397" t="s">
        <v>226</v>
      </c>
    </row>
    <row r="398" spans="1:5" x14ac:dyDescent="0.25">
      <c r="A398">
        <v>395</v>
      </c>
      <c r="B398" t="s">
        <v>467</v>
      </c>
      <c r="C398">
        <v>39064</v>
      </c>
      <c r="E398" t="s">
        <v>465</v>
      </c>
    </row>
    <row r="399" spans="1:5" x14ac:dyDescent="0.25">
      <c r="A399">
        <v>396</v>
      </c>
      <c r="B399" t="s">
        <v>468</v>
      </c>
      <c r="C399">
        <v>124412</v>
      </c>
      <c r="E399" t="s">
        <v>465</v>
      </c>
    </row>
    <row r="400" spans="1:5" x14ac:dyDescent="0.25">
      <c r="A400">
        <v>397</v>
      </c>
      <c r="B400" t="s">
        <v>469</v>
      </c>
      <c r="C400">
        <v>26472</v>
      </c>
      <c r="E400" t="s">
        <v>465</v>
      </c>
    </row>
    <row r="401" spans="1:5" x14ac:dyDescent="0.25">
      <c r="A401">
        <v>398</v>
      </c>
      <c r="B401" t="s">
        <v>470</v>
      </c>
      <c r="C401">
        <v>40354</v>
      </c>
      <c r="E401" t="s">
        <v>465</v>
      </c>
    </row>
    <row r="402" spans="1:5" x14ac:dyDescent="0.25">
      <c r="A402">
        <v>399</v>
      </c>
      <c r="B402" t="s">
        <v>471</v>
      </c>
      <c r="C402">
        <v>139743</v>
      </c>
      <c r="E402" t="s">
        <v>465</v>
      </c>
    </row>
    <row r="403" spans="1:5" x14ac:dyDescent="0.25">
      <c r="A403">
        <v>400</v>
      </c>
      <c r="B403" t="s">
        <v>472</v>
      </c>
      <c r="C403">
        <v>118995</v>
      </c>
      <c r="E403" t="s">
        <v>465</v>
      </c>
    </row>
    <row r="404" spans="1:5" x14ac:dyDescent="0.25">
      <c r="A404">
        <v>401</v>
      </c>
      <c r="B404" t="s">
        <v>473</v>
      </c>
      <c r="C404">
        <v>102641</v>
      </c>
      <c r="E404" t="s">
        <v>465</v>
      </c>
    </row>
    <row r="405" spans="1:5" x14ac:dyDescent="0.25">
      <c r="A405">
        <v>402</v>
      </c>
      <c r="B405" t="s">
        <v>474</v>
      </c>
      <c r="C405">
        <v>164911</v>
      </c>
      <c r="E405" t="s">
        <v>465</v>
      </c>
    </row>
    <row r="406" spans="1:5" x14ac:dyDescent="0.25">
      <c r="A406">
        <v>403</v>
      </c>
      <c r="B406" t="s">
        <v>475</v>
      </c>
      <c r="C406">
        <v>27382</v>
      </c>
      <c r="E406" t="s">
        <v>476</v>
      </c>
    </row>
    <row r="407" spans="1:5" x14ac:dyDescent="0.25">
      <c r="A407">
        <v>404</v>
      </c>
      <c r="B407" t="s">
        <v>477</v>
      </c>
      <c r="C407">
        <v>891867</v>
      </c>
      <c r="E407" t="s">
        <v>478</v>
      </c>
    </row>
    <row r="408" spans="1:5" x14ac:dyDescent="0.25">
      <c r="A408">
        <v>405</v>
      </c>
      <c r="B408" t="s">
        <v>479</v>
      </c>
      <c r="C408">
        <v>629608</v>
      </c>
      <c r="E408" t="s">
        <v>478</v>
      </c>
    </row>
    <row r="409" spans="1:5" x14ac:dyDescent="0.25">
      <c r="A409">
        <v>406</v>
      </c>
      <c r="B409" t="s">
        <v>480</v>
      </c>
      <c r="C409">
        <v>81469</v>
      </c>
      <c r="E409" t="s">
        <v>478</v>
      </c>
    </row>
    <row r="410" spans="1:5" x14ac:dyDescent="0.25">
      <c r="A410">
        <v>407</v>
      </c>
      <c r="B410" t="s">
        <v>481</v>
      </c>
      <c r="C410">
        <v>18283</v>
      </c>
      <c r="E410" t="s">
        <v>478</v>
      </c>
    </row>
    <row r="411" spans="1:5" x14ac:dyDescent="0.25">
      <c r="A411">
        <v>408</v>
      </c>
      <c r="B411" t="s">
        <v>482</v>
      </c>
      <c r="C411">
        <v>10927</v>
      </c>
      <c r="E411" t="s">
        <v>478</v>
      </c>
    </row>
    <row r="412" spans="1:5" x14ac:dyDescent="0.25">
      <c r="A412">
        <v>409</v>
      </c>
      <c r="B412" t="s">
        <v>483</v>
      </c>
      <c r="C412">
        <v>1457648</v>
      </c>
      <c r="E412" t="s">
        <v>478</v>
      </c>
    </row>
    <row r="413" spans="1:5" x14ac:dyDescent="0.25">
      <c r="A413">
        <v>410</v>
      </c>
      <c r="B413" t="s">
        <v>484</v>
      </c>
      <c r="C413">
        <v>462628</v>
      </c>
      <c r="E413" t="s">
        <v>478</v>
      </c>
    </row>
    <row r="414" spans="1:5" x14ac:dyDescent="0.25">
      <c r="A414">
        <v>411</v>
      </c>
      <c r="B414" t="s">
        <v>485</v>
      </c>
      <c r="C414">
        <v>1376800</v>
      </c>
      <c r="E414" t="s">
        <v>478</v>
      </c>
    </row>
    <row r="415" spans="1:5" x14ac:dyDescent="0.25">
      <c r="A415">
        <v>412</v>
      </c>
      <c r="B415" t="s">
        <v>486</v>
      </c>
      <c r="C415">
        <v>14553</v>
      </c>
      <c r="E415" t="s">
        <v>478</v>
      </c>
    </row>
    <row r="416" spans="1:5" x14ac:dyDescent="0.25">
      <c r="A416">
        <v>413</v>
      </c>
      <c r="B416" t="s">
        <v>487</v>
      </c>
      <c r="C416">
        <v>85347</v>
      </c>
      <c r="E416" t="s">
        <v>478</v>
      </c>
    </row>
    <row r="417" spans="1:5" x14ac:dyDescent="0.25">
      <c r="A417">
        <v>414</v>
      </c>
      <c r="B417" t="s">
        <v>488</v>
      </c>
      <c r="C417">
        <v>398367</v>
      </c>
      <c r="E417" t="s">
        <v>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12" x14ac:dyDescent="0.25">
      <c r="A1" t="s">
        <v>489</v>
      </c>
    </row>
    <row r="2" spans="1:12" x14ac:dyDescent="0.25">
      <c r="A2" t="s">
        <v>490</v>
      </c>
      <c r="B2" t="s">
        <v>491</v>
      </c>
      <c r="C2" t="s">
        <v>492</v>
      </c>
      <c r="D2" t="s">
        <v>493</v>
      </c>
      <c r="E2" t="s">
        <v>494</v>
      </c>
      <c r="F2" t="s">
        <v>495</v>
      </c>
      <c r="G2" t="s">
        <v>496</v>
      </c>
      <c r="H2" t="s">
        <v>497</v>
      </c>
      <c r="I2" t="s">
        <v>498</v>
      </c>
      <c r="J2" t="s">
        <v>499</v>
      </c>
      <c r="K2" t="s">
        <v>500</v>
      </c>
      <c r="L2" s="5" t="s">
        <v>501</v>
      </c>
    </row>
    <row r="3" spans="1:12" x14ac:dyDescent="0.25">
      <c r="A3" t="s">
        <v>502</v>
      </c>
      <c r="B3" t="s">
        <v>503</v>
      </c>
      <c r="C3" t="s">
        <v>504</v>
      </c>
      <c r="D3">
        <v>169956.1</v>
      </c>
      <c r="E3">
        <v>175167.9</v>
      </c>
      <c r="F3">
        <v>5211.8</v>
      </c>
      <c r="G3">
        <v>3.1</v>
      </c>
      <c r="H3">
        <v>0.3</v>
      </c>
      <c r="I3">
        <v>40174.800000000003</v>
      </c>
      <c r="J3">
        <v>48622.400000000001</v>
      </c>
      <c r="K3">
        <v>1.9</v>
      </c>
    </row>
    <row r="4" spans="1:12" x14ac:dyDescent="0.25">
      <c r="A4" t="s">
        <v>505</v>
      </c>
      <c r="B4" t="s">
        <v>506</v>
      </c>
      <c r="C4" t="s">
        <v>507</v>
      </c>
      <c r="D4">
        <v>9906.4</v>
      </c>
      <c r="E4">
        <v>10122.799999999999</v>
      </c>
      <c r="F4">
        <v>216.4</v>
      </c>
      <c r="G4">
        <v>2.2000000000000002</v>
      </c>
      <c r="H4">
        <v>0.2</v>
      </c>
      <c r="I4" t="s">
        <v>508</v>
      </c>
      <c r="J4" t="s">
        <v>508</v>
      </c>
      <c r="K4" t="s">
        <v>508</v>
      </c>
    </row>
    <row r="5" spans="1:12" x14ac:dyDescent="0.25">
      <c r="A5" t="s">
        <v>509</v>
      </c>
      <c r="B5" t="s">
        <v>510</v>
      </c>
      <c r="C5" t="s">
        <v>504</v>
      </c>
      <c r="D5">
        <v>160049.70000000001</v>
      </c>
      <c r="E5">
        <v>165045.1</v>
      </c>
      <c r="F5">
        <v>4995.3999999999996</v>
      </c>
      <c r="G5">
        <v>3.1</v>
      </c>
      <c r="H5">
        <v>0.3</v>
      </c>
      <c r="I5" t="s">
        <v>508</v>
      </c>
      <c r="J5" t="s">
        <v>508</v>
      </c>
      <c r="K5" t="s">
        <v>508</v>
      </c>
    </row>
    <row r="6" spans="1:12" x14ac:dyDescent="0.25">
      <c r="A6" t="s">
        <v>511</v>
      </c>
      <c r="B6" t="s">
        <v>512</v>
      </c>
      <c r="C6" t="s">
        <v>504</v>
      </c>
      <c r="D6">
        <v>1480.7</v>
      </c>
      <c r="E6">
        <v>1482.1</v>
      </c>
      <c r="F6">
        <v>1.4</v>
      </c>
      <c r="G6">
        <v>0.1</v>
      </c>
      <c r="H6">
        <v>0</v>
      </c>
      <c r="I6">
        <v>447.9</v>
      </c>
      <c r="J6">
        <v>538.79999999999995</v>
      </c>
      <c r="K6">
        <v>1.9</v>
      </c>
    </row>
    <row r="7" spans="1:12" x14ac:dyDescent="0.25">
      <c r="A7" t="s">
        <v>513</v>
      </c>
      <c r="B7" t="s">
        <v>514</v>
      </c>
      <c r="C7" t="s">
        <v>507</v>
      </c>
      <c r="D7">
        <v>863.9</v>
      </c>
      <c r="E7">
        <v>881.2</v>
      </c>
      <c r="F7">
        <v>17.3</v>
      </c>
      <c r="G7">
        <v>2</v>
      </c>
      <c r="H7">
        <v>0.2</v>
      </c>
      <c r="I7">
        <v>175.8</v>
      </c>
      <c r="J7">
        <v>201.8</v>
      </c>
      <c r="K7">
        <v>1.4</v>
      </c>
      <c r="L7" t="s">
        <v>24</v>
      </c>
    </row>
    <row r="8" spans="1:12" x14ac:dyDescent="0.25">
      <c r="A8" t="s">
        <v>515</v>
      </c>
      <c r="B8" t="s">
        <v>516</v>
      </c>
      <c r="C8" t="s">
        <v>507</v>
      </c>
      <c r="D8">
        <v>442.4</v>
      </c>
      <c r="E8">
        <v>427.6</v>
      </c>
      <c r="F8">
        <v>-14.8</v>
      </c>
      <c r="G8">
        <v>-3.3</v>
      </c>
      <c r="H8">
        <v>-0.3</v>
      </c>
      <c r="I8">
        <v>220</v>
      </c>
      <c r="J8">
        <v>277.60000000000002</v>
      </c>
      <c r="K8">
        <v>2.4</v>
      </c>
      <c r="L8" t="s">
        <v>24</v>
      </c>
    </row>
    <row r="9" spans="1:12" x14ac:dyDescent="0.25">
      <c r="A9" t="s">
        <v>517</v>
      </c>
      <c r="B9" t="s">
        <v>518</v>
      </c>
      <c r="C9" t="s">
        <v>504</v>
      </c>
      <c r="D9">
        <v>47.2</v>
      </c>
      <c r="E9">
        <v>45.1</v>
      </c>
      <c r="F9">
        <v>-2.1</v>
      </c>
      <c r="G9">
        <v>-4.4000000000000004</v>
      </c>
      <c r="H9">
        <v>-0.5</v>
      </c>
      <c r="I9" t="s">
        <v>508</v>
      </c>
      <c r="J9" t="s">
        <v>508</v>
      </c>
      <c r="K9" t="s">
        <v>508</v>
      </c>
    </row>
    <row r="10" spans="1:12" x14ac:dyDescent="0.25">
      <c r="A10" t="s">
        <v>519</v>
      </c>
      <c r="B10" t="s">
        <v>520</v>
      </c>
      <c r="C10" t="s">
        <v>507</v>
      </c>
      <c r="D10">
        <v>7</v>
      </c>
      <c r="E10">
        <v>6.9</v>
      </c>
      <c r="F10">
        <v>-0.1</v>
      </c>
      <c r="G10">
        <v>-2</v>
      </c>
      <c r="H10">
        <v>-0.1</v>
      </c>
      <c r="I10">
        <v>3.9</v>
      </c>
      <c r="J10">
        <v>4.5999999999999996</v>
      </c>
      <c r="K10">
        <v>1.6</v>
      </c>
      <c r="L10" t="s">
        <v>35</v>
      </c>
    </row>
    <row r="11" spans="1:12" x14ac:dyDescent="0.25">
      <c r="A11" t="s">
        <v>521</v>
      </c>
      <c r="B11" t="s">
        <v>522</v>
      </c>
      <c r="C11" t="s">
        <v>507</v>
      </c>
      <c r="D11">
        <v>40.200000000000003</v>
      </c>
      <c r="E11">
        <v>38.200000000000003</v>
      </c>
      <c r="F11">
        <v>-2</v>
      </c>
      <c r="G11">
        <v>-4.9000000000000004</v>
      </c>
      <c r="H11">
        <v>-0.5</v>
      </c>
      <c r="I11">
        <v>18.899999999999999</v>
      </c>
      <c r="J11">
        <v>22.1</v>
      </c>
      <c r="K11">
        <v>1.6</v>
      </c>
      <c r="L11" t="s">
        <v>35</v>
      </c>
    </row>
    <row r="12" spans="1:12" x14ac:dyDescent="0.25">
      <c r="A12" t="s">
        <v>523</v>
      </c>
      <c r="B12" t="s">
        <v>524</v>
      </c>
      <c r="C12" t="s">
        <v>507</v>
      </c>
      <c r="D12">
        <v>20.9</v>
      </c>
      <c r="E12">
        <v>20.8</v>
      </c>
      <c r="F12">
        <v>-0.1</v>
      </c>
      <c r="G12">
        <v>-0.3</v>
      </c>
      <c r="H12">
        <v>0</v>
      </c>
      <c r="I12">
        <v>7.4</v>
      </c>
      <c r="J12">
        <v>8.6</v>
      </c>
      <c r="K12">
        <v>1.5</v>
      </c>
      <c r="L12" t="s">
        <v>37</v>
      </c>
    </row>
    <row r="13" spans="1:12" x14ac:dyDescent="0.25">
      <c r="A13" t="s">
        <v>525</v>
      </c>
      <c r="B13" t="s">
        <v>526</v>
      </c>
      <c r="C13" t="s">
        <v>507</v>
      </c>
      <c r="D13">
        <v>106.2</v>
      </c>
      <c r="E13">
        <v>107.3</v>
      </c>
      <c r="F13">
        <v>1.1000000000000001</v>
      </c>
      <c r="G13">
        <v>1</v>
      </c>
      <c r="H13">
        <v>0.1</v>
      </c>
      <c r="I13">
        <v>23.6</v>
      </c>
      <c r="J13">
        <v>27.6</v>
      </c>
      <c r="K13">
        <v>1.6</v>
      </c>
      <c r="L13" t="s">
        <v>24</v>
      </c>
    </row>
    <row r="14" spans="1:12" x14ac:dyDescent="0.25">
      <c r="A14" t="s">
        <v>527</v>
      </c>
      <c r="B14" t="s">
        <v>528</v>
      </c>
      <c r="C14" t="s">
        <v>504</v>
      </c>
      <c r="D14">
        <v>586.1</v>
      </c>
      <c r="E14">
        <v>576.79999999999995</v>
      </c>
      <c r="F14">
        <v>-9.3000000000000007</v>
      </c>
      <c r="G14">
        <v>-1.6</v>
      </c>
      <c r="H14">
        <v>-0.2</v>
      </c>
      <c r="I14">
        <v>564.6</v>
      </c>
      <c r="J14">
        <v>634.5</v>
      </c>
      <c r="K14">
        <v>1.2</v>
      </c>
    </row>
    <row r="15" spans="1:12" x14ac:dyDescent="0.25">
      <c r="A15" t="s">
        <v>529</v>
      </c>
      <c r="B15" t="s">
        <v>530</v>
      </c>
      <c r="C15" t="s">
        <v>507</v>
      </c>
      <c r="D15">
        <v>122.5</v>
      </c>
      <c r="E15">
        <v>115.7</v>
      </c>
      <c r="F15">
        <v>-6.8</v>
      </c>
      <c r="G15">
        <v>-5.5</v>
      </c>
      <c r="H15">
        <v>-0.6</v>
      </c>
      <c r="I15">
        <v>383.8</v>
      </c>
      <c r="J15">
        <v>450.7</v>
      </c>
      <c r="K15">
        <v>1.6</v>
      </c>
      <c r="L15" t="s">
        <v>40</v>
      </c>
    </row>
    <row r="16" spans="1:12" x14ac:dyDescent="0.25">
      <c r="A16" t="s">
        <v>531</v>
      </c>
      <c r="B16" t="s">
        <v>532</v>
      </c>
      <c r="C16" t="s">
        <v>504</v>
      </c>
      <c r="D16">
        <v>191.7</v>
      </c>
      <c r="E16">
        <v>182.6</v>
      </c>
      <c r="F16">
        <v>-9.1</v>
      </c>
      <c r="G16">
        <v>-4.7</v>
      </c>
      <c r="H16">
        <v>-0.5</v>
      </c>
      <c r="I16">
        <v>92.8</v>
      </c>
      <c r="J16">
        <v>99.9</v>
      </c>
      <c r="K16">
        <v>0.7</v>
      </c>
    </row>
    <row r="17" spans="1:12" x14ac:dyDescent="0.25">
      <c r="A17" t="s">
        <v>533</v>
      </c>
      <c r="B17" t="s">
        <v>534</v>
      </c>
      <c r="C17" t="s">
        <v>507</v>
      </c>
      <c r="D17">
        <v>42.5</v>
      </c>
      <c r="E17">
        <v>23.2</v>
      </c>
      <c r="F17">
        <v>-19.3</v>
      </c>
      <c r="G17">
        <v>-45.3</v>
      </c>
      <c r="H17">
        <v>-5.9</v>
      </c>
      <c r="I17">
        <v>29.8</v>
      </c>
      <c r="J17">
        <v>24.6</v>
      </c>
      <c r="K17">
        <v>-1.9</v>
      </c>
      <c r="L17" t="s">
        <v>42</v>
      </c>
    </row>
    <row r="18" spans="1:12" x14ac:dyDescent="0.25">
      <c r="A18" t="s">
        <v>535</v>
      </c>
      <c r="B18" t="s">
        <v>536</v>
      </c>
      <c r="C18" t="s">
        <v>507</v>
      </c>
      <c r="D18">
        <v>44.9</v>
      </c>
      <c r="E18">
        <v>48.4</v>
      </c>
      <c r="F18">
        <v>3.5</v>
      </c>
      <c r="G18">
        <v>7.9</v>
      </c>
      <c r="H18">
        <v>0.8</v>
      </c>
      <c r="I18">
        <v>26</v>
      </c>
      <c r="J18">
        <v>33.5</v>
      </c>
      <c r="K18">
        <v>2.6</v>
      </c>
      <c r="L18" t="s">
        <v>44</v>
      </c>
    </row>
    <row r="19" spans="1:12" x14ac:dyDescent="0.25">
      <c r="A19" t="s">
        <v>537</v>
      </c>
      <c r="B19" t="s">
        <v>538</v>
      </c>
      <c r="C19" t="s">
        <v>507</v>
      </c>
      <c r="D19">
        <v>104.3</v>
      </c>
      <c r="E19">
        <v>111</v>
      </c>
      <c r="F19">
        <v>6.7</v>
      </c>
      <c r="G19">
        <v>6.4</v>
      </c>
      <c r="H19">
        <v>0.6</v>
      </c>
      <c r="I19">
        <v>36.9</v>
      </c>
      <c r="J19">
        <v>41.5</v>
      </c>
      <c r="K19">
        <v>1.2</v>
      </c>
      <c r="L19" t="s">
        <v>47</v>
      </c>
    </row>
    <row r="20" spans="1:12" x14ac:dyDescent="0.25">
      <c r="A20" t="s">
        <v>539</v>
      </c>
      <c r="B20" t="s">
        <v>540</v>
      </c>
      <c r="C20" t="s">
        <v>507</v>
      </c>
      <c r="D20">
        <v>271.89999999999998</v>
      </c>
      <c r="E20">
        <v>278.39999999999998</v>
      </c>
      <c r="F20">
        <v>6.5</v>
      </c>
      <c r="G20">
        <v>2.4</v>
      </c>
      <c r="H20">
        <v>0.2</v>
      </c>
      <c r="I20">
        <v>95.6</v>
      </c>
      <c r="J20">
        <v>90.6</v>
      </c>
      <c r="K20">
        <v>-0.5</v>
      </c>
      <c r="L20" t="s">
        <v>50</v>
      </c>
    </row>
    <row r="21" spans="1:12" x14ac:dyDescent="0.25">
      <c r="A21" t="s">
        <v>541</v>
      </c>
      <c r="B21" t="s">
        <v>542</v>
      </c>
      <c r="C21" t="s">
        <v>504</v>
      </c>
      <c r="D21">
        <v>591.29999999999995</v>
      </c>
      <c r="E21">
        <v>620</v>
      </c>
      <c r="F21">
        <v>28.7</v>
      </c>
      <c r="G21">
        <v>4.9000000000000004</v>
      </c>
      <c r="H21">
        <v>0.5</v>
      </c>
      <c r="I21">
        <v>507.1</v>
      </c>
      <c r="J21">
        <v>602.20000000000005</v>
      </c>
      <c r="K21">
        <v>1.7</v>
      </c>
    </row>
    <row r="22" spans="1:12" x14ac:dyDescent="0.25">
      <c r="A22" t="s">
        <v>543</v>
      </c>
      <c r="B22" t="s">
        <v>544</v>
      </c>
      <c r="C22" t="s">
        <v>504</v>
      </c>
      <c r="D22">
        <v>591.29999999999995</v>
      </c>
      <c r="E22">
        <v>620</v>
      </c>
      <c r="F22">
        <v>28.7</v>
      </c>
      <c r="G22">
        <v>4.9000000000000004</v>
      </c>
      <c r="H22">
        <v>0.5</v>
      </c>
      <c r="I22">
        <v>507.1</v>
      </c>
      <c r="J22">
        <v>602.20000000000005</v>
      </c>
      <c r="K22">
        <v>1.7</v>
      </c>
    </row>
    <row r="23" spans="1:12" x14ac:dyDescent="0.25">
      <c r="A23" t="s">
        <v>545</v>
      </c>
      <c r="B23" t="s">
        <v>546</v>
      </c>
      <c r="C23" t="s">
        <v>504</v>
      </c>
      <c r="D23">
        <v>413.1</v>
      </c>
      <c r="E23">
        <v>445.6</v>
      </c>
      <c r="F23">
        <v>32.5</v>
      </c>
      <c r="G23">
        <v>7.9</v>
      </c>
      <c r="H23">
        <v>0.8</v>
      </c>
      <c r="I23">
        <v>411.4</v>
      </c>
      <c r="J23">
        <v>501.2</v>
      </c>
      <c r="K23">
        <v>2</v>
      </c>
      <c r="L23" t="s">
        <v>53</v>
      </c>
    </row>
    <row r="24" spans="1:12" x14ac:dyDescent="0.25">
      <c r="A24" t="s">
        <v>547</v>
      </c>
      <c r="B24" t="s">
        <v>548</v>
      </c>
      <c r="C24" t="s">
        <v>504</v>
      </c>
      <c r="D24">
        <v>157.30000000000001</v>
      </c>
      <c r="E24">
        <v>169.2</v>
      </c>
      <c r="F24">
        <v>11.9</v>
      </c>
      <c r="G24">
        <v>7.6</v>
      </c>
      <c r="H24">
        <v>0.7</v>
      </c>
      <c r="I24" t="s">
        <v>508</v>
      </c>
      <c r="J24" t="s">
        <v>508</v>
      </c>
      <c r="K24" t="s">
        <v>508</v>
      </c>
    </row>
    <row r="25" spans="1:12" x14ac:dyDescent="0.25">
      <c r="A25" t="s">
        <v>549</v>
      </c>
      <c r="B25" t="s">
        <v>550</v>
      </c>
      <c r="C25" t="s">
        <v>507</v>
      </c>
      <c r="D25">
        <v>8.1999999999999993</v>
      </c>
      <c r="E25">
        <v>8.1999999999999993</v>
      </c>
      <c r="F25">
        <v>0</v>
      </c>
      <c r="G25">
        <v>0.4</v>
      </c>
      <c r="H25">
        <v>0</v>
      </c>
      <c r="I25" t="s">
        <v>508</v>
      </c>
      <c r="J25" t="s">
        <v>508</v>
      </c>
      <c r="K25" t="s">
        <v>508</v>
      </c>
    </row>
    <row r="26" spans="1:12" x14ac:dyDescent="0.25">
      <c r="A26" t="s">
        <v>551</v>
      </c>
      <c r="B26" t="s">
        <v>552</v>
      </c>
      <c r="C26" t="s">
        <v>507</v>
      </c>
      <c r="D26">
        <v>74.5</v>
      </c>
      <c r="E26">
        <v>51.5</v>
      </c>
      <c r="F26">
        <v>-23</v>
      </c>
      <c r="G26">
        <v>-30.9</v>
      </c>
      <c r="H26">
        <v>-3.6</v>
      </c>
      <c r="I26" t="s">
        <v>508</v>
      </c>
      <c r="J26" t="s">
        <v>508</v>
      </c>
      <c r="K26" t="s">
        <v>508</v>
      </c>
    </row>
    <row r="27" spans="1:12" x14ac:dyDescent="0.25">
      <c r="A27" t="s">
        <v>553</v>
      </c>
      <c r="B27" t="s">
        <v>554</v>
      </c>
      <c r="C27" t="s">
        <v>507</v>
      </c>
      <c r="D27">
        <v>38.200000000000003</v>
      </c>
      <c r="E27">
        <v>31.5</v>
      </c>
      <c r="F27">
        <v>-6.7</v>
      </c>
      <c r="G27">
        <v>-17.600000000000001</v>
      </c>
      <c r="H27">
        <v>-1.9</v>
      </c>
      <c r="I27" t="s">
        <v>508</v>
      </c>
      <c r="J27" t="s">
        <v>508</v>
      </c>
      <c r="K27" t="s">
        <v>508</v>
      </c>
    </row>
    <row r="28" spans="1:12" x14ac:dyDescent="0.25">
      <c r="A28" t="s">
        <v>555</v>
      </c>
      <c r="B28" t="s">
        <v>556</v>
      </c>
      <c r="C28" t="s">
        <v>507</v>
      </c>
      <c r="D28">
        <v>16.899999999999999</v>
      </c>
      <c r="E28">
        <v>47.2</v>
      </c>
      <c r="F28">
        <v>30.4</v>
      </c>
      <c r="G28">
        <v>180.2</v>
      </c>
      <c r="H28">
        <v>10.8</v>
      </c>
      <c r="I28" t="s">
        <v>508</v>
      </c>
      <c r="J28" t="s">
        <v>508</v>
      </c>
      <c r="K28" t="s">
        <v>508</v>
      </c>
    </row>
    <row r="29" spans="1:12" x14ac:dyDescent="0.25">
      <c r="A29" t="s">
        <v>557</v>
      </c>
      <c r="B29" t="s">
        <v>558</v>
      </c>
      <c r="C29" t="s">
        <v>507</v>
      </c>
      <c r="D29">
        <v>11.2</v>
      </c>
      <c r="E29">
        <v>20.399999999999999</v>
      </c>
      <c r="F29">
        <v>9.1999999999999993</v>
      </c>
      <c r="G29">
        <v>81.400000000000006</v>
      </c>
      <c r="H29">
        <v>6.2</v>
      </c>
      <c r="I29" t="s">
        <v>508</v>
      </c>
      <c r="J29" t="s">
        <v>508</v>
      </c>
      <c r="K29" t="s">
        <v>508</v>
      </c>
    </row>
    <row r="30" spans="1:12" x14ac:dyDescent="0.25">
      <c r="A30" t="s">
        <v>559</v>
      </c>
      <c r="B30" t="s">
        <v>560</v>
      </c>
      <c r="C30" t="s">
        <v>507</v>
      </c>
      <c r="D30">
        <v>1.2</v>
      </c>
      <c r="E30">
        <v>1.6</v>
      </c>
      <c r="F30">
        <v>0.5</v>
      </c>
      <c r="G30">
        <v>41.4</v>
      </c>
      <c r="H30">
        <v>2.9</v>
      </c>
      <c r="I30" t="s">
        <v>508</v>
      </c>
      <c r="J30" t="s">
        <v>508</v>
      </c>
      <c r="K30" t="s">
        <v>508</v>
      </c>
    </row>
    <row r="31" spans="1:12" x14ac:dyDescent="0.25">
      <c r="A31" t="s">
        <v>561</v>
      </c>
      <c r="B31" t="s">
        <v>562</v>
      </c>
      <c r="C31" t="s">
        <v>507</v>
      </c>
      <c r="D31">
        <v>2.4</v>
      </c>
      <c r="E31">
        <v>2.5</v>
      </c>
      <c r="F31">
        <v>0</v>
      </c>
      <c r="G31">
        <v>1.9</v>
      </c>
      <c r="H31">
        <v>0.4</v>
      </c>
      <c r="I31" t="s">
        <v>508</v>
      </c>
      <c r="J31" t="s">
        <v>508</v>
      </c>
      <c r="K31" t="s">
        <v>508</v>
      </c>
    </row>
    <row r="32" spans="1:12" x14ac:dyDescent="0.25">
      <c r="A32" t="s">
        <v>563</v>
      </c>
      <c r="B32" t="s">
        <v>564</v>
      </c>
      <c r="C32" t="s">
        <v>507</v>
      </c>
      <c r="D32">
        <v>4.7</v>
      </c>
      <c r="E32">
        <v>6.2</v>
      </c>
      <c r="F32">
        <v>1.5</v>
      </c>
      <c r="G32">
        <v>32.9</v>
      </c>
      <c r="H32">
        <v>2.8</v>
      </c>
      <c r="I32" t="s">
        <v>508</v>
      </c>
      <c r="J32" t="s">
        <v>508</v>
      </c>
      <c r="K32" t="s">
        <v>508</v>
      </c>
    </row>
    <row r="33" spans="1:12" x14ac:dyDescent="0.25">
      <c r="A33" t="s">
        <v>565</v>
      </c>
      <c r="B33" t="s">
        <v>566</v>
      </c>
      <c r="C33" t="s">
        <v>507</v>
      </c>
      <c r="D33">
        <v>116.1</v>
      </c>
      <c r="E33">
        <v>112.4</v>
      </c>
      <c r="F33">
        <v>-3.7</v>
      </c>
      <c r="G33">
        <v>-3.2</v>
      </c>
      <c r="H33">
        <v>-0.3</v>
      </c>
      <c r="I33">
        <v>80.400000000000006</v>
      </c>
      <c r="J33">
        <v>86.5</v>
      </c>
      <c r="K33">
        <v>0.7</v>
      </c>
      <c r="L33" t="s">
        <v>64</v>
      </c>
    </row>
    <row r="34" spans="1:12" x14ac:dyDescent="0.25">
      <c r="A34" t="s">
        <v>567</v>
      </c>
      <c r="B34" t="s">
        <v>568</v>
      </c>
      <c r="C34" t="s">
        <v>507</v>
      </c>
      <c r="D34">
        <v>62.1</v>
      </c>
      <c r="E34">
        <v>62</v>
      </c>
      <c r="F34">
        <v>-0.1</v>
      </c>
      <c r="G34">
        <v>-0.1</v>
      </c>
      <c r="H34">
        <v>0</v>
      </c>
      <c r="I34">
        <v>15.6</v>
      </c>
      <c r="J34">
        <v>16.3</v>
      </c>
      <c r="K34">
        <v>0.5</v>
      </c>
      <c r="L34" t="s">
        <v>66</v>
      </c>
    </row>
    <row r="35" spans="1:12" x14ac:dyDescent="0.25">
      <c r="A35" t="s">
        <v>569</v>
      </c>
      <c r="B35" t="s">
        <v>570</v>
      </c>
      <c r="C35" t="s">
        <v>504</v>
      </c>
      <c r="D35">
        <v>8211.7000000000007</v>
      </c>
      <c r="E35">
        <v>8572.2000000000007</v>
      </c>
      <c r="F35">
        <v>360.5</v>
      </c>
      <c r="G35">
        <v>4.4000000000000004</v>
      </c>
      <c r="H35">
        <v>0.4</v>
      </c>
      <c r="I35">
        <v>1720.9</v>
      </c>
      <c r="J35">
        <v>1874.7</v>
      </c>
      <c r="K35">
        <v>0.9</v>
      </c>
      <c r="L35" t="s">
        <v>68</v>
      </c>
    </row>
    <row r="36" spans="1:12" x14ac:dyDescent="0.25">
      <c r="A36" t="s">
        <v>571</v>
      </c>
      <c r="B36" t="s">
        <v>572</v>
      </c>
      <c r="C36" t="s">
        <v>504</v>
      </c>
      <c r="D36">
        <v>1853.6</v>
      </c>
      <c r="E36">
        <v>1938.2</v>
      </c>
      <c r="F36">
        <v>84.6</v>
      </c>
      <c r="G36">
        <v>4.5999999999999996</v>
      </c>
      <c r="H36">
        <v>0.4</v>
      </c>
      <c r="I36" t="s">
        <v>508</v>
      </c>
      <c r="J36" t="s">
        <v>508</v>
      </c>
      <c r="K36" t="s">
        <v>508</v>
      </c>
    </row>
    <row r="37" spans="1:12" x14ac:dyDescent="0.25">
      <c r="A37" t="s">
        <v>573</v>
      </c>
      <c r="B37" t="s">
        <v>574</v>
      </c>
      <c r="C37" t="s">
        <v>507</v>
      </c>
      <c r="D37">
        <v>943.1</v>
      </c>
      <c r="E37">
        <v>982.4</v>
      </c>
      <c r="F37">
        <v>39.299999999999997</v>
      </c>
      <c r="G37">
        <v>4.2</v>
      </c>
      <c r="H37">
        <v>0.4</v>
      </c>
      <c r="I37" t="s">
        <v>508</v>
      </c>
      <c r="J37" t="s">
        <v>508</v>
      </c>
      <c r="K37" t="s">
        <v>508</v>
      </c>
    </row>
    <row r="38" spans="1:12" x14ac:dyDescent="0.25">
      <c r="A38" t="s">
        <v>575</v>
      </c>
      <c r="B38" t="s">
        <v>576</v>
      </c>
      <c r="C38" t="s">
        <v>507</v>
      </c>
      <c r="D38">
        <v>910.5</v>
      </c>
      <c r="E38">
        <v>955.8</v>
      </c>
      <c r="F38">
        <v>45.3</v>
      </c>
      <c r="G38">
        <v>5</v>
      </c>
      <c r="H38">
        <v>0.5</v>
      </c>
      <c r="I38" t="s">
        <v>508</v>
      </c>
      <c r="J38" t="s">
        <v>508</v>
      </c>
      <c r="K38" t="s">
        <v>508</v>
      </c>
    </row>
    <row r="39" spans="1:12" x14ac:dyDescent="0.25">
      <c r="A39" t="s">
        <v>577</v>
      </c>
      <c r="B39" t="s">
        <v>578</v>
      </c>
      <c r="C39" t="s">
        <v>504</v>
      </c>
      <c r="D39">
        <v>1154.4000000000001</v>
      </c>
      <c r="E39">
        <v>1206.0999999999999</v>
      </c>
      <c r="F39">
        <v>51.7</v>
      </c>
      <c r="G39">
        <v>4.5</v>
      </c>
      <c r="H39">
        <v>0.4</v>
      </c>
      <c r="I39" t="s">
        <v>508</v>
      </c>
      <c r="J39" t="s">
        <v>508</v>
      </c>
      <c r="K39" t="s">
        <v>508</v>
      </c>
    </row>
    <row r="40" spans="1:12" x14ac:dyDescent="0.25">
      <c r="A40" t="s">
        <v>579</v>
      </c>
      <c r="B40" t="s">
        <v>580</v>
      </c>
      <c r="C40" t="s">
        <v>504</v>
      </c>
      <c r="D40">
        <v>602.79999999999995</v>
      </c>
      <c r="E40">
        <v>634.29999999999995</v>
      </c>
      <c r="F40">
        <v>31.5</v>
      </c>
      <c r="G40">
        <v>5.2</v>
      </c>
      <c r="H40">
        <v>0.5</v>
      </c>
      <c r="I40" t="s">
        <v>508</v>
      </c>
      <c r="J40" t="s">
        <v>508</v>
      </c>
      <c r="K40" t="s">
        <v>508</v>
      </c>
    </row>
    <row r="41" spans="1:12" x14ac:dyDescent="0.25">
      <c r="A41" t="s">
        <v>581</v>
      </c>
      <c r="B41" t="s">
        <v>582</v>
      </c>
      <c r="C41" t="s">
        <v>507</v>
      </c>
      <c r="D41">
        <v>238.4</v>
      </c>
      <c r="E41">
        <v>257.2</v>
      </c>
      <c r="F41">
        <v>18.8</v>
      </c>
      <c r="G41">
        <v>7.9</v>
      </c>
      <c r="H41">
        <v>0.8</v>
      </c>
      <c r="I41" t="s">
        <v>508</v>
      </c>
      <c r="J41" t="s">
        <v>508</v>
      </c>
      <c r="K41" t="s">
        <v>508</v>
      </c>
    </row>
    <row r="42" spans="1:12" x14ac:dyDescent="0.25">
      <c r="A42" t="s">
        <v>583</v>
      </c>
      <c r="B42" t="s">
        <v>584</v>
      </c>
      <c r="C42" t="s">
        <v>507</v>
      </c>
      <c r="D42">
        <v>37.1</v>
      </c>
      <c r="E42">
        <v>37.700000000000003</v>
      </c>
      <c r="F42">
        <v>0.6</v>
      </c>
      <c r="G42">
        <v>1.7</v>
      </c>
      <c r="H42">
        <v>0.2</v>
      </c>
      <c r="I42" t="s">
        <v>508</v>
      </c>
      <c r="J42" t="s">
        <v>508</v>
      </c>
      <c r="K42" t="s">
        <v>508</v>
      </c>
    </row>
    <row r="43" spans="1:12" x14ac:dyDescent="0.25">
      <c r="A43" t="s">
        <v>585</v>
      </c>
      <c r="B43" t="s">
        <v>586</v>
      </c>
      <c r="C43" t="s">
        <v>507</v>
      </c>
      <c r="D43">
        <v>377.9</v>
      </c>
      <c r="E43">
        <v>390.9</v>
      </c>
      <c r="F43">
        <v>13</v>
      </c>
      <c r="G43">
        <v>3.4</v>
      </c>
      <c r="H43">
        <v>0.3</v>
      </c>
      <c r="I43" t="s">
        <v>508</v>
      </c>
      <c r="J43" t="s">
        <v>508</v>
      </c>
      <c r="K43" t="s">
        <v>508</v>
      </c>
    </row>
    <row r="44" spans="1:12" x14ac:dyDescent="0.25">
      <c r="A44" t="s">
        <v>587</v>
      </c>
      <c r="B44" t="s">
        <v>588</v>
      </c>
      <c r="C44" t="s">
        <v>507</v>
      </c>
      <c r="D44">
        <v>136.6</v>
      </c>
      <c r="E44">
        <v>143.19999999999999</v>
      </c>
      <c r="F44">
        <v>6.6</v>
      </c>
      <c r="G44">
        <v>4.8</v>
      </c>
      <c r="H44">
        <v>0.5</v>
      </c>
      <c r="I44" t="s">
        <v>508</v>
      </c>
      <c r="J44" t="s">
        <v>508</v>
      </c>
      <c r="K44" t="s">
        <v>508</v>
      </c>
    </row>
    <row r="45" spans="1:12" x14ac:dyDescent="0.25">
      <c r="A45" t="s">
        <v>589</v>
      </c>
      <c r="B45" t="s">
        <v>590</v>
      </c>
      <c r="C45" t="s">
        <v>504</v>
      </c>
      <c r="D45">
        <v>5203.7</v>
      </c>
      <c r="E45">
        <v>5427.9</v>
      </c>
      <c r="F45">
        <v>224.2</v>
      </c>
      <c r="G45">
        <v>4.3</v>
      </c>
      <c r="H45">
        <v>0.4</v>
      </c>
      <c r="I45" t="s">
        <v>508</v>
      </c>
      <c r="J45" t="s">
        <v>508</v>
      </c>
      <c r="K45" t="s">
        <v>508</v>
      </c>
    </row>
    <row r="46" spans="1:12" x14ac:dyDescent="0.25">
      <c r="A46" t="s">
        <v>591</v>
      </c>
      <c r="B46" t="s">
        <v>592</v>
      </c>
      <c r="C46" t="s">
        <v>504</v>
      </c>
      <c r="D46">
        <v>992.5</v>
      </c>
      <c r="E46">
        <v>1032.0999999999999</v>
      </c>
      <c r="F46">
        <v>39.6</v>
      </c>
      <c r="G46">
        <v>4</v>
      </c>
      <c r="H46">
        <v>0.4</v>
      </c>
      <c r="I46" t="s">
        <v>508</v>
      </c>
      <c r="J46" t="s">
        <v>508</v>
      </c>
      <c r="K46" t="s">
        <v>508</v>
      </c>
    </row>
    <row r="47" spans="1:12" x14ac:dyDescent="0.25">
      <c r="A47" t="s">
        <v>593</v>
      </c>
      <c r="B47" t="s">
        <v>594</v>
      </c>
      <c r="C47" t="s">
        <v>507</v>
      </c>
      <c r="D47">
        <v>258.2</v>
      </c>
      <c r="E47">
        <v>273.5</v>
      </c>
      <c r="F47">
        <v>15.3</v>
      </c>
      <c r="G47">
        <v>5.9</v>
      </c>
      <c r="H47">
        <v>0.6</v>
      </c>
      <c r="I47" t="s">
        <v>508</v>
      </c>
      <c r="J47" t="s">
        <v>508</v>
      </c>
      <c r="K47" t="s">
        <v>508</v>
      </c>
    </row>
    <row r="48" spans="1:12" x14ac:dyDescent="0.25">
      <c r="A48" t="s">
        <v>595</v>
      </c>
      <c r="B48" t="s">
        <v>596</v>
      </c>
      <c r="C48" t="s">
        <v>507</v>
      </c>
      <c r="D48">
        <v>146.1</v>
      </c>
      <c r="E48">
        <v>150</v>
      </c>
      <c r="F48">
        <v>3.9</v>
      </c>
      <c r="G48">
        <v>2.7</v>
      </c>
      <c r="H48">
        <v>0.3</v>
      </c>
      <c r="I48" t="s">
        <v>508</v>
      </c>
      <c r="J48" t="s">
        <v>508</v>
      </c>
      <c r="K48" t="s">
        <v>508</v>
      </c>
    </row>
    <row r="49" spans="1:12" x14ac:dyDescent="0.25">
      <c r="A49" t="s">
        <v>597</v>
      </c>
      <c r="B49" t="s">
        <v>598</v>
      </c>
      <c r="C49" t="s">
        <v>507</v>
      </c>
      <c r="D49">
        <v>249.8</v>
      </c>
      <c r="E49">
        <v>261.5</v>
      </c>
      <c r="F49">
        <v>11.7</v>
      </c>
      <c r="G49">
        <v>4.7</v>
      </c>
      <c r="H49">
        <v>0.5</v>
      </c>
      <c r="I49" t="s">
        <v>508</v>
      </c>
      <c r="J49" t="s">
        <v>508</v>
      </c>
      <c r="K49" t="s">
        <v>508</v>
      </c>
    </row>
    <row r="50" spans="1:12" x14ac:dyDescent="0.25">
      <c r="A50" t="s">
        <v>599</v>
      </c>
      <c r="B50" t="s">
        <v>600</v>
      </c>
      <c r="C50" t="s">
        <v>504</v>
      </c>
      <c r="D50">
        <v>2556.3000000000002</v>
      </c>
      <c r="E50">
        <v>2688.2</v>
      </c>
      <c r="F50">
        <v>131.9</v>
      </c>
      <c r="G50">
        <v>5.2</v>
      </c>
      <c r="H50">
        <v>0.5</v>
      </c>
      <c r="I50" t="s">
        <v>508</v>
      </c>
      <c r="J50" t="s">
        <v>508</v>
      </c>
      <c r="K50" t="s">
        <v>508</v>
      </c>
    </row>
    <row r="51" spans="1:12" x14ac:dyDescent="0.25">
      <c r="A51" t="s">
        <v>601</v>
      </c>
      <c r="B51" t="s">
        <v>602</v>
      </c>
      <c r="C51" t="s">
        <v>507</v>
      </c>
      <c r="D51">
        <v>1095.2</v>
      </c>
      <c r="E51">
        <v>1156.4000000000001</v>
      </c>
      <c r="F51">
        <v>61.2</v>
      </c>
      <c r="G51">
        <v>5.6</v>
      </c>
      <c r="H51">
        <v>0.5</v>
      </c>
      <c r="I51" t="s">
        <v>508</v>
      </c>
      <c r="J51" t="s">
        <v>508</v>
      </c>
      <c r="K51" t="s">
        <v>508</v>
      </c>
    </row>
    <row r="52" spans="1:12" x14ac:dyDescent="0.25">
      <c r="A52" t="s">
        <v>603</v>
      </c>
      <c r="B52" t="s">
        <v>604</v>
      </c>
      <c r="C52" t="s">
        <v>507</v>
      </c>
      <c r="D52">
        <v>1298.3</v>
      </c>
      <c r="E52">
        <v>1361.3</v>
      </c>
      <c r="F52">
        <v>63</v>
      </c>
      <c r="G52">
        <v>4.8</v>
      </c>
      <c r="H52">
        <v>0.5</v>
      </c>
      <c r="I52" t="s">
        <v>508</v>
      </c>
      <c r="J52" t="s">
        <v>508</v>
      </c>
      <c r="K52" t="s">
        <v>508</v>
      </c>
    </row>
    <row r="53" spans="1:12" x14ac:dyDescent="0.25">
      <c r="A53" t="s">
        <v>605</v>
      </c>
      <c r="B53" t="s">
        <v>606</v>
      </c>
      <c r="C53" t="s">
        <v>507</v>
      </c>
      <c r="D53">
        <v>162.80000000000001</v>
      </c>
      <c r="E53">
        <v>170.6</v>
      </c>
      <c r="F53">
        <v>7.8</v>
      </c>
      <c r="G53">
        <v>4.8</v>
      </c>
      <c r="H53">
        <v>0.5</v>
      </c>
      <c r="I53" t="s">
        <v>508</v>
      </c>
      <c r="J53" t="s">
        <v>508</v>
      </c>
      <c r="K53" t="s">
        <v>508</v>
      </c>
    </row>
    <row r="54" spans="1:12" x14ac:dyDescent="0.25">
      <c r="A54" t="s">
        <v>607</v>
      </c>
      <c r="B54" t="s">
        <v>608</v>
      </c>
      <c r="C54" t="s">
        <v>504</v>
      </c>
      <c r="D54">
        <v>849.3</v>
      </c>
      <c r="E54">
        <v>858.9</v>
      </c>
      <c r="F54">
        <v>9.6</v>
      </c>
      <c r="G54">
        <v>1.1000000000000001</v>
      </c>
      <c r="H54">
        <v>0.1</v>
      </c>
      <c r="I54" t="s">
        <v>508</v>
      </c>
      <c r="J54" t="s">
        <v>508</v>
      </c>
      <c r="K54" t="s">
        <v>508</v>
      </c>
    </row>
    <row r="55" spans="1:12" x14ac:dyDescent="0.25">
      <c r="A55" t="s">
        <v>609</v>
      </c>
      <c r="B55" t="s">
        <v>610</v>
      </c>
      <c r="C55" t="s">
        <v>507</v>
      </c>
      <c r="D55">
        <v>247.5</v>
      </c>
      <c r="E55">
        <v>253.7</v>
      </c>
      <c r="F55">
        <v>6.2</v>
      </c>
      <c r="G55">
        <v>2.5</v>
      </c>
      <c r="H55">
        <v>0.2</v>
      </c>
      <c r="I55" t="s">
        <v>508</v>
      </c>
      <c r="J55" t="s">
        <v>508</v>
      </c>
      <c r="K55" t="s">
        <v>508</v>
      </c>
    </row>
    <row r="56" spans="1:12" x14ac:dyDescent="0.25">
      <c r="A56" t="s">
        <v>611</v>
      </c>
      <c r="B56" t="s">
        <v>612</v>
      </c>
      <c r="C56" t="s">
        <v>507</v>
      </c>
      <c r="D56">
        <v>210.3</v>
      </c>
      <c r="E56">
        <v>211.7</v>
      </c>
      <c r="F56">
        <v>1.4</v>
      </c>
      <c r="G56">
        <v>0.7</v>
      </c>
      <c r="H56">
        <v>0.1</v>
      </c>
      <c r="I56" t="s">
        <v>508</v>
      </c>
      <c r="J56" t="s">
        <v>508</v>
      </c>
      <c r="K56" t="s">
        <v>508</v>
      </c>
    </row>
    <row r="57" spans="1:12" x14ac:dyDescent="0.25">
      <c r="A57" t="s">
        <v>613</v>
      </c>
      <c r="B57" t="s">
        <v>614</v>
      </c>
      <c r="C57" t="s">
        <v>507</v>
      </c>
      <c r="D57">
        <v>805.6</v>
      </c>
      <c r="E57">
        <v>848.6</v>
      </c>
      <c r="F57">
        <v>43</v>
      </c>
      <c r="G57">
        <v>5.3</v>
      </c>
      <c r="H57">
        <v>0.5</v>
      </c>
      <c r="I57" t="s">
        <v>508</v>
      </c>
      <c r="J57" t="s">
        <v>508</v>
      </c>
      <c r="K57" t="s">
        <v>508</v>
      </c>
    </row>
    <row r="58" spans="1:12" x14ac:dyDescent="0.25">
      <c r="A58" t="s">
        <v>615</v>
      </c>
      <c r="B58" t="s">
        <v>616</v>
      </c>
      <c r="C58" t="s">
        <v>504</v>
      </c>
      <c r="D58">
        <v>12817.2</v>
      </c>
      <c r="E58">
        <v>12816.8</v>
      </c>
      <c r="F58">
        <v>-0.4</v>
      </c>
      <c r="G58">
        <v>0</v>
      </c>
      <c r="H58">
        <v>0</v>
      </c>
      <c r="I58">
        <v>5696.8</v>
      </c>
      <c r="J58">
        <v>6486.2</v>
      </c>
      <c r="K58">
        <v>1.3</v>
      </c>
    </row>
    <row r="59" spans="1:12" x14ac:dyDescent="0.25">
      <c r="A59" t="s">
        <v>617</v>
      </c>
      <c r="B59" t="s">
        <v>618</v>
      </c>
      <c r="C59" t="s">
        <v>504</v>
      </c>
      <c r="D59">
        <v>1767.6</v>
      </c>
      <c r="E59">
        <v>1860.1</v>
      </c>
      <c r="F59">
        <v>92.5</v>
      </c>
      <c r="G59">
        <v>5.2</v>
      </c>
      <c r="H59">
        <v>0.5</v>
      </c>
      <c r="I59">
        <v>757.1</v>
      </c>
      <c r="J59">
        <v>910.3</v>
      </c>
      <c r="K59">
        <v>1.9</v>
      </c>
      <c r="L59" t="s">
        <v>246</v>
      </c>
    </row>
    <row r="60" spans="1:12" x14ac:dyDescent="0.25">
      <c r="A60" t="s">
        <v>619</v>
      </c>
      <c r="B60" t="s">
        <v>620</v>
      </c>
      <c r="C60" t="s">
        <v>507</v>
      </c>
      <c r="D60">
        <v>75.400000000000006</v>
      </c>
      <c r="E60">
        <v>80.599999999999994</v>
      </c>
      <c r="F60">
        <v>5.2</v>
      </c>
      <c r="G60">
        <v>6.9</v>
      </c>
      <c r="H60">
        <v>0.7</v>
      </c>
      <c r="I60">
        <v>50.8</v>
      </c>
      <c r="J60">
        <v>60.7</v>
      </c>
      <c r="K60">
        <v>1.8</v>
      </c>
    </row>
    <row r="61" spans="1:12" x14ac:dyDescent="0.25">
      <c r="A61" t="s">
        <v>621</v>
      </c>
      <c r="B61" t="s">
        <v>622</v>
      </c>
      <c r="C61" t="s">
        <v>507</v>
      </c>
      <c r="D61">
        <v>67.400000000000006</v>
      </c>
      <c r="E61">
        <v>67.7</v>
      </c>
      <c r="F61">
        <v>0.3</v>
      </c>
      <c r="G61">
        <v>0.5</v>
      </c>
      <c r="H61">
        <v>0</v>
      </c>
      <c r="I61">
        <v>81.2</v>
      </c>
      <c r="J61">
        <v>93.9</v>
      </c>
      <c r="K61">
        <v>1.5</v>
      </c>
    </row>
    <row r="62" spans="1:12" x14ac:dyDescent="0.25">
      <c r="A62" t="s">
        <v>623</v>
      </c>
      <c r="B62" t="s">
        <v>624</v>
      </c>
      <c r="C62" t="s">
        <v>507</v>
      </c>
      <c r="D62">
        <v>82.2</v>
      </c>
      <c r="E62">
        <v>84.2</v>
      </c>
      <c r="F62">
        <v>2</v>
      </c>
      <c r="G62">
        <v>2.4</v>
      </c>
      <c r="H62">
        <v>0.2</v>
      </c>
      <c r="I62">
        <v>32.6</v>
      </c>
      <c r="J62">
        <v>35.799999999999997</v>
      </c>
      <c r="K62">
        <v>0.9</v>
      </c>
    </row>
    <row r="63" spans="1:12" x14ac:dyDescent="0.25">
      <c r="A63" t="s">
        <v>625</v>
      </c>
      <c r="B63" t="s">
        <v>626</v>
      </c>
      <c r="C63" t="s">
        <v>507</v>
      </c>
      <c r="D63">
        <v>173.8</v>
      </c>
      <c r="E63">
        <v>172.6</v>
      </c>
      <c r="F63">
        <v>-1.2</v>
      </c>
      <c r="G63">
        <v>-0.7</v>
      </c>
      <c r="H63">
        <v>-0.1</v>
      </c>
      <c r="I63">
        <v>57.1</v>
      </c>
      <c r="J63">
        <v>65.900000000000006</v>
      </c>
      <c r="K63">
        <v>1.4</v>
      </c>
    </row>
    <row r="64" spans="1:12" x14ac:dyDescent="0.25">
      <c r="A64" t="s">
        <v>627</v>
      </c>
      <c r="B64" t="s">
        <v>628</v>
      </c>
      <c r="C64" t="s">
        <v>507</v>
      </c>
      <c r="D64">
        <v>168</v>
      </c>
      <c r="E64">
        <v>178.8</v>
      </c>
      <c r="F64">
        <v>10.8</v>
      </c>
      <c r="G64">
        <v>6.4</v>
      </c>
      <c r="H64">
        <v>0.6</v>
      </c>
      <c r="I64">
        <v>130.4</v>
      </c>
      <c r="J64">
        <v>171.1</v>
      </c>
      <c r="K64">
        <v>2.8</v>
      </c>
    </row>
    <row r="65" spans="1:12" x14ac:dyDescent="0.25">
      <c r="A65" t="s">
        <v>629</v>
      </c>
      <c r="B65" t="s">
        <v>630</v>
      </c>
      <c r="C65" t="s">
        <v>507</v>
      </c>
      <c r="D65">
        <v>556.4</v>
      </c>
      <c r="E65">
        <v>591.79999999999995</v>
      </c>
      <c r="F65">
        <v>35.4</v>
      </c>
      <c r="G65">
        <v>6.4</v>
      </c>
      <c r="H65">
        <v>0.6</v>
      </c>
      <c r="I65">
        <v>221.4</v>
      </c>
      <c r="J65">
        <v>265.10000000000002</v>
      </c>
      <c r="K65">
        <v>1.8</v>
      </c>
    </row>
    <row r="66" spans="1:12" x14ac:dyDescent="0.25">
      <c r="A66" t="s">
        <v>631</v>
      </c>
      <c r="B66" t="s">
        <v>632</v>
      </c>
      <c r="C66" t="s">
        <v>507</v>
      </c>
      <c r="D66">
        <v>31.5</v>
      </c>
      <c r="E66">
        <v>30.7</v>
      </c>
      <c r="F66">
        <v>-0.8</v>
      </c>
      <c r="G66">
        <v>-2.5</v>
      </c>
      <c r="H66">
        <v>-0.3</v>
      </c>
      <c r="I66">
        <v>12.2</v>
      </c>
      <c r="J66">
        <v>14</v>
      </c>
      <c r="K66">
        <v>1.3</v>
      </c>
    </row>
    <row r="67" spans="1:12" x14ac:dyDescent="0.25">
      <c r="A67" t="s">
        <v>633</v>
      </c>
      <c r="B67" t="s">
        <v>634</v>
      </c>
      <c r="C67" t="s">
        <v>507</v>
      </c>
      <c r="D67">
        <v>350.4</v>
      </c>
      <c r="E67">
        <v>369.2</v>
      </c>
      <c r="F67">
        <v>18.8</v>
      </c>
      <c r="G67">
        <v>5.4</v>
      </c>
      <c r="H67">
        <v>0.5</v>
      </c>
      <c r="I67">
        <v>62.1</v>
      </c>
      <c r="J67">
        <v>74.400000000000006</v>
      </c>
      <c r="K67">
        <v>1.8</v>
      </c>
    </row>
    <row r="68" spans="1:12" x14ac:dyDescent="0.25">
      <c r="A68" t="s">
        <v>635</v>
      </c>
      <c r="B68" t="s">
        <v>636</v>
      </c>
      <c r="C68" t="s">
        <v>507</v>
      </c>
      <c r="D68">
        <v>262.5</v>
      </c>
      <c r="E68">
        <v>284.39999999999998</v>
      </c>
      <c r="F68">
        <v>21.9</v>
      </c>
      <c r="G68">
        <v>8.4</v>
      </c>
      <c r="H68">
        <v>0.8</v>
      </c>
      <c r="I68">
        <v>109</v>
      </c>
      <c r="J68">
        <v>131</v>
      </c>
      <c r="K68">
        <v>1.9</v>
      </c>
    </row>
    <row r="69" spans="1:12" x14ac:dyDescent="0.25">
      <c r="A69" t="s">
        <v>637</v>
      </c>
      <c r="B69" t="s">
        <v>638</v>
      </c>
      <c r="C69" t="s">
        <v>504</v>
      </c>
      <c r="D69">
        <v>343.4</v>
      </c>
      <c r="E69">
        <v>379.7</v>
      </c>
      <c r="F69">
        <v>36.299999999999997</v>
      </c>
      <c r="G69">
        <v>10.6</v>
      </c>
      <c r="H69">
        <v>1</v>
      </c>
      <c r="I69">
        <v>181.9</v>
      </c>
      <c r="J69">
        <v>203</v>
      </c>
      <c r="K69">
        <v>1.1000000000000001</v>
      </c>
      <c r="L69" t="s">
        <v>246</v>
      </c>
    </row>
    <row r="70" spans="1:12" x14ac:dyDescent="0.25">
      <c r="A70" t="s">
        <v>639</v>
      </c>
      <c r="B70" t="s">
        <v>640</v>
      </c>
      <c r="C70" t="s">
        <v>507</v>
      </c>
      <c r="D70">
        <v>333</v>
      </c>
      <c r="E70">
        <v>370.8</v>
      </c>
      <c r="F70">
        <v>37.799999999999997</v>
      </c>
      <c r="G70">
        <v>11.4</v>
      </c>
      <c r="H70">
        <v>1.1000000000000001</v>
      </c>
      <c r="I70">
        <v>115.7</v>
      </c>
      <c r="J70">
        <v>150.5</v>
      </c>
      <c r="K70">
        <v>2.7</v>
      </c>
    </row>
    <row r="71" spans="1:12" x14ac:dyDescent="0.25">
      <c r="A71" t="s">
        <v>641</v>
      </c>
      <c r="B71" t="s">
        <v>642</v>
      </c>
      <c r="C71" t="s">
        <v>507</v>
      </c>
      <c r="D71">
        <v>10.4</v>
      </c>
      <c r="E71">
        <v>8.8000000000000007</v>
      </c>
      <c r="F71">
        <v>-1.6</v>
      </c>
      <c r="G71">
        <v>-15</v>
      </c>
      <c r="H71">
        <v>-1.7</v>
      </c>
      <c r="I71">
        <v>65.2</v>
      </c>
      <c r="J71">
        <v>54.6</v>
      </c>
      <c r="K71">
        <v>-1.8</v>
      </c>
    </row>
    <row r="72" spans="1:12" x14ac:dyDescent="0.25">
      <c r="A72" t="s">
        <v>643</v>
      </c>
      <c r="B72" t="s">
        <v>644</v>
      </c>
      <c r="C72" t="s">
        <v>507</v>
      </c>
      <c r="D72">
        <v>86.6</v>
      </c>
      <c r="E72">
        <v>78.3</v>
      </c>
      <c r="F72">
        <v>-8.3000000000000007</v>
      </c>
      <c r="G72">
        <v>-9.5</v>
      </c>
      <c r="H72">
        <v>-1</v>
      </c>
      <c r="I72">
        <v>19.399999999999999</v>
      </c>
      <c r="J72">
        <v>20</v>
      </c>
      <c r="K72">
        <v>0.3</v>
      </c>
      <c r="L72" t="s">
        <v>276</v>
      </c>
    </row>
    <row r="73" spans="1:12" x14ac:dyDescent="0.25">
      <c r="A73" t="s">
        <v>645</v>
      </c>
      <c r="B73" t="s">
        <v>646</v>
      </c>
      <c r="C73" t="s">
        <v>507</v>
      </c>
      <c r="D73">
        <v>99.5</v>
      </c>
      <c r="E73">
        <v>89</v>
      </c>
      <c r="F73">
        <v>-10.5</v>
      </c>
      <c r="G73">
        <v>-10.5</v>
      </c>
      <c r="H73">
        <v>-1.1000000000000001</v>
      </c>
      <c r="I73">
        <v>21</v>
      </c>
      <c r="J73">
        <v>21.9</v>
      </c>
      <c r="K73">
        <v>0.4</v>
      </c>
      <c r="L73" t="s">
        <v>276</v>
      </c>
    </row>
    <row r="74" spans="1:12" x14ac:dyDescent="0.25">
      <c r="A74" t="s">
        <v>647</v>
      </c>
      <c r="B74" t="s">
        <v>648</v>
      </c>
      <c r="C74" t="s">
        <v>507</v>
      </c>
      <c r="D74">
        <v>84.5</v>
      </c>
      <c r="E74">
        <v>58.8</v>
      </c>
      <c r="F74">
        <v>-25.7</v>
      </c>
      <c r="G74">
        <v>-30.4</v>
      </c>
      <c r="H74">
        <v>-3.6</v>
      </c>
      <c r="I74">
        <v>12.3</v>
      </c>
      <c r="J74">
        <v>10.1</v>
      </c>
      <c r="K74">
        <v>-1.9</v>
      </c>
      <c r="L74" t="s">
        <v>276</v>
      </c>
    </row>
    <row r="75" spans="1:12" x14ac:dyDescent="0.25">
      <c r="A75" t="s">
        <v>649</v>
      </c>
      <c r="B75" t="s">
        <v>650</v>
      </c>
      <c r="C75" t="s">
        <v>507</v>
      </c>
      <c r="D75">
        <v>25.1</v>
      </c>
      <c r="E75">
        <v>23.8</v>
      </c>
      <c r="F75">
        <v>-1.3</v>
      </c>
      <c r="G75">
        <v>-5.2</v>
      </c>
      <c r="H75">
        <v>-0.5</v>
      </c>
      <c r="I75">
        <v>11.9</v>
      </c>
      <c r="J75">
        <v>14.2</v>
      </c>
      <c r="K75">
        <v>1.8</v>
      </c>
      <c r="L75" t="s">
        <v>276</v>
      </c>
    </row>
    <row r="76" spans="1:12" x14ac:dyDescent="0.25">
      <c r="A76" t="s">
        <v>651</v>
      </c>
      <c r="B76" t="s">
        <v>652</v>
      </c>
      <c r="C76" t="s">
        <v>504</v>
      </c>
      <c r="D76">
        <v>417</v>
      </c>
      <c r="E76">
        <v>417.6</v>
      </c>
      <c r="F76">
        <v>0.6</v>
      </c>
      <c r="G76">
        <v>0.1</v>
      </c>
      <c r="H76">
        <v>0</v>
      </c>
      <c r="I76">
        <v>126.5</v>
      </c>
      <c r="J76">
        <v>150.1</v>
      </c>
      <c r="K76">
        <v>1.7</v>
      </c>
      <c r="L76" t="s">
        <v>81</v>
      </c>
    </row>
    <row r="77" spans="1:12" x14ac:dyDescent="0.25">
      <c r="A77" t="s">
        <v>653</v>
      </c>
      <c r="B77" t="s">
        <v>654</v>
      </c>
      <c r="C77" t="s">
        <v>507</v>
      </c>
      <c r="D77">
        <v>90.6</v>
      </c>
      <c r="E77">
        <v>89.2</v>
      </c>
      <c r="F77">
        <v>-1.4</v>
      </c>
      <c r="G77">
        <v>-1.6</v>
      </c>
      <c r="H77">
        <v>-0.2</v>
      </c>
      <c r="I77">
        <v>47.2</v>
      </c>
      <c r="J77">
        <v>56.4</v>
      </c>
      <c r="K77">
        <v>1.8</v>
      </c>
    </row>
    <row r="78" spans="1:12" x14ac:dyDescent="0.25">
      <c r="A78" t="s">
        <v>655</v>
      </c>
      <c r="B78" t="s">
        <v>656</v>
      </c>
      <c r="C78" t="s">
        <v>507</v>
      </c>
      <c r="D78">
        <v>82.2</v>
      </c>
      <c r="E78">
        <v>81.3</v>
      </c>
      <c r="F78">
        <v>-0.9</v>
      </c>
      <c r="G78">
        <v>-1.1000000000000001</v>
      </c>
      <c r="H78">
        <v>-0.1</v>
      </c>
      <c r="I78">
        <v>24.3</v>
      </c>
      <c r="J78">
        <v>28.6</v>
      </c>
      <c r="K78">
        <v>1.7</v>
      </c>
    </row>
    <row r="79" spans="1:12" x14ac:dyDescent="0.25">
      <c r="A79" t="s">
        <v>657</v>
      </c>
      <c r="B79" t="s">
        <v>658</v>
      </c>
      <c r="C79" t="s">
        <v>507</v>
      </c>
      <c r="D79">
        <v>244.2</v>
      </c>
      <c r="E79">
        <v>247.1</v>
      </c>
      <c r="F79">
        <v>2.9</v>
      </c>
      <c r="G79">
        <v>1.2</v>
      </c>
      <c r="H79">
        <v>0.1</v>
      </c>
      <c r="I79">
        <v>56.8</v>
      </c>
      <c r="J79">
        <v>67.3</v>
      </c>
      <c r="K79">
        <v>1.7</v>
      </c>
    </row>
    <row r="80" spans="1:12" x14ac:dyDescent="0.25">
      <c r="A80" t="s">
        <v>659</v>
      </c>
      <c r="B80" t="s">
        <v>660</v>
      </c>
      <c r="C80" t="s">
        <v>504</v>
      </c>
      <c r="D80">
        <v>354.6</v>
      </c>
      <c r="E80">
        <v>328.9</v>
      </c>
      <c r="F80">
        <v>-25.7</v>
      </c>
      <c r="G80">
        <v>-7.3</v>
      </c>
      <c r="H80">
        <v>-0.7</v>
      </c>
      <c r="I80">
        <v>163</v>
      </c>
      <c r="J80">
        <v>180.2</v>
      </c>
      <c r="K80">
        <v>1</v>
      </c>
      <c r="L80" t="s">
        <v>285</v>
      </c>
    </row>
    <row r="81" spans="1:12" x14ac:dyDescent="0.25">
      <c r="A81" t="s">
        <v>661</v>
      </c>
      <c r="B81" t="s">
        <v>662</v>
      </c>
      <c r="C81" t="s">
        <v>507</v>
      </c>
      <c r="D81">
        <v>84.7</v>
      </c>
      <c r="E81">
        <v>73.599999999999994</v>
      </c>
      <c r="F81">
        <v>-11.1</v>
      </c>
      <c r="G81">
        <v>-13.1</v>
      </c>
      <c r="H81">
        <v>-1.4</v>
      </c>
      <c r="I81">
        <v>63.9</v>
      </c>
      <c r="J81">
        <v>63.1</v>
      </c>
      <c r="K81">
        <v>-0.1</v>
      </c>
    </row>
    <row r="82" spans="1:12" x14ac:dyDescent="0.25">
      <c r="A82" t="s">
        <v>663</v>
      </c>
      <c r="B82" t="s">
        <v>664</v>
      </c>
      <c r="C82" t="s">
        <v>507</v>
      </c>
      <c r="D82">
        <v>269.89999999999998</v>
      </c>
      <c r="E82">
        <v>255.3</v>
      </c>
      <c r="F82">
        <v>-14.6</v>
      </c>
      <c r="G82">
        <v>-5.4</v>
      </c>
      <c r="H82">
        <v>-0.6</v>
      </c>
      <c r="I82">
        <v>99</v>
      </c>
      <c r="J82">
        <v>116.9</v>
      </c>
      <c r="K82">
        <v>1.7</v>
      </c>
    </row>
    <row r="83" spans="1:12" x14ac:dyDescent="0.25">
      <c r="A83" t="s">
        <v>665</v>
      </c>
      <c r="B83" t="s">
        <v>666</v>
      </c>
      <c r="C83" t="s">
        <v>507</v>
      </c>
      <c r="D83">
        <v>357.2</v>
      </c>
      <c r="E83">
        <v>301.89999999999998</v>
      </c>
      <c r="F83">
        <v>-55.3</v>
      </c>
      <c r="G83">
        <v>-15.5</v>
      </c>
      <c r="H83">
        <v>-1.7</v>
      </c>
      <c r="I83">
        <v>67</v>
      </c>
      <c r="J83">
        <v>71.099999999999994</v>
      </c>
      <c r="K83">
        <v>0.6</v>
      </c>
      <c r="L83" t="s">
        <v>285</v>
      </c>
    </row>
    <row r="84" spans="1:12" x14ac:dyDescent="0.25">
      <c r="A84" t="s">
        <v>667</v>
      </c>
      <c r="B84" t="s">
        <v>668</v>
      </c>
      <c r="C84" t="s">
        <v>507</v>
      </c>
      <c r="D84">
        <v>109.4</v>
      </c>
      <c r="E84">
        <v>106.2</v>
      </c>
      <c r="F84">
        <v>-3.2</v>
      </c>
      <c r="G84">
        <v>-3</v>
      </c>
      <c r="H84">
        <v>-0.3</v>
      </c>
      <c r="I84">
        <v>483.5</v>
      </c>
      <c r="J84">
        <v>535</v>
      </c>
      <c r="K84">
        <v>1</v>
      </c>
      <c r="L84" t="s">
        <v>296</v>
      </c>
    </row>
    <row r="85" spans="1:12" x14ac:dyDescent="0.25">
      <c r="A85" t="s">
        <v>669</v>
      </c>
      <c r="B85" t="s">
        <v>670</v>
      </c>
      <c r="C85" t="s">
        <v>504</v>
      </c>
      <c r="D85">
        <v>897.9</v>
      </c>
      <c r="E85">
        <v>928.9</v>
      </c>
      <c r="F85">
        <v>31</v>
      </c>
      <c r="G85">
        <v>3.5</v>
      </c>
      <c r="H85">
        <v>0.3</v>
      </c>
      <c r="I85">
        <v>849.6</v>
      </c>
      <c r="J85">
        <v>1004</v>
      </c>
      <c r="K85">
        <v>1.7</v>
      </c>
    </row>
    <row r="86" spans="1:12" x14ac:dyDescent="0.25">
      <c r="A86" t="s">
        <v>671</v>
      </c>
      <c r="B86" t="s">
        <v>672</v>
      </c>
      <c r="C86" t="s">
        <v>507</v>
      </c>
      <c r="D86">
        <v>368.7</v>
      </c>
      <c r="E86">
        <v>376.7</v>
      </c>
      <c r="F86">
        <v>8</v>
      </c>
      <c r="G86">
        <v>2.2000000000000002</v>
      </c>
      <c r="H86">
        <v>0.2</v>
      </c>
      <c r="I86">
        <v>390.8</v>
      </c>
      <c r="J86">
        <v>431.5</v>
      </c>
      <c r="K86">
        <v>1</v>
      </c>
      <c r="L86" t="s">
        <v>301</v>
      </c>
    </row>
    <row r="87" spans="1:12" x14ac:dyDescent="0.25">
      <c r="A87" t="s">
        <v>673</v>
      </c>
      <c r="B87" t="s">
        <v>674</v>
      </c>
      <c r="C87" t="s">
        <v>507</v>
      </c>
      <c r="D87">
        <v>178.7</v>
      </c>
      <c r="E87">
        <v>182.7</v>
      </c>
      <c r="F87">
        <v>4</v>
      </c>
      <c r="G87">
        <v>2.2999999999999998</v>
      </c>
      <c r="H87">
        <v>0.2</v>
      </c>
      <c r="I87">
        <v>114.5</v>
      </c>
      <c r="J87">
        <v>139.5</v>
      </c>
      <c r="K87">
        <v>2</v>
      </c>
      <c r="L87" t="s">
        <v>301</v>
      </c>
    </row>
    <row r="88" spans="1:12" x14ac:dyDescent="0.25">
      <c r="A88" t="s">
        <v>675</v>
      </c>
      <c r="B88" t="s">
        <v>676</v>
      </c>
      <c r="C88" t="s">
        <v>507</v>
      </c>
      <c r="D88">
        <v>350.5</v>
      </c>
      <c r="E88">
        <v>369.5</v>
      </c>
      <c r="F88">
        <v>19</v>
      </c>
      <c r="G88">
        <v>5.4</v>
      </c>
      <c r="H88">
        <v>0.5</v>
      </c>
      <c r="I88">
        <v>346.7</v>
      </c>
      <c r="J88">
        <v>438.5</v>
      </c>
      <c r="K88">
        <v>2.4</v>
      </c>
      <c r="L88" t="s">
        <v>309</v>
      </c>
    </row>
    <row r="89" spans="1:12" x14ac:dyDescent="0.25">
      <c r="A89" t="s">
        <v>677</v>
      </c>
      <c r="B89" t="s">
        <v>678</v>
      </c>
      <c r="C89" t="s">
        <v>504</v>
      </c>
      <c r="D89">
        <v>725.1</v>
      </c>
      <c r="E89">
        <v>753.4</v>
      </c>
      <c r="F89">
        <v>28.3</v>
      </c>
      <c r="G89">
        <v>3.9</v>
      </c>
      <c r="H89">
        <v>0.4</v>
      </c>
      <c r="I89">
        <v>229.7</v>
      </c>
      <c r="J89">
        <v>252.1</v>
      </c>
      <c r="K89">
        <v>0.9</v>
      </c>
      <c r="L89" t="s">
        <v>322</v>
      </c>
    </row>
    <row r="90" spans="1:12" x14ac:dyDescent="0.25">
      <c r="A90" t="s">
        <v>679</v>
      </c>
      <c r="B90" t="s">
        <v>680</v>
      </c>
      <c r="C90" t="s">
        <v>507</v>
      </c>
      <c r="D90">
        <v>592.5</v>
      </c>
      <c r="E90">
        <v>618.79999999999995</v>
      </c>
      <c r="F90">
        <v>26.3</v>
      </c>
      <c r="G90">
        <v>4.4000000000000004</v>
      </c>
      <c r="H90">
        <v>0.4</v>
      </c>
      <c r="I90">
        <v>190.7</v>
      </c>
      <c r="J90">
        <v>212.4</v>
      </c>
      <c r="K90">
        <v>1.1000000000000001</v>
      </c>
    </row>
    <row r="91" spans="1:12" x14ac:dyDescent="0.25">
      <c r="A91" t="s">
        <v>681</v>
      </c>
      <c r="B91" t="s">
        <v>682</v>
      </c>
      <c r="C91" t="s">
        <v>507</v>
      </c>
      <c r="D91">
        <v>132.6</v>
      </c>
      <c r="E91">
        <v>134.6</v>
      </c>
      <c r="F91">
        <v>2</v>
      </c>
      <c r="G91">
        <v>1.5</v>
      </c>
      <c r="H91">
        <v>0.1</v>
      </c>
      <c r="I91">
        <v>39.1</v>
      </c>
      <c r="J91">
        <v>39.700000000000003</v>
      </c>
      <c r="K91">
        <v>0.2</v>
      </c>
    </row>
    <row r="92" spans="1:12" x14ac:dyDescent="0.25">
      <c r="A92" t="s">
        <v>683</v>
      </c>
      <c r="B92" t="s">
        <v>684</v>
      </c>
      <c r="C92" t="s">
        <v>507</v>
      </c>
      <c r="D92">
        <v>422.3</v>
      </c>
      <c r="E92">
        <v>429</v>
      </c>
      <c r="F92">
        <v>6.7</v>
      </c>
      <c r="G92">
        <v>1.6</v>
      </c>
      <c r="H92">
        <v>0.2</v>
      </c>
      <c r="I92">
        <v>113.5</v>
      </c>
      <c r="J92">
        <v>132.30000000000001</v>
      </c>
      <c r="K92">
        <v>1.5</v>
      </c>
      <c r="L92" t="s">
        <v>86</v>
      </c>
    </row>
    <row r="93" spans="1:12" x14ac:dyDescent="0.25">
      <c r="A93" t="s">
        <v>685</v>
      </c>
      <c r="B93" t="s">
        <v>686</v>
      </c>
      <c r="C93" t="s">
        <v>504</v>
      </c>
      <c r="D93">
        <v>373.2</v>
      </c>
      <c r="E93">
        <v>360.2</v>
      </c>
      <c r="F93">
        <v>-13</v>
      </c>
      <c r="G93">
        <v>-3.5</v>
      </c>
      <c r="H93">
        <v>-0.4</v>
      </c>
      <c r="I93">
        <v>246.6</v>
      </c>
      <c r="J93">
        <v>287.3</v>
      </c>
      <c r="K93">
        <v>1.5</v>
      </c>
    </row>
    <row r="94" spans="1:12" x14ac:dyDescent="0.25">
      <c r="A94" t="s">
        <v>687</v>
      </c>
      <c r="B94" t="s">
        <v>688</v>
      </c>
      <c r="C94" t="s">
        <v>507</v>
      </c>
      <c r="D94">
        <v>85.6</v>
      </c>
      <c r="E94">
        <v>86.9</v>
      </c>
      <c r="F94">
        <v>1.3</v>
      </c>
      <c r="G94">
        <v>1.5</v>
      </c>
      <c r="H94">
        <v>0.2</v>
      </c>
      <c r="I94">
        <v>103.9</v>
      </c>
      <c r="J94">
        <v>124.3</v>
      </c>
      <c r="K94">
        <v>1.8</v>
      </c>
      <c r="L94" t="s">
        <v>100</v>
      </c>
    </row>
    <row r="95" spans="1:12" x14ac:dyDescent="0.25">
      <c r="A95" t="s">
        <v>689</v>
      </c>
      <c r="B95" t="s">
        <v>690</v>
      </c>
      <c r="C95" t="s">
        <v>507</v>
      </c>
      <c r="D95">
        <v>59.8</v>
      </c>
      <c r="E95">
        <v>60.9</v>
      </c>
      <c r="F95">
        <v>1.1000000000000001</v>
      </c>
      <c r="G95">
        <v>1.9</v>
      </c>
      <c r="H95">
        <v>0.2</v>
      </c>
      <c r="I95">
        <v>25.6</v>
      </c>
      <c r="J95">
        <v>30.9</v>
      </c>
      <c r="K95">
        <v>1.9</v>
      </c>
      <c r="L95" t="s">
        <v>100</v>
      </c>
    </row>
    <row r="96" spans="1:12" x14ac:dyDescent="0.25">
      <c r="A96" t="s">
        <v>691</v>
      </c>
      <c r="B96" t="s">
        <v>692</v>
      </c>
      <c r="C96" t="s">
        <v>507</v>
      </c>
      <c r="D96">
        <v>59.3</v>
      </c>
      <c r="E96">
        <v>58.4</v>
      </c>
      <c r="F96">
        <v>-0.9</v>
      </c>
      <c r="G96">
        <v>-1.5</v>
      </c>
      <c r="H96">
        <v>-0.2</v>
      </c>
      <c r="I96">
        <v>38.1</v>
      </c>
      <c r="J96">
        <v>39.9</v>
      </c>
      <c r="K96">
        <v>0.5</v>
      </c>
      <c r="L96" t="s">
        <v>103</v>
      </c>
    </row>
    <row r="97" spans="1:12" x14ac:dyDescent="0.25">
      <c r="A97" t="s">
        <v>693</v>
      </c>
      <c r="B97" t="s">
        <v>694</v>
      </c>
      <c r="C97" t="s">
        <v>507</v>
      </c>
      <c r="D97">
        <v>62.5</v>
      </c>
      <c r="E97">
        <v>63.6</v>
      </c>
      <c r="F97">
        <v>1.1000000000000001</v>
      </c>
      <c r="G97">
        <v>1.8</v>
      </c>
      <c r="H97">
        <v>0.2</v>
      </c>
      <c r="I97">
        <v>50.3</v>
      </c>
      <c r="J97">
        <v>64.099999999999994</v>
      </c>
      <c r="K97">
        <v>2.4</v>
      </c>
      <c r="L97" t="s">
        <v>103</v>
      </c>
    </row>
    <row r="98" spans="1:12" x14ac:dyDescent="0.25">
      <c r="A98" t="s">
        <v>695</v>
      </c>
      <c r="B98" t="s">
        <v>696</v>
      </c>
      <c r="C98" t="s">
        <v>507</v>
      </c>
      <c r="D98">
        <v>106</v>
      </c>
      <c r="E98">
        <v>90.4</v>
      </c>
      <c r="F98">
        <v>-15.6</v>
      </c>
      <c r="G98">
        <v>-14.7</v>
      </c>
      <c r="H98">
        <v>-1.6</v>
      </c>
      <c r="I98">
        <v>26.9</v>
      </c>
      <c r="J98">
        <v>24.8</v>
      </c>
      <c r="K98">
        <v>-0.8</v>
      </c>
    </row>
    <row r="99" spans="1:12" x14ac:dyDescent="0.25">
      <c r="A99" t="s">
        <v>697</v>
      </c>
      <c r="B99" t="s">
        <v>698</v>
      </c>
      <c r="C99" t="s">
        <v>504</v>
      </c>
      <c r="D99">
        <v>1442.1</v>
      </c>
      <c r="E99">
        <v>1385.3</v>
      </c>
      <c r="F99">
        <v>-56.8</v>
      </c>
      <c r="G99">
        <v>-3.9</v>
      </c>
      <c r="H99">
        <v>-0.4</v>
      </c>
      <c r="I99">
        <v>303.5</v>
      </c>
      <c r="J99">
        <v>329.5</v>
      </c>
      <c r="K99">
        <v>0.8</v>
      </c>
      <c r="L99" t="s">
        <v>112</v>
      </c>
    </row>
    <row r="100" spans="1:12" x14ac:dyDescent="0.25">
      <c r="A100" t="s">
        <v>699</v>
      </c>
      <c r="B100" t="s">
        <v>700</v>
      </c>
      <c r="C100" t="s">
        <v>507</v>
      </c>
      <c r="D100">
        <v>467.8</v>
      </c>
      <c r="E100">
        <v>423.2</v>
      </c>
      <c r="F100">
        <v>-44.6</v>
      </c>
      <c r="G100">
        <v>-9.5</v>
      </c>
      <c r="H100">
        <v>-1</v>
      </c>
      <c r="I100">
        <v>123.8</v>
      </c>
      <c r="J100">
        <v>129.6</v>
      </c>
      <c r="K100">
        <v>0.5</v>
      </c>
    </row>
    <row r="101" spans="1:12" x14ac:dyDescent="0.25">
      <c r="A101" t="s">
        <v>701</v>
      </c>
      <c r="B101" t="s">
        <v>702</v>
      </c>
      <c r="C101" t="s">
        <v>507</v>
      </c>
      <c r="D101">
        <v>511.5</v>
      </c>
      <c r="E101">
        <v>526.29999999999995</v>
      </c>
      <c r="F101">
        <v>14.8</v>
      </c>
      <c r="G101">
        <v>2.9</v>
      </c>
      <c r="H101">
        <v>0.3</v>
      </c>
      <c r="I101">
        <v>97.4</v>
      </c>
      <c r="J101">
        <v>109.1</v>
      </c>
      <c r="K101">
        <v>1.1000000000000001</v>
      </c>
    </row>
    <row r="102" spans="1:12" x14ac:dyDescent="0.25">
      <c r="A102" t="s">
        <v>703</v>
      </c>
      <c r="B102" t="s">
        <v>704</v>
      </c>
      <c r="C102" t="s">
        <v>504</v>
      </c>
      <c r="D102">
        <v>333.2</v>
      </c>
      <c r="E102">
        <v>319.8</v>
      </c>
      <c r="F102">
        <v>-13.4</v>
      </c>
      <c r="G102">
        <v>-4</v>
      </c>
      <c r="H102">
        <v>-0.4</v>
      </c>
      <c r="I102">
        <v>59.1</v>
      </c>
      <c r="J102">
        <v>65.900000000000006</v>
      </c>
      <c r="K102">
        <v>1.1000000000000001</v>
      </c>
    </row>
    <row r="103" spans="1:12" x14ac:dyDescent="0.25">
      <c r="A103" t="s">
        <v>705</v>
      </c>
      <c r="B103" t="s">
        <v>706</v>
      </c>
      <c r="C103" t="s">
        <v>507</v>
      </c>
      <c r="D103">
        <v>259</v>
      </c>
      <c r="E103">
        <v>260.10000000000002</v>
      </c>
      <c r="F103">
        <v>1.1000000000000001</v>
      </c>
      <c r="G103">
        <v>0.4</v>
      </c>
      <c r="H103">
        <v>0</v>
      </c>
      <c r="I103">
        <v>37.1</v>
      </c>
      <c r="J103">
        <v>41.3</v>
      </c>
      <c r="K103">
        <v>1.1000000000000001</v>
      </c>
    </row>
    <row r="104" spans="1:12" x14ac:dyDescent="0.25">
      <c r="A104" t="s">
        <v>707</v>
      </c>
      <c r="B104" t="s">
        <v>708</v>
      </c>
      <c r="C104" t="s">
        <v>507</v>
      </c>
      <c r="D104">
        <v>74.2</v>
      </c>
      <c r="E104">
        <v>59.8</v>
      </c>
      <c r="F104">
        <v>-14.4</v>
      </c>
      <c r="G104">
        <v>-19.5</v>
      </c>
      <c r="H104">
        <v>-2.1</v>
      </c>
      <c r="I104">
        <v>22.2</v>
      </c>
      <c r="J104">
        <v>24.7</v>
      </c>
      <c r="K104">
        <v>1.1000000000000001</v>
      </c>
    </row>
    <row r="105" spans="1:12" x14ac:dyDescent="0.25">
      <c r="A105" t="s">
        <v>709</v>
      </c>
      <c r="B105" t="s">
        <v>710</v>
      </c>
      <c r="C105" t="s">
        <v>507</v>
      </c>
      <c r="D105">
        <v>129.6</v>
      </c>
      <c r="E105">
        <v>115.9</v>
      </c>
      <c r="F105">
        <v>-13.7</v>
      </c>
      <c r="G105">
        <v>-10.6</v>
      </c>
      <c r="H105">
        <v>-1.1000000000000001</v>
      </c>
      <c r="I105">
        <v>25.1</v>
      </c>
      <c r="J105">
        <v>26.1</v>
      </c>
      <c r="K105">
        <v>0.4</v>
      </c>
    </row>
    <row r="106" spans="1:12" x14ac:dyDescent="0.25">
      <c r="A106" t="s">
        <v>711</v>
      </c>
      <c r="B106" t="s">
        <v>712</v>
      </c>
      <c r="C106" t="s">
        <v>504</v>
      </c>
      <c r="D106">
        <v>1118.8</v>
      </c>
      <c r="E106">
        <v>1108.2</v>
      </c>
      <c r="F106">
        <v>-10.6</v>
      </c>
      <c r="G106">
        <v>-0.9</v>
      </c>
      <c r="H106">
        <v>-0.1</v>
      </c>
      <c r="I106">
        <v>330.1</v>
      </c>
      <c r="J106">
        <v>366.9</v>
      </c>
      <c r="K106">
        <v>1.1000000000000001</v>
      </c>
      <c r="L106" t="s">
        <v>133</v>
      </c>
    </row>
    <row r="107" spans="1:12" x14ac:dyDescent="0.25">
      <c r="A107" t="s">
        <v>713</v>
      </c>
      <c r="B107" t="s">
        <v>714</v>
      </c>
      <c r="C107" t="s">
        <v>507</v>
      </c>
      <c r="D107">
        <v>780.2</v>
      </c>
      <c r="E107">
        <v>782.8</v>
      </c>
      <c r="F107">
        <v>2.6</v>
      </c>
      <c r="G107">
        <v>0.3</v>
      </c>
      <c r="H107">
        <v>0</v>
      </c>
      <c r="I107">
        <v>241.2</v>
      </c>
      <c r="J107">
        <v>266.8</v>
      </c>
      <c r="K107">
        <v>1</v>
      </c>
    </row>
    <row r="108" spans="1:12" x14ac:dyDescent="0.25">
      <c r="A108" t="s">
        <v>715</v>
      </c>
      <c r="B108" t="s">
        <v>716</v>
      </c>
      <c r="C108" t="s">
        <v>507</v>
      </c>
      <c r="D108">
        <v>88.7</v>
      </c>
      <c r="E108">
        <v>89.6</v>
      </c>
      <c r="F108">
        <v>0.9</v>
      </c>
      <c r="G108">
        <v>1</v>
      </c>
      <c r="H108">
        <v>0.1</v>
      </c>
      <c r="I108">
        <v>23.5</v>
      </c>
      <c r="J108">
        <v>26.4</v>
      </c>
      <c r="K108">
        <v>1.2</v>
      </c>
    </row>
    <row r="109" spans="1:12" x14ac:dyDescent="0.25">
      <c r="A109" t="s">
        <v>717</v>
      </c>
      <c r="B109" t="s">
        <v>718</v>
      </c>
      <c r="C109" t="s">
        <v>507</v>
      </c>
      <c r="D109">
        <v>157.1</v>
      </c>
      <c r="E109">
        <v>147.4</v>
      </c>
      <c r="F109">
        <v>-9.6999999999999993</v>
      </c>
      <c r="G109">
        <v>-6.2</v>
      </c>
      <c r="H109">
        <v>-0.6</v>
      </c>
      <c r="I109">
        <v>27.3</v>
      </c>
      <c r="J109">
        <v>30.6</v>
      </c>
      <c r="K109">
        <v>1.1000000000000001</v>
      </c>
    </row>
    <row r="110" spans="1:12" x14ac:dyDescent="0.25">
      <c r="A110" t="s">
        <v>719</v>
      </c>
      <c r="B110" t="s">
        <v>720</v>
      </c>
      <c r="C110" t="s">
        <v>507</v>
      </c>
      <c r="D110">
        <v>92.8</v>
      </c>
      <c r="E110">
        <v>88.4</v>
      </c>
      <c r="F110">
        <v>-4.4000000000000004</v>
      </c>
      <c r="G110">
        <v>-4.8</v>
      </c>
      <c r="H110">
        <v>-0.5</v>
      </c>
      <c r="I110">
        <v>38</v>
      </c>
      <c r="J110">
        <v>43.1</v>
      </c>
      <c r="K110">
        <v>1.3</v>
      </c>
    </row>
    <row r="111" spans="1:12" x14ac:dyDescent="0.25">
      <c r="A111" t="s">
        <v>721</v>
      </c>
      <c r="B111" t="s">
        <v>722</v>
      </c>
      <c r="C111" t="s">
        <v>504</v>
      </c>
      <c r="D111">
        <v>1027.7</v>
      </c>
      <c r="E111">
        <v>1077.3</v>
      </c>
      <c r="F111">
        <v>49.6</v>
      </c>
      <c r="G111">
        <v>4.8</v>
      </c>
      <c r="H111">
        <v>0.5</v>
      </c>
      <c r="I111">
        <v>391.5</v>
      </c>
      <c r="J111">
        <v>488.4</v>
      </c>
      <c r="K111">
        <v>2.2000000000000002</v>
      </c>
      <c r="L111" t="s">
        <v>162</v>
      </c>
    </row>
    <row r="112" spans="1:12" x14ac:dyDescent="0.25">
      <c r="A112" t="s">
        <v>723</v>
      </c>
      <c r="B112" t="s">
        <v>724</v>
      </c>
      <c r="C112" t="s">
        <v>507</v>
      </c>
      <c r="D112">
        <v>110.3</v>
      </c>
      <c r="E112">
        <v>111.8</v>
      </c>
      <c r="F112">
        <v>1.5</v>
      </c>
      <c r="G112">
        <v>1.4</v>
      </c>
      <c r="H112">
        <v>0.1</v>
      </c>
      <c r="I112">
        <v>43.5</v>
      </c>
      <c r="J112">
        <v>51</v>
      </c>
      <c r="K112">
        <v>1.6</v>
      </c>
    </row>
    <row r="113" spans="1:12" x14ac:dyDescent="0.25">
      <c r="A113" t="s">
        <v>725</v>
      </c>
      <c r="B113" t="s">
        <v>726</v>
      </c>
      <c r="C113" t="s">
        <v>507</v>
      </c>
      <c r="D113">
        <v>83</v>
      </c>
      <c r="E113">
        <v>77.5</v>
      </c>
      <c r="F113">
        <v>-5.5</v>
      </c>
      <c r="G113">
        <v>-6.6</v>
      </c>
      <c r="H113">
        <v>-0.7</v>
      </c>
      <c r="I113">
        <v>54.5</v>
      </c>
      <c r="J113">
        <v>66.5</v>
      </c>
      <c r="K113">
        <v>2</v>
      </c>
    </row>
    <row r="114" spans="1:12" x14ac:dyDescent="0.25">
      <c r="A114" t="s">
        <v>727</v>
      </c>
      <c r="B114" t="s">
        <v>728</v>
      </c>
      <c r="C114" t="s">
        <v>507</v>
      </c>
      <c r="D114">
        <v>19.100000000000001</v>
      </c>
      <c r="E114">
        <v>18.399999999999999</v>
      </c>
      <c r="F114">
        <v>-0.7</v>
      </c>
      <c r="G114">
        <v>-3.6</v>
      </c>
      <c r="H114">
        <v>-0.4</v>
      </c>
      <c r="I114">
        <v>4.2</v>
      </c>
      <c r="J114">
        <v>5.0999999999999996</v>
      </c>
      <c r="K114">
        <v>2</v>
      </c>
    </row>
    <row r="115" spans="1:12" x14ac:dyDescent="0.25">
      <c r="A115" t="s">
        <v>729</v>
      </c>
      <c r="B115" t="s">
        <v>730</v>
      </c>
      <c r="C115" t="s">
        <v>507</v>
      </c>
      <c r="D115">
        <v>392.3</v>
      </c>
      <c r="E115">
        <v>436.8</v>
      </c>
      <c r="F115">
        <v>44.5</v>
      </c>
      <c r="G115">
        <v>11.4</v>
      </c>
      <c r="H115">
        <v>1.1000000000000001</v>
      </c>
      <c r="I115">
        <v>140.19999999999999</v>
      </c>
      <c r="J115">
        <v>183</v>
      </c>
      <c r="K115">
        <v>2.7</v>
      </c>
    </row>
    <row r="116" spans="1:12" x14ac:dyDescent="0.25">
      <c r="A116" t="s">
        <v>731</v>
      </c>
      <c r="B116" t="s">
        <v>732</v>
      </c>
      <c r="C116" t="s">
        <v>507</v>
      </c>
      <c r="D116">
        <v>412.5</v>
      </c>
      <c r="E116">
        <v>426.5</v>
      </c>
      <c r="F116">
        <v>14</v>
      </c>
      <c r="G116">
        <v>3.4</v>
      </c>
      <c r="H116">
        <v>0.3</v>
      </c>
      <c r="I116">
        <v>149.69999999999999</v>
      </c>
      <c r="J116">
        <v>184.7</v>
      </c>
      <c r="K116">
        <v>2.1</v>
      </c>
    </row>
    <row r="117" spans="1:12" x14ac:dyDescent="0.25">
      <c r="A117" t="s">
        <v>733</v>
      </c>
      <c r="B117" t="s">
        <v>734</v>
      </c>
      <c r="C117" t="s">
        <v>507</v>
      </c>
      <c r="D117">
        <v>10.5</v>
      </c>
      <c r="E117">
        <v>6.2</v>
      </c>
      <c r="F117">
        <v>-4.3</v>
      </c>
      <c r="G117">
        <v>-41.3</v>
      </c>
      <c r="H117">
        <v>-5.0999999999999996</v>
      </c>
      <c r="I117">
        <v>1.7</v>
      </c>
      <c r="J117">
        <v>1.4</v>
      </c>
      <c r="K117">
        <v>-1.9</v>
      </c>
    </row>
    <row r="118" spans="1:12" x14ac:dyDescent="0.25">
      <c r="A118" t="s">
        <v>735</v>
      </c>
      <c r="B118" t="s">
        <v>736</v>
      </c>
      <c r="C118" t="s">
        <v>504</v>
      </c>
      <c r="D118">
        <v>413.3</v>
      </c>
      <c r="E118">
        <v>459.7</v>
      </c>
      <c r="F118">
        <v>46.4</v>
      </c>
      <c r="G118">
        <v>11.2</v>
      </c>
      <c r="H118">
        <v>1.1000000000000001</v>
      </c>
      <c r="I118">
        <v>121.1</v>
      </c>
      <c r="J118">
        <v>143.80000000000001</v>
      </c>
      <c r="K118">
        <v>1.7</v>
      </c>
      <c r="L118" t="s">
        <v>183</v>
      </c>
    </row>
    <row r="119" spans="1:12" x14ac:dyDescent="0.25">
      <c r="A119" t="s">
        <v>737</v>
      </c>
      <c r="B119" t="s">
        <v>738</v>
      </c>
      <c r="C119" t="s">
        <v>507</v>
      </c>
      <c r="D119">
        <v>34.5</v>
      </c>
      <c r="E119">
        <v>30.2</v>
      </c>
      <c r="F119">
        <v>-4.3</v>
      </c>
      <c r="G119">
        <v>-12.3</v>
      </c>
      <c r="H119">
        <v>-1.3</v>
      </c>
      <c r="I119">
        <v>12.1</v>
      </c>
      <c r="J119">
        <v>10.6</v>
      </c>
      <c r="K119">
        <v>-1.3</v>
      </c>
    </row>
    <row r="120" spans="1:12" x14ac:dyDescent="0.25">
      <c r="A120" t="s">
        <v>739</v>
      </c>
      <c r="B120" t="s">
        <v>740</v>
      </c>
      <c r="C120" t="s">
        <v>507</v>
      </c>
      <c r="D120">
        <v>60.1</v>
      </c>
      <c r="E120">
        <v>55.6</v>
      </c>
      <c r="F120">
        <v>-4.5</v>
      </c>
      <c r="G120">
        <v>-7.5</v>
      </c>
      <c r="H120">
        <v>-0.8</v>
      </c>
      <c r="I120">
        <v>21.9</v>
      </c>
      <c r="J120">
        <v>24.1</v>
      </c>
      <c r="K120">
        <v>1</v>
      </c>
    </row>
    <row r="121" spans="1:12" x14ac:dyDescent="0.25">
      <c r="A121" t="s">
        <v>741</v>
      </c>
      <c r="B121" t="s">
        <v>742</v>
      </c>
      <c r="C121" t="s">
        <v>507</v>
      </c>
      <c r="D121">
        <v>153</v>
      </c>
      <c r="E121">
        <v>159.80000000000001</v>
      </c>
      <c r="F121">
        <v>6.8</v>
      </c>
      <c r="G121">
        <v>4.4000000000000004</v>
      </c>
      <c r="H121">
        <v>0.4</v>
      </c>
      <c r="I121">
        <v>38.5</v>
      </c>
      <c r="J121">
        <v>44.6</v>
      </c>
      <c r="K121">
        <v>1.5</v>
      </c>
    </row>
    <row r="122" spans="1:12" x14ac:dyDescent="0.25">
      <c r="A122" t="s">
        <v>743</v>
      </c>
      <c r="B122" t="s">
        <v>744</v>
      </c>
      <c r="C122" t="s">
        <v>507</v>
      </c>
      <c r="D122">
        <v>165.7</v>
      </c>
      <c r="E122">
        <v>214.1</v>
      </c>
      <c r="F122">
        <v>48.4</v>
      </c>
      <c r="G122">
        <v>29.2</v>
      </c>
      <c r="H122">
        <v>2.6</v>
      </c>
      <c r="I122">
        <v>48.5</v>
      </c>
      <c r="J122">
        <v>64</v>
      </c>
      <c r="K122">
        <v>2.8</v>
      </c>
    </row>
    <row r="123" spans="1:12" x14ac:dyDescent="0.25">
      <c r="A123" t="s">
        <v>745</v>
      </c>
      <c r="B123" t="s">
        <v>746</v>
      </c>
      <c r="C123" t="s">
        <v>504</v>
      </c>
      <c r="D123">
        <v>1793.2</v>
      </c>
      <c r="E123">
        <v>1718</v>
      </c>
      <c r="F123">
        <v>-75.2</v>
      </c>
      <c r="G123">
        <v>-4.2</v>
      </c>
      <c r="H123">
        <v>-0.4</v>
      </c>
      <c r="I123">
        <v>1054.5</v>
      </c>
      <c r="J123">
        <v>1122</v>
      </c>
      <c r="K123">
        <v>0.6</v>
      </c>
    </row>
    <row r="124" spans="1:12" x14ac:dyDescent="0.25">
      <c r="A124" t="s">
        <v>747</v>
      </c>
      <c r="B124" t="s">
        <v>748</v>
      </c>
      <c r="C124" t="s">
        <v>507</v>
      </c>
      <c r="D124">
        <v>302</v>
      </c>
      <c r="E124">
        <v>318.2</v>
      </c>
      <c r="F124">
        <v>16.2</v>
      </c>
      <c r="G124">
        <v>5.4</v>
      </c>
      <c r="H124">
        <v>0.5</v>
      </c>
      <c r="I124">
        <v>396.7</v>
      </c>
      <c r="J124">
        <v>437.5</v>
      </c>
      <c r="K124">
        <v>1</v>
      </c>
      <c r="L124" t="s">
        <v>198</v>
      </c>
    </row>
    <row r="125" spans="1:12" x14ac:dyDescent="0.25">
      <c r="A125" t="s">
        <v>749</v>
      </c>
      <c r="B125" t="s">
        <v>750</v>
      </c>
      <c r="C125" t="s">
        <v>507</v>
      </c>
      <c r="D125">
        <v>163.5</v>
      </c>
      <c r="E125">
        <v>169</v>
      </c>
      <c r="F125">
        <v>5.5</v>
      </c>
      <c r="G125">
        <v>3.4</v>
      </c>
      <c r="H125">
        <v>0.3</v>
      </c>
      <c r="I125">
        <v>55</v>
      </c>
      <c r="J125">
        <v>69.599999999999994</v>
      </c>
      <c r="K125">
        <v>2.4</v>
      </c>
      <c r="L125" t="s">
        <v>198</v>
      </c>
    </row>
    <row r="126" spans="1:12" x14ac:dyDescent="0.25">
      <c r="A126" t="s">
        <v>751</v>
      </c>
      <c r="B126" t="s">
        <v>752</v>
      </c>
      <c r="C126" t="s">
        <v>507</v>
      </c>
      <c r="D126">
        <v>553.29999999999995</v>
      </c>
      <c r="E126">
        <v>429.3</v>
      </c>
      <c r="F126">
        <v>-124</v>
      </c>
      <c r="G126">
        <v>-22.4</v>
      </c>
      <c r="H126">
        <v>-2.5</v>
      </c>
      <c r="I126">
        <v>250.8</v>
      </c>
      <c r="J126">
        <v>180.2</v>
      </c>
      <c r="K126">
        <v>-3.3</v>
      </c>
      <c r="L126" t="s">
        <v>198</v>
      </c>
    </row>
    <row r="127" spans="1:12" x14ac:dyDescent="0.25">
      <c r="A127" t="s">
        <v>753</v>
      </c>
      <c r="B127" t="s">
        <v>754</v>
      </c>
      <c r="C127" t="s">
        <v>507</v>
      </c>
      <c r="D127">
        <v>559.1</v>
      </c>
      <c r="E127">
        <v>589.20000000000005</v>
      </c>
      <c r="F127">
        <v>30.1</v>
      </c>
      <c r="G127">
        <v>5.4</v>
      </c>
      <c r="H127">
        <v>0.5</v>
      </c>
      <c r="I127">
        <v>281.60000000000002</v>
      </c>
      <c r="J127">
        <v>343.5</v>
      </c>
      <c r="K127">
        <v>2</v>
      </c>
      <c r="L127" t="s">
        <v>213</v>
      </c>
    </row>
    <row r="128" spans="1:12" x14ac:dyDescent="0.25">
      <c r="A128" t="s">
        <v>755</v>
      </c>
      <c r="B128" t="s">
        <v>756</v>
      </c>
      <c r="C128" t="s">
        <v>507</v>
      </c>
      <c r="D128">
        <v>23.4</v>
      </c>
      <c r="E128">
        <v>20.7</v>
      </c>
      <c r="F128">
        <v>-2.7</v>
      </c>
      <c r="G128">
        <v>-11.5</v>
      </c>
      <c r="H128">
        <v>-1.2</v>
      </c>
      <c r="I128">
        <v>10</v>
      </c>
      <c r="J128">
        <v>10.6</v>
      </c>
      <c r="K128">
        <v>0.6</v>
      </c>
      <c r="L128" t="s">
        <v>213</v>
      </c>
    </row>
    <row r="129" spans="1:12" x14ac:dyDescent="0.25">
      <c r="A129" t="s">
        <v>757</v>
      </c>
      <c r="B129" t="s">
        <v>758</v>
      </c>
      <c r="C129" t="s">
        <v>507</v>
      </c>
      <c r="D129">
        <v>150.5</v>
      </c>
      <c r="E129">
        <v>154.1</v>
      </c>
      <c r="F129">
        <v>3.6</v>
      </c>
      <c r="G129">
        <v>2.4</v>
      </c>
      <c r="H129">
        <v>0.2</v>
      </c>
      <c r="I129">
        <v>40</v>
      </c>
      <c r="J129">
        <v>45.3</v>
      </c>
      <c r="K129">
        <v>1.3</v>
      </c>
      <c r="L129" t="s">
        <v>220</v>
      </c>
    </row>
    <row r="130" spans="1:12" x14ac:dyDescent="0.25">
      <c r="A130" t="s">
        <v>759</v>
      </c>
      <c r="B130" t="s">
        <v>760</v>
      </c>
      <c r="C130" t="s">
        <v>507</v>
      </c>
      <c r="D130">
        <v>41.4</v>
      </c>
      <c r="E130">
        <v>37.5</v>
      </c>
      <c r="F130">
        <v>-3.9</v>
      </c>
      <c r="G130">
        <v>-9.4</v>
      </c>
      <c r="H130">
        <v>-1</v>
      </c>
      <c r="I130">
        <v>23.9</v>
      </c>
      <c r="J130">
        <v>30.9</v>
      </c>
      <c r="K130">
        <v>2.6</v>
      </c>
      <c r="L130" t="s">
        <v>213</v>
      </c>
    </row>
    <row r="131" spans="1:12" x14ac:dyDescent="0.25">
      <c r="A131" t="s">
        <v>761</v>
      </c>
      <c r="B131" t="s">
        <v>762</v>
      </c>
      <c r="C131" t="s">
        <v>504</v>
      </c>
      <c r="D131">
        <v>343.3</v>
      </c>
      <c r="E131">
        <v>325.39999999999998</v>
      </c>
      <c r="F131">
        <v>-17.899999999999999</v>
      </c>
      <c r="G131">
        <v>-5.2</v>
      </c>
      <c r="H131">
        <v>-0.5</v>
      </c>
      <c r="I131">
        <v>61.7</v>
      </c>
      <c r="J131">
        <v>68.400000000000006</v>
      </c>
      <c r="K131">
        <v>1</v>
      </c>
      <c r="L131" t="s">
        <v>226</v>
      </c>
    </row>
    <row r="132" spans="1:12" x14ac:dyDescent="0.25">
      <c r="A132" t="s">
        <v>763</v>
      </c>
      <c r="B132" t="s">
        <v>764</v>
      </c>
      <c r="C132" t="s">
        <v>507</v>
      </c>
      <c r="D132">
        <v>315.2</v>
      </c>
      <c r="E132">
        <v>297.7</v>
      </c>
      <c r="F132">
        <v>-17.5</v>
      </c>
      <c r="G132">
        <v>-5.6</v>
      </c>
      <c r="H132">
        <v>-0.6</v>
      </c>
      <c r="I132">
        <v>54</v>
      </c>
      <c r="J132">
        <v>59.4</v>
      </c>
      <c r="K132">
        <v>1</v>
      </c>
    </row>
    <row r="133" spans="1:12" x14ac:dyDescent="0.25">
      <c r="A133" t="s">
        <v>765</v>
      </c>
      <c r="B133" t="s">
        <v>766</v>
      </c>
      <c r="C133" t="s">
        <v>507</v>
      </c>
      <c r="D133">
        <v>28.1</v>
      </c>
      <c r="E133">
        <v>27.7</v>
      </c>
      <c r="F133">
        <v>-0.4</v>
      </c>
      <c r="G133">
        <v>-1.3</v>
      </c>
      <c r="H133">
        <v>-0.1</v>
      </c>
      <c r="I133">
        <v>7.8</v>
      </c>
      <c r="J133">
        <v>9</v>
      </c>
      <c r="K133">
        <v>1.5</v>
      </c>
    </row>
    <row r="134" spans="1:12" x14ac:dyDescent="0.25">
      <c r="A134" t="s">
        <v>767</v>
      </c>
      <c r="B134" t="s">
        <v>768</v>
      </c>
      <c r="C134" t="s">
        <v>504</v>
      </c>
      <c r="D134">
        <v>615.4</v>
      </c>
      <c r="E134">
        <v>626.9</v>
      </c>
      <c r="F134">
        <v>11.5</v>
      </c>
      <c r="G134">
        <v>1.9</v>
      </c>
      <c r="H134">
        <v>0.2</v>
      </c>
      <c r="I134">
        <v>162.6</v>
      </c>
      <c r="J134">
        <v>192.9</v>
      </c>
      <c r="K134">
        <v>1.7</v>
      </c>
      <c r="L134" t="s">
        <v>226</v>
      </c>
    </row>
    <row r="135" spans="1:12" x14ac:dyDescent="0.25">
      <c r="A135" t="s">
        <v>769</v>
      </c>
      <c r="B135" t="s">
        <v>770</v>
      </c>
      <c r="C135" t="s">
        <v>507</v>
      </c>
      <c r="D135">
        <v>329.7</v>
      </c>
      <c r="E135">
        <v>345.5</v>
      </c>
      <c r="F135">
        <v>15.8</v>
      </c>
      <c r="G135">
        <v>4.8</v>
      </c>
      <c r="H135">
        <v>0.5</v>
      </c>
      <c r="I135">
        <v>101.1</v>
      </c>
      <c r="J135">
        <v>129.9</v>
      </c>
      <c r="K135">
        <v>2.5</v>
      </c>
    </row>
    <row r="136" spans="1:12" x14ac:dyDescent="0.25">
      <c r="A136" t="s">
        <v>771</v>
      </c>
      <c r="B136" t="s">
        <v>772</v>
      </c>
      <c r="C136" t="s">
        <v>504</v>
      </c>
      <c r="D136">
        <v>285.7</v>
      </c>
      <c r="E136">
        <v>281.5</v>
      </c>
      <c r="F136">
        <v>-4.2</v>
      </c>
      <c r="G136">
        <v>-1.5</v>
      </c>
      <c r="H136">
        <v>-0.1</v>
      </c>
      <c r="I136">
        <v>61.8</v>
      </c>
      <c r="J136">
        <v>64.099999999999994</v>
      </c>
      <c r="K136">
        <v>0.4</v>
      </c>
    </row>
    <row r="137" spans="1:12" x14ac:dyDescent="0.25">
      <c r="A137" t="s">
        <v>773</v>
      </c>
      <c r="B137" t="s">
        <v>774</v>
      </c>
      <c r="C137" t="s">
        <v>507</v>
      </c>
      <c r="D137">
        <v>21</v>
      </c>
      <c r="E137">
        <v>15.7</v>
      </c>
      <c r="F137">
        <v>-5.3</v>
      </c>
      <c r="G137">
        <v>-25.3</v>
      </c>
      <c r="H137">
        <v>-2.9</v>
      </c>
      <c r="I137">
        <v>7.3</v>
      </c>
      <c r="J137">
        <v>7.7</v>
      </c>
      <c r="K137">
        <v>0.6</v>
      </c>
    </row>
    <row r="138" spans="1:12" x14ac:dyDescent="0.25">
      <c r="A138" t="s">
        <v>775</v>
      </c>
      <c r="B138" t="s">
        <v>776</v>
      </c>
      <c r="C138" t="s">
        <v>504</v>
      </c>
      <c r="D138">
        <v>6145.4</v>
      </c>
      <c r="E138">
        <v>6354</v>
      </c>
      <c r="F138">
        <v>208.6</v>
      </c>
      <c r="G138">
        <v>3.4</v>
      </c>
      <c r="H138">
        <v>0.3</v>
      </c>
      <c r="I138">
        <v>2177.5</v>
      </c>
      <c r="J138">
        <v>2833.4</v>
      </c>
      <c r="K138">
        <v>2.7</v>
      </c>
      <c r="L138" t="s">
        <v>333</v>
      </c>
    </row>
    <row r="139" spans="1:12" x14ac:dyDescent="0.25">
      <c r="A139" t="s">
        <v>777</v>
      </c>
      <c r="B139" t="s">
        <v>778</v>
      </c>
      <c r="C139" t="s">
        <v>504</v>
      </c>
      <c r="D139">
        <v>3439.6</v>
      </c>
      <c r="E139">
        <v>3583</v>
      </c>
      <c r="F139">
        <v>143.4</v>
      </c>
      <c r="G139">
        <v>4.2</v>
      </c>
      <c r="H139">
        <v>0.4</v>
      </c>
      <c r="I139" t="s">
        <v>508</v>
      </c>
      <c r="J139" t="s">
        <v>508</v>
      </c>
      <c r="K139" t="s">
        <v>508</v>
      </c>
    </row>
    <row r="140" spans="1:12" x14ac:dyDescent="0.25">
      <c r="A140" t="s">
        <v>779</v>
      </c>
      <c r="B140" t="s">
        <v>780</v>
      </c>
      <c r="C140" t="s">
        <v>507</v>
      </c>
      <c r="D140">
        <v>1529.3</v>
      </c>
      <c r="E140">
        <v>1581.5</v>
      </c>
      <c r="F140">
        <v>52.2</v>
      </c>
      <c r="G140">
        <v>3.4</v>
      </c>
      <c r="H140">
        <v>0.3</v>
      </c>
      <c r="I140" t="s">
        <v>508</v>
      </c>
      <c r="J140" t="s">
        <v>508</v>
      </c>
      <c r="K140" t="s">
        <v>508</v>
      </c>
    </row>
    <row r="141" spans="1:12" x14ac:dyDescent="0.25">
      <c r="A141" t="s">
        <v>781</v>
      </c>
      <c r="B141" t="s">
        <v>782</v>
      </c>
      <c r="C141" t="s">
        <v>507</v>
      </c>
      <c r="D141">
        <v>381.1</v>
      </c>
      <c r="E141">
        <v>398.4</v>
      </c>
      <c r="F141">
        <v>17.3</v>
      </c>
      <c r="G141">
        <v>4.5</v>
      </c>
      <c r="H141">
        <v>0.4</v>
      </c>
      <c r="I141" t="s">
        <v>508</v>
      </c>
      <c r="J141" t="s">
        <v>508</v>
      </c>
      <c r="K141" t="s">
        <v>508</v>
      </c>
    </row>
    <row r="142" spans="1:12" x14ac:dyDescent="0.25">
      <c r="A142" t="s">
        <v>783</v>
      </c>
      <c r="B142" t="s">
        <v>784</v>
      </c>
      <c r="C142" t="s">
        <v>507</v>
      </c>
      <c r="D142">
        <v>751.7</v>
      </c>
      <c r="E142">
        <v>794.3</v>
      </c>
      <c r="F142">
        <v>42.6</v>
      </c>
      <c r="G142">
        <v>5.7</v>
      </c>
      <c r="H142">
        <v>0.6</v>
      </c>
      <c r="I142" t="s">
        <v>508</v>
      </c>
      <c r="J142" t="s">
        <v>508</v>
      </c>
      <c r="K142" t="s">
        <v>508</v>
      </c>
    </row>
    <row r="143" spans="1:12" x14ac:dyDescent="0.25">
      <c r="A143" t="s">
        <v>785</v>
      </c>
      <c r="B143" t="s">
        <v>786</v>
      </c>
      <c r="C143" t="s">
        <v>504</v>
      </c>
      <c r="D143">
        <v>777.5</v>
      </c>
      <c r="E143">
        <v>808.9</v>
      </c>
      <c r="F143">
        <v>31.4</v>
      </c>
      <c r="G143">
        <v>4</v>
      </c>
      <c r="H143">
        <v>0.4</v>
      </c>
      <c r="I143" t="s">
        <v>508</v>
      </c>
      <c r="J143" t="s">
        <v>508</v>
      </c>
      <c r="K143" t="s">
        <v>508</v>
      </c>
    </row>
    <row r="144" spans="1:12" x14ac:dyDescent="0.25">
      <c r="A144" t="s">
        <v>787</v>
      </c>
      <c r="B144" t="s">
        <v>788</v>
      </c>
      <c r="C144" t="s">
        <v>507</v>
      </c>
      <c r="D144">
        <v>116.7</v>
      </c>
      <c r="E144">
        <v>116.3</v>
      </c>
      <c r="F144">
        <v>-0.4</v>
      </c>
      <c r="G144">
        <v>-0.4</v>
      </c>
      <c r="H144">
        <v>0</v>
      </c>
      <c r="I144" t="s">
        <v>508</v>
      </c>
      <c r="J144" t="s">
        <v>508</v>
      </c>
      <c r="K144" t="s">
        <v>508</v>
      </c>
    </row>
    <row r="145" spans="1:12" x14ac:dyDescent="0.25">
      <c r="A145" t="s">
        <v>789</v>
      </c>
      <c r="B145" t="s">
        <v>790</v>
      </c>
      <c r="C145" t="s">
        <v>504</v>
      </c>
      <c r="D145">
        <v>2212.9</v>
      </c>
      <c r="E145">
        <v>2271.6</v>
      </c>
      <c r="F145">
        <v>58.7</v>
      </c>
      <c r="G145">
        <v>2.7</v>
      </c>
      <c r="H145">
        <v>0.3</v>
      </c>
      <c r="I145" t="s">
        <v>508</v>
      </c>
      <c r="J145" t="s">
        <v>508</v>
      </c>
      <c r="K145" t="s">
        <v>508</v>
      </c>
    </row>
    <row r="146" spans="1:12" x14ac:dyDescent="0.25">
      <c r="A146" t="s">
        <v>791</v>
      </c>
      <c r="B146" t="s">
        <v>792</v>
      </c>
      <c r="C146" t="s">
        <v>507</v>
      </c>
      <c r="D146">
        <v>1048.3</v>
      </c>
      <c r="E146">
        <v>1087.2</v>
      </c>
      <c r="F146">
        <v>38.9</v>
      </c>
      <c r="G146">
        <v>3.7</v>
      </c>
      <c r="H146">
        <v>0.4</v>
      </c>
      <c r="I146" t="s">
        <v>508</v>
      </c>
      <c r="J146" t="s">
        <v>508</v>
      </c>
      <c r="K146" t="s">
        <v>508</v>
      </c>
    </row>
    <row r="147" spans="1:12" x14ac:dyDescent="0.25">
      <c r="A147" t="s">
        <v>793</v>
      </c>
      <c r="B147" t="s">
        <v>794</v>
      </c>
      <c r="C147" t="s">
        <v>507</v>
      </c>
      <c r="D147">
        <v>409.3</v>
      </c>
      <c r="E147">
        <v>423.8</v>
      </c>
      <c r="F147">
        <v>14.5</v>
      </c>
      <c r="G147">
        <v>3.5</v>
      </c>
      <c r="H147">
        <v>0.3</v>
      </c>
      <c r="I147" t="s">
        <v>508</v>
      </c>
      <c r="J147" t="s">
        <v>508</v>
      </c>
      <c r="K147" t="s">
        <v>508</v>
      </c>
    </row>
    <row r="148" spans="1:12" x14ac:dyDescent="0.25">
      <c r="A148" t="s">
        <v>795</v>
      </c>
      <c r="B148" t="s">
        <v>796</v>
      </c>
      <c r="C148" t="s">
        <v>507</v>
      </c>
      <c r="D148">
        <v>540</v>
      </c>
      <c r="E148">
        <v>546.4</v>
      </c>
      <c r="F148">
        <v>6.4</v>
      </c>
      <c r="G148">
        <v>1.2</v>
      </c>
      <c r="H148">
        <v>0.1</v>
      </c>
      <c r="I148" t="s">
        <v>508</v>
      </c>
      <c r="J148" t="s">
        <v>508</v>
      </c>
      <c r="K148" t="s">
        <v>508</v>
      </c>
    </row>
    <row r="149" spans="1:12" x14ac:dyDescent="0.25">
      <c r="A149" t="s">
        <v>797</v>
      </c>
      <c r="B149" t="s">
        <v>798</v>
      </c>
      <c r="C149" t="s">
        <v>507</v>
      </c>
      <c r="D149">
        <v>141.5</v>
      </c>
      <c r="E149">
        <v>139.80000000000001</v>
      </c>
      <c r="F149">
        <v>-1.7</v>
      </c>
      <c r="G149">
        <v>-1.2</v>
      </c>
      <c r="H149">
        <v>-0.1</v>
      </c>
      <c r="I149" t="s">
        <v>508</v>
      </c>
      <c r="J149" t="s">
        <v>508</v>
      </c>
      <c r="K149" t="s">
        <v>508</v>
      </c>
    </row>
    <row r="150" spans="1:12" x14ac:dyDescent="0.25">
      <c r="A150" t="s">
        <v>799</v>
      </c>
      <c r="B150" t="s">
        <v>800</v>
      </c>
      <c r="C150" t="s">
        <v>507</v>
      </c>
      <c r="D150">
        <v>73.8</v>
      </c>
      <c r="E150">
        <v>74.3</v>
      </c>
      <c r="F150">
        <v>0.5</v>
      </c>
      <c r="G150">
        <v>0.7</v>
      </c>
      <c r="H150">
        <v>0.1</v>
      </c>
      <c r="I150" t="s">
        <v>508</v>
      </c>
      <c r="J150" t="s">
        <v>508</v>
      </c>
      <c r="K150" t="s">
        <v>508</v>
      </c>
    </row>
    <row r="151" spans="1:12" x14ac:dyDescent="0.25">
      <c r="A151" t="s">
        <v>801</v>
      </c>
      <c r="B151" t="s">
        <v>802</v>
      </c>
      <c r="C151" t="s">
        <v>507</v>
      </c>
      <c r="D151">
        <v>492.9</v>
      </c>
      <c r="E151">
        <v>499.4</v>
      </c>
      <c r="F151">
        <v>6.5</v>
      </c>
      <c r="G151">
        <v>1.3</v>
      </c>
      <c r="H151">
        <v>0.1</v>
      </c>
      <c r="I151" t="s">
        <v>508</v>
      </c>
      <c r="J151" t="s">
        <v>508</v>
      </c>
      <c r="K151" t="s">
        <v>508</v>
      </c>
    </row>
    <row r="152" spans="1:12" x14ac:dyDescent="0.25">
      <c r="A152" t="s">
        <v>803</v>
      </c>
      <c r="B152" t="s">
        <v>804</v>
      </c>
      <c r="C152" t="s">
        <v>504</v>
      </c>
      <c r="D152">
        <v>15532</v>
      </c>
      <c r="E152">
        <v>15350.1</v>
      </c>
      <c r="F152">
        <v>-181.9</v>
      </c>
      <c r="G152">
        <v>-1.2</v>
      </c>
      <c r="H152">
        <v>-0.1</v>
      </c>
      <c r="I152">
        <v>2210.6999999999998</v>
      </c>
      <c r="J152">
        <v>2795.2</v>
      </c>
      <c r="K152">
        <v>2.4</v>
      </c>
      <c r="L152" t="s">
        <v>333</v>
      </c>
    </row>
    <row r="153" spans="1:12" x14ac:dyDescent="0.25">
      <c r="A153" t="s">
        <v>805</v>
      </c>
      <c r="B153" t="s">
        <v>806</v>
      </c>
      <c r="C153" t="s">
        <v>504</v>
      </c>
      <c r="D153">
        <v>2050.4</v>
      </c>
      <c r="E153">
        <v>2111.6</v>
      </c>
      <c r="F153">
        <v>61.2</v>
      </c>
      <c r="G153">
        <v>3</v>
      </c>
      <c r="H153">
        <v>0.3</v>
      </c>
      <c r="I153">
        <v>380.8</v>
      </c>
      <c r="J153">
        <v>504.8</v>
      </c>
      <c r="K153">
        <v>2.9</v>
      </c>
    </row>
    <row r="154" spans="1:12" x14ac:dyDescent="0.25">
      <c r="A154" t="s">
        <v>807</v>
      </c>
      <c r="B154" t="s">
        <v>808</v>
      </c>
      <c r="C154" t="s">
        <v>507</v>
      </c>
      <c r="D154">
        <v>1287.3</v>
      </c>
      <c r="E154">
        <v>1322.5</v>
      </c>
      <c r="F154">
        <v>35.200000000000003</v>
      </c>
      <c r="G154">
        <v>2.7</v>
      </c>
      <c r="H154">
        <v>0.3</v>
      </c>
      <c r="I154" t="s">
        <v>508</v>
      </c>
      <c r="J154" t="s">
        <v>508</v>
      </c>
      <c r="K154" t="s">
        <v>508</v>
      </c>
    </row>
    <row r="155" spans="1:12" x14ac:dyDescent="0.25">
      <c r="A155" t="s">
        <v>809</v>
      </c>
      <c r="B155" t="s">
        <v>810</v>
      </c>
      <c r="C155" t="s">
        <v>507</v>
      </c>
      <c r="D155">
        <v>169</v>
      </c>
      <c r="E155">
        <v>177.4</v>
      </c>
      <c r="F155">
        <v>8.4</v>
      </c>
      <c r="G155">
        <v>5</v>
      </c>
      <c r="H155">
        <v>0.5</v>
      </c>
      <c r="I155" t="s">
        <v>508</v>
      </c>
      <c r="J155" t="s">
        <v>508</v>
      </c>
      <c r="K155" t="s">
        <v>508</v>
      </c>
    </row>
    <row r="156" spans="1:12" x14ac:dyDescent="0.25">
      <c r="A156" t="s">
        <v>811</v>
      </c>
      <c r="B156" t="s">
        <v>812</v>
      </c>
      <c r="C156" t="s">
        <v>507</v>
      </c>
      <c r="D156">
        <v>594.1</v>
      </c>
      <c r="E156">
        <v>611.70000000000005</v>
      </c>
      <c r="F156">
        <v>17.600000000000001</v>
      </c>
      <c r="G156">
        <v>3</v>
      </c>
      <c r="H156">
        <v>0.3</v>
      </c>
      <c r="I156" t="s">
        <v>508</v>
      </c>
      <c r="J156" t="s">
        <v>508</v>
      </c>
      <c r="K156" t="s">
        <v>508</v>
      </c>
    </row>
    <row r="157" spans="1:12" x14ac:dyDescent="0.25">
      <c r="A157" t="s">
        <v>813</v>
      </c>
      <c r="B157" t="s">
        <v>814</v>
      </c>
      <c r="C157" t="s">
        <v>504</v>
      </c>
      <c r="D157">
        <v>3224.5</v>
      </c>
      <c r="E157">
        <v>3189.7</v>
      </c>
      <c r="F157">
        <v>-34.799999999999997</v>
      </c>
      <c r="G157">
        <v>-1.1000000000000001</v>
      </c>
      <c r="H157">
        <v>-0.1</v>
      </c>
      <c r="I157">
        <v>265.5</v>
      </c>
      <c r="J157">
        <v>286.39999999999998</v>
      </c>
      <c r="K157">
        <v>0.8</v>
      </c>
    </row>
    <row r="158" spans="1:12" x14ac:dyDescent="0.25">
      <c r="A158" t="s">
        <v>815</v>
      </c>
      <c r="B158" t="s">
        <v>816</v>
      </c>
      <c r="C158" t="s">
        <v>507</v>
      </c>
      <c r="D158">
        <v>3052.4</v>
      </c>
      <c r="E158">
        <v>3021.6</v>
      </c>
      <c r="F158">
        <v>-30.8</v>
      </c>
      <c r="G158">
        <v>-1</v>
      </c>
      <c r="H158">
        <v>-0.1</v>
      </c>
      <c r="I158" t="s">
        <v>508</v>
      </c>
      <c r="J158" t="s">
        <v>508</v>
      </c>
      <c r="K158" t="s">
        <v>508</v>
      </c>
    </row>
    <row r="159" spans="1:12" x14ac:dyDescent="0.25">
      <c r="A159" t="s">
        <v>817</v>
      </c>
      <c r="B159" t="s">
        <v>818</v>
      </c>
      <c r="C159" t="s">
        <v>507</v>
      </c>
      <c r="D159">
        <v>172.1</v>
      </c>
      <c r="E159">
        <v>168.1</v>
      </c>
      <c r="F159">
        <v>-4</v>
      </c>
      <c r="G159">
        <v>-2.2999999999999998</v>
      </c>
      <c r="H159">
        <v>-0.2</v>
      </c>
      <c r="I159" t="s">
        <v>508</v>
      </c>
      <c r="J159" t="s">
        <v>508</v>
      </c>
      <c r="K159" t="s">
        <v>508</v>
      </c>
    </row>
    <row r="160" spans="1:12" x14ac:dyDescent="0.25">
      <c r="A160" t="s">
        <v>819</v>
      </c>
      <c r="B160" t="s">
        <v>820</v>
      </c>
      <c r="C160" t="s">
        <v>507</v>
      </c>
      <c r="D160">
        <v>3265.5</v>
      </c>
      <c r="E160">
        <v>3341</v>
      </c>
      <c r="F160">
        <v>75.5</v>
      </c>
      <c r="G160">
        <v>2.2999999999999998</v>
      </c>
      <c r="H160">
        <v>0.2</v>
      </c>
      <c r="I160">
        <v>252</v>
      </c>
      <c r="J160">
        <v>285</v>
      </c>
      <c r="K160">
        <v>1.2</v>
      </c>
    </row>
    <row r="161" spans="1:11" x14ac:dyDescent="0.25">
      <c r="A161" t="s">
        <v>821</v>
      </c>
      <c r="B161" t="s">
        <v>822</v>
      </c>
      <c r="C161" t="s">
        <v>504</v>
      </c>
      <c r="D161">
        <v>6991.6</v>
      </c>
      <c r="E161">
        <v>6707.7</v>
      </c>
      <c r="F161">
        <v>-283.89999999999998</v>
      </c>
      <c r="G161">
        <v>-4.0999999999999996</v>
      </c>
      <c r="H161">
        <v>-0.4</v>
      </c>
      <c r="I161">
        <v>1317</v>
      </c>
      <c r="J161">
        <v>1732.5</v>
      </c>
      <c r="K161">
        <v>2.8</v>
      </c>
    </row>
    <row r="162" spans="1:11" x14ac:dyDescent="0.25">
      <c r="A162" t="s">
        <v>823</v>
      </c>
      <c r="B162" t="s">
        <v>824</v>
      </c>
      <c r="C162" t="s">
        <v>504</v>
      </c>
      <c r="D162">
        <v>1398.9</v>
      </c>
      <c r="E162">
        <v>1427.4</v>
      </c>
      <c r="F162">
        <v>28.5</v>
      </c>
      <c r="G162">
        <v>2</v>
      </c>
      <c r="H162">
        <v>0.2</v>
      </c>
      <c r="I162" t="s">
        <v>508</v>
      </c>
      <c r="J162" t="s">
        <v>508</v>
      </c>
      <c r="K162" t="s">
        <v>508</v>
      </c>
    </row>
    <row r="163" spans="1:11" x14ac:dyDescent="0.25">
      <c r="A163" t="s">
        <v>825</v>
      </c>
      <c r="B163" t="s">
        <v>826</v>
      </c>
      <c r="C163" t="s">
        <v>507</v>
      </c>
      <c r="D163">
        <v>1212.0999999999999</v>
      </c>
      <c r="E163">
        <v>1236.2</v>
      </c>
      <c r="F163">
        <v>24.1</v>
      </c>
      <c r="G163">
        <v>2</v>
      </c>
      <c r="H163">
        <v>0.2</v>
      </c>
      <c r="I163" t="s">
        <v>508</v>
      </c>
      <c r="J163" t="s">
        <v>508</v>
      </c>
      <c r="K163" t="s">
        <v>508</v>
      </c>
    </row>
    <row r="164" spans="1:11" x14ac:dyDescent="0.25">
      <c r="A164" t="s">
        <v>827</v>
      </c>
      <c r="B164" t="s">
        <v>828</v>
      </c>
      <c r="C164" t="s">
        <v>507</v>
      </c>
      <c r="D164">
        <v>186.8</v>
      </c>
      <c r="E164">
        <v>191.2</v>
      </c>
      <c r="F164">
        <v>4.4000000000000004</v>
      </c>
      <c r="G164">
        <v>2.2999999999999998</v>
      </c>
      <c r="H164">
        <v>0.2</v>
      </c>
      <c r="I164" t="s">
        <v>508</v>
      </c>
      <c r="J164" t="s">
        <v>508</v>
      </c>
      <c r="K164" t="s">
        <v>508</v>
      </c>
    </row>
    <row r="165" spans="1:11" x14ac:dyDescent="0.25">
      <c r="A165" t="s">
        <v>829</v>
      </c>
      <c r="B165" t="s">
        <v>830</v>
      </c>
      <c r="C165" t="s">
        <v>504</v>
      </c>
      <c r="D165">
        <v>806.1</v>
      </c>
      <c r="E165">
        <v>771.4</v>
      </c>
      <c r="F165">
        <v>-34.700000000000003</v>
      </c>
      <c r="G165">
        <v>-4.3</v>
      </c>
      <c r="H165">
        <v>-0.4</v>
      </c>
      <c r="I165" t="s">
        <v>508</v>
      </c>
      <c r="J165" t="s">
        <v>508</v>
      </c>
      <c r="K165" t="s">
        <v>508</v>
      </c>
    </row>
    <row r="166" spans="1:11" x14ac:dyDescent="0.25">
      <c r="A166" t="s">
        <v>831</v>
      </c>
      <c r="B166" t="s">
        <v>832</v>
      </c>
      <c r="C166" t="s">
        <v>507</v>
      </c>
      <c r="D166">
        <v>409.1</v>
      </c>
      <c r="E166">
        <v>389</v>
      </c>
      <c r="F166">
        <v>-20.100000000000001</v>
      </c>
      <c r="G166">
        <v>-4.9000000000000004</v>
      </c>
      <c r="H166">
        <v>-0.5</v>
      </c>
      <c r="I166" t="s">
        <v>508</v>
      </c>
      <c r="J166" t="s">
        <v>508</v>
      </c>
      <c r="K166" t="s">
        <v>508</v>
      </c>
    </row>
    <row r="167" spans="1:11" x14ac:dyDescent="0.25">
      <c r="A167" t="s">
        <v>833</v>
      </c>
      <c r="B167" t="s">
        <v>834</v>
      </c>
      <c r="C167" t="s">
        <v>507</v>
      </c>
      <c r="D167">
        <v>397</v>
      </c>
      <c r="E167">
        <v>382.3</v>
      </c>
      <c r="F167">
        <v>-14.7</v>
      </c>
      <c r="G167">
        <v>-3.7</v>
      </c>
      <c r="H167">
        <v>-0.4</v>
      </c>
      <c r="I167" t="s">
        <v>508</v>
      </c>
      <c r="J167" t="s">
        <v>508</v>
      </c>
      <c r="K167" t="s">
        <v>508</v>
      </c>
    </row>
    <row r="168" spans="1:11" x14ac:dyDescent="0.25">
      <c r="A168" t="s">
        <v>835</v>
      </c>
      <c r="B168" t="s">
        <v>836</v>
      </c>
      <c r="C168" t="s">
        <v>504</v>
      </c>
      <c r="D168">
        <v>1088.9000000000001</v>
      </c>
      <c r="E168">
        <v>1097.4000000000001</v>
      </c>
      <c r="F168">
        <v>8.5</v>
      </c>
      <c r="G168">
        <v>0.8</v>
      </c>
      <c r="H168">
        <v>0.1</v>
      </c>
      <c r="I168" t="s">
        <v>508</v>
      </c>
      <c r="J168" t="s">
        <v>508</v>
      </c>
      <c r="K168" t="s">
        <v>508</v>
      </c>
    </row>
    <row r="169" spans="1:11" x14ac:dyDescent="0.25">
      <c r="A169" t="s">
        <v>837</v>
      </c>
      <c r="B169" t="s">
        <v>838</v>
      </c>
      <c r="C169" t="s">
        <v>504</v>
      </c>
      <c r="D169">
        <v>1088.9000000000001</v>
      </c>
      <c r="E169">
        <v>1097.4000000000001</v>
      </c>
      <c r="F169">
        <v>8.5</v>
      </c>
      <c r="G169">
        <v>0.8</v>
      </c>
      <c r="H169">
        <v>0.1</v>
      </c>
      <c r="I169" t="s">
        <v>508</v>
      </c>
      <c r="J169" t="s">
        <v>508</v>
      </c>
      <c r="K169" t="s">
        <v>508</v>
      </c>
    </row>
    <row r="170" spans="1:11" x14ac:dyDescent="0.25">
      <c r="A170" t="s">
        <v>839</v>
      </c>
      <c r="B170" t="s">
        <v>840</v>
      </c>
      <c r="C170" t="s">
        <v>507</v>
      </c>
      <c r="D170">
        <v>709.8</v>
      </c>
      <c r="E170">
        <v>698.3</v>
      </c>
      <c r="F170">
        <v>-11.5</v>
      </c>
      <c r="G170">
        <v>-1.6</v>
      </c>
      <c r="H170">
        <v>-0.2</v>
      </c>
      <c r="I170" t="s">
        <v>508</v>
      </c>
      <c r="J170" t="s">
        <v>508</v>
      </c>
      <c r="K170" t="s">
        <v>508</v>
      </c>
    </row>
    <row r="171" spans="1:11" x14ac:dyDescent="0.25">
      <c r="A171" t="s">
        <v>841</v>
      </c>
      <c r="B171" t="s">
        <v>842</v>
      </c>
      <c r="C171" t="s">
        <v>504</v>
      </c>
      <c r="D171">
        <v>1053.7</v>
      </c>
      <c r="E171">
        <v>908.9</v>
      </c>
      <c r="F171">
        <v>-144.80000000000001</v>
      </c>
      <c r="G171">
        <v>-13.7</v>
      </c>
      <c r="H171">
        <v>-1.5</v>
      </c>
      <c r="I171" t="s">
        <v>508</v>
      </c>
      <c r="J171" t="s">
        <v>508</v>
      </c>
      <c r="K171" t="s">
        <v>508</v>
      </c>
    </row>
    <row r="172" spans="1:11" x14ac:dyDescent="0.25">
      <c r="A172" t="s">
        <v>843</v>
      </c>
      <c r="B172" t="s">
        <v>844</v>
      </c>
      <c r="C172" t="s">
        <v>507</v>
      </c>
      <c r="D172">
        <v>983.4</v>
      </c>
      <c r="E172">
        <v>845.2</v>
      </c>
      <c r="F172">
        <v>-138.19999999999999</v>
      </c>
      <c r="G172">
        <v>-14.1</v>
      </c>
      <c r="H172">
        <v>-1.5</v>
      </c>
      <c r="I172" t="s">
        <v>508</v>
      </c>
      <c r="J172" t="s">
        <v>508</v>
      </c>
      <c r="K172" t="s">
        <v>508</v>
      </c>
    </row>
    <row r="173" spans="1:11" x14ac:dyDescent="0.25">
      <c r="A173" t="s">
        <v>845</v>
      </c>
      <c r="B173" t="s">
        <v>846</v>
      </c>
      <c r="C173" t="s">
        <v>507</v>
      </c>
      <c r="D173">
        <v>70.3</v>
      </c>
      <c r="E173">
        <v>63.7</v>
      </c>
      <c r="F173">
        <v>-6.6</v>
      </c>
      <c r="G173">
        <v>-9.4</v>
      </c>
      <c r="H173">
        <v>-1</v>
      </c>
      <c r="I173" t="s">
        <v>508</v>
      </c>
      <c r="J173" t="s">
        <v>508</v>
      </c>
      <c r="K173" t="s">
        <v>508</v>
      </c>
    </row>
    <row r="174" spans="1:11" x14ac:dyDescent="0.25">
      <c r="A174" t="s">
        <v>847</v>
      </c>
      <c r="B174" t="s">
        <v>848</v>
      </c>
      <c r="C174" t="s">
        <v>504</v>
      </c>
      <c r="D174">
        <v>1136.2</v>
      </c>
      <c r="E174">
        <v>1104.8</v>
      </c>
      <c r="F174">
        <v>-31.4</v>
      </c>
      <c r="G174">
        <v>-2.8</v>
      </c>
      <c r="H174">
        <v>-0.3</v>
      </c>
      <c r="I174" t="s">
        <v>508</v>
      </c>
      <c r="J174" t="s">
        <v>508</v>
      </c>
      <c r="K174" t="s">
        <v>508</v>
      </c>
    </row>
    <row r="175" spans="1:11" x14ac:dyDescent="0.25">
      <c r="A175" t="s">
        <v>849</v>
      </c>
      <c r="B175" t="s">
        <v>850</v>
      </c>
      <c r="C175" t="s">
        <v>507</v>
      </c>
      <c r="D175">
        <v>841.3</v>
      </c>
      <c r="E175">
        <v>824.4</v>
      </c>
      <c r="F175">
        <v>-16.899999999999999</v>
      </c>
      <c r="G175">
        <v>-2</v>
      </c>
      <c r="H175">
        <v>-0.2</v>
      </c>
      <c r="I175" t="s">
        <v>508</v>
      </c>
      <c r="J175" t="s">
        <v>508</v>
      </c>
      <c r="K175" t="s">
        <v>508</v>
      </c>
    </row>
    <row r="176" spans="1:11" x14ac:dyDescent="0.25">
      <c r="A176" t="s">
        <v>851</v>
      </c>
      <c r="B176" t="s">
        <v>852</v>
      </c>
      <c r="C176" t="s">
        <v>507</v>
      </c>
      <c r="D176">
        <v>169.9</v>
      </c>
      <c r="E176">
        <v>163</v>
      </c>
      <c r="F176">
        <v>-6.9</v>
      </c>
      <c r="G176">
        <v>-4.0999999999999996</v>
      </c>
      <c r="H176">
        <v>-0.4</v>
      </c>
      <c r="I176" t="s">
        <v>508</v>
      </c>
      <c r="J176" t="s">
        <v>508</v>
      </c>
      <c r="K176" t="s">
        <v>508</v>
      </c>
    </row>
    <row r="177" spans="1:12" x14ac:dyDescent="0.25">
      <c r="A177" t="s">
        <v>853</v>
      </c>
      <c r="B177" t="s">
        <v>854</v>
      </c>
      <c r="C177" t="s">
        <v>507</v>
      </c>
      <c r="D177">
        <v>125</v>
      </c>
      <c r="E177">
        <v>117.4</v>
      </c>
      <c r="F177">
        <v>-7.6</v>
      </c>
      <c r="G177">
        <v>-6.1</v>
      </c>
      <c r="H177">
        <v>-0.6</v>
      </c>
      <c r="I177" t="s">
        <v>508</v>
      </c>
      <c r="J177" t="s">
        <v>508</v>
      </c>
      <c r="K177" t="s">
        <v>508</v>
      </c>
    </row>
    <row r="178" spans="1:12" x14ac:dyDescent="0.25">
      <c r="A178" t="s">
        <v>855</v>
      </c>
      <c r="B178" t="s">
        <v>856</v>
      </c>
      <c r="C178" t="s">
        <v>504</v>
      </c>
      <c r="D178">
        <v>1507.8</v>
      </c>
      <c r="E178">
        <v>1397.9</v>
      </c>
      <c r="F178">
        <v>-109.9</v>
      </c>
      <c r="G178">
        <v>-7.3</v>
      </c>
      <c r="H178">
        <v>-0.8</v>
      </c>
      <c r="I178" t="s">
        <v>508</v>
      </c>
      <c r="J178" t="s">
        <v>508</v>
      </c>
      <c r="K178" t="s">
        <v>508</v>
      </c>
    </row>
    <row r="179" spans="1:12" x14ac:dyDescent="0.25">
      <c r="A179" t="s">
        <v>857</v>
      </c>
      <c r="B179" t="s">
        <v>858</v>
      </c>
      <c r="C179" t="s">
        <v>507</v>
      </c>
      <c r="D179">
        <v>299.2</v>
      </c>
      <c r="E179">
        <v>281.7</v>
      </c>
      <c r="F179">
        <v>-17.5</v>
      </c>
      <c r="G179">
        <v>-5.8</v>
      </c>
      <c r="H179">
        <v>-0.6</v>
      </c>
      <c r="I179" t="s">
        <v>508</v>
      </c>
      <c r="J179" t="s">
        <v>508</v>
      </c>
      <c r="K179" t="s">
        <v>508</v>
      </c>
    </row>
    <row r="180" spans="1:12" x14ac:dyDescent="0.25">
      <c r="A180" t="s">
        <v>859</v>
      </c>
      <c r="B180" t="s">
        <v>860</v>
      </c>
      <c r="C180" t="s">
        <v>507</v>
      </c>
      <c r="D180">
        <v>65.8</v>
      </c>
      <c r="E180">
        <v>57</v>
      </c>
      <c r="F180">
        <v>-8.8000000000000007</v>
      </c>
      <c r="G180">
        <v>-13.4</v>
      </c>
      <c r="H180">
        <v>-1.4</v>
      </c>
      <c r="I180" t="s">
        <v>508</v>
      </c>
      <c r="J180" t="s">
        <v>508</v>
      </c>
      <c r="K180" t="s">
        <v>508</v>
      </c>
    </row>
    <row r="181" spans="1:12" x14ac:dyDescent="0.25">
      <c r="A181" t="s">
        <v>861</v>
      </c>
      <c r="B181" t="s">
        <v>862</v>
      </c>
      <c r="C181" t="s">
        <v>507</v>
      </c>
      <c r="D181">
        <v>59</v>
      </c>
      <c r="E181">
        <v>53.7</v>
      </c>
      <c r="F181">
        <v>-5.3</v>
      </c>
      <c r="G181">
        <v>-9</v>
      </c>
      <c r="H181">
        <v>-0.9</v>
      </c>
      <c r="I181" t="s">
        <v>508</v>
      </c>
      <c r="J181" t="s">
        <v>508</v>
      </c>
      <c r="K181" t="s">
        <v>508</v>
      </c>
    </row>
    <row r="182" spans="1:12" x14ac:dyDescent="0.25">
      <c r="A182" t="s">
        <v>863</v>
      </c>
      <c r="B182" t="s">
        <v>864</v>
      </c>
      <c r="C182" t="s">
        <v>507</v>
      </c>
      <c r="D182">
        <v>406.4</v>
      </c>
      <c r="E182">
        <v>366.9</v>
      </c>
      <c r="F182">
        <v>-39.5</v>
      </c>
      <c r="G182">
        <v>-9.6999999999999993</v>
      </c>
      <c r="H182">
        <v>-1</v>
      </c>
      <c r="I182" t="s">
        <v>508</v>
      </c>
      <c r="J182" t="s">
        <v>508</v>
      </c>
      <c r="K182" t="s">
        <v>508</v>
      </c>
    </row>
    <row r="183" spans="1:12" x14ac:dyDescent="0.25">
      <c r="A183" t="s">
        <v>865</v>
      </c>
      <c r="B183" t="s">
        <v>866</v>
      </c>
      <c r="C183" t="s">
        <v>507</v>
      </c>
      <c r="D183">
        <v>487.7</v>
      </c>
      <c r="E183">
        <v>474.2</v>
      </c>
      <c r="F183">
        <v>-13.5</v>
      </c>
      <c r="G183">
        <v>-2.8</v>
      </c>
      <c r="H183">
        <v>-0.3</v>
      </c>
      <c r="I183" t="s">
        <v>508</v>
      </c>
      <c r="J183" t="s">
        <v>508</v>
      </c>
      <c r="K183" t="s">
        <v>508</v>
      </c>
    </row>
    <row r="184" spans="1:12" x14ac:dyDescent="0.25">
      <c r="A184" t="s">
        <v>867</v>
      </c>
      <c r="B184" t="s">
        <v>868</v>
      </c>
      <c r="C184" t="s">
        <v>504</v>
      </c>
      <c r="D184">
        <v>6654.5</v>
      </c>
      <c r="E184">
        <v>6853.3</v>
      </c>
      <c r="F184">
        <v>198.8</v>
      </c>
      <c r="G184">
        <v>3</v>
      </c>
      <c r="H184">
        <v>0.3</v>
      </c>
      <c r="I184">
        <v>1382</v>
      </c>
      <c r="J184">
        <v>1720.3</v>
      </c>
      <c r="K184">
        <v>2.2000000000000002</v>
      </c>
    </row>
    <row r="185" spans="1:12" x14ac:dyDescent="0.25">
      <c r="A185" t="s">
        <v>869</v>
      </c>
      <c r="B185" t="s">
        <v>870</v>
      </c>
      <c r="C185" t="s">
        <v>504</v>
      </c>
      <c r="D185">
        <v>564.4</v>
      </c>
      <c r="E185">
        <v>589.9</v>
      </c>
      <c r="F185">
        <v>25.5</v>
      </c>
      <c r="G185">
        <v>4.5</v>
      </c>
      <c r="H185">
        <v>0.4</v>
      </c>
      <c r="I185">
        <v>281.60000000000002</v>
      </c>
      <c r="J185">
        <v>353.6</v>
      </c>
      <c r="K185">
        <v>2.2999999999999998</v>
      </c>
      <c r="L185" t="s">
        <v>357</v>
      </c>
    </row>
    <row r="186" spans="1:12" x14ac:dyDescent="0.25">
      <c r="A186" t="s">
        <v>871</v>
      </c>
      <c r="B186" t="s">
        <v>872</v>
      </c>
      <c r="C186" t="s">
        <v>507</v>
      </c>
      <c r="D186">
        <v>504.5</v>
      </c>
      <c r="E186">
        <v>526.4</v>
      </c>
      <c r="F186">
        <v>21.9</v>
      </c>
      <c r="G186">
        <v>4.3</v>
      </c>
      <c r="H186">
        <v>0.4</v>
      </c>
      <c r="I186" t="s">
        <v>508</v>
      </c>
      <c r="J186" t="s">
        <v>508</v>
      </c>
      <c r="K186" t="s">
        <v>508</v>
      </c>
    </row>
    <row r="187" spans="1:12" x14ac:dyDescent="0.25">
      <c r="A187" t="s">
        <v>873</v>
      </c>
      <c r="B187" t="s">
        <v>874</v>
      </c>
      <c r="C187" t="s">
        <v>507</v>
      </c>
      <c r="D187">
        <v>59.9</v>
      </c>
      <c r="E187">
        <v>63.4</v>
      </c>
      <c r="F187">
        <v>3.5</v>
      </c>
      <c r="G187">
        <v>5.9</v>
      </c>
      <c r="H187">
        <v>0.6</v>
      </c>
      <c r="I187" t="s">
        <v>508</v>
      </c>
      <c r="J187" t="s">
        <v>508</v>
      </c>
      <c r="K187" t="s">
        <v>508</v>
      </c>
    </row>
    <row r="188" spans="1:12" x14ac:dyDescent="0.25">
      <c r="A188" t="s">
        <v>875</v>
      </c>
      <c r="B188" t="s">
        <v>876</v>
      </c>
      <c r="C188" t="s">
        <v>507</v>
      </c>
      <c r="D188">
        <v>156.4</v>
      </c>
      <c r="E188">
        <v>157.1</v>
      </c>
      <c r="F188">
        <v>0.7</v>
      </c>
      <c r="G188">
        <v>0.4</v>
      </c>
      <c r="H188">
        <v>0</v>
      </c>
      <c r="I188">
        <v>71.5</v>
      </c>
      <c r="J188">
        <v>81.2</v>
      </c>
      <c r="K188">
        <v>1.3</v>
      </c>
      <c r="L188" t="s">
        <v>359</v>
      </c>
    </row>
    <row r="189" spans="1:12" x14ac:dyDescent="0.25">
      <c r="A189" t="s">
        <v>877</v>
      </c>
      <c r="B189" t="s">
        <v>878</v>
      </c>
      <c r="C189" t="s">
        <v>504</v>
      </c>
      <c r="D189">
        <v>70</v>
      </c>
      <c r="E189">
        <v>71.400000000000006</v>
      </c>
      <c r="F189">
        <v>1.4</v>
      </c>
      <c r="G189">
        <v>2</v>
      </c>
      <c r="H189">
        <v>0.2</v>
      </c>
      <c r="I189">
        <v>55.6</v>
      </c>
      <c r="J189">
        <v>68.5</v>
      </c>
      <c r="K189">
        <v>2.1</v>
      </c>
      <c r="L189" t="s">
        <v>361</v>
      </c>
    </row>
    <row r="190" spans="1:12" x14ac:dyDescent="0.25">
      <c r="A190" t="s">
        <v>879</v>
      </c>
      <c r="B190" t="s">
        <v>880</v>
      </c>
      <c r="C190" t="s">
        <v>507</v>
      </c>
      <c r="D190">
        <v>41.5</v>
      </c>
      <c r="E190">
        <v>42.3</v>
      </c>
      <c r="F190">
        <v>0.8</v>
      </c>
      <c r="G190">
        <v>2</v>
      </c>
      <c r="H190">
        <v>0.2</v>
      </c>
      <c r="I190" t="s">
        <v>508</v>
      </c>
      <c r="J190" t="s">
        <v>508</v>
      </c>
      <c r="K190" t="s">
        <v>508</v>
      </c>
    </row>
    <row r="191" spans="1:12" x14ac:dyDescent="0.25">
      <c r="A191" t="s">
        <v>881</v>
      </c>
      <c r="B191" t="s">
        <v>882</v>
      </c>
      <c r="C191" t="s">
        <v>507</v>
      </c>
      <c r="D191">
        <v>28.5</v>
      </c>
      <c r="E191">
        <v>29</v>
      </c>
      <c r="F191">
        <v>0.5</v>
      </c>
      <c r="G191">
        <v>1.9</v>
      </c>
      <c r="H191">
        <v>0.2</v>
      </c>
      <c r="I191" t="s">
        <v>508</v>
      </c>
      <c r="J191" t="s">
        <v>508</v>
      </c>
      <c r="K191" t="s">
        <v>508</v>
      </c>
    </row>
    <row r="192" spans="1:12" x14ac:dyDescent="0.25">
      <c r="A192" t="s">
        <v>883</v>
      </c>
      <c r="B192" t="s">
        <v>884</v>
      </c>
      <c r="C192" t="s">
        <v>507</v>
      </c>
      <c r="D192">
        <v>1522.1</v>
      </c>
      <c r="E192">
        <v>1543.1</v>
      </c>
      <c r="F192">
        <v>21</v>
      </c>
      <c r="G192">
        <v>1.4</v>
      </c>
      <c r="H192">
        <v>0.1</v>
      </c>
      <c r="I192">
        <v>391.5</v>
      </c>
      <c r="J192">
        <v>487.1</v>
      </c>
      <c r="K192">
        <v>2.2000000000000002</v>
      </c>
      <c r="L192" t="s">
        <v>359</v>
      </c>
    </row>
    <row r="193" spans="1:12" x14ac:dyDescent="0.25">
      <c r="A193" t="s">
        <v>885</v>
      </c>
      <c r="B193" t="s">
        <v>886</v>
      </c>
      <c r="C193" t="s">
        <v>504</v>
      </c>
      <c r="D193">
        <v>472.6</v>
      </c>
      <c r="E193">
        <v>488.6</v>
      </c>
      <c r="F193">
        <v>16</v>
      </c>
      <c r="G193">
        <v>3.4</v>
      </c>
      <c r="H193">
        <v>0.3</v>
      </c>
      <c r="I193">
        <v>157.80000000000001</v>
      </c>
      <c r="J193">
        <v>178.6</v>
      </c>
      <c r="K193">
        <v>1.2</v>
      </c>
      <c r="L193" t="s">
        <v>359</v>
      </c>
    </row>
    <row r="194" spans="1:12" x14ac:dyDescent="0.25">
      <c r="A194" t="s">
        <v>887</v>
      </c>
      <c r="B194" t="s">
        <v>888</v>
      </c>
      <c r="C194" t="s">
        <v>507</v>
      </c>
      <c r="D194">
        <v>48</v>
      </c>
      <c r="E194">
        <v>49.8</v>
      </c>
      <c r="F194">
        <v>1.9</v>
      </c>
      <c r="G194">
        <v>3.9</v>
      </c>
      <c r="H194">
        <v>0.4</v>
      </c>
      <c r="I194" t="s">
        <v>508</v>
      </c>
      <c r="J194" t="s">
        <v>508</v>
      </c>
      <c r="K194" t="s">
        <v>508</v>
      </c>
    </row>
    <row r="195" spans="1:12" x14ac:dyDescent="0.25">
      <c r="A195" t="s">
        <v>889</v>
      </c>
      <c r="B195" t="s">
        <v>890</v>
      </c>
      <c r="C195" t="s">
        <v>507</v>
      </c>
      <c r="D195">
        <v>16.2</v>
      </c>
      <c r="E195">
        <v>16.600000000000001</v>
      </c>
      <c r="F195">
        <v>0.5</v>
      </c>
      <c r="G195">
        <v>2.8</v>
      </c>
      <c r="H195">
        <v>0.2</v>
      </c>
      <c r="I195" t="s">
        <v>508</v>
      </c>
      <c r="J195" t="s">
        <v>508</v>
      </c>
      <c r="K195" t="s">
        <v>508</v>
      </c>
    </row>
    <row r="196" spans="1:12" x14ac:dyDescent="0.25">
      <c r="A196" t="s">
        <v>891</v>
      </c>
      <c r="B196" t="s">
        <v>892</v>
      </c>
      <c r="C196" t="s">
        <v>507</v>
      </c>
      <c r="D196">
        <v>71.2</v>
      </c>
      <c r="E196">
        <v>67.900000000000006</v>
      </c>
      <c r="F196">
        <v>-3.3</v>
      </c>
      <c r="G196">
        <v>-4.5999999999999996</v>
      </c>
      <c r="H196">
        <v>-0.5</v>
      </c>
      <c r="I196" t="s">
        <v>508</v>
      </c>
      <c r="J196" t="s">
        <v>508</v>
      </c>
      <c r="K196" t="s">
        <v>508</v>
      </c>
    </row>
    <row r="197" spans="1:12" x14ac:dyDescent="0.25">
      <c r="A197" t="s">
        <v>893</v>
      </c>
      <c r="B197" t="s">
        <v>894</v>
      </c>
      <c r="C197" t="s">
        <v>507</v>
      </c>
      <c r="D197">
        <v>203</v>
      </c>
      <c r="E197">
        <v>208.4</v>
      </c>
      <c r="F197">
        <v>5.4</v>
      </c>
      <c r="G197">
        <v>2.7</v>
      </c>
      <c r="H197">
        <v>0.3</v>
      </c>
      <c r="I197" t="s">
        <v>508</v>
      </c>
      <c r="J197" t="s">
        <v>508</v>
      </c>
      <c r="K197" t="s">
        <v>508</v>
      </c>
    </row>
    <row r="198" spans="1:12" x14ac:dyDescent="0.25">
      <c r="A198" t="s">
        <v>895</v>
      </c>
      <c r="B198" t="s">
        <v>896</v>
      </c>
      <c r="C198" t="s">
        <v>507</v>
      </c>
      <c r="D198">
        <v>24.1</v>
      </c>
      <c r="E198">
        <v>24.9</v>
      </c>
      <c r="F198">
        <v>0.9</v>
      </c>
      <c r="G198">
        <v>3.5</v>
      </c>
      <c r="H198">
        <v>0.3</v>
      </c>
      <c r="I198" t="s">
        <v>508</v>
      </c>
      <c r="J198" t="s">
        <v>508</v>
      </c>
      <c r="K198" t="s">
        <v>508</v>
      </c>
    </row>
    <row r="199" spans="1:12" x14ac:dyDescent="0.25">
      <c r="A199" t="s">
        <v>897</v>
      </c>
      <c r="B199" t="s">
        <v>898</v>
      </c>
      <c r="C199" t="s">
        <v>507</v>
      </c>
      <c r="D199">
        <v>110.2</v>
      </c>
      <c r="E199">
        <v>120.9</v>
      </c>
      <c r="F199">
        <v>10.7</v>
      </c>
      <c r="G199">
        <v>9.6999999999999993</v>
      </c>
      <c r="H199">
        <v>0.9</v>
      </c>
      <c r="I199" t="s">
        <v>508</v>
      </c>
      <c r="J199" t="s">
        <v>508</v>
      </c>
      <c r="K199" t="s">
        <v>508</v>
      </c>
    </row>
    <row r="200" spans="1:12" x14ac:dyDescent="0.25">
      <c r="A200" t="s">
        <v>899</v>
      </c>
      <c r="B200" t="s">
        <v>900</v>
      </c>
      <c r="C200" t="s">
        <v>504</v>
      </c>
      <c r="D200">
        <v>55.4</v>
      </c>
      <c r="E200">
        <v>57.9</v>
      </c>
      <c r="F200">
        <v>2.5</v>
      </c>
      <c r="G200">
        <v>4.4000000000000004</v>
      </c>
      <c r="H200">
        <v>0.4</v>
      </c>
      <c r="I200">
        <v>52.8</v>
      </c>
      <c r="J200">
        <v>62.5</v>
      </c>
      <c r="K200">
        <v>1.7</v>
      </c>
      <c r="L200" t="s">
        <v>359</v>
      </c>
    </row>
    <row r="201" spans="1:12" x14ac:dyDescent="0.25">
      <c r="A201" t="s">
        <v>901</v>
      </c>
      <c r="B201" t="s">
        <v>902</v>
      </c>
      <c r="C201" t="s">
        <v>507</v>
      </c>
      <c r="D201">
        <v>12.6</v>
      </c>
      <c r="E201">
        <v>13</v>
      </c>
      <c r="F201">
        <v>0.4</v>
      </c>
      <c r="G201">
        <v>3.2</v>
      </c>
      <c r="H201">
        <v>0.3</v>
      </c>
      <c r="I201" t="s">
        <v>508</v>
      </c>
      <c r="J201" t="s">
        <v>508</v>
      </c>
      <c r="K201" t="s">
        <v>508</v>
      </c>
    </row>
    <row r="202" spans="1:12" x14ac:dyDescent="0.25">
      <c r="A202" t="s">
        <v>903</v>
      </c>
      <c r="B202" t="s">
        <v>904</v>
      </c>
      <c r="C202" t="s">
        <v>507</v>
      </c>
      <c r="D202">
        <v>35.200000000000003</v>
      </c>
      <c r="E202">
        <v>37.1</v>
      </c>
      <c r="F202">
        <v>1.9</v>
      </c>
      <c r="G202">
        <v>5.5</v>
      </c>
      <c r="H202">
        <v>0.5</v>
      </c>
      <c r="I202" t="s">
        <v>508</v>
      </c>
      <c r="J202" t="s">
        <v>508</v>
      </c>
      <c r="K202" t="s">
        <v>508</v>
      </c>
    </row>
    <row r="203" spans="1:12" x14ac:dyDescent="0.25">
      <c r="A203" t="s">
        <v>905</v>
      </c>
      <c r="B203" t="s">
        <v>906</v>
      </c>
      <c r="C203" t="s">
        <v>507</v>
      </c>
      <c r="D203">
        <v>7.6</v>
      </c>
      <c r="E203">
        <v>7.8</v>
      </c>
      <c r="F203">
        <v>0.1</v>
      </c>
      <c r="G203">
        <v>1.5</v>
      </c>
      <c r="H203">
        <v>0.3</v>
      </c>
      <c r="I203" t="s">
        <v>508</v>
      </c>
      <c r="J203" t="s">
        <v>508</v>
      </c>
      <c r="K203" t="s">
        <v>508</v>
      </c>
    </row>
    <row r="204" spans="1:12" x14ac:dyDescent="0.25">
      <c r="A204" t="s">
        <v>907</v>
      </c>
      <c r="B204" t="s">
        <v>908</v>
      </c>
      <c r="C204" t="s">
        <v>504</v>
      </c>
      <c r="D204">
        <v>868.1</v>
      </c>
      <c r="E204">
        <v>914.9</v>
      </c>
      <c r="F204">
        <v>46.8</v>
      </c>
      <c r="G204">
        <v>5.4</v>
      </c>
      <c r="H204">
        <v>0.5</v>
      </c>
      <c r="I204">
        <v>165.5</v>
      </c>
      <c r="J204">
        <v>218.6</v>
      </c>
      <c r="K204">
        <v>2.8</v>
      </c>
      <c r="L204" t="s">
        <v>366</v>
      </c>
    </row>
    <row r="205" spans="1:12" x14ac:dyDescent="0.25">
      <c r="A205" t="s">
        <v>909</v>
      </c>
      <c r="B205" t="s">
        <v>910</v>
      </c>
      <c r="C205" t="s">
        <v>504</v>
      </c>
      <c r="D205">
        <v>31.1</v>
      </c>
      <c r="E205">
        <v>31.6</v>
      </c>
      <c r="F205">
        <v>0.5</v>
      </c>
      <c r="G205">
        <v>1.5</v>
      </c>
      <c r="H205">
        <v>0.2</v>
      </c>
      <c r="I205" t="s">
        <v>508</v>
      </c>
      <c r="J205" t="s">
        <v>508</v>
      </c>
      <c r="K205" t="s">
        <v>508</v>
      </c>
    </row>
    <row r="206" spans="1:12" x14ac:dyDescent="0.25">
      <c r="A206" t="s">
        <v>911</v>
      </c>
      <c r="B206" t="s">
        <v>912</v>
      </c>
      <c r="C206" t="s">
        <v>507</v>
      </c>
      <c r="D206">
        <v>10.8</v>
      </c>
      <c r="E206">
        <v>11</v>
      </c>
      <c r="F206">
        <v>0.2</v>
      </c>
      <c r="G206">
        <v>2</v>
      </c>
      <c r="H206">
        <v>0.2</v>
      </c>
      <c r="I206" t="s">
        <v>508</v>
      </c>
      <c r="J206" t="s">
        <v>508</v>
      </c>
      <c r="K206" t="s">
        <v>508</v>
      </c>
    </row>
    <row r="207" spans="1:12" x14ac:dyDescent="0.25">
      <c r="A207" t="s">
        <v>913</v>
      </c>
      <c r="B207" t="s">
        <v>914</v>
      </c>
      <c r="C207" t="s">
        <v>507</v>
      </c>
      <c r="D207">
        <v>17.600000000000001</v>
      </c>
      <c r="E207">
        <v>17.7</v>
      </c>
      <c r="F207">
        <v>0.2</v>
      </c>
      <c r="G207">
        <v>0.9</v>
      </c>
      <c r="H207">
        <v>0.1</v>
      </c>
      <c r="I207" t="s">
        <v>508</v>
      </c>
      <c r="J207" t="s">
        <v>508</v>
      </c>
      <c r="K207" t="s">
        <v>508</v>
      </c>
    </row>
    <row r="208" spans="1:12" x14ac:dyDescent="0.25">
      <c r="A208" t="s">
        <v>915</v>
      </c>
      <c r="B208" t="s">
        <v>916</v>
      </c>
      <c r="C208" t="s">
        <v>507</v>
      </c>
      <c r="D208">
        <v>2.8</v>
      </c>
      <c r="E208">
        <v>2.8</v>
      </c>
      <c r="F208">
        <v>0.1</v>
      </c>
      <c r="G208">
        <v>2.8</v>
      </c>
      <c r="H208">
        <v>0</v>
      </c>
      <c r="I208" t="s">
        <v>508</v>
      </c>
      <c r="J208" t="s">
        <v>508</v>
      </c>
      <c r="K208" t="s">
        <v>508</v>
      </c>
    </row>
    <row r="209" spans="1:12" x14ac:dyDescent="0.25">
      <c r="A209" t="s">
        <v>917</v>
      </c>
      <c r="B209" t="s">
        <v>918</v>
      </c>
      <c r="C209" t="s">
        <v>504</v>
      </c>
      <c r="D209">
        <v>837</v>
      </c>
      <c r="E209">
        <v>883.3</v>
      </c>
      <c r="F209">
        <v>46.3</v>
      </c>
      <c r="G209">
        <v>5.5</v>
      </c>
      <c r="H209">
        <v>0.5</v>
      </c>
      <c r="I209" t="s">
        <v>508</v>
      </c>
      <c r="J209" t="s">
        <v>508</v>
      </c>
      <c r="K209" t="s">
        <v>508</v>
      </c>
    </row>
    <row r="210" spans="1:12" x14ac:dyDescent="0.25">
      <c r="A210" t="s">
        <v>919</v>
      </c>
      <c r="B210" t="s">
        <v>920</v>
      </c>
      <c r="C210" t="s">
        <v>507</v>
      </c>
      <c r="D210">
        <v>272.3</v>
      </c>
      <c r="E210">
        <v>283.60000000000002</v>
      </c>
      <c r="F210">
        <v>11.3</v>
      </c>
      <c r="G210">
        <v>4.2</v>
      </c>
      <c r="H210">
        <v>0.4</v>
      </c>
      <c r="I210" t="s">
        <v>508</v>
      </c>
      <c r="J210" t="s">
        <v>508</v>
      </c>
      <c r="K210" t="s">
        <v>508</v>
      </c>
    </row>
    <row r="211" spans="1:12" x14ac:dyDescent="0.25">
      <c r="A211" t="s">
        <v>921</v>
      </c>
      <c r="B211" t="s">
        <v>922</v>
      </c>
      <c r="C211" t="s">
        <v>507</v>
      </c>
      <c r="D211">
        <v>43.6</v>
      </c>
      <c r="E211">
        <v>43.9</v>
      </c>
      <c r="F211">
        <v>0.3</v>
      </c>
      <c r="G211">
        <v>0.7</v>
      </c>
      <c r="H211">
        <v>0.1</v>
      </c>
      <c r="I211" t="s">
        <v>508</v>
      </c>
      <c r="J211" t="s">
        <v>508</v>
      </c>
      <c r="K211" t="s">
        <v>508</v>
      </c>
    </row>
    <row r="212" spans="1:12" x14ac:dyDescent="0.25">
      <c r="A212" t="s">
        <v>923</v>
      </c>
      <c r="B212" t="s">
        <v>924</v>
      </c>
      <c r="C212" t="s">
        <v>507</v>
      </c>
      <c r="D212">
        <v>97.6</v>
      </c>
      <c r="E212">
        <v>99.7</v>
      </c>
      <c r="F212">
        <v>2.1</v>
      </c>
      <c r="G212">
        <v>2.2000000000000002</v>
      </c>
      <c r="H212">
        <v>0.2</v>
      </c>
      <c r="I212" t="s">
        <v>508</v>
      </c>
      <c r="J212" t="s">
        <v>508</v>
      </c>
      <c r="K212" t="s">
        <v>508</v>
      </c>
    </row>
    <row r="213" spans="1:12" x14ac:dyDescent="0.25">
      <c r="A213" t="s">
        <v>925</v>
      </c>
      <c r="B213" t="s">
        <v>926</v>
      </c>
      <c r="C213" t="s">
        <v>507</v>
      </c>
      <c r="D213">
        <v>114.7</v>
      </c>
      <c r="E213">
        <v>118.9</v>
      </c>
      <c r="F213">
        <v>4.2</v>
      </c>
      <c r="G213">
        <v>3.7</v>
      </c>
      <c r="H213">
        <v>0.4</v>
      </c>
      <c r="I213" t="s">
        <v>508</v>
      </c>
      <c r="J213" t="s">
        <v>508</v>
      </c>
      <c r="K213" t="s">
        <v>508</v>
      </c>
    </row>
    <row r="214" spans="1:12" x14ac:dyDescent="0.25">
      <c r="A214" t="s">
        <v>927</v>
      </c>
      <c r="B214" t="s">
        <v>928</v>
      </c>
      <c r="C214" t="s">
        <v>507</v>
      </c>
      <c r="D214">
        <v>266.10000000000002</v>
      </c>
      <c r="E214">
        <v>292.8</v>
      </c>
      <c r="F214">
        <v>26.7</v>
      </c>
      <c r="G214">
        <v>10</v>
      </c>
      <c r="H214">
        <v>1</v>
      </c>
      <c r="I214" t="s">
        <v>508</v>
      </c>
      <c r="J214" t="s">
        <v>508</v>
      </c>
      <c r="K214" t="s">
        <v>508</v>
      </c>
    </row>
    <row r="215" spans="1:12" x14ac:dyDescent="0.25">
      <c r="A215" t="s">
        <v>929</v>
      </c>
      <c r="B215" t="s">
        <v>930</v>
      </c>
      <c r="C215" t="s">
        <v>507</v>
      </c>
      <c r="D215">
        <v>42.7</v>
      </c>
      <c r="E215">
        <v>44.4</v>
      </c>
      <c r="F215">
        <v>1.7</v>
      </c>
      <c r="G215">
        <v>3.9</v>
      </c>
      <c r="H215">
        <v>0.4</v>
      </c>
      <c r="I215" t="s">
        <v>508</v>
      </c>
      <c r="J215" t="s">
        <v>508</v>
      </c>
      <c r="K215" t="s">
        <v>508</v>
      </c>
    </row>
    <row r="216" spans="1:12" x14ac:dyDescent="0.25">
      <c r="A216" t="s">
        <v>931</v>
      </c>
      <c r="B216" t="s">
        <v>932</v>
      </c>
      <c r="C216" t="s">
        <v>504</v>
      </c>
      <c r="D216">
        <v>1096.4000000000001</v>
      </c>
      <c r="E216">
        <v>1155.4000000000001</v>
      </c>
      <c r="F216">
        <v>59</v>
      </c>
      <c r="G216">
        <v>5.4</v>
      </c>
      <c r="H216">
        <v>0.5</v>
      </c>
      <c r="I216">
        <v>96.4</v>
      </c>
      <c r="J216">
        <v>126.7</v>
      </c>
      <c r="K216">
        <v>2.8</v>
      </c>
      <c r="L216" t="s">
        <v>368</v>
      </c>
    </row>
    <row r="217" spans="1:12" x14ac:dyDescent="0.25">
      <c r="A217" t="s">
        <v>933</v>
      </c>
      <c r="B217" t="s">
        <v>934</v>
      </c>
      <c r="C217" t="s">
        <v>507</v>
      </c>
      <c r="D217">
        <v>909.8</v>
      </c>
      <c r="E217">
        <v>953.2</v>
      </c>
      <c r="F217">
        <v>43.4</v>
      </c>
      <c r="G217">
        <v>4.8</v>
      </c>
      <c r="H217">
        <v>0.5</v>
      </c>
      <c r="I217" t="s">
        <v>508</v>
      </c>
      <c r="J217" t="s">
        <v>508</v>
      </c>
      <c r="K217" t="s">
        <v>508</v>
      </c>
    </row>
    <row r="218" spans="1:12" x14ac:dyDescent="0.25">
      <c r="A218" t="s">
        <v>935</v>
      </c>
      <c r="B218" t="s">
        <v>936</v>
      </c>
      <c r="C218" t="s">
        <v>507</v>
      </c>
      <c r="D218">
        <v>186.6</v>
      </c>
      <c r="E218">
        <v>202.2</v>
      </c>
      <c r="F218">
        <v>15.6</v>
      </c>
      <c r="G218">
        <v>8.4</v>
      </c>
      <c r="H218">
        <v>0.8</v>
      </c>
      <c r="I218" t="s">
        <v>508</v>
      </c>
      <c r="J218" t="s">
        <v>508</v>
      </c>
      <c r="K218" t="s">
        <v>508</v>
      </c>
    </row>
    <row r="219" spans="1:12" x14ac:dyDescent="0.25">
      <c r="A219" t="s">
        <v>937</v>
      </c>
      <c r="B219" t="s">
        <v>938</v>
      </c>
      <c r="C219" t="s">
        <v>507</v>
      </c>
      <c r="D219">
        <v>1849.1</v>
      </c>
      <c r="E219">
        <v>1875.1</v>
      </c>
      <c r="F219">
        <v>26</v>
      </c>
      <c r="G219">
        <v>1.4</v>
      </c>
      <c r="H219">
        <v>0.1</v>
      </c>
      <c r="I219">
        <v>134.69999999999999</v>
      </c>
      <c r="J219">
        <v>169.7</v>
      </c>
      <c r="K219">
        <v>2.2999999999999998</v>
      </c>
      <c r="L219" t="s">
        <v>366</v>
      </c>
    </row>
    <row r="220" spans="1:12" x14ac:dyDescent="0.25">
      <c r="A220" t="s">
        <v>939</v>
      </c>
      <c r="B220" t="s">
        <v>940</v>
      </c>
      <c r="C220" t="s">
        <v>504</v>
      </c>
      <c r="D220">
        <v>2942.8</v>
      </c>
      <c r="E220">
        <v>3135.1</v>
      </c>
      <c r="F220">
        <v>192.3</v>
      </c>
      <c r="G220">
        <v>6.5</v>
      </c>
      <c r="H220">
        <v>0.6</v>
      </c>
      <c r="I220">
        <v>2565.5</v>
      </c>
      <c r="J220">
        <v>3565.6</v>
      </c>
      <c r="K220">
        <v>3.3</v>
      </c>
    </row>
    <row r="221" spans="1:12" x14ac:dyDescent="0.25">
      <c r="A221" t="s">
        <v>941</v>
      </c>
      <c r="B221" t="s">
        <v>942</v>
      </c>
      <c r="C221" t="s">
        <v>504</v>
      </c>
      <c r="D221">
        <v>400.7</v>
      </c>
      <c r="E221">
        <v>421.9</v>
      </c>
      <c r="F221">
        <v>21.2</v>
      </c>
      <c r="G221">
        <v>5.3</v>
      </c>
      <c r="H221">
        <v>0.5</v>
      </c>
      <c r="I221">
        <v>190</v>
      </c>
      <c r="J221">
        <v>249.7</v>
      </c>
      <c r="K221">
        <v>2.8</v>
      </c>
      <c r="L221" t="s">
        <v>371</v>
      </c>
    </row>
    <row r="222" spans="1:12" x14ac:dyDescent="0.25">
      <c r="A222" t="s">
        <v>943</v>
      </c>
      <c r="B222" t="s">
        <v>944</v>
      </c>
      <c r="C222" t="s">
        <v>504</v>
      </c>
      <c r="D222">
        <v>378.1</v>
      </c>
      <c r="E222">
        <v>398.5</v>
      </c>
      <c r="F222">
        <v>20.399999999999999</v>
      </c>
      <c r="G222">
        <v>5.4</v>
      </c>
      <c r="H222">
        <v>0.5</v>
      </c>
      <c r="I222">
        <v>159.1</v>
      </c>
      <c r="J222">
        <v>205.8</v>
      </c>
      <c r="K222">
        <v>2.6</v>
      </c>
    </row>
    <row r="223" spans="1:12" x14ac:dyDescent="0.25">
      <c r="A223" t="s">
        <v>945</v>
      </c>
      <c r="B223" t="s">
        <v>946</v>
      </c>
      <c r="C223" t="s">
        <v>507</v>
      </c>
      <c r="D223">
        <v>118.5</v>
      </c>
      <c r="E223">
        <v>120.3</v>
      </c>
      <c r="F223">
        <v>1.8</v>
      </c>
      <c r="G223">
        <v>1.6</v>
      </c>
      <c r="H223">
        <v>0.2</v>
      </c>
      <c r="I223" t="s">
        <v>508</v>
      </c>
      <c r="J223" t="s">
        <v>508</v>
      </c>
      <c r="K223" t="s">
        <v>508</v>
      </c>
    </row>
    <row r="224" spans="1:12" x14ac:dyDescent="0.25">
      <c r="A224" t="s">
        <v>947</v>
      </c>
      <c r="B224" t="s">
        <v>948</v>
      </c>
      <c r="C224" t="s">
        <v>507</v>
      </c>
      <c r="D224">
        <v>22.6</v>
      </c>
      <c r="E224">
        <v>23.4</v>
      </c>
      <c r="F224">
        <v>0.8</v>
      </c>
      <c r="G224">
        <v>3.4</v>
      </c>
      <c r="H224">
        <v>0.3</v>
      </c>
      <c r="I224">
        <v>31.4</v>
      </c>
      <c r="J224">
        <v>45.1</v>
      </c>
      <c r="K224">
        <v>3.7</v>
      </c>
    </row>
    <row r="225" spans="1:12" x14ac:dyDescent="0.25">
      <c r="A225" t="s">
        <v>949</v>
      </c>
      <c r="B225" t="s">
        <v>950</v>
      </c>
      <c r="C225" t="s">
        <v>504</v>
      </c>
      <c r="D225">
        <v>2542.1</v>
      </c>
      <c r="E225">
        <v>2713.3</v>
      </c>
      <c r="F225">
        <v>171.2</v>
      </c>
      <c r="G225">
        <v>6.7</v>
      </c>
      <c r="H225">
        <v>0.7</v>
      </c>
      <c r="I225">
        <v>2375.8000000000002</v>
      </c>
      <c r="J225">
        <v>3317.5</v>
      </c>
      <c r="K225">
        <v>3.4</v>
      </c>
    </row>
    <row r="226" spans="1:12" x14ac:dyDescent="0.25">
      <c r="A226" t="s">
        <v>951</v>
      </c>
      <c r="B226" t="s">
        <v>952</v>
      </c>
      <c r="C226" t="s">
        <v>507</v>
      </c>
      <c r="D226">
        <v>645.70000000000005</v>
      </c>
      <c r="E226">
        <v>770.3</v>
      </c>
      <c r="F226">
        <v>124.6</v>
      </c>
      <c r="G226">
        <v>19.3</v>
      </c>
      <c r="H226">
        <v>1.8</v>
      </c>
      <c r="I226">
        <v>552.20000000000005</v>
      </c>
      <c r="J226">
        <v>896.1</v>
      </c>
      <c r="K226">
        <v>5</v>
      </c>
      <c r="L226" t="s">
        <v>371</v>
      </c>
    </row>
    <row r="227" spans="1:12" x14ac:dyDescent="0.25">
      <c r="A227" t="s">
        <v>953</v>
      </c>
      <c r="B227" t="s">
        <v>954</v>
      </c>
      <c r="C227" t="s">
        <v>504</v>
      </c>
      <c r="D227">
        <v>792.5</v>
      </c>
      <c r="E227">
        <v>794.2</v>
      </c>
      <c r="F227">
        <v>1.7</v>
      </c>
      <c r="G227">
        <v>0.2</v>
      </c>
      <c r="H227">
        <v>0</v>
      </c>
      <c r="I227">
        <v>771.6</v>
      </c>
      <c r="J227">
        <v>1010.7</v>
      </c>
      <c r="K227">
        <v>2.7</v>
      </c>
      <c r="L227" t="s">
        <v>371</v>
      </c>
    </row>
    <row r="228" spans="1:12" x14ac:dyDescent="0.25">
      <c r="A228" t="s">
        <v>955</v>
      </c>
      <c r="B228" t="s">
        <v>956</v>
      </c>
      <c r="C228" t="s">
        <v>504</v>
      </c>
      <c r="D228">
        <v>268.5</v>
      </c>
      <c r="E228">
        <v>244.6</v>
      </c>
      <c r="F228">
        <v>-23.9</v>
      </c>
      <c r="G228">
        <v>-8.9</v>
      </c>
      <c r="H228">
        <v>-0.9</v>
      </c>
      <c r="I228" t="s">
        <v>508</v>
      </c>
      <c r="J228" t="s">
        <v>508</v>
      </c>
      <c r="K228" t="s">
        <v>508</v>
      </c>
    </row>
    <row r="229" spans="1:12" x14ac:dyDescent="0.25">
      <c r="A229" t="s">
        <v>957</v>
      </c>
      <c r="B229" t="s">
        <v>958</v>
      </c>
      <c r="C229" t="s">
        <v>507</v>
      </c>
      <c r="D229">
        <v>89.4</v>
      </c>
      <c r="E229">
        <v>71.5</v>
      </c>
      <c r="F229">
        <v>-17.899999999999999</v>
      </c>
      <c r="G229">
        <v>-20</v>
      </c>
      <c r="H229">
        <v>-2.2000000000000002</v>
      </c>
      <c r="I229" t="s">
        <v>508</v>
      </c>
      <c r="J229" t="s">
        <v>508</v>
      </c>
      <c r="K229" t="s">
        <v>508</v>
      </c>
    </row>
    <row r="230" spans="1:12" x14ac:dyDescent="0.25">
      <c r="A230" t="s">
        <v>959</v>
      </c>
      <c r="B230" t="s">
        <v>960</v>
      </c>
      <c r="C230" t="s">
        <v>504</v>
      </c>
      <c r="D230">
        <v>340.2</v>
      </c>
      <c r="E230">
        <v>343.1</v>
      </c>
      <c r="F230">
        <v>2.9</v>
      </c>
      <c r="G230">
        <v>0.9</v>
      </c>
      <c r="H230">
        <v>0.1</v>
      </c>
      <c r="I230" t="s">
        <v>508</v>
      </c>
      <c r="J230" t="s">
        <v>508</v>
      </c>
      <c r="K230" t="s">
        <v>508</v>
      </c>
    </row>
    <row r="231" spans="1:12" x14ac:dyDescent="0.25">
      <c r="A231" t="s">
        <v>961</v>
      </c>
      <c r="B231" t="s">
        <v>962</v>
      </c>
      <c r="C231" t="s">
        <v>504</v>
      </c>
      <c r="D231">
        <v>118.1</v>
      </c>
      <c r="E231">
        <v>111.2</v>
      </c>
      <c r="F231">
        <v>-6.9</v>
      </c>
      <c r="G231">
        <v>-5.9</v>
      </c>
      <c r="H231">
        <v>-0.6</v>
      </c>
      <c r="I231" t="s">
        <v>508</v>
      </c>
      <c r="J231" t="s">
        <v>508</v>
      </c>
      <c r="K231" t="s">
        <v>508</v>
      </c>
    </row>
    <row r="232" spans="1:12" x14ac:dyDescent="0.25">
      <c r="A232" t="s">
        <v>963</v>
      </c>
      <c r="B232" t="s">
        <v>964</v>
      </c>
      <c r="C232" t="s">
        <v>507</v>
      </c>
      <c r="D232">
        <v>51.2</v>
      </c>
      <c r="E232">
        <v>48</v>
      </c>
      <c r="F232">
        <v>-3.2</v>
      </c>
      <c r="G232">
        <v>-6.2</v>
      </c>
      <c r="H232">
        <v>-0.6</v>
      </c>
      <c r="I232" t="s">
        <v>508</v>
      </c>
      <c r="J232" t="s">
        <v>508</v>
      </c>
      <c r="K232" t="s">
        <v>508</v>
      </c>
    </row>
    <row r="233" spans="1:12" x14ac:dyDescent="0.25">
      <c r="A233" t="s">
        <v>965</v>
      </c>
      <c r="B233" t="s">
        <v>966</v>
      </c>
      <c r="C233" t="s">
        <v>507</v>
      </c>
      <c r="D233">
        <v>66.900000000000006</v>
      </c>
      <c r="E233">
        <v>63.1</v>
      </c>
      <c r="F233">
        <v>-3.8</v>
      </c>
      <c r="G233">
        <v>-5.6</v>
      </c>
      <c r="H233">
        <v>-0.6</v>
      </c>
      <c r="I233" t="s">
        <v>508</v>
      </c>
      <c r="J233" t="s">
        <v>508</v>
      </c>
      <c r="K233" t="s">
        <v>508</v>
      </c>
    </row>
    <row r="234" spans="1:12" x14ac:dyDescent="0.25">
      <c r="A234" t="s">
        <v>967</v>
      </c>
      <c r="B234" t="s">
        <v>968</v>
      </c>
      <c r="C234" t="s">
        <v>507</v>
      </c>
      <c r="D234">
        <v>222.1</v>
      </c>
      <c r="E234">
        <v>231.9</v>
      </c>
      <c r="F234">
        <v>9.8000000000000007</v>
      </c>
      <c r="G234">
        <v>4.4000000000000004</v>
      </c>
      <c r="H234">
        <v>0.4</v>
      </c>
      <c r="I234" t="s">
        <v>508</v>
      </c>
      <c r="J234" t="s">
        <v>508</v>
      </c>
      <c r="K234" t="s">
        <v>508</v>
      </c>
    </row>
    <row r="235" spans="1:12" x14ac:dyDescent="0.25">
      <c r="A235" t="s">
        <v>969</v>
      </c>
      <c r="B235" t="s">
        <v>970</v>
      </c>
      <c r="C235" t="s">
        <v>507</v>
      </c>
      <c r="D235">
        <v>183.8</v>
      </c>
      <c r="E235">
        <v>206.5</v>
      </c>
      <c r="F235">
        <v>22.7</v>
      </c>
      <c r="G235">
        <v>12.3</v>
      </c>
      <c r="H235">
        <v>1.2</v>
      </c>
      <c r="I235" t="s">
        <v>508</v>
      </c>
      <c r="J235" t="s">
        <v>508</v>
      </c>
      <c r="K235" t="s">
        <v>508</v>
      </c>
    </row>
    <row r="236" spans="1:12" x14ac:dyDescent="0.25">
      <c r="A236" t="s">
        <v>971</v>
      </c>
      <c r="B236" t="s">
        <v>972</v>
      </c>
      <c r="C236" t="s">
        <v>507</v>
      </c>
      <c r="D236">
        <v>621.29999999999995</v>
      </c>
      <c r="E236">
        <v>568.29999999999995</v>
      </c>
      <c r="F236">
        <v>-53</v>
      </c>
      <c r="G236">
        <v>-8.5</v>
      </c>
      <c r="H236">
        <v>-0.9</v>
      </c>
      <c r="I236">
        <v>674.3</v>
      </c>
      <c r="J236">
        <v>876.8</v>
      </c>
      <c r="K236">
        <v>2.7</v>
      </c>
      <c r="L236" t="s">
        <v>381</v>
      </c>
    </row>
    <row r="237" spans="1:12" x14ac:dyDescent="0.25">
      <c r="A237" t="s">
        <v>973</v>
      </c>
      <c r="B237" t="s">
        <v>974</v>
      </c>
      <c r="C237" t="s">
        <v>507</v>
      </c>
      <c r="D237">
        <v>482.6</v>
      </c>
      <c r="E237">
        <v>580.5</v>
      </c>
      <c r="F237">
        <v>97.9</v>
      </c>
      <c r="G237">
        <v>20.3</v>
      </c>
      <c r="H237">
        <v>1.9</v>
      </c>
      <c r="I237">
        <v>387.3</v>
      </c>
      <c r="J237">
        <v>564.79999999999995</v>
      </c>
      <c r="K237">
        <v>3.8</v>
      </c>
      <c r="L237" t="s">
        <v>385</v>
      </c>
    </row>
    <row r="238" spans="1:12" x14ac:dyDescent="0.25">
      <c r="A238" t="s">
        <v>975</v>
      </c>
      <c r="B238" t="s">
        <v>976</v>
      </c>
      <c r="C238" t="s">
        <v>504</v>
      </c>
      <c r="D238">
        <v>6702.8</v>
      </c>
      <c r="E238">
        <v>6929.2</v>
      </c>
      <c r="F238">
        <v>226.4</v>
      </c>
      <c r="G238">
        <v>3.4</v>
      </c>
      <c r="H238">
        <v>0.3</v>
      </c>
      <c r="I238">
        <v>3139.5</v>
      </c>
      <c r="J238">
        <v>3825.4</v>
      </c>
      <c r="K238">
        <v>2</v>
      </c>
      <c r="L238" t="s">
        <v>389</v>
      </c>
    </row>
    <row r="239" spans="1:12" x14ac:dyDescent="0.25">
      <c r="A239" t="s">
        <v>977</v>
      </c>
      <c r="B239" t="s">
        <v>978</v>
      </c>
      <c r="C239" t="s">
        <v>504</v>
      </c>
      <c r="D239">
        <v>2586.3000000000002</v>
      </c>
      <c r="E239">
        <v>2634.9</v>
      </c>
      <c r="F239">
        <v>48.6</v>
      </c>
      <c r="G239">
        <v>1.9</v>
      </c>
      <c r="H239">
        <v>0.2</v>
      </c>
      <c r="I239">
        <v>1015</v>
      </c>
      <c r="J239">
        <v>1264.9000000000001</v>
      </c>
      <c r="K239">
        <v>2.2000000000000002</v>
      </c>
    </row>
    <row r="240" spans="1:12" x14ac:dyDescent="0.25">
      <c r="A240" t="s">
        <v>979</v>
      </c>
      <c r="B240" t="s">
        <v>980</v>
      </c>
      <c r="C240" t="s">
        <v>507</v>
      </c>
      <c r="D240">
        <v>20.8</v>
      </c>
      <c r="E240">
        <v>21.3</v>
      </c>
      <c r="F240">
        <v>0.5</v>
      </c>
      <c r="G240">
        <v>2.6</v>
      </c>
      <c r="H240">
        <v>0.2</v>
      </c>
      <c r="I240" t="s">
        <v>508</v>
      </c>
      <c r="J240" t="s">
        <v>508</v>
      </c>
      <c r="K240" t="s">
        <v>508</v>
      </c>
    </row>
    <row r="241" spans="1:11" x14ac:dyDescent="0.25">
      <c r="A241" t="s">
        <v>981</v>
      </c>
      <c r="B241" t="s">
        <v>982</v>
      </c>
      <c r="C241" t="s">
        <v>504</v>
      </c>
      <c r="D241">
        <v>2565.5</v>
      </c>
      <c r="E241">
        <v>2613.6</v>
      </c>
      <c r="F241">
        <v>48.1</v>
      </c>
      <c r="G241">
        <v>1.9</v>
      </c>
      <c r="H241">
        <v>0.2</v>
      </c>
      <c r="I241" t="s">
        <v>508</v>
      </c>
      <c r="J241" t="s">
        <v>508</v>
      </c>
      <c r="K241" t="s">
        <v>508</v>
      </c>
    </row>
    <row r="242" spans="1:11" x14ac:dyDescent="0.25">
      <c r="A242" t="s">
        <v>983</v>
      </c>
      <c r="B242" t="s">
        <v>984</v>
      </c>
      <c r="C242" t="s">
        <v>507</v>
      </c>
      <c r="D242">
        <v>2059.3000000000002</v>
      </c>
      <c r="E242">
        <v>2110</v>
      </c>
      <c r="F242">
        <v>50.7</v>
      </c>
      <c r="G242">
        <v>2.5</v>
      </c>
      <c r="H242">
        <v>0.2</v>
      </c>
      <c r="I242" t="s">
        <v>508</v>
      </c>
      <c r="J242" t="s">
        <v>508</v>
      </c>
      <c r="K242" t="s">
        <v>508</v>
      </c>
    </row>
    <row r="243" spans="1:11" x14ac:dyDescent="0.25">
      <c r="A243" t="s">
        <v>985</v>
      </c>
      <c r="B243" t="s">
        <v>986</v>
      </c>
      <c r="C243" t="s">
        <v>504</v>
      </c>
      <c r="D243">
        <v>506.2</v>
      </c>
      <c r="E243">
        <v>503.5</v>
      </c>
      <c r="F243">
        <v>-2.7</v>
      </c>
      <c r="G243">
        <v>-0.5</v>
      </c>
      <c r="H243">
        <v>-0.1</v>
      </c>
      <c r="I243" t="s">
        <v>508</v>
      </c>
      <c r="J243" t="s">
        <v>508</v>
      </c>
      <c r="K243" t="s">
        <v>508</v>
      </c>
    </row>
    <row r="244" spans="1:11" x14ac:dyDescent="0.25">
      <c r="A244" t="s">
        <v>987</v>
      </c>
      <c r="B244" t="s">
        <v>988</v>
      </c>
      <c r="C244" t="s">
        <v>507</v>
      </c>
      <c r="D244">
        <v>358.4</v>
      </c>
      <c r="E244">
        <v>355.7</v>
      </c>
      <c r="F244">
        <v>-2.7</v>
      </c>
      <c r="G244">
        <v>-0.7</v>
      </c>
      <c r="H244">
        <v>-0.1</v>
      </c>
      <c r="I244" t="s">
        <v>508</v>
      </c>
      <c r="J244" t="s">
        <v>508</v>
      </c>
      <c r="K244" t="s">
        <v>508</v>
      </c>
    </row>
    <row r="245" spans="1:11" x14ac:dyDescent="0.25">
      <c r="A245" t="s">
        <v>989</v>
      </c>
      <c r="B245" t="s">
        <v>990</v>
      </c>
      <c r="C245" t="s">
        <v>507</v>
      </c>
      <c r="D245">
        <v>1084.9000000000001</v>
      </c>
      <c r="E245">
        <v>1150.3</v>
      </c>
      <c r="F245">
        <v>65.400000000000006</v>
      </c>
      <c r="G245">
        <v>6</v>
      </c>
      <c r="H245">
        <v>0.6</v>
      </c>
      <c r="I245">
        <v>721.7</v>
      </c>
      <c r="J245">
        <v>892.4</v>
      </c>
      <c r="K245">
        <v>2.1</v>
      </c>
    </row>
    <row r="246" spans="1:11" x14ac:dyDescent="0.25">
      <c r="A246" t="s">
        <v>991</v>
      </c>
      <c r="B246" t="s">
        <v>992</v>
      </c>
      <c r="C246" t="s">
        <v>504</v>
      </c>
      <c r="D246">
        <v>3000.5</v>
      </c>
      <c r="E246">
        <v>3110.9</v>
      </c>
      <c r="F246">
        <v>110.4</v>
      </c>
      <c r="G246">
        <v>3.7</v>
      </c>
      <c r="H246">
        <v>0.4</v>
      </c>
      <c r="I246">
        <v>1253</v>
      </c>
      <c r="J246">
        <v>1511.3</v>
      </c>
      <c r="K246">
        <v>1.9</v>
      </c>
    </row>
    <row r="247" spans="1:11" x14ac:dyDescent="0.25">
      <c r="A247" t="s">
        <v>993</v>
      </c>
      <c r="B247" t="s">
        <v>994</v>
      </c>
      <c r="C247" t="s">
        <v>504</v>
      </c>
      <c r="D247">
        <v>1614</v>
      </c>
      <c r="E247">
        <v>1660.8</v>
      </c>
      <c r="F247">
        <v>46.8</v>
      </c>
      <c r="G247">
        <v>2.9</v>
      </c>
      <c r="H247">
        <v>0.3</v>
      </c>
      <c r="I247">
        <v>724</v>
      </c>
      <c r="J247">
        <v>870</v>
      </c>
      <c r="K247">
        <v>1.9</v>
      </c>
    </row>
    <row r="248" spans="1:11" x14ac:dyDescent="0.25">
      <c r="A248" t="s">
        <v>995</v>
      </c>
      <c r="B248" t="s">
        <v>996</v>
      </c>
      <c r="C248" t="s">
        <v>507</v>
      </c>
      <c r="D248">
        <v>611.1</v>
      </c>
      <c r="E248">
        <v>639.4</v>
      </c>
      <c r="F248">
        <v>28.3</v>
      </c>
      <c r="G248">
        <v>4.5999999999999996</v>
      </c>
      <c r="H248">
        <v>0.5</v>
      </c>
      <c r="I248" t="s">
        <v>508</v>
      </c>
      <c r="J248" t="s">
        <v>508</v>
      </c>
      <c r="K248" t="s">
        <v>508</v>
      </c>
    </row>
    <row r="249" spans="1:11" x14ac:dyDescent="0.25">
      <c r="A249" t="s">
        <v>997</v>
      </c>
      <c r="B249" t="s">
        <v>998</v>
      </c>
      <c r="C249" t="s">
        <v>507</v>
      </c>
      <c r="D249">
        <v>678.5</v>
      </c>
      <c r="E249">
        <v>695.9</v>
      </c>
      <c r="F249">
        <v>17.399999999999999</v>
      </c>
      <c r="G249">
        <v>2.6</v>
      </c>
      <c r="H249">
        <v>0.3</v>
      </c>
      <c r="I249" t="s">
        <v>508</v>
      </c>
      <c r="J249" t="s">
        <v>508</v>
      </c>
      <c r="K249" t="s">
        <v>508</v>
      </c>
    </row>
    <row r="250" spans="1:11" x14ac:dyDescent="0.25">
      <c r="A250" t="s">
        <v>999</v>
      </c>
      <c r="B250" t="s">
        <v>1000</v>
      </c>
      <c r="C250" t="s">
        <v>504</v>
      </c>
      <c r="D250">
        <v>1386.5</v>
      </c>
      <c r="E250">
        <v>1450.1</v>
      </c>
      <c r="F250">
        <v>63.6</v>
      </c>
      <c r="G250">
        <v>4.5999999999999996</v>
      </c>
      <c r="H250">
        <v>0.4</v>
      </c>
      <c r="I250">
        <v>535.20000000000005</v>
      </c>
      <c r="J250">
        <v>649.29999999999995</v>
      </c>
      <c r="K250">
        <v>2</v>
      </c>
    </row>
    <row r="251" spans="1:11" x14ac:dyDescent="0.25">
      <c r="A251" t="s">
        <v>1001</v>
      </c>
      <c r="B251" t="s">
        <v>1002</v>
      </c>
      <c r="C251" t="s">
        <v>507</v>
      </c>
      <c r="D251">
        <v>1003.9</v>
      </c>
      <c r="E251">
        <v>1051.3</v>
      </c>
      <c r="F251">
        <v>47.4</v>
      </c>
      <c r="G251">
        <v>4.7</v>
      </c>
      <c r="H251">
        <v>0.5</v>
      </c>
      <c r="I251" t="s">
        <v>508</v>
      </c>
      <c r="J251" t="s">
        <v>508</v>
      </c>
      <c r="K251" t="s">
        <v>508</v>
      </c>
    </row>
    <row r="252" spans="1:11" x14ac:dyDescent="0.25">
      <c r="A252" t="s">
        <v>1003</v>
      </c>
      <c r="B252" t="s">
        <v>1004</v>
      </c>
      <c r="C252" t="s">
        <v>507</v>
      </c>
      <c r="D252">
        <v>382.6</v>
      </c>
      <c r="E252">
        <v>398.8</v>
      </c>
      <c r="F252">
        <v>16.2</v>
      </c>
      <c r="G252">
        <v>4.2</v>
      </c>
      <c r="H252">
        <v>0.4</v>
      </c>
      <c r="I252" t="s">
        <v>508</v>
      </c>
      <c r="J252" t="s">
        <v>508</v>
      </c>
      <c r="K252" t="s">
        <v>508</v>
      </c>
    </row>
    <row r="253" spans="1:11" x14ac:dyDescent="0.25">
      <c r="A253" t="s">
        <v>1005</v>
      </c>
      <c r="B253" t="s">
        <v>1006</v>
      </c>
      <c r="C253" t="s">
        <v>504</v>
      </c>
      <c r="D253">
        <v>31.1</v>
      </c>
      <c r="E253">
        <v>33.1</v>
      </c>
      <c r="F253">
        <v>2</v>
      </c>
      <c r="G253">
        <v>6.4</v>
      </c>
      <c r="H253">
        <v>0.6</v>
      </c>
      <c r="I253">
        <v>159.19999999999999</v>
      </c>
      <c r="J253">
        <v>165.8</v>
      </c>
      <c r="K253">
        <v>0.4</v>
      </c>
    </row>
    <row r="254" spans="1:11" x14ac:dyDescent="0.25">
      <c r="A254" t="s">
        <v>1007</v>
      </c>
      <c r="B254" t="s">
        <v>1008</v>
      </c>
      <c r="C254" t="s">
        <v>507</v>
      </c>
      <c r="D254">
        <v>12.3</v>
      </c>
      <c r="E254">
        <v>12.9</v>
      </c>
      <c r="F254">
        <v>0.6</v>
      </c>
      <c r="G254">
        <v>4.5999999999999996</v>
      </c>
      <c r="H254">
        <v>0.5</v>
      </c>
      <c r="I254" t="s">
        <v>508</v>
      </c>
      <c r="J254" t="s">
        <v>508</v>
      </c>
      <c r="K254" t="s">
        <v>508</v>
      </c>
    </row>
    <row r="255" spans="1:11" x14ac:dyDescent="0.25">
      <c r="A255" t="s">
        <v>1009</v>
      </c>
      <c r="B255" t="s">
        <v>1010</v>
      </c>
      <c r="C255" t="s">
        <v>507</v>
      </c>
      <c r="D255">
        <v>18.899999999999999</v>
      </c>
      <c r="E255">
        <v>20.3</v>
      </c>
      <c r="F255">
        <v>1.4</v>
      </c>
      <c r="G255">
        <v>7.5</v>
      </c>
      <c r="H255">
        <v>0.7</v>
      </c>
      <c r="I255" t="s">
        <v>508</v>
      </c>
      <c r="J255" t="s">
        <v>508</v>
      </c>
      <c r="K255" t="s">
        <v>508</v>
      </c>
    </row>
    <row r="256" spans="1:11" x14ac:dyDescent="0.25">
      <c r="A256" t="s">
        <v>1011</v>
      </c>
      <c r="B256" t="s">
        <v>1012</v>
      </c>
      <c r="C256" t="s">
        <v>504</v>
      </c>
      <c r="D256">
        <v>2465.8000000000002</v>
      </c>
      <c r="E256">
        <v>2547.6</v>
      </c>
      <c r="F256">
        <v>81.8</v>
      </c>
      <c r="G256">
        <v>3.3</v>
      </c>
      <c r="H256">
        <v>0.3</v>
      </c>
      <c r="I256">
        <v>2818.5</v>
      </c>
      <c r="J256">
        <v>3433.3</v>
      </c>
      <c r="K256">
        <v>2</v>
      </c>
    </row>
    <row r="257" spans="1:12" x14ac:dyDescent="0.25">
      <c r="A257" t="s">
        <v>1013</v>
      </c>
      <c r="B257" t="s">
        <v>1014</v>
      </c>
      <c r="C257" t="s">
        <v>507</v>
      </c>
      <c r="D257">
        <v>1865.8</v>
      </c>
      <c r="E257">
        <v>1938.4</v>
      </c>
      <c r="F257">
        <v>72.599999999999994</v>
      </c>
      <c r="G257">
        <v>3.9</v>
      </c>
      <c r="H257">
        <v>0.4</v>
      </c>
      <c r="I257">
        <v>2258.6999999999998</v>
      </c>
      <c r="J257">
        <v>2721</v>
      </c>
      <c r="K257">
        <v>1.9</v>
      </c>
      <c r="L257" t="s">
        <v>398</v>
      </c>
    </row>
    <row r="258" spans="1:12" x14ac:dyDescent="0.25">
      <c r="A258" t="s">
        <v>1015</v>
      </c>
      <c r="B258" t="s">
        <v>1016</v>
      </c>
      <c r="C258" t="s">
        <v>504</v>
      </c>
      <c r="D258">
        <v>577.4</v>
      </c>
      <c r="E258">
        <v>588.29999999999995</v>
      </c>
      <c r="F258">
        <v>10.9</v>
      </c>
      <c r="G258">
        <v>1.9</v>
      </c>
      <c r="H258">
        <v>0.2</v>
      </c>
      <c r="I258">
        <v>237.4</v>
      </c>
      <c r="J258">
        <v>298.89999999999998</v>
      </c>
      <c r="K258">
        <v>2.2999999999999998</v>
      </c>
      <c r="L258" t="s">
        <v>422</v>
      </c>
    </row>
    <row r="259" spans="1:12" x14ac:dyDescent="0.25">
      <c r="A259" t="s">
        <v>1017</v>
      </c>
      <c r="B259" t="s">
        <v>1018</v>
      </c>
      <c r="C259" t="s">
        <v>507</v>
      </c>
      <c r="D259">
        <v>362.3</v>
      </c>
      <c r="E259">
        <v>365.9</v>
      </c>
      <c r="F259">
        <v>3.6</v>
      </c>
      <c r="G259">
        <v>1</v>
      </c>
      <c r="H259">
        <v>0.1</v>
      </c>
      <c r="I259">
        <v>157.4</v>
      </c>
      <c r="J259">
        <v>192.8</v>
      </c>
      <c r="K259">
        <v>2.1</v>
      </c>
    </row>
    <row r="260" spans="1:12" x14ac:dyDescent="0.25">
      <c r="A260" t="s">
        <v>1019</v>
      </c>
      <c r="B260" t="s">
        <v>1020</v>
      </c>
      <c r="C260" t="s">
        <v>507</v>
      </c>
      <c r="D260">
        <v>215.1</v>
      </c>
      <c r="E260">
        <v>222.4</v>
      </c>
      <c r="F260">
        <v>7.3</v>
      </c>
      <c r="G260">
        <v>3.4</v>
      </c>
      <c r="H260">
        <v>0.3</v>
      </c>
      <c r="I260">
        <v>79.8</v>
      </c>
      <c r="J260">
        <v>105.3</v>
      </c>
      <c r="K260">
        <v>2.8</v>
      </c>
    </row>
    <row r="261" spans="1:12" x14ac:dyDescent="0.25">
      <c r="A261" t="s">
        <v>1021</v>
      </c>
      <c r="B261" t="s">
        <v>1022</v>
      </c>
      <c r="C261" t="s">
        <v>507</v>
      </c>
      <c r="D261">
        <v>22.6</v>
      </c>
      <c r="E261">
        <v>20.9</v>
      </c>
      <c r="F261">
        <v>-1.7</v>
      </c>
      <c r="G261">
        <v>-7.5</v>
      </c>
      <c r="H261">
        <v>-0.8</v>
      </c>
      <c r="I261">
        <v>323</v>
      </c>
      <c r="J261">
        <v>414.1</v>
      </c>
      <c r="K261">
        <v>2.5</v>
      </c>
    </row>
    <row r="262" spans="1:12" x14ac:dyDescent="0.25">
      <c r="A262" t="s">
        <v>1023</v>
      </c>
      <c r="B262" t="s">
        <v>1024</v>
      </c>
      <c r="C262" t="s">
        <v>504</v>
      </c>
      <c r="D262">
        <v>10825.8</v>
      </c>
      <c r="E262">
        <v>11638.3</v>
      </c>
      <c r="F262">
        <v>812.5</v>
      </c>
      <c r="G262">
        <v>7.5</v>
      </c>
      <c r="H262">
        <v>0.7</v>
      </c>
      <c r="I262">
        <v>3093.9</v>
      </c>
      <c r="J262">
        <v>3880.7</v>
      </c>
      <c r="K262">
        <v>2.2999999999999998</v>
      </c>
    </row>
    <row r="263" spans="1:12" x14ac:dyDescent="0.25">
      <c r="A263" t="s">
        <v>1025</v>
      </c>
      <c r="B263" t="s">
        <v>1026</v>
      </c>
      <c r="C263" t="s">
        <v>504</v>
      </c>
      <c r="D263">
        <v>10825.8</v>
      </c>
      <c r="E263">
        <v>11638.3</v>
      </c>
      <c r="F263">
        <v>812.5</v>
      </c>
      <c r="G263">
        <v>7.5</v>
      </c>
      <c r="H263">
        <v>0.7</v>
      </c>
      <c r="I263">
        <v>3093.9</v>
      </c>
      <c r="J263">
        <v>3880.7</v>
      </c>
      <c r="K263">
        <v>2.2999999999999998</v>
      </c>
    </row>
    <row r="264" spans="1:12" x14ac:dyDescent="0.25">
      <c r="A264" t="s">
        <v>1027</v>
      </c>
      <c r="B264" t="s">
        <v>1028</v>
      </c>
      <c r="C264" t="s">
        <v>507</v>
      </c>
      <c r="D264">
        <v>1192.7</v>
      </c>
      <c r="E264">
        <v>1207.0999999999999</v>
      </c>
      <c r="F264">
        <v>14.4</v>
      </c>
      <c r="G264">
        <v>1.2</v>
      </c>
      <c r="H264">
        <v>0.1</v>
      </c>
      <c r="I264">
        <v>348.5</v>
      </c>
      <c r="J264">
        <v>408.9</v>
      </c>
      <c r="K264">
        <v>1.6</v>
      </c>
      <c r="L264" t="s">
        <v>406</v>
      </c>
    </row>
    <row r="265" spans="1:12" x14ac:dyDescent="0.25">
      <c r="A265" t="s">
        <v>1029</v>
      </c>
      <c r="B265" t="s">
        <v>1030</v>
      </c>
      <c r="C265" t="s">
        <v>507</v>
      </c>
      <c r="D265">
        <v>1153.5</v>
      </c>
      <c r="E265">
        <v>1181.2</v>
      </c>
      <c r="F265">
        <v>27.7</v>
      </c>
      <c r="G265">
        <v>2.4</v>
      </c>
      <c r="H265">
        <v>0.2</v>
      </c>
      <c r="I265">
        <v>210</v>
      </c>
      <c r="J265">
        <v>258.60000000000002</v>
      </c>
      <c r="K265">
        <v>2.1</v>
      </c>
      <c r="L265" t="s">
        <v>406</v>
      </c>
    </row>
    <row r="266" spans="1:12" x14ac:dyDescent="0.25">
      <c r="A266" t="s">
        <v>1031</v>
      </c>
      <c r="B266" t="s">
        <v>1032</v>
      </c>
      <c r="C266" t="s">
        <v>504</v>
      </c>
      <c r="D266">
        <v>1703.6</v>
      </c>
      <c r="E266">
        <v>1770.7</v>
      </c>
      <c r="F266">
        <v>67.099999999999994</v>
      </c>
      <c r="G266">
        <v>3.9</v>
      </c>
      <c r="H266">
        <v>0.4</v>
      </c>
      <c r="I266">
        <v>407.3</v>
      </c>
      <c r="J266">
        <v>480.1</v>
      </c>
      <c r="K266">
        <v>1.7</v>
      </c>
      <c r="L266" t="s">
        <v>406</v>
      </c>
    </row>
    <row r="267" spans="1:12" x14ac:dyDescent="0.25">
      <c r="A267" t="s">
        <v>1033</v>
      </c>
      <c r="B267" t="s">
        <v>1034</v>
      </c>
      <c r="C267" t="s">
        <v>507</v>
      </c>
      <c r="D267">
        <v>1179.5999999999999</v>
      </c>
      <c r="E267">
        <v>1228.9000000000001</v>
      </c>
      <c r="F267">
        <v>49.3</v>
      </c>
      <c r="G267">
        <v>4.2</v>
      </c>
      <c r="H267">
        <v>0.4</v>
      </c>
      <c r="I267" t="s">
        <v>508</v>
      </c>
      <c r="J267" t="s">
        <v>508</v>
      </c>
      <c r="K267" t="s">
        <v>508</v>
      </c>
    </row>
    <row r="268" spans="1:12" x14ac:dyDescent="0.25">
      <c r="A268" t="s">
        <v>1035</v>
      </c>
      <c r="B268" t="s">
        <v>1036</v>
      </c>
      <c r="C268" t="s">
        <v>507</v>
      </c>
      <c r="D268">
        <v>179.5</v>
      </c>
      <c r="E268">
        <v>186.5</v>
      </c>
      <c r="F268">
        <v>7</v>
      </c>
      <c r="G268">
        <v>3.9</v>
      </c>
      <c r="H268">
        <v>0.4</v>
      </c>
      <c r="I268" t="s">
        <v>508</v>
      </c>
      <c r="J268" t="s">
        <v>508</v>
      </c>
      <c r="K268" t="s">
        <v>508</v>
      </c>
    </row>
    <row r="269" spans="1:12" x14ac:dyDescent="0.25">
      <c r="A269" t="s">
        <v>1037</v>
      </c>
      <c r="B269" t="s">
        <v>1038</v>
      </c>
      <c r="C269" t="s">
        <v>507</v>
      </c>
      <c r="D269">
        <v>151.1</v>
      </c>
      <c r="E269">
        <v>156.9</v>
      </c>
      <c r="F269">
        <v>5.8</v>
      </c>
      <c r="G269">
        <v>3.8</v>
      </c>
      <c r="H269">
        <v>0.4</v>
      </c>
      <c r="I269">
        <v>57.5</v>
      </c>
      <c r="J269">
        <v>70.3</v>
      </c>
      <c r="K269">
        <v>2</v>
      </c>
      <c r="L269" t="s">
        <v>406</v>
      </c>
    </row>
    <row r="270" spans="1:12" x14ac:dyDescent="0.25">
      <c r="A270" t="s">
        <v>1039</v>
      </c>
      <c r="B270" t="s">
        <v>1040</v>
      </c>
      <c r="C270" t="s">
        <v>507</v>
      </c>
      <c r="D270">
        <v>2444.8000000000002</v>
      </c>
      <c r="E270">
        <v>2831.6</v>
      </c>
      <c r="F270">
        <v>386.8</v>
      </c>
      <c r="G270">
        <v>15.8</v>
      </c>
      <c r="H270">
        <v>1.5</v>
      </c>
      <c r="I270">
        <v>799</v>
      </c>
      <c r="J270">
        <v>1096.2</v>
      </c>
      <c r="K270">
        <v>3.2</v>
      </c>
      <c r="L270" t="s">
        <v>385</v>
      </c>
    </row>
    <row r="271" spans="1:12" x14ac:dyDescent="0.25">
      <c r="A271" t="s">
        <v>1041</v>
      </c>
      <c r="B271" t="s">
        <v>1042</v>
      </c>
      <c r="C271" t="s">
        <v>507</v>
      </c>
      <c r="D271">
        <v>1864.7</v>
      </c>
      <c r="E271">
        <v>2039.3</v>
      </c>
      <c r="F271">
        <v>174.6</v>
      </c>
      <c r="G271">
        <v>9.4</v>
      </c>
      <c r="H271">
        <v>0.9</v>
      </c>
      <c r="I271">
        <v>493.3</v>
      </c>
      <c r="J271">
        <v>639.70000000000005</v>
      </c>
      <c r="K271">
        <v>2.6</v>
      </c>
      <c r="L271" t="s">
        <v>406</v>
      </c>
    </row>
    <row r="272" spans="1:12" x14ac:dyDescent="0.25">
      <c r="A272" t="s">
        <v>1043</v>
      </c>
      <c r="B272" t="s">
        <v>1044</v>
      </c>
      <c r="C272" t="s">
        <v>504</v>
      </c>
      <c r="D272">
        <v>936.7</v>
      </c>
      <c r="E272">
        <v>1015.1</v>
      </c>
      <c r="F272">
        <v>78.400000000000006</v>
      </c>
      <c r="G272">
        <v>8.4</v>
      </c>
      <c r="H272">
        <v>0.8</v>
      </c>
      <c r="I272">
        <v>408.6</v>
      </c>
      <c r="J272">
        <v>499</v>
      </c>
      <c r="K272">
        <v>2</v>
      </c>
      <c r="L272" t="s">
        <v>406</v>
      </c>
    </row>
    <row r="273" spans="1:12" x14ac:dyDescent="0.25">
      <c r="A273" t="s">
        <v>1045</v>
      </c>
      <c r="B273" t="s">
        <v>1046</v>
      </c>
      <c r="C273" t="s">
        <v>507</v>
      </c>
      <c r="D273">
        <v>866.7</v>
      </c>
      <c r="E273">
        <v>942.5</v>
      </c>
      <c r="F273">
        <v>75.8</v>
      </c>
      <c r="G273">
        <v>8.6999999999999993</v>
      </c>
      <c r="H273">
        <v>0.8</v>
      </c>
      <c r="I273" t="s">
        <v>508</v>
      </c>
      <c r="J273" t="s">
        <v>508</v>
      </c>
      <c r="K273" t="s">
        <v>508</v>
      </c>
    </row>
    <row r="274" spans="1:12" x14ac:dyDescent="0.25">
      <c r="A274" t="s">
        <v>1047</v>
      </c>
      <c r="B274" t="s">
        <v>1048</v>
      </c>
      <c r="C274" t="s">
        <v>507</v>
      </c>
      <c r="D274">
        <v>70</v>
      </c>
      <c r="E274">
        <v>72.599999999999994</v>
      </c>
      <c r="F274">
        <v>2.6</v>
      </c>
      <c r="G274">
        <v>3.7</v>
      </c>
      <c r="H274">
        <v>0.4</v>
      </c>
      <c r="I274" t="s">
        <v>508</v>
      </c>
      <c r="J274" t="s">
        <v>508</v>
      </c>
      <c r="K274" t="s">
        <v>508</v>
      </c>
    </row>
    <row r="275" spans="1:12" x14ac:dyDescent="0.25">
      <c r="A275" t="s">
        <v>1049</v>
      </c>
      <c r="B275" t="s">
        <v>1050</v>
      </c>
      <c r="C275" t="s">
        <v>507</v>
      </c>
      <c r="D275">
        <v>497.7</v>
      </c>
      <c r="E275">
        <v>509.6</v>
      </c>
      <c r="F275">
        <v>11.9</v>
      </c>
      <c r="G275">
        <v>2.4</v>
      </c>
      <c r="H275">
        <v>0.2</v>
      </c>
      <c r="I275">
        <v>197.3</v>
      </c>
      <c r="J275">
        <v>257.3</v>
      </c>
      <c r="K275">
        <v>2.7</v>
      </c>
      <c r="L275" t="s">
        <v>406</v>
      </c>
    </row>
    <row r="276" spans="1:12" x14ac:dyDescent="0.25">
      <c r="A276" t="s">
        <v>1051</v>
      </c>
      <c r="B276" t="s">
        <v>1052</v>
      </c>
      <c r="C276" t="s">
        <v>504</v>
      </c>
      <c r="D276">
        <v>881</v>
      </c>
      <c r="E276">
        <v>926.8</v>
      </c>
      <c r="F276">
        <v>45.8</v>
      </c>
      <c r="G276">
        <v>5.2</v>
      </c>
      <c r="H276">
        <v>0.5</v>
      </c>
      <c r="I276">
        <v>200.2</v>
      </c>
      <c r="J276">
        <v>253.7</v>
      </c>
      <c r="K276">
        <v>2.4</v>
      </c>
      <c r="L276" t="s">
        <v>406</v>
      </c>
    </row>
    <row r="277" spans="1:12" x14ac:dyDescent="0.25">
      <c r="A277" t="s">
        <v>1053</v>
      </c>
      <c r="B277" t="s">
        <v>1054</v>
      </c>
      <c r="C277" t="s">
        <v>507</v>
      </c>
      <c r="D277">
        <v>49</v>
      </c>
      <c r="E277">
        <v>44.8</v>
      </c>
      <c r="F277">
        <v>-4.2</v>
      </c>
      <c r="G277">
        <v>-8.5</v>
      </c>
      <c r="H277">
        <v>-0.9</v>
      </c>
      <c r="I277">
        <v>16.899999999999999</v>
      </c>
      <c r="J277">
        <v>21.4</v>
      </c>
      <c r="K277">
        <v>2.4</v>
      </c>
    </row>
    <row r="278" spans="1:12" x14ac:dyDescent="0.25">
      <c r="A278" t="s">
        <v>1055</v>
      </c>
      <c r="B278" t="s">
        <v>1056</v>
      </c>
      <c r="C278" t="s">
        <v>507</v>
      </c>
      <c r="D278">
        <v>467</v>
      </c>
      <c r="E278">
        <v>504.1</v>
      </c>
      <c r="F278">
        <v>37.1</v>
      </c>
      <c r="G278">
        <v>7.9</v>
      </c>
      <c r="H278">
        <v>0.8</v>
      </c>
      <c r="I278">
        <v>54.9</v>
      </c>
      <c r="J278">
        <v>72.099999999999994</v>
      </c>
      <c r="K278">
        <v>2.8</v>
      </c>
    </row>
    <row r="279" spans="1:12" x14ac:dyDescent="0.25">
      <c r="A279" t="s">
        <v>1057</v>
      </c>
      <c r="B279" t="s">
        <v>1058</v>
      </c>
      <c r="C279" t="s">
        <v>504</v>
      </c>
      <c r="D279">
        <v>2617.1</v>
      </c>
      <c r="E279">
        <v>2732</v>
      </c>
      <c r="F279">
        <v>114.9</v>
      </c>
      <c r="G279">
        <v>4.4000000000000004</v>
      </c>
      <c r="H279">
        <v>0.4</v>
      </c>
      <c r="I279">
        <v>793.6</v>
      </c>
      <c r="J279">
        <v>1012.1</v>
      </c>
      <c r="K279">
        <v>2.5</v>
      </c>
      <c r="L279" t="s">
        <v>406</v>
      </c>
    </row>
    <row r="280" spans="1:12" x14ac:dyDescent="0.25">
      <c r="A280" t="s">
        <v>1059</v>
      </c>
      <c r="B280" t="s">
        <v>1060</v>
      </c>
      <c r="C280" t="s">
        <v>507</v>
      </c>
      <c r="D280">
        <v>2617.1</v>
      </c>
      <c r="E280">
        <v>2732</v>
      </c>
      <c r="F280">
        <v>114.9</v>
      </c>
      <c r="G280">
        <v>4.4000000000000004</v>
      </c>
      <c r="H280">
        <v>0.4</v>
      </c>
      <c r="I280">
        <v>793.6</v>
      </c>
      <c r="J280">
        <v>1012.1</v>
      </c>
      <c r="K280">
        <v>2.5</v>
      </c>
    </row>
    <row r="281" spans="1:12" x14ac:dyDescent="0.25">
      <c r="A281" t="s">
        <v>1061</v>
      </c>
      <c r="B281" t="s">
        <v>1062</v>
      </c>
      <c r="C281" t="s">
        <v>504</v>
      </c>
      <c r="D281">
        <v>9177.7999999999993</v>
      </c>
      <c r="E281">
        <v>9279.5</v>
      </c>
      <c r="F281">
        <v>101.7</v>
      </c>
      <c r="G281">
        <v>1.1000000000000001</v>
      </c>
      <c r="H281">
        <v>0.1</v>
      </c>
      <c r="I281">
        <v>1238.0999999999999</v>
      </c>
      <c r="J281">
        <v>1548.7</v>
      </c>
      <c r="K281">
        <v>2.2999999999999998</v>
      </c>
    </row>
    <row r="282" spans="1:12" x14ac:dyDescent="0.25">
      <c r="A282" t="s">
        <v>1063</v>
      </c>
      <c r="B282" t="s">
        <v>1064</v>
      </c>
      <c r="C282" t="s">
        <v>504</v>
      </c>
      <c r="D282">
        <v>8666.2999999999993</v>
      </c>
      <c r="E282">
        <v>8738</v>
      </c>
      <c r="F282">
        <v>71.7</v>
      </c>
      <c r="G282">
        <v>0.8</v>
      </c>
      <c r="H282">
        <v>0.1</v>
      </c>
      <c r="I282">
        <v>1112.7</v>
      </c>
      <c r="J282">
        <v>1404.9</v>
      </c>
      <c r="K282">
        <v>2.4</v>
      </c>
      <c r="L282" t="s">
        <v>422</v>
      </c>
    </row>
    <row r="283" spans="1:12" x14ac:dyDescent="0.25">
      <c r="A283" t="s">
        <v>1065</v>
      </c>
      <c r="B283" t="s">
        <v>1066</v>
      </c>
      <c r="C283" t="s">
        <v>507</v>
      </c>
      <c r="D283">
        <v>619.20000000000005</v>
      </c>
      <c r="E283">
        <v>655.6</v>
      </c>
      <c r="F283">
        <v>36.4</v>
      </c>
      <c r="G283">
        <v>5.9</v>
      </c>
      <c r="H283">
        <v>0.6</v>
      </c>
      <c r="I283">
        <v>94.1</v>
      </c>
      <c r="J283">
        <v>119.1</v>
      </c>
      <c r="K283">
        <v>2.4</v>
      </c>
    </row>
    <row r="284" spans="1:12" x14ac:dyDescent="0.25">
      <c r="A284" t="s">
        <v>1067</v>
      </c>
      <c r="B284" t="s">
        <v>1068</v>
      </c>
      <c r="C284" t="s">
        <v>507</v>
      </c>
      <c r="D284">
        <v>181.2</v>
      </c>
      <c r="E284">
        <v>191.9</v>
      </c>
      <c r="F284">
        <v>10.7</v>
      </c>
      <c r="G284">
        <v>5.9</v>
      </c>
      <c r="H284">
        <v>0.6</v>
      </c>
      <c r="I284">
        <v>28.4</v>
      </c>
      <c r="J284">
        <v>32.5</v>
      </c>
      <c r="K284">
        <v>1.4</v>
      </c>
    </row>
    <row r="285" spans="1:12" x14ac:dyDescent="0.25">
      <c r="A285" t="s">
        <v>1069</v>
      </c>
      <c r="B285" t="s">
        <v>1070</v>
      </c>
      <c r="C285" t="s">
        <v>504</v>
      </c>
      <c r="D285">
        <v>3332.3</v>
      </c>
      <c r="E285">
        <v>3240</v>
      </c>
      <c r="F285">
        <v>-92.3</v>
      </c>
      <c r="G285">
        <v>-2.8</v>
      </c>
      <c r="H285">
        <v>-0.3</v>
      </c>
      <c r="I285">
        <v>424.6</v>
      </c>
      <c r="J285">
        <v>545.20000000000005</v>
      </c>
      <c r="K285">
        <v>2.5</v>
      </c>
    </row>
    <row r="286" spans="1:12" x14ac:dyDescent="0.25">
      <c r="A286" t="s">
        <v>1071</v>
      </c>
      <c r="B286" t="s">
        <v>1072</v>
      </c>
      <c r="C286" t="s">
        <v>507</v>
      </c>
      <c r="D286">
        <v>2612.1</v>
      </c>
      <c r="E286">
        <v>2556.4</v>
      </c>
      <c r="F286">
        <v>-55.7</v>
      </c>
      <c r="G286">
        <v>-2.1</v>
      </c>
      <c r="H286">
        <v>-0.2</v>
      </c>
      <c r="I286" t="s">
        <v>508</v>
      </c>
      <c r="J286" t="s">
        <v>508</v>
      </c>
      <c r="K286" t="s">
        <v>508</v>
      </c>
    </row>
    <row r="287" spans="1:12" x14ac:dyDescent="0.25">
      <c r="A287" t="s">
        <v>1073</v>
      </c>
      <c r="B287" t="s">
        <v>1074</v>
      </c>
      <c r="C287" t="s">
        <v>507</v>
      </c>
      <c r="D287">
        <v>691</v>
      </c>
      <c r="E287">
        <v>671.8</v>
      </c>
      <c r="F287">
        <v>-19.2</v>
      </c>
      <c r="G287">
        <v>-2.8</v>
      </c>
      <c r="H287">
        <v>-0.3</v>
      </c>
      <c r="I287">
        <v>87.4</v>
      </c>
      <c r="J287">
        <v>108.6</v>
      </c>
      <c r="K287">
        <v>2.2000000000000002</v>
      </c>
    </row>
    <row r="288" spans="1:12" x14ac:dyDescent="0.25">
      <c r="A288" t="s">
        <v>1075</v>
      </c>
      <c r="B288" t="s">
        <v>1076</v>
      </c>
      <c r="C288" t="s">
        <v>507</v>
      </c>
      <c r="D288">
        <v>189.3</v>
      </c>
      <c r="E288">
        <v>198.5</v>
      </c>
      <c r="F288">
        <v>9.1999999999999993</v>
      </c>
      <c r="G288">
        <v>4.9000000000000004</v>
      </c>
      <c r="H288">
        <v>0.5</v>
      </c>
      <c r="I288">
        <v>83.7</v>
      </c>
      <c r="J288">
        <v>107.2</v>
      </c>
      <c r="K288">
        <v>2.5</v>
      </c>
    </row>
    <row r="289" spans="1:12" x14ac:dyDescent="0.25">
      <c r="A289" t="s">
        <v>1077</v>
      </c>
      <c r="B289" t="s">
        <v>1078</v>
      </c>
      <c r="C289" t="s">
        <v>504</v>
      </c>
      <c r="D289">
        <v>1025.8</v>
      </c>
      <c r="E289">
        <v>1086.0999999999999</v>
      </c>
      <c r="F289">
        <v>60.3</v>
      </c>
      <c r="G289">
        <v>5.9</v>
      </c>
      <c r="H289">
        <v>0.6</v>
      </c>
      <c r="I289">
        <v>61.2</v>
      </c>
      <c r="J289">
        <v>74.599999999999994</v>
      </c>
      <c r="K289">
        <v>2</v>
      </c>
    </row>
    <row r="290" spans="1:12" x14ac:dyDescent="0.25">
      <c r="A290" t="s">
        <v>1079</v>
      </c>
      <c r="B290" t="s">
        <v>1080</v>
      </c>
      <c r="C290" t="s">
        <v>507</v>
      </c>
      <c r="D290">
        <v>868.6</v>
      </c>
      <c r="E290">
        <v>910.2</v>
      </c>
      <c r="F290">
        <v>41.6</v>
      </c>
      <c r="G290">
        <v>4.8</v>
      </c>
      <c r="H290">
        <v>0.5</v>
      </c>
      <c r="I290" t="s">
        <v>508</v>
      </c>
      <c r="J290" t="s">
        <v>508</v>
      </c>
      <c r="K290" t="s">
        <v>508</v>
      </c>
    </row>
    <row r="291" spans="1:12" x14ac:dyDescent="0.25">
      <c r="A291" t="s">
        <v>1081</v>
      </c>
      <c r="B291" t="s">
        <v>1082</v>
      </c>
      <c r="C291" t="s">
        <v>507</v>
      </c>
      <c r="D291">
        <v>157.19999999999999</v>
      </c>
      <c r="E291">
        <v>176</v>
      </c>
      <c r="F291">
        <v>18.8</v>
      </c>
      <c r="G291">
        <v>11.9</v>
      </c>
      <c r="H291">
        <v>1.1000000000000001</v>
      </c>
      <c r="I291" t="s">
        <v>508</v>
      </c>
      <c r="J291" t="s">
        <v>508</v>
      </c>
      <c r="K291" t="s">
        <v>508</v>
      </c>
    </row>
    <row r="292" spans="1:12" x14ac:dyDescent="0.25">
      <c r="A292" t="s">
        <v>1083</v>
      </c>
      <c r="B292" t="s">
        <v>1084</v>
      </c>
      <c r="C292" t="s">
        <v>504</v>
      </c>
      <c r="D292">
        <v>2293.8000000000002</v>
      </c>
      <c r="E292">
        <v>2348.9</v>
      </c>
      <c r="F292">
        <v>55.1</v>
      </c>
      <c r="G292">
        <v>2.4</v>
      </c>
      <c r="H292">
        <v>0.2</v>
      </c>
      <c r="I292">
        <v>264.5</v>
      </c>
      <c r="J292">
        <v>331.3</v>
      </c>
      <c r="K292">
        <v>2.2999999999999998</v>
      </c>
    </row>
    <row r="293" spans="1:12" x14ac:dyDescent="0.25">
      <c r="A293" t="s">
        <v>1085</v>
      </c>
      <c r="B293" t="s">
        <v>1086</v>
      </c>
      <c r="C293" t="s">
        <v>507</v>
      </c>
      <c r="D293">
        <v>153.5</v>
      </c>
      <c r="E293">
        <v>158.5</v>
      </c>
      <c r="F293">
        <v>5</v>
      </c>
      <c r="G293">
        <v>3.3</v>
      </c>
      <c r="H293">
        <v>0.3</v>
      </c>
      <c r="I293" t="s">
        <v>508</v>
      </c>
      <c r="J293" t="s">
        <v>508</v>
      </c>
      <c r="K293" t="s">
        <v>508</v>
      </c>
    </row>
    <row r="294" spans="1:12" x14ac:dyDescent="0.25">
      <c r="A294" t="s">
        <v>1087</v>
      </c>
      <c r="B294" t="s">
        <v>1088</v>
      </c>
      <c r="C294" t="s">
        <v>507</v>
      </c>
      <c r="D294">
        <v>911.2</v>
      </c>
      <c r="E294">
        <v>934.8</v>
      </c>
      <c r="F294">
        <v>23.6</v>
      </c>
      <c r="G294">
        <v>2.6</v>
      </c>
      <c r="H294">
        <v>0.3</v>
      </c>
      <c r="I294" t="s">
        <v>508</v>
      </c>
      <c r="J294" t="s">
        <v>508</v>
      </c>
      <c r="K294" t="s">
        <v>508</v>
      </c>
    </row>
    <row r="295" spans="1:12" x14ac:dyDescent="0.25">
      <c r="A295" t="s">
        <v>1089</v>
      </c>
      <c r="B295" t="s">
        <v>1090</v>
      </c>
      <c r="C295" t="s">
        <v>507</v>
      </c>
      <c r="D295">
        <v>333.7</v>
      </c>
      <c r="E295">
        <v>345.2</v>
      </c>
      <c r="F295">
        <v>11.5</v>
      </c>
      <c r="G295">
        <v>3.4</v>
      </c>
      <c r="H295">
        <v>0.3</v>
      </c>
      <c r="I295">
        <v>72.2</v>
      </c>
      <c r="J295">
        <v>91.8</v>
      </c>
      <c r="K295">
        <v>2.4</v>
      </c>
    </row>
    <row r="296" spans="1:12" x14ac:dyDescent="0.25">
      <c r="A296" t="s">
        <v>1091</v>
      </c>
      <c r="B296" t="s">
        <v>1092</v>
      </c>
      <c r="C296" t="s">
        <v>504</v>
      </c>
      <c r="D296">
        <v>511.5</v>
      </c>
      <c r="E296">
        <v>541.5</v>
      </c>
      <c r="F296">
        <v>30</v>
      </c>
      <c r="G296">
        <v>5.9</v>
      </c>
      <c r="H296">
        <v>0.6</v>
      </c>
      <c r="I296">
        <v>125.4</v>
      </c>
      <c r="J296">
        <v>146.4</v>
      </c>
      <c r="K296">
        <v>1.6</v>
      </c>
      <c r="L296" t="s">
        <v>66</v>
      </c>
    </row>
    <row r="297" spans="1:12" x14ac:dyDescent="0.25">
      <c r="A297" t="s">
        <v>1093</v>
      </c>
      <c r="B297" t="s">
        <v>1094</v>
      </c>
      <c r="C297" t="s">
        <v>507</v>
      </c>
      <c r="D297">
        <v>217.2</v>
      </c>
      <c r="E297">
        <v>230.2</v>
      </c>
      <c r="F297">
        <v>13</v>
      </c>
      <c r="G297">
        <v>6</v>
      </c>
      <c r="H297">
        <v>0.6</v>
      </c>
      <c r="I297" t="s">
        <v>508</v>
      </c>
      <c r="J297" t="s">
        <v>508</v>
      </c>
      <c r="K297" t="s">
        <v>508</v>
      </c>
    </row>
    <row r="298" spans="1:12" x14ac:dyDescent="0.25">
      <c r="A298" t="s">
        <v>1095</v>
      </c>
      <c r="B298" t="s">
        <v>1096</v>
      </c>
      <c r="C298" t="s">
        <v>507</v>
      </c>
      <c r="D298">
        <v>108.4</v>
      </c>
      <c r="E298">
        <v>112.6</v>
      </c>
      <c r="F298">
        <v>4.2</v>
      </c>
      <c r="G298">
        <v>3.9</v>
      </c>
      <c r="H298">
        <v>0.4</v>
      </c>
      <c r="I298" t="s">
        <v>508</v>
      </c>
      <c r="J298" t="s">
        <v>508</v>
      </c>
      <c r="K298" t="s">
        <v>508</v>
      </c>
    </row>
    <row r="299" spans="1:12" x14ac:dyDescent="0.25">
      <c r="A299" t="s">
        <v>1097</v>
      </c>
      <c r="B299" t="s">
        <v>1098</v>
      </c>
      <c r="C299" t="s">
        <v>507</v>
      </c>
      <c r="D299">
        <v>185.9</v>
      </c>
      <c r="E299">
        <v>198.7</v>
      </c>
      <c r="F299">
        <v>12.8</v>
      </c>
      <c r="G299">
        <v>6.9</v>
      </c>
      <c r="H299">
        <v>0.7</v>
      </c>
      <c r="I299" t="s">
        <v>508</v>
      </c>
      <c r="J299" t="s">
        <v>508</v>
      </c>
      <c r="K299" t="s">
        <v>508</v>
      </c>
    </row>
    <row r="300" spans="1:12" x14ac:dyDescent="0.25">
      <c r="A300" t="s">
        <v>1099</v>
      </c>
      <c r="B300" t="s">
        <v>1100</v>
      </c>
      <c r="C300" t="s">
        <v>504</v>
      </c>
      <c r="D300">
        <v>14704.4</v>
      </c>
      <c r="E300">
        <v>14716.3</v>
      </c>
      <c r="F300">
        <v>11.9</v>
      </c>
      <c r="G300">
        <v>0.1</v>
      </c>
      <c r="H300">
        <v>0</v>
      </c>
      <c r="I300" t="s">
        <v>508</v>
      </c>
      <c r="J300" t="s">
        <v>508</v>
      </c>
      <c r="K300" t="s">
        <v>508</v>
      </c>
    </row>
    <row r="301" spans="1:12" x14ac:dyDescent="0.25">
      <c r="A301" t="s">
        <v>1101</v>
      </c>
      <c r="B301" t="s">
        <v>1102</v>
      </c>
      <c r="C301" t="s">
        <v>504</v>
      </c>
      <c r="D301">
        <v>14704.4</v>
      </c>
      <c r="E301">
        <v>14716.3</v>
      </c>
      <c r="F301">
        <v>11.9</v>
      </c>
      <c r="G301">
        <v>0.1</v>
      </c>
      <c r="H301">
        <v>0</v>
      </c>
      <c r="I301" t="s">
        <v>508</v>
      </c>
      <c r="J301" t="s">
        <v>508</v>
      </c>
      <c r="K301" t="s">
        <v>508</v>
      </c>
    </row>
    <row r="302" spans="1:12" x14ac:dyDescent="0.25">
      <c r="A302" t="s">
        <v>1103</v>
      </c>
      <c r="B302" t="s">
        <v>1104</v>
      </c>
      <c r="C302" t="s">
        <v>504</v>
      </c>
      <c r="D302">
        <v>3962.5</v>
      </c>
      <c r="E302">
        <v>4036.8</v>
      </c>
      <c r="F302">
        <v>74.3</v>
      </c>
      <c r="G302">
        <v>1.9</v>
      </c>
      <c r="H302">
        <v>0.2</v>
      </c>
      <c r="I302">
        <v>412.5</v>
      </c>
      <c r="J302">
        <v>475.5</v>
      </c>
      <c r="K302">
        <v>1.4</v>
      </c>
      <c r="L302" t="s">
        <v>432</v>
      </c>
    </row>
    <row r="303" spans="1:12" x14ac:dyDescent="0.25">
      <c r="A303" t="s">
        <v>1105</v>
      </c>
      <c r="B303" t="s">
        <v>1106</v>
      </c>
      <c r="C303" t="s">
        <v>507</v>
      </c>
      <c r="D303">
        <v>1199.4000000000001</v>
      </c>
      <c r="E303">
        <v>1194.5999999999999</v>
      </c>
      <c r="F303">
        <v>-4.8</v>
      </c>
      <c r="G303">
        <v>-0.4</v>
      </c>
      <c r="H303">
        <v>0</v>
      </c>
      <c r="I303">
        <v>55.5</v>
      </c>
      <c r="J303">
        <v>58.5</v>
      </c>
      <c r="K303">
        <v>0.5</v>
      </c>
    </row>
    <row r="304" spans="1:12" x14ac:dyDescent="0.25">
      <c r="A304" t="s">
        <v>1107</v>
      </c>
      <c r="B304" t="s">
        <v>1108</v>
      </c>
      <c r="C304" t="s">
        <v>504</v>
      </c>
      <c r="D304">
        <v>1790.5</v>
      </c>
      <c r="E304">
        <v>1797.9</v>
      </c>
      <c r="F304">
        <v>7.4</v>
      </c>
      <c r="G304">
        <v>0.4</v>
      </c>
      <c r="H304">
        <v>0</v>
      </c>
      <c r="I304">
        <v>238.6</v>
      </c>
      <c r="J304">
        <v>267.5</v>
      </c>
      <c r="K304">
        <v>1.2</v>
      </c>
    </row>
    <row r="305" spans="1:12" x14ac:dyDescent="0.25">
      <c r="A305" t="s">
        <v>1109</v>
      </c>
      <c r="B305" t="s">
        <v>1110</v>
      </c>
      <c r="C305" t="s">
        <v>507</v>
      </c>
      <c r="D305">
        <v>27.5</v>
      </c>
      <c r="E305">
        <v>27.1</v>
      </c>
      <c r="F305">
        <v>-0.5</v>
      </c>
      <c r="G305">
        <v>-1.7</v>
      </c>
      <c r="H305">
        <v>-0.1</v>
      </c>
      <c r="I305" t="s">
        <v>508</v>
      </c>
      <c r="J305" t="s">
        <v>508</v>
      </c>
      <c r="K305" t="s">
        <v>508</v>
      </c>
    </row>
    <row r="306" spans="1:12" x14ac:dyDescent="0.25">
      <c r="A306" t="s">
        <v>1111</v>
      </c>
      <c r="B306" t="s">
        <v>1112</v>
      </c>
      <c r="C306" t="s">
        <v>507</v>
      </c>
      <c r="D306">
        <v>1763</v>
      </c>
      <c r="E306">
        <v>1770.8</v>
      </c>
      <c r="F306">
        <v>7.9</v>
      </c>
      <c r="G306">
        <v>0.4</v>
      </c>
      <c r="H306">
        <v>0</v>
      </c>
      <c r="I306" t="s">
        <v>508</v>
      </c>
      <c r="J306" t="s">
        <v>508</v>
      </c>
      <c r="K306" t="s">
        <v>508</v>
      </c>
    </row>
    <row r="307" spans="1:12" x14ac:dyDescent="0.25">
      <c r="A307" t="s">
        <v>1113</v>
      </c>
      <c r="B307" t="s">
        <v>1114</v>
      </c>
      <c r="C307" t="s">
        <v>504</v>
      </c>
      <c r="D307">
        <v>972.6</v>
      </c>
      <c r="E307">
        <v>1044.3</v>
      </c>
      <c r="F307">
        <v>71.7</v>
      </c>
      <c r="G307">
        <v>7.4</v>
      </c>
      <c r="H307">
        <v>0.7</v>
      </c>
      <c r="I307">
        <v>119.4</v>
      </c>
      <c r="J307">
        <v>153.4</v>
      </c>
      <c r="K307">
        <v>2.5</v>
      </c>
    </row>
    <row r="308" spans="1:12" x14ac:dyDescent="0.25">
      <c r="A308" t="s">
        <v>1115</v>
      </c>
      <c r="B308" t="s">
        <v>1116</v>
      </c>
      <c r="C308" t="s">
        <v>507</v>
      </c>
      <c r="D308">
        <v>85.5</v>
      </c>
      <c r="E308">
        <v>94</v>
      </c>
      <c r="F308">
        <v>8.5</v>
      </c>
      <c r="G308">
        <v>9.9</v>
      </c>
      <c r="H308">
        <v>1</v>
      </c>
      <c r="I308" t="s">
        <v>508</v>
      </c>
      <c r="J308" t="s">
        <v>508</v>
      </c>
      <c r="K308" t="s">
        <v>508</v>
      </c>
    </row>
    <row r="309" spans="1:12" x14ac:dyDescent="0.25">
      <c r="A309" t="s">
        <v>1117</v>
      </c>
      <c r="B309" t="s">
        <v>1118</v>
      </c>
      <c r="C309" t="s">
        <v>507</v>
      </c>
      <c r="D309">
        <v>129.19999999999999</v>
      </c>
      <c r="E309">
        <v>134.69999999999999</v>
      </c>
      <c r="F309">
        <v>5.5</v>
      </c>
      <c r="G309">
        <v>4.3</v>
      </c>
      <c r="H309">
        <v>0.4</v>
      </c>
      <c r="I309" t="s">
        <v>508</v>
      </c>
      <c r="J309" t="s">
        <v>508</v>
      </c>
      <c r="K309" t="s">
        <v>508</v>
      </c>
    </row>
    <row r="310" spans="1:12" x14ac:dyDescent="0.25">
      <c r="A310" t="s">
        <v>1119</v>
      </c>
      <c r="B310" t="s">
        <v>1120</v>
      </c>
      <c r="C310" t="s">
        <v>507</v>
      </c>
      <c r="D310">
        <v>550.20000000000005</v>
      </c>
      <c r="E310">
        <v>588.5</v>
      </c>
      <c r="F310">
        <v>38.299999999999997</v>
      </c>
      <c r="G310">
        <v>7</v>
      </c>
      <c r="H310">
        <v>0.7</v>
      </c>
      <c r="I310" t="s">
        <v>508</v>
      </c>
      <c r="J310" t="s">
        <v>508</v>
      </c>
      <c r="K310" t="s">
        <v>508</v>
      </c>
    </row>
    <row r="311" spans="1:12" x14ac:dyDescent="0.25">
      <c r="A311" t="s">
        <v>1121</v>
      </c>
      <c r="B311" t="s">
        <v>1122</v>
      </c>
      <c r="C311" t="s">
        <v>507</v>
      </c>
      <c r="D311">
        <v>207.7</v>
      </c>
      <c r="E311">
        <v>227.1</v>
      </c>
      <c r="F311">
        <v>19.399999999999999</v>
      </c>
      <c r="G311">
        <v>9.4</v>
      </c>
      <c r="H311">
        <v>0.9</v>
      </c>
      <c r="I311" t="s">
        <v>508</v>
      </c>
      <c r="J311" t="s">
        <v>508</v>
      </c>
      <c r="K311" t="s">
        <v>508</v>
      </c>
    </row>
    <row r="312" spans="1:12" x14ac:dyDescent="0.25">
      <c r="A312" t="s">
        <v>1123</v>
      </c>
      <c r="B312" t="s">
        <v>1124</v>
      </c>
      <c r="C312" t="s">
        <v>504</v>
      </c>
      <c r="D312">
        <v>10741.9</v>
      </c>
      <c r="E312">
        <v>10679.5</v>
      </c>
      <c r="F312">
        <v>-62.4</v>
      </c>
      <c r="G312">
        <v>-0.6</v>
      </c>
      <c r="H312">
        <v>-0.1</v>
      </c>
      <c r="I312">
        <v>1172.9000000000001</v>
      </c>
      <c r="J312">
        <v>1183.5999999999999</v>
      </c>
      <c r="K312">
        <v>0.1</v>
      </c>
      <c r="L312" t="s">
        <v>432</v>
      </c>
    </row>
    <row r="313" spans="1:12" x14ac:dyDescent="0.25">
      <c r="A313" t="s">
        <v>1125</v>
      </c>
      <c r="B313" t="s">
        <v>1126</v>
      </c>
      <c r="C313" t="s">
        <v>507</v>
      </c>
      <c r="D313">
        <v>81.599999999999994</v>
      </c>
      <c r="E313">
        <v>77.599999999999994</v>
      </c>
      <c r="F313">
        <v>-4</v>
      </c>
      <c r="G313">
        <v>-4.9000000000000004</v>
      </c>
      <c r="H313">
        <v>-0.5</v>
      </c>
      <c r="I313" t="s">
        <v>508</v>
      </c>
      <c r="J313" t="s">
        <v>508</v>
      </c>
      <c r="K313" t="s">
        <v>508</v>
      </c>
    </row>
    <row r="314" spans="1:12" x14ac:dyDescent="0.25">
      <c r="A314" t="s">
        <v>1127</v>
      </c>
      <c r="B314" t="s">
        <v>1128</v>
      </c>
      <c r="C314" t="s">
        <v>507</v>
      </c>
      <c r="D314">
        <v>7600.9</v>
      </c>
      <c r="E314">
        <v>7413</v>
      </c>
      <c r="F314">
        <v>-187.9</v>
      </c>
      <c r="G314">
        <v>-2.5</v>
      </c>
      <c r="H314">
        <v>-0.3</v>
      </c>
      <c r="I314" t="s">
        <v>508</v>
      </c>
      <c r="J314" t="s">
        <v>508</v>
      </c>
      <c r="K314" t="s">
        <v>508</v>
      </c>
    </row>
    <row r="315" spans="1:12" x14ac:dyDescent="0.25">
      <c r="A315" t="s">
        <v>1129</v>
      </c>
      <c r="B315" t="s">
        <v>1130</v>
      </c>
      <c r="C315" t="s">
        <v>504</v>
      </c>
      <c r="D315">
        <v>2977.5</v>
      </c>
      <c r="E315">
        <v>3100.1</v>
      </c>
      <c r="F315">
        <v>122.5</v>
      </c>
      <c r="G315">
        <v>4.0999999999999996</v>
      </c>
      <c r="H315">
        <v>0.4</v>
      </c>
      <c r="I315" t="s">
        <v>508</v>
      </c>
      <c r="J315" t="s">
        <v>508</v>
      </c>
      <c r="K315" t="s">
        <v>508</v>
      </c>
    </row>
    <row r="316" spans="1:12" x14ac:dyDescent="0.25">
      <c r="A316" t="s">
        <v>1131</v>
      </c>
      <c r="B316" t="s">
        <v>1132</v>
      </c>
      <c r="C316" t="s">
        <v>507</v>
      </c>
      <c r="D316">
        <v>260.7</v>
      </c>
      <c r="E316">
        <v>265.2</v>
      </c>
      <c r="F316">
        <v>4.5</v>
      </c>
      <c r="G316">
        <v>1.7</v>
      </c>
      <c r="H316">
        <v>0.2</v>
      </c>
      <c r="I316" t="s">
        <v>508</v>
      </c>
      <c r="J316" t="s">
        <v>508</v>
      </c>
      <c r="K316" t="s">
        <v>508</v>
      </c>
    </row>
    <row r="317" spans="1:12" x14ac:dyDescent="0.25">
      <c r="A317" t="s">
        <v>1133</v>
      </c>
      <c r="B317" t="s">
        <v>1134</v>
      </c>
      <c r="C317" t="s">
        <v>507</v>
      </c>
      <c r="D317">
        <v>399.1</v>
      </c>
      <c r="E317">
        <v>396.8</v>
      </c>
      <c r="F317">
        <v>-2.2999999999999998</v>
      </c>
      <c r="G317">
        <v>-0.6</v>
      </c>
      <c r="H317">
        <v>-0.1</v>
      </c>
      <c r="I317" t="s">
        <v>508</v>
      </c>
      <c r="J317" t="s">
        <v>508</v>
      </c>
      <c r="K317" t="s">
        <v>508</v>
      </c>
    </row>
    <row r="318" spans="1:12" x14ac:dyDescent="0.25">
      <c r="A318" t="s">
        <v>1135</v>
      </c>
      <c r="B318" t="s">
        <v>1136</v>
      </c>
      <c r="C318" t="s">
        <v>507</v>
      </c>
      <c r="D318">
        <v>2242.9</v>
      </c>
      <c r="E318">
        <v>2360.1999999999998</v>
      </c>
      <c r="F318">
        <v>117.3</v>
      </c>
      <c r="G318">
        <v>5.2</v>
      </c>
      <c r="H318">
        <v>0.5</v>
      </c>
      <c r="I318" t="s">
        <v>508</v>
      </c>
      <c r="J318" t="s">
        <v>508</v>
      </c>
      <c r="K318" t="s">
        <v>508</v>
      </c>
    </row>
    <row r="319" spans="1:12" x14ac:dyDescent="0.25">
      <c r="A319" t="s">
        <v>1137</v>
      </c>
      <c r="B319" t="s">
        <v>1138</v>
      </c>
      <c r="C319" t="s">
        <v>507</v>
      </c>
      <c r="D319">
        <v>74.8</v>
      </c>
      <c r="E319">
        <v>78</v>
      </c>
      <c r="F319">
        <v>3.1</v>
      </c>
      <c r="G319">
        <v>4.2</v>
      </c>
      <c r="H319">
        <v>0.4</v>
      </c>
      <c r="I319" t="s">
        <v>508</v>
      </c>
      <c r="J319" t="s">
        <v>508</v>
      </c>
      <c r="K319" t="s">
        <v>508</v>
      </c>
    </row>
    <row r="320" spans="1:12" x14ac:dyDescent="0.25">
      <c r="A320" t="s">
        <v>1139</v>
      </c>
      <c r="B320" t="s">
        <v>1140</v>
      </c>
      <c r="C320" t="s">
        <v>504</v>
      </c>
      <c r="D320">
        <v>81.900000000000006</v>
      </c>
      <c r="E320">
        <v>88.8</v>
      </c>
      <c r="F320">
        <v>6.9</v>
      </c>
      <c r="G320">
        <v>8.5</v>
      </c>
      <c r="H320">
        <v>0.8</v>
      </c>
      <c r="I320" t="s">
        <v>508</v>
      </c>
      <c r="J320" t="s">
        <v>508</v>
      </c>
      <c r="K320" t="s">
        <v>508</v>
      </c>
    </row>
    <row r="321" spans="1:12" x14ac:dyDescent="0.25">
      <c r="A321" t="s">
        <v>1141</v>
      </c>
      <c r="B321" t="s">
        <v>1142</v>
      </c>
      <c r="C321" t="s">
        <v>507</v>
      </c>
      <c r="D321">
        <v>2.9</v>
      </c>
      <c r="E321">
        <v>3.1</v>
      </c>
      <c r="F321">
        <v>0.2</v>
      </c>
      <c r="G321">
        <v>8.1999999999999993</v>
      </c>
      <c r="H321">
        <v>0.7</v>
      </c>
      <c r="I321" t="s">
        <v>508</v>
      </c>
      <c r="J321" t="s">
        <v>508</v>
      </c>
      <c r="K321" t="s">
        <v>508</v>
      </c>
    </row>
    <row r="322" spans="1:12" x14ac:dyDescent="0.25">
      <c r="A322" t="s">
        <v>1143</v>
      </c>
      <c r="B322" t="s">
        <v>1144</v>
      </c>
      <c r="C322" t="s">
        <v>507</v>
      </c>
      <c r="D322">
        <v>2.2999999999999998</v>
      </c>
      <c r="E322">
        <v>2.4</v>
      </c>
      <c r="F322">
        <v>0.1</v>
      </c>
      <c r="G322">
        <v>6.5</v>
      </c>
      <c r="H322">
        <v>0.4</v>
      </c>
      <c r="I322" t="s">
        <v>508</v>
      </c>
      <c r="J322" t="s">
        <v>508</v>
      </c>
      <c r="K322" t="s">
        <v>508</v>
      </c>
    </row>
    <row r="323" spans="1:12" x14ac:dyDescent="0.25">
      <c r="A323" t="s">
        <v>1145</v>
      </c>
      <c r="B323" t="s">
        <v>1146</v>
      </c>
      <c r="C323" t="s">
        <v>507</v>
      </c>
      <c r="D323">
        <v>14.7</v>
      </c>
      <c r="E323">
        <v>15.3</v>
      </c>
      <c r="F323">
        <v>0.6</v>
      </c>
      <c r="G323">
        <v>4.0999999999999996</v>
      </c>
      <c r="H323">
        <v>0.4</v>
      </c>
      <c r="I323" t="s">
        <v>508</v>
      </c>
      <c r="J323" t="s">
        <v>508</v>
      </c>
      <c r="K323" t="s">
        <v>508</v>
      </c>
    </row>
    <row r="324" spans="1:12" x14ac:dyDescent="0.25">
      <c r="A324" t="s">
        <v>1147</v>
      </c>
      <c r="B324" t="s">
        <v>1148</v>
      </c>
      <c r="C324" t="s">
        <v>507</v>
      </c>
      <c r="D324">
        <v>10.6</v>
      </c>
      <c r="E324">
        <v>10.8</v>
      </c>
      <c r="F324">
        <v>0.3</v>
      </c>
      <c r="G324">
        <v>2.7</v>
      </c>
      <c r="H324">
        <v>0.2</v>
      </c>
      <c r="I324" t="s">
        <v>508</v>
      </c>
      <c r="J324" t="s">
        <v>508</v>
      </c>
      <c r="K324" t="s">
        <v>508</v>
      </c>
    </row>
    <row r="325" spans="1:12" x14ac:dyDescent="0.25">
      <c r="A325" t="s">
        <v>1149</v>
      </c>
      <c r="B325" t="s">
        <v>1150</v>
      </c>
      <c r="C325" t="s">
        <v>507</v>
      </c>
      <c r="D325">
        <v>1.6</v>
      </c>
      <c r="E325">
        <v>1.6</v>
      </c>
      <c r="F325">
        <v>0.1</v>
      </c>
      <c r="G325">
        <v>4.4000000000000004</v>
      </c>
      <c r="H325">
        <v>0</v>
      </c>
      <c r="I325" t="s">
        <v>508</v>
      </c>
      <c r="J325" t="s">
        <v>508</v>
      </c>
      <c r="K325" t="s">
        <v>508</v>
      </c>
    </row>
    <row r="326" spans="1:12" x14ac:dyDescent="0.25">
      <c r="A326" t="s">
        <v>1151</v>
      </c>
      <c r="B326" t="s">
        <v>1152</v>
      </c>
      <c r="C326" t="s">
        <v>507</v>
      </c>
      <c r="D326">
        <v>8.8000000000000007</v>
      </c>
      <c r="E326">
        <v>8.4</v>
      </c>
      <c r="F326">
        <v>-0.5</v>
      </c>
      <c r="G326">
        <v>-5.5</v>
      </c>
      <c r="H326">
        <v>-0.5</v>
      </c>
      <c r="I326" t="s">
        <v>508</v>
      </c>
      <c r="J326" t="s">
        <v>508</v>
      </c>
      <c r="K326" t="s">
        <v>508</v>
      </c>
    </row>
    <row r="327" spans="1:12" x14ac:dyDescent="0.25">
      <c r="A327" t="s">
        <v>1153</v>
      </c>
      <c r="B327" t="s">
        <v>1154</v>
      </c>
      <c r="C327" t="s">
        <v>507</v>
      </c>
      <c r="D327">
        <v>40.9</v>
      </c>
      <c r="E327">
        <v>47</v>
      </c>
      <c r="F327">
        <v>6.1</v>
      </c>
      <c r="G327">
        <v>14.8</v>
      </c>
      <c r="H327">
        <v>1.4</v>
      </c>
      <c r="I327" t="s">
        <v>508</v>
      </c>
      <c r="J327" t="s">
        <v>508</v>
      </c>
      <c r="K327" t="s">
        <v>508</v>
      </c>
    </row>
    <row r="328" spans="1:12" x14ac:dyDescent="0.25">
      <c r="A328" t="s">
        <v>1155</v>
      </c>
      <c r="B328" t="s">
        <v>1156</v>
      </c>
      <c r="C328" t="s">
        <v>504</v>
      </c>
      <c r="D328">
        <v>23692.2</v>
      </c>
      <c r="E328">
        <v>25674.9</v>
      </c>
      <c r="F328">
        <v>1982.7</v>
      </c>
      <c r="G328">
        <v>8.4</v>
      </c>
      <c r="H328">
        <v>0.8</v>
      </c>
      <c r="I328" t="s">
        <v>508</v>
      </c>
      <c r="J328" t="s">
        <v>508</v>
      </c>
      <c r="K328" t="s">
        <v>508</v>
      </c>
    </row>
    <row r="329" spans="1:12" x14ac:dyDescent="0.25">
      <c r="A329" t="s">
        <v>1157</v>
      </c>
      <c r="B329" t="s">
        <v>1158</v>
      </c>
      <c r="C329" t="s">
        <v>504</v>
      </c>
      <c r="D329">
        <v>8784.9</v>
      </c>
      <c r="E329">
        <v>9852.7999999999993</v>
      </c>
      <c r="F329">
        <v>1067.9000000000001</v>
      </c>
      <c r="G329">
        <v>12.2</v>
      </c>
      <c r="H329">
        <v>1.2</v>
      </c>
      <c r="I329">
        <v>1417.6</v>
      </c>
      <c r="J329">
        <v>1929</v>
      </c>
      <c r="K329">
        <v>3.1</v>
      </c>
      <c r="L329" t="s">
        <v>436</v>
      </c>
    </row>
    <row r="330" spans="1:12" x14ac:dyDescent="0.25">
      <c r="A330" t="s">
        <v>1159</v>
      </c>
      <c r="B330" t="s">
        <v>1160</v>
      </c>
      <c r="C330" t="s">
        <v>507</v>
      </c>
      <c r="D330">
        <v>2975.4</v>
      </c>
      <c r="E330">
        <v>3180</v>
      </c>
      <c r="F330">
        <v>204.6</v>
      </c>
      <c r="G330">
        <v>6.9</v>
      </c>
      <c r="H330">
        <v>0.7</v>
      </c>
      <c r="I330">
        <v>646.9</v>
      </c>
      <c r="J330">
        <v>893.9</v>
      </c>
      <c r="K330">
        <v>3.3</v>
      </c>
    </row>
    <row r="331" spans="1:12" x14ac:dyDescent="0.25">
      <c r="A331" t="s">
        <v>1161</v>
      </c>
      <c r="B331" t="s">
        <v>1162</v>
      </c>
      <c r="C331" t="s">
        <v>507</v>
      </c>
      <c r="D331">
        <v>1045.5</v>
      </c>
      <c r="E331">
        <v>1101.8</v>
      </c>
      <c r="F331">
        <v>56.3</v>
      </c>
      <c r="G331">
        <v>5.4</v>
      </c>
      <c r="H331">
        <v>0.5</v>
      </c>
      <c r="I331">
        <v>146.69999999999999</v>
      </c>
      <c r="J331">
        <v>164.3</v>
      </c>
      <c r="K331">
        <v>1.1000000000000001</v>
      </c>
    </row>
    <row r="332" spans="1:12" x14ac:dyDescent="0.25">
      <c r="A332" t="s">
        <v>1163</v>
      </c>
      <c r="B332" t="s">
        <v>1164</v>
      </c>
      <c r="C332" t="s">
        <v>504</v>
      </c>
      <c r="D332">
        <v>1232.2</v>
      </c>
      <c r="E332">
        <v>1457.8</v>
      </c>
      <c r="F332">
        <v>225.6</v>
      </c>
      <c r="G332">
        <v>18.3</v>
      </c>
      <c r="H332">
        <v>1.7</v>
      </c>
      <c r="I332">
        <v>164.6</v>
      </c>
      <c r="J332">
        <v>235.3</v>
      </c>
      <c r="K332">
        <v>3.6</v>
      </c>
    </row>
    <row r="333" spans="1:12" x14ac:dyDescent="0.25">
      <c r="A333" t="s">
        <v>1165</v>
      </c>
      <c r="B333" t="s">
        <v>1166</v>
      </c>
      <c r="C333" t="s">
        <v>507</v>
      </c>
      <c r="D333">
        <v>146.9</v>
      </c>
      <c r="E333">
        <v>156</v>
      </c>
      <c r="F333">
        <v>9.1</v>
      </c>
      <c r="G333">
        <v>6.2</v>
      </c>
      <c r="H333">
        <v>0.6</v>
      </c>
      <c r="I333" t="s">
        <v>508</v>
      </c>
      <c r="J333" t="s">
        <v>508</v>
      </c>
      <c r="K333" t="s">
        <v>508</v>
      </c>
    </row>
    <row r="334" spans="1:12" x14ac:dyDescent="0.25">
      <c r="A334" t="s">
        <v>1167</v>
      </c>
      <c r="B334" t="s">
        <v>1168</v>
      </c>
      <c r="C334" t="s">
        <v>507</v>
      </c>
      <c r="D334">
        <v>154.5</v>
      </c>
      <c r="E334">
        <v>166.2</v>
      </c>
      <c r="F334">
        <v>11.7</v>
      </c>
      <c r="G334">
        <v>7.6</v>
      </c>
      <c r="H334">
        <v>0.7</v>
      </c>
      <c r="I334" t="s">
        <v>508</v>
      </c>
      <c r="J334" t="s">
        <v>508</v>
      </c>
      <c r="K334" t="s">
        <v>508</v>
      </c>
    </row>
    <row r="335" spans="1:12" x14ac:dyDescent="0.25">
      <c r="A335" t="s">
        <v>1169</v>
      </c>
      <c r="B335" t="s">
        <v>1170</v>
      </c>
      <c r="C335" t="s">
        <v>507</v>
      </c>
      <c r="D335">
        <v>247.9</v>
      </c>
      <c r="E335">
        <v>313.39999999999998</v>
      </c>
      <c r="F335">
        <v>65.5</v>
      </c>
      <c r="G335">
        <v>26.4</v>
      </c>
      <c r="H335">
        <v>2.4</v>
      </c>
      <c r="I335" t="s">
        <v>508</v>
      </c>
      <c r="J335" t="s">
        <v>508</v>
      </c>
      <c r="K335" t="s">
        <v>508</v>
      </c>
    </row>
    <row r="336" spans="1:12" x14ac:dyDescent="0.25">
      <c r="A336" t="s">
        <v>1171</v>
      </c>
      <c r="B336" t="s">
        <v>1172</v>
      </c>
      <c r="C336" t="s">
        <v>507</v>
      </c>
      <c r="D336">
        <v>493.1</v>
      </c>
      <c r="E336">
        <v>607.9</v>
      </c>
      <c r="F336">
        <v>114.8</v>
      </c>
      <c r="G336">
        <v>23.3</v>
      </c>
      <c r="H336">
        <v>2.1</v>
      </c>
      <c r="I336" t="s">
        <v>508</v>
      </c>
      <c r="J336" t="s">
        <v>508</v>
      </c>
      <c r="K336" t="s">
        <v>508</v>
      </c>
    </row>
    <row r="337" spans="1:12" x14ac:dyDescent="0.25">
      <c r="A337" t="s">
        <v>1173</v>
      </c>
      <c r="B337" t="s">
        <v>1174</v>
      </c>
      <c r="C337" t="s">
        <v>507</v>
      </c>
      <c r="D337">
        <v>189.8</v>
      </c>
      <c r="E337">
        <v>214.3</v>
      </c>
      <c r="F337">
        <v>24.5</v>
      </c>
      <c r="G337">
        <v>12.9</v>
      </c>
      <c r="H337">
        <v>1.2</v>
      </c>
      <c r="I337" t="s">
        <v>508</v>
      </c>
      <c r="J337" t="s">
        <v>508</v>
      </c>
      <c r="K337" t="s">
        <v>508</v>
      </c>
    </row>
    <row r="338" spans="1:12" x14ac:dyDescent="0.25">
      <c r="A338" t="s">
        <v>1175</v>
      </c>
      <c r="B338" t="s">
        <v>1176</v>
      </c>
      <c r="C338" t="s">
        <v>504</v>
      </c>
      <c r="D338">
        <v>1115.0999999999999</v>
      </c>
      <c r="E338">
        <v>1324.8</v>
      </c>
      <c r="F338">
        <v>209.7</v>
      </c>
      <c r="G338">
        <v>18.8</v>
      </c>
      <c r="H338">
        <v>1.7</v>
      </c>
      <c r="I338">
        <v>217.8</v>
      </c>
      <c r="J338">
        <v>307.39999999999998</v>
      </c>
      <c r="K338">
        <v>3.5</v>
      </c>
    </row>
    <row r="339" spans="1:12" x14ac:dyDescent="0.25">
      <c r="A339" t="s">
        <v>1177</v>
      </c>
      <c r="B339" t="s">
        <v>1178</v>
      </c>
      <c r="C339" t="s">
        <v>507</v>
      </c>
      <c r="D339">
        <v>314.8</v>
      </c>
      <c r="E339">
        <v>377.6</v>
      </c>
      <c r="F339">
        <v>62.8</v>
      </c>
      <c r="G339">
        <v>19.899999999999999</v>
      </c>
      <c r="H339">
        <v>1.8</v>
      </c>
      <c r="I339" t="s">
        <v>508</v>
      </c>
      <c r="J339" t="s">
        <v>508</v>
      </c>
      <c r="K339" t="s">
        <v>508</v>
      </c>
    </row>
    <row r="340" spans="1:12" x14ac:dyDescent="0.25">
      <c r="A340" t="s">
        <v>1179</v>
      </c>
      <c r="B340" t="s">
        <v>1180</v>
      </c>
      <c r="C340" t="s">
        <v>507</v>
      </c>
      <c r="D340">
        <v>308</v>
      </c>
      <c r="E340">
        <v>327.7</v>
      </c>
      <c r="F340">
        <v>19.7</v>
      </c>
      <c r="G340">
        <v>6.4</v>
      </c>
      <c r="H340">
        <v>0.6</v>
      </c>
      <c r="I340">
        <v>75.900000000000006</v>
      </c>
      <c r="J340">
        <v>99.1</v>
      </c>
      <c r="K340">
        <v>2.7</v>
      </c>
    </row>
    <row r="341" spans="1:12" x14ac:dyDescent="0.25">
      <c r="A341" t="s">
        <v>1181</v>
      </c>
      <c r="B341" t="s">
        <v>1182</v>
      </c>
      <c r="C341" t="s">
        <v>507</v>
      </c>
      <c r="D341">
        <v>1750.8</v>
      </c>
      <c r="E341">
        <v>2076.6</v>
      </c>
      <c r="F341">
        <v>325.8</v>
      </c>
      <c r="G341">
        <v>18.600000000000001</v>
      </c>
      <c r="H341">
        <v>1.7</v>
      </c>
      <c r="I341">
        <v>120.6</v>
      </c>
      <c r="J341">
        <v>176.6</v>
      </c>
      <c r="K341">
        <v>3.9</v>
      </c>
    </row>
    <row r="342" spans="1:12" x14ac:dyDescent="0.25">
      <c r="A342" t="s">
        <v>1183</v>
      </c>
      <c r="B342" t="s">
        <v>1184</v>
      </c>
      <c r="C342" t="s">
        <v>504</v>
      </c>
      <c r="D342">
        <v>357.9</v>
      </c>
      <c r="E342">
        <v>384.3</v>
      </c>
      <c r="F342">
        <v>26.4</v>
      </c>
      <c r="G342">
        <v>7.4</v>
      </c>
      <c r="H342">
        <v>0.7</v>
      </c>
      <c r="I342">
        <v>46.3</v>
      </c>
      <c r="J342">
        <v>61.5</v>
      </c>
      <c r="K342">
        <v>2.9</v>
      </c>
    </row>
    <row r="343" spans="1:12" x14ac:dyDescent="0.25">
      <c r="A343" t="s">
        <v>1185</v>
      </c>
      <c r="B343" t="s">
        <v>1186</v>
      </c>
      <c r="C343" t="s">
        <v>507</v>
      </c>
      <c r="D343">
        <v>170.5</v>
      </c>
      <c r="E343">
        <v>176.8</v>
      </c>
      <c r="F343">
        <v>6.3</v>
      </c>
      <c r="G343">
        <v>3.7</v>
      </c>
      <c r="H343">
        <v>0.4</v>
      </c>
      <c r="I343" t="s">
        <v>508</v>
      </c>
      <c r="J343" t="s">
        <v>508</v>
      </c>
      <c r="K343" t="s">
        <v>508</v>
      </c>
    </row>
    <row r="344" spans="1:12" x14ac:dyDescent="0.25">
      <c r="A344" t="s">
        <v>1187</v>
      </c>
      <c r="B344" t="s">
        <v>1188</v>
      </c>
      <c r="C344" t="s">
        <v>507</v>
      </c>
      <c r="D344">
        <v>187.4</v>
      </c>
      <c r="E344">
        <v>207.5</v>
      </c>
      <c r="F344">
        <v>20.100000000000001</v>
      </c>
      <c r="G344">
        <v>10.7</v>
      </c>
      <c r="H344">
        <v>1</v>
      </c>
      <c r="I344" t="s">
        <v>508</v>
      </c>
      <c r="J344" t="s">
        <v>508</v>
      </c>
      <c r="K344" t="s">
        <v>508</v>
      </c>
    </row>
    <row r="345" spans="1:12" x14ac:dyDescent="0.25">
      <c r="A345" t="s">
        <v>1189</v>
      </c>
      <c r="B345" t="s">
        <v>1190</v>
      </c>
      <c r="C345" t="s">
        <v>504</v>
      </c>
      <c r="D345">
        <v>6715.9</v>
      </c>
      <c r="E345">
        <v>6980.7</v>
      </c>
      <c r="F345">
        <v>264.8</v>
      </c>
      <c r="G345">
        <v>3.9</v>
      </c>
      <c r="H345">
        <v>0.4</v>
      </c>
      <c r="I345" t="s">
        <v>508</v>
      </c>
      <c r="J345" t="s">
        <v>508</v>
      </c>
      <c r="K345" t="s">
        <v>508</v>
      </c>
    </row>
    <row r="346" spans="1:12" x14ac:dyDescent="0.25">
      <c r="A346" t="s">
        <v>1191</v>
      </c>
      <c r="B346" t="s">
        <v>1192</v>
      </c>
      <c r="C346" t="s">
        <v>504</v>
      </c>
      <c r="D346">
        <v>5551.1</v>
      </c>
      <c r="E346">
        <v>5794.8</v>
      </c>
      <c r="F346">
        <v>243.7</v>
      </c>
      <c r="G346">
        <v>4.4000000000000004</v>
      </c>
      <c r="H346">
        <v>0.4</v>
      </c>
      <c r="I346">
        <v>1007.8</v>
      </c>
      <c r="J346">
        <v>1311</v>
      </c>
      <c r="K346">
        <v>2.7</v>
      </c>
      <c r="L346" t="s">
        <v>436</v>
      </c>
    </row>
    <row r="347" spans="1:12" x14ac:dyDescent="0.25">
      <c r="A347" t="s">
        <v>1193</v>
      </c>
      <c r="B347" t="s">
        <v>1194</v>
      </c>
      <c r="C347" t="s">
        <v>507</v>
      </c>
      <c r="D347">
        <v>5070.2</v>
      </c>
      <c r="E347">
        <v>5267.5</v>
      </c>
      <c r="F347">
        <v>197.3</v>
      </c>
      <c r="G347">
        <v>3.9</v>
      </c>
      <c r="H347">
        <v>0.4</v>
      </c>
      <c r="I347" t="s">
        <v>508</v>
      </c>
      <c r="J347" t="s">
        <v>508</v>
      </c>
      <c r="K347" t="s">
        <v>508</v>
      </c>
    </row>
    <row r="348" spans="1:12" x14ac:dyDescent="0.25">
      <c r="A348" t="s">
        <v>1195</v>
      </c>
      <c r="B348" t="s">
        <v>1196</v>
      </c>
      <c r="C348" t="s">
        <v>507</v>
      </c>
      <c r="D348">
        <v>165.2</v>
      </c>
      <c r="E348">
        <v>182.5</v>
      </c>
      <c r="F348">
        <v>17.3</v>
      </c>
      <c r="G348">
        <v>10.5</v>
      </c>
      <c r="H348">
        <v>1</v>
      </c>
      <c r="I348" t="s">
        <v>508</v>
      </c>
      <c r="J348" t="s">
        <v>508</v>
      </c>
      <c r="K348" t="s">
        <v>508</v>
      </c>
    </row>
    <row r="349" spans="1:12" x14ac:dyDescent="0.25">
      <c r="A349" t="s">
        <v>1197</v>
      </c>
      <c r="B349" t="s">
        <v>1198</v>
      </c>
      <c r="C349" t="s">
        <v>507</v>
      </c>
      <c r="D349">
        <v>315.7</v>
      </c>
      <c r="E349">
        <v>344.8</v>
      </c>
      <c r="F349">
        <v>29.1</v>
      </c>
      <c r="G349">
        <v>9.1999999999999993</v>
      </c>
      <c r="H349">
        <v>0.9</v>
      </c>
      <c r="I349" t="s">
        <v>508</v>
      </c>
      <c r="J349" t="s">
        <v>508</v>
      </c>
      <c r="K349" t="s">
        <v>508</v>
      </c>
    </row>
    <row r="350" spans="1:12" x14ac:dyDescent="0.25">
      <c r="A350" t="s">
        <v>1199</v>
      </c>
      <c r="B350" t="s">
        <v>1200</v>
      </c>
      <c r="C350" t="s">
        <v>504</v>
      </c>
      <c r="D350">
        <v>1164.8</v>
      </c>
      <c r="E350">
        <v>1185.9000000000001</v>
      </c>
      <c r="F350">
        <v>21.1</v>
      </c>
      <c r="G350">
        <v>1.8</v>
      </c>
      <c r="H350">
        <v>0.2</v>
      </c>
      <c r="I350">
        <v>379.1</v>
      </c>
      <c r="J350">
        <v>482</v>
      </c>
      <c r="K350">
        <v>2.4</v>
      </c>
      <c r="L350" t="s">
        <v>436</v>
      </c>
    </row>
    <row r="351" spans="1:12" x14ac:dyDescent="0.25">
      <c r="A351" t="s">
        <v>1201</v>
      </c>
      <c r="B351" t="s">
        <v>1202</v>
      </c>
      <c r="C351" t="s">
        <v>507</v>
      </c>
      <c r="D351">
        <v>305.10000000000002</v>
      </c>
      <c r="E351">
        <v>316.60000000000002</v>
      </c>
      <c r="F351">
        <v>11.5</v>
      </c>
      <c r="G351">
        <v>3.8</v>
      </c>
      <c r="H351">
        <v>0.4</v>
      </c>
      <c r="I351" t="s">
        <v>508</v>
      </c>
      <c r="J351" t="s">
        <v>508</v>
      </c>
      <c r="K351" t="s">
        <v>508</v>
      </c>
    </row>
    <row r="352" spans="1:12" x14ac:dyDescent="0.25">
      <c r="A352" t="s">
        <v>1203</v>
      </c>
      <c r="B352" t="s">
        <v>1204</v>
      </c>
      <c r="C352" t="s">
        <v>507</v>
      </c>
      <c r="D352">
        <v>700.5</v>
      </c>
      <c r="E352">
        <v>717.4</v>
      </c>
      <c r="F352">
        <v>17</v>
      </c>
      <c r="G352">
        <v>2.4</v>
      </c>
      <c r="H352">
        <v>0.2</v>
      </c>
      <c r="I352" t="s">
        <v>508</v>
      </c>
      <c r="J352" t="s">
        <v>508</v>
      </c>
      <c r="K352" t="s">
        <v>508</v>
      </c>
    </row>
    <row r="353" spans="1:12" x14ac:dyDescent="0.25">
      <c r="A353" t="s">
        <v>1205</v>
      </c>
      <c r="B353" t="s">
        <v>1206</v>
      </c>
      <c r="C353" t="s">
        <v>507</v>
      </c>
      <c r="D353">
        <v>115.2</v>
      </c>
      <c r="E353">
        <v>106.7</v>
      </c>
      <c r="F353">
        <v>-8.5</v>
      </c>
      <c r="G353">
        <v>-7.4</v>
      </c>
      <c r="H353">
        <v>-0.8</v>
      </c>
      <c r="I353" t="s">
        <v>508</v>
      </c>
      <c r="J353" t="s">
        <v>508</v>
      </c>
      <c r="K353" t="s">
        <v>508</v>
      </c>
    </row>
    <row r="354" spans="1:12" x14ac:dyDescent="0.25">
      <c r="A354" t="s">
        <v>1207</v>
      </c>
      <c r="B354" t="s">
        <v>1208</v>
      </c>
      <c r="C354" t="s">
        <v>507</v>
      </c>
      <c r="D354">
        <v>3.1</v>
      </c>
      <c r="E354">
        <v>2.8</v>
      </c>
      <c r="F354">
        <v>-0.2</v>
      </c>
      <c r="G354">
        <v>-8</v>
      </c>
      <c r="H354">
        <v>-1</v>
      </c>
      <c r="I354" t="s">
        <v>508</v>
      </c>
      <c r="J354" t="s">
        <v>508</v>
      </c>
      <c r="K354" t="s">
        <v>508</v>
      </c>
    </row>
    <row r="355" spans="1:12" x14ac:dyDescent="0.25">
      <c r="A355" t="s">
        <v>1209</v>
      </c>
      <c r="B355" t="s">
        <v>1210</v>
      </c>
      <c r="C355" t="s">
        <v>507</v>
      </c>
      <c r="D355">
        <v>40.200000000000003</v>
      </c>
      <c r="E355">
        <v>41.5</v>
      </c>
      <c r="F355">
        <v>1.3</v>
      </c>
      <c r="G355">
        <v>3.3</v>
      </c>
      <c r="H355">
        <v>0.3</v>
      </c>
      <c r="I355" t="s">
        <v>508</v>
      </c>
      <c r="J355" t="s">
        <v>508</v>
      </c>
      <c r="K355" t="s">
        <v>508</v>
      </c>
    </row>
    <row r="356" spans="1:12" x14ac:dyDescent="0.25">
      <c r="A356" t="s">
        <v>1211</v>
      </c>
      <c r="B356" t="s">
        <v>1212</v>
      </c>
      <c r="C356" t="s">
        <v>507</v>
      </c>
      <c r="D356">
        <v>0.7</v>
      </c>
      <c r="E356">
        <v>0.7</v>
      </c>
      <c r="F356">
        <v>0</v>
      </c>
      <c r="G356">
        <v>-1.3</v>
      </c>
      <c r="H356">
        <v>0</v>
      </c>
      <c r="I356" t="s">
        <v>508</v>
      </c>
      <c r="J356" t="s">
        <v>508</v>
      </c>
      <c r="K356" t="s">
        <v>508</v>
      </c>
    </row>
    <row r="357" spans="1:12" x14ac:dyDescent="0.25">
      <c r="A357" t="s">
        <v>1213</v>
      </c>
      <c r="B357" t="s">
        <v>1214</v>
      </c>
      <c r="C357" t="s">
        <v>504</v>
      </c>
      <c r="D357">
        <v>3316.6</v>
      </c>
      <c r="E357">
        <v>3421.1</v>
      </c>
      <c r="F357">
        <v>104.5</v>
      </c>
      <c r="G357">
        <v>3.2</v>
      </c>
      <c r="H357">
        <v>0.3</v>
      </c>
      <c r="I357">
        <v>268.60000000000002</v>
      </c>
      <c r="J357">
        <v>317.60000000000002</v>
      </c>
      <c r="K357">
        <v>1.7</v>
      </c>
      <c r="L357" t="s">
        <v>436</v>
      </c>
    </row>
    <row r="358" spans="1:12" x14ac:dyDescent="0.25">
      <c r="A358" t="s">
        <v>1215</v>
      </c>
      <c r="B358" t="s">
        <v>1216</v>
      </c>
      <c r="C358" t="s">
        <v>507</v>
      </c>
      <c r="D358">
        <v>1492.4</v>
      </c>
      <c r="E358">
        <v>1448.1</v>
      </c>
      <c r="F358">
        <v>-44.3</v>
      </c>
      <c r="G358">
        <v>-3</v>
      </c>
      <c r="H358">
        <v>-0.3</v>
      </c>
      <c r="I358" t="s">
        <v>508</v>
      </c>
      <c r="J358" t="s">
        <v>508</v>
      </c>
      <c r="K358" t="s">
        <v>508</v>
      </c>
    </row>
    <row r="359" spans="1:12" x14ac:dyDescent="0.25">
      <c r="A359" t="s">
        <v>1217</v>
      </c>
      <c r="B359" t="s">
        <v>1218</v>
      </c>
      <c r="C359" t="s">
        <v>507</v>
      </c>
      <c r="D359">
        <v>988.5</v>
      </c>
      <c r="E359">
        <v>1092.4000000000001</v>
      </c>
      <c r="F359">
        <v>103.9</v>
      </c>
      <c r="G359">
        <v>10.5</v>
      </c>
      <c r="H359">
        <v>1</v>
      </c>
      <c r="I359" t="s">
        <v>508</v>
      </c>
      <c r="J359" t="s">
        <v>508</v>
      </c>
      <c r="K359" t="s">
        <v>508</v>
      </c>
    </row>
    <row r="360" spans="1:12" x14ac:dyDescent="0.25">
      <c r="A360" t="s">
        <v>1219</v>
      </c>
      <c r="B360" t="s">
        <v>1220</v>
      </c>
      <c r="C360" t="s">
        <v>504</v>
      </c>
      <c r="D360">
        <v>669.9</v>
      </c>
      <c r="E360">
        <v>710.7</v>
      </c>
      <c r="F360">
        <v>40.799999999999997</v>
      </c>
      <c r="G360">
        <v>6.1</v>
      </c>
      <c r="H360">
        <v>0.6</v>
      </c>
      <c r="I360" t="s">
        <v>508</v>
      </c>
      <c r="J360" t="s">
        <v>508</v>
      </c>
      <c r="K360" t="s">
        <v>508</v>
      </c>
    </row>
    <row r="361" spans="1:12" x14ac:dyDescent="0.25">
      <c r="A361" t="s">
        <v>1221</v>
      </c>
      <c r="B361" t="s">
        <v>1222</v>
      </c>
      <c r="C361" t="s">
        <v>507</v>
      </c>
      <c r="D361">
        <v>405.6</v>
      </c>
      <c r="E361">
        <v>418.3</v>
      </c>
      <c r="F361">
        <v>12.7</v>
      </c>
      <c r="G361">
        <v>3.1</v>
      </c>
      <c r="H361">
        <v>0.3</v>
      </c>
      <c r="I361" t="s">
        <v>508</v>
      </c>
      <c r="J361" t="s">
        <v>508</v>
      </c>
      <c r="K361" t="s">
        <v>508</v>
      </c>
    </row>
    <row r="362" spans="1:12" x14ac:dyDescent="0.25">
      <c r="A362" t="s">
        <v>1223</v>
      </c>
      <c r="B362" t="s">
        <v>1224</v>
      </c>
      <c r="C362" t="s">
        <v>507</v>
      </c>
      <c r="D362">
        <v>264.3</v>
      </c>
      <c r="E362">
        <v>292.39999999999998</v>
      </c>
      <c r="F362">
        <v>28.1</v>
      </c>
      <c r="G362">
        <v>10.6</v>
      </c>
      <c r="H362">
        <v>1</v>
      </c>
      <c r="I362" t="s">
        <v>508</v>
      </c>
      <c r="J362" t="s">
        <v>508</v>
      </c>
      <c r="K362" t="s">
        <v>508</v>
      </c>
    </row>
    <row r="363" spans="1:12" x14ac:dyDescent="0.25">
      <c r="A363" t="s">
        <v>1225</v>
      </c>
      <c r="B363" t="s">
        <v>1226</v>
      </c>
      <c r="C363" t="s">
        <v>507</v>
      </c>
      <c r="D363">
        <v>165.8</v>
      </c>
      <c r="E363">
        <v>170</v>
      </c>
      <c r="F363">
        <v>4.2</v>
      </c>
      <c r="G363">
        <v>2.5</v>
      </c>
      <c r="H363">
        <v>0.3</v>
      </c>
      <c r="I363" t="s">
        <v>508</v>
      </c>
      <c r="J363" t="s">
        <v>508</v>
      </c>
      <c r="K363" t="s">
        <v>508</v>
      </c>
    </row>
    <row r="364" spans="1:12" x14ac:dyDescent="0.25">
      <c r="A364" t="s">
        <v>1227</v>
      </c>
      <c r="B364" t="s">
        <v>1228</v>
      </c>
      <c r="C364" t="s">
        <v>504</v>
      </c>
      <c r="D364">
        <v>4874.8</v>
      </c>
      <c r="E364">
        <v>5420.4</v>
      </c>
      <c r="F364">
        <v>545.6</v>
      </c>
      <c r="G364">
        <v>11.2</v>
      </c>
      <c r="H364">
        <v>1.1000000000000001</v>
      </c>
      <c r="I364">
        <v>275.10000000000002</v>
      </c>
      <c r="J364">
        <v>359.2</v>
      </c>
      <c r="K364">
        <v>2.7</v>
      </c>
      <c r="L364" t="s">
        <v>436</v>
      </c>
    </row>
    <row r="365" spans="1:12" x14ac:dyDescent="0.25">
      <c r="A365" t="s">
        <v>1229</v>
      </c>
      <c r="B365" t="s">
        <v>1230</v>
      </c>
      <c r="C365" t="s">
        <v>504</v>
      </c>
      <c r="D365">
        <v>3264.5</v>
      </c>
      <c r="E365">
        <v>3829.7</v>
      </c>
      <c r="F365">
        <v>565.20000000000005</v>
      </c>
      <c r="G365">
        <v>17.3</v>
      </c>
      <c r="H365">
        <v>1.6</v>
      </c>
      <c r="I365">
        <v>150.9</v>
      </c>
      <c r="J365">
        <v>222.4</v>
      </c>
      <c r="K365">
        <v>4</v>
      </c>
    </row>
    <row r="366" spans="1:12" x14ac:dyDescent="0.25">
      <c r="A366" t="s">
        <v>1231</v>
      </c>
      <c r="B366" t="s">
        <v>1232</v>
      </c>
      <c r="C366" t="s">
        <v>507</v>
      </c>
      <c r="D366">
        <v>2512.3000000000002</v>
      </c>
      <c r="E366">
        <v>3040.8</v>
      </c>
      <c r="F366">
        <v>528.5</v>
      </c>
      <c r="G366">
        <v>21</v>
      </c>
      <c r="H366">
        <v>1.9</v>
      </c>
      <c r="I366" t="s">
        <v>508</v>
      </c>
      <c r="J366" t="s">
        <v>508</v>
      </c>
      <c r="K366" t="s">
        <v>508</v>
      </c>
    </row>
    <row r="367" spans="1:12" x14ac:dyDescent="0.25">
      <c r="A367" t="s">
        <v>1233</v>
      </c>
      <c r="B367" t="s">
        <v>1234</v>
      </c>
      <c r="C367" t="s">
        <v>504</v>
      </c>
      <c r="D367">
        <v>518.4</v>
      </c>
      <c r="E367">
        <v>505.1</v>
      </c>
      <c r="F367">
        <v>-13.3</v>
      </c>
      <c r="G367">
        <v>-2.6</v>
      </c>
      <c r="H367">
        <v>-0.3</v>
      </c>
      <c r="I367">
        <v>58.9</v>
      </c>
      <c r="J367">
        <v>69.400000000000006</v>
      </c>
      <c r="K367">
        <v>1.7</v>
      </c>
    </row>
    <row r="368" spans="1:12" x14ac:dyDescent="0.25">
      <c r="A368" t="s">
        <v>1235</v>
      </c>
      <c r="B368" t="s">
        <v>1236</v>
      </c>
      <c r="C368" t="s">
        <v>507</v>
      </c>
      <c r="D368">
        <v>233.3</v>
      </c>
      <c r="E368">
        <v>252.5</v>
      </c>
      <c r="F368">
        <v>19.2</v>
      </c>
      <c r="G368">
        <v>8.1999999999999993</v>
      </c>
      <c r="H368">
        <v>0.8</v>
      </c>
      <c r="I368" t="s">
        <v>508</v>
      </c>
      <c r="J368" t="s">
        <v>508</v>
      </c>
      <c r="K368" t="s">
        <v>508</v>
      </c>
    </row>
    <row r="369" spans="1:12" x14ac:dyDescent="0.25">
      <c r="A369" t="s">
        <v>1237</v>
      </c>
      <c r="B369" t="s">
        <v>1238</v>
      </c>
      <c r="C369" t="s">
        <v>507</v>
      </c>
      <c r="D369">
        <v>285.10000000000002</v>
      </c>
      <c r="E369">
        <v>252.5</v>
      </c>
      <c r="F369">
        <v>-32.6</v>
      </c>
      <c r="G369">
        <v>-11.4</v>
      </c>
      <c r="H369">
        <v>-1.2</v>
      </c>
      <c r="I369" t="s">
        <v>508</v>
      </c>
      <c r="J369" t="s">
        <v>508</v>
      </c>
      <c r="K369" t="s">
        <v>508</v>
      </c>
    </row>
    <row r="370" spans="1:12" x14ac:dyDescent="0.25">
      <c r="A370" t="s">
        <v>1239</v>
      </c>
      <c r="B370" t="s">
        <v>1240</v>
      </c>
      <c r="C370" t="s">
        <v>507</v>
      </c>
      <c r="D370">
        <v>1091.9000000000001</v>
      </c>
      <c r="E370">
        <v>1085.5999999999999</v>
      </c>
      <c r="F370">
        <v>-6.3</v>
      </c>
      <c r="G370">
        <v>-0.6</v>
      </c>
      <c r="H370">
        <v>-0.1</v>
      </c>
      <c r="I370">
        <v>65.400000000000006</v>
      </c>
      <c r="J370">
        <v>66.400000000000006</v>
      </c>
      <c r="K370">
        <v>0.2</v>
      </c>
    </row>
    <row r="371" spans="1:12" x14ac:dyDescent="0.25">
      <c r="A371" t="s">
        <v>1241</v>
      </c>
      <c r="B371" t="s">
        <v>1242</v>
      </c>
      <c r="C371" t="s">
        <v>504</v>
      </c>
      <c r="D371">
        <v>2622.4</v>
      </c>
      <c r="E371">
        <v>2755</v>
      </c>
      <c r="F371">
        <v>132.6</v>
      </c>
      <c r="G371">
        <v>5.0999999999999996</v>
      </c>
      <c r="H371">
        <v>0.5</v>
      </c>
      <c r="I371">
        <v>439.4</v>
      </c>
      <c r="J371">
        <v>545.70000000000005</v>
      </c>
      <c r="K371">
        <v>2.2000000000000002</v>
      </c>
      <c r="L371" t="s">
        <v>450</v>
      </c>
    </row>
    <row r="372" spans="1:12" x14ac:dyDescent="0.25">
      <c r="A372" t="s">
        <v>1243</v>
      </c>
      <c r="B372" t="s">
        <v>1244</v>
      </c>
      <c r="C372" t="s">
        <v>504</v>
      </c>
      <c r="D372">
        <v>590.20000000000005</v>
      </c>
      <c r="E372">
        <v>618.1</v>
      </c>
      <c r="F372">
        <v>27.9</v>
      </c>
      <c r="G372">
        <v>4.7</v>
      </c>
      <c r="H372">
        <v>0.5</v>
      </c>
      <c r="I372">
        <v>231.5</v>
      </c>
      <c r="J372">
        <v>288.10000000000002</v>
      </c>
      <c r="K372">
        <v>2.2000000000000002</v>
      </c>
    </row>
    <row r="373" spans="1:12" x14ac:dyDescent="0.25">
      <c r="A373" t="s">
        <v>1245</v>
      </c>
      <c r="B373" t="s">
        <v>1246</v>
      </c>
      <c r="C373" t="s">
        <v>504</v>
      </c>
      <c r="D373">
        <v>142.1</v>
      </c>
      <c r="E373">
        <v>147.19999999999999</v>
      </c>
      <c r="F373">
        <v>5.0999999999999996</v>
      </c>
      <c r="G373">
        <v>3.6</v>
      </c>
      <c r="H373">
        <v>0.4</v>
      </c>
      <c r="I373">
        <v>29.8</v>
      </c>
      <c r="J373">
        <v>36.9</v>
      </c>
      <c r="K373">
        <v>2.1</v>
      </c>
    </row>
    <row r="374" spans="1:12" x14ac:dyDescent="0.25">
      <c r="A374" t="s">
        <v>1247</v>
      </c>
      <c r="B374" t="s">
        <v>1248</v>
      </c>
      <c r="C374" t="s">
        <v>507</v>
      </c>
      <c r="D374">
        <v>76.3</v>
      </c>
      <c r="E374">
        <v>78.900000000000006</v>
      </c>
      <c r="F374">
        <v>2.6</v>
      </c>
      <c r="G374">
        <v>3.4</v>
      </c>
      <c r="H374">
        <v>0.3</v>
      </c>
      <c r="I374" t="s">
        <v>508</v>
      </c>
      <c r="J374" t="s">
        <v>508</v>
      </c>
      <c r="K374" t="s">
        <v>508</v>
      </c>
    </row>
    <row r="375" spans="1:12" x14ac:dyDescent="0.25">
      <c r="A375" t="s">
        <v>1249</v>
      </c>
      <c r="B375" t="s">
        <v>1250</v>
      </c>
      <c r="C375" t="s">
        <v>507</v>
      </c>
      <c r="D375">
        <v>171.5</v>
      </c>
      <c r="E375">
        <v>179.6</v>
      </c>
      <c r="F375">
        <v>8.1</v>
      </c>
      <c r="G375">
        <v>4.7</v>
      </c>
      <c r="H375">
        <v>0.5</v>
      </c>
      <c r="I375">
        <v>63.9</v>
      </c>
      <c r="J375">
        <v>78.400000000000006</v>
      </c>
      <c r="K375">
        <v>2.1</v>
      </c>
    </row>
    <row r="376" spans="1:12" x14ac:dyDescent="0.25">
      <c r="A376" t="s">
        <v>1251</v>
      </c>
      <c r="B376" t="s">
        <v>1252</v>
      </c>
      <c r="C376" t="s">
        <v>504</v>
      </c>
      <c r="D376">
        <v>214.4</v>
      </c>
      <c r="E376">
        <v>230.1</v>
      </c>
      <c r="F376">
        <v>15.7</v>
      </c>
      <c r="G376">
        <v>7.3</v>
      </c>
      <c r="H376">
        <v>0.7</v>
      </c>
      <c r="I376">
        <v>83.4</v>
      </c>
      <c r="J376">
        <v>103.6</v>
      </c>
      <c r="K376">
        <v>2.2000000000000002</v>
      </c>
    </row>
    <row r="377" spans="1:12" x14ac:dyDescent="0.25">
      <c r="A377" t="s">
        <v>1253</v>
      </c>
      <c r="B377" t="s">
        <v>1254</v>
      </c>
      <c r="C377" t="s">
        <v>507</v>
      </c>
      <c r="D377">
        <v>183.3</v>
      </c>
      <c r="E377">
        <v>195.8</v>
      </c>
      <c r="F377">
        <v>12.5</v>
      </c>
      <c r="G377">
        <v>6.8</v>
      </c>
      <c r="H377">
        <v>0.7</v>
      </c>
      <c r="I377" t="s">
        <v>508</v>
      </c>
      <c r="J377" t="s">
        <v>508</v>
      </c>
      <c r="K377" t="s">
        <v>508</v>
      </c>
    </row>
    <row r="378" spans="1:12" x14ac:dyDescent="0.25">
      <c r="A378" t="s">
        <v>1255</v>
      </c>
      <c r="B378" t="s">
        <v>1256</v>
      </c>
      <c r="C378" t="s">
        <v>507</v>
      </c>
      <c r="D378">
        <v>31.1</v>
      </c>
      <c r="E378">
        <v>34.299999999999997</v>
      </c>
      <c r="F378">
        <v>3.2</v>
      </c>
      <c r="G378">
        <v>10.3</v>
      </c>
      <c r="H378">
        <v>1</v>
      </c>
      <c r="I378" t="s">
        <v>508</v>
      </c>
      <c r="J378" t="s">
        <v>508</v>
      </c>
      <c r="K378" t="s">
        <v>508</v>
      </c>
    </row>
    <row r="379" spans="1:12" x14ac:dyDescent="0.25">
      <c r="A379" t="s">
        <v>1257</v>
      </c>
      <c r="B379" t="s">
        <v>1258</v>
      </c>
      <c r="C379" t="s">
        <v>507</v>
      </c>
      <c r="D379">
        <v>62.2</v>
      </c>
      <c r="E379">
        <v>61.2</v>
      </c>
      <c r="F379">
        <v>-1</v>
      </c>
      <c r="G379">
        <v>-1.5</v>
      </c>
      <c r="H379">
        <v>-0.2</v>
      </c>
      <c r="I379">
        <v>55.2</v>
      </c>
      <c r="J379">
        <v>70.2</v>
      </c>
      <c r="K379">
        <v>2.4</v>
      </c>
    </row>
    <row r="380" spans="1:12" x14ac:dyDescent="0.25">
      <c r="A380" t="s">
        <v>1259</v>
      </c>
      <c r="B380" t="s">
        <v>1260</v>
      </c>
      <c r="C380" t="s">
        <v>507</v>
      </c>
      <c r="D380">
        <v>179</v>
      </c>
      <c r="E380">
        <v>194</v>
      </c>
      <c r="F380">
        <v>15</v>
      </c>
      <c r="G380">
        <v>8.4</v>
      </c>
      <c r="H380">
        <v>0.8</v>
      </c>
      <c r="I380">
        <v>20.6</v>
      </c>
      <c r="J380">
        <v>27.2</v>
      </c>
      <c r="K380">
        <v>2.9</v>
      </c>
    </row>
    <row r="381" spans="1:12" x14ac:dyDescent="0.25">
      <c r="A381" t="s">
        <v>1261</v>
      </c>
      <c r="B381" t="s">
        <v>1262</v>
      </c>
      <c r="C381" t="s">
        <v>504</v>
      </c>
      <c r="D381">
        <v>1853.2</v>
      </c>
      <c r="E381">
        <v>1942.9</v>
      </c>
      <c r="F381">
        <v>89.7</v>
      </c>
      <c r="G381">
        <v>4.8</v>
      </c>
      <c r="H381">
        <v>0.5</v>
      </c>
      <c r="I381">
        <v>188.3</v>
      </c>
      <c r="J381">
        <v>231.6</v>
      </c>
      <c r="K381">
        <v>2.1</v>
      </c>
    </row>
    <row r="382" spans="1:12" x14ac:dyDescent="0.25">
      <c r="A382" t="s">
        <v>1263</v>
      </c>
      <c r="B382" t="s">
        <v>1264</v>
      </c>
      <c r="C382" t="s">
        <v>507</v>
      </c>
      <c r="D382">
        <v>232.7</v>
      </c>
      <c r="E382">
        <v>243</v>
      </c>
      <c r="F382">
        <v>10.3</v>
      </c>
      <c r="G382">
        <v>4.4000000000000004</v>
      </c>
      <c r="H382">
        <v>0.4</v>
      </c>
      <c r="I382">
        <v>30.3</v>
      </c>
      <c r="J382">
        <v>37.799999999999997</v>
      </c>
      <c r="K382">
        <v>2.2000000000000002</v>
      </c>
    </row>
    <row r="383" spans="1:12" x14ac:dyDescent="0.25">
      <c r="A383" t="s">
        <v>1265</v>
      </c>
      <c r="B383" t="s">
        <v>1266</v>
      </c>
      <c r="C383" t="s">
        <v>507</v>
      </c>
      <c r="D383">
        <v>123.3</v>
      </c>
      <c r="E383">
        <v>104.2</v>
      </c>
      <c r="F383">
        <v>-19.100000000000001</v>
      </c>
      <c r="G383">
        <v>-15.5</v>
      </c>
      <c r="H383">
        <v>-1.7</v>
      </c>
      <c r="I383">
        <v>45.3</v>
      </c>
      <c r="J383">
        <v>53.1</v>
      </c>
      <c r="K383">
        <v>1.6</v>
      </c>
    </row>
    <row r="384" spans="1:12" x14ac:dyDescent="0.25">
      <c r="A384" t="s">
        <v>1267</v>
      </c>
      <c r="B384" t="s">
        <v>1268</v>
      </c>
      <c r="C384" t="s">
        <v>504</v>
      </c>
      <c r="D384">
        <v>1497.2</v>
      </c>
      <c r="E384">
        <v>1595.8</v>
      </c>
      <c r="F384">
        <v>98.6</v>
      </c>
      <c r="G384">
        <v>6.6</v>
      </c>
      <c r="H384">
        <v>0.6</v>
      </c>
      <c r="I384">
        <v>112.9</v>
      </c>
      <c r="J384">
        <v>140.9</v>
      </c>
      <c r="K384">
        <v>2.2000000000000002</v>
      </c>
    </row>
    <row r="385" spans="1:12" x14ac:dyDescent="0.25">
      <c r="A385" t="s">
        <v>1269</v>
      </c>
      <c r="B385" t="s">
        <v>1270</v>
      </c>
      <c r="C385" t="s">
        <v>507</v>
      </c>
      <c r="D385">
        <v>652</v>
      </c>
      <c r="E385">
        <v>718.1</v>
      </c>
      <c r="F385">
        <v>66.099999999999994</v>
      </c>
      <c r="G385">
        <v>10.1</v>
      </c>
      <c r="H385">
        <v>1</v>
      </c>
      <c r="I385" t="s">
        <v>508</v>
      </c>
      <c r="J385" t="s">
        <v>508</v>
      </c>
      <c r="K385" t="s">
        <v>508</v>
      </c>
    </row>
    <row r="386" spans="1:12" x14ac:dyDescent="0.25">
      <c r="A386" t="s">
        <v>1271</v>
      </c>
      <c r="B386" t="s">
        <v>1272</v>
      </c>
      <c r="C386" t="s">
        <v>504</v>
      </c>
      <c r="D386">
        <v>14195.8</v>
      </c>
      <c r="E386">
        <v>14749.4</v>
      </c>
      <c r="F386">
        <v>553.6</v>
      </c>
      <c r="G386">
        <v>3.9</v>
      </c>
      <c r="H386">
        <v>0.4</v>
      </c>
      <c r="I386">
        <v>1303.7</v>
      </c>
      <c r="J386">
        <v>1639.9</v>
      </c>
      <c r="K386">
        <v>2.2999999999999998</v>
      </c>
      <c r="L386" t="s">
        <v>459</v>
      </c>
    </row>
    <row r="387" spans="1:12" x14ac:dyDescent="0.25">
      <c r="A387" t="s">
        <v>1273</v>
      </c>
      <c r="B387" t="s">
        <v>1274</v>
      </c>
      <c r="C387" t="s">
        <v>504</v>
      </c>
      <c r="D387">
        <v>1934.9</v>
      </c>
      <c r="E387">
        <v>2019.8</v>
      </c>
      <c r="F387">
        <v>84.9</v>
      </c>
      <c r="G387">
        <v>4.4000000000000004</v>
      </c>
      <c r="H387">
        <v>0.4</v>
      </c>
      <c r="I387">
        <v>309.10000000000002</v>
      </c>
      <c r="J387">
        <v>411.1</v>
      </c>
      <c r="K387">
        <v>2.9</v>
      </c>
    </row>
    <row r="388" spans="1:12" x14ac:dyDescent="0.25">
      <c r="A388" t="s">
        <v>1275</v>
      </c>
      <c r="B388" t="s">
        <v>1276</v>
      </c>
      <c r="C388" t="s">
        <v>504</v>
      </c>
      <c r="D388">
        <v>1851.3</v>
      </c>
      <c r="E388">
        <v>1935.7</v>
      </c>
      <c r="F388">
        <v>84.3</v>
      </c>
      <c r="G388">
        <v>4.5999999999999996</v>
      </c>
      <c r="H388">
        <v>0.4</v>
      </c>
      <c r="I388" t="s">
        <v>508</v>
      </c>
      <c r="J388" t="s">
        <v>508</v>
      </c>
      <c r="K388" t="s">
        <v>508</v>
      </c>
    </row>
    <row r="389" spans="1:12" x14ac:dyDescent="0.25">
      <c r="A389" t="s">
        <v>1277</v>
      </c>
      <c r="B389" t="s">
        <v>1278</v>
      </c>
      <c r="C389" t="s">
        <v>507</v>
      </c>
      <c r="D389">
        <v>252.8</v>
      </c>
      <c r="E389">
        <v>259.3</v>
      </c>
      <c r="F389">
        <v>6.5</v>
      </c>
      <c r="G389">
        <v>2.6</v>
      </c>
      <c r="H389">
        <v>0.3</v>
      </c>
      <c r="I389" t="s">
        <v>508</v>
      </c>
      <c r="J389" t="s">
        <v>508</v>
      </c>
      <c r="K389" t="s">
        <v>508</v>
      </c>
    </row>
    <row r="390" spans="1:12" x14ac:dyDescent="0.25">
      <c r="A390" t="s">
        <v>1279</v>
      </c>
      <c r="B390" t="s">
        <v>1280</v>
      </c>
      <c r="C390" t="s">
        <v>507</v>
      </c>
      <c r="D390">
        <v>73.2</v>
      </c>
      <c r="E390">
        <v>73.7</v>
      </c>
      <c r="F390">
        <v>0.5</v>
      </c>
      <c r="G390">
        <v>0.7</v>
      </c>
      <c r="H390">
        <v>0.1</v>
      </c>
      <c r="I390" t="s">
        <v>508</v>
      </c>
      <c r="J390" t="s">
        <v>508</v>
      </c>
      <c r="K390" t="s">
        <v>508</v>
      </c>
    </row>
    <row r="391" spans="1:12" x14ac:dyDescent="0.25">
      <c r="A391" t="s">
        <v>1281</v>
      </c>
      <c r="B391" t="s">
        <v>1282</v>
      </c>
      <c r="C391" t="s">
        <v>507</v>
      </c>
      <c r="D391">
        <v>10.4</v>
      </c>
      <c r="E391">
        <v>10.4</v>
      </c>
      <c r="F391">
        <v>0</v>
      </c>
      <c r="G391">
        <v>0.5</v>
      </c>
      <c r="H391">
        <v>0</v>
      </c>
      <c r="I391" t="s">
        <v>508</v>
      </c>
      <c r="J391" t="s">
        <v>508</v>
      </c>
      <c r="K391" t="s">
        <v>508</v>
      </c>
    </row>
    <row r="392" spans="1:12" x14ac:dyDescent="0.25">
      <c r="A392" t="s">
        <v>1283</v>
      </c>
      <c r="B392" t="s">
        <v>1284</v>
      </c>
      <c r="C392" t="s">
        <v>504</v>
      </c>
      <c r="D392">
        <v>12260.9</v>
      </c>
      <c r="E392">
        <v>12729.6</v>
      </c>
      <c r="F392">
        <v>468.7</v>
      </c>
      <c r="G392">
        <v>3.8</v>
      </c>
      <c r="H392">
        <v>0.4</v>
      </c>
      <c r="I392">
        <v>994.2</v>
      </c>
      <c r="J392">
        <v>1230.0999999999999</v>
      </c>
      <c r="K392">
        <v>2.2000000000000002</v>
      </c>
    </row>
    <row r="393" spans="1:12" x14ac:dyDescent="0.25">
      <c r="A393" t="s">
        <v>1285</v>
      </c>
      <c r="B393" t="s">
        <v>1286</v>
      </c>
      <c r="C393" t="s">
        <v>507</v>
      </c>
      <c r="D393">
        <v>5385.1</v>
      </c>
      <c r="E393">
        <v>5517.7</v>
      </c>
      <c r="F393">
        <v>132.6</v>
      </c>
      <c r="G393">
        <v>2.5</v>
      </c>
      <c r="H393">
        <v>0.2</v>
      </c>
      <c r="I393">
        <v>452.7</v>
      </c>
      <c r="J393">
        <v>550.20000000000005</v>
      </c>
      <c r="K393">
        <v>2</v>
      </c>
    </row>
    <row r="394" spans="1:12" x14ac:dyDescent="0.25">
      <c r="A394" t="s">
        <v>1287</v>
      </c>
      <c r="B394" t="s">
        <v>1288</v>
      </c>
      <c r="C394" t="s">
        <v>507</v>
      </c>
      <c r="D394">
        <v>778.3</v>
      </c>
      <c r="E394">
        <v>822.1</v>
      </c>
      <c r="F394">
        <v>43.8</v>
      </c>
      <c r="G394">
        <v>5.6</v>
      </c>
      <c r="H394">
        <v>0.5</v>
      </c>
      <c r="I394" t="s">
        <v>508</v>
      </c>
      <c r="J394" t="s">
        <v>508</v>
      </c>
      <c r="K394" t="s">
        <v>508</v>
      </c>
    </row>
    <row r="395" spans="1:12" x14ac:dyDescent="0.25">
      <c r="A395" t="s">
        <v>1289</v>
      </c>
      <c r="B395" t="s">
        <v>1290</v>
      </c>
      <c r="C395" t="s">
        <v>507</v>
      </c>
      <c r="D395">
        <v>421.2</v>
      </c>
      <c r="E395">
        <v>439.9</v>
      </c>
      <c r="F395">
        <v>18.7</v>
      </c>
      <c r="G395">
        <v>4.4000000000000004</v>
      </c>
      <c r="H395">
        <v>0.4</v>
      </c>
      <c r="I395" t="s">
        <v>508</v>
      </c>
      <c r="J395" t="s">
        <v>508</v>
      </c>
      <c r="K395" t="s">
        <v>508</v>
      </c>
    </row>
    <row r="396" spans="1:12" x14ac:dyDescent="0.25">
      <c r="A396" t="s">
        <v>1291</v>
      </c>
      <c r="B396" t="s">
        <v>1292</v>
      </c>
      <c r="C396" t="s">
        <v>504</v>
      </c>
      <c r="D396">
        <v>6615.9</v>
      </c>
      <c r="E396">
        <v>6808.5</v>
      </c>
      <c r="F396">
        <v>192.5</v>
      </c>
      <c r="G396">
        <v>2.9</v>
      </c>
      <c r="H396">
        <v>0.3</v>
      </c>
      <c r="I396">
        <v>786.2</v>
      </c>
      <c r="J396">
        <v>962.5</v>
      </c>
      <c r="K396">
        <v>2</v>
      </c>
    </row>
    <row r="397" spans="1:12" x14ac:dyDescent="0.25">
      <c r="A397" t="s">
        <v>1293</v>
      </c>
      <c r="B397" t="s">
        <v>1294</v>
      </c>
      <c r="C397" t="s">
        <v>504</v>
      </c>
      <c r="D397">
        <v>1466.8</v>
      </c>
      <c r="E397">
        <v>1512</v>
      </c>
      <c r="F397">
        <v>45.2</v>
      </c>
      <c r="G397">
        <v>3.1</v>
      </c>
      <c r="H397">
        <v>0.3</v>
      </c>
      <c r="I397">
        <v>239.7</v>
      </c>
      <c r="J397">
        <v>287.3</v>
      </c>
      <c r="K397">
        <v>1.8</v>
      </c>
    </row>
    <row r="398" spans="1:12" x14ac:dyDescent="0.25">
      <c r="A398" t="s">
        <v>1295</v>
      </c>
      <c r="B398" t="s">
        <v>1296</v>
      </c>
      <c r="C398" t="s">
        <v>504</v>
      </c>
      <c r="D398">
        <v>1036</v>
      </c>
      <c r="E398">
        <v>1052</v>
      </c>
      <c r="F398">
        <v>16</v>
      </c>
      <c r="G398">
        <v>1.5</v>
      </c>
      <c r="H398">
        <v>0.2</v>
      </c>
      <c r="I398">
        <v>153.30000000000001</v>
      </c>
      <c r="J398">
        <v>183.5</v>
      </c>
      <c r="K398">
        <v>1.8</v>
      </c>
      <c r="L398" t="s">
        <v>333</v>
      </c>
    </row>
    <row r="399" spans="1:12" x14ac:dyDescent="0.25">
      <c r="A399" t="s">
        <v>1297</v>
      </c>
      <c r="B399" t="s">
        <v>1298</v>
      </c>
      <c r="C399" t="s">
        <v>507</v>
      </c>
      <c r="D399">
        <v>444</v>
      </c>
      <c r="E399">
        <v>450.3</v>
      </c>
      <c r="F399">
        <v>6.3</v>
      </c>
      <c r="G399">
        <v>1.4</v>
      </c>
      <c r="H399">
        <v>0.1</v>
      </c>
      <c r="I399" t="s">
        <v>508</v>
      </c>
      <c r="J399" t="s">
        <v>508</v>
      </c>
      <c r="K399" t="s">
        <v>508</v>
      </c>
    </row>
    <row r="400" spans="1:12" x14ac:dyDescent="0.25">
      <c r="A400" t="s">
        <v>1299</v>
      </c>
      <c r="B400" t="s">
        <v>1300</v>
      </c>
      <c r="C400" t="s">
        <v>507</v>
      </c>
      <c r="D400">
        <v>297.5</v>
      </c>
      <c r="E400">
        <v>305.10000000000002</v>
      </c>
      <c r="F400">
        <v>7.6</v>
      </c>
      <c r="G400">
        <v>2.6</v>
      </c>
      <c r="H400">
        <v>0.3</v>
      </c>
      <c r="I400" t="s">
        <v>508</v>
      </c>
      <c r="J400" t="s">
        <v>508</v>
      </c>
      <c r="K400" t="s">
        <v>508</v>
      </c>
    </row>
    <row r="401" spans="1:12" x14ac:dyDescent="0.25">
      <c r="A401" t="s">
        <v>1301</v>
      </c>
      <c r="B401" t="s">
        <v>1302</v>
      </c>
      <c r="C401" t="s">
        <v>507</v>
      </c>
      <c r="D401">
        <v>294.5</v>
      </c>
      <c r="E401">
        <v>296.7</v>
      </c>
      <c r="F401">
        <v>2.2000000000000002</v>
      </c>
      <c r="G401">
        <v>0.7</v>
      </c>
      <c r="H401">
        <v>0.1</v>
      </c>
      <c r="I401" t="s">
        <v>508</v>
      </c>
      <c r="J401" t="s">
        <v>508</v>
      </c>
      <c r="K401" t="s">
        <v>508</v>
      </c>
    </row>
    <row r="402" spans="1:12" x14ac:dyDescent="0.25">
      <c r="A402" t="s">
        <v>1303</v>
      </c>
      <c r="B402" t="s">
        <v>1304</v>
      </c>
      <c r="C402" t="s">
        <v>507</v>
      </c>
      <c r="D402">
        <v>104.7</v>
      </c>
      <c r="E402">
        <v>109.6</v>
      </c>
      <c r="F402">
        <v>4.9000000000000004</v>
      </c>
      <c r="G402">
        <v>4.7</v>
      </c>
      <c r="H402">
        <v>0.5</v>
      </c>
      <c r="I402">
        <v>19.899999999999999</v>
      </c>
      <c r="J402">
        <v>23.2</v>
      </c>
      <c r="K402">
        <v>1.5</v>
      </c>
      <c r="L402" t="s">
        <v>465</v>
      </c>
    </row>
    <row r="403" spans="1:12" x14ac:dyDescent="0.25">
      <c r="A403" t="s">
        <v>1305</v>
      </c>
      <c r="B403" t="s">
        <v>1306</v>
      </c>
      <c r="C403" t="s">
        <v>507</v>
      </c>
      <c r="D403">
        <v>243.6</v>
      </c>
      <c r="E403">
        <v>263</v>
      </c>
      <c r="F403">
        <v>19.399999999999999</v>
      </c>
      <c r="G403">
        <v>7.9</v>
      </c>
      <c r="H403">
        <v>0.8</v>
      </c>
      <c r="I403">
        <v>41.2</v>
      </c>
      <c r="J403">
        <v>49.2</v>
      </c>
      <c r="K403">
        <v>1.8</v>
      </c>
      <c r="L403" t="s">
        <v>226</v>
      </c>
    </row>
    <row r="404" spans="1:12" x14ac:dyDescent="0.25">
      <c r="A404" t="s">
        <v>1307</v>
      </c>
      <c r="B404" t="s">
        <v>1308</v>
      </c>
      <c r="C404" t="s">
        <v>507</v>
      </c>
      <c r="D404">
        <v>82.5</v>
      </c>
      <c r="E404">
        <v>87.4</v>
      </c>
      <c r="F404">
        <v>4.9000000000000004</v>
      </c>
      <c r="G404">
        <v>5.9</v>
      </c>
      <c r="H404">
        <v>0.6</v>
      </c>
      <c r="I404">
        <v>25.3</v>
      </c>
      <c r="J404">
        <v>31.2</v>
      </c>
      <c r="K404">
        <v>2.1</v>
      </c>
      <c r="L404" t="s">
        <v>465</v>
      </c>
    </row>
    <row r="405" spans="1:12" x14ac:dyDescent="0.25">
      <c r="A405" t="s">
        <v>1309</v>
      </c>
      <c r="B405" t="s">
        <v>1310</v>
      </c>
      <c r="C405" t="s">
        <v>504</v>
      </c>
      <c r="D405">
        <v>1589.2</v>
      </c>
      <c r="E405">
        <v>1706.1</v>
      </c>
      <c r="F405">
        <v>116.9</v>
      </c>
      <c r="G405">
        <v>7.4</v>
      </c>
      <c r="H405">
        <v>0.7</v>
      </c>
      <c r="I405">
        <v>238.8</v>
      </c>
      <c r="J405">
        <v>307.2</v>
      </c>
      <c r="K405">
        <v>2.5</v>
      </c>
      <c r="L405" t="s">
        <v>465</v>
      </c>
    </row>
    <row r="406" spans="1:12" x14ac:dyDescent="0.25">
      <c r="A406" t="s">
        <v>1311</v>
      </c>
      <c r="B406" t="s">
        <v>1312</v>
      </c>
      <c r="C406" t="s">
        <v>507</v>
      </c>
      <c r="D406">
        <v>766.9</v>
      </c>
      <c r="E406">
        <v>835.1</v>
      </c>
      <c r="F406">
        <v>68.2</v>
      </c>
      <c r="G406">
        <v>8.9</v>
      </c>
      <c r="H406">
        <v>0.9</v>
      </c>
      <c r="I406">
        <v>87.7</v>
      </c>
      <c r="J406">
        <v>117.8</v>
      </c>
      <c r="K406">
        <v>3</v>
      </c>
    </row>
    <row r="407" spans="1:12" x14ac:dyDescent="0.25">
      <c r="A407" t="s">
        <v>1313</v>
      </c>
      <c r="B407" t="s">
        <v>1314</v>
      </c>
      <c r="C407" t="s">
        <v>507</v>
      </c>
      <c r="D407">
        <v>136.4</v>
      </c>
      <c r="E407">
        <v>137.19999999999999</v>
      </c>
      <c r="F407">
        <v>0.8</v>
      </c>
      <c r="G407">
        <v>0.6</v>
      </c>
      <c r="H407">
        <v>0.1</v>
      </c>
      <c r="I407">
        <v>24.3</v>
      </c>
      <c r="J407">
        <v>26.6</v>
      </c>
      <c r="K407">
        <v>0.9</v>
      </c>
    </row>
    <row r="408" spans="1:12" x14ac:dyDescent="0.25">
      <c r="A408" t="s">
        <v>1315</v>
      </c>
      <c r="B408" t="s">
        <v>1316</v>
      </c>
      <c r="C408" t="s">
        <v>507</v>
      </c>
      <c r="D408">
        <v>261.60000000000002</v>
      </c>
      <c r="E408">
        <v>266.5</v>
      </c>
      <c r="F408">
        <v>4.9000000000000004</v>
      </c>
      <c r="G408">
        <v>1.9</v>
      </c>
      <c r="H408">
        <v>0.2</v>
      </c>
      <c r="I408">
        <v>29.4</v>
      </c>
      <c r="J408">
        <v>34.5</v>
      </c>
      <c r="K408">
        <v>1.6</v>
      </c>
    </row>
    <row r="409" spans="1:12" x14ac:dyDescent="0.25">
      <c r="A409" t="s">
        <v>1317</v>
      </c>
      <c r="B409" t="s">
        <v>1318</v>
      </c>
      <c r="C409" t="s">
        <v>507</v>
      </c>
      <c r="D409">
        <v>424.3</v>
      </c>
      <c r="E409">
        <v>467.3</v>
      </c>
      <c r="F409">
        <v>43</v>
      </c>
      <c r="G409">
        <v>10.1</v>
      </c>
      <c r="H409">
        <v>1</v>
      </c>
      <c r="I409">
        <v>97</v>
      </c>
      <c r="J409">
        <v>127.6</v>
      </c>
      <c r="K409">
        <v>2.8</v>
      </c>
    </row>
    <row r="410" spans="1:12" x14ac:dyDescent="0.25">
      <c r="A410" t="s">
        <v>1319</v>
      </c>
      <c r="B410" t="s">
        <v>1320</v>
      </c>
      <c r="C410" t="s">
        <v>504</v>
      </c>
      <c r="D410">
        <v>2909.5</v>
      </c>
      <c r="E410">
        <v>2937.3</v>
      </c>
      <c r="F410">
        <v>27.8</v>
      </c>
      <c r="G410">
        <v>1</v>
      </c>
      <c r="H410">
        <v>0.1</v>
      </c>
      <c r="I410">
        <v>289.89999999999998</v>
      </c>
      <c r="J410">
        <v>346.5</v>
      </c>
      <c r="K410">
        <v>1.8</v>
      </c>
      <c r="L410" t="s">
        <v>465</v>
      </c>
    </row>
    <row r="411" spans="1:12" x14ac:dyDescent="0.25">
      <c r="A411" t="s">
        <v>1321</v>
      </c>
      <c r="B411" t="s">
        <v>1322</v>
      </c>
      <c r="C411" t="s">
        <v>504</v>
      </c>
      <c r="D411">
        <v>488.5</v>
      </c>
      <c r="E411">
        <v>519.70000000000005</v>
      </c>
      <c r="F411">
        <v>31.2</v>
      </c>
      <c r="G411">
        <v>6.4</v>
      </c>
      <c r="H411">
        <v>0.6</v>
      </c>
      <c r="I411">
        <v>82.4</v>
      </c>
      <c r="J411">
        <v>109.4</v>
      </c>
      <c r="K411">
        <v>2.9</v>
      </c>
    </row>
    <row r="412" spans="1:12" x14ac:dyDescent="0.25">
      <c r="A412" t="s">
        <v>1323</v>
      </c>
      <c r="B412" t="s">
        <v>1324</v>
      </c>
      <c r="C412" t="s">
        <v>507</v>
      </c>
      <c r="D412">
        <v>203.7</v>
      </c>
      <c r="E412">
        <v>215.1</v>
      </c>
      <c r="F412">
        <v>11.4</v>
      </c>
      <c r="G412">
        <v>5.6</v>
      </c>
      <c r="H412">
        <v>0.5</v>
      </c>
      <c r="I412" t="s">
        <v>508</v>
      </c>
      <c r="J412" t="s">
        <v>508</v>
      </c>
      <c r="K412" t="s">
        <v>508</v>
      </c>
    </row>
    <row r="413" spans="1:12" x14ac:dyDescent="0.25">
      <c r="A413" t="s">
        <v>1325</v>
      </c>
      <c r="B413" t="s">
        <v>1326</v>
      </c>
      <c r="C413" t="s">
        <v>507</v>
      </c>
      <c r="D413">
        <v>284.8</v>
      </c>
      <c r="E413">
        <v>304.5</v>
      </c>
      <c r="F413">
        <v>19.7</v>
      </c>
      <c r="G413">
        <v>6.9</v>
      </c>
      <c r="H413">
        <v>0.7</v>
      </c>
      <c r="I413" t="s">
        <v>508</v>
      </c>
      <c r="J413" t="s">
        <v>508</v>
      </c>
      <c r="K413" t="s">
        <v>508</v>
      </c>
    </row>
    <row r="414" spans="1:12" x14ac:dyDescent="0.25">
      <c r="A414" t="s">
        <v>1327</v>
      </c>
      <c r="B414" t="s">
        <v>1328</v>
      </c>
      <c r="C414" t="s">
        <v>504</v>
      </c>
      <c r="D414">
        <v>847.6</v>
      </c>
      <c r="E414">
        <v>863.7</v>
      </c>
      <c r="F414">
        <v>16.100000000000001</v>
      </c>
      <c r="G414">
        <v>1.9</v>
      </c>
      <c r="H414">
        <v>0.2</v>
      </c>
      <c r="I414">
        <v>115.6</v>
      </c>
      <c r="J414">
        <v>141.5</v>
      </c>
      <c r="K414">
        <v>2</v>
      </c>
    </row>
    <row r="415" spans="1:12" x14ac:dyDescent="0.25">
      <c r="A415" t="s">
        <v>1329</v>
      </c>
      <c r="B415" t="s">
        <v>1330</v>
      </c>
      <c r="C415" t="s">
        <v>507</v>
      </c>
      <c r="D415">
        <v>364.4</v>
      </c>
      <c r="E415">
        <v>375.7</v>
      </c>
      <c r="F415">
        <v>11.3</v>
      </c>
      <c r="G415">
        <v>3.1</v>
      </c>
      <c r="H415">
        <v>0.3</v>
      </c>
      <c r="I415" t="s">
        <v>508</v>
      </c>
      <c r="J415" t="s">
        <v>508</v>
      </c>
      <c r="K415" t="s">
        <v>508</v>
      </c>
    </row>
    <row r="416" spans="1:12" x14ac:dyDescent="0.25">
      <c r="A416" t="s">
        <v>1331</v>
      </c>
      <c r="B416" t="s">
        <v>1332</v>
      </c>
      <c r="C416" t="s">
        <v>504</v>
      </c>
      <c r="D416">
        <v>483.2</v>
      </c>
      <c r="E416">
        <v>488</v>
      </c>
      <c r="F416">
        <v>4.8</v>
      </c>
      <c r="G416">
        <v>1</v>
      </c>
      <c r="H416">
        <v>0.1</v>
      </c>
      <c r="I416" t="s">
        <v>508</v>
      </c>
      <c r="J416" t="s">
        <v>508</v>
      </c>
      <c r="K416" t="s">
        <v>508</v>
      </c>
    </row>
    <row r="417" spans="1:12" x14ac:dyDescent="0.25">
      <c r="A417" t="s">
        <v>1333</v>
      </c>
      <c r="B417" t="s">
        <v>1334</v>
      </c>
      <c r="C417" t="s">
        <v>507</v>
      </c>
      <c r="D417">
        <v>107.2</v>
      </c>
      <c r="E417">
        <v>103.6</v>
      </c>
      <c r="F417">
        <v>-3.6</v>
      </c>
      <c r="G417">
        <v>-3.3</v>
      </c>
      <c r="H417">
        <v>-0.3</v>
      </c>
      <c r="I417" t="s">
        <v>508</v>
      </c>
      <c r="J417" t="s">
        <v>508</v>
      </c>
      <c r="K417" t="s">
        <v>508</v>
      </c>
    </row>
    <row r="418" spans="1:12" x14ac:dyDescent="0.25">
      <c r="A418" t="s">
        <v>1335</v>
      </c>
      <c r="B418" t="s">
        <v>1336</v>
      </c>
      <c r="C418" t="s">
        <v>507</v>
      </c>
      <c r="D418">
        <v>650.4</v>
      </c>
      <c r="E418">
        <v>653</v>
      </c>
      <c r="F418">
        <v>2.6</v>
      </c>
      <c r="G418">
        <v>0.4</v>
      </c>
      <c r="H418">
        <v>0</v>
      </c>
      <c r="I418">
        <v>19.2</v>
      </c>
      <c r="J418">
        <v>23</v>
      </c>
      <c r="K418">
        <v>1.8</v>
      </c>
      <c r="L418" t="s">
        <v>476</v>
      </c>
    </row>
    <row r="419" spans="1:12" x14ac:dyDescent="0.25">
      <c r="A419" t="s">
        <v>1337</v>
      </c>
      <c r="B419" t="s">
        <v>1338</v>
      </c>
      <c r="C419" t="s">
        <v>504</v>
      </c>
      <c r="D419">
        <v>11468</v>
      </c>
      <c r="E419">
        <v>11453.9</v>
      </c>
      <c r="F419">
        <v>-14.1</v>
      </c>
      <c r="G419">
        <v>-0.1</v>
      </c>
      <c r="H419">
        <v>0</v>
      </c>
      <c r="I419" t="s">
        <v>508</v>
      </c>
      <c r="J419" t="s">
        <v>508</v>
      </c>
      <c r="K419" t="s">
        <v>508</v>
      </c>
    </row>
    <row r="420" spans="1:12" x14ac:dyDescent="0.25">
      <c r="A420" t="s">
        <v>1339</v>
      </c>
      <c r="B420" t="s">
        <v>1340</v>
      </c>
      <c r="C420" t="s">
        <v>504</v>
      </c>
      <c r="D420">
        <v>2999.5</v>
      </c>
      <c r="E420">
        <v>2862.9</v>
      </c>
      <c r="F420">
        <v>-136.6</v>
      </c>
      <c r="G420">
        <v>-4.5999999999999996</v>
      </c>
      <c r="H420">
        <v>-0.5</v>
      </c>
      <c r="I420">
        <v>1278.0999999999999</v>
      </c>
      <c r="J420">
        <v>1325.2</v>
      </c>
      <c r="K420">
        <v>0.4</v>
      </c>
      <c r="L420" t="s">
        <v>478</v>
      </c>
    </row>
    <row r="421" spans="1:12" x14ac:dyDescent="0.25">
      <c r="A421" t="s">
        <v>1341</v>
      </c>
      <c r="B421" t="s">
        <v>1342</v>
      </c>
      <c r="C421" t="s">
        <v>507</v>
      </c>
      <c r="D421">
        <v>605.70000000000005</v>
      </c>
      <c r="E421">
        <v>578.20000000000005</v>
      </c>
      <c r="F421">
        <v>-27.5</v>
      </c>
      <c r="G421">
        <v>-4.5</v>
      </c>
      <c r="H421">
        <v>-0.5</v>
      </c>
      <c r="I421">
        <v>61.9</v>
      </c>
      <c r="J421">
        <v>69.8</v>
      </c>
      <c r="K421">
        <v>1.2</v>
      </c>
    </row>
    <row r="422" spans="1:12" x14ac:dyDescent="0.25">
      <c r="A422" t="s">
        <v>1343</v>
      </c>
      <c r="B422" t="s">
        <v>1344</v>
      </c>
      <c r="C422" t="s">
        <v>507</v>
      </c>
      <c r="D422">
        <v>2393.8000000000002</v>
      </c>
      <c r="E422">
        <v>2284.6</v>
      </c>
      <c r="F422">
        <v>-109.2</v>
      </c>
      <c r="G422">
        <v>-4.5999999999999996</v>
      </c>
      <c r="H422">
        <v>-0.5</v>
      </c>
      <c r="I422">
        <v>1216.5</v>
      </c>
      <c r="J422">
        <v>1255.2</v>
      </c>
      <c r="K422">
        <v>0.3</v>
      </c>
    </row>
    <row r="423" spans="1:12" x14ac:dyDescent="0.25">
      <c r="A423" t="s">
        <v>1345</v>
      </c>
      <c r="B423" t="s">
        <v>1346</v>
      </c>
      <c r="C423" t="s">
        <v>504</v>
      </c>
      <c r="D423">
        <v>8468.5</v>
      </c>
      <c r="E423">
        <v>8591.1</v>
      </c>
      <c r="F423">
        <v>122.6</v>
      </c>
      <c r="G423">
        <v>1.4</v>
      </c>
      <c r="H423">
        <v>0.1</v>
      </c>
      <c r="I423">
        <v>1420.6</v>
      </c>
      <c r="J423">
        <v>1510.1</v>
      </c>
      <c r="K423">
        <v>0.6</v>
      </c>
      <c r="L423" t="s">
        <v>478</v>
      </c>
    </row>
    <row r="424" spans="1:12" x14ac:dyDescent="0.25">
      <c r="A424" t="s">
        <v>1347</v>
      </c>
      <c r="B424" t="s">
        <v>1348</v>
      </c>
      <c r="C424" t="s">
        <v>507</v>
      </c>
      <c r="D424">
        <v>2380.3000000000002</v>
      </c>
      <c r="E424">
        <v>2388.3000000000002</v>
      </c>
      <c r="F424">
        <v>8</v>
      </c>
      <c r="G424">
        <v>0.3</v>
      </c>
      <c r="H424">
        <v>0</v>
      </c>
      <c r="I424" t="s">
        <v>508</v>
      </c>
      <c r="J424" t="s">
        <v>508</v>
      </c>
      <c r="K424" t="s">
        <v>508</v>
      </c>
    </row>
    <row r="425" spans="1:12" x14ac:dyDescent="0.25">
      <c r="A425" t="s">
        <v>1349</v>
      </c>
      <c r="B425" t="s">
        <v>1350</v>
      </c>
      <c r="C425" t="s">
        <v>507</v>
      </c>
      <c r="D425">
        <v>6088.2</v>
      </c>
      <c r="E425">
        <v>6202.8</v>
      </c>
      <c r="F425">
        <v>114.6</v>
      </c>
      <c r="G425">
        <v>1.9</v>
      </c>
      <c r="H425">
        <v>0.2</v>
      </c>
      <c r="I425" t="s">
        <v>508</v>
      </c>
      <c r="J425" t="s">
        <v>508</v>
      </c>
      <c r="K425" t="s">
        <v>508</v>
      </c>
    </row>
    <row r="426" spans="1:12" x14ac:dyDescent="0.25">
      <c r="A426" t="s">
        <v>1351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5" x14ac:dyDescent="0.25">
      <c r="C1" t="s">
        <v>1352</v>
      </c>
    </row>
    <row r="2" spans="1:35" x14ac:dyDescent="0.25">
      <c r="C2" t="s">
        <v>1353</v>
      </c>
    </row>
    <row r="3" spans="1:35" x14ac:dyDescent="0.25">
      <c r="C3" t="s">
        <v>1354</v>
      </c>
    </row>
    <row r="4" spans="1:35" x14ac:dyDescent="0.25">
      <c r="C4" t="s">
        <v>1355</v>
      </c>
    </row>
    <row r="5" spans="1:35" x14ac:dyDescent="0.25">
      <c r="B5" s="5" t="s">
        <v>1356</v>
      </c>
      <c r="D5" t="s">
        <v>1357</v>
      </c>
      <c r="E5" t="s">
        <v>1358</v>
      </c>
      <c r="F5" t="s">
        <v>1359</v>
      </c>
      <c r="G5">
        <v>2023</v>
      </c>
      <c r="H5">
        <v>2024</v>
      </c>
      <c r="I5">
        <v>2025</v>
      </c>
      <c r="J5">
        <v>2026</v>
      </c>
      <c r="K5">
        <v>2027</v>
      </c>
      <c r="L5">
        <v>2028</v>
      </c>
      <c r="M5">
        <v>2029</v>
      </c>
      <c r="N5">
        <v>2030</v>
      </c>
      <c r="O5">
        <v>2031</v>
      </c>
      <c r="P5">
        <v>2032</v>
      </c>
      <c r="Q5">
        <v>2033</v>
      </c>
      <c r="R5">
        <v>2034</v>
      </c>
      <c r="S5">
        <v>2035</v>
      </c>
      <c r="T5">
        <v>2036</v>
      </c>
      <c r="U5">
        <v>2037</v>
      </c>
      <c r="V5">
        <v>2038</v>
      </c>
      <c r="W5">
        <v>2039</v>
      </c>
      <c r="X5">
        <v>2040</v>
      </c>
      <c r="Y5">
        <v>2041</v>
      </c>
      <c r="Z5">
        <v>2042</v>
      </c>
      <c r="AA5">
        <v>2043</v>
      </c>
      <c r="AB5">
        <v>2044</v>
      </c>
      <c r="AC5">
        <v>2045</v>
      </c>
      <c r="AD5">
        <v>2046</v>
      </c>
      <c r="AE5">
        <v>2047</v>
      </c>
      <c r="AF5">
        <v>2048</v>
      </c>
      <c r="AG5">
        <v>2049</v>
      </c>
      <c r="AH5">
        <v>2050</v>
      </c>
      <c r="AI5" t="s">
        <v>1360</v>
      </c>
    </row>
    <row r="6" spans="1:35" x14ac:dyDescent="0.25">
      <c r="A6" t="s">
        <v>1361</v>
      </c>
      <c r="C6" t="s">
        <v>1362</v>
      </c>
      <c r="D6" t="s">
        <v>1363</v>
      </c>
      <c r="E6" t="s">
        <v>1364</v>
      </c>
      <c r="F6" t="s">
        <v>1365</v>
      </c>
      <c r="H6">
        <v>21699.671875</v>
      </c>
      <c r="I6">
        <v>22171.929688</v>
      </c>
      <c r="J6">
        <v>22685.953125</v>
      </c>
      <c r="K6">
        <v>23162.595702999999</v>
      </c>
      <c r="L6">
        <v>23590.015625</v>
      </c>
      <c r="M6">
        <v>24042.869140999999</v>
      </c>
      <c r="N6">
        <v>24479.318359000001</v>
      </c>
      <c r="O6">
        <v>24877.939452999999</v>
      </c>
      <c r="P6">
        <v>25299.824218999998</v>
      </c>
      <c r="Q6">
        <v>25731.902343999998</v>
      </c>
      <c r="R6">
        <v>26166.296875</v>
      </c>
      <c r="S6">
        <v>26621.835938</v>
      </c>
      <c r="T6">
        <v>27077.875</v>
      </c>
      <c r="U6">
        <v>27546.341797000001</v>
      </c>
      <c r="V6">
        <v>28018.710938</v>
      </c>
      <c r="W6">
        <v>28503.035156000002</v>
      </c>
      <c r="X6">
        <v>29003.939452999999</v>
      </c>
      <c r="Y6">
        <v>29486.919922000001</v>
      </c>
      <c r="Z6">
        <v>29991.914062</v>
      </c>
      <c r="AA6">
        <v>30494.671875</v>
      </c>
      <c r="AB6">
        <v>30998.292968999998</v>
      </c>
      <c r="AC6">
        <v>31501.849609000001</v>
      </c>
      <c r="AD6">
        <v>32021.367188</v>
      </c>
      <c r="AE6">
        <v>32546.509765999999</v>
      </c>
      <c r="AF6">
        <v>33074.625</v>
      </c>
      <c r="AG6">
        <v>33617.65625</v>
      </c>
      <c r="AH6">
        <v>34162.722655999998</v>
      </c>
      <c r="AI6">
        <v>1.7999999999999999E-2</v>
      </c>
    </row>
    <row r="7" spans="1:35" x14ac:dyDescent="0.25">
      <c r="A7" t="s">
        <v>1366</v>
      </c>
      <c r="C7" t="s">
        <v>1367</v>
      </c>
      <c r="D7" t="s">
        <v>1368</v>
      </c>
      <c r="E7" t="s">
        <v>1369</v>
      </c>
      <c r="F7" t="s">
        <v>1370</v>
      </c>
      <c r="H7">
        <v>159.545197</v>
      </c>
      <c r="I7">
        <v>160.89846800000001</v>
      </c>
      <c r="J7">
        <v>161.43066400000001</v>
      </c>
      <c r="K7">
        <v>161.697113</v>
      </c>
      <c r="L7">
        <v>161.99790999999999</v>
      </c>
      <c r="M7">
        <v>162.53140300000001</v>
      </c>
      <c r="N7">
        <v>163.241547</v>
      </c>
      <c r="O7">
        <v>163.92671200000001</v>
      </c>
      <c r="P7">
        <v>164.54892000000001</v>
      </c>
      <c r="Q7">
        <v>164.98477199999999</v>
      </c>
      <c r="R7">
        <v>165.29776000000001</v>
      </c>
      <c r="S7">
        <v>165.565933</v>
      </c>
      <c r="T7">
        <v>166.08338900000001</v>
      </c>
      <c r="U7">
        <v>166.79139699999999</v>
      </c>
      <c r="V7">
        <v>167.53140300000001</v>
      </c>
      <c r="W7">
        <v>168.186554</v>
      </c>
      <c r="X7">
        <v>169.00384500000001</v>
      </c>
      <c r="Y7">
        <v>169.658646</v>
      </c>
      <c r="Z7">
        <v>170.29731799999999</v>
      </c>
      <c r="AA7">
        <v>170.74044799999999</v>
      </c>
      <c r="AB7">
        <v>171.206131</v>
      </c>
      <c r="AC7">
        <v>171.654968</v>
      </c>
      <c r="AD7">
        <v>172.127533</v>
      </c>
      <c r="AE7">
        <v>172.64163199999999</v>
      </c>
      <c r="AF7">
        <v>173.163284</v>
      </c>
      <c r="AG7">
        <v>173.71743799999999</v>
      </c>
      <c r="AH7">
        <v>174.28782699999999</v>
      </c>
      <c r="AI7">
        <v>3.0000000000000001E-3</v>
      </c>
    </row>
    <row r="8" spans="1:35" x14ac:dyDescent="0.25">
      <c r="C8" t="s">
        <v>1371</v>
      </c>
    </row>
    <row r="9" spans="1:35" x14ac:dyDescent="0.25">
      <c r="C9" t="s">
        <v>1372</v>
      </c>
    </row>
    <row r="10" spans="1:35" x14ac:dyDescent="0.25">
      <c r="A10" t="s">
        <v>1373</v>
      </c>
      <c r="B10" t="s">
        <v>1374</v>
      </c>
      <c r="C10" t="s">
        <v>1375</v>
      </c>
      <c r="D10" t="s">
        <v>1376</v>
      </c>
      <c r="E10" t="s">
        <v>1377</v>
      </c>
      <c r="F10" t="s">
        <v>1365</v>
      </c>
      <c r="H10">
        <v>538.82659899999999</v>
      </c>
      <c r="I10">
        <v>544.76806599999998</v>
      </c>
      <c r="J10">
        <v>552.01934800000004</v>
      </c>
      <c r="K10">
        <v>559.25311299999998</v>
      </c>
      <c r="L10">
        <v>565.51892099999998</v>
      </c>
      <c r="M10">
        <v>573.79547100000002</v>
      </c>
      <c r="N10">
        <v>581.47051999999996</v>
      </c>
      <c r="O10">
        <v>587.56146200000001</v>
      </c>
      <c r="P10">
        <v>593.56909199999996</v>
      </c>
      <c r="Q10">
        <v>599.28234899999995</v>
      </c>
      <c r="R10">
        <v>606.56781000000001</v>
      </c>
      <c r="S10">
        <v>614.138733</v>
      </c>
      <c r="T10">
        <v>623.17742899999996</v>
      </c>
      <c r="U10">
        <v>630.44726600000001</v>
      </c>
      <c r="V10">
        <v>636.67987100000005</v>
      </c>
      <c r="W10">
        <v>643.489014</v>
      </c>
      <c r="X10">
        <v>649.694031</v>
      </c>
      <c r="Y10">
        <v>654.32800299999997</v>
      </c>
      <c r="Z10">
        <v>659.78338599999995</v>
      </c>
      <c r="AA10">
        <v>665.28344700000002</v>
      </c>
      <c r="AB10">
        <v>671.34362799999997</v>
      </c>
      <c r="AC10">
        <v>678.96008300000005</v>
      </c>
      <c r="AD10">
        <v>686.82513400000005</v>
      </c>
      <c r="AE10">
        <v>694.61627199999998</v>
      </c>
      <c r="AF10">
        <v>702.28125</v>
      </c>
      <c r="AG10">
        <v>710.25579800000003</v>
      </c>
      <c r="AH10">
        <v>718.01489300000003</v>
      </c>
      <c r="AI10">
        <v>1.0999999999999999E-2</v>
      </c>
    </row>
    <row r="11" spans="1:35" x14ac:dyDescent="0.25">
      <c r="A11" t="s">
        <v>1378</v>
      </c>
      <c r="B11" t="s">
        <v>1379</v>
      </c>
      <c r="C11" t="s">
        <v>1380</v>
      </c>
      <c r="D11" t="s">
        <v>1381</v>
      </c>
      <c r="E11" t="s">
        <v>1382</v>
      </c>
      <c r="F11" t="s">
        <v>1365</v>
      </c>
      <c r="H11">
        <v>738.62609899999995</v>
      </c>
      <c r="I11">
        <v>800.09271200000001</v>
      </c>
      <c r="J11">
        <v>807.26275599999997</v>
      </c>
      <c r="K11">
        <v>812.87158199999999</v>
      </c>
      <c r="L11">
        <v>822.88531499999999</v>
      </c>
      <c r="M11">
        <v>830.66400099999998</v>
      </c>
      <c r="N11">
        <v>837.44683799999996</v>
      </c>
      <c r="O11">
        <v>834.118469</v>
      </c>
      <c r="P11">
        <v>842.65661599999999</v>
      </c>
      <c r="Q11">
        <v>842.87884499999996</v>
      </c>
      <c r="R11">
        <v>843.77453600000001</v>
      </c>
      <c r="S11">
        <v>839.434753</v>
      </c>
      <c r="T11">
        <v>833.55816700000003</v>
      </c>
      <c r="U11">
        <v>824.76232900000002</v>
      </c>
      <c r="V11">
        <v>820.58245799999997</v>
      </c>
      <c r="W11">
        <v>815.21142599999996</v>
      </c>
      <c r="X11">
        <v>817.20263699999998</v>
      </c>
      <c r="Y11">
        <v>820.17926</v>
      </c>
      <c r="Z11">
        <v>823.919983</v>
      </c>
      <c r="AA11">
        <v>823.77703899999995</v>
      </c>
      <c r="AB11">
        <v>825.681152</v>
      </c>
      <c r="AC11">
        <v>828.09149200000002</v>
      </c>
      <c r="AD11">
        <v>834.33093299999996</v>
      </c>
      <c r="AE11">
        <v>835.11914100000001</v>
      </c>
      <c r="AF11">
        <v>834.69671600000004</v>
      </c>
      <c r="AG11">
        <v>836.806152</v>
      </c>
      <c r="AH11">
        <v>839.41027799999995</v>
      </c>
      <c r="AI11">
        <v>5.0000000000000001E-3</v>
      </c>
    </row>
    <row r="12" spans="1:35" x14ac:dyDescent="0.25">
      <c r="A12" t="s">
        <v>1383</v>
      </c>
      <c r="B12" t="s">
        <v>1384</v>
      </c>
      <c r="C12" t="s">
        <v>1385</v>
      </c>
      <c r="D12" t="s">
        <v>1386</v>
      </c>
      <c r="E12" t="s">
        <v>1387</v>
      </c>
      <c r="F12" t="s">
        <v>1365</v>
      </c>
      <c r="H12">
        <v>1440.7977289999999</v>
      </c>
      <c r="I12">
        <v>1433.057251</v>
      </c>
      <c r="J12">
        <v>1444.2264399999999</v>
      </c>
      <c r="K12">
        <v>1467.153198</v>
      </c>
      <c r="L12">
        <v>1502.783447</v>
      </c>
      <c r="M12">
        <v>1544.019775</v>
      </c>
      <c r="N12">
        <v>1573.192505</v>
      </c>
      <c r="O12">
        <v>1598.660034</v>
      </c>
      <c r="P12">
        <v>1617.260254</v>
      </c>
      <c r="Q12">
        <v>1624.0386960000001</v>
      </c>
      <c r="R12">
        <v>1624.3892820000001</v>
      </c>
      <c r="S12">
        <v>1639.5164789999999</v>
      </c>
      <c r="T12">
        <v>1660.5124510000001</v>
      </c>
      <c r="U12">
        <v>1673.6357419999999</v>
      </c>
      <c r="V12">
        <v>1687.7022710000001</v>
      </c>
      <c r="W12">
        <v>1700.4539789999999</v>
      </c>
      <c r="X12">
        <v>1710.27478</v>
      </c>
      <c r="Y12">
        <v>1717.300293</v>
      </c>
      <c r="Z12">
        <v>1728.816284</v>
      </c>
      <c r="AA12">
        <v>1737.1104740000001</v>
      </c>
      <c r="AB12">
        <v>1744.9567870000001</v>
      </c>
      <c r="AC12">
        <v>1762.098999</v>
      </c>
      <c r="AD12">
        <v>1781.256226</v>
      </c>
      <c r="AE12">
        <v>1803.246948</v>
      </c>
      <c r="AF12">
        <v>1826.451538</v>
      </c>
      <c r="AG12">
        <v>1851.138794</v>
      </c>
      <c r="AH12">
        <v>1872.746948</v>
      </c>
      <c r="AI12">
        <v>0.01</v>
      </c>
    </row>
    <row r="13" spans="1:35" x14ac:dyDescent="0.25">
      <c r="C13" t="s">
        <v>1388</v>
      </c>
    </row>
    <row r="14" spans="1:35" x14ac:dyDescent="0.25">
      <c r="A14" t="s">
        <v>1389</v>
      </c>
      <c r="B14" t="s">
        <v>1390</v>
      </c>
      <c r="C14" t="s">
        <v>1391</v>
      </c>
      <c r="D14" t="s">
        <v>1392</v>
      </c>
      <c r="E14" t="s">
        <v>1393</v>
      </c>
      <c r="F14" t="s">
        <v>1365</v>
      </c>
      <c r="H14">
        <v>821.56500200000005</v>
      </c>
      <c r="I14">
        <v>826.25628700000004</v>
      </c>
      <c r="J14">
        <v>829.60241699999995</v>
      </c>
      <c r="K14">
        <v>837.90673800000002</v>
      </c>
      <c r="L14">
        <v>844.65008499999999</v>
      </c>
      <c r="M14">
        <v>853.04797399999995</v>
      </c>
      <c r="N14">
        <v>861.58227499999998</v>
      </c>
      <c r="O14">
        <v>869.48919699999999</v>
      </c>
      <c r="P14">
        <v>877.76153599999998</v>
      </c>
      <c r="Q14">
        <v>885.73113999999998</v>
      </c>
      <c r="R14">
        <v>894.01611300000002</v>
      </c>
      <c r="S14">
        <v>901.54547100000002</v>
      </c>
      <c r="T14">
        <v>911.37493900000004</v>
      </c>
      <c r="U14">
        <v>920.41272000000004</v>
      </c>
      <c r="V14">
        <v>929.09497099999999</v>
      </c>
      <c r="W14">
        <v>938.25280799999996</v>
      </c>
      <c r="X14">
        <v>947.32989499999996</v>
      </c>
      <c r="Y14">
        <v>956.44329800000003</v>
      </c>
      <c r="Z14">
        <v>965.73699999999997</v>
      </c>
      <c r="AA14">
        <v>974.68511999999998</v>
      </c>
      <c r="AB14">
        <v>983.68792699999995</v>
      </c>
      <c r="AC14">
        <v>992.50006099999996</v>
      </c>
      <c r="AD14">
        <v>1001.497559</v>
      </c>
      <c r="AE14">
        <v>1010.571472</v>
      </c>
      <c r="AF14">
        <v>1019.670227</v>
      </c>
      <c r="AG14">
        <v>1029.158447</v>
      </c>
      <c r="AH14">
        <v>1038.471802</v>
      </c>
      <c r="AI14">
        <v>8.9999999999999993E-3</v>
      </c>
    </row>
    <row r="15" spans="1:35" x14ac:dyDescent="0.25">
      <c r="A15" t="s">
        <v>1394</v>
      </c>
      <c r="B15" t="s">
        <v>1390</v>
      </c>
      <c r="C15" t="s">
        <v>1395</v>
      </c>
      <c r="D15" t="s">
        <v>1396</v>
      </c>
      <c r="E15" t="s">
        <v>1397</v>
      </c>
      <c r="F15" t="s">
        <v>1365</v>
      </c>
      <c r="H15">
        <v>141.906082</v>
      </c>
      <c r="I15">
        <v>139.8526</v>
      </c>
      <c r="J15">
        <v>138.71139500000001</v>
      </c>
      <c r="K15">
        <v>138.03376800000001</v>
      </c>
      <c r="L15">
        <v>137.52714499999999</v>
      </c>
      <c r="M15">
        <v>136.83862300000001</v>
      </c>
      <c r="N15">
        <v>136.09837300000001</v>
      </c>
      <c r="O15">
        <v>135.327225</v>
      </c>
      <c r="P15">
        <v>134.48689300000001</v>
      </c>
      <c r="Q15">
        <v>133.751328</v>
      </c>
      <c r="R15">
        <v>133.06809999999999</v>
      </c>
      <c r="S15">
        <v>132.55055200000001</v>
      </c>
      <c r="T15">
        <v>131.98661799999999</v>
      </c>
      <c r="U15">
        <v>131.44885300000001</v>
      </c>
      <c r="V15">
        <v>130.93476899999999</v>
      </c>
      <c r="W15">
        <v>130.426331</v>
      </c>
      <c r="X15">
        <v>129.932602</v>
      </c>
      <c r="Y15">
        <v>129.437927</v>
      </c>
      <c r="Z15">
        <v>128.931274</v>
      </c>
      <c r="AA15">
        <v>128.37809799999999</v>
      </c>
      <c r="AB15">
        <v>127.794327</v>
      </c>
      <c r="AC15">
        <v>127.17437700000001</v>
      </c>
      <c r="AD15">
        <v>126.600021</v>
      </c>
      <c r="AE15">
        <v>126.07457700000001</v>
      </c>
      <c r="AF15">
        <v>125.574326</v>
      </c>
      <c r="AG15">
        <v>125.095772</v>
      </c>
      <c r="AH15">
        <v>124.58905</v>
      </c>
      <c r="AI15">
        <v>-5.0000000000000001E-3</v>
      </c>
    </row>
    <row r="16" spans="1:35" x14ac:dyDescent="0.25">
      <c r="A16" t="s">
        <v>1398</v>
      </c>
      <c r="B16" t="s">
        <v>1399</v>
      </c>
      <c r="C16" t="s">
        <v>1400</v>
      </c>
      <c r="D16" t="s">
        <v>1401</v>
      </c>
      <c r="E16" t="s">
        <v>1402</v>
      </c>
      <c r="F16" t="s">
        <v>1365</v>
      </c>
      <c r="H16">
        <v>66.089164999999994</v>
      </c>
      <c r="I16">
        <v>66.538512999999995</v>
      </c>
      <c r="J16">
        <v>65.899199999999993</v>
      </c>
      <c r="K16">
        <v>65.924271000000005</v>
      </c>
      <c r="L16">
        <v>64.837829999999997</v>
      </c>
      <c r="M16">
        <v>64.166801000000007</v>
      </c>
      <c r="N16">
        <v>63.704239000000001</v>
      </c>
      <c r="O16">
        <v>63.158009</v>
      </c>
      <c r="P16">
        <v>62.414116</v>
      </c>
      <c r="Q16">
        <v>61.727992999999998</v>
      </c>
      <c r="R16">
        <v>61.319777999999999</v>
      </c>
      <c r="S16">
        <v>60.568184000000002</v>
      </c>
      <c r="T16">
        <v>59.831409000000001</v>
      </c>
      <c r="U16">
        <v>59.532325999999998</v>
      </c>
      <c r="V16">
        <v>59.148829999999997</v>
      </c>
      <c r="W16">
        <v>58.900440000000003</v>
      </c>
      <c r="X16">
        <v>58.791423999999999</v>
      </c>
      <c r="Y16">
        <v>58.565128000000001</v>
      </c>
      <c r="Z16">
        <v>58.345596</v>
      </c>
      <c r="AA16">
        <v>57.977749000000003</v>
      </c>
      <c r="AB16">
        <v>57.632815999999998</v>
      </c>
      <c r="AC16">
        <v>57.247356000000003</v>
      </c>
      <c r="AD16">
        <v>56.933219999999999</v>
      </c>
      <c r="AE16">
        <v>56.724243000000001</v>
      </c>
      <c r="AF16">
        <v>56.464835999999998</v>
      </c>
      <c r="AG16">
        <v>56.236049999999999</v>
      </c>
      <c r="AH16">
        <v>55.887160999999999</v>
      </c>
      <c r="AI16">
        <v>-6.0000000000000001E-3</v>
      </c>
    </row>
    <row r="17" spans="1:35" x14ac:dyDescent="0.25">
      <c r="A17" t="s">
        <v>1403</v>
      </c>
      <c r="B17" t="s">
        <v>1404</v>
      </c>
      <c r="C17" t="s">
        <v>1405</v>
      </c>
      <c r="D17" t="s">
        <v>1406</v>
      </c>
      <c r="E17" t="s">
        <v>1407</v>
      </c>
      <c r="F17" t="s">
        <v>1365</v>
      </c>
      <c r="H17">
        <v>98.407120000000006</v>
      </c>
      <c r="I17">
        <v>99.040710000000004</v>
      </c>
      <c r="J17">
        <v>101.040649</v>
      </c>
      <c r="K17">
        <v>102.246925</v>
      </c>
      <c r="L17">
        <v>103.98792299999999</v>
      </c>
      <c r="M17">
        <v>107.2435</v>
      </c>
      <c r="N17">
        <v>109.76387800000001</v>
      </c>
      <c r="O17">
        <v>111.444023</v>
      </c>
      <c r="P17">
        <v>112.56997699999999</v>
      </c>
      <c r="Q17">
        <v>112.379074</v>
      </c>
      <c r="R17">
        <v>113.57044999999999</v>
      </c>
      <c r="S17">
        <v>115.056473</v>
      </c>
      <c r="T17">
        <v>118.327522</v>
      </c>
      <c r="U17">
        <v>120.524979</v>
      </c>
      <c r="V17">
        <v>121.295052</v>
      </c>
      <c r="W17">
        <v>122.199997</v>
      </c>
      <c r="X17">
        <v>122.03939800000001</v>
      </c>
      <c r="Y17">
        <v>119.662926</v>
      </c>
      <c r="Z17">
        <v>118.09380299999999</v>
      </c>
      <c r="AA17">
        <v>115.158073</v>
      </c>
      <c r="AB17">
        <v>113.127899</v>
      </c>
      <c r="AC17">
        <v>113.014549</v>
      </c>
      <c r="AD17">
        <v>113.406578</v>
      </c>
      <c r="AE17">
        <v>114.637749</v>
      </c>
      <c r="AF17">
        <v>115.775826</v>
      </c>
      <c r="AG17">
        <v>117.22972900000001</v>
      </c>
      <c r="AH17">
        <v>118.126198</v>
      </c>
      <c r="AI17">
        <v>7.0000000000000001E-3</v>
      </c>
    </row>
    <row r="18" spans="1:35" x14ac:dyDescent="0.25">
      <c r="A18" t="s">
        <v>1408</v>
      </c>
      <c r="B18" t="s">
        <v>1409</v>
      </c>
      <c r="C18" t="s">
        <v>1410</v>
      </c>
      <c r="D18" t="s">
        <v>1411</v>
      </c>
      <c r="E18" t="s">
        <v>1412</v>
      </c>
      <c r="F18" t="s">
        <v>1365</v>
      </c>
      <c r="H18">
        <v>53.271853999999998</v>
      </c>
      <c r="I18">
        <v>52.269444</v>
      </c>
      <c r="J18">
        <v>53.980426999999999</v>
      </c>
      <c r="K18">
        <v>55.926291999999997</v>
      </c>
      <c r="L18">
        <v>56.093471999999998</v>
      </c>
      <c r="M18">
        <v>56.599044999999997</v>
      </c>
      <c r="N18">
        <v>58.34198</v>
      </c>
      <c r="O18">
        <v>58.926270000000002</v>
      </c>
      <c r="P18">
        <v>59.556117999999998</v>
      </c>
      <c r="Q18">
        <v>59.890476</v>
      </c>
      <c r="R18">
        <v>61.148803999999998</v>
      </c>
      <c r="S18">
        <v>61.658676</v>
      </c>
      <c r="T18">
        <v>62.141407000000001</v>
      </c>
      <c r="U18">
        <v>63.414036000000003</v>
      </c>
      <c r="V18">
        <v>64.388122999999993</v>
      </c>
      <c r="W18">
        <v>65.334250999999995</v>
      </c>
      <c r="X18">
        <v>66.700744999999998</v>
      </c>
      <c r="Y18">
        <v>67.731551999999994</v>
      </c>
      <c r="Z18">
        <v>68.640738999999996</v>
      </c>
      <c r="AA18">
        <v>69.677574000000007</v>
      </c>
      <c r="AB18">
        <v>70.932807999999994</v>
      </c>
      <c r="AC18">
        <v>71.805747999999994</v>
      </c>
      <c r="AD18">
        <v>72.815346000000005</v>
      </c>
      <c r="AE18">
        <v>74.188430999999994</v>
      </c>
      <c r="AF18">
        <v>74.879401999999999</v>
      </c>
      <c r="AG18">
        <v>76.066422000000003</v>
      </c>
      <c r="AH18">
        <v>76.886627000000004</v>
      </c>
      <c r="AI18">
        <v>1.4E-2</v>
      </c>
    </row>
    <row r="19" spans="1:35" x14ac:dyDescent="0.25">
      <c r="A19" t="s">
        <v>1413</v>
      </c>
      <c r="B19" t="s">
        <v>1414</v>
      </c>
      <c r="C19" t="s">
        <v>1415</v>
      </c>
      <c r="D19" t="s">
        <v>1416</v>
      </c>
      <c r="E19" t="s">
        <v>1417</v>
      </c>
      <c r="F19" t="s">
        <v>1365</v>
      </c>
      <c r="H19">
        <v>161.46919299999999</v>
      </c>
      <c r="I19">
        <v>162.76919599999999</v>
      </c>
      <c r="J19">
        <v>164.025757</v>
      </c>
      <c r="K19">
        <v>162.47027600000001</v>
      </c>
      <c r="L19">
        <v>161.55638099999999</v>
      </c>
      <c r="M19">
        <v>161.47071800000001</v>
      </c>
      <c r="N19">
        <v>161.809799</v>
      </c>
      <c r="O19">
        <v>162.97775300000001</v>
      </c>
      <c r="P19">
        <v>163.75282300000001</v>
      </c>
      <c r="Q19">
        <v>164.066971</v>
      </c>
      <c r="R19">
        <v>165.19105500000001</v>
      </c>
      <c r="S19">
        <v>166.252869</v>
      </c>
      <c r="T19">
        <v>167.39653000000001</v>
      </c>
      <c r="U19">
        <v>168.34884600000001</v>
      </c>
      <c r="V19">
        <v>169.47160299999999</v>
      </c>
      <c r="W19">
        <v>171.07836900000001</v>
      </c>
      <c r="X19">
        <v>172.76542699999999</v>
      </c>
      <c r="Y19">
        <v>174.022369</v>
      </c>
      <c r="Z19">
        <v>175.34892300000001</v>
      </c>
      <c r="AA19">
        <v>176.49816899999999</v>
      </c>
      <c r="AB19">
        <v>178.14328</v>
      </c>
      <c r="AC19">
        <v>179.31845100000001</v>
      </c>
      <c r="AD19">
        <v>180.706772</v>
      </c>
      <c r="AE19">
        <v>182.09449799999999</v>
      </c>
      <c r="AF19">
        <v>183.34045399999999</v>
      </c>
      <c r="AG19">
        <v>184.407928</v>
      </c>
      <c r="AH19">
        <v>185.49395799999999</v>
      </c>
      <c r="AI19">
        <v>5.0000000000000001E-3</v>
      </c>
    </row>
    <row r="20" spans="1:35" x14ac:dyDescent="0.25">
      <c r="A20" t="s">
        <v>1418</v>
      </c>
      <c r="B20" t="s">
        <v>1414</v>
      </c>
      <c r="C20" t="s">
        <v>293</v>
      </c>
      <c r="D20" t="s">
        <v>1419</v>
      </c>
      <c r="E20" t="s">
        <v>1420</v>
      </c>
      <c r="F20" t="s">
        <v>1365</v>
      </c>
      <c r="H20">
        <v>60.525852</v>
      </c>
      <c r="I20">
        <v>57.448959000000002</v>
      </c>
      <c r="J20">
        <v>56.292636999999999</v>
      </c>
      <c r="K20">
        <v>54.877972</v>
      </c>
      <c r="L20">
        <v>53.651820999999998</v>
      </c>
      <c r="M20">
        <v>52.613571</v>
      </c>
      <c r="N20">
        <v>51.594307000000001</v>
      </c>
      <c r="O20">
        <v>50.581691999999997</v>
      </c>
      <c r="P20">
        <v>49.633220999999999</v>
      </c>
      <c r="Q20">
        <v>48.669460000000001</v>
      </c>
      <c r="R20">
        <v>47.801642999999999</v>
      </c>
      <c r="S20">
        <v>46.996116999999998</v>
      </c>
      <c r="T20">
        <v>46.399475000000002</v>
      </c>
      <c r="U20">
        <v>45.814658999999999</v>
      </c>
      <c r="V20">
        <v>45.239269</v>
      </c>
      <c r="W20">
        <v>44.861446000000001</v>
      </c>
      <c r="X20">
        <v>44.471885999999998</v>
      </c>
      <c r="Y20">
        <v>44.081989</v>
      </c>
      <c r="Z20">
        <v>43.735256</v>
      </c>
      <c r="AA20">
        <v>43.354686999999998</v>
      </c>
      <c r="AB20">
        <v>43.027943</v>
      </c>
      <c r="AC20">
        <v>42.731819000000002</v>
      </c>
      <c r="AD20">
        <v>42.579571000000001</v>
      </c>
      <c r="AE20">
        <v>42.327193999999999</v>
      </c>
      <c r="AF20">
        <v>42.101280000000003</v>
      </c>
      <c r="AG20">
        <v>41.857501999999997</v>
      </c>
      <c r="AH20">
        <v>41.633499</v>
      </c>
      <c r="AI20">
        <v>-1.4E-2</v>
      </c>
    </row>
    <row r="21" spans="1:35" x14ac:dyDescent="0.25">
      <c r="A21" t="s">
        <v>1421</v>
      </c>
      <c r="B21" t="s">
        <v>1422</v>
      </c>
      <c r="C21" t="s">
        <v>1423</v>
      </c>
      <c r="D21" t="s">
        <v>1424</v>
      </c>
      <c r="E21" t="s">
        <v>1425</v>
      </c>
      <c r="F21" t="s">
        <v>1365</v>
      </c>
      <c r="H21">
        <v>808.21368399999994</v>
      </c>
      <c r="I21">
        <v>812.38934300000005</v>
      </c>
      <c r="J21">
        <v>806.69073500000002</v>
      </c>
      <c r="K21">
        <v>804.93176300000005</v>
      </c>
      <c r="L21">
        <v>803.34942599999999</v>
      </c>
      <c r="M21">
        <v>806.09863299999995</v>
      </c>
      <c r="N21">
        <v>813.56811500000003</v>
      </c>
      <c r="O21">
        <v>823.25134300000002</v>
      </c>
      <c r="P21">
        <v>834.16455099999996</v>
      </c>
      <c r="Q21">
        <v>843.79174799999998</v>
      </c>
      <c r="R21">
        <v>855.42956500000003</v>
      </c>
      <c r="S21">
        <v>865.72814900000003</v>
      </c>
      <c r="T21">
        <v>874.20135500000004</v>
      </c>
      <c r="U21">
        <v>885.51782200000002</v>
      </c>
      <c r="V21">
        <v>896.98571800000002</v>
      </c>
      <c r="W21">
        <v>909.44946300000004</v>
      </c>
      <c r="X21">
        <v>923.43682899999999</v>
      </c>
      <c r="Y21">
        <v>936.80664100000001</v>
      </c>
      <c r="Z21">
        <v>950.84143100000006</v>
      </c>
      <c r="AA21">
        <v>963.14318800000001</v>
      </c>
      <c r="AB21">
        <v>974.98590100000001</v>
      </c>
      <c r="AC21">
        <v>984.60705600000006</v>
      </c>
      <c r="AD21">
        <v>994.83898899999997</v>
      </c>
      <c r="AE21">
        <v>1008.8110349999999</v>
      </c>
      <c r="AF21">
        <v>1020.661987</v>
      </c>
      <c r="AG21">
        <v>1031.7502440000001</v>
      </c>
      <c r="AH21">
        <v>1041.1604</v>
      </c>
      <c r="AI21">
        <v>0.01</v>
      </c>
    </row>
    <row r="22" spans="1:35" x14ac:dyDescent="0.25">
      <c r="A22" t="s">
        <v>1426</v>
      </c>
      <c r="C22" t="s">
        <v>1427</v>
      </c>
      <c r="D22" t="s">
        <v>1428</v>
      </c>
      <c r="E22" t="s">
        <v>1429</v>
      </c>
      <c r="F22" t="s">
        <v>1365</v>
      </c>
      <c r="H22">
        <v>367.32217400000002</v>
      </c>
      <c r="I22">
        <v>372.95434599999999</v>
      </c>
      <c r="J22">
        <v>365.47006199999998</v>
      </c>
      <c r="K22">
        <v>360.02752700000002</v>
      </c>
      <c r="L22">
        <v>354.24496499999998</v>
      </c>
      <c r="M22">
        <v>352.82476800000001</v>
      </c>
      <c r="N22">
        <v>355.28152499999999</v>
      </c>
      <c r="O22">
        <v>359.698914</v>
      </c>
      <c r="P22">
        <v>364.24594100000002</v>
      </c>
      <c r="Q22">
        <v>367.19061299999998</v>
      </c>
      <c r="R22">
        <v>373.40386999999998</v>
      </c>
      <c r="S22">
        <v>379.88586400000003</v>
      </c>
      <c r="T22">
        <v>384.06591800000001</v>
      </c>
      <c r="U22">
        <v>389.13482699999997</v>
      </c>
      <c r="V22">
        <v>394.53491200000002</v>
      </c>
      <c r="W22">
        <v>400.99060100000003</v>
      </c>
      <c r="X22">
        <v>408.14343300000002</v>
      </c>
      <c r="Y22">
        <v>414.30145299999998</v>
      </c>
      <c r="Z22">
        <v>420.51333599999998</v>
      </c>
      <c r="AA22">
        <v>425.35037199999999</v>
      </c>
      <c r="AB22">
        <v>430.83270299999998</v>
      </c>
      <c r="AC22">
        <v>435.236176</v>
      </c>
      <c r="AD22">
        <v>439.59573399999999</v>
      </c>
      <c r="AE22">
        <v>446.34097300000002</v>
      </c>
      <c r="AF22">
        <v>451.72757000000001</v>
      </c>
      <c r="AG22">
        <v>456.244598</v>
      </c>
      <c r="AH22">
        <v>460.80215500000003</v>
      </c>
      <c r="AI22">
        <v>8.9999999999999993E-3</v>
      </c>
    </row>
    <row r="23" spans="1:35" x14ac:dyDescent="0.25">
      <c r="A23" t="s">
        <v>1430</v>
      </c>
      <c r="C23" t="s">
        <v>1431</v>
      </c>
      <c r="D23" t="s">
        <v>1432</v>
      </c>
      <c r="E23" t="s">
        <v>1433</v>
      </c>
      <c r="F23" t="s">
        <v>1365</v>
      </c>
      <c r="H23">
        <v>50.760821999999997</v>
      </c>
      <c r="I23">
        <v>51.478335999999999</v>
      </c>
      <c r="J23">
        <v>52.328194000000003</v>
      </c>
      <c r="K23">
        <v>52.508662999999999</v>
      </c>
      <c r="L23">
        <v>52.006045999999998</v>
      </c>
      <c r="M23">
        <v>51.169857</v>
      </c>
      <c r="N23">
        <v>51.473830999999997</v>
      </c>
      <c r="O23">
        <v>51.551136</v>
      </c>
      <c r="P23">
        <v>51.466037999999998</v>
      </c>
      <c r="Q23">
        <v>51.676189000000001</v>
      </c>
      <c r="R23">
        <v>51.725769</v>
      </c>
      <c r="S23">
        <v>52.104075999999999</v>
      </c>
      <c r="T23">
        <v>52.200465999999999</v>
      </c>
      <c r="U23">
        <v>51.963470000000001</v>
      </c>
      <c r="V23">
        <v>52.269703</v>
      </c>
      <c r="W23">
        <v>52.373103999999998</v>
      </c>
      <c r="X23">
        <v>52.339554</v>
      </c>
      <c r="Y23">
        <v>52.473537</v>
      </c>
      <c r="Z23">
        <v>52.384289000000003</v>
      </c>
      <c r="AA23">
        <v>52.293137000000002</v>
      </c>
      <c r="AB23">
        <v>52.097510999999997</v>
      </c>
      <c r="AC23">
        <v>51.880245000000002</v>
      </c>
      <c r="AD23">
        <v>51.748787</v>
      </c>
      <c r="AE23">
        <v>51.814064000000002</v>
      </c>
      <c r="AF23">
        <v>51.907966999999999</v>
      </c>
      <c r="AG23">
        <v>51.836624</v>
      </c>
      <c r="AH23">
        <v>51.954746</v>
      </c>
      <c r="AI23">
        <v>1E-3</v>
      </c>
    </row>
    <row r="24" spans="1:35" x14ac:dyDescent="0.25">
      <c r="A24" t="s">
        <v>1434</v>
      </c>
      <c r="C24" t="s">
        <v>1435</v>
      </c>
      <c r="D24" t="s">
        <v>1436</v>
      </c>
      <c r="E24" t="s">
        <v>1437</v>
      </c>
      <c r="F24" t="s">
        <v>1365</v>
      </c>
      <c r="H24">
        <v>179.64849899999999</v>
      </c>
      <c r="I24">
        <v>184.15339700000001</v>
      </c>
      <c r="J24">
        <v>172.36071799999999</v>
      </c>
      <c r="K24">
        <v>167.715881</v>
      </c>
      <c r="L24">
        <v>163.974594</v>
      </c>
      <c r="M24">
        <v>162.341644</v>
      </c>
      <c r="N24">
        <v>162.018326</v>
      </c>
      <c r="O24">
        <v>164.700974</v>
      </c>
      <c r="P24">
        <v>167.63568100000001</v>
      </c>
      <c r="Q24">
        <v>169.28833</v>
      </c>
      <c r="R24">
        <v>172.17739900000001</v>
      </c>
      <c r="S24">
        <v>176.190979</v>
      </c>
      <c r="T24">
        <v>179.034775</v>
      </c>
      <c r="U24">
        <v>181.71839900000001</v>
      </c>
      <c r="V24">
        <v>185.00465399999999</v>
      </c>
      <c r="W24">
        <v>189.10174599999999</v>
      </c>
      <c r="X24">
        <v>193.48135400000001</v>
      </c>
      <c r="Y24">
        <v>197.50007600000001</v>
      </c>
      <c r="Z24">
        <v>201.285721</v>
      </c>
      <c r="AA24">
        <v>205.21362300000001</v>
      </c>
      <c r="AB24">
        <v>209.589371</v>
      </c>
      <c r="AC24">
        <v>213.81535299999999</v>
      </c>
      <c r="AD24">
        <v>216.95626799999999</v>
      </c>
      <c r="AE24">
        <v>221.063828</v>
      </c>
      <c r="AF24">
        <v>224.53114299999999</v>
      </c>
      <c r="AG24">
        <v>227.09777800000001</v>
      </c>
      <c r="AH24">
        <v>230.20609999999999</v>
      </c>
      <c r="AI24">
        <v>0.01</v>
      </c>
    </row>
    <row r="25" spans="1:35" x14ac:dyDescent="0.25">
      <c r="A25" t="s">
        <v>1438</v>
      </c>
      <c r="C25" t="s">
        <v>1439</v>
      </c>
      <c r="D25" t="s">
        <v>1440</v>
      </c>
      <c r="E25" t="s">
        <v>1441</v>
      </c>
      <c r="F25" t="s">
        <v>1442</v>
      </c>
      <c r="G25" t="s">
        <v>1443</v>
      </c>
      <c r="H25">
        <v>98.834441999999996</v>
      </c>
      <c r="I25">
        <v>97.966858000000002</v>
      </c>
      <c r="J25">
        <v>99.326224999999994</v>
      </c>
      <c r="K25">
        <v>97.665497000000002</v>
      </c>
      <c r="L25">
        <v>95.804192</v>
      </c>
      <c r="M25">
        <v>96.423264000000003</v>
      </c>
      <c r="N25">
        <v>98.262207000000004</v>
      </c>
      <c r="O25">
        <v>99.258094999999997</v>
      </c>
      <c r="P25">
        <v>100.28499600000001</v>
      </c>
      <c r="Q25">
        <v>100.911903</v>
      </c>
      <c r="R25">
        <v>103.31385</v>
      </c>
      <c r="S25">
        <v>104.71700300000001</v>
      </c>
      <c r="T25">
        <v>105.34987599999999</v>
      </c>
      <c r="U25">
        <v>107.174423</v>
      </c>
      <c r="V25">
        <v>108.362297</v>
      </c>
      <c r="W25">
        <v>110.00505099999999</v>
      </c>
      <c r="X25">
        <v>112.154022</v>
      </c>
      <c r="Y25">
        <v>113.59020200000001</v>
      </c>
      <c r="Z25">
        <v>115.53980300000001</v>
      </c>
      <c r="AA25">
        <v>116.007896</v>
      </c>
      <c r="AB25">
        <v>116.684151</v>
      </c>
      <c r="AC25">
        <v>116.623276</v>
      </c>
      <c r="AD25">
        <v>117.464996</v>
      </c>
      <c r="AE25">
        <v>119.54879800000001</v>
      </c>
      <c r="AF25">
        <v>120.945053</v>
      </c>
      <c r="AG25">
        <v>122.551376</v>
      </c>
      <c r="AH25">
        <v>123.52005</v>
      </c>
      <c r="AI25">
        <v>8.9999999999999993E-3</v>
      </c>
    </row>
    <row r="26" spans="1:35" x14ac:dyDescent="0.25">
      <c r="A26" t="s">
        <v>1444</v>
      </c>
      <c r="C26" t="s">
        <v>1445</v>
      </c>
      <c r="D26" t="s">
        <v>1446</v>
      </c>
      <c r="E26" t="s">
        <v>1447</v>
      </c>
      <c r="F26" t="s">
        <v>1365</v>
      </c>
      <c r="H26">
        <v>38.078387999999997</v>
      </c>
      <c r="I26">
        <v>39.355778000000001</v>
      </c>
      <c r="J26">
        <v>41.454929</v>
      </c>
      <c r="K26">
        <v>42.137497000000003</v>
      </c>
      <c r="L26">
        <v>42.460147999999997</v>
      </c>
      <c r="M26">
        <v>42.890003</v>
      </c>
      <c r="N26">
        <v>43.527168000000003</v>
      </c>
      <c r="O26">
        <v>44.188727999999998</v>
      </c>
      <c r="P26">
        <v>44.859222000000003</v>
      </c>
      <c r="Q26">
        <v>45.314174999999999</v>
      </c>
      <c r="R26">
        <v>46.186852000000002</v>
      </c>
      <c r="S26">
        <v>46.873821</v>
      </c>
      <c r="T26">
        <v>47.480815999999997</v>
      </c>
      <c r="U26">
        <v>48.278534000000001</v>
      </c>
      <c r="V26">
        <v>48.898262000000003</v>
      </c>
      <c r="W26">
        <v>49.510666000000001</v>
      </c>
      <c r="X26">
        <v>50.168532999999996</v>
      </c>
      <c r="Y26">
        <v>50.737656000000001</v>
      </c>
      <c r="Z26">
        <v>51.303539000000001</v>
      </c>
      <c r="AA26">
        <v>51.835686000000003</v>
      </c>
      <c r="AB26">
        <v>52.461685000000003</v>
      </c>
      <c r="AC26">
        <v>52.917335999999999</v>
      </c>
      <c r="AD26">
        <v>53.425697</v>
      </c>
      <c r="AE26">
        <v>53.914276000000001</v>
      </c>
      <c r="AF26">
        <v>54.343406999999999</v>
      </c>
      <c r="AG26">
        <v>54.758823</v>
      </c>
      <c r="AH26">
        <v>55.121239000000003</v>
      </c>
      <c r="AI26">
        <v>1.4E-2</v>
      </c>
    </row>
    <row r="27" spans="1:35" x14ac:dyDescent="0.25">
      <c r="A27" t="s">
        <v>1448</v>
      </c>
      <c r="C27" t="s">
        <v>1449</v>
      </c>
      <c r="D27" t="s">
        <v>1450</v>
      </c>
      <c r="E27" t="s">
        <v>1451</v>
      </c>
      <c r="F27" t="s">
        <v>1365</v>
      </c>
      <c r="H27">
        <v>440.89150999999998</v>
      </c>
      <c r="I27">
        <v>439.43499800000001</v>
      </c>
      <c r="J27">
        <v>441.22067299999998</v>
      </c>
      <c r="K27">
        <v>444.90420499999999</v>
      </c>
      <c r="L27">
        <v>449.10446200000001</v>
      </c>
      <c r="M27">
        <v>453.27383400000002</v>
      </c>
      <c r="N27">
        <v>458.28656000000001</v>
      </c>
      <c r="O27">
        <v>463.55239899999998</v>
      </c>
      <c r="P27">
        <v>469.91863999999998</v>
      </c>
      <c r="Q27">
        <v>476.601135</v>
      </c>
      <c r="R27">
        <v>482.025665</v>
      </c>
      <c r="S27">
        <v>485.84225500000002</v>
      </c>
      <c r="T27">
        <v>490.13543700000002</v>
      </c>
      <c r="U27">
        <v>496.38299599999999</v>
      </c>
      <c r="V27">
        <v>502.45083599999998</v>
      </c>
      <c r="W27">
        <v>508.45886200000001</v>
      </c>
      <c r="X27">
        <v>515.29339600000003</v>
      </c>
      <c r="Y27">
        <v>522.50518799999998</v>
      </c>
      <c r="Z27">
        <v>530.32806400000004</v>
      </c>
      <c r="AA27">
        <v>537.79278599999998</v>
      </c>
      <c r="AB27">
        <v>544.15319799999997</v>
      </c>
      <c r="AC27">
        <v>549.37085000000002</v>
      </c>
      <c r="AD27">
        <v>555.24322500000005</v>
      </c>
      <c r="AE27">
        <v>562.47003199999995</v>
      </c>
      <c r="AF27">
        <v>568.93444799999997</v>
      </c>
      <c r="AG27">
        <v>575.50561500000003</v>
      </c>
      <c r="AH27">
        <v>580.35827600000005</v>
      </c>
      <c r="AI27">
        <v>1.0999999999999999E-2</v>
      </c>
    </row>
    <row r="28" spans="1:35" x14ac:dyDescent="0.25">
      <c r="A28" t="s">
        <v>1452</v>
      </c>
      <c r="C28" t="s">
        <v>1453</v>
      </c>
      <c r="D28" t="s">
        <v>1454</v>
      </c>
      <c r="E28" t="s">
        <v>1455</v>
      </c>
      <c r="F28" t="s">
        <v>1365</v>
      </c>
      <c r="H28">
        <v>816.09600799999998</v>
      </c>
      <c r="I28">
        <v>829.73065199999996</v>
      </c>
      <c r="J28">
        <v>826.35809300000005</v>
      </c>
      <c r="K28">
        <v>822.63525400000003</v>
      </c>
      <c r="L28">
        <v>818.11364700000001</v>
      </c>
      <c r="M28">
        <v>811.78979500000003</v>
      </c>
      <c r="N28">
        <v>801.87268100000006</v>
      </c>
      <c r="O28">
        <v>790.94000200000005</v>
      </c>
      <c r="P28">
        <v>777.92773399999999</v>
      </c>
      <c r="Q28">
        <v>764.57977300000005</v>
      </c>
      <c r="R28">
        <v>753.02172900000005</v>
      </c>
      <c r="S28">
        <v>741.50933799999996</v>
      </c>
      <c r="T28">
        <v>729.787598</v>
      </c>
      <c r="U28">
        <v>718.64050299999997</v>
      </c>
      <c r="V28">
        <v>709.417236</v>
      </c>
      <c r="W28">
        <v>702.52929700000004</v>
      </c>
      <c r="X28">
        <v>697.51464799999997</v>
      </c>
      <c r="Y28">
        <v>692.16033900000002</v>
      </c>
      <c r="Z28">
        <v>686.87670900000001</v>
      </c>
      <c r="AA28">
        <v>682.12921100000005</v>
      </c>
      <c r="AB28">
        <v>678.85687299999995</v>
      </c>
      <c r="AC28">
        <v>674.43170199999997</v>
      </c>
      <c r="AD28">
        <v>672.45916699999998</v>
      </c>
      <c r="AE28">
        <v>673.334656</v>
      </c>
      <c r="AF28">
        <v>671.36792000000003</v>
      </c>
      <c r="AG28">
        <v>672.13104199999998</v>
      </c>
      <c r="AH28">
        <v>673.04504399999996</v>
      </c>
      <c r="AI28">
        <v>-7.0000000000000001E-3</v>
      </c>
    </row>
    <row r="29" spans="1:35" x14ac:dyDescent="0.25">
      <c r="A29" t="s">
        <v>1456</v>
      </c>
      <c r="B29" t="s">
        <v>1457</v>
      </c>
      <c r="C29" t="s">
        <v>1458</v>
      </c>
      <c r="D29" t="s">
        <v>1459</v>
      </c>
      <c r="E29" t="s">
        <v>1460</v>
      </c>
      <c r="F29" t="s">
        <v>1365</v>
      </c>
      <c r="H29">
        <v>773.82189900000003</v>
      </c>
      <c r="I29">
        <v>786.61840800000004</v>
      </c>
      <c r="J29">
        <v>783.18322799999999</v>
      </c>
      <c r="K29">
        <v>779.68902600000001</v>
      </c>
      <c r="L29">
        <v>775.45001200000002</v>
      </c>
      <c r="M29">
        <v>769.39807099999996</v>
      </c>
      <c r="N29">
        <v>759.90216099999998</v>
      </c>
      <c r="O29">
        <v>749.35314900000003</v>
      </c>
      <c r="P29">
        <v>736.87854000000004</v>
      </c>
      <c r="Q29">
        <v>724.18066399999998</v>
      </c>
      <c r="R29">
        <v>713.24438499999997</v>
      </c>
      <c r="S29">
        <v>702.28900099999998</v>
      </c>
      <c r="T29">
        <v>691.01855499999999</v>
      </c>
      <c r="U29">
        <v>680.32849099999999</v>
      </c>
      <c r="V29">
        <v>671.50891100000001</v>
      </c>
      <c r="W29">
        <v>664.93426499999998</v>
      </c>
      <c r="X29">
        <v>660.10656700000004</v>
      </c>
      <c r="Y29">
        <v>654.97393799999998</v>
      </c>
      <c r="Z29">
        <v>650.02429199999995</v>
      </c>
      <c r="AA29">
        <v>645.57031199999994</v>
      </c>
      <c r="AB29">
        <v>642.48950200000002</v>
      </c>
      <c r="AC29">
        <v>638.27270499999997</v>
      </c>
      <c r="AD29">
        <v>636.51153599999998</v>
      </c>
      <c r="AE29">
        <v>637.53350799999998</v>
      </c>
      <c r="AF29">
        <v>635.75726299999997</v>
      </c>
      <c r="AG29">
        <v>636.62994400000002</v>
      </c>
      <c r="AH29">
        <v>637.63330099999996</v>
      </c>
      <c r="AI29">
        <v>-7.0000000000000001E-3</v>
      </c>
    </row>
    <row r="30" spans="1:35" x14ac:dyDescent="0.25">
      <c r="A30" t="s">
        <v>1461</v>
      </c>
      <c r="B30" t="s">
        <v>1462</v>
      </c>
      <c r="C30" t="s">
        <v>1463</v>
      </c>
      <c r="D30" t="s">
        <v>1464</v>
      </c>
      <c r="E30" t="s">
        <v>1465</v>
      </c>
      <c r="F30" t="s">
        <v>1365</v>
      </c>
      <c r="H30">
        <v>42.274090000000001</v>
      </c>
      <c r="I30">
        <v>43.112217000000001</v>
      </c>
      <c r="J30">
        <v>43.174866000000002</v>
      </c>
      <c r="K30">
        <v>42.946219999999997</v>
      </c>
      <c r="L30">
        <v>42.663628000000003</v>
      </c>
      <c r="M30">
        <v>42.391700999999998</v>
      </c>
      <c r="N30">
        <v>41.970547000000003</v>
      </c>
      <c r="O30">
        <v>41.586860999999999</v>
      </c>
      <c r="P30">
        <v>41.049202000000001</v>
      </c>
      <c r="Q30">
        <v>40.399085999999997</v>
      </c>
      <c r="R30">
        <v>39.777332000000001</v>
      </c>
      <c r="S30">
        <v>39.220340999999998</v>
      </c>
      <c r="T30">
        <v>38.769024000000002</v>
      </c>
      <c r="U30">
        <v>38.312030999999998</v>
      </c>
      <c r="V30">
        <v>37.908340000000003</v>
      </c>
      <c r="W30">
        <v>37.595055000000002</v>
      </c>
      <c r="X30">
        <v>37.408057999999997</v>
      </c>
      <c r="Y30">
        <v>37.186394</v>
      </c>
      <c r="Z30">
        <v>36.85239</v>
      </c>
      <c r="AA30">
        <v>36.558922000000003</v>
      </c>
      <c r="AB30">
        <v>36.367348</v>
      </c>
      <c r="AC30">
        <v>36.158980999999997</v>
      </c>
      <c r="AD30">
        <v>35.947631999999999</v>
      </c>
      <c r="AE30">
        <v>35.801124999999999</v>
      </c>
      <c r="AF30">
        <v>35.610644999999998</v>
      </c>
      <c r="AG30">
        <v>35.501125000000002</v>
      </c>
      <c r="AH30">
        <v>35.411743000000001</v>
      </c>
      <c r="AI30">
        <v>-7.0000000000000001E-3</v>
      </c>
    </row>
    <row r="31" spans="1:35" x14ac:dyDescent="0.25">
      <c r="A31" t="s">
        <v>1466</v>
      </c>
      <c r="B31" t="s">
        <v>1467</v>
      </c>
      <c r="C31" t="s">
        <v>1468</v>
      </c>
      <c r="D31" t="s">
        <v>1469</v>
      </c>
      <c r="E31" t="s">
        <v>1470</v>
      </c>
      <c r="F31" t="s">
        <v>1365</v>
      </c>
      <c r="H31">
        <v>212.32913199999999</v>
      </c>
      <c r="I31">
        <v>217.69610599999999</v>
      </c>
      <c r="J31">
        <v>224.71417199999999</v>
      </c>
      <c r="K31">
        <v>228.99838299999999</v>
      </c>
      <c r="L31">
        <v>231.000732</v>
      </c>
      <c r="M31">
        <v>233.928268</v>
      </c>
      <c r="N31">
        <v>237.69215399999999</v>
      </c>
      <c r="O31">
        <v>241.49115</v>
      </c>
      <c r="P31">
        <v>245.09896900000001</v>
      </c>
      <c r="Q31">
        <v>248.243774</v>
      </c>
      <c r="R31">
        <v>252.30616800000001</v>
      </c>
      <c r="S31">
        <v>255.406128</v>
      </c>
      <c r="T31">
        <v>257.66836499999999</v>
      </c>
      <c r="U31">
        <v>260.66455100000002</v>
      </c>
      <c r="V31">
        <v>263.21542399999998</v>
      </c>
      <c r="W31">
        <v>265.90035999999998</v>
      </c>
      <c r="X31">
        <v>268.94296300000002</v>
      </c>
      <c r="Y31">
        <v>271.58007800000001</v>
      </c>
      <c r="Z31">
        <v>274.43542500000001</v>
      </c>
      <c r="AA31">
        <v>276.42465199999998</v>
      </c>
      <c r="AB31">
        <v>278.51159699999999</v>
      </c>
      <c r="AC31">
        <v>280.172211</v>
      </c>
      <c r="AD31">
        <v>282.02731299999999</v>
      </c>
      <c r="AE31">
        <v>284.19464099999999</v>
      </c>
      <c r="AF31">
        <v>286.12377900000001</v>
      </c>
      <c r="AG31">
        <v>288.19808999999998</v>
      </c>
      <c r="AH31">
        <v>289.85263099999997</v>
      </c>
      <c r="AI31">
        <v>1.2E-2</v>
      </c>
    </row>
    <row r="32" spans="1:35" x14ac:dyDescent="0.25">
      <c r="A32" t="s">
        <v>1471</v>
      </c>
      <c r="C32" t="s">
        <v>1472</v>
      </c>
      <c r="D32" t="s">
        <v>1473</v>
      </c>
      <c r="E32" t="s">
        <v>1474</v>
      </c>
      <c r="F32" t="s">
        <v>1365</v>
      </c>
      <c r="H32">
        <v>111.547691</v>
      </c>
      <c r="I32">
        <v>111.646118</v>
      </c>
      <c r="J32">
        <v>111.83931</v>
      </c>
      <c r="K32">
        <v>112.530006</v>
      </c>
      <c r="L32">
        <v>113.191704</v>
      </c>
      <c r="M32">
        <v>113.502251</v>
      </c>
      <c r="N32">
        <v>114.45515399999999</v>
      </c>
      <c r="O32">
        <v>115.922195</v>
      </c>
      <c r="P32">
        <v>117.233231</v>
      </c>
      <c r="Q32">
        <v>118.135986</v>
      </c>
      <c r="R32">
        <v>118.88230900000001</v>
      </c>
      <c r="S32">
        <v>119.855042</v>
      </c>
      <c r="T32">
        <v>120.868042</v>
      </c>
      <c r="U32">
        <v>121.951553</v>
      </c>
      <c r="V32">
        <v>123.172432</v>
      </c>
      <c r="W32">
        <v>124.29541</v>
      </c>
      <c r="X32">
        <v>125.051186</v>
      </c>
      <c r="Y32">
        <v>125.540993</v>
      </c>
      <c r="Z32">
        <v>125.832672</v>
      </c>
      <c r="AA32">
        <v>125.669724</v>
      </c>
      <c r="AB32">
        <v>125.18317399999999</v>
      </c>
      <c r="AC32">
        <v>125.382446</v>
      </c>
      <c r="AD32">
        <v>126.047348</v>
      </c>
      <c r="AE32">
        <v>126.82730100000001</v>
      </c>
      <c r="AF32">
        <v>127.72215300000001</v>
      </c>
      <c r="AG32">
        <v>128.63948099999999</v>
      </c>
      <c r="AH32">
        <v>129.612427</v>
      </c>
      <c r="AI32">
        <v>6.0000000000000001E-3</v>
      </c>
    </row>
    <row r="33" spans="1:35" x14ac:dyDescent="0.25">
      <c r="A33" t="s">
        <v>1475</v>
      </c>
      <c r="B33" t="s">
        <v>1476</v>
      </c>
      <c r="C33" t="s">
        <v>1477</v>
      </c>
      <c r="D33" t="s">
        <v>1478</v>
      </c>
      <c r="E33" t="s">
        <v>1479</v>
      </c>
      <c r="F33" t="s">
        <v>1365</v>
      </c>
      <c r="H33">
        <v>21.45093</v>
      </c>
      <c r="I33">
        <v>21.290244999999999</v>
      </c>
      <c r="J33">
        <v>21.242982999999999</v>
      </c>
      <c r="K33">
        <v>21.230723999999999</v>
      </c>
      <c r="L33">
        <v>21.263985000000002</v>
      </c>
      <c r="M33">
        <v>21.310061000000001</v>
      </c>
      <c r="N33">
        <v>21.371811000000001</v>
      </c>
      <c r="O33">
        <v>21.476692</v>
      </c>
      <c r="P33">
        <v>21.612559999999998</v>
      </c>
      <c r="Q33">
        <v>21.745702999999999</v>
      </c>
      <c r="R33">
        <v>21.890889999999999</v>
      </c>
      <c r="S33">
        <v>22.055412</v>
      </c>
      <c r="T33">
        <v>22.216677000000001</v>
      </c>
      <c r="U33">
        <v>22.397680000000001</v>
      </c>
      <c r="V33">
        <v>22.595711000000001</v>
      </c>
      <c r="W33">
        <v>22.798956</v>
      </c>
      <c r="X33">
        <v>23.015872999999999</v>
      </c>
      <c r="Y33">
        <v>23.235880000000002</v>
      </c>
      <c r="Z33">
        <v>23.452273999999999</v>
      </c>
      <c r="AA33">
        <v>23.653669000000001</v>
      </c>
      <c r="AB33">
        <v>23.834209000000001</v>
      </c>
      <c r="AC33">
        <v>23.998464999999999</v>
      </c>
      <c r="AD33">
        <v>24.152999999999999</v>
      </c>
      <c r="AE33">
        <v>24.320281999999999</v>
      </c>
      <c r="AF33">
        <v>24.498272</v>
      </c>
      <c r="AG33">
        <v>24.677088000000001</v>
      </c>
      <c r="AH33">
        <v>24.843610999999999</v>
      </c>
      <c r="AI33">
        <v>6.0000000000000001E-3</v>
      </c>
    </row>
    <row r="34" spans="1:35" x14ac:dyDescent="0.25">
      <c r="A34" t="s">
        <v>1480</v>
      </c>
      <c r="B34" t="s">
        <v>1481</v>
      </c>
      <c r="C34" t="s">
        <v>1482</v>
      </c>
      <c r="D34" t="s">
        <v>1483</v>
      </c>
      <c r="E34" t="s">
        <v>1484</v>
      </c>
      <c r="F34" t="s">
        <v>1365</v>
      </c>
      <c r="H34">
        <v>9.3054120000000005</v>
      </c>
      <c r="I34">
        <v>9.3415520000000001</v>
      </c>
      <c r="J34">
        <v>9.2711919999999992</v>
      </c>
      <c r="K34">
        <v>9.2796289999999999</v>
      </c>
      <c r="L34">
        <v>9.351248</v>
      </c>
      <c r="M34">
        <v>9.4330730000000003</v>
      </c>
      <c r="N34">
        <v>9.5575189999999992</v>
      </c>
      <c r="O34">
        <v>9.7036859999999994</v>
      </c>
      <c r="P34">
        <v>9.8557319999999997</v>
      </c>
      <c r="Q34">
        <v>9.9995840000000005</v>
      </c>
      <c r="R34">
        <v>10.131539999999999</v>
      </c>
      <c r="S34">
        <v>10.260571000000001</v>
      </c>
      <c r="T34">
        <v>10.387729999999999</v>
      </c>
      <c r="U34">
        <v>10.523909</v>
      </c>
      <c r="V34">
        <v>10.673493000000001</v>
      </c>
      <c r="W34">
        <v>10.821849</v>
      </c>
      <c r="X34">
        <v>10.946847999999999</v>
      </c>
      <c r="Y34">
        <v>11.046646000000001</v>
      </c>
      <c r="Z34">
        <v>11.118332000000001</v>
      </c>
      <c r="AA34">
        <v>11.148250000000001</v>
      </c>
      <c r="AB34">
        <v>11.14453</v>
      </c>
      <c r="AC34">
        <v>11.166449999999999</v>
      </c>
      <c r="AD34">
        <v>11.222955000000001</v>
      </c>
      <c r="AE34">
        <v>11.310638000000001</v>
      </c>
      <c r="AF34">
        <v>11.422865</v>
      </c>
      <c r="AG34">
        <v>11.550447</v>
      </c>
      <c r="AH34">
        <v>11.685319</v>
      </c>
      <c r="AI34">
        <v>8.9999999999999993E-3</v>
      </c>
    </row>
    <row r="35" spans="1:35" x14ac:dyDescent="0.25">
      <c r="A35" t="s">
        <v>1485</v>
      </c>
      <c r="B35" t="s">
        <v>1481</v>
      </c>
      <c r="C35" t="s">
        <v>1486</v>
      </c>
      <c r="D35" t="s">
        <v>1487</v>
      </c>
      <c r="E35" t="s">
        <v>1488</v>
      </c>
      <c r="F35" t="s">
        <v>1365</v>
      </c>
      <c r="H35">
        <v>80.791351000000006</v>
      </c>
      <c r="I35">
        <v>81.014319999999998</v>
      </c>
      <c r="J35">
        <v>81.325134000000006</v>
      </c>
      <c r="K35">
        <v>82.019653000000005</v>
      </c>
      <c r="L35">
        <v>82.576469000000003</v>
      </c>
      <c r="M35">
        <v>82.759117000000003</v>
      </c>
      <c r="N35">
        <v>83.525825999999995</v>
      </c>
      <c r="O35">
        <v>84.741814000000005</v>
      </c>
      <c r="P35">
        <v>85.764938000000001</v>
      </c>
      <c r="Q35">
        <v>86.390701000000007</v>
      </c>
      <c r="R35">
        <v>86.859879000000006</v>
      </c>
      <c r="S35">
        <v>87.539062000000001</v>
      </c>
      <c r="T35">
        <v>88.263633999999996</v>
      </c>
      <c r="U35">
        <v>89.029967999999997</v>
      </c>
      <c r="V35">
        <v>89.903228999999996</v>
      </c>
      <c r="W35">
        <v>90.674605999999997</v>
      </c>
      <c r="X35">
        <v>91.088463000000004</v>
      </c>
      <c r="Y35">
        <v>91.258469000000005</v>
      </c>
      <c r="Z35">
        <v>91.262069999999994</v>
      </c>
      <c r="AA35">
        <v>90.867805000000004</v>
      </c>
      <c r="AB35">
        <v>90.204436999999999</v>
      </c>
      <c r="AC35">
        <v>90.217528999999999</v>
      </c>
      <c r="AD35">
        <v>90.671394000000006</v>
      </c>
      <c r="AE35">
        <v>91.196381000000002</v>
      </c>
      <c r="AF35">
        <v>91.801017999999999</v>
      </c>
      <c r="AG35">
        <v>92.411949000000007</v>
      </c>
      <c r="AH35">
        <v>93.083488000000003</v>
      </c>
      <c r="AI35">
        <v>5.0000000000000001E-3</v>
      </c>
    </row>
    <row r="36" spans="1:35" x14ac:dyDescent="0.25">
      <c r="A36" t="s">
        <v>1489</v>
      </c>
      <c r="C36" t="s">
        <v>1490</v>
      </c>
      <c r="D36" t="s">
        <v>1491</v>
      </c>
      <c r="E36" t="s">
        <v>1492</v>
      </c>
      <c r="F36" t="s">
        <v>1365</v>
      </c>
      <c r="H36">
        <v>244.865036</v>
      </c>
      <c r="I36">
        <v>248.52803</v>
      </c>
      <c r="J36">
        <v>255.542496</v>
      </c>
      <c r="K36">
        <v>258.274902</v>
      </c>
      <c r="L36">
        <v>258.45053100000001</v>
      </c>
      <c r="M36">
        <v>259.36413599999997</v>
      </c>
      <c r="N36">
        <v>262.413971</v>
      </c>
      <c r="O36">
        <v>266.26843300000002</v>
      </c>
      <c r="P36">
        <v>270.278839</v>
      </c>
      <c r="Q36">
        <v>271.53185999999999</v>
      </c>
      <c r="R36">
        <v>274.66314699999998</v>
      </c>
      <c r="S36">
        <v>277.69369499999999</v>
      </c>
      <c r="T36">
        <v>280.42724600000003</v>
      </c>
      <c r="U36">
        <v>284.75625600000001</v>
      </c>
      <c r="V36">
        <v>288.45294200000001</v>
      </c>
      <c r="W36">
        <v>292.01385499999998</v>
      </c>
      <c r="X36">
        <v>297.00689699999998</v>
      </c>
      <c r="Y36">
        <v>300.80423000000002</v>
      </c>
      <c r="Z36">
        <v>303.97219799999999</v>
      </c>
      <c r="AA36">
        <v>308.31237800000002</v>
      </c>
      <c r="AB36">
        <v>311.885468</v>
      </c>
      <c r="AC36">
        <v>314.56079099999999</v>
      </c>
      <c r="AD36">
        <v>316.64413500000001</v>
      </c>
      <c r="AE36">
        <v>319.67553700000002</v>
      </c>
      <c r="AF36">
        <v>321.56710800000002</v>
      </c>
      <c r="AG36">
        <v>322.92242399999998</v>
      </c>
      <c r="AH36">
        <v>324.23211700000002</v>
      </c>
      <c r="AI36">
        <v>1.0999999999999999E-2</v>
      </c>
    </row>
    <row r="37" spans="1:35" x14ac:dyDescent="0.25">
      <c r="A37" t="s">
        <v>1493</v>
      </c>
      <c r="B37" t="s">
        <v>1462</v>
      </c>
      <c r="C37" t="s">
        <v>1494</v>
      </c>
      <c r="D37" t="s">
        <v>1495</v>
      </c>
      <c r="E37" t="s">
        <v>1496</v>
      </c>
      <c r="F37" t="s">
        <v>1365</v>
      </c>
      <c r="H37">
        <v>131.325729</v>
      </c>
      <c r="I37">
        <v>134.934113</v>
      </c>
      <c r="J37">
        <v>141.45988500000001</v>
      </c>
      <c r="K37">
        <v>142.77377300000001</v>
      </c>
      <c r="L37">
        <v>141.88793899999999</v>
      </c>
      <c r="M37">
        <v>141.749786</v>
      </c>
      <c r="N37">
        <v>143.738235</v>
      </c>
      <c r="O37">
        <v>146.534988</v>
      </c>
      <c r="P37">
        <v>149.384964</v>
      </c>
      <c r="Q37">
        <v>149.45510899999999</v>
      </c>
      <c r="R37">
        <v>151.37814299999999</v>
      </c>
      <c r="S37">
        <v>153.10629299999999</v>
      </c>
      <c r="T37">
        <v>154.53630100000001</v>
      </c>
      <c r="U37">
        <v>157.535034</v>
      </c>
      <c r="V37">
        <v>159.87338299999999</v>
      </c>
      <c r="W37">
        <v>162.08471700000001</v>
      </c>
      <c r="X37">
        <v>165.732437</v>
      </c>
      <c r="Y37">
        <v>168.196808</v>
      </c>
      <c r="Z37">
        <v>170.064301</v>
      </c>
      <c r="AA37">
        <v>173.14265399999999</v>
      </c>
      <c r="AB37">
        <v>175.50889599999999</v>
      </c>
      <c r="AC37">
        <v>177.04949999999999</v>
      </c>
      <c r="AD37">
        <v>178.07887299999999</v>
      </c>
      <c r="AE37">
        <v>180.09767199999999</v>
      </c>
      <c r="AF37">
        <v>181.03627</v>
      </c>
      <c r="AG37">
        <v>181.499786</v>
      </c>
      <c r="AH37">
        <v>181.988113</v>
      </c>
      <c r="AI37">
        <v>1.2999999999999999E-2</v>
      </c>
    </row>
    <row r="38" spans="1:35" x14ac:dyDescent="0.25">
      <c r="A38" t="s">
        <v>1497</v>
      </c>
      <c r="B38" t="s">
        <v>1498</v>
      </c>
      <c r="C38" t="s">
        <v>1499</v>
      </c>
      <c r="D38" t="s">
        <v>1500</v>
      </c>
      <c r="E38" t="s">
        <v>1501</v>
      </c>
      <c r="F38" t="s">
        <v>1365</v>
      </c>
      <c r="H38">
        <v>34.597599000000002</v>
      </c>
      <c r="I38">
        <v>34.167324000000001</v>
      </c>
      <c r="J38">
        <v>34.714939000000001</v>
      </c>
      <c r="K38">
        <v>35.325741000000001</v>
      </c>
      <c r="L38">
        <v>35.804805999999999</v>
      </c>
      <c r="M38">
        <v>36.362533999999997</v>
      </c>
      <c r="N38">
        <v>36.869461000000001</v>
      </c>
      <c r="O38">
        <v>37.424278000000001</v>
      </c>
      <c r="P38">
        <v>38.041747999999998</v>
      </c>
      <c r="Q38">
        <v>38.662601000000002</v>
      </c>
      <c r="R38">
        <v>39.322856999999999</v>
      </c>
      <c r="S38">
        <v>40.049435000000003</v>
      </c>
      <c r="T38">
        <v>40.793427000000001</v>
      </c>
      <c r="U38">
        <v>41.567073999999998</v>
      </c>
      <c r="V38">
        <v>42.354301</v>
      </c>
      <c r="W38">
        <v>43.131816999999998</v>
      </c>
      <c r="X38">
        <v>43.905979000000002</v>
      </c>
      <c r="Y38">
        <v>44.671326000000001</v>
      </c>
      <c r="Z38">
        <v>45.415844</v>
      </c>
      <c r="AA38">
        <v>46.116340999999998</v>
      </c>
      <c r="AB38">
        <v>46.751091000000002</v>
      </c>
      <c r="AC38">
        <v>47.299404000000003</v>
      </c>
      <c r="AD38">
        <v>47.767882999999998</v>
      </c>
      <c r="AE38">
        <v>48.191673000000002</v>
      </c>
      <c r="AF38">
        <v>48.568092</v>
      </c>
      <c r="AG38">
        <v>48.904499000000001</v>
      </c>
      <c r="AH38">
        <v>49.198971</v>
      </c>
      <c r="AI38">
        <v>1.4E-2</v>
      </c>
    </row>
    <row r="39" spans="1:35" x14ac:dyDescent="0.25">
      <c r="A39" t="s">
        <v>1502</v>
      </c>
      <c r="B39" t="s">
        <v>1498</v>
      </c>
      <c r="C39" t="s">
        <v>1503</v>
      </c>
      <c r="D39" t="s">
        <v>1504</v>
      </c>
      <c r="E39" t="s">
        <v>1505</v>
      </c>
      <c r="F39" t="s">
        <v>1365</v>
      </c>
      <c r="H39">
        <v>78.941710999999998</v>
      </c>
      <c r="I39">
        <v>79.426581999999996</v>
      </c>
      <c r="J39">
        <v>79.367667999999995</v>
      </c>
      <c r="K39">
        <v>80.175369000000003</v>
      </c>
      <c r="L39">
        <v>80.75779</v>
      </c>
      <c r="M39">
        <v>81.251801</v>
      </c>
      <c r="N39">
        <v>81.806281999999996</v>
      </c>
      <c r="O39">
        <v>82.309166000000005</v>
      </c>
      <c r="P39">
        <v>82.852135000000004</v>
      </c>
      <c r="Q39">
        <v>83.414146000000002</v>
      </c>
      <c r="R39">
        <v>83.962135000000004</v>
      </c>
      <c r="S39">
        <v>84.537955999999994</v>
      </c>
      <c r="T39">
        <v>85.097519000000005</v>
      </c>
      <c r="U39">
        <v>85.654174999999995</v>
      </c>
      <c r="V39">
        <v>86.225257999999997</v>
      </c>
      <c r="W39">
        <v>86.797302000000002</v>
      </c>
      <c r="X39">
        <v>87.368469000000005</v>
      </c>
      <c r="Y39">
        <v>87.936096000000006</v>
      </c>
      <c r="Z39">
        <v>88.492042999999995</v>
      </c>
      <c r="AA39">
        <v>89.053382999999997</v>
      </c>
      <c r="AB39">
        <v>89.625504000000006</v>
      </c>
      <c r="AC39">
        <v>90.211867999999996</v>
      </c>
      <c r="AD39">
        <v>90.797393999999997</v>
      </c>
      <c r="AE39">
        <v>91.386200000000002</v>
      </c>
      <c r="AF39">
        <v>91.962722999999997</v>
      </c>
      <c r="AG39">
        <v>92.518127000000007</v>
      </c>
      <c r="AH39">
        <v>93.045012999999997</v>
      </c>
      <c r="AI39">
        <v>6.0000000000000001E-3</v>
      </c>
    </row>
    <row r="40" spans="1:35" x14ac:dyDescent="0.25">
      <c r="A40" t="s">
        <v>1506</v>
      </c>
      <c r="B40" t="s">
        <v>1507</v>
      </c>
      <c r="C40" t="s">
        <v>1508</v>
      </c>
      <c r="D40" t="s">
        <v>1509</v>
      </c>
      <c r="E40" t="s">
        <v>1510</v>
      </c>
      <c r="F40" t="s">
        <v>1365</v>
      </c>
      <c r="H40">
        <v>302.45358299999998</v>
      </c>
      <c r="I40">
        <v>308.42364500000002</v>
      </c>
      <c r="J40">
        <v>320.75329599999998</v>
      </c>
      <c r="K40">
        <v>328.51696800000002</v>
      </c>
      <c r="L40">
        <v>329.17980999999997</v>
      </c>
      <c r="M40">
        <v>329.989777</v>
      </c>
      <c r="N40">
        <v>332.51956200000001</v>
      </c>
      <c r="O40">
        <v>335.48730499999999</v>
      </c>
      <c r="P40">
        <v>338.850281</v>
      </c>
      <c r="Q40">
        <v>339.64154100000002</v>
      </c>
      <c r="R40">
        <v>343.304688</v>
      </c>
      <c r="S40">
        <v>344.99401899999998</v>
      </c>
      <c r="T40">
        <v>347.50637799999998</v>
      </c>
      <c r="U40">
        <v>351.45007299999997</v>
      </c>
      <c r="V40">
        <v>354.34689300000002</v>
      </c>
      <c r="W40">
        <v>357.36279300000001</v>
      </c>
      <c r="X40">
        <v>361.16931199999999</v>
      </c>
      <c r="Y40">
        <v>363.91494799999998</v>
      </c>
      <c r="Z40">
        <v>366.687836</v>
      </c>
      <c r="AA40">
        <v>368.30096400000002</v>
      </c>
      <c r="AB40">
        <v>371.01907299999999</v>
      </c>
      <c r="AC40">
        <v>372.19131499999997</v>
      </c>
      <c r="AD40">
        <v>374.320221</v>
      </c>
      <c r="AE40">
        <v>376.14328</v>
      </c>
      <c r="AF40">
        <v>377.55276500000002</v>
      </c>
      <c r="AG40">
        <v>379.67996199999999</v>
      </c>
      <c r="AH40">
        <v>379.72183200000001</v>
      </c>
      <c r="AI40">
        <v>8.9999999999999993E-3</v>
      </c>
    </row>
    <row r="41" spans="1:35" x14ac:dyDescent="0.25">
      <c r="A41" t="s">
        <v>1511</v>
      </c>
      <c r="B41" t="s">
        <v>1512</v>
      </c>
      <c r="C41" t="s">
        <v>1513</v>
      </c>
      <c r="D41" t="s">
        <v>1514</v>
      </c>
      <c r="E41" t="s">
        <v>1515</v>
      </c>
      <c r="F41" t="s">
        <v>1365</v>
      </c>
      <c r="H41">
        <v>298.00756799999999</v>
      </c>
      <c r="I41">
        <v>301.46786500000002</v>
      </c>
      <c r="J41">
        <v>307.61700400000001</v>
      </c>
      <c r="K41">
        <v>319.36669899999998</v>
      </c>
      <c r="L41">
        <v>326.12960800000002</v>
      </c>
      <c r="M41">
        <v>331.91284200000001</v>
      </c>
      <c r="N41">
        <v>338.64636200000001</v>
      </c>
      <c r="O41">
        <v>343.727081</v>
      </c>
      <c r="P41">
        <v>348.29406699999998</v>
      </c>
      <c r="Q41">
        <v>349.59146099999998</v>
      </c>
      <c r="R41">
        <v>352.93121300000001</v>
      </c>
      <c r="S41">
        <v>355.55087300000002</v>
      </c>
      <c r="T41">
        <v>358.416809</v>
      </c>
      <c r="U41">
        <v>361.28417999999999</v>
      </c>
      <c r="V41">
        <v>362.44918799999999</v>
      </c>
      <c r="W41">
        <v>363.33535799999999</v>
      </c>
      <c r="X41">
        <v>364.77499399999999</v>
      </c>
      <c r="Y41">
        <v>365.61196899999999</v>
      </c>
      <c r="Z41">
        <v>366.47958399999999</v>
      </c>
      <c r="AA41">
        <v>366.93136600000003</v>
      </c>
      <c r="AB41">
        <v>367.69512900000001</v>
      </c>
      <c r="AC41">
        <v>367.91857900000002</v>
      </c>
      <c r="AD41">
        <v>368.88497899999999</v>
      </c>
      <c r="AE41">
        <v>370.44448899999998</v>
      </c>
      <c r="AF41">
        <v>370.69085699999999</v>
      </c>
      <c r="AG41">
        <v>371.66427599999997</v>
      </c>
      <c r="AH41">
        <v>371.93856799999998</v>
      </c>
      <c r="AI41">
        <v>8.9999999999999993E-3</v>
      </c>
    </row>
    <row r="42" spans="1:35" x14ac:dyDescent="0.25">
      <c r="A42" t="s">
        <v>1516</v>
      </c>
      <c r="B42" t="s">
        <v>1517</v>
      </c>
      <c r="C42" t="s">
        <v>1518</v>
      </c>
      <c r="D42" t="s">
        <v>1519</v>
      </c>
      <c r="E42" t="s">
        <v>1520</v>
      </c>
      <c r="F42" t="s">
        <v>1365</v>
      </c>
      <c r="H42">
        <v>440.02227800000003</v>
      </c>
      <c r="I42">
        <v>457.77365099999997</v>
      </c>
      <c r="J42">
        <v>467.24835200000001</v>
      </c>
      <c r="K42">
        <v>485.610229</v>
      </c>
      <c r="L42">
        <v>505.60598800000002</v>
      </c>
      <c r="M42">
        <v>521.77954099999999</v>
      </c>
      <c r="N42">
        <v>537.28900099999998</v>
      </c>
      <c r="O42">
        <v>552.02996800000005</v>
      </c>
      <c r="P42">
        <v>567.71087599999998</v>
      </c>
      <c r="Q42">
        <v>579.98846400000002</v>
      </c>
      <c r="R42">
        <v>593.50488299999995</v>
      </c>
      <c r="S42">
        <v>608.81079099999999</v>
      </c>
      <c r="T42">
        <v>626.12176499999998</v>
      </c>
      <c r="U42">
        <v>643.887878</v>
      </c>
      <c r="V42">
        <v>661.97845500000005</v>
      </c>
      <c r="W42">
        <v>681.56664999999998</v>
      </c>
      <c r="X42">
        <v>702.596497</v>
      </c>
      <c r="Y42">
        <v>724.23217799999998</v>
      </c>
      <c r="Z42">
        <v>746.66784700000005</v>
      </c>
      <c r="AA42">
        <v>768.78619400000002</v>
      </c>
      <c r="AB42">
        <v>792.41302499999995</v>
      </c>
      <c r="AC42">
        <v>815.76190199999996</v>
      </c>
      <c r="AD42">
        <v>841.44476299999997</v>
      </c>
      <c r="AE42">
        <v>868.17761199999995</v>
      </c>
      <c r="AF42">
        <v>895.31726100000003</v>
      </c>
      <c r="AG42">
        <v>922.963257</v>
      </c>
      <c r="AH42">
        <v>950.84960899999999</v>
      </c>
      <c r="AI42">
        <v>0.03</v>
      </c>
    </row>
    <row r="43" spans="1:35" x14ac:dyDescent="0.25">
      <c r="A43" t="s">
        <v>1521</v>
      </c>
      <c r="B43" t="s">
        <v>1522</v>
      </c>
      <c r="C43" t="s">
        <v>1523</v>
      </c>
      <c r="D43" t="s">
        <v>1524</v>
      </c>
      <c r="E43" t="s">
        <v>1525</v>
      </c>
      <c r="F43" t="s">
        <v>1365</v>
      </c>
      <c r="H43">
        <v>1067.6899410000001</v>
      </c>
      <c r="I43">
        <v>1135.095947</v>
      </c>
      <c r="J43">
        <v>1211.557495</v>
      </c>
      <c r="K43">
        <v>1234.7139890000001</v>
      </c>
      <c r="L43">
        <v>1260.6259769999999</v>
      </c>
      <c r="M43">
        <v>1284.1857910000001</v>
      </c>
      <c r="N43">
        <v>1298.3616939999999</v>
      </c>
      <c r="O43">
        <v>1299.6274410000001</v>
      </c>
      <c r="P43">
        <v>1310.2197269999999</v>
      </c>
      <c r="Q43">
        <v>1323.284302</v>
      </c>
      <c r="R43">
        <v>1352.747803</v>
      </c>
      <c r="S43">
        <v>1371.8914789999999</v>
      </c>
      <c r="T43">
        <v>1384.0620120000001</v>
      </c>
      <c r="U43">
        <v>1398.4255370000001</v>
      </c>
      <c r="V43">
        <v>1415.861206</v>
      </c>
      <c r="W43">
        <v>1434.6405030000001</v>
      </c>
      <c r="X43">
        <v>1452.193237</v>
      </c>
      <c r="Y43">
        <v>1466.6412350000001</v>
      </c>
      <c r="Z43">
        <v>1482.1951899999999</v>
      </c>
      <c r="AA43">
        <v>1494.6827390000001</v>
      </c>
      <c r="AB43">
        <v>1508.628052</v>
      </c>
      <c r="AC43">
        <v>1524.2349850000001</v>
      </c>
      <c r="AD43">
        <v>1539.3557129999999</v>
      </c>
      <c r="AE43">
        <v>1554.1062010000001</v>
      </c>
      <c r="AF43">
        <v>1568.6697999999999</v>
      </c>
      <c r="AG43">
        <v>1581.38147</v>
      </c>
      <c r="AH43">
        <v>1589.3907469999999</v>
      </c>
      <c r="AI43">
        <v>1.4999999999999999E-2</v>
      </c>
    </row>
    <row r="44" spans="1:35" x14ac:dyDescent="0.25">
      <c r="A44" t="s">
        <v>1526</v>
      </c>
      <c r="B44" t="s">
        <v>1527</v>
      </c>
      <c r="C44" t="s">
        <v>1528</v>
      </c>
      <c r="D44" t="s">
        <v>1529</v>
      </c>
      <c r="E44" t="s">
        <v>1530</v>
      </c>
      <c r="F44" t="s">
        <v>1365</v>
      </c>
      <c r="H44">
        <v>117.174522</v>
      </c>
      <c r="I44">
        <v>117.89025100000001</v>
      </c>
      <c r="J44">
        <v>117.056648</v>
      </c>
      <c r="K44">
        <v>118.637428</v>
      </c>
      <c r="L44">
        <v>121.15160400000001</v>
      </c>
      <c r="M44">
        <v>122.98989899999999</v>
      </c>
      <c r="N44">
        <v>124.640625</v>
      </c>
      <c r="O44">
        <v>125.65284699999999</v>
      </c>
      <c r="P44">
        <v>126.778503</v>
      </c>
      <c r="Q44">
        <v>126.76082599999999</v>
      </c>
      <c r="R44">
        <v>126.97957599999999</v>
      </c>
      <c r="S44">
        <v>127.534897</v>
      </c>
      <c r="T44">
        <v>128.186218</v>
      </c>
      <c r="U44">
        <v>128.977249</v>
      </c>
      <c r="V44">
        <v>129.602203</v>
      </c>
      <c r="W44">
        <v>130.39653000000001</v>
      </c>
      <c r="X44">
        <v>131.375854</v>
      </c>
      <c r="Y44">
        <v>132.214798</v>
      </c>
      <c r="Z44">
        <v>133.019226</v>
      </c>
      <c r="AA44">
        <v>133.660675</v>
      </c>
      <c r="AB44">
        <v>134.388824</v>
      </c>
      <c r="AC44">
        <v>134.90304599999999</v>
      </c>
      <c r="AD44">
        <v>135.610321</v>
      </c>
      <c r="AE44">
        <v>136.45515399999999</v>
      </c>
      <c r="AF44">
        <v>137.008881</v>
      </c>
      <c r="AG44">
        <v>137.575974</v>
      </c>
      <c r="AH44">
        <v>137.96229600000001</v>
      </c>
      <c r="AI44">
        <v>6.0000000000000001E-3</v>
      </c>
    </row>
    <row r="45" spans="1:35" x14ac:dyDescent="0.25">
      <c r="A45" t="s">
        <v>1531</v>
      </c>
      <c r="B45" t="s">
        <v>1409</v>
      </c>
      <c r="C45" t="s">
        <v>1532</v>
      </c>
      <c r="D45" t="s">
        <v>1533</v>
      </c>
      <c r="E45" t="s">
        <v>1534</v>
      </c>
      <c r="F45" t="s">
        <v>1365</v>
      </c>
      <c r="H45">
        <v>153.33036799999999</v>
      </c>
      <c r="I45">
        <v>157.286224</v>
      </c>
      <c r="J45">
        <v>161.45156900000001</v>
      </c>
      <c r="K45">
        <v>166.08694499999999</v>
      </c>
      <c r="L45">
        <v>170.00337200000001</v>
      </c>
      <c r="M45">
        <v>172.20495600000001</v>
      </c>
      <c r="N45">
        <v>174.93879699999999</v>
      </c>
      <c r="O45">
        <v>177.68588299999999</v>
      </c>
      <c r="P45">
        <v>181.15734900000001</v>
      </c>
      <c r="Q45">
        <v>182.864746</v>
      </c>
      <c r="R45">
        <v>184.450928</v>
      </c>
      <c r="S45">
        <v>186.48675499999999</v>
      </c>
      <c r="T45">
        <v>188.98085</v>
      </c>
      <c r="U45">
        <v>191.598297</v>
      </c>
      <c r="V45">
        <v>193.246002</v>
      </c>
      <c r="W45">
        <v>194.85244800000001</v>
      </c>
      <c r="X45">
        <v>196.92515599999999</v>
      </c>
      <c r="Y45">
        <v>199.009705</v>
      </c>
      <c r="Z45">
        <v>201.02314799999999</v>
      </c>
      <c r="AA45">
        <v>202.837402</v>
      </c>
      <c r="AB45">
        <v>204.95594800000001</v>
      </c>
      <c r="AC45">
        <v>206.374527</v>
      </c>
      <c r="AD45">
        <v>208.37825000000001</v>
      </c>
      <c r="AE45">
        <v>210.46847500000001</v>
      </c>
      <c r="AF45">
        <v>211.74797100000001</v>
      </c>
      <c r="AG45">
        <v>214.56938199999999</v>
      </c>
      <c r="AH45">
        <v>214.75027499999999</v>
      </c>
      <c r="AI45">
        <v>1.2999999999999999E-2</v>
      </c>
    </row>
    <row r="46" spans="1:35" x14ac:dyDescent="0.25">
      <c r="A46" t="s">
        <v>1535</v>
      </c>
      <c r="C46" t="s">
        <v>1536</v>
      </c>
      <c r="D46" t="s">
        <v>1537</v>
      </c>
      <c r="E46" t="s">
        <v>1538</v>
      </c>
      <c r="F46" t="s">
        <v>1365</v>
      </c>
      <c r="H46">
        <v>8693.2158199999994</v>
      </c>
      <c r="I46">
        <v>8880.0214840000008</v>
      </c>
      <c r="J46">
        <v>9023.890625</v>
      </c>
      <c r="K46">
        <v>9136.9667969999991</v>
      </c>
      <c r="L46">
        <v>9250.2939449999994</v>
      </c>
      <c r="M46">
        <v>9368.2060550000006</v>
      </c>
      <c r="N46">
        <v>9471.4023440000001</v>
      </c>
      <c r="O46">
        <v>9544.3271480000003</v>
      </c>
      <c r="P46">
        <v>9631.375</v>
      </c>
      <c r="Q46">
        <v>9680.8300780000009</v>
      </c>
      <c r="R46">
        <v>9759.0693360000005</v>
      </c>
      <c r="S46">
        <v>9833.1796880000002</v>
      </c>
      <c r="T46">
        <v>9910.9326170000004</v>
      </c>
      <c r="U46">
        <v>9985.4960940000001</v>
      </c>
      <c r="V46">
        <v>10063.265625</v>
      </c>
      <c r="W46">
        <v>10146.550781</v>
      </c>
      <c r="X46">
        <v>10240.190430000001</v>
      </c>
      <c r="Y46">
        <v>10320.270508</v>
      </c>
      <c r="Z46">
        <v>10409.383789</v>
      </c>
      <c r="AA46">
        <v>10482.779296999999</v>
      </c>
      <c r="AB46">
        <v>10564.850586</v>
      </c>
      <c r="AC46">
        <v>10653.482421999999</v>
      </c>
      <c r="AD46">
        <v>10756.960938</v>
      </c>
      <c r="AE46">
        <v>10868.238281</v>
      </c>
      <c r="AF46">
        <v>10969.666015999999</v>
      </c>
      <c r="AG46">
        <v>11079.727539</v>
      </c>
      <c r="AH46">
        <v>11173.775390999999</v>
      </c>
      <c r="AI46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3" x14ac:dyDescent="0.25">
      <c r="C1" t="s">
        <v>1352</v>
      </c>
    </row>
    <row r="2" spans="1:33" x14ac:dyDescent="0.25">
      <c r="C2" t="s">
        <v>1539</v>
      </c>
    </row>
    <row r="3" spans="1:33" x14ac:dyDescent="0.25">
      <c r="C3" t="s">
        <v>1540</v>
      </c>
    </row>
    <row r="4" spans="1:33" x14ac:dyDescent="0.25">
      <c r="C4" t="s">
        <v>1355</v>
      </c>
    </row>
    <row r="5" spans="1:33" x14ac:dyDescent="0.25">
      <c r="B5" s="5" t="s">
        <v>1356</v>
      </c>
      <c r="D5" t="s">
        <v>1357</v>
      </c>
      <c r="E5" t="s">
        <v>1358</v>
      </c>
      <c r="F5" t="s">
        <v>1359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1541</v>
      </c>
    </row>
    <row r="6" spans="1:33" x14ac:dyDescent="0.25">
      <c r="A6" t="s">
        <v>1361</v>
      </c>
      <c r="C6" t="s">
        <v>1362</v>
      </c>
      <c r="D6" t="s">
        <v>1542</v>
      </c>
      <c r="E6" t="s">
        <v>1543</v>
      </c>
      <c r="F6" t="s">
        <v>1365</v>
      </c>
      <c r="G6">
        <v>22086.083984000001</v>
      </c>
      <c r="H6">
        <v>22669.974609000001</v>
      </c>
      <c r="I6">
        <v>23095.640625</v>
      </c>
      <c r="J6">
        <v>23390.617188</v>
      </c>
      <c r="K6">
        <v>23750.759765999999</v>
      </c>
      <c r="L6">
        <v>24166.652343999998</v>
      </c>
      <c r="M6">
        <v>24572.644531000002</v>
      </c>
      <c r="N6">
        <v>25034.144531000002</v>
      </c>
      <c r="O6">
        <v>25522.300781000002</v>
      </c>
      <c r="P6">
        <v>26041.154297000001</v>
      </c>
      <c r="Q6">
        <v>26595.578125</v>
      </c>
      <c r="R6">
        <v>27063.660156000002</v>
      </c>
      <c r="S6">
        <v>27531.339843999998</v>
      </c>
      <c r="T6">
        <v>28000.277343999998</v>
      </c>
      <c r="U6">
        <v>28461.050781000002</v>
      </c>
      <c r="V6">
        <v>28925.544922000001</v>
      </c>
      <c r="W6">
        <v>29375.912109000001</v>
      </c>
      <c r="X6">
        <v>29841.964843999998</v>
      </c>
      <c r="Y6">
        <v>30321.671875</v>
      </c>
      <c r="Z6">
        <v>30806.214843999998</v>
      </c>
      <c r="AA6">
        <v>31294.171875</v>
      </c>
      <c r="AB6">
        <v>31769.9375</v>
      </c>
      <c r="AC6">
        <v>32226.466797000001</v>
      </c>
      <c r="AD6">
        <v>32681.023438</v>
      </c>
      <c r="AE6">
        <v>33125.082030999998</v>
      </c>
      <c r="AF6">
        <v>33582.949219000002</v>
      </c>
      <c r="AG6">
        <v>1.7000000000000001E-2</v>
      </c>
    </row>
    <row r="7" spans="1:33" x14ac:dyDescent="0.25">
      <c r="A7" t="s">
        <v>1366</v>
      </c>
      <c r="C7" t="s">
        <v>1367</v>
      </c>
      <c r="D7" t="s">
        <v>1544</v>
      </c>
      <c r="E7" t="s">
        <v>1545</v>
      </c>
      <c r="F7" t="s">
        <v>1370</v>
      </c>
      <c r="G7">
        <v>160.34007299999999</v>
      </c>
      <c r="H7">
        <v>161.28100599999999</v>
      </c>
      <c r="I7">
        <v>162.17047099999999</v>
      </c>
      <c r="J7">
        <v>162.60861199999999</v>
      </c>
      <c r="K7">
        <v>163.086288</v>
      </c>
      <c r="L7">
        <v>163.62586999999999</v>
      </c>
      <c r="M7">
        <v>164.11605800000001</v>
      </c>
      <c r="N7">
        <v>164.78729200000001</v>
      </c>
      <c r="O7">
        <v>165.46202099999999</v>
      </c>
      <c r="P7">
        <v>166.16980000000001</v>
      </c>
      <c r="Q7">
        <v>166.884872</v>
      </c>
      <c r="R7">
        <v>167.66198700000001</v>
      </c>
      <c r="S7">
        <v>168.565765</v>
      </c>
      <c r="T7">
        <v>169.439774</v>
      </c>
      <c r="U7">
        <v>170.151398</v>
      </c>
      <c r="V7">
        <v>170.95246900000001</v>
      </c>
      <c r="W7">
        <v>171.58038300000001</v>
      </c>
      <c r="X7">
        <v>172.17842099999999</v>
      </c>
      <c r="Y7">
        <v>172.70611600000001</v>
      </c>
      <c r="Z7">
        <v>173.327744</v>
      </c>
      <c r="AA7">
        <v>174.001205</v>
      </c>
      <c r="AB7">
        <v>174.60243199999999</v>
      </c>
      <c r="AC7">
        <v>175.097656</v>
      </c>
      <c r="AD7">
        <v>175.47995</v>
      </c>
      <c r="AE7">
        <v>175.77896100000001</v>
      </c>
      <c r="AF7">
        <v>176.12506099999999</v>
      </c>
      <c r="AG7">
        <v>4.0000000000000001E-3</v>
      </c>
    </row>
    <row r="8" spans="1:33" x14ac:dyDescent="0.25">
      <c r="C8" t="s">
        <v>1371</v>
      </c>
    </row>
    <row r="9" spans="1:33" x14ac:dyDescent="0.25">
      <c r="C9" t="s">
        <v>1372</v>
      </c>
    </row>
    <row r="10" spans="1:33" x14ac:dyDescent="0.25">
      <c r="A10" t="s">
        <v>1373</v>
      </c>
      <c r="B10" t="s">
        <v>1374</v>
      </c>
      <c r="C10" t="s">
        <v>1375</v>
      </c>
      <c r="D10" t="s">
        <v>1546</v>
      </c>
      <c r="E10" t="s">
        <v>1547</v>
      </c>
      <c r="F10" t="s">
        <v>1365</v>
      </c>
      <c r="G10">
        <v>485.34997600000003</v>
      </c>
      <c r="H10">
        <v>486.52557400000001</v>
      </c>
      <c r="I10">
        <v>493.37536599999999</v>
      </c>
      <c r="J10">
        <v>503.25857500000001</v>
      </c>
      <c r="K10">
        <v>509.90396099999998</v>
      </c>
      <c r="L10">
        <v>516.43335000000002</v>
      </c>
      <c r="M10">
        <v>522.85253899999998</v>
      </c>
      <c r="N10">
        <v>529.38610800000004</v>
      </c>
      <c r="O10">
        <v>532.95336899999995</v>
      </c>
      <c r="P10">
        <v>539.97076400000003</v>
      </c>
      <c r="Q10">
        <v>547.71856700000001</v>
      </c>
      <c r="R10">
        <v>555.45874000000003</v>
      </c>
      <c r="S10">
        <v>562.97289999999998</v>
      </c>
      <c r="T10">
        <v>570.92297399999995</v>
      </c>
      <c r="U10">
        <v>579.125</v>
      </c>
      <c r="V10">
        <v>586.07171600000004</v>
      </c>
      <c r="W10">
        <v>592.65618900000004</v>
      </c>
      <c r="X10">
        <v>599.99511700000005</v>
      </c>
      <c r="Y10">
        <v>606.93585199999995</v>
      </c>
      <c r="Z10">
        <v>614.49285899999995</v>
      </c>
      <c r="AA10">
        <v>623.08154300000001</v>
      </c>
      <c r="AB10">
        <v>632.10400400000003</v>
      </c>
      <c r="AC10">
        <v>641.20709199999999</v>
      </c>
      <c r="AD10">
        <v>650.44000200000005</v>
      </c>
      <c r="AE10">
        <v>659.60827600000005</v>
      </c>
      <c r="AF10">
        <v>668.85412599999995</v>
      </c>
      <c r="AG10">
        <v>1.2999999999999999E-2</v>
      </c>
    </row>
    <row r="11" spans="1:33" x14ac:dyDescent="0.25">
      <c r="A11" t="s">
        <v>1378</v>
      </c>
      <c r="B11" t="s">
        <v>1379</v>
      </c>
      <c r="C11" t="s">
        <v>1380</v>
      </c>
      <c r="D11" t="s">
        <v>1548</v>
      </c>
      <c r="E11" t="s">
        <v>1549</v>
      </c>
      <c r="F11" t="s">
        <v>1365</v>
      </c>
      <c r="G11">
        <v>791.22412099999997</v>
      </c>
      <c r="H11">
        <v>863.60974099999999</v>
      </c>
      <c r="I11">
        <v>857.47863800000005</v>
      </c>
      <c r="J11">
        <v>862.24182099999996</v>
      </c>
      <c r="K11">
        <v>867.37316899999996</v>
      </c>
      <c r="L11">
        <v>886.08520499999997</v>
      </c>
      <c r="M11">
        <v>900.35943599999996</v>
      </c>
      <c r="N11">
        <v>913.71997099999999</v>
      </c>
      <c r="O11">
        <v>923.65026899999998</v>
      </c>
      <c r="P11">
        <v>935.96826199999998</v>
      </c>
      <c r="Q11">
        <v>939.37109399999997</v>
      </c>
      <c r="R11">
        <v>943.46911599999999</v>
      </c>
      <c r="S11">
        <v>948.69219999999996</v>
      </c>
      <c r="T11">
        <v>953.50341800000001</v>
      </c>
      <c r="U11">
        <v>959.692139</v>
      </c>
      <c r="V11">
        <v>971.02343800000006</v>
      </c>
      <c r="W11">
        <v>984.75244099999998</v>
      </c>
      <c r="X11">
        <v>992.50195299999996</v>
      </c>
      <c r="Y11">
        <v>1001.04248</v>
      </c>
      <c r="Z11">
        <v>1006.122925</v>
      </c>
      <c r="AA11">
        <v>1009.776611</v>
      </c>
      <c r="AB11">
        <v>1013.545105</v>
      </c>
      <c r="AC11">
        <v>1019.138367</v>
      </c>
      <c r="AD11">
        <v>1021.347168</v>
      </c>
      <c r="AE11">
        <v>1021.363525</v>
      </c>
      <c r="AF11">
        <v>1019.486755</v>
      </c>
      <c r="AG11">
        <v>0.01</v>
      </c>
    </row>
    <row r="12" spans="1:33" x14ac:dyDescent="0.25">
      <c r="A12" t="s">
        <v>1383</v>
      </c>
      <c r="B12" t="s">
        <v>1384</v>
      </c>
      <c r="C12" t="s">
        <v>1385</v>
      </c>
      <c r="D12" t="s">
        <v>1550</v>
      </c>
      <c r="E12" t="s">
        <v>1551</v>
      </c>
      <c r="F12" t="s">
        <v>1365</v>
      </c>
      <c r="G12">
        <v>1526.7700199999999</v>
      </c>
      <c r="H12">
        <v>1521.3312989999999</v>
      </c>
      <c r="I12">
        <v>1530.459717</v>
      </c>
      <c r="J12">
        <v>1540.0047609999999</v>
      </c>
      <c r="K12">
        <v>1565.405518</v>
      </c>
      <c r="L12">
        <v>1591.6529539999999</v>
      </c>
      <c r="M12">
        <v>1615.9530030000001</v>
      </c>
      <c r="N12">
        <v>1640.333496</v>
      </c>
      <c r="O12">
        <v>1660.849976</v>
      </c>
      <c r="P12">
        <v>1674.029053</v>
      </c>
      <c r="Q12">
        <v>1692.3222659999999</v>
      </c>
      <c r="R12">
        <v>1708.327759</v>
      </c>
      <c r="S12">
        <v>1722.0207519999999</v>
      </c>
      <c r="T12">
        <v>1733.7163089999999</v>
      </c>
      <c r="U12">
        <v>1743.8199460000001</v>
      </c>
      <c r="V12">
        <v>1750.1164550000001</v>
      </c>
      <c r="W12">
        <v>1754.272217</v>
      </c>
      <c r="X12">
        <v>1764.6180420000001</v>
      </c>
      <c r="Y12">
        <v>1772.1407469999999</v>
      </c>
      <c r="Z12">
        <v>1781.1647949999999</v>
      </c>
      <c r="AA12">
        <v>1798.4930420000001</v>
      </c>
      <c r="AB12">
        <v>1816.6457519999999</v>
      </c>
      <c r="AC12">
        <v>1833.321533</v>
      </c>
      <c r="AD12">
        <v>1850.2052000000001</v>
      </c>
      <c r="AE12">
        <v>1869.44397</v>
      </c>
      <c r="AF12">
        <v>1891.598999</v>
      </c>
      <c r="AG12">
        <v>8.9999999999999993E-3</v>
      </c>
    </row>
    <row r="13" spans="1:33" x14ac:dyDescent="0.25">
      <c r="C13" t="s">
        <v>1388</v>
      </c>
    </row>
    <row r="14" spans="1:33" x14ac:dyDescent="0.25">
      <c r="A14" t="s">
        <v>1389</v>
      </c>
      <c r="B14" t="s">
        <v>1390</v>
      </c>
      <c r="C14" t="s">
        <v>1391</v>
      </c>
      <c r="D14" t="s">
        <v>1552</v>
      </c>
      <c r="E14" t="s">
        <v>1553</v>
      </c>
      <c r="F14" t="s">
        <v>1365</v>
      </c>
      <c r="G14">
        <v>762.71002199999998</v>
      </c>
      <c r="H14">
        <v>766.64880400000004</v>
      </c>
      <c r="I14">
        <v>776.75323500000002</v>
      </c>
      <c r="J14">
        <v>786.11645499999997</v>
      </c>
      <c r="K14">
        <v>792.97131300000001</v>
      </c>
      <c r="L14">
        <v>801.68432600000006</v>
      </c>
      <c r="M14">
        <v>810.93811000000005</v>
      </c>
      <c r="N14">
        <v>819.74688700000002</v>
      </c>
      <c r="O14">
        <v>828.72485400000005</v>
      </c>
      <c r="P14">
        <v>838.03881799999999</v>
      </c>
      <c r="Q14">
        <v>846.84887700000002</v>
      </c>
      <c r="R14">
        <v>856.58660899999995</v>
      </c>
      <c r="S14">
        <v>866.08648700000003</v>
      </c>
      <c r="T14">
        <v>875.84136999999998</v>
      </c>
      <c r="U14">
        <v>885.78131099999996</v>
      </c>
      <c r="V14">
        <v>894.879639</v>
      </c>
      <c r="W14">
        <v>903.73852499999998</v>
      </c>
      <c r="X14">
        <v>912.51666299999999</v>
      </c>
      <c r="Y14">
        <v>921.02239999999995</v>
      </c>
      <c r="Z14">
        <v>929.50469999999996</v>
      </c>
      <c r="AA14">
        <v>937.15026899999998</v>
      </c>
      <c r="AB14">
        <v>945.13659700000005</v>
      </c>
      <c r="AC14">
        <v>953.131531</v>
      </c>
      <c r="AD14">
        <v>961.09613000000002</v>
      </c>
      <c r="AE14">
        <v>969.41839600000003</v>
      </c>
      <c r="AF14">
        <v>977.19104000000004</v>
      </c>
      <c r="AG14">
        <v>0.01</v>
      </c>
    </row>
    <row r="15" spans="1:33" x14ac:dyDescent="0.25">
      <c r="A15" t="s">
        <v>1394</v>
      </c>
      <c r="B15" t="s">
        <v>1390</v>
      </c>
      <c r="C15" t="s">
        <v>1395</v>
      </c>
      <c r="D15" t="s">
        <v>1554</v>
      </c>
      <c r="E15" t="s">
        <v>1555</v>
      </c>
      <c r="F15" t="s">
        <v>1365</v>
      </c>
      <c r="G15">
        <v>145.13999899999999</v>
      </c>
      <c r="H15">
        <v>143.29698200000001</v>
      </c>
      <c r="I15">
        <v>141.07891799999999</v>
      </c>
      <c r="J15">
        <v>139.88064600000001</v>
      </c>
      <c r="K15">
        <v>138.80690000000001</v>
      </c>
      <c r="L15">
        <v>137.82714799999999</v>
      </c>
      <c r="M15">
        <v>136.89218099999999</v>
      </c>
      <c r="N15">
        <v>136.19909699999999</v>
      </c>
      <c r="O15">
        <v>135.471451</v>
      </c>
      <c r="P15">
        <v>134.65437299999999</v>
      </c>
      <c r="Q15">
        <v>133.95632900000001</v>
      </c>
      <c r="R15">
        <v>133.194199</v>
      </c>
      <c r="S15">
        <v>132.51904300000001</v>
      </c>
      <c r="T15">
        <v>131.791122</v>
      </c>
      <c r="U15">
        <v>130.83189400000001</v>
      </c>
      <c r="V15">
        <v>130.09213299999999</v>
      </c>
      <c r="W15">
        <v>129.58869899999999</v>
      </c>
      <c r="X15">
        <v>129.14653000000001</v>
      </c>
      <c r="Y15">
        <v>128.57557700000001</v>
      </c>
      <c r="Z15">
        <v>128.060776</v>
      </c>
      <c r="AA15">
        <v>127.76370199999999</v>
      </c>
      <c r="AB15">
        <v>127.407951</v>
      </c>
      <c r="AC15">
        <v>126.89009900000001</v>
      </c>
      <c r="AD15">
        <v>126.399101</v>
      </c>
      <c r="AE15">
        <v>125.87490099999999</v>
      </c>
      <c r="AF15">
        <v>125.28132600000001</v>
      </c>
      <c r="AG15">
        <v>-6.0000000000000001E-3</v>
      </c>
    </row>
    <row r="16" spans="1:33" x14ac:dyDescent="0.25">
      <c r="A16" t="s">
        <v>1398</v>
      </c>
      <c r="B16" t="s">
        <v>1399</v>
      </c>
      <c r="C16" t="s">
        <v>1400</v>
      </c>
      <c r="D16" t="s">
        <v>1556</v>
      </c>
      <c r="E16" t="s">
        <v>1557</v>
      </c>
      <c r="F16" t="s">
        <v>1365</v>
      </c>
      <c r="G16">
        <v>58.603230000000003</v>
      </c>
      <c r="H16">
        <v>59.344817999999997</v>
      </c>
      <c r="I16">
        <v>60.159962</v>
      </c>
      <c r="J16">
        <v>58.416598999999998</v>
      </c>
      <c r="K16">
        <v>56.206122999999998</v>
      </c>
      <c r="L16">
        <v>55.210059999999999</v>
      </c>
      <c r="M16">
        <v>54.903446000000002</v>
      </c>
      <c r="N16">
        <v>54.746746000000002</v>
      </c>
      <c r="O16">
        <v>54.889693999999999</v>
      </c>
      <c r="P16">
        <v>55.283862999999997</v>
      </c>
      <c r="Q16">
        <v>55.522114000000002</v>
      </c>
      <c r="R16">
        <v>55.493893</v>
      </c>
      <c r="S16">
        <v>55.565697</v>
      </c>
      <c r="T16">
        <v>55.676113000000001</v>
      </c>
      <c r="U16">
        <v>55.728962000000003</v>
      </c>
      <c r="V16">
        <v>55.944988000000002</v>
      </c>
      <c r="W16">
        <v>56.146872999999999</v>
      </c>
      <c r="X16">
        <v>56.280396000000003</v>
      </c>
      <c r="Y16">
        <v>56.407085000000002</v>
      </c>
      <c r="Z16">
        <v>56.575736999999997</v>
      </c>
      <c r="AA16">
        <v>56.787509999999997</v>
      </c>
      <c r="AB16">
        <v>56.890765999999999</v>
      </c>
      <c r="AC16">
        <v>56.785235999999998</v>
      </c>
      <c r="AD16">
        <v>56.510384000000002</v>
      </c>
      <c r="AE16">
        <v>56.437035000000002</v>
      </c>
      <c r="AF16">
        <v>56.381991999999997</v>
      </c>
      <c r="AG16">
        <v>-2E-3</v>
      </c>
    </row>
    <row r="17" spans="1:35" x14ac:dyDescent="0.25">
      <c r="A17" t="s">
        <v>1403</v>
      </c>
      <c r="B17" t="s">
        <v>1404</v>
      </c>
      <c r="C17" t="s">
        <v>1405</v>
      </c>
      <c r="D17" t="s">
        <v>1558</v>
      </c>
      <c r="E17" t="s">
        <v>1559</v>
      </c>
      <c r="F17" t="s">
        <v>1365</v>
      </c>
      <c r="G17">
        <v>118.724998</v>
      </c>
      <c r="H17">
        <v>99.632530000000003</v>
      </c>
      <c r="I17">
        <v>93.661902999999995</v>
      </c>
      <c r="J17">
        <v>98.211769000000004</v>
      </c>
      <c r="K17">
        <v>105.913048</v>
      </c>
      <c r="L17">
        <v>107.063103</v>
      </c>
      <c r="M17">
        <v>104.34275100000001</v>
      </c>
      <c r="N17">
        <v>104.021378</v>
      </c>
      <c r="O17">
        <v>106.398071</v>
      </c>
      <c r="P17">
        <v>110.545998</v>
      </c>
      <c r="Q17">
        <v>113.7761</v>
      </c>
      <c r="R17">
        <v>117.102203</v>
      </c>
      <c r="S17">
        <v>119.56847399999999</v>
      </c>
      <c r="T17">
        <v>122.233253</v>
      </c>
      <c r="U17">
        <v>124.190926</v>
      </c>
      <c r="V17">
        <v>124.834053</v>
      </c>
      <c r="W17">
        <v>122.585373</v>
      </c>
      <c r="X17">
        <v>121.283722</v>
      </c>
      <c r="Y17">
        <v>118.868103</v>
      </c>
      <c r="Z17">
        <v>117.277946</v>
      </c>
      <c r="AA17">
        <v>118.01934799999999</v>
      </c>
      <c r="AB17">
        <v>118.727875</v>
      </c>
      <c r="AC17">
        <v>119.795547</v>
      </c>
      <c r="AD17">
        <v>120.76300000000001</v>
      </c>
      <c r="AE17">
        <v>122.42195100000001</v>
      </c>
      <c r="AF17">
        <v>123.797501</v>
      </c>
      <c r="AG17">
        <v>2E-3</v>
      </c>
    </row>
    <row r="18" spans="1:35" x14ac:dyDescent="0.25">
      <c r="A18" t="s">
        <v>1408</v>
      </c>
      <c r="B18" t="s">
        <v>1409</v>
      </c>
      <c r="C18" t="s">
        <v>1410</v>
      </c>
      <c r="D18" t="s">
        <v>1560</v>
      </c>
      <c r="E18" t="s">
        <v>1561</v>
      </c>
      <c r="F18" t="s">
        <v>1365</v>
      </c>
      <c r="G18">
        <v>58.322498000000003</v>
      </c>
      <c r="H18">
        <v>59.011951000000003</v>
      </c>
      <c r="I18">
        <v>60.173313</v>
      </c>
      <c r="J18">
        <v>59.152695000000001</v>
      </c>
      <c r="K18">
        <v>59.485309999999998</v>
      </c>
      <c r="L18">
        <v>60.807999000000002</v>
      </c>
      <c r="M18">
        <v>61.878867999999997</v>
      </c>
      <c r="N18">
        <v>63.159160999999997</v>
      </c>
      <c r="O18">
        <v>64.566895000000002</v>
      </c>
      <c r="P18">
        <v>65.938286000000005</v>
      </c>
      <c r="Q18">
        <v>68.118446000000006</v>
      </c>
      <c r="R18">
        <v>69.331092999999996</v>
      </c>
      <c r="S18">
        <v>70.475876</v>
      </c>
      <c r="T18">
        <v>72.192847999999998</v>
      </c>
      <c r="U18">
        <v>73.151497000000006</v>
      </c>
      <c r="V18">
        <v>74.659355000000005</v>
      </c>
      <c r="W18">
        <v>76.165656999999996</v>
      </c>
      <c r="X18">
        <v>77.674377000000007</v>
      </c>
      <c r="Y18">
        <v>79.193832</v>
      </c>
      <c r="Z18">
        <v>80.946731999999997</v>
      </c>
      <c r="AA18">
        <v>83.448447999999999</v>
      </c>
      <c r="AB18">
        <v>84.887985</v>
      </c>
      <c r="AC18">
        <v>86.415627000000001</v>
      </c>
      <c r="AD18">
        <v>87.191367999999997</v>
      </c>
      <c r="AE18">
        <v>88.336067</v>
      </c>
      <c r="AF18">
        <v>89.970725999999999</v>
      </c>
      <c r="AG18">
        <v>1.7000000000000001E-2</v>
      </c>
    </row>
    <row r="19" spans="1:35" x14ac:dyDescent="0.25">
      <c r="A19" t="s">
        <v>1413</v>
      </c>
      <c r="B19" t="s">
        <v>1414</v>
      </c>
      <c r="C19" t="s">
        <v>1415</v>
      </c>
      <c r="D19" t="s">
        <v>1562</v>
      </c>
      <c r="E19" t="s">
        <v>1563</v>
      </c>
      <c r="F19" t="s">
        <v>1365</v>
      </c>
      <c r="G19">
        <v>146.52499399999999</v>
      </c>
      <c r="H19">
        <v>146.300095</v>
      </c>
      <c r="I19">
        <v>148.35510300000001</v>
      </c>
      <c r="J19">
        <v>148.39004499999999</v>
      </c>
      <c r="K19">
        <v>148.27514600000001</v>
      </c>
      <c r="L19">
        <v>148.22979699999999</v>
      </c>
      <c r="M19">
        <v>149.00885</v>
      </c>
      <c r="N19">
        <v>149.76033000000001</v>
      </c>
      <c r="O19">
        <v>150.414368</v>
      </c>
      <c r="P19">
        <v>151.04452499999999</v>
      </c>
      <c r="Q19">
        <v>151.76538099999999</v>
      </c>
      <c r="R19">
        <v>152.44345100000001</v>
      </c>
      <c r="S19">
        <v>152.84227000000001</v>
      </c>
      <c r="T19">
        <v>153.86857599999999</v>
      </c>
      <c r="U19">
        <v>155.21447800000001</v>
      </c>
      <c r="V19">
        <v>156.88922099999999</v>
      </c>
      <c r="W19">
        <v>158.34562700000001</v>
      </c>
      <c r="X19">
        <v>159.91807600000001</v>
      </c>
      <c r="Y19">
        <v>161.62904399999999</v>
      </c>
      <c r="Z19">
        <v>163.462219</v>
      </c>
      <c r="AA19">
        <v>165.47505200000001</v>
      </c>
      <c r="AB19">
        <v>167.21362300000001</v>
      </c>
      <c r="AC19">
        <v>169.04817199999999</v>
      </c>
      <c r="AD19">
        <v>170.64967300000001</v>
      </c>
      <c r="AE19">
        <v>172.45002700000001</v>
      </c>
      <c r="AF19">
        <v>174.19078099999999</v>
      </c>
      <c r="AG19">
        <v>7.0000000000000001E-3</v>
      </c>
    </row>
    <row r="20" spans="1:35" x14ac:dyDescent="0.25">
      <c r="A20" t="s">
        <v>1418</v>
      </c>
      <c r="B20" t="s">
        <v>1414</v>
      </c>
      <c r="C20" t="s">
        <v>293</v>
      </c>
      <c r="D20" t="s">
        <v>1564</v>
      </c>
      <c r="E20" t="s">
        <v>1565</v>
      </c>
      <c r="F20" t="s">
        <v>1365</v>
      </c>
      <c r="G20">
        <v>64.357498000000007</v>
      </c>
      <c r="H20">
        <v>62.670582000000003</v>
      </c>
      <c r="I20">
        <v>60.882739999999998</v>
      </c>
      <c r="J20">
        <v>59.342823000000003</v>
      </c>
      <c r="K20">
        <v>58.132961000000002</v>
      </c>
      <c r="L20">
        <v>56.884990999999999</v>
      </c>
      <c r="M20">
        <v>55.614899000000001</v>
      </c>
      <c r="N20">
        <v>54.245510000000003</v>
      </c>
      <c r="O20">
        <v>52.755294999999997</v>
      </c>
      <c r="P20">
        <v>51.431721000000003</v>
      </c>
      <c r="Q20">
        <v>50.014037999999999</v>
      </c>
      <c r="R20">
        <v>48.692402000000001</v>
      </c>
      <c r="S20">
        <v>47.663521000000003</v>
      </c>
      <c r="T20">
        <v>46.690609000000002</v>
      </c>
      <c r="U20">
        <v>46.016658999999997</v>
      </c>
      <c r="V20">
        <v>45.447735000000002</v>
      </c>
      <c r="W20">
        <v>44.834614000000002</v>
      </c>
      <c r="X20">
        <v>44.365485999999997</v>
      </c>
      <c r="Y20">
        <v>43.841121999999999</v>
      </c>
      <c r="Z20">
        <v>43.243724999999998</v>
      </c>
      <c r="AA20">
        <v>42.610481</v>
      </c>
      <c r="AB20">
        <v>42.079239000000001</v>
      </c>
      <c r="AC20">
        <v>41.707779000000002</v>
      </c>
      <c r="AD20">
        <v>41.560302999999998</v>
      </c>
      <c r="AE20">
        <v>41.430827999999998</v>
      </c>
      <c r="AF20">
        <v>41.002571000000003</v>
      </c>
      <c r="AG20">
        <v>-1.7999999999999999E-2</v>
      </c>
    </row>
    <row r="21" spans="1:35" x14ac:dyDescent="0.25">
      <c r="A21" t="s">
        <v>1421</v>
      </c>
      <c r="B21" t="s">
        <v>1422</v>
      </c>
      <c r="C21" t="s">
        <v>1423</v>
      </c>
      <c r="D21" t="s">
        <v>1566</v>
      </c>
      <c r="E21" t="s">
        <v>1567</v>
      </c>
      <c r="F21" t="s">
        <v>1365</v>
      </c>
      <c r="G21">
        <v>866.14446999999996</v>
      </c>
      <c r="H21">
        <v>854.60504200000003</v>
      </c>
      <c r="I21">
        <v>844.64343299999996</v>
      </c>
      <c r="J21">
        <v>841.27880900000002</v>
      </c>
      <c r="K21">
        <v>834.162598</v>
      </c>
      <c r="L21">
        <v>833.864868</v>
      </c>
      <c r="M21">
        <v>837.70922900000005</v>
      </c>
      <c r="N21">
        <v>842.62768600000004</v>
      </c>
      <c r="O21">
        <v>851.86352499999998</v>
      </c>
      <c r="P21">
        <v>861.18933100000004</v>
      </c>
      <c r="Q21">
        <v>871.22015399999998</v>
      </c>
      <c r="R21">
        <v>881.64965800000004</v>
      </c>
      <c r="S21">
        <v>893.15484600000002</v>
      </c>
      <c r="T21">
        <v>904.770081</v>
      </c>
      <c r="U21">
        <v>918.34716800000001</v>
      </c>
      <c r="V21">
        <v>932.80969200000004</v>
      </c>
      <c r="W21">
        <v>949.002747</v>
      </c>
      <c r="X21">
        <v>967.69164999999998</v>
      </c>
      <c r="Y21">
        <v>985.70812999999998</v>
      </c>
      <c r="Z21">
        <v>1004.382019</v>
      </c>
      <c r="AA21">
        <v>1024.803711</v>
      </c>
      <c r="AB21">
        <v>1046.9313959999999</v>
      </c>
      <c r="AC21">
        <v>1070.0600589999999</v>
      </c>
      <c r="AD21">
        <v>1091.0391850000001</v>
      </c>
      <c r="AE21">
        <v>1111.1674800000001</v>
      </c>
      <c r="AF21">
        <v>1133.631836</v>
      </c>
      <c r="AG21">
        <v>1.0999999999999999E-2</v>
      </c>
    </row>
    <row r="22" spans="1:35" x14ac:dyDescent="0.25">
      <c r="A22" t="s">
        <v>1426</v>
      </c>
      <c r="C22" t="s">
        <v>1427</v>
      </c>
      <c r="D22" t="s">
        <v>1568</v>
      </c>
      <c r="E22" t="s">
        <v>1569</v>
      </c>
      <c r="F22" t="s">
        <v>1365</v>
      </c>
      <c r="G22">
        <v>389.91445900000002</v>
      </c>
      <c r="H22">
        <v>374.33462500000002</v>
      </c>
      <c r="I22">
        <v>368.80944799999997</v>
      </c>
      <c r="J22">
        <v>367.27593999999999</v>
      </c>
      <c r="K22">
        <v>361.54742399999998</v>
      </c>
      <c r="L22">
        <v>361.88439899999997</v>
      </c>
      <c r="M22">
        <v>365.39736900000003</v>
      </c>
      <c r="N22">
        <v>366.77453600000001</v>
      </c>
      <c r="O22">
        <v>369.98590100000001</v>
      </c>
      <c r="P22">
        <v>373.71804800000001</v>
      </c>
      <c r="Q22">
        <v>378.38687099999999</v>
      </c>
      <c r="R22">
        <v>383.46777300000002</v>
      </c>
      <c r="S22">
        <v>388.05297899999999</v>
      </c>
      <c r="T22">
        <v>392.61920199999997</v>
      </c>
      <c r="U22">
        <v>399.43426499999998</v>
      </c>
      <c r="V22">
        <v>406.02401700000001</v>
      </c>
      <c r="W22">
        <v>412.86163299999998</v>
      </c>
      <c r="X22">
        <v>420.91342200000003</v>
      </c>
      <c r="Y22">
        <v>427.61038200000002</v>
      </c>
      <c r="Z22">
        <v>434.302368</v>
      </c>
      <c r="AA22">
        <v>442.08343500000001</v>
      </c>
      <c r="AB22">
        <v>450.44988999999998</v>
      </c>
      <c r="AC22">
        <v>459.50070199999999</v>
      </c>
      <c r="AD22">
        <v>467.66095000000001</v>
      </c>
      <c r="AE22">
        <v>474.06463600000001</v>
      </c>
      <c r="AF22">
        <v>482.12265000000002</v>
      </c>
      <c r="AG22">
        <v>8.9999999999999993E-3</v>
      </c>
    </row>
    <row r="23" spans="1:35" x14ac:dyDescent="0.25">
      <c r="A23" t="s">
        <v>1430</v>
      </c>
      <c r="C23" t="s">
        <v>1431</v>
      </c>
      <c r="D23" t="s">
        <v>1570</v>
      </c>
      <c r="E23" t="s">
        <v>1571</v>
      </c>
      <c r="F23" t="s">
        <v>1365</v>
      </c>
      <c r="G23">
        <v>51.491622999999997</v>
      </c>
      <c r="H23">
        <v>52.255329000000003</v>
      </c>
      <c r="I23">
        <v>51.697498000000003</v>
      </c>
      <c r="J23">
        <v>51.977890000000002</v>
      </c>
      <c r="K23">
        <v>51.210506000000002</v>
      </c>
      <c r="L23">
        <v>50.927028999999997</v>
      </c>
      <c r="M23">
        <v>51.219692000000002</v>
      </c>
      <c r="N23">
        <v>51.075771000000003</v>
      </c>
      <c r="O23">
        <v>51.268538999999997</v>
      </c>
      <c r="P23">
        <v>51.611919</v>
      </c>
      <c r="Q23">
        <v>51.788040000000002</v>
      </c>
      <c r="R23">
        <v>51.978779000000003</v>
      </c>
      <c r="S23">
        <v>51.913784</v>
      </c>
      <c r="T23">
        <v>51.978076999999999</v>
      </c>
      <c r="U23">
        <v>52.200248999999999</v>
      </c>
      <c r="V23">
        <v>52.240592999999997</v>
      </c>
      <c r="W23">
        <v>52.307400000000001</v>
      </c>
      <c r="X23">
        <v>52.404572000000002</v>
      </c>
      <c r="Y23">
        <v>52.432654999999997</v>
      </c>
      <c r="Z23">
        <v>52.335208999999999</v>
      </c>
      <c r="AA23">
        <v>52.231144</v>
      </c>
      <c r="AB23">
        <v>52.381222000000001</v>
      </c>
      <c r="AC23">
        <v>52.576962000000002</v>
      </c>
      <c r="AD23">
        <v>52.698146999999999</v>
      </c>
      <c r="AE23">
        <v>52.773536999999997</v>
      </c>
      <c r="AF23">
        <v>52.964759999999998</v>
      </c>
      <c r="AG23">
        <v>1E-3</v>
      </c>
    </row>
    <row r="24" spans="1:35" x14ac:dyDescent="0.25">
      <c r="A24" t="s">
        <v>1434</v>
      </c>
      <c r="C24" t="s">
        <v>1435</v>
      </c>
      <c r="D24" t="s">
        <v>1572</v>
      </c>
      <c r="E24" t="s">
        <v>1573</v>
      </c>
      <c r="F24" t="s">
        <v>1365</v>
      </c>
      <c r="G24">
        <v>184.63533000000001</v>
      </c>
      <c r="H24">
        <v>169.545074</v>
      </c>
      <c r="I24">
        <v>162.99795499999999</v>
      </c>
      <c r="J24">
        <v>163.28097500000001</v>
      </c>
      <c r="K24">
        <v>159.475098</v>
      </c>
      <c r="L24">
        <v>158.51843299999999</v>
      </c>
      <c r="M24">
        <v>160.61567700000001</v>
      </c>
      <c r="N24">
        <v>162.61991900000001</v>
      </c>
      <c r="O24">
        <v>165.46670499999999</v>
      </c>
      <c r="P24">
        <v>168.74754300000001</v>
      </c>
      <c r="Q24">
        <v>171.988846</v>
      </c>
      <c r="R24">
        <v>176.30659499999999</v>
      </c>
      <c r="S24">
        <v>178.54917900000001</v>
      </c>
      <c r="T24">
        <v>181.37652600000001</v>
      </c>
      <c r="U24">
        <v>186.22254899999999</v>
      </c>
      <c r="V24">
        <v>190.339157</v>
      </c>
      <c r="W24">
        <v>194.995026</v>
      </c>
      <c r="X24">
        <v>200.03681900000001</v>
      </c>
      <c r="Y24">
        <v>205.301331</v>
      </c>
      <c r="Z24">
        <v>211.083527</v>
      </c>
      <c r="AA24">
        <v>217.31681800000001</v>
      </c>
      <c r="AB24">
        <v>223.622421</v>
      </c>
      <c r="AC24">
        <v>229.466644</v>
      </c>
      <c r="AD24">
        <v>235.0215</v>
      </c>
      <c r="AE24">
        <v>239.40428199999999</v>
      </c>
      <c r="AF24">
        <v>244.677795</v>
      </c>
      <c r="AG24">
        <v>1.0999999999999999E-2</v>
      </c>
    </row>
    <row r="25" spans="1:35" x14ac:dyDescent="0.25">
      <c r="A25" t="s">
        <v>1438</v>
      </c>
      <c r="C25" t="s">
        <v>1439</v>
      </c>
      <c r="D25" t="s">
        <v>1440</v>
      </c>
      <c r="E25" t="s">
        <v>1441</v>
      </c>
      <c r="F25" t="s">
        <v>1574</v>
      </c>
      <c r="G25" t="s">
        <v>1575</v>
      </c>
      <c r="H25" t="s">
        <v>1365</v>
      </c>
      <c r="I25">
        <v>112.347504</v>
      </c>
      <c r="J25">
        <v>111.06512499999999</v>
      </c>
      <c r="K25">
        <v>112.167877</v>
      </c>
      <c r="L25">
        <v>110.210426</v>
      </c>
      <c r="M25">
        <v>109.016777</v>
      </c>
      <c r="N25">
        <v>110.27057600000001</v>
      </c>
      <c r="O25">
        <v>111.023552</v>
      </c>
      <c r="P25">
        <v>110.383377</v>
      </c>
      <c r="Q25">
        <v>110.300377</v>
      </c>
      <c r="R25">
        <v>110.13205000000001</v>
      </c>
      <c r="S25">
        <v>110.979073</v>
      </c>
      <c r="T25">
        <v>111.19699900000001</v>
      </c>
      <c r="U25">
        <v>113.116776</v>
      </c>
      <c r="V25">
        <v>114.378525</v>
      </c>
      <c r="W25">
        <v>115.730423</v>
      </c>
      <c r="X25">
        <v>117.68789700000001</v>
      </c>
      <c r="Y25">
        <v>119.253349</v>
      </c>
      <c r="Z25">
        <v>121.622749</v>
      </c>
      <c r="AA25">
        <v>122.511253</v>
      </c>
      <c r="AB25">
        <v>123.04222900000001</v>
      </c>
      <c r="AC25">
        <v>123.998947</v>
      </c>
      <c r="AD25">
        <v>125.264999</v>
      </c>
      <c r="AE25">
        <v>127.588448</v>
      </c>
      <c r="AF25">
        <v>129.46644599999999</v>
      </c>
      <c r="AG25">
        <v>130.94454999999999</v>
      </c>
      <c r="AH25">
        <v>132.97212200000001</v>
      </c>
      <c r="AI25">
        <v>7.0000000000000001E-3</v>
      </c>
    </row>
    <row r="26" spans="1:35" x14ac:dyDescent="0.25">
      <c r="A26" t="s">
        <v>1444</v>
      </c>
      <c r="C26" t="s">
        <v>1445</v>
      </c>
      <c r="D26" t="s">
        <v>1576</v>
      </c>
      <c r="E26" t="s">
        <v>1577</v>
      </c>
      <c r="F26" t="s">
        <v>1365</v>
      </c>
      <c r="G26">
        <v>41.439999</v>
      </c>
      <c r="H26">
        <v>41.469085999999997</v>
      </c>
      <c r="I26">
        <v>41.946102000000003</v>
      </c>
      <c r="J26">
        <v>41.806648000000003</v>
      </c>
      <c r="K26">
        <v>41.845042999999997</v>
      </c>
      <c r="L26">
        <v>42.168368999999998</v>
      </c>
      <c r="M26">
        <v>42.538463999999998</v>
      </c>
      <c r="N26">
        <v>42.695453999999998</v>
      </c>
      <c r="O26">
        <v>42.950291</v>
      </c>
      <c r="P26">
        <v>43.226523999999998</v>
      </c>
      <c r="Q26">
        <v>43.630913</v>
      </c>
      <c r="R26">
        <v>43.985401000000003</v>
      </c>
      <c r="S26">
        <v>44.473221000000002</v>
      </c>
      <c r="T26">
        <v>44.886093000000002</v>
      </c>
      <c r="U26">
        <v>45.281067</v>
      </c>
      <c r="V26">
        <v>45.756377999999998</v>
      </c>
      <c r="W26">
        <v>46.305858999999998</v>
      </c>
      <c r="X26">
        <v>46.849269999999997</v>
      </c>
      <c r="Y26">
        <v>47.365138999999999</v>
      </c>
      <c r="Z26">
        <v>47.841414999999998</v>
      </c>
      <c r="AA26">
        <v>48.536507</v>
      </c>
      <c r="AB26">
        <v>49.181258999999997</v>
      </c>
      <c r="AC26">
        <v>49.868651999999997</v>
      </c>
      <c r="AD26">
        <v>50.474845999999999</v>
      </c>
      <c r="AE26">
        <v>50.942248999999997</v>
      </c>
      <c r="AF26">
        <v>51.507961000000002</v>
      </c>
      <c r="AG26">
        <v>8.9999999999999993E-3</v>
      </c>
    </row>
    <row r="27" spans="1:35" x14ac:dyDescent="0.25">
      <c r="A27" t="s">
        <v>1448</v>
      </c>
      <c r="C27" t="s">
        <v>1449</v>
      </c>
      <c r="D27" t="s">
        <v>1578</v>
      </c>
      <c r="E27" t="s">
        <v>1579</v>
      </c>
      <c r="F27" t="s">
        <v>1365</v>
      </c>
      <c r="G27">
        <v>476.23001099999999</v>
      </c>
      <c r="H27">
        <v>480.27041600000001</v>
      </c>
      <c r="I27">
        <v>475.83401500000002</v>
      </c>
      <c r="J27">
        <v>474.002838</v>
      </c>
      <c r="K27">
        <v>472.61517300000003</v>
      </c>
      <c r="L27">
        <v>471.98049900000001</v>
      </c>
      <c r="M27">
        <v>472.31189000000001</v>
      </c>
      <c r="N27">
        <v>475.85318000000001</v>
      </c>
      <c r="O27">
        <v>481.87759399999999</v>
      </c>
      <c r="P27">
        <v>487.47125199999999</v>
      </c>
      <c r="Q27">
        <v>492.833282</v>
      </c>
      <c r="R27">
        <v>498.18185399999999</v>
      </c>
      <c r="S27">
        <v>505.10186800000002</v>
      </c>
      <c r="T27">
        <v>512.15087900000003</v>
      </c>
      <c r="U27">
        <v>518.91290300000003</v>
      </c>
      <c r="V27">
        <v>526.785706</v>
      </c>
      <c r="W27">
        <v>536.14111300000002</v>
      </c>
      <c r="X27">
        <v>546.77819799999997</v>
      </c>
      <c r="Y27">
        <v>558.09771699999999</v>
      </c>
      <c r="Z27">
        <v>570.07965100000001</v>
      </c>
      <c r="AA27">
        <v>582.72027600000001</v>
      </c>
      <c r="AB27">
        <v>596.48150599999997</v>
      </c>
      <c r="AC27">
        <v>610.55932600000006</v>
      </c>
      <c r="AD27">
        <v>623.37823500000002</v>
      </c>
      <c r="AE27">
        <v>637.102844</v>
      </c>
      <c r="AF27">
        <v>651.50915499999996</v>
      </c>
      <c r="AG27">
        <v>1.2999999999999999E-2</v>
      </c>
    </row>
    <row r="28" spans="1:35" x14ac:dyDescent="0.25">
      <c r="A28" t="s">
        <v>1452</v>
      </c>
      <c r="C28" t="s">
        <v>1453</v>
      </c>
      <c r="D28" t="s">
        <v>1580</v>
      </c>
      <c r="E28" t="s">
        <v>1581</v>
      </c>
      <c r="F28" t="s">
        <v>1365</v>
      </c>
      <c r="G28">
        <v>812.46875</v>
      </c>
      <c r="H28">
        <v>815.59912099999997</v>
      </c>
      <c r="I28">
        <v>814.62957800000004</v>
      </c>
      <c r="J28">
        <v>812.44067399999994</v>
      </c>
      <c r="K28">
        <v>805.56982400000004</v>
      </c>
      <c r="L28">
        <v>801.77545199999997</v>
      </c>
      <c r="M28">
        <v>797.08850099999995</v>
      </c>
      <c r="N28">
        <v>795.29705799999999</v>
      </c>
      <c r="O28">
        <v>793.84899900000005</v>
      </c>
      <c r="P28">
        <v>794.52423099999999</v>
      </c>
      <c r="Q28">
        <v>795.75140399999998</v>
      </c>
      <c r="R28">
        <v>793.120361</v>
      </c>
      <c r="S28">
        <v>787.339966</v>
      </c>
      <c r="T28">
        <v>781.71319600000004</v>
      </c>
      <c r="U28">
        <v>778.870544</v>
      </c>
      <c r="V28">
        <v>777.97796600000004</v>
      </c>
      <c r="W28">
        <v>779.20483400000001</v>
      </c>
      <c r="X28">
        <v>777.89733899999999</v>
      </c>
      <c r="Y28">
        <v>774.04760699999997</v>
      </c>
      <c r="Z28">
        <v>769.80383300000005</v>
      </c>
      <c r="AA28">
        <v>765.90612799999997</v>
      </c>
      <c r="AB28">
        <v>766.34454300000004</v>
      </c>
      <c r="AC28">
        <v>767.62951699999996</v>
      </c>
      <c r="AD28">
        <v>764.871216</v>
      </c>
      <c r="AE28">
        <v>763.11071800000002</v>
      </c>
      <c r="AF28">
        <v>762.698486</v>
      </c>
      <c r="AG28">
        <v>-3.0000000000000001E-3</v>
      </c>
    </row>
    <row r="29" spans="1:35" x14ac:dyDescent="0.25">
      <c r="A29" t="s">
        <v>1456</v>
      </c>
      <c r="B29" t="s">
        <v>1457</v>
      </c>
      <c r="C29" t="s">
        <v>1458</v>
      </c>
      <c r="D29" t="s">
        <v>1582</v>
      </c>
      <c r="E29" t="s">
        <v>1583</v>
      </c>
      <c r="F29" t="s">
        <v>1365</v>
      </c>
      <c r="G29">
        <v>774.53997800000002</v>
      </c>
      <c r="H29">
        <v>777.53735400000005</v>
      </c>
      <c r="I29">
        <v>776.06774900000005</v>
      </c>
      <c r="J29">
        <v>773.38439900000003</v>
      </c>
      <c r="K29">
        <v>766.23870799999997</v>
      </c>
      <c r="L29">
        <v>762.01086399999997</v>
      </c>
      <c r="M29">
        <v>756.96893299999999</v>
      </c>
      <c r="N29">
        <v>754.99780299999998</v>
      </c>
      <c r="O29">
        <v>753.45190400000001</v>
      </c>
      <c r="P29">
        <v>754.00939900000003</v>
      </c>
      <c r="Q29">
        <v>755.11730999999997</v>
      </c>
      <c r="R29">
        <v>752.42364499999996</v>
      </c>
      <c r="S29">
        <v>746.49102800000003</v>
      </c>
      <c r="T29">
        <v>740.76800500000002</v>
      </c>
      <c r="U29">
        <v>737.8125</v>
      </c>
      <c r="V29">
        <v>736.70519999999999</v>
      </c>
      <c r="W29">
        <v>737.79656999999997</v>
      </c>
      <c r="X29">
        <v>736.50988800000005</v>
      </c>
      <c r="Y29">
        <v>732.66778599999998</v>
      </c>
      <c r="Z29">
        <v>728.45471199999997</v>
      </c>
      <c r="AA29">
        <v>724.67083700000001</v>
      </c>
      <c r="AB29">
        <v>725.17279099999996</v>
      </c>
      <c r="AC29">
        <v>726.47796600000004</v>
      </c>
      <c r="AD29">
        <v>723.81841999999995</v>
      </c>
      <c r="AE29">
        <v>722.17980999999997</v>
      </c>
      <c r="AF29">
        <v>721.85510299999999</v>
      </c>
      <c r="AG29">
        <v>-3.0000000000000001E-3</v>
      </c>
    </row>
    <row r="30" spans="1:35" x14ac:dyDescent="0.25">
      <c r="A30" t="s">
        <v>1461</v>
      </c>
      <c r="B30" t="s">
        <v>1462</v>
      </c>
      <c r="C30" t="s">
        <v>1463</v>
      </c>
      <c r="D30" t="s">
        <v>1584</v>
      </c>
      <c r="E30" t="s">
        <v>1585</v>
      </c>
      <c r="F30" t="s">
        <v>1365</v>
      </c>
      <c r="G30">
        <v>37.928801999999997</v>
      </c>
      <c r="H30">
        <v>38.061751999999998</v>
      </c>
      <c r="I30">
        <v>38.561805999999997</v>
      </c>
      <c r="J30">
        <v>39.056305000000002</v>
      </c>
      <c r="K30">
        <v>39.331111999999997</v>
      </c>
      <c r="L30">
        <v>39.764567999999997</v>
      </c>
      <c r="M30">
        <v>40.11956</v>
      </c>
      <c r="N30">
        <v>40.299236000000001</v>
      </c>
      <c r="O30">
        <v>40.397125000000003</v>
      </c>
      <c r="P30">
        <v>40.514839000000002</v>
      </c>
      <c r="Q30">
        <v>40.634067999999999</v>
      </c>
      <c r="R30">
        <v>40.696747000000002</v>
      </c>
      <c r="S30">
        <v>40.848927000000003</v>
      </c>
      <c r="T30">
        <v>40.945205999999999</v>
      </c>
      <c r="U30">
        <v>41.058052000000004</v>
      </c>
      <c r="V30">
        <v>41.272781000000002</v>
      </c>
      <c r="W30">
        <v>41.408282999999997</v>
      </c>
      <c r="X30">
        <v>41.387431999999997</v>
      </c>
      <c r="Y30">
        <v>41.379840999999999</v>
      </c>
      <c r="Z30">
        <v>41.349102000000002</v>
      </c>
      <c r="AA30">
        <v>41.235301999999997</v>
      </c>
      <c r="AB30">
        <v>41.171729999999997</v>
      </c>
      <c r="AC30">
        <v>41.151542999999997</v>
      </c>
      <c r="AD30">
        <v>41.052802999999997</v>
      </c>
      <c r="AE30">
        <v>40.930908000000002</v>
      </c>
      <c r="AF30">
        <v>40.843361000000002</v>
      </c>
      <c r="AG30">
        <v>3.0000000000000001E-3</v>
      </c>
    </row>
    <row r="31" spans="1:35" x14ac:dyDescent="0.25">
      <c r="A31" t="s">
        <v>1466</v>
      </c>
      <c r="B31" t="s">
        <v>1467</v>
      </c>
      <c r="C31" t="s">
        <v>1468</v>
      </c>
      <c r="D31" t="s">
        <v>1586</v>
      </c>
      <c r="E31" t="s">
        <v>1587</v>
      </c>
      <c r="F31" t="s">
        <v>1365</v>
      </c>
      <c r="G31">
        <v>216.092499</v>
      </c>
      <c r="H31">
        <v>214.823395</v>
      </c>
      <c r="I31">
        <v>219.677505</v>
      </c>
      <c r="J31">
        <v>222.33085600000001</v>
      </c>
      <c r="K31">
        <v>223.295807</v>
      </c>
      <c r="L31">
        <v>225.64897199999999</v>
      </c>
      <c r="M31">
        <v>228.33862300000001</v>
      </c>
      <c r="N31">
        <v>229.98912000000001</v>
      </c>
      <c r="O31">
        <v>231.525879</v>
      </c>
      <c r="P31">
        <v>232.55505400000001</v>
      </c>
      <c r="Q31">
        <v>234.36923200000001</v>
      </c>
      <c r="R31">
        <v>237.07929999999999</v>
      </c>
      <c r="S31">
        <v>240.29484600000001</v>
      </c>
      <c r="T31">
        <v>243.169006</v>
      </c>
      <c r="U31">
        <v>245.56535299999999</v>
      </c>
      <c r="V31">
        <v>248.44892899999999</v>
      </c>
      <c r="W31">
        <v>251.36265599999999</v>
      </c>
      <c r="X31">
        <v>254.492828</v>
      </c>
      <c r="Y31">
        <v>257.41253699999999</v>
      </c>
      <c r="Z31">
        <v>260.39547700000003</v>
      </c>
      <c r="AA31">
        <v>263.66223100000002</v>
      </c>
      <c r="AB31">
        <v>266.49383499999999</v>
      </c>
      <c r="AC31">
        <v>269.102417</v>
      </c>
      <c r="AD31">
        <v>271.19576999999998</v>
      </c>
      <c r="AE31">
        <v>274.12976099999997</v>
      </c>
      <c r="AF31">
        <v>277.056915</v>
      </c>
      <c r="AG31">
        <v>0.01</v>
      </c>
    </row>
    <row r="32" spans="1:35" x14ac:dyDescent="0.25">
      <c r="A32" t="s">
        <v>1471</v>
      </c>
      <c r="C32" t="s">
        <v>1472</v>
      </c>
      <c r="D32" t="s">
        <v>1588</v>
      </c>
      <c r="E32" t="s">
        <v>1589</v>
      </c>
      <c r="F32" t="s">
        <v>1365</v>
      </c>
      <c r="G32">
        <v>111.71762099999999</v>
      </c>
      <c r="H32">
        <v>110.275085</v>
      </c>
      <c r="I32">
        <v>108.786674</v>
      </c>
      <c r="J32">
        <v>108.493782</v>
      </c>
      <c r="K32">
        <v>108.214882</v>
      </c>
      <c r="L32">
        <v>108.480453</v>
      </c>
      <c r="M32">
        <v>109.168541</v>
      </c>
      <c r="N32">
        <v>109.853004</v>
      </c>
      <c r="O32">
        <v>110.825157</v>
      </c>
      <c r="P32">
        <v>111.884613</v>
      </c>
      <c r="Q32">
        <v>112.972191</v>
      </c>
      <c r="R32">
        <v>114.100296</v>
      </c>
      <c r="S32">
        <v>115.13226299999999</v>
      </c>
      <c r="T32">
        <v>116.23027</v>
      </c>
      <c r="U32">
        <v>117.294624</v>
      </c>
      <c r="V32">
        <v>117.994339</v>
      </c>
      <c r="W32">
        <v>118.39089199999999</v>
      </c>
      <c r="X32">
        <v>118.60862</v>
      </c>
      <c r="Y32">
        <v>118.440742</v>
      </c>
      <c r="Z32">
        <v>118.101471</v>
      </c>
      <c r="AA32">
        <v>118.495834</v>
      </c>
      <c r="AB32">
        <v>119.35684999999999</v>
      </c>
      <c r="AC32">
        <v>120.240875</v>
      </c>
      <c r="AD32">
        <v>121.143654</v>
      </c>
      <c r="AE32">
        <v>122.01752500000001</v>
      </c>
      <c r="AF32">
        <v>122.991974</v>
      </c>
      <c r="AG32">
        <v>4.0000000000000001E-3</v>
      </c>
    </row>
    <row r="33" spans="1:33" x14ac:dyDescent="0.25">
      <c r="A33" t="s">
        <v>1475</v>
      </c>
      <c r="B33" t="s">
        <v>1476</v>
      </c>
      <c r="C33" t="s">
        <v>1477</v>
      </c>
      <c r="D33" t="s">
        <v>1590</v>
      </c>
      <c r="E33" t="s">
        <v>1591</v>
      </c>
      <c r="F33" t="s">
        <v>1365</v>
      </c>
      <c r="G33">
        <v>21.317433999999999</v>
      </c>
      <c r="H33">
        <v>21.330378</v>
      </c>
      <c r="I33">
        <v>21.382898000000001</v>
      </c>
      <c r="J33">
        <v>21.358000000000001</v>
      </c>
      <c r="K33">
        <v>21.324632999999999</v>
      </c>
      <c r="L33">
        <v>21.333777999999999</v>
      </c>
      <c r="M33">
        <v>21.370118999999999</v>
      </c>
      <c r="N33">
        <v>21.456921000000001</v>
      </c>
      <c r="O33">
        <v>21.599215000000001</v>
      </c>
      <c r="P33">
        <v>21.778683000000001</v>
      </c>
      <c r="Q33">
        <v>22.004484000000001</v>
      </c>
      <c r="R33">
        <v>22.229578</v>
      </c>
      <c r="S33">
        <v>22.444936999999999</v>
      </c>
      <c r="T33">
        <v>22.672058</v>
      </c>
      <c r="U33">
        <v>22.897127000000001</v>
      </c>
      <c r="V33">
        <v>23.127673999999999</v>
      </c>
      <c r="W33">
        <v>23.370462</v>
      </c>
      <c r="X33">
        <v>23.622247999999999</v>
      </c>
      <c r="Y33">
        <v>23.883127000000002</v>
      </c>
      <c r="Z33">
        <v>24.140699000000001</v>
      </c>
      <c r="AA33">
        <v>24.406714999999998</v>
      </c>
      <c r="AB33">
        <v>24.676950000000001</v>
      </c>
      <c r="AC33">
        <v>24.947620000000001</v>
      </c>
      <c r="AD33">
        <v>25.221364999999999</v>
      </c>
      <c r="AE33">
        <v>25.484995000000001</v>
      </c>
      <c r="AF33">
        <v>25.749542000000002</v>
      </c>
      <c r="AG33">
        <v>8.0000000000000002E-3</v>
      </c>
    </row>
    <row r="34" spans="1:33" x14ac:dyDescent="0.25">
      <c r="A34" t="s">
        <v>1480</v>
      </c>
      <c r="B34" t="s">
        <v>1481</v>
      </c>
      <c r="C34" t="s">
        <v>1482</v>
      </c>
      <c r="D34" t="s">
        <v>1592</v>
      </c>
      <c r="E34" t="s">
        <v>1593</v>
      </c>
      <c r="F34" t="s">
        <v>1365</v>
      </c>
      <c r="G34">
        <v>9.3360269999999996</v>
      </c>
      <c r="H34">
        <v>9.1387490000000007</v>
      </c>
      <c r="I34">
        <v>8.9767869999999998</v>
      </c>
      <c r="J34">
        <v>8.8997440000000001</v>
      </c>
      <c r="K34">
        <v>8.8583759999999998</v>
      </c>
      <c r="L34">
        <v>8.879111</v>
      </c>
      <c r="M34">
        <v>8.9399709999999999</v>
      </c>
      <c r="N34">
        <v>9.02407</v>
      </c>
      <c r="O34">
        <v>9.1352890000000002</v>
      </c>
      <c r="P34">
        <v>9.2585529999999991</v>
      </c>
      <c r="Q34">
        <v>9.3897539999999999</v>
      </c>
      <c r="R34">
        <v>9.524654</v>
      </c>
      <c r="S34">
        <v>9.6574539999999995</v>
      </c>
      <c r="T34">
        <v>9.793234</v>
      </c>
      <c r="U34">
        <v>9.925656</v>
      </c>
      <c r="V34">
        <v>10.036542000000001</v>
      </c>
      <c r="W34">
        <v>10.121435</v>
      </c>
      <c r="X34">
        <v>10.178687</v>
      </c>
      <c r="Y34">
        <v>10.198941</v>
      </c>
      <c r="Z34">
        <v>10.195506999999999</v>
      </c>
      <c r="AA34">
        <v>10.222628</v>
      </c>
      <c r="AB34">
        <v>10.289026</v>
      </c>
      <c r="AC34">
        <v>10.381219</v>
      </c>
      <c r="AD34">
        <v>10.489734</v>
      </c>
      <c r="AE34">
        <v>10.605895</v>
      </c>
      <c r="AF34">
        <v>10.7287</v>
      </c>
      <c r="AG34">
        <v>6.0000000000000001E-3</v>
      </c>
    </row>
    <row r="35" spans="1:33" x14ac:dyDescent="0.25">
      <c r="A35" t="s">
        <v>1485</v>
      </c>
      <c r="B35" t="s">
        <v>1481</v>
      </c>
      <c r="C35" t="s">
        <v>1486</v>
      </c>
      <c r="D35" t="s">
        <v>1594</v>
      </c>
      <c r="E35" t="s">
        <v>1595</v>
      </c>
      <c r="F35" t="s">
        <v>1365</v>
      </c>
      <c r="G35">
        <v>81.064155999999997</v>
      </c>
      <c r="H35">
        <v>79.805961999999994</v>
      </c>
      <c r="I35">
        <v>78.426986999999997</v>
      </c>
      <c r="J35">
        <v>78.236037999999994</v>
      </c>
      <c r="K35">
        <v>78.031875999999997</v>
      </c>
      <c r="L35">
        <v>78.267562999999996</v>
      </c>
      <c r="M35">
        <v>78.858452</v>
      </c>
      <c r="N35">
        <v>79.372017</v>
      </c>
      <c r="O35">
        <v>80.090652000000006</v>
      </c>
      <c r="P35">
        <v>80.847381999999996</v>
      </c>
      <c r="Q35">
        <v>81.577950000000001</v>
      </c>
      <c r="R35">
        <v>82.346069</v>
      </c>
      <c r="S35">
        <v>83.029869000000005</v>
      </c>
      <c r="T35">
        <v>83.764977000000002</v>
      </c>
      <c r="U35">
        <v>84.47184</v>
      </c>
      <c r="V35">
        <v>84.830123999999998</v>
      </c>
      <c r="W35">
        <v>84.898994000000002</v>
      </c>
      <c r="X35">
        <v>84.807686000000004</v>
      </c>
      <c r="Y35">
        <v>84.358672999999996</v>
      </c>
      <c r="Z35">
        <v>83.765265999999997</v>
      </c>
      <c r="AA35">
        <v>83.866485999999995</v>
      </c>
      <c r="AB35">
        <v>84.390877000000003</v>
      </c>
      <c r="AC35">
        <v>84.912032999999994</v>
      </c>
      <c r="AD35">
        <v>85.432556000000005</v>
      </c>
      <c r="AE35">
        <v>85.926636000000002</v>
      </c>
      <c r="AF35">
        <v>86.513733000000002</v>
      </c>
      <c r="AG35">
        <v>3.0000000000000001E-3</v>
      </c>
    </row>
    <row r="36" spans="1:33" x14ac:dyDescent="0.25">
      <c r="A36" t="s">
        <v>1489</v>
      </c>
      <c r="C36" t="s">
        <v>1490</v>
      </c>
      <c r="D36" t="s">
        <v>1596</v>
      </c>
      <c r="E36" t="s">
        <v>1597</v>
      </c>
      <c r="F36" t="s">
        <v>1365</v>
      </c>
      <c r="G36">
        <v>246.75572199999999</v>
      </c>
      <c r="H36">
        <v>250.08715799999999</v>
      </c>
      <c r="I36">
        <v>255.74015800000001</v>
      </c>
      <c r="J36">
        <v>255.59541300000001</v>
      </c>
      <c r="K36">
        <v>257.12191799999999</v>
      </c>
      <c r="L36">
        <v>260.64471400000002</v>
      </c>
      <c r="M36">
        <v>263.586365</v>
      </c>
      <c r="N36">
        <v>267.570404</v>
      </c>
      <c r="O36">
        <v>271.298248</v>
      </c>
      <c r="P36">
        <v>273.56982399999998</v>
      </c>
      <c r="Q36">
        <v>276.890106</v>
      </c>
      <c r="R36">
        <v>279.220032</v>
      </c>
      <c r="S36">
        <v>281.90106200000002</v>
      </c>
      <c r="T36">
        <v>284.14254799999998</v>
      </c>
      <c r="U36">
        <v>286.10418700000002</v>
      </c>
      <c r="V36">
        <v>289.02960200000001</v>
      </c>
      <c r="W36">
        <v>292.31088299999999</v>
      </c>
      <c r="X36">
        <v>295.61889600000001</v>
      </c>
      <c r="Y36">
        <v>298.47378500000002</v>
      </c>
      <c r="Z36">
        <v>301.26617399999998</v>
      </c>
      <c r="AA36">
        <v>305.13906900000001</v>
      </c>
      <c r="AB36">
        <v>308.23111</v>
      </c>
      <c r="AC36">
        <v>311.82583599999998</v>
      </c>
      <c r="AD36">
        <v>314.93536399999999</v>
      </c>
      <c r="AE36">
        <v>316.969177</v>
      </c>
      <c r="AF36">
        <v>319.74111900000003</v>
      </c>
      <c r="AG36">
        <v>0.01</v>
      </c>
    </row>
    <row r="37" spans="1:33" x14ac:dyDescent="0.25">
      <c r="A37" t="s">
        <v>1493</v>
      </c>
      <c r="B37" t="s">
        <v>1462</v>
      </c>
      <c r="C37" t="s">
        <v>1494</v>
      </c>
      <c r="D37" t="s">
        <v>1598</v>
      </c>
      <c r="E37" t="s">
        <v>1599</v>
      </c>
      <c r="F37" t="s">
        <v>1365</v>
      </c>
      <c r="G37">
        <v>133.185272</v>
      </c>
      <c r="H37">
        <v>136.571045</v>
      </c>
      <c r="I37">
        <v>141.48924299999999</v>
      </c>
      <c r="J37">
        <v>140.72695899999999</v>
      </c>
      <c r="K37">
        <v>141.82077000000001</v>
      </c>
      <c r="L37">
        <v>144.79960600000001</v>
      </c>
      <c r="M37">
        <v>147.15261799999999</v>
      </c>
      <c r="N37">
        <v>150.40751599999999</v>
      </c>
      <c r="O37">
        <v>153.237595</v>
      </c>
      <c r="P37">
        <v>154.47895800000001</v>
      </c>
      <c r="Q37">
        <v>156.59899899999999</v>
      </c>
      <c r="R37">
        <v>157.66630599999999</v>
      </c>
      <c r="S37">
        <v>159.091263</v>
      </c>
      <c r="T37">
        <v>160.069885</v>
      </c>
      <c r="U37">
        <v>160.77773999999999</v>
      </c>
      <c r="V37">
        <v>162.43937700000001</v>
      </c>
      <c r="W37">
        <v>164.43351699999999</v>
      </c>
      <c r="X37">
        <v>166.44512900000001</v>
      </c>
      <c r="Y37">
        <v>168.00439499999999</v>
      </c>
      <c r="Z37">
        <v>169.520996</v>
      </c>
      <c r="AA37">
        <v>172.14063999999999</v>
      </c>
      <c r="AB37">
        <v>174.01265000000001</v>
      </c>
      <c r="AC37">
        <v>176.44012499999999</v>
      </c>
      <c r="AD37">
        <v>178.45138499999999</v>
      </c>
      <c r="AE37">
        <v>179.463089</v>
      </c>
      <c r="AF37">
        <v>181.260727</v>
      </c>
      <c r="AG37">
        <v>1.2E-2</v>
      </c>
    </row>
    <row r="38" spans="1:33" x14ac:dyDescent="0.25">
      <c r="A38" t="s">
        <v>1497</v>
      </c>
      <c r="B38" t="s">
        <v>1498</v>
      </c>
      <c r="C38" t="s">
        <v>1499</v>
      </c>
      <c r="D38" t="s">
        <v>1600</v>
      </c>
      <c r="E38" t="s">
        <v>1601</v>
      </c>
      <c r="F38" t="s">
        <v>1365</v>
      </c>
      <c r="G38">
        <v>34.303463000000001</v>
      </c>
      <c r="H38">
        <v>34.704796000000002</v>
      </c>
      <c r="I38">
        <v>35.137936000000003</v>
      </c>
      <c r="J38">
        <v>35.538319000000001</v>
      </c>
      <c r="K38">
        <v>35.894688000000002</v>
      </c>
      <c r="L38">
        <v>36.223056999999997</v>
      </c>
      <c r="M38">
        <v>36.590854999999998</v>
      </c>
      <c r="N38">
        <v>37.023113000000002</v>
      </c>
      <c r="O38">
        <v>37.529774000000003</v>
      </c>
      <c r="P38">
        <v>38.114296000000003</v>
      </c>
      <c r="Q38">
        <v>38.792518999999999</v>
      </c>
      <c r="R38">
        <v>39.503158999999997</v>
      </c>
      <c r="S38">
        <v>40.215851000000001</v>
      </c>
      <c r="T38">
        <v>40.931010999999998</v>
      </c>
      <c r="U38">
        <v>41.635021000000002</v>
      </c>
      <c r="V38">
        <v>42.331553999999997</v>
      </c>
      <c r="W38">
        <v>43.032451999999999</v>
      </c>
      <c r="X38">
        <v>43.732039999999998</v>
      </c>
      <c r="Y38">
        <v>44.414870999999998</v>
      </c>
      <c r="Z38">
        <v>45.054203000000001</v>
      </c>
      <c r="AA38">
        <v>45.637836</v>
      </c>
      <c r="AB38">
        <v>46.167350999999996</v>
      </c>
      <c r="AC38">
        <v>46.650509</v>
      </c>
      <c r="AD38">
        <v>47.085503000000003</v>
      </c>
      <c r="AE38">
        <v>47.473671000000003</v>
      </c>
      <c r="AF38">
        <v>47.835383999999998</v>
      </c>
      <c r="AG38">
        <v>1.2999999999999999E-2</v>
      </c>
    </row>
    <row r="39" spans="1:33" x14ac:dyDescent="0.25">
      <c r="A39" t="s">
        <v>1502</v>
      </c>
      <c r="B39" t="s">
        <v>1498</v>
      </c>
      <c r="C39" t="s">
        <v>1503</v>
      </c>
      <c r="D39" t="s">
        <v>1602</v>
      </c>
      <c r="E39" t="s">
        <v>1603</v>
      </c>
      <c r="F39" t="s">
        <v>1365</v>
      </c>
      <c r="G39">
        <v>79.266982999999996</v>
      </c>
      <c r="H39">
        <v>78.811301999999998</v>
      </c>
      <c r="I39">
        <v>79.112976000000003</v>
      </c>
      <c r="J39">
        <v>79.330146999999997</v>
      </c>
      <c r="K39">
        <v>79.406470999999996</v>
      </c>
      <c r="L39">
        <v>79.622046999999995</v>
      </c>
      <c r="M39">
        <v>79.842895999999996</v>
      </c>
      <c r="N39">
        <v>80.139786000000001</v>
      </c>
      <c r="O39">
        <v>80.530861000000002</v>
      </c>
      <c r="P39">
        <v>80.976562000000001</v>
      </c>
      <c r="Q39">
        <v>81.498572999999993</v>
      </c>
      <c r="R39">
        <v>82.050551999999996</v>
      </c>
      <c r="S39">
        <v>82.593947999999997</v>
      </c>
      <c r="T39">
        <v>83.141647000000006</v>
      </c>
      <c r="U39">
        <v>83.691399000000004</v>
      </c>
      <c r="V39">
        <v>84.258674999999997</v>
      </c>
      <c r="W39">
        <v>84.844893999999996</v>
      </c>
      <c r="X39">
        <v>85.441742000000005</v>
      </c>
      <c r="Y39">
        <v>86.054519999999997</v>
      </c>
      <c r="Z39">
        <v>86.690978999999999</v>
      </c>
      <c r="AA39">
        <v>87.360611000000006</v>
      </c>
      <c r="AB39">
        <v>88.051102</v>
      </c>
      <c r="AC39">
        <v>88.735175999999996</v>
      </c>
      <c r="AD39">
        <v>89.398453000000003</v>
      </c>
      <c r="AE39">
        <v>90.032409999999999</v>
      </c>
      <c r="AF39">
        <v>90.644988999999995</v>
      </c>
      <c r="AG39">
        <v>5.0000000000000001E-3</v>
      </c>
    </row>
    <row r="40" spans="1:33" x14ac:dyDescent="0.25">
      <c r="A40" t="s">
        <v>1506</v>
      </c>
      <c r="B40" t="s">
        <v>1507</v>
      </c>
      <c r="C40" t="s">
        <v>1508</v>
      </c>
      <c r="D40" t="s">
        <v>1604</v>
      </c>
      <c r="E40" t="s">
        <v>1605</v>
      </c>
      <c r="F40" t="s">
        <v>1365</v>
      </c>
      <c r="G40">
        <v>310.26748700000002</v>
      </c>
      <c r="H40">
        <v>316.87704500000001</v>
      </c>
      <c r="I40">
        <v>322.38943499999999</v>
      </c>
      <c r="J40">
        <v>319.58441199999999</v>
      </c>
      <c r="K40">
        <v>318.39221199999997</v>
      </c>
      <c r="L40">
        <v>318.325897</v>
      </c>
      <c r="M40">
        <v>318.72213699999998</v>
      </c>
      <c r="N40">
        <v>321.75366200000002</v>
      </c>
      <c r="O40">
        <v>324.08569299999999</v>
      </c>
      <c r="P40">
        <v>328.12899800000002</v>
      </c>
      <c r="Q40">
        <v>332.00430299999999</v>
      </c>
      <c r="R40">
        <v>334.63113399999997</v>
      </c>
      <c r="S40">
        <v>337.58502199999998</v>
      </c>
      <c r="T40">
        <v>341.105255</v>
      </c>
      <c r="U40">
        <v>343.53482100000002</v>
      </c>
      <c r="V40">
        <v>346.93414300000001</v>
      </c>
      <c r="W40">
        <v>350.07003800000001</v>
      </c>
      <c r="X40">
        <v>353.55838</v>
      </c>
      <c r="Y40">
        <v>357.13855000000001</v>
      </c>
      <c r="Z40">
        <v>362.21350100000001</v>
      </c>
      <c r="AA40">
        <v>367.135986</v>
      </c>
      <c r="AB40">
        <v>371.484283</v>
      </c>
      <c r="AC40">
        <v>373.76889</v>
      </c>
      <c r="AD40">
        <v>375.089203</v>
      </c>
      <c r="AE40">
        <v>379.12100199999998</v>
      </c>
      <c r="AF40">
        <v>382.781158</v>
      </c>
      <c r="AG40">
        <v>8.0000000000000002E-3</v>
      </c>
    </row>
    <row r="41" spans="1:33" x14ac:dyDescent="0.25">
      <c r="A41" t="s">
        <v>1511</v>
      </c>
      <c r="B41" t="s">
        <v>1512</v>
      </c>
      <c r="C41" t="s">
        <v>1513</v>
      </c>
      <c r="D41" t="s">
        <v>1606</v>
      </c>
      <c r="E41" t="s">
        <v>1607</v>
      </c>
      <c r="F41" t="s">
        <v>1365</v>
      </c>
      <c r="G41">
        <v>305.26001000000002</v>
      </c>
      <c r="H41">
        <v>299.01385499999998</v>
      </c>
      <c r="I41">
        <v>306.222961</v>
      </c>
      <c r="J41">
        <v>311.98895299999998</v>
      </c>
      <c r="K41">
        <v>318.05755599999998</v>
      </c>
      <c r="L41">
        <v>322.15585299999998</v>
      </c>
      <c r="M41">
        <v>328.44146699999999</v>
      </c>
      <c r="N41">
        <v>333.77563500000002</v>
      </c>
      <c r="O41">
        <v>334.120361</v>
      </c>
      <c r="P41">
        <v>336.71984900000001</v>
      </c>
      <c r="Q41">
        <v>341.104828</v>
      </c>
      <c r="R41">
        <v>344.25717200000003</v>
      </c>
      <c r="S41">
        <v>346.36883499999999</v>
      </c>
      <c r="T41">
        <v>347.21533199999999</v>
      </c>
      <c r="U41">
        <v>347.323059</v>
      </c>
      <c r="V41">
        <v>348.83163500000001</v>
      </c>
      <c r="W41">
        <v>350.16537499999998</v>
      </c>
      <c r="X41">
        <v>351.42816199999999</v>
      </c>
      <c r="Y41">
        <v>352.080353</v>
      </c>
      <c r="Z41">
        <v>352.59930400000002</v>
      </c>
      <c r="AA41">
        <v>353.70800800000001</v>
      </c>
      <c r="AB41">
        <v>355.37060500000001</v>
      </c>
      <c r="AC41">
        <v>357.26348899999999</v>
      </c>
      <c r="AD41">
        <v>358.30630500000001</v>
      </c>
      <c r="AE41">
        <v>358.59338400000001</v>
      </c>
      <c r="AF41">
        <v>358.35906999999997</v>
      </c>
      <c r="AG41">
        <v>6.0000000000000001E-3</v>
      </c>
    </row>
    <row r="42" spans="1:33" x14ac:dyDescent="0.25">
      <c r="A42" t="s">
        <v>1516</v>
      </c>
      <c r="B42" t="s">
        <v>1517</v>
      </c>
      <c r="C42" t="s">
        <v>1518</v>
      </c>
      <c r="D42" t="s">
        <v>1608</v>
      </c>
      <c r="E42" t="s">
        <v>1609</v>
      </c>
      <c r="F42" t="s">
        <v>1365</v>
      </c>
      <c r="G42">
        <v>411.20251500000001</v>
      </c>
      <c r="H42">
        <v>415.516998</v>
      </c>
      <c r="I42">
        <v>431.08682299999998</v>
      </c>
      <c r="J42">
        <v>441.41235399999999</v>
      </c>
      <c r="K42">
        <v>452.649292</v>
      </c>
      <c r="L42">
        <v>461.90463299999999</v>
      </c>
      <c r="M42">
        <v>469.32000699999998</v>
      </c>
      <c r="N42">
        <v>478.32998700000002</v>
      </c>
      <c r="O42">
        <v>484.94519000000003</v>
      </c>
      <c r="P42">
        <v>493.50338699999998</v>
      </c>
      <c r="Q42">
        <v>503.60900900000001</v>
      </c>
      <c r="R42">
        <v>513.61682099999996</v>
      </c>
      <c r="S42">
        <v>524.40850799999998</v>
      </c>
      <c r="T42">
        <v>535.19140600000003</v>
      </c>
      <c r="U42">
        <v>546.87023899999997</v>
      </c>
      <c r="V42">
        <v>559.02667199999996</v>
      </c>
      <c r="W42">
        <v>570.98046899999997</v>
      </c>
      <c r="X42">
        <v>583.86047399999995</v>
      </c>
      <c r="Y42">
        <v>597.45812999999998</v>
      </c>
      <c r="Z42">
        <v>612.49389599999995</v>
      </c>
      <c r="AA42">
        <v>628.37768600000004</v>
      </c>
      <c r="AB42">
        <v>645.09313999999995</v>
      </c>
      <c r="AC42">
        <v>661.21069299999999</v>
      </c>
      <c r="AD42">
        <v>677.41119400000002</v>
      </c>
      <c r="AE42">
        <v>693.93957499999999</v>
      </c>
      <c r="AF42">
        <v>708.70208700000001</v>
      </c>
      <c r="AG42">
        <v>2.1999999999999999E-2</v>
      </c>
    </row>
    <row r="43" spans="1:33" x14ac:dyDescent="0.25">
      <c r="A43" t="s">
        <v>1521</v>
      </c>
      <c r="B43" t="s">
        <v>1522</v>
      </c>
      <c r="C43" t="s">
        <v>1523</v>
      </c>
      <c r="D43" t="s">
        <v>1610</v>
      </c>
      <c r="E43" t="s">
        <v>1611</v>
      </c>
      <c r="F43" t="s">
        <v>1365</v>
      </c>
      <c r="G43">
        <v>1002.35498</v>
      </c>
      <c r="H43">
        <v>1005.299988</v>
      </c>
      <c r="I43">
        <v>1068.974976</v>
      </c>
      <c r="J43">
        <v>1089.931763</v>
      </c>
      <c r="K43">
        <v>1107.2969969999999</v>
      </c>
      <c r="L43">
        <v>1125.723999</v>
      </c>
      <c r="M43">
        <v>1133.2687989999999</v>
      </c>
      <c r="N43">
        <v>1151.2687989999999</v>
      </c>
      <c r="O43">
        <v>1159.2282709999999</v>
      </c>
      <c r="P43">
        <v>1162.536987</v>
      </c>
      <c r="Q43">
        <v>1167.0085449999999</v>
      </c>
      <c r="R43">
        <v>1179.001953</v>
      </c>
      <c r="S43">
        <v>1203.2567140000001</v>
      </c>
      <c r="T43">
        <v>1225.7576899999999</v>
      </c>
      <c r="U43">
        <v>1248.6929929999999</v>
      </c>
      <c r="V43">
        <v>1269.942505</v>
      </c>
      <c r="W43">
        <v>1288.689453</v>
      </c>
      <c r="X43">
        <v>1307.558716</v>
      </c>
      <c r="Y43">
        <v>1324.182495</v>
      </c>
      <c r="Z43">
        <v>1341.2595209999999</v>
      </c>
      <c r="AA43">
        <v>1359.1829829999999</v>
      </c>
      <c r="AB43">
        <v>1376.2032469999999</v>
      </c>
      <c r="AC43">
        <v>1391.7977289999999</v>
      </c>
      <c r="AD43">
        <v>1407.7497559999999</v>
      </c>
      <c r="AE43">
        <v>1422.330811</v>
      </c>
      <c r="AF43">
        <v>1434.1357419999999</v>
      </c>
      <c r="AG43">
        <v>1.4E-2</v>
      </c>
    </row>
    <row r="44" spans="1:33" x14ac:dyDescent="0.25">
      <c r="A44" t="s">
        <v>1526</v>
      </c>
      <c r="B44" t="s">
        <v>1527</v>
      </c>
      <c r="C44" t="s">
        <v>1528</v>
      </c>
      <c r="D44" t="s">
        <v>1612</v>
      </c>
      <c r="E44" t="s">
        <v>1613</v>
      </c>
      <c r="F44" t="s">
        <v>1365</v>
      </c>
      <c r="G44">
        <v>118.297501</v>
      </c>
      <c r="H44">
        <v>116.73825100000001</v>
      </c>
      <c r="I44">
        <v>116.096672</v>
      </c>
      <c r="J44">
        <v>114.278603</v>
      </c>
      <c r="K44">
        <v>113.856224</v>
      </c>
      <c r="L44">
        <v>115.909378</v>
      </c>
      <c r="M44">
        <v>117.77842699999999</v>
      </c>
      <c r="N44">
        <v>119.758278</v>
      </c>
      <c r="O44">
        <v>120.41330000000001</v>
      </c>
      <c r="P44">
        <v>120.946648</v>
      </c>
      <c r="Q44">
        <v>122.242722</v>
      </c>
      <c r="R44">
        <v>123.168228</v>
      </c>
      <c r="S44">
        <v>124.023949</v>
      </c>
      <c r="T44">
        <v>124.646446</v>
      </c>
      <c r="U44">
        <v>125.239227</v>
      </c>
      <c r="V44">
        <v>126.064003</v>
      </c>
      <c r="W44">
        <v>126.777603</v>
      </c>
      <c r="X44">
        <v>127.612022</v>
      </c>
      <c r="Y44">
        <v>128.32377600000001</v>
      </c>
      <c r="Z44">
        <v>129.00889599999999</v>
      </c>
      <c r="AA44">
        <v>129.821594</v>
      </c>
      <c r="AB44">
        <v>130.85539199999999</v>
      </c>
      <c r="AC44">
        <v>131.88008099999999</v>
      </c>
      <c r="AD44">
        <v>132.77362099999999</v>
      </c>
      <c r="AE44">
        <v>133.500122</v>
      </c>
      <c r="AF44">
        <v>134.008026</v>
      </c>
      <c r="AG44">
        <v>5.0000000000000001E-3</v>
      </c>
    </row>
    <row r="45" spans="1:33" x14ac:dyDescent="0.25">
      <c r="A45" t="s">
        <v>1531</v>
      </c>
      <c r="B45" t="s">
        <v>1409</v>
      </c>
      <c r="C45" t="s">
        <v>1532</v>
      </c>
      <c r="D45" t="s">
        <v>1614</v>
      </c>
      <c r="E45" t="s">
        <v>1615</v>
      </c>
      <c r="F45" t="s">
        <v>1365</v>
      </c>
      <c r="G45">
        <v>144.907501</v>
      </c>
      <c r="H45">
        <v>145.35612499999999</v>
      </c>
      <c r="I45">
        <v>149.45869400000001</v>
      </c>
      <c r="J45">
        <v>152.859497</v>
      </c>
      <c r="K45">
        <v>155.880325</v>
      </c>
      <c r="L45">
        <v>159.69967700000001</v>
      </c>
      <c r="M45">
        <v>164.22250399999999</v>
      </c>
      <c r="N45">
        <v>165.365555</v>
      </c>
      <c r="O45">
        <v>164.929428</v>
      </c>
      <c r="P45">
        <v>163.96925400000001</v>
      </c>
      <c r="Q45">
        <v>163.580322</v>
      </c>
      <c r="R45">
        <v>164.353745</v>
      </c>
      <c r="S45">
        <v>165.49032600000001</v>
      </c>
      <c r="T45">
        <v>166.505325</v>
      </c>
      <c r="U45">
        <v>166.72779800000001</v>
      </c>
      <c r="V45">
        <v>167.80900600000001</v>
      </c>
      <c r="W45">
        <v>168.991028</v>
      </c>
      <c r="X45">
        <v>169.76718099999999</v>
      </c>
      <c r="Y45">
        <v>170.393799</v>
      </c>
      <c r="Z45">
        <v>171.00637800000001</v>
      </c>
      <c r="AA45">
        <v>171.547394</v>
      </c>
      <c r="AB45">
        <v>172.19407699999999</v>
      </c>
      <c r="AC45">
        <v>172.570618</v>
      </c>
      <c r="AD45">
        <v>172.60995500000001</v>
      </c>
      <c r="AE45">
        <v>174.438751</v>
      </c>
      <c r="AF45">
        <v>173.48642000000001</v>
      </c>
      <c r="AG45">
        <v>7.0000000000000001E-3</v>
      </c>
    </row>
    <row r="46" spans="1:33" x14ac:dyDescent="0.25">
      <c r="A46" t="s">
        <v>1535</v>
      </c>
      <c r="C46" t="s">
        <v>1536</v>
      </c>
      <c r="D46" t="s">
        <v>1616</v>
      </c>
      <c r="E46" t="s">
        <v>1617</v>
      </c>
      <c r="F46" t="s">
        <v>1365</v>
      </c>
      <c r="G46">
        <v>8703.1972659999992</v>
      </c>
      <c r="H46">
        <v>8752.5644530000009</v>
      </c>
      <c r="I46">
        <v>8860.0869139999995</v>
      </c>
      <c r="J46">
        <v>8925.2099610000005</v>
      </c>
      <c r="K46">
        <v>8996.9707030000009</v>
      </c>
      <c r="L46">
        <v>9096.0107420000004</v>
      </c>
      <c r="M46">
        <v>9180.3876949999994</v>
      </c>
      <c r="N46">
        <v>9280.90625</v>
      </c>
      <c r="O46">
        <v>9357.7587889999995</v>
      </c>
      <c r="P46">
        <v>9436.4335940000001</v>
      </c>
      <c r="Q46">
        <v>9520.1669920000004</v>
      </c>
      <c r="R46">
        <v>9604.296875</v>
      </c>
      <c r="S46">
        <v>9697.3642579999996</v>
      </c>
      <c r="T46">
        <v>9786.8837889999995</v>
      </c>
      <c r="U46">
        <v>9878.1230469999991</v>
      </c>
      <c r="V46">
        <v>9974.8261719999991</v>
      </c>
      <c r="W46">
        <v>10069.032227</v>
      </c>
      <c r="X46">
        <v>10166.395508</v>
      </c>
      <c r="Y46">
        <v>10253.317383</v>
      </c>
      <c r="Z46">
        <v>10343.382812</v>
      </c>
      <c r="AA46">
        <v>10450.386719</v>
      </c>
      <c r="AB46">
        <v>10563.197265999999</v>
      </c>
      <c r="AC46">
        <v>10674.791015999999</v>
      </c>
      <c r="AD46">
        <v>10773.288086</v>
      </c>
      <c r="AE46">
        <v>10876.103515999999</v>
      </c>
      <c r="AF46">
        <v>10975.348633</v>
      </c>
      <c r="AG46">
        <v>8.9999999999999993E-3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6"/>
  <sheetViews>
    <sheetView workbookViewId="0"/>
  </sheetViews>
  <sheetFormatPr defaultRowHeight="15" x14ac:dyDescent="0.25"/>
  <sheetData>
    <row r="1" spans="1:53" x14ac:dyDescent="0.25">
      <c r="A1" s="1" t="s">
        <v>1618</v>
      </c>
    </row>
    <row r="2" spans="1:53" x14ac:dyDescent="0.25">
      <c r="A2" s="1" t="s">
        <v>1619</v>
      </c>
      <c r="B2">
        <v>0.91577978467248433</v>
      </c>
    </row>
    <row r="3" spans="1:53" x14ac:dyDescent="0.25">
      <c r="A3" s="1" t="s">
        <v>1620</v>
      </c>
      <c r="B3" s="1" t="s">
        <v>24</v>
      </c>
      <c r="C3" s="1" t="s">
        <v>35</v>
      </c>
      <c r="D3" s="1" t="s">
        <v>37</v>
      </c>
      <c r="E3" s="1" t="s">
        <v>42</v>
      </c>
      <c r="F3" s="1" t="s">
        <v>40</v>
      </c>
      <c r="G3" s="1" t="s">
        <v>44</v>
      </c>
      <c r="H3" s="1" t="s">
        <v>47</v>
      </c>
      <c r="I3" s="1" t="s">
        <v>50</v>
      </c>
      <c r="J3" s="1" t="s">
        <v>246</v>
      </c>
      <c r="K3" s="1" t="s">
        <v>276</v>
      </c>
      <c r="L3" s="1" t="s">
        <v>81</v>
      </c>
      <c r="M3" s="1" t="s">
        <v>285</v>
      </c>
      <c r="N3" s="1" t="s">
        <v>296</v>
      </c>
      <c r="O3" s="1" t="s">
        <v>301</v>
      </c>
      <c r="P3" s="1" t="s">
        <v>309</v>
      </c>
      <c r="Q3" s="1" t="s">
        <v>322</v>
      </c>
      <c r="R3" s="1" t="s">
        <v>88</v>
      </c>
      <c r="S3" s="1" t="s">
        <v>86</v>
      </c>
      <c r="T3" s="1" t="s">
        <v>100</v>
      </c>
      <c r="U3" s="1" t="s">
        <v>103</v>
      </c>
      <c r="V3" s="1" t="s">
        <v>112</v>
      </c>
      <c r="W3" s="1" t="s">
        <v>162</v>
      </c>
      <c r="X3" s="1" t="s">
        <v>183</v>
      </c>
      <c r="Y3" s="1" t="s">
        <v>133</v>
      </c>
      <c r="Z3" s="1" t="s">
        <v>198</v>
      </c>
      <c r="AA3" s="1" t="s">
        <v>220</v>
      </c>
      <c r="AB3" s="1" t="s">
        <v>213</v>
      </c>
      <c r="AC3" s="1" t="s">
        <v>226</v>
      </c>
      <c r="AD3" s="1" t="s">
        <v>53</v>
      </c>
      <c r="AE3" s="1" t="s">
        <v>64</v>
      </c>
      <c r="AF3" s="1" t="s">
        <v>66</v>
      </c>
      <c r="AG3" s="1" t="s">
        <v>68</v>
      </c>
      <c r="AH3" s="1" t="s">
        <v>333</v>
      </c>
      <c r="AI3" s="1" t="s">
        <v>359</v>
      </c>
      <c r="AJ3" s="1" t="s">
        <v>361</v>
      </c>
      <c r="AK3" s="1" t="s">
        <v>357</v>
      </c>
      <c r="AL3" s="1" t="s">
        <v>366</v>
      </c>
      <c r="AM3" s="1" t="s">
        <v>368</v>
      </c>
      <c r="AN3" s="1" t="s">
        <v>459</v>
      </c>
      <c r="AO3" s="1" t="s">
        <v>371</v>
      </c>
      <c r="AP3" s="1" t="s">
        <v>381</v>
      </c>
      <c r="AQ3" s="1" t="s">
        <v>385</v>
      </c>
      <c r="AR3" s="1" t="s">
        <v>389</v>
      </c>
      <c r="AS3" s="1" t="s">
        <v>398</v>
      </c>
      <c r="AT3" s="1" t="s">
        <v>406</v>
      </c>
      <c r="AU3" s="1" t="s">
        <v>422</v>
      </c>
      <c r="AV3" s="1" t="s">
        <v>478</v>
      </c>
      <c r="AW3" s="1" t="s">
        <v>432</v>
      </c>
      <c r="AX3" s="1" t="s">
        <v>436</v>
      </c>
      <c r="AY3" s="1" t="s">
        <v>450</v>
      </c>
      <c r="AZ3" s="1" t="s">
        <v>465</v>
      </c>
      <c r="BA3" s="1" t="s">
        <v>476</v>
      </c>
    </row>
    <row r="4" spans="1:53" x14ac:dyDescent="0.25">
      <c r="A4" t="s">
        <v>1621</v>
      </c>
      <c r="B4">
        <f>IFERROR(SUMPRODUCT(--('BLS Table 2.11'!$L$1:$L$426=B$3),'BLS Table 2.11'!$J$1:$J$426,'BLS Table 2.11'!$K$1:$K$426)/SUMIFS('BLS Table 2.11'!$J$1:$J$426,'BLS Table 2.11'!$L$1:$L$426,B$3)/100,0)</f>
        <v>1.9584220907297827E-2</v>
      </c>
      <c r="C4">
        <f>IFERROR(SUMPRODUCT(--('BLS Table 2.11'!$L$1:$L$426=C$3),'BLS Table 2.11'!$J$1:$J$426,'BLS Table 2.11'!$K$1:$K$426)/SUMIFS('BLS Table 2.11'!$J$1:$J$426,'BLS Table 2.11'!$L$1:$L$426,C$3)/100,0)</f>
        <v>1.6E-2</v>
      </c>
      <c r="D4">
        <f>IFERROR(SUMPRODUCT(--('BLS Table 2.11'!$L$1:$L$426=D$3),'BLS Table 2.11'!$J$1:$J$426,'BLS Table 2.11'!$K$1:$K$426)/SUMIFS('BLS Table 2.11'!$J$1:$J$426,'BLS Table 2.11'!$L$1:$L$426,D$3)/100,0)</f>
        <v>1.4999999999999999E-2</v>
      </c>
      <c r="E4">
        <f>IFERROR(SUMPRODUCT(--('BLS Table 2.11'!$L$1:$L$426=E$3),'BLS Table 2.11'!$J$1:$J$426,'BLS Table 2.11'!$K$1:$K$426)/SUMIFS('BLS Table 2.11'!$J$1:$J$426,'BLS Table 2.11'!$L$1:$L$426,E$3)/100,0)</f>
        <v>-1.9E-2</v>
      </c>
      <c r="F4">
        <f>IFERROR(SUMPRODUCT(--('BLS Table 2.11'!$L$1:$L$426=F$3),'BLS Table 2.11'!$J$1:$J$426,'BLS Table 2.11'!$K$1:$K$426)/SUMIFS('BLS Table 2.11'!$J$1:$J$426,'BLS Table 2.11'!$L$1:$L$426,F$3)/100,0)</f>
        <v>1.6E-2</v>
      </c>
      <c r="G4">
        <f>IFERROR(SUMPRODUCT(--('BLS Table 2.11'!$L$1:$L$426=G$3),'BLS Table 2.11'!$J$1:$J$426,'BLS Table 2.11'!$K$1:$K$426)/SUMIFS('BLS Table 2.11'!$J$1:$J$426,'BLS Table 2.11'!$L$1:$L$426,G$3)/100,0)</f>
        <v>2.6000000000000002E-2</v>
      </c>
      <c r="H4">
        <f>IFERROR(SUMPRODUCT(--('BLS Table 2.11'!$L$1:$L$426=H$3),'BLS Table 2.11'!$J$1:$J$426,'BLS Table 2.11'!$K$1:$K$426)/SUMIFS('BLS Table 2.11'!$J$1:$J$426,'BLS Table 2.11'!$L$1:$L$426,H$3)/100,0)</f>
        <v>1.2E-2</v>
      </c>
      <c r="I4">
        <f>IFERROR(SUMPRODUCT(--('BLS Table 2.11'!$L$1:$L$426=I$3),'BLS Table 2.11'!$J$1:$J$426,'BLS Table 2.11'!$K$1:$K$426)/SUMIFS('BLS Table 2.11'!$J$1:$J$426,'BLS Table 2.11'!$L$1:$L$426,I$3)/100,0)</f>
        <v>-5.0000000000000001E-3</v>
      </c>
      <c r="J4">
        <f>IFERROR(SUMPRODUCT(--('BLS Table 2.11'!$L$1:$L$426=J$3),'BLS Table 2.11'!$J$1:$J$426,'BLS Table 2.11'!$K$1:$K$426)/SUMIFS('BLS Table 2.11'!$J$1:$J$426,'BLS Table 2.11'!$L$1:$L$426,J$3)/100,0)</f>
        <v>1.7541273690829067E-2</v>
      </c>
      <c r="K4">
        <f>IFERROR(SUMPRODUCT(--('BLS Table 2.11'!$L$1:$L$426=K$3),'BLS Table 2.11'!$J$1:$J$426,'BLS Table 2.11'!$K$1:$K$426)/SUMIFS('BLS Table 2.11'!$J$1:$J$426,'BLS Table 2.11'!$L$1:$L$426,K$3)/100,0)</f>
        <v>3.1918429003021148E-3</v>
      </c>
      <c r="L4">
        <f>IFERROR(SUMPRODUCT(--('BLS Table 2.11'!$L$1:$L$426=L$3),'BLS Table 2.11'!$J$1:$J$426,'BLS Table 2.11'!$K$1:$K$426)/SUMIFS('BLS Table 2.11'!$J$1:$J$426,'BLS Table 2.11'!$L$1:$L$426,L$3)/100,0)</f>
        <v>1.7000000000000001E-2</v>
      </c>
      <c r="M4">
        <f>IFERROR(SUMPRODUCT(--('BLS Table 2.11'!$L$1:$L$426=M$3),'BLS Table 2.11'!$J$1:$J$426,'BLS Table 2.11'!$K$1:$K$426)/SUMIFS('BLS Table 2.11'!$J$1:$J$426,'BLS Table 2.11'!$L$1:$L$426,M$3)/100,0)</f>
        <v>8.8682849184241949E-3</v>
      </c>
      <c r="N4">
        <f>IFERROR(SUMPRODUCT(--('BLS Table 2.11'!$L$1:$L$426=N$3),'BLS Table 2.11'!$J$1:$J$426,'BLS Table 2.11'!$K$1:$K$426)/SUMIFS('BLS Table 2.11'!$J$1:$J$426,'BLS Table 2.11'!$L$1:$L$426,N$3)/100,0)</f>
        <v>0.01</v>
      </c>
      <c r="O4">
        <f>IFERROR(SUMPRODUCT(--('BLS Table 2.11'!$L$1:$L$426=O$3),'BLS Table 2.11'!$J$1:$J$426,'BLS Table 2.11'!$K$1:$K$426)/SUMIFS('BLS Table 2.11'!$J$1:$J$426,'BLS Table 2.11'!$L$1:$L$426,O$3)/100,0)</f>
        <v>1.24430823117338E-2</v>
      </c>
      <c r="P4">
        <f>IFERROR(SUMPRODUCT(--('BLS Table 2.11'!$L$1:$L$426=P$3),'BLS Table 2.11'!$J$1:$J$426,'BLS Table 2.11'!$K$1:$K$426)/SUMIFS('BLS Table 2.11'!$J$1:$J$426,'BLS Table 2.11'!$L$1:$L$426,P$3)/100,0)</f>
        <v>2.3999999999999994E-2</v>
      </c>
      <c r="Q4">
        <f>IFERROR(SUMPRODUCT(--('BLS Table 2.11'!$L$1:$L$426=Q$3),'BLS Table 2.11'!$J$1:$J$426,'BLS Table 2.11'!$K$1:$K$426)/SUMIFS('BLS Table 2.11'!$J$1:$J$426,'BLS Table 2.11'!$L$1:$L$426,Q$3)/100,0)</f>
        <v>8.9999999999999993E-3</v>
      </c>
      <c r="R4">
        <f>IFERROR(SUMPRODUCT(--('BLS Table 2.11'!$L$1:$L$426=R$3),'BLS Table 2.11'!$J$1:$J$426,'BLS Table 2.11'!$K$1:$K$426)/SUMIFS('BLS Table 2.11'!$J$1:$J$426,'BLS Table 2.11'!$L$1:$L$426,R$3)/100,0)</f>
        <v>0</v>
      </c>
      <c r="S4">
        <f>IFERROR(SUMPRODUCT(--('BLS Table 2.11'!$L$1:$L$426=S$3),'BLS Table 2.11'!$J$1:$J$426,'BLS Table 2.11'!$K$1:$K$426)/SUMIFS('BLS Table 2.11'!$J$1:$J$426,'BLS Table 2.11'!$L$1:$L$426,S$3)/100,0)</f>
        <v>1.4999999999999999E-2</v>
      </c>
      <c r="T4">
        <f>IFERROR(SUMPRODUCT(--('BLS Table 2.11'!$L$1:$L$426=T$3),'BLS Table 2.11'!$J$1:$J$426,'BLS Table 2.11'!$K$1:$K$426)/SUMIFS('BLS Table 2.11'!$J$1:$J$426,'BLS Table 2.11'!$L$1:$L$426,T$3)/100,0)</f>
        <v>1.819909793814433E-2</v>
      </c>
      <c r="U4">
        <f>IFERROR(SUMPRODUCT(--('BLS Table 2.11'!$L$1:$L$426=U$3),'BLS Table 2.11'!$J$1:$J$426,'BLS Table 2.11'!$K$1:$K$426)/SUMIFS('BLS Table 2.11'!$J$1:$J$426,'BLS Table 2.11'!$L$1:$L$426,U$3)/100,0)</f>
        <v>1.6710576923076918E-2</v>
      </c>
      <c r="V4">
        <f>IFERROR(SUMPRODUCT(--('BLS Table 2.11'!$L$1:$L$426=V$3),'BLS Table 2.11'!$J$1:$J$426,'BLS Table 2.11'!$K$1:$K$426)/SUMIFS('BLS Table 2.11'!$J$1:$J$426,'BLS Table 2.11'!$L$1:$L$426,V$3)/100,0)</f>
        <v>8.0000000000000002E-3</v>
      </c>
      <c r="W4">
        <f>IFERROR(SUMPRODUCT(--('BLS Table 2.11'!$L$1:$L$426=W$3),'BLS Table 2.11'!$J$1:$J$426,'BLS Table 2.11'!$K$1:$K$426)/SUMIFS('BLS Table 2.11'!$J$1:$J$426,'BLS Table 2.11'!$L$1:$L$426,W$3)/100,0)</f>
        <v>2.2000000000000002E-2</v>
      </c>
      <c r="X4">
        <f>IFERROR(SUMPRODUCT(--('BLS Table 2.11'!$L$1:$L$426=X$3),'BLS Table 2.11'!$J$1:$J$426,'BLS Table 2.11'!$K$1:$K$426)/SUMIFS('BLS Table 2.11'!$J$1:$J$426,'BLS Table 2.11'!$L$1:$L$426,X$3)/100,0)</f>
        <v>1.7000000000000001E-2</v>
      </c>
      <c r="Y4">
        <f>IFERROR(SUMPRODUCT(--('BLS Table 2.11'!$L$1:$L$426=Y$3),'BLS Table 2.11'!$J$1:$J$426,'BLS Table 2.11'!$K$1:$K$426)/SUMIFS('BLS Table 2.11'!$J$1:$J$426,'BLS Table 2.11'!$L$1:$L$426,Y$3)/100,0)</f>
        <v>1.1000000000000001E-2</v>
      </c>
      <c r="Z4">
        <f>IFERROR(SUMPRODUCT(--('BLS Table 2.11'!$L$1:$L$426=Z$3),'BLS Table 2.11'!$J$1:$J$426,'BLS Table 2.11'!$K$1:$K$426)/SUMIFS('BLS Table 2.11'!$J$1:$J$426,'BLS Table 2.11'!$L$1:$L$426,Z$3)/100,0)</f>
        <v>1.437509093554488E-4</v>
      </c>
      <c r="AA4">
        <f>IFERROR(SUMPRODUCT(--('BLS Table 2.11'!$L$1:$L$426=AA$3),'BLS Table 2.11'!$J$1:$J$426,'BLS Table 2.11'!$K$1:$K$426)/SUMIFS('BLS Table 2.11'!$J$1:$J$426,'BLS Table 2.11'!$L$1:$L$426,AA$3)/100,0)</f>
        <v>1.3000000000000001E-2</v>
      </c>
      <c r="AB4">
        <f>IFERROR(SUMPRODUCT(--('BLS Table 2.11'!$L$1:$L$426=AB$3),'BLS Table 2.11'!$J$1:$J$426,'BLS Table 2.11'!$K$1:$K$426)/SUMIFS('BLS Table 2.11'!$J$1:$J$426,'BLS Table 2.11'!$L$1:$L$426,AB$3)/100,0)</f>
        <v>2.0096103896103897E-2</v>
      </c>
      <c r="AC4">
        <f>IFERROR(SUMPRODUCT(--('BLS Table 2.11'!$L$1:$L$426=AC$3),'BLS Table 2.11'!$J$1:$J$426,'BLS Table 2.11'!$K$1:$K$426)/SUMIFS('BLS Table 2.11'!$J$1:$J$426,'BLS Table 2.11'!$L$1:$L$426,AC$3)/100,0)</f>
        <v>1.5616425120772947E-2</v>
      </c>
      <c r="AD4">
        <f>IFERROR(SUMPRODUCT(--('BLS Table 2.11'!$L$1:$L$426=AD$3),'BLS Table 2.11'!$J$1:$J$426,'BLS Table 2.11'!$K$1:$K$426)/SUMIFS('BLS Table 2.11'!$J$1:$J$426,'BLS Table 2.11'!$L$1:$L$426,AD$3)/100,0)</f>
        <v>0.02</v>
      </c>
      <c r="AE4">
        <f>IFERROR(SUMPRODUCT(--('BLS Table 2.11'!$L$1:$L$426=AE$3),'BLS Table 2.11'!$J$1:$J$426,'BLS Table 2.11'!$K$1:$K$426)/SUMIFS('BLS Table 2.11'!$J$1:$J$426,'BLS Table 2.11'!$L$1:$L$426,AE$3)/100,0)</f>
        <v>6.9999999999999993E-3</v>
      </c>
      <c r="AF4">
        <f>IFERROR(SUMPRODUCT(--('BLS Table 2.11'!$L$1:$L$426=AF$3),'BLS Table 2.11'!$J$1:$J$426,'BLS Table 2.11'!$K$1:$K$426)/SUMIFS('BLS Table 2.11'!$J$1:$J$426,'BLS Table 2.11'!$L$1:$L$426,AF$3)/100,0)</f>
        <v>1.4897971727105101E-2</v>
      </c>
      <c r="AG4">
        <f>IFERROR(SUMPRODUCT(--('BLS Table 2.11'!$L$1:$L$426=AG$3),'BLS Table 2.11'!$J$1:$J$426,'BLS Table 2.11'!$K$1:$K$426)/SUMIFS('BLS Table 2.11'!$J$1:$J$426,'BLS Table 2.11'!$L$1:$L$426,AG$3)/100,0)</f>
        <v>9.0000000000000011E-3</v>
      </c>
      <c r="AH4">
        <f>IFERROR(SUMPRODUCT(--('BLS Table 2.11'!$L$1:$L$426=AH$3),'BLS Table 2.11'!$J$1:$J$426,'BLS Table 2.11'!$K$1:$K$426)/SUMIFS('BLS Table 2.11'!$J$1:$J$426,'BLS Table 2.11'!$L$1:$L$426,AH$3)/100,0)</f>
        <v>2.5273068254159422E-2</v>
      </c>
      <c r="AI4">
        <f>IFERROR(SUMPRODUCT(--('BLS Table 2.11'!$L$1:$L$426=AI$3),'BLS Table 2.11'!$J$1:$J$426,'BLS Table 2.11'!$K$1:$K$426)/SUMIFS('BLS Table 2.11'!$J$1:$J$426,'BLS Table 2.11'!$L$1:$L$426,AI$3)/100,0)</f>
        <v>1.8504447739065972E-2</v>
      </c>
      <c r="AJ4">
        <f>IFERROR(SUMPRODUCT(--('BLS Table 2.11'!$L$1:$L$426=AJ$3),'BLS Table 2.11'!$J$1:$J$426,'BLS Table 2.11'!$K$1:$K$426)/SUMIFS('BLS Table 2.11'!$J$1:$J$426,'BLS Table 2.11'!$L$1:$L$426,AJ$3)/100,0)</f>
        <v>2.1000000000000001E-2</v>
      </c>
      <c r="AK4">
        <f>IFERROR(SUMPRODUCT(--('BLS Table 2.11'!$L$1:$L$426=AK$3),'BLS Table 2.11'!$J$1:$J$426,'BLS Table 2.11'!$K$1:$K$426)/SUMIFS('BLS Table 2.11'!$J$1:$J$426,'BLS Table 2.11'!$L$1:$L$426,AK$3)/100,0)</f>
        <v>2.3E-2</v>
      </c>
      <c r="AL4">
        <f>IFERROR(SUMPRODUCT(--('BLS Table 2.11'!$L$1:$L$426=AL$3),'BLS Table 2.11'!$J$1:$J$426,'BLS Table 2.11'!$K$1:$K$426)/SUMIFS('BLS Table 2.11'!$J$1:$J$426,'BLS Table 2.11'!$L$1:$L$426,AL$3)/100,0)</f>
        <v>2.5814833891321144E-2</v>
      </c>
      <c r="AM4">
        <f>IFERROR(SUMPRODUCT(--('BLS Table 2.11'!$L$1:$L$426=AM$3),'BLS Table 2.11'!$J$1:$J$426,'BLS Table 2.11'!$K$1:$K$426)/SUMIFS('BLS Table 2.11'!$J$1:$J$426,'BLS Table 2.11'!$L$1:$L$426,AM$3)/100,0)</f>
        <v>2.7999999999999997E-2</v>
      </c>
      <c r="AN4">
        <f>IFERROR(SUMPRODUCT(--('BLS Table 2.11'!$L$1:$L$426=AN$3),'BLS Table 2.11'!$J$1:$J$426,'BLS Table 2.11'!$K$1:$K$426)/SUMIFS('BLS Table 2.11'!$J$1:$J$426,'BLS Table 2.11'!$L$1:$L$426,AN$3)/100,0)</f>
        <v>2.3E-2</v>
      </c>
      <c r="AO4">
        <f>IFERROR(SUMPRODUCT(--('BLS Table 2.11'!$L$1:$L$426=AO$3),'BLS Table 2.11'!$J$1:$J$426,'BLS Table 2.11'!$K$1:$K$426)/SUMIFS('BLS Table 2.11'!$J$1:$J$426,'BLS Table 2.11'!$L$1:$L$426,AO$3)/100,0)</f>
        <v>3.6673081381868769E-2</v>
      </c>
      <c r="AP4">
        <f>IFERROR(SUMPRODUCT(--('BLS Table 2.11'!$L$1:$L$426=AP$3),'BLS Table 2.11'!$J$1:$J$426,'BLS Table 2.11'!$K$1:$K$426)/SUMIFS('BLS Table 2.11'!$J$1:$J$426,'BLS Table 2.11'!$L$1:$L$426,AP$3)/100,0)</f>
        <v>2.7000000000000003E-2</v>
      </c>
      <c r="AQ4">
        <f>IFERROR(SUMPRODUCT(--('BLS Table 2.11'!$L$1:$L$426=AQ$3),'BLS Table 2.11'!$J$1:$J$426,'BLS Table 2.11'!$K$1:$K$426)/SUMIFS('BLS Table 2.11'!$J$1:$J$426,'BLS Table 2.11'!$L$1:$L$426,AQ$3)/100,0)</f>
        <v>3.4040216736905479E-2</v>
      </c>
      <c r="AR4">
        <f>IFERROR(SUMPRODUCT(--('BLS Table 2.11'!$L$1:$L$426=AR$3),'BLS Table 2.11'!$J$1:$J$426,'BLS Table 2.11'!$K$1:$K$426)/SUMIFS('BLS Table 2.11'!$J$1:$J$426,'BLS Table 2.11'!$L$1:$L$426,AR$3)/100,0)</f>
        <v>0.02</v>
      </c>
      <c r="AS4">
        <f>IFERROR(SUMPRODUCT(--('BLS Table 2.11'!$L$1:$L$426=AS$3),'BLS Table 2.11'!$J$1:$J$426,'BLS Table 2.11'!$K$1:$K$426)/SUMIFS('BLS Table 2.11'!$J$1:$J$426,'BLS Table 2.11'!$L$1:$L$426,AS$3)/100,0)</f>
        <v>1.9E-2</v>
      </c>
      <c r="AT4">
        <f>IFERROR(SUMPRODUCT(--('BLS Table 2.11'!$L$1:$L$426=AT$3),'BLS Table 2.11'!$J$1:$J$426,'BLS Table 2.11'!$K$1:$K$426)/SUMIFS('BLS Table 2.11'!$J$1:$J$426,'BLS Table 2.11'!$L$1:$L$426,AT$3)/100,0)</f>
        <v>2.229329587339228E-2</v>
      </c>
      <c r="AU4">
        <f>IFERROR(SUMPRODUCT(--('BLS Table 2.11'!$L$1:$L$426=AU$3),'BLS Table 2.11'!$J$1:$J$426,'BLS Table 2.11'!$K$1:$K$426)/SUMIFS('BLS Table 2.11'!$J$1:$J$426,'BLS Table 2.11'!$L$1:$L$426,AU$3)/100,0)</f>
        <v>2.3824568611339355E-2</v>
      </c>
      <c r="AV4">
        <f>IFERROR(SUMPRODUCT(--('BLS Table 2.11'!$L$1:$L$426=AV$3),'BLS Table 2.11'!$J$1:$J$426,'BLS Table 2.11'!$K$1:$K$426)/SUMIFS('BLS Table 2.11'!$J$1:$J$426,'BLS Table 2.11'!$L$1:$L$426,AV$3)/100,0)</f>
        <v>5.0652135576482191E-3</v>
      </c>
      <c r="AW4">
        <f>IFERROR(SUMPRODUCT(--('BLS Table 2.11'!$L$1:$L$426=AW$3),'BLS Table 2.11'!$J$1:$J$426,'BLS Table 2.11'!$K$1:$K$426)/SUMIFS('BLS Table 2.11'!$J$1:$J$426,'BLS Table 2.11'!$L$1:$L$426,AW$3)/100,0)</f>
        <v>4.7258152010125967E-3</v>
      </c>
      <c r="AX4">
        <f>IFERROR(SUMPRODUCT(--('BLS Table 2.11'!$L$1:$L$426=AX$3),'BLS Table 2.11'!$J$1:$J$426,'BLS Table 2.11'!$K$1:$K$426)/SUMIFS('BLS Table 2.11'!$J$1:$J$426,'BLS Table 2.11'!$L$1:$L$426,AX$3)/100,0)</f>
        <v>2.7703373647358368E-2</v>
      </c>
      <c r="AY4">
        <f>IFERROR(SUMPRODUCT(--('BLS Table 2.11'!$L$1:$L$426=AY$3),'BLS Table 2.11'!$J$1:$J$426,'BLS Table 2.11'!$K$1:$K$426)/SUMIFS('BLS Table 2.11'!$J$1:$J$426,'BLS Table 2.11'!$L$1:$L$426,AY$3)/100,0)</f>
        <v>2.2000000000000002E-2</v>
      </c>
      <c r="AZ4">
        <f>IFERROR(SUMPRODUCT(--('BLS Table 2.11'!$L$1:$L$426=AZ$3),'BLS Table 2.11'!$J$1:$J$426,'BLS Table 2.11'!$K$1:$K$426)/SUMIFS('BLS Table 2.11'!$J$1:$J$426,'BLS Table 2.11'!$L$1:$L$426,AZ$3)/100,0)</f>
        <v>2.1070752718542581E-2</v>
      </c>
      <c r="BA4">
        <f>IFERROR(SUMPRODUCT(--('BLS Table 2.11'!$L$1:$L$426=BA$3),'BLS Table 2.11'!$J$1:$J$426,'BLS Table 2.11'!$K$1:$K$426)/SUMIFS('BLS Table 2.11'!$J$1:$J$426,'BLS Table 2.11'!$L$1:$L$426,BA$3)/100,0)</f>
        <v>1.8000000000000002E-2</v>
      </c>
    </row>
    <row r="5" spans="1:53" x14ac:dyDescent="0.25">
      <c r="A5" t="s">
        <v>1622</v>
      </c>
      <c r="B5">
        <f>IFERROR((SUMIFS('AEO 2026 Table 23 '!G:G,'AEO 2026 Table 23 '!$B:$B,"*,"&amp;B$3&amp;",*")-SUMIFS('AEO25 Table 23'!H:H,'AEO25 Table 23'!$B:$B,"*,"&amp;B$3&amp;",*"))/SUMIFS('AEO25 Table 23'!H:H,'AEO25 Table 23'!$B:$B,"*,"&amp;B$3&amp;",*"),"")</f>
        <v>-9.9246442360578349E-2</v>
      </c>
      <c r="C5" t="str">
        <f>IFERROR((SUMIFS('AEO 2026 Table 23 '!G:G,'AEO 2026 Table 23 '!$B:$B,"*,"&amp;C$3&amp;",*")-SUMIFS('AEO25 Table 23'!H:H,'AEO25 Table 23'!$B:$B,"*,"&amp;C$3&amp;",*"))/SUMIFS('AEO25 Table 23'!H:H,'AEO25 Table 23'!$B:$B,"*,"&amp;C$3&amp;",*"),"")</f>
        <v/>
      </c>
      <c r="D5" t="str">
        <f>IFERROR((SUMIFS('AEO 2026 Table 23 '!G:G,'AEO 2026 Table 23 '!$B:$B,"*,"&amp;D$3&amp;",*")-SUMIFS('AEO25 Table 23'!H:H,'AEO25 Table 23'!$B:$B,"*,"&amp;D$3&amp;",*"))/SUMIFS('AEO25 Table 23'!H:H,'AEO25 Table 23'!$B:$B,"*,"&amp;D$3&amp;",*"),"")</f>
        <v/>
      </c>
      <c r="E5">
        <f>IFERROR((SUMIFS('AEO 2026 Table 23 '!G:G,'AEO 2026 Table 23 '!$B:$B,"*,"&amp;E$3&amp;",*")-SUMIFS('AEO25 Table 23'!H:H,'AEO25 Table 23'!$B:$B,"*,"&amp;E$3&amp;",*"))/SUMIFS('AEO25 Table 23'!H:H,'AEO25 Table 23'!$B:$B,"*,"&amp;E$3&amp;",*"),"")</f>
        <v>7.1210619379968615E-2</v>
      </c>
      <c r="F5">
        <f>IFERROR((SUMIFS('AEO 2026 Table 23 '!G:G,'AEO 2026 Table 23 '!$B:$B,"*,"&amp;F$3&amp;",*")-SUMIFS('AEO25 Table 23'!H:H,'AEO25 Table 23'!$B:$B,"*,"&amp;F$3&amp;",*"))/SUMIFS('AEO25 Table 23'!H:H,'AEO25 Table 23'!$B:$B,"*,"&amp;F$3&amp;",*"),"")</f>
        <v>7.1210619379968615E-2</v>
      </c>
      <c r="G5" t="str">
        <f>IFERROR((SUMIFS('AEO 2026 Table 23 '!G:G,'AEO 2026 Table 23 '!$B:$B,"*,"&amp;G$3&amp;",*")-SUMIFS('AEO25 Table 23'!H:H,'AEO25 Table 23'!$B:$B,"*,"&amp;G$3&amp;",*"))/SUMIFS('AEO25 Table 23'!H:H,'AEO25 Table 23'!$B:$B,"*,"&amp;G$3&amp;",*"),"")</f>
        <v/>
      </c>
      <c r="H5">
        <f>IFERROR((SUMIFS('AEO 2026 Table 23 '!G:G,'AEO 2026 Table 23 '!$B:$B,"*,"&amp;H$3&amp;",*")-SUMIFS('AEO25 Table 23'!H:H,'AEO25 Table 23'!$B:$B,"*,"&amp;H$3&amp;",*"))/SUMIFS('AEO25 Table 23'!H:H,'AEO25 Table 23'!$B:$B,"*,"&amp;H$3&amp;",*"),"")</f>
        <v>7.1210619379968615E-2</v>
      </c>
      <c r="I5" t="str">
        <f>IFERROR((SUMIFS('AEO 2026 Table 23 '!G:G,'AEO 2026 Table 23 '!$B:$B,"*,"&amp;I$3&amp;",*")-SUMIFS('AEO25 Table 23'!H:H,'AEO25 Table 23'!$B:$B,"*,"&amp;I$3&amp;",*"))/SUMIFS('AEO25 Table 23'!H:H,'AEO25 Table 23'!$B:$B,"*,"&amp;I$3&amp;",*"),"")</f>
        <v/>
      </c>
      <c r="J5">
        <f>IFERROR((SUMIFS('AEO 2026 Table 23 '!G:G,'AEO 2026 Table 23 '!$B:$B,"*,"&amp;J$3&amp;",*")-SUMIFS('AEO25 Table 23'!H:H,'AEO25 Table 23'!$B:$B,"*,"&amp;J$3&amp;",*"))/SUMIFS('AEO25 Table 23'!H:H,'AEO25 Table 23'!$B:$B,"*,"&amp;J$3&amp;",*"),"")</f>
        <v>-5.7729872669432442E-2</v>
      </c>
      <c r="K5">
        <f>IFERROR((SUMIFS('AEO 2026 Table 23 '!G:G,'AEO 2026 Table 23 '!$B:$B,"*,"&amp;K$3&amp;",*")-SUMIFS('AEO25 Table 23'!H:H,'AEO25 Table 23'!$B:$B,"*,"&amp;K$3&amp;",*"))/SUMIFS('AEO25 Table 23'!H:H,'AEO25 Table 23'!$B:$B,"*,"&amp;K$3&amp;",*"),"")</f>
        <v>-0.11327023120960888</v>
      </c>
      <c r="L5">
        <f>IFERROR((SUMIFS('AEO 2026 Table 23 '!G:G,'AEO 2026 Table 23 '!$B:$B,"*,"&amp;L$3&amp;",*")-SUMIFS('AEO25 Table 23'!H:H,'AEO25 Table 23'!$B:$B,"*,"&amp;L$3&amp;",*"))/SUMIFS('AEO25 Table 23'!H:H,'AEO25 Table 23'!$B:$B,"*,"&amp;L$3&amp;",*"),"")</f>
        <v>0.20646756047733122</v>
      </c>
      <c r="M5">
        <f>IFERROR((SUMIFS('AEO 2026 Table 23 '!G:G,'AEO 2026 Table 23 '!$B:$B,"*,"&amp;M$3&amp;",*")-SUMIFS('AEO25 Table 23'!H:H,'AEO25 Table 23'!$B:$B,"*,"&amp;M$3&amp;",*"))/SUMIFS('AEO25 Table 23'!H:H,'AEO25 Table 23'!$B:$B,"*,"&amp;M$3&amp;",*"),"")</f>
        <v>-5.0057662323048653E-2</v>
      </c>
      <c r="N5">
        <f>IFERROR((SUMIFS('AEO 2026 Table 23 '!G:G,'AEO 2026 Table 23 '!$B:$B,"*,"&amp;N$3&amp;",*")-SUMIFS('AEO25 Table 23'!H:H,'AEO25 Table 23'!$B:$B,"*,"&amp;N$3&amp;",*"))/SUMIFS('AEO25 Table 23'!H:H,'AEO25 Table 23'!$B:$B,"*,"&amp;N$3&amp;",*"),"")</f>
        <v>9.2796417486756702E-4</v>
      </c>
      <c r="O5">
        <f>IFERROR((SUMIFS('AEO 2026 Table 23 '!G:G,'AEO 2026 Table 23 '!$B:$B,"*,"&amp;O$3&amp;",*")-SUMIFS('AEO25 Table 23'!H:H,'AEO25 Table 23'!$B:$B,"*,"&amp;O$3&amp;",*"))/SUMIFS('AEO25 Table 23'!H:H,'AEO25 Table 23'!$B:$B,"*,"&amp;O$3&amp;",*"),"")</f>
        <v>7.1677561450444349E-2</v>
      </c>
      <c r="P5" t="str">
        <f>IFERROR((SUMIFS('AEO 2026 Table 23 '!G:G,'AEO 2026 Table 23 '!$B:$B,"*,"&amp;P$3&amp;",*")-SUMIFS('AEO25 Table 23'!H:H,'AEO25 Table 23'!$B:$B,"*,"&amp;P$3&amp;",*"))/SUMIFS('AEO25 Table 23'!H:H,'AEO25 Table 23'!$B:$B,"*,"&amp;P$3&amp;",*"),"")</f>
        <v/>
      </c>
      <c r="Q5">
        <f>IFERROR((SUMIFS('AEO 2026 Table 23 '!G:G,'AEO 2026 Table 23 '!$B:$B,"*,"&amp;Q$3&amp;",*")-SUMIFS('AEO25 Table 23'!H:H,'AEO25 Table 23'!$B:$B,"*,"&amp;Q$3&amp;",*"))/SUMIFS('AEO25 Table 23'!H:H,'AEO25 Table 23'!$B:$B,"*,"&amp;Q$3&amp;",*"),"")</f>
        <v>1.7724214122440893E-2</v>
      </c>
      <c r="R5">
        <f>IFERROR((SUMIFS('AEO 2026 Table 23 '!G:G,'AEO 2026 Table 23 '!$B:$B,"*,"&amp;R$3&amp;",*")-SUMIFS('AEO25 Table 23'!H:H,'AEO25 Table 23'!$B:$B,"*,"&amp;R$3&amp;",*"))/SUMIFS('AEO25 Table 23'!H:H,'AEO25 Table 23'!$B:$B,"*,"&amp;R$3&amp;",*"),"")</f>
        <v>-6.2233199213274646E-3</v>
      </c>
      <c r="S5">
        <f>IFERROR((SUMIFS('AEO 2026 Table 23 '!G:G,'AEO 2026 Table 23 '!$B:$B,"*,"&amp;S$3&amp;",*")-SUMIFS('AEO25 Table 23'!H:H,'AEO25 Table 23'!$B:$B,"*,"&amp;S$3&amp;",*"))/SUMIFS('AEO25 Table 23'!H:H,'AEO25 Table 23'!$B:$B,"*,"&amp;S$3&amp;",*"),"")</f>
        <v>3.3677125558882557E-3</v>
      </c>
      <c r="T5">
        <f>IFERROR((SUMIFS('AEO 2026 Table 23 '!G:G,'AEO 2026 Table 23 '!$B:$B,"*,"&amp;T$3&amp;",*")-SUMIFS('AEO25 Table 23'!H:H,'AEO25 Table 23'!$B:$B,"*,"&amp;T$3&amp;",*"))/SUMIFS('AEO25 Table 23'!H:H,'AEO25 Table 23'!$B:$B,"*,"&amp;T$3&amp;",*"),"")</f>
        <v>-1.4318822532873773E-2</v>
      </c>
      <c r="U5">
        <f>IFERROR((SUMIFS('AEO 2026 Table 23 '!G:G,'AEO 2026 Table 23 '!$B:$B,"*,"&amp;U$3&amp;",*")-SUMIFS('AEO25 Table 23'!H:H,'AEO25 Table 23'!$B:$B,"*,"&amp;U$3&amp;",*"))/SUMIFS('AEO25 Table 23'!H:H,'AEO25 Table 23'!$B:$B,"*,"&amp;U$3&amp;",*"),"")</f>
        <v>2.7423101302979209E-4</v>
      </c>
      <c r="V5">
        <f>IFERROR((SUMIFS('AEO 2026 Table 23 '!G:G,'AEO 2026 Table 23 '!$B:$B,"*,"&amp;V$3&amp;",*")-SUMIFS('AEO25 Table 23'!H:H,'AEO25 Table 23'!$B:$B,"*,"&amp;V$3&amp;",*"))/SUMIFS('AEO25 Table 23'!H:H,'AEO25 Table 23'!$B:$B,"*,"&amp;V$3&amp;",*"),"")</f>
        <v>2.583505185322945E-2</v>
      </c>
      <c r="W5">
        <f>IFERROR((SUMIFS('AEO 2026 Table 23 '!G:G,'AEO 2026 Table 23 '!$B:$B,"*,"&amp;W$3&amp;",*")-SUMIFS('AEO25 Table 23'!H:H,'AEO25 Table 23'!$B:$B,"*,"&amp;W$3&amp;",*"))/SUMIFS('AEO25 Table 23'!H:H,'AEO25 Table 23'!$B:$B,"*,"&amp;W$3&amp;",*"),"")</f>
        <v>-6.5496145174722312E-2</v>
      </c>
      <c r="X5">
        <f>IFERROR((SUMIFS('AEO 2026 Table 23 '!G:G,'AEO 2026 Table 23 '!$B:$B,"*,"&amp;X$3&amp;",*")-SUMIFS('AEO25 Table 23'!H:H,'AEO25 Table 23'!$B:$B,"*,"&amp;X$3&amp;",*"))/SUMIFS('AEO25 Table 23'!H:H,'AEO25 Table 23'!$B:$B,"*,"&amp;X$3&amp;",*"),"")</f>
        <v>9.5838154987310364E-3</v>
      </c>
      <c r="Y5">
        <f>IFERROR((SUMIFS('AEO 2026 Table 23 '!G:G,'AEO 2026 Table 23 '!$B:$B,"*,"&amp;Y$3&amp;",*")-SUMIFS('AEO25 Table 23'!H:H,'AEO25 Table 23'!$B:$B,"*,"&amp;Y$3&amp;",*"))/SUMIFS('AEO25 Table 23'!H:H,'AEO25 Table 23'!$B:$B,"*,"&amp;Y$3&amp;",*"),"")</f>
        <v>2.4336435643808989E-2</v>
      </c>
      <c r="Z5">
        <f>IFERROR((SUMIFS('AEO 2026 Table 23 '!G:G,'AEO 2026 Table 23 '!$B:$B,"*,"&amp;Z$3&amp;",*")-SUMIFS('AEO25 Table 23'!H:H,'AEO25 Table 23'!$B:$B,"*,"&amp;Z$3&amp;",*"))/SUMIFS('AEO25 Table 23'!H:H,'AEO25 Table 23'!$B:$B,"*,"&amp;Z$3&amp;",*"),"")</f>
        <v>-6.1192822458182292E-2</v>
      </c>
      <c r="AA5" t="str">
        <f>IFERROR((SUMIFS('AEO 2026 Table 23 '!G:G,'AEO 2026 Table 23 '!$B:$B,"*,"&amp;AA$3&amp;",*")-SUMIFS('AEO25 Table 23'!H:H,'AEO25 Table 23'!$B:$B,"*,"&amp;AA$3&amp;",*"))/SUMIFS('AEO25 Table 23'!H:H,'AEO25 Table 23'!$B:$B,"*,"&amp;AA$3&amp;",*"),"")</f>
        <v/>
      </c>
      <c r="AB5">
        <f>IFERROR((SUMIFS('AEO 2026 Table 23 '!G:G,'AEO 2026 Table 23 '!$B:$B,"*,"&amp;AB$3&amp;",*")-SUMIFS('AEO25 Table 23'!H:H,'AEO25 Table 23'!$B:$B,"*,"&amp;AB$3&amp;",*"))/SUMIFS('AEO25 Table 23'!H:H,'AEO25 Table 23'!$B:$B,"*,"&amp;AB$3&amp;",*"),"")</f>
        <v>-6.1192822458182292E-2</v>
      </c>
      <c r="AC5">
        <f>IFERROR((SUMIFS('AEO 2026 Table 23 '!G:G,'AEO 2026 Table 23 '!$B:$B,"*,"&amp;AC$3&amp;",*")-SUMIFS('AEO25 Table 23'!H:H,'AEO25 Table 23'!$B:$B,"*,"&amp;AC$3&amp;",*"))/SUMIFS('AEO25 Table 23'!H:H,'AEO25 Table 23'!$B:$B,"*,"&amp;AC$3&amp;",*"),"")</f>
        <v>-1.632229783085291E-2</v>
      </c>
      <c r="AD5" t="str">
        <f>IFERROR((SUMIFS('AEO 2026 Table 23 '!G:G,'AEO 2026 Table 23 '!$B:$B,"*,"&amp;AD$3&amp;",*")-SUMIFS('AEO25 Table 23'!H:H,'AEO25 Table 23'!$B:$B,"*,"&amp;AD$3&amp;",*"))/SUMIFS('AEO25 Table 23'!H:H,'AEO25 Table 23'!$B:$B,"*,"&amp;AD$3&amp;",*"),"")</f>
        <v/>
      </c>
      <c r="AE5" t="str">
        <f>IFERROR((SUMIFS('AEO 2026 Table 23 '!G:G,'AEO 2026 Table 23 '!$B:$B,"*,"&amp;AE$3&amp;",*")-SUMIFS('AEO25 Table 23'!H:H,'AEO25 Table 23'!$B:$B,"*,"&amp;AE$3&amp;",*"))/SUMIFS('AEO25 Table 23'!H:H,'AEO25 Table 23'!$B:$B,"*,"&amp;AE$3&amp;",*"),"")</f>
        <v/>
      </c>
      <c r="AF5" t="str">
        <f>IFERROR((SUMIFS('AEO 2026 Table 23 '!G:G,'AEO 2026 Table 23 '!$B:$B,"*,"&amp;AF$3&amp;",*")-SUMIFS('AEO25 Table 23'!H:H,'AEO25 Table 23'!$B:$B,"*,"&amp;AF$3&amp;",*"))/SUMIFS('AEO25 Table 23'!H:H,'AEO25 Table 23'!$B:$B,"*,"&amp;AF$3&amp;",*"),"")</f>
        <v/>
      </c>
      <c r="AG5">
        <f>IFERROR((SUMIFS('AEO 2026 Table 23 '!G:G,'AEO 2026 Table 23 '!$B:$B,"*,"&amp;AG$3&amp;",*")-SUMIFS('AEO25 Table 23'!H:H,'AEO25 Table 23'!$B:$B,"*,"&amp;AG$3&amp;",*"))/SUMIFS('AEO25 Table 23'!H:H,'AEO25 Table 23'!$B:$B,"*,"&amp;AG$3&amp;",*"),"")</f>
        <v>5.9669924007771706E-2</v>
      </c>
      <c r="AH5" t="str">
        <f>IFERROR((SUMIFS('AEO 2026 Table 23 '!G:G,'AEO 2026 Table 23 '!$B:$B,"*,"&amp;AH$3&amp;",*")-SUMIFS('AEO25 Table 23'!H:H,'AEO25 Table 23'!$B:$B,"*,"&amp;AH$3&amp;",*"))/SUMIFS('AEO25 Table 23'!H:H,'AEO25 Table 23'!$B:$B,"*,"&amp;AH$3&amp;",*"),"")</f>
        <v/>
      </c>
      <c r="AI5" t="str">
        <f>IFERROR((SUMIFS('AEO 2026 Table 23 '!G:G,'AEO 2026 Table 23 '!$B:$B,"*,"&amp;AI$3&amp;",*")-SUMIFS('AEO25 Table 23'!H:H,'AEO25 Table 23'!$B:$B,"*,"&amp;AI$3&amp;",*"))/SUMIFS('AEO25 Table 23'!H:H,'AEO25 Table 23'!$B:$B,"*,"&amp;AI$3&amp;",*"),"")</f>
        <v/>
      </c>
      <c r="AJ5" t="str">
        <f>IFERROR((SUMIFS('AEO 2026 Table 23 '!G:G,'AEO 2026 Table 23 '!$B:$B,"*,"&amp;AJ$3&amp;",*")-SUMIFS('AEO25 Table 23'!H:H,'AEO25 Table 23'!$B:$B,"*,"&amp;AJ$3&amp;",*"))/SUMIFS('AEO25 Table 23'!H:H,'AEO25 Table 23'!$B:$B,"*,"&amp;AJ$3&amp;",*"),"")</f>
        <v/>
      </c>
      <c r="AK5" t="str">
        <f>IFERROR((SUMIFS('AEO 2026 Table 23 '!G:G,'AEO 2026 Table 23 '!$B:$B,"*,"&amp;AK$3&amp;",*")-SUMIFS('AEO25 Table 23'!H:H,'AEO25 Table 23'!$B:$B,"*,"&amp;AK$3&amp;",*"))/SUMIFS('AEO25 Table 23'!H:H,'AEO25 Table 23'!$B:$B,"*,"&amp;AK$3&amp;",*"),"")</f>
        <v/>
      </c>
      <c r="AL5" t="str">
        <f>IFERROR((SUMIFS('AEO 2026 Table 23 '!G:G,'AEO 2026 Table 23 '!$B:$B,"*,"&amp;AL$3&amp;",*")-SUMIFS('AEO25 Table 23'!H:H,'AEO25 Table 23'!$B:$B,"*,"&amp;AL$3&amp;",*"))/SUMIFS('AEO25 Table 23'!H:H,'AEO25 Table 23'!$B:$B,"*,"&amp;AL$3&amp;",*"),"")</f>
        <v/>
      </c>
      <c r="AM5" t="str">
        <f>IFERROR((SUMIFS('AEO 2026 Table 23 '!G:G,'AEO 2026 Table 23 '!$B:$B,"*,"&amp;AM$3&amp;",*")-SUMIFS('AEO25 Table 23'!H:H,'AEO25 Table 23'!$B:$B,"*,"&amp;AM$3&amp;",*"))/SUMIFS('AEO25 Table 23'!H:H,'AEO25 Table 23'!$B:$B,"*,"&amp;AM$3&amp;",*"),"")</f>
        <v/>
      </c>
      <c r="AN5" t="str">
        <f>IFERROR((SUMIFS('AEO 2026 Table 23 '!G:G,'AEO 2026 Table 23 '!$B:$B,"*,"&amp;AN$3&amp;",*")-SUMIFS('AEO25 Table 23'!H:H,'AEO25 Table 23'!$B:$B,"*,"&amp;AN$3&amp;",*"))/SUMIFS('AEO25 Table 23'!H:H,'AEO25 Table 23'!$B:$B,"*,"&amp;AN$3&amp;",*"),"")</f>
        <v/>
      </c>
      <c r="AO5" t="str">
        <f>IFERROR((SUMIFS('AEO 2026 Table 23 '!G:G,'AEO 2026 Table 23 '!$B:$B,"*,"&amp;AO$3&amp;",*")-SUMIFS('AEO25 Table 23'!H:H,'AEO25 Table 23'!$B:$B,"*,"&amp;AO$3&amp;",*"))/SUMIFS('AEO25 Table 23'!H:H,'AEO25 Table 23'!$B:$B,"*,"&amp;AO$3&amp;",*"),"")</f>
        <v/>
      </c>
      <c r="AP5" t="str">
        <f>IFERROR((SUMIFS('AEO 2026 Table 23 '!G:G,'AEO 2026 Table 23 '!$B:$B,"*,"&amp;AP$3&amp;",*")-SUMIFS('AEO25 Table 23'!H:H,'AEO25 Table 23'!$B:$B,"*,"&amp;AP$3&amp;",*"))/SUMIFS('AEO25 Table 23'!H:H,'AEO25 Table 23'!$B:$B,"*,"&amp;AP$3&amp;",*"),"")</f>
        <v/>
      </c>
      <c r="AQ5" t="str">
        <f>IFERROR((SUMIFS('AEO 2026 Table 23 '!G:G,'AEO 2026 Table 23 '!$B:$B,"*,"&amp;AQ$3&amp;",*")-SUMIFS('AEO25 Table 23'!H:H,'AEO25 Table 23'!$B:$B,"*,"&amp;AQ$3&amp;",*"))/SUMIFS('AEO25 Table 23'!H:H,'AEO25 Table 23'!$B:$B,"*,"&amp;AQ$3&amp;",*"),"")</f>
        <v/>
      </c>
      <c r="AR5" t="str">
        <f>IFERROR((SUMIFS('AEO 2026 Table 23 '!G:G,'AEO 2026 Table 23 '!$B:$B,"*,"&amp;AR$3&amp;",*")-SUMIFS('AEO25 Table 23'!H:H,'AEO25 Table 23'!$B:$B,"*,"&amp;AR$3&amp;",*"))/SUMIFS('AEO25 Table 23'!H:H,'AEO25 Table 23'!$B:$B,"*,"&amp;AR$3&amp;",*"),"")</f>
        <v/>
      </c>
      <c r="AS5" t="str">
        <f>IFERROR((SUMIFS('AEO 2026 Table 23 '!G:G,'AEO 2026 Table 23 '!$B:$B,"*,"&amp;AS$3&amp;",*")-SUMIFS('AEO25 Table 23'!H:H,'AEO25 Table 23'!$B:$B,"*,"&amp;AS$3&amp;",*"))/SUMIFS('AEO25 Table 23'!H:H,'AEO25 Table 23'!$B:$B,"*,"&amp;AS$3&amp;",*"),"")</f>
        <v/>
      </c>
      <c r="AT5" t="str">
        <f>IFERROR((SUMIFS('AEO 2026 Table 23 '!G:G,'AEO 2026 Table 23 '!$B:$B,"*,"&amp;AT$3&amp;",*")-SUMIFS('AEO25 Table 23'!H:H,'AEO25 Table 23'!$B:$B,"*,"&amp;AT$3&amp;",*"))/SUMIFS('AEO25 Table 23'!H:H,'AEO25 Table 23'!$B:$B,"*,"&amp;AT$3&amp;",*"),"")</f>
        <v/>
      </c>
      <c r="AU5" t="str">
        <f>IFERROR((SUMIFS('AEO 2026 Table 23 '!G:G,'AEO 2026 Table 23 '!$B:$B,"*,"&amp;AU$3&amp;",*")-SUMIFS('AEO25 Table 23'!H:H,'AEO25 Table 23'!$B:$B,"*,"&amp;AU$3&amp;",*"))/SUMIFS('AEO25 Table 23'!H:H,'AEO25 Table 23'!$B:$B,"*,"&amp;AU$3&amp;",*"),"")</f>
        <v/>
      </c>
      <c r="AV5" t="str">
        <f>IFERROR((SUMIFS('AEO 2026 Table 23 '!G:G,'AEO 2026 Table 23 '!$B:$B,"*,"&amp;AV$3&amp;",*")-SUMIFS('AEO25 Table 23'!H:H,'AEO25 Table 23'!$B:$B,"*,"&amp;AV$3&amp;",*"))/SUMIFS('AEO25 Table 23'!H:H,'AEO25 Table 23'!$B:$B,"*,"&amp;AV$3&amp;",*"),"")</f>
        <v/>
      </c>
      <c r="AW5" t="str">
        <f>IFERROR((SUMIFS('AEO 2026 Table 23 '!G:G,'AEO 2026 Table 23 '!$B:$B,"*,"&amp;AW$3&amp;",*")-SUMIFS('AEO25 Table 23'!H:H,'AEO25 Table 23'!$B:$B,"*,"&amp;AW$3&amp;",*"))/SUMIFS('AEO25 Table 23'!H:H,'AEO25 Table 23'!$B:$B,"*,"&amp;AW$3&amp;",*"),"")</f>
        <v/>
      </c>
      <c r="AX5" t="str">
        <f>IFERROR((SUMIFS('AEO 2026 Table 23 '!G:G,'AEO 2026 Table 23 '!$B:$B,"*,"&amp;AX$3&amp;",*")-SUMIFS('AEO25 Table 23'!H:H,'AEO25 Table 23'!$B:$B,"*,"&amp;AX$3&amp;",*"))/SUMIFS('AEO25 Table 23'!H:H,'AEO25 Table 23'!$B:$B,"*,"&amp;AX$3&amp;",*"),"")</f>
        <v/>
      </c>
      <c r="AY5" t="str">
        <f>IFERROR((SUMIFS('AEO 2026 Table 23 '!G:G,'AEO 2026 Table 23 '!$B:$B,"*,"&amp;AY$3&amp;",*")-SUMIFS('AEO25 Table 23'!H:H,'AEO25 Table 23'!$B:$B,"*,"&amp;AY$3&amp;",*"))/SUMIFS('AEO25 Table 23'!H:H,'AEO25 Table 23'!$B:$B,"*,"&amp;AY$3&amp;",*"),"")</f>
        <v/>
      </c>
      <c r="AZ5" t="str">
        <f>IFERROR((SUMIFS('AEO 2026 Table 23 '!G:G,'AEO 2026 Table 23 '!$B:$B,"*,"&amp;AZ$3&amp;",*")-SUMIFS('AEO25 Table 23'!H:H,'AEO25 Table 23'!$B:$B,"*,"&amp;AZ$3&amp;",*"))/SUMIFS('AEO25 Table 23'!H:H,'AEO25 Table 23'!$B:$B,"*,"&amp;AZ$3&amp;",*"),"")</f>
        <v/>
      </c>
      <c r="BA5" t="str">
        <f>IFERROR((SUMIFS('AEO 2026 Table 23 '!G:G,'AEO 2026 Table 23 '!$B:$B,"*,"&amp;BA$3&amp;",*")-SUMIFS('AEO25 Table 23'!H:H,'AEO25 Table 23'!$B:$B,"*,"&amp;BA$3&amp;",*"))/SUMIFS('AEO25 Table 23'!H:H,'AEO25 Table 23'!$B:$B,"*,"&amp;BA$3&amp;",*"),"")</f>
        <v/>
      </c>
    </row>
    <row r="6" spans="1:53" x14ac:dyDescent="0.25">
      <c r="A6" s="1" t="s">
        <v>1623</v>
      </c>
      <c r="B6">
        <f t="shared" ref="B6:AG6" si="0">IF(B5="",B4*$B$2,B5)</f>
        <v>-9.9246442360578349E-2</v>
      </c>
      <c r="C6">
        <f t="shared" si="0"/>
        <v>1.465247655475975E-2</v>
      </c>
      <c r="D6">
        <f t="shared" si="0"/>
        <v>1.3736696770087264E-2</v>
      </c>
      <c r="E6">
        <f t="shared" si="0"/>
        <v>7.1210619379968615E-2</v>
      </c>
      <c r="F6">
        <f t="shared" si="0"/>
        <v>7.1210619379968615E-2</v>
      </c>
      <c r="G6">
        <f t="shared" si="0"/>
        <v>2.3810274401484595E-2</v>
      </c>
      <c r="H6">
        <f t="shared" si="0"/>
        <v>7.1210619379968615E-2</v>
      </c>
      <c r="I6">
        <f t="shared" si="0"/>
        <v>-4.5788989233624218E-3</v>
      </c>
      <c r="J6">
        <f t="shared" si="0"/>
        <v>-5.7729872669432442E-2</v>
      </c>
      <c r="K6">
        <f t="shared" si="0"/>
        <v>-0.11327023120960888</v>
      </c>
      <c r="L6">
        <f t="shared" si="0"/>
        <v>0.20646756047733122</v>
      </c>
      <c r="M6">
        <f t="shared" si="0"/>
        <v>-5.0057662323048653E-2</v>
      </c>
      <c r="N6">
        <f t="shared" si="0"/>
        <v>9.2796417486756702E-4</v>
      </c>
      <c r="O6">
        <f t="shared" si="0"/>
        <v>7.1677561450444349E-2</v>
      </c>
      <c r="P6">
        <f t="shared" si="0"/>
        <v>2.1978714832139618E-2</v>
      </c>
      <c r="Q6">
        <f t="shared" si="0"/>
        <v>1.7724214122440893E-2</v>
      </c>
      <c r="R6">
        <f t="shared" si="0"/>
        <v>-6.2233199213274646E-3</v>
      </c>
      <c r="S6">
        <f t="shared" si="0"/>
        <v>3.3677125558882557E-3</v>
      </c>
      <c r="T6">
        <f t="shared" si="0"/>
        <v>-1.4318822532873773E-2</v>
      </c>
      <c r="U6">
        <f t="shared" si="0"/>
        <v>2.7423101302979209E-4</v>
      </c>
      <c r="V6">
        <f t="shared" si="0"/>
        <v>2.583505185322945E-2</v>
      </c>
      <c r="W6">
        <f t="shared" si="0"/>
        <v>-6.5496145174722312E-2</v>
      </c>
      <c r="X6">
        <f t="shared" si="0"/>
        <v>9.5838154987310364E-3</v>
      </c>
      <c r="Y6">
        <f t="shared" si="0"/>
        <v>2.4336435643808989E-2</v>
      </c>
      <c r="Z6">
        <f t="shared" si="0"/>
        <v>-6.1192822458182292E-2</v>
      </c>
      <c r="AA6">
        <f t="shared" si="0"/>
        <v>1.1905137200742297E-2</v>
      </c>
      <c r="AB6">
        <f t="shared" si="0"/>
        <v>-6.1192822458182292E-2</v>
      </c>
      <c r="AC6">
        <f t="shared" si="0"/>
        <v>-1.632229783085291E-2</v>
      </c>
      <c r="AD6">
        <f t="shared" si="0"/>
        <v>1.8315595693449687E-2</v>
      </c>
      <c r="AE6">
        <f t="shared" si="0"/>
        <v>6.4104584927073896E-3</v>
      </c>
      <c r="AF6">
        <f t="shared" si="0"/>
        <v>1.3643261340305069E-2</v>
      </c>
      <c r="AG6">
        <f t="shared" si="0"/>
        <v>5.9669924007771706E-2</v>
      </c>
      <c r="AH6">
        <f t="shared" ref="AH6:BA6" si="1">IF(AH5="",AH4*$B$2,AH5)</f>
        <v>2.3144565003807113E-2</v>
      </c>
      <c r="AI6">
        <f t="shared" si="1"/>
        <v>1.6945999165965075E-2</v>
      </c>
      <c r="AJ6">
        <f t="shared" si="1"/>
        <v>1.9231375478122172E-2</v>
      </c>
      <c r="AK6">
        <f t="shared" si="1"/>
        <v>2.1062935047467139E-2</v>
      </c>
      <c r="AL6">
        <f t="shared" si="1"/>
        <v>2.3640703022350027E-2</v>
      </c>
      <c r="AM6">
        <f t="shared" si="1"/>
        <v>2.5641833970829558E-2</v>
      </c>
      <c r="AN6">
        <f t="shared" si="1"/>
        <v>2.1062935047467139E-2</v>
      </c>
      <c r="AO6">
        <f t="shared" si="1"/>
        <v>3.3584466571164276E-2</v>
      </c>
      <c r="AP6">
        <f t="shared" si="1"/>
        <v>2.472605418615708E-2</v>
      </c>
      <c r="AQ6">
        <f t="shared" si="1"/>
        <v>3.1173342353527998E-2</v>
      </c>
      <c r="AR6">
        <f t="shared" si="1"/>
        <v>1.8315595693449687E-2</v>
      </c>
      <c r="AS6">
        <f t="shared" si="1"/>
        <v>1.7399815908777202E-2</v>
      </c>
      <c r="AT6">
        <f t="shared" si="1"/>
        <v>2.0415749694575165E-2</v>
      </c>
      <c r="AU6">
        <f t="shared" si="1"/>
        <v>2.1818058312807184E-2</v>
      </c>
      <c r="AV6">
        <f t="shared" si="1"/>
        <v>4.6386201811432345E-3</v>
      </c>
      <c r="AW6">
        <f t="shared" si="1"/>
        <v>4.3278060271852688E-3</v>
      </c>
      <c r="AX6">
        <f t="shared" si="1"/>
        <v>2.5370189553479222E-2</v>
      </c>
      <c r="AY6">
        <f t="shared" si="1"/>
        <v>2.0147155262794657E-2</v>
      </c>
      <c r="AZ6">
        <f t="shared" si="1"/>
        <v>1.9296169387474089E-2</v>
      </c>
      <c r="BA6">
        <f t="shared" si="1"/>
        <v>1.648403612410472E-2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3"/>
  <sheetViews>
    <sheetView workbookViewId="0"/>
  </sheetViews>
  <sheetFormatPr defaultRowHeight="15" x14ac:dyDescent="0.25"/>
  <sheetData>
    <row r="1" spans="1:53" x14ac:dyDescent="0.25">
      <c r="A1" s="1" t="s">
        <v>1624</v>
      </c>
    </row>
    <row r="2" spans="1:53" x14ac:dyDescent="0.25">
      <c r="A2" s="1" t="s">
        <v>1620</v>
      </c>
      <c r="B2" s="1" t="s">
        <v>24</v>
      </c>
      <c r="C2" s="1" t="s">
        <v>35</v>
      </c>
      <c r="D2" s="1" t="s">
        <v>37</v>
      </c>
      <c r="E2" s="1" t="s">
        <v>42</v>
      </c>
      <c r="F2" s="1" t="s">
        <v>40</v>
      </c>
      <c r="G2" s="1" t="s">
        <v>44</v>
      </c>
      <c r="H2" s="1" t="s">
        <v>47</v>
      </c>
      <c r="I2" s="1" t="s">
        <v>50</v>
      </c>
      <c r="J2" s="1" t="s">
        <v>246</v>
      </c>
      <c r="K2" s="1" t="s">
        <v>276</v>
      </c>
      <c r="L2" s="1" t="s">
        <v>81</v>
      </c>
      <c r="M2" s="1" t="s">
        <v>285</v>
      </c>
      <c r="N2" s="1" t="s">
        <v>296</v>
      </c>
      <c r="O2" s="1" t="s">
        <v>301</v>
      </c>
      <c r="P2" s="1" t="s">
        <v>309</v>
      </c>
      <c r="Q2" s="1" t="s">
        <v>322</v>
      </c>
      <c r="R2" s="1" t="s">
        <v>88</v>
      </c>
      <c r="S2" s="1" t="s">
        <v>86</v>
      </c>
      <c r="T2" s="1" t="s">
        <v>100</v>
      </c>
      <c r="U2" s="1" t="s">
        <v>103</v>
      </c>
      <c r="V2" s="1" t="s">
        <v>112</v>
      </c>
      <c r="W2" s="1" t="s">
        <v>162</v>
      </c>
      <c r="X2" s="1" t="s">
        <v>183</v>
      </c>
      <c r="Y2" s="1" t="s">
        <v>133</v>
      </c>
      <c r="Z2" s="1" t="s">
        <v>198</v>
      </c>
      <c r="AA2" s="1" t="s">
        <v>220</v>
      </c>
      <c r="AB2" s="1" t="s">
        <v>213</v>
      </c>
      <c r="AC2" s="1" t="s">
        <v>226</v>
      </c>
      <c r="AD2" s="1" t="s">
        <v>53</v>
      </c>
      <c r="AE2" s="1" t="s">
        <v>64</v>
      </c>
      <c r="AF2" s="1" t="s">
        <v>66</v>
      </c>
      <c r="AG2" s="1" t="s">
        <v>68</v>
      </c>
      <c r="AH2" s="1" t="s">
        <v>333</v>
      </c>
      <c r="AI2" s="1" t="s">
        <v>359</v>
      </c>
      <c r="AJ2" s="1" t="s">
        <v>361</v>
      </c>
      <c r="AK2" s="1" t="s">
        <v>357</v>
      </c>
      <c r="AL2" s="1" t="s">
        <v>366</v>
      </c>
      <c r="AM2" s="1" t="s">
        <v>368</v>
      </c>
      <c r="AN2" s="1" t="s">
        <v>459</v>
      </c>
      <c r="AO2" s="1" t="s">
        <v>371</v>
      </c>
      <c r="AP2" s="1" t="s">
        <v>381</v>
      </c>
      <c r="AQ2" s="1" t="s">
        <v>385</v>
      </c>
      <c r="AR2" s="1" t="s">
        <v>389</v>
      </c>
      <c r="AS2" s="1" t="s">
        <v>398</v>
      </c>
      <c r="AT2" s="1" t="s">
        <v>406</v>
      </c>
      <c r="AU2" s="1" t="s">
        <v>422</v>
      </c>
      <c r="AV2" s="1" t="s">
        <v>478</v>
      </c>
      <c r="AW2" s="1" t="s">
        <v>432</v>
      </c>
      <c r="AX2" s="1" t="s">
        <v>436</v>
      </c>
      <c r="AY2" s="1" t="s">
        <v>450</v>
      </c>
      <c r="AZ2" s="1" t="s">
        <v>465</v>
      </c>
      <c r="BA2" s="1" t="s">
        <v>476</v>
      </c>
    </row>
    <row r="3" spans="1:53" x14ac:dyDescent="0.25">
      <c r="A3" t="s">
        <v>1625</v>
      </c>
      <c r="B3">
        <f>SUMIFS('2024 Data'!$C$4:$C$417,'2024 Data'!$E$4:$E$417,B2)</f>
        <v>597715</v>
      </c>
      <c r="C3">
        <f>SUMIFS('2024 Data'!$C$4:$C$417,'2024 Data'!$E$4:$E$417,C2)</f>
        <v>26473</v>
      </c>
      <c r="D3">
        <f>SUMIFS('2024 Data'!$C$4:$C$417,'2024 Data'!$E$4:$E$417,D2)</f>
        <v>9657</v>
      </c>
      <c r="E3">
        <f>SUMIFS('2024 Data'!$C$4:$C$417,'2024 Data'!$E$4:$E$417,E2)</f>
        <v>46019</v>
      </c>
      <c r="F3">
        <f>SUMIFS('2024 Data'!$C$4:$C$417,'2024 Data'!$E$4:$E$417,F2)</f>
        <v>455994</v>
      </c>
      <c r="G3">
        <f>SUMIFS('2024 Data'!$C$4:$C$417,'2024 Data'!$E$4:$E$417,G2)</f>
        <v>40605</v>
      </c>
      <c r="H3">
        <f>SUMIFS('2024 Data'!$C$4:$C$417,'2024 Data'!$E$4:$E$417,H2)</f>
        <v>53228</v>
      </c>
      <c r="I3">
        <f>SUMIFS('2024 Data'!$C$4:$C$417,'2024 Data'!$E$4:$E$417,I2)</f>
        <v>110561</v>
      </c>
      <c r="J3">
        <f>SUMIFS('2024 Data'!$C$4:$C$417,'2024 Data'!$E$4:$E$417,J2)</f>
        <v>1252875</v>
      </c>
      <c r="K3">
        <f>SUMIFS('2024 Data'!$C$4:$C$417,'2024 Data'!$E$4:$E$417,K2)</f>
        <v>68708</v>
      </c>
      <c r="L3">
        <f>SUMIFS('2024 Data'!$C$4:$C$417,'2024 Data'!$E$4:$E$417,L2)</f>
        <v>174156</v>
      </c>
      <c r="M3">
        <f>SUMIFS('2024 Data'!$C$4:$C$417,'2024 Data'!$E$4:$E$417,M2)</f>
        <v>303246</v>
      </c>
      <c r="N3">
        <f>SUMIFS('2024 Data'!$C$4:$C$417,'2024 Data'!$E$4:$E$417,N2)</f>
        <v>625936</v>
      </c>
      <c r="O3">
        <f>SUMIFS('2024 Data'!$C$4:$C$417,'2024 Data'!$E$4:$E$417,O2)</f>
        <v>662432</v>
      </c>
      <c r="P3">
        <f>SUMIFS('2024 Data'!$C$4:$C$417,'2024 Data'!$E$4:$E$417,P2)</f>
        <v>333392</v>
      </c>
      <c r="Q3">
        <f>SUMIFS('2024 Data'!$C$4:$C$417,'2024 Data'!$E$4:$E$417,Q2)</f>
        <v>298376</v>
      </c>
      <c r="R3">
        <f>SUMIFS('2024 Data'!$C$4:$C$417,'2024 Data'!$E$4:$E$417,R2)</f>
        <v>33702</v>
      </c>
      <c r="S3">
        <f>SUMIFS('2024 Data'!$C$4:$C$417,'2024 Data'!$E$4:$E$417,S2)</f>
        <v>141586</v>
      </c>
      <c r="T3">
        <f>SUMIFS('2024 Data'!$C$4:$C$417,'2024 Data'!$E$4:$E$417,T2)</f>
        <v>213917</v>
      </c>
      <c r="U3">
        <f>SUMIFS('2024 Data'!$C$4:$C$417,'2024 Data'!$E$4:$E$417,U2)</f>
        <v>112877</v>
      </c>
      <c r="V3">
        <f>SUMIFS('2024 Data'!$C$4:$C$417,'2024 Data'!$E$4:$E$417,V2)</f>
        <v>460495</v>
      </c>
      <c r="W3">
        <f>SUMIFS('2024 Data'!$C$4:$C$417,'2024 Data'!$E$4:$E$417,W2)</f>
        <v>412591</v>
      </c>
      <c r="X3">
        <f>SUMIFS('2024 Data'!$C$4:$C$417,'2024 Data'!$E$4:$E$417,X2)</f>
        <v>192695</v>
      </c>
      <c r="Y3">
        <f>SUMIFS('2024 Data'!$C$4:$C$417,'2024 Data'!$E$4:$E$417,Y2)</f>
        <v>436724</v>
      </c>
      <c r="Z3">
        <f>SUMIFS('2024 Data'!$C$4:$C$417,'2024 Data'!$E$4:$E$417,Z2)</f>
        <v>770967</v>
      </c>
      <c r="AA3">
        <f>SUMIFS('2024 Data'!$C$4:$C$417,'2024 Data'!$E$4:$E$417,AA2)</f>
        <v>44177</v>
      </c>
      <c r="AB3">
        <f>SUMIFS('2024 Data'!$C$4:$C$417,'2024 Data'!$E$4:$E$417,AB2)</f>
        <v>332963</v>
      </c>
      <c r="AC3">
        <f>SUMIFS('2024 Data'!$C$4:$C$417,'2024 Data'!$E$4:$E$417,AC2)</f>
        <v>324979</v>
      </c>
      <c r="AD3">
        <f>SUMIFS('2024 Data'!$C$4:$C$417,'2024 Data'!$E$4:$E$417,AD2)</f>
        <v>502911</v>
      </c>
      <c r="AE3">
        <f>SUMIFS('2024 Data'!$C$4:$C$417,'2024 Data'!$E$4:$E$417,AE2)</f>
        <v>118202</v>
      </c>
      <c r="AF3">
        <f>SUMIFS('2024 Data'!$C$4:$C$417,'2024 Data'!$E$4:$E$417,AF2)</f>
        <v>199697</v>
      </c>
      <c r="AG3">
        <f>SUMIFS('2024 Data'!$C$4:$C$417,'2024 Data'!$E$4:$E$417,AG2)</f>
        <v>2511508</v>
      </c>
      <c r="AH3">
        <f>SUMIFS('2024 Data'!$C$4:$C$417,'2024 Data'!$E$4:$E$417,AH2)</f>
        <v>5996340</v>
      </c>
      <c r="AI3">
        <f>SUMIFS('2024 Data'!$C$4:$C$417,'2024 Data'!$E$4:$E$417,AI2)</f>
        <v>870829</v>
      </c>
      <c r="AJ3">
        <f>SUMIFS('2024 Data'!$C$4:$C$417,'2024 Data'!$E$4:$E$417,AJ2)</f>
        <v>77558</v>
      </c>
      <c r="AK3">
        <f>SUMIFS('2024 Data'!$C$4:$C$417,'2024 Data'!$E$4:$E$417,AK2)</f>
        <v>329276</v>
      </c>
      <c r="AL3">
        <f>SUMIFS('2024 Data'!$C$4:$C$417,'2024 Data'!$E$4:$E$417,AL2)</f>
        <v>389564</v>
      </c>
      <c r="AM3">
        <f>SUMIFS('2024 Data'!$C$4:$C$417,'2024 Data'!$E$4:$E$417,AM2)</f>
        <v>153965</v>
      </c>
      <c r="AN3">
        <f>SUMIFS('2024 Data'!$C$4:$C$417,'2024 Data'!$E$4:$E$417,AN2)</f>
        <v>1746372</v>
      </c>
      <c r="AO3">
        <f>SUMIFS('2024 Data'!$C$4:$C$417,'2024 Data'!$E$4:$E$417,AO2)</f>
        <v>1090435</v>
      </c>
      <c r="AP3">
        <f>SUMIFS('2024 Data'!$C$4:$C$417,'2024 Data'!$E$4:$E$417,AP2)</f>
        <v>706729</v>
      </c>
      <c r="AQ3">
        <f>SUMIFS('2024 Data'!$C$4:$C$417,'2024 Data'!$E$4:$E$417,AQ2)</f>
        <v>1624294</v>
      </c>
      <c r="AR3">
        <f>SUMIFS('2024 Data'!$C$4:$C$417,'2024 Data'!$E$4:$E$417,AR2)</f>
        <v>4157289</v>
      </c>
      <c r="AS3">
        <f>SUMIFS('2024 Data'!$C$4:$C$417,'2024 Data'!$E$4:$E$417,AS2)</f>
        <v>5881026</v>
      </c>
      <c r="AT3">
        <f>SUMIFS('2024 Data'!$C$4:$C$417,'2024 Data'!$E$4:$E$417,AT2)</f>
        <v>3613220</v>
      </c>
      <c r="AU3">
        <f>SUMIFS('2024 Data'!$C$4:$C$417,'2024 Data'!$E$4:$E$417,AU2)</f>
        <v>1337604</v>
      </c>
      <c r="AV3">
        <f>SUMIFS('2024 Data'!$C$4:$C$417,'2024 Data'!$E$4:$E$417,AV2)</f>
        <v>5427497</v>
      </c>
      <c r="AW3">
        <f>SUMIFS('2024 Data'!$C$4:$C$417,'2024 Data'!$E$4:$E$417,AW2)</f>
        <v>495757</v>
      </c>
      <c r="AX3">
        <f>SUMIFS('2024 Data'!$C$4:$C$417,'2024 Data'!$E$4:$E$417,AX2)</f>
        <v>3588192</v>
      </c>
      <c r="AY3">
        <f>SUMIFS('2024 Data'!$C$4:$C$417,'2024 Data'!$E$4:$E$417,AY2)</f>
        <v>570822</v>
      </c>
      <c r="AZ3">
        <f>SUMIFS('2024 Data'!$C$4:$C$417,'2024 Data'!$E$4:$E$417,AZ2)</f>
        <v>783040</v>
      </c>
      <c r="BA3">
        <f>SUMIFS('2024 Data'!$C$4:$C$417,'2024 Data'!$E$4:$E$417,BA2)</f>
        <v>27382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s="1" t="s">
        <v>1626</v>
      </c>
    </row>
    <row r="3" spans="1:3" x14ac:dyDescent="0.25">
      <c r="A3" t="s">
        <v>1627</v>
      </c>
    </row>
    <row r="4" spans="1:3" x14ac:dyDescent="0.25">
      <c r="B4">
        <f>SUMIFS('2024 Data'!$C$4:$C$417,'2024 Data'!$E$4:$E$417,"")</f>
        <v>0</v>
      </c>
      <c r="C4" s="1" t="str">
        <f>IF(B4=0,"PASS","INSPECT")</f>
        <v>PASS</v>
      </c>
    </row>
    <row r="6" spans="1:3" x14ac:dyDescent="0.25">
      <c r="A6" t="s">
        <v>1628</v>
      </c>
    </row>
    <row r="7" spans="1:3" x14ac:dyDescent="0.25">
      <c r="B7">
        <f>SUM(Calculations!B3:BA3)-(SUM('2024 Data'!$C$4:$C$417)-B4)</f>
        <v>0</v>
      </c>
      <c r="C7" s="1" t="str">
        <f>IF(ABS(B7)&lt;0.01,"PASS","FAIL")</f>
        <v>PASS</v>
      </c>
    </row>
    <row r="9" spans="1:3" x14ac:dyDescent="0.25">
      <c r="A9" t="s">
        <v>1629</v>
      </c>
    </row>
    <row r="10" spans="1:3" x14ac:dyDescent="0.25">
      <c r="B10">
        <f>SUM(BObIC!B2:BA2)/SUM(SYObIC!B2:BA2)-1</f>
        <v>1.5981174473046256E-2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BA2"/>
  <sheetViews>
    <sheetView workbookViewId="0"/>
  </sheetViews>
  <sheetFormatPr defaultRowHeight="15" x14ac:dyDescent="0.25"/>
  <sheetData>
    <row r="1" spans="1:53" x14ac:dyDescent="0.25">
      <c r="A1" t="s">
        <v>1630</v>
      </c>
      <c r="B1" s="1" t="s">
        <v>24</v>
      </c>
      <c r="C1" s="1" t="s">
        <v>35</v>
      </c>
      <c r="D1" s="1" t="s">
        <v>37</v>
      </c>
      <c r="E1" s="1" t="s">
        <v>42</v>
      </c>
      <c r="F1" s="1" t="s">
        <v>40</v>
      </c>
      <c r="G1" s="1" t="s">
        <v>44</v>
      </c>
      <c r="H1" s="1" t="s">
        <v>47</v>
      </c>
      <c r="I1" s="1" t="s">
        <v>50</v>
      </c>
      <c r="J1" s="1" t="s">
        <v>246</v>
      </c>
      <c r="K1" s="1" t="s">
        <v>276</v>
      </c>
      <c r="L1" s="1" t="s">
        <v>81</v>
      </c>
      <c r="M1" s="1" t="s">
        <v>285</v>
      </c>
      <c r="N1" s="1" t="s">
        <v>296</v>
      </c>
      <c r="O1" s="1" t="s">
        <v>301</v>
      </c>
      <c r="P1" s="1" t="s">
        <v>309</v>
      </c>
      <c r="Q1" s="1" t="s">
        <v>322</v>
      </c>
      <c r="R1" s="1" t="s">
        <v>88</v>
      </c>
      <c r="S1" s="1" t="s">
        <v>86</v>
      </c>
      <c r="T1" s="1" t="s">
        <v>100</v>
      </c>
      <c r="U1" s="1" t="s">
        <v>103</v>
      </c>
      <c r="V1" s="1" t="s">
        <v>112</v>
      </c>
      <c r="W1" s="1" t="s">
        <v>162</v>
      </c>
      <c r="X1" s="1" t="s">
        <v>183</v>
      </c>
      <c r="Y1" s="1" t="s">
        <v>133</v>
      </c>
      <c r="Z1" s="1" t="s">
        <v>198</v>
      </c>
      <c r="AA1" s="1" t="s">
        <v>220</v>
      </c>
      <c r="AB1" s="1" t="s">
        <v>213</v>
      </c>
      <c r="AC1" s="1" t="s">
        <v>226</v>
      </c>
      <c r="AD1" s="1" t="s">
        <v>53</v>
      </c>
      <c r="AE1" s="1" t="s">
        <v>64</v>
      </c>
      <c r="AF1" s="1" t="s">
        <v>66</v>
      </c>
      <c r="AG1" s="1" t="s">
        <v>68</v>
      </c>
      <c r="AH1" s="1" t="s">
        <v>333</v>
      </c>
      <c r="AI1" s="1" t="s">
        <v>359</v>
      </c>
      <c r="AJ1" s="1" t="s">
        <v>361</v>
      </c>
      <c r="AK1" s="1" t="s">
        <v>357</v>
      </c>
      <c r="AL1" s="1" t="s">
        <v>366</v>
      </c>
      <c r="AM1" s="1" t="s">
        <v>368</v>
      </c>
      <c r="AN1" s="1" t="s">
        <v>459</v>
      </c>
      <c r="AO1" s="1" t="s">
        <v>371</v>
      </c>
      <c r="AP1" s="1" t="s">
        <v>381</v>
      </c>
      <c r="AQ1" s="1" t="s">
        <v>385</v>
      </c>
      <c r="AR1" s="1" t="s">
        <v>389</v>
      </c>
      <c r="AS1" s="1" t="s">
        <v>398</v>
      </c>
      <c r="AT1" s="1" t="s">
        <v>406</v>
      </c>
      <c r="AU1" s="1" t="s">
        <v>422</v>
      </c>
      <c r="AV1" s="1" t="s">
        <v>478</v>
      </c>
      <c r="AW1" s="1" t="s">
        <v>432</v>
      </c>
      <c r="AX1" s="1" t="s">
        <v>436</v>
      </c>
      <c r="AY1" s="1" t="s">
        <v>450</v>
      </c>
      <c r="AZ1" s="1" t="s">
        <v>465</v>
      </c>
      <c r="BA1" s="1" t="s">
        <v>476</v>
      </c>
    </row>
    <row r="2" spans="1:53" x14ac:dyDescent="0.25">
      <c r="A2" t="s">
        <v>1631</v>
      </c>
      <c r="B2">
        <f>Calculations!B3*10^6*About!$A$20</f>
        <v>437477175514.60199</v>
      </c>
      <c r="C2">
        <f>Calculations!C3*10^6*About!$A$20</f>
        <v>19376012426.320332</v>
      </c>
      <c r="D2">
        <f>Calculations!D3*10^6*About!$A$20</f>
        <v>7068112869.7531624</v>
      </c>
      <c r="E2">
        <f>Calculations!E3*10^6*About!$A$20</f>
        <v>33682042679.214119</v>
      </c>
      <c r="F2">
        <f>Calculations!F3*10^6*About!$A$20</f>
        <v>333749307231.04724</v>
      </c>
      <c r="G2">
        <f>Calculations!G3*10^6*About!$A$20</f>
        <v>29719449422.835987</v>
      </c>
      <c r="H2">
        <f>Calculations!H3*10^6*About!$A$20</f>
        <v>38958425166.327148</v>
      </c>
      <c r="I2">
        <f>Calculations!I3*10^6*About!$A$20</f>
        <v>80921365537.204041</v>
      </c>
      <c r="J2">
        <f>Calculations!J3*10^6*About!$A$20</f>
        <v>916999265992.75061</v>
      </c>
      <c r="K2">
        <f>Calculations!K3*10^6*About!$A$20</f>
        <v>50288484938.904449</v>
      </c>
      <c r="L2">
        <f>Calculations!L3*10^6*About!$A$20</f>
        <v>127467563937.53046</v>
      </c>
      <c r="M2">
        <f>Calculations!M3*10^6*About!$A$20</f>
        <v>221950601149.54617</v>
      </c>
      <c r="N2">
        <f>Calculations!N3*10^6*About!$A$20</f>
        <v>458132577119.3761</v>
      </c>
      <c r="O2">
        <f>Calculations!O3*10^6*About!$A$20</f>
        <v>484844583673.63849</v>
      </c>
      <c r="P2">
        <f>Calculations!P3*10^6*About!$A$20</f>
        <v>244014941065.83267</v>
      </c>
      <c r="Q2">
        <f>Calculations!Q3*10^6*About!$A$20</f>
        <v>218386170200.42139</v>
      </c>
      <c r="R2">
        <f>Calculations!R3*10^6*About!$A$20</f>
        <v>24667033233.552975</v>
      </c>
      <c r="S2">
        <f>Calculations!S3*10^6*About!$A$20</f>
        <v>103629059622.74736</v>
      </c>
      <c r="T2">
        <f>Calculations!T3*10^6*About!$A$20</f>
        <v>156569276251.31897</v>
      </c>
      <c r="U2">
        <f>Calculations!U3*10^6*About!$A$20</f>
        <v>82616483007.054749</v>
      </c>
      <c r="V2">
        <f>Calculations!V3*10^6*About!$A$20</f>
        <v>337043661173.96527</v>
      </c>
      <c r="W2">
        <f>Calculations!W3*10^6*About!$A$20</f>
        <v>301981956823.47797</v>
      </c>
      <c r="X2">
        <f>Calculations!X3*10^6*About!$A$20</f>
        <v>141036554772.40195</v>
      </c>
      <c r="Y2">
        <f>Calculations!Y3*10^6*About!$A$20</f>
        <v>319645285795.80408</v>
      </c>
      <c r="Z2">
        <f>Calculations!Z3*10^6*About!$A$20</f>
        <v>564283087382.72607</v>
      </c>
      <c r="AA2">
        <f>Calculations!AA3*10^6*About!$A$20</f>
        <v>32333853396.198139</v>
      </c>
      <c r="AB2">
        <f>Calculations!AB3*10^6*About!$A$20</f>
        <v>243700949099.26706</v>
      </c>
      <c r="AC2">
        <f>Calculations!AC3*10^6*About!$A$20</f>
        <v>237857331707.5192</v>
      </c>
      <c r="AD2">
        <f>Calculations!AD3*10^6*About!$A$20</f>
        <v>368088610483.63184</v>
      </c>
      <c r="AE2">
        <f>Calculations!AE3*10^6*About!$A$20</f>
        <v>86513935738.90062</v>
      </c>
      <c r="AF2">
        <f>Calculations!AF3*10^6*About!$A$20</f>
        <v>146161430646.27701</v>
      </c>
      <c r="AG2">
        <f>Calculations!AG3*10^6*About!$A$20</f>
        <v>1838212904347.9368</v>
      </c>
      <c r="AH2">
        <f>Calculations!AH3*10^6*About!$A$20</f>
        <v>4388817223300.7847</v>
      </c>
      <c r="AI2">
        <f>Calculations!AI3*10^6*About!$A$20</f>
        <v>637373683571.94531</v>
      </c>
      <c r="AJ2">
        <f>Calculations!AJ3*10^6*About!$A$20</f>
        <v>56765941591.83139</v>
      </c>
      <c r="AK2">
        <f>Calculations!AK3*10^6*About!$A$20</f>
        <v>241002374785.21716</v>
      </c>
      <c r="AL2">
        <f>Calculations!AL3*10^6*About!$A$20</f>
        <v>285128126953.76624</v>
      </c>
      <c r="AM2">
        <f>Calculations!AM3*10^6*About!$A$20</f>
        <v>112689447860.77928</v>
      </c>
      <c r="AN2">
        <f>Calculations!AN3*10^6*About!$A$20</f>
        <v>1278197619196.0825</v>
      </c>
      <c r="AO2">
        <f>Calculations!AO3*10^6*About!$A$20</f>
        <v>798106829981.28711</v>
      </c>
      <c r="AP2">
        <f>Calculations!AP3*10^6*About!$A$20</f>
        <v>517266266990.55426</v>
      </c>
      <c r="AQ2">
        <f>Calculations!AQ3*10^6*About!$A$20</f>
        <v>1188846777018.0017</v>
      </c>
      <c r="AR2">
        <f>Calculations!AR3*10^6*About!$A$20</f>
        <v>3042786360586.4404</v>
      </c>
      <c r="AS2">
        <f>Calculations!AS3*10^6*About!$A$20</f>
        <v>4304417060987.1553</v>
      </c>
      <c r="AT2">
        <f>Calculations!AT3*10^6*About!$A$20</f>
        <v>2644573551128.665</v>
      </c>
      <c r="AU2">
        <f>Calculations!AU3*10^6*About!$A$20</f>
        <v>979013777263.46777</v>
      </c>
      <c r="AV2">
        <f>Calculations!AV3*10^6*About!$A$20</f>
        <v>3972471926710.8501</v>
      </c>
      <c r="AW2">
        <f>Calculations!AW3*10^6*About!$A$20</f>
        <v>362852483376.84772</v>
      </c>
      <c r="AX2">
        <f>Calculations!AX3*10^6*About!$A$20</f>
        <v>2626255157330.9868</v>
      </c>
      <c r="AY2">
        <f>Calculations!AY3*10^6*About!$A$20</f>
        <v>417793758365.76984</v>
      </c>
      <c r="AZ2">
        <f>Calculations!AZ3*10^6*About!$A$20</f>
        <v>573119509322.92798</v>
      </c>
      <c r="BA2">
        <f>Calculations!BA3*10^6*About!$A$20</f>
        <v>20041324075.756557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BA2"/>
  <sheetViews>
    <sheetView workbookViewId="0"/>
  </sheetViews>
  <sheetFormatPr defaultRowHeight="15" x14ac:dyDescent="0.25"/>
  <sheetData>
    <row r="1" spans="1:53" x14ac:dyDescent="0.25">
      <c r="A1" t="s">
        <v>1630</v>
      </c>
      <c r="B1" s="1" t="s">
        <v>24</v>
      </c>
      <c r="C1" s="1" t="s">
        <v>35</v>
      </c>
      <c r="D1" s="1" t="s">
        <v>37</v>
      </c>
      <c r="E1" s="1" t="s">
        <v>42</v>
      </c>
      <c r="F1" s="1" t="s">
        <v>40</v>
      </c>
      <c r="G1" s="1" t="s">
        <v>44</v>
      </c>
      <c r="H1" s="1" t="s">
        <v>47</v>
      </c>
      <c r="I1" s="1" t="s">
        <v>50</v>
      </c>
      <c r="J1" s="1" t="s">
        <v>246</v>
      </c>
      <c r="K1" s="1" t="s">
        <v>276</v>
      </c>
      <c r="L1" s="1" t="s">
        <v>81</v>
      </c>
      <c r="M1" s="1" t="s">
        <v>285</v>
      </c>
      <c r="N1" s="1" t="s">
        <v>296</v>
      </c>
      <c r="O1" s="1" t="s">
        <v>301</v>
      </c>
      <c r="P1" s="1" t="s">
        <v>309</v>
      </c>
      <c r="Q1" s="1" t="s">
        <v>322</v>
      </c>
      <c r="R1" s="1" t="s">
        <v>88</v>
      </c>
      <c r="S1" s="1" t="s">
        <v>86</v>
      </c>
      <c r="T1" s="1" t="s">
        <v>100</v>
      </c>
      <c r="U1" s="1" t="s">
        <v>103</v>
      </c>
      <c r="V1" s="1" t="s">
        <v>112</v>
      </c>
      <c r="W1" s="1" t="s">
        <v>162</v>
      </c>
      <c r="X1" s="1" t="s">
        <v>183</v>
      </c>
      <c r="Y1" s="1" t="s">
        <v>133</v>
      </c>
      <c r="Z1" s="1" t="s">
        <v>198</v>
      </c>
      <c r="AA1" s="1" t="s">
        <v>220</v>
      </c>
      <c r="AB1" s="1" t="s">
        <v>213</v>
      </c>
      <c r="AC1" s="1" t="s">
        <v>226</v>
      </c>
      <c r="AD1" s="1" t="s">
        <v>53</v>
      </c>
      <c r="AE1" s="1" t="s">
        <v>64</v>
      </c>
      <c r="AF1" s="1" t="s">
        <v>66</v>
      </c>
      <c r="AG1" s="1" t="s">
        <v>68</v>
      </c>
      <c r="AH1" s="1" t="s">
        <v>333</v>
      </c>
      <c r="AI1" s="1" t="s">
        <v>359</v>
      </c>
      <c r="AJ1" s="1" t="s">
        <v>361</v>
      </c>
      <c r="AK1" s="1" t="s">
        <v>357</v>
      </c>
      <c r="AL1" s="1" t="s">
        <v>366</v>
      </c>
      <c r="AM1" s="1" t="s">
        <v>368</v>
      </c>
      <c r="AN1" s="1" t="s">
        <v>459</v>
      </c>
      <c r="AO1" s="1" t="s">
        <v>371</v>
      </c>
      <c r="AP1" s="1" t="s">
        <v>381</v>
      </c>
      <c r="AQ1" s="1" t="s">
        <v>385</v>
      </c>
      <c r="AR1" s="1" t="s">
        <v>389</v>
      </c>
      <c r="AS1" s="1" t="s">
        <v>398</v>
      </c>
      <c r="AT1" s="1" t="s">
        <v>406</v>
      </c>
      <c r="AU1" s="1" t="s">
        <v>422</v>
      </c>
      <c r="AV1" s="1" t="s">
        <v>478</v>
      </c>
      <c r="AW1" s="1" t="s">
        <v>432</v>
      </c>
      <c r="AX1" s="1" t="s">
        <v>436</v>
      </c>
      <c r="AY1" s="1" t="s">
        <v>450</v>
      </c>
      <c r="AZ1" s="1" t="s">
        <v>465</v>
      </c>
      <c r="BA1" s="1" t="s">
        <v>476</v>
      </c>
    </row>
    <row r="2" spans="1:53" x14ac:dyDescent="0.25">
      <c r="A2" t="s">
        <v>1631</v>
      </c>
      <c r="B2">
        <f>SYObIC!B2*(1+'g2025 derivation'!B$6)</f>
        <v>394059122230.82343</v>
      </c>
      <c r="C2">
        <f>SYObIC!C2*(1+'g2025 derivation'!C$6)</f>
        <v>19659918994.121723</v>
      </c>
      <c r="D2">
        <f>SYObIC!D2*(1+'g2025 derivation'!D$6)</f>
        <v>7165205392.9817123</v>
      </c>
      <c r="E2">
        <f>SYObIC!E2*(1+'g2025 derivation'!E$6)</f>
        <v>36080561800.383492</v>
      </c>
      <c r="F2">
        <f>SYObIC!F2*(1+'g2025 derivation'!F$6)</f>
        <v>357515802116.60559</v>
      </c>
      <c r="G2">
        <f>SYObIC!G2*(1+'g2025 derivation'!G$6)</f>
        <v>30427077668.654755</v>
      </c>
      <c r="H2">
        <f>SYObIC!H2*(1+'g2025 derivation'!H$6)</f>
        <v>41732678752.489464</v>
      </c>
      <c r="I2">
        <f>SYObIC!I2*(1+'g2025 derivation'!I$6)</f>
        <v>80550834783.668716</v>
      </c>
      <c r="J2">
        <f>SYObIC!J2*(1+'g2025 derivation'!J$6)</f>
        <v>864061015129.02612</v>
      </c>
      <c r="K2">
        <f>SYObIC!K2*(1+'g2025 derivation'!K$6)</f>
        <v>44592296622.69381</v>
      </c>
      <c r="L2">
        <f>SYObIC!L2*(1+'g2025 derivation'!L$6)</f>
        <v>153785480903.70059</v>
      </c>
      <c r="M2">
        <f>SYObIC!M2*(1+'g2025 derivation'!M$6)</f>
        <v>210840272904.80453</v>
      </c>
      <c r="N2">
        <f>SYObIC!N2*(1+'g2025 derivation'!N$6)</f>
        <v>458557707738.28265</v>
      </c>
      <c r="O2">
        <f>SYObIC!O2*(1+'g2025 derivation'!O$6)</f>
        <v>519597061113.8208</v>
      </c>
      <c r="P2">
        <f>SYObIC!P2*(1+'g2025 derivation'!P$6)</f>
        <v>249378075870.29996</v>
      </c>
      <c r="Q2">
        <f>SYObIC!Q2*(1+'g2025 derivation'!Q$6)</f>
        <v>222256893442.4335</v>
      </c>
      <c r="R2">
        <f>SYObIC!R2*(1+'g2025 derivation'!R$6)</f>
        <v>24513522394.230556</v>
      </c>
      <c r="S2">
        <f>SYObIC!S2*(1+'g2025 derivation'!S$6)</f>
        <v>103978052507.99377</v>
      </c>
      <c r="T2">
        <f>SYObIC!T2*(1+'g2025 derivation'!T$6)</f>
        <v>154327388570.57584</v>
      </c>
      <c r="U2">
        <f>SYObIC!U2*(1+'g2025 derivation'!U$6)</f>
        <v>82639139008.882721</v>
      </c>
      <c r="V2">
        <f>SYObIC!V2*(1+'g2025 derivation'!V$6)</f>
        <v>345751201637.19702</v>
      </c>
      <c r="W2">
        <f>SYObIC!W2*(1+'g2025 derivation'!W$6)</f>
        <v>282203302739.2207</v>
      </c>
      <c r="X2">
        <f>SYObIC!X2*(1+'g2025 derivation'!X$6)</f>
        <v>142388223091.91733</v>
      </c>
      <c r="Y2">
        <f>SYObIC!Y2*(1+'g2025 derivation'!Y$6)</f>
        <v>327424312722.42059</v>
      </c>
      <c r="Z2">
        <f>SYObIC!Z2*(1+'g2025 derivation'!Z$6)</f>
        <v>529753012600.35999</v>
      </c>
      <c r="AA2">
        <f>SYObIC!AA2*(1+'g2025 derivation'!AA$6)</f>
        <v>32718792357.108566</v>
      </c>
      <c r="AB2">
        <f>SYObIC!AB2*(1+'g2025 derivation'!AB$6)</f>
        <v>228788200188.14511</v>
      </c>
      <c r="AC2">
        <f>SYObIC!AC2*(1+'g2025 derivation'!AC$6)</f>
        <v>233974953498.13708</v>
      </c>
      <c r="AD2">
        <f>SYObIC!AD2*(1+'g2025 derivation'!AD$6)</f>
        <v>374830372652.61377</v>
      </c>
      <c r="AE2">
        <f>SYObIC!AE2*(1+'g2025 derivation'!AE$6)</f>
        <v>87068529732.99559</v>
      </c>
      <c r="AF2">
        <f>SYObIC!AF2*(1+'g2025 derivation'!AF$6)</f>
        <v>148155549242.45703</v>
      </c>
      <c r="AG2">
        <f>SYObIC!AG2*(1+'g2025 derivation'!AG$6)</f>
        <v>1947898928660.4834</v>
      </c>
      <c r="AH2">
        <f>SYObIC!AH2*(1+'g2025 derivation'!AH$6)</f>
        <v>4490394488815.2979</v>
      </c>
      <c r="AI2">
        <f>SYObIC!AI2*(1+'g2025 derivation'!AI$6)</f>
        <v>648174617482.16357</v>
      </c>
      <c r="AJ2">
        <f>SYObIC!AJ2*(1+'g2025 derivation'!AJ$6)</f>
        <v>57857628728.953049</v>
      </c>
      <c r="AK2">
        <f>SYObIC!AK2*(1+'g2025 derivation'!AK$6)</f>
        <v>246078592151.60352</v>
      </c>
      <c r="AL2">
        <f>SYObIC!AL2*(1+'g2025 derivation'!AL$6)</f>
        <v>291868756326.39911</v>
      </c>
      <c r="AM2">
        <f>SYObIC!AM2*(1+'g2025 derivation'!AM$6)</f>
        <v>115579011973.08983</v>
      </c>
      <c r="AN2">
        <f>SYObIC!AN2*(1+'g2025 derivation'!AN$6)</f>
        <v>1305120212627.0369</v>
      </c>
      <c r="AO2">
        <f>SYObIC!AO2*(1+'g2025 derivation'!AO$6)</f>
        <v>824910822133.01147</v>
      </c>
      <c r="AP2">
        <f>SYObIC!AP2*(1+'g2025 derivation'!AP$6)</f>
        <v>530056220736.83392</v>
      </c>
      <c r="AQ2">
        <f>SYObIC!AQ2*(1+'g2025 derivation'!AQ$6)</f>
        <v>1225907104603.8723</v>
      </c>
      <c r="AR2">
        <f>SYObIC!AR2*(1+'g2025 derivation'!AR$6)</f>
        <v>3098516805348.4849</v>
      </c>
      <c r="AS2">
        <f>SYObIC!AS2*(1+'g2025 derivation'!AS$6)</f>
        <v>4379313125442.9312</v>
      </c>
      <c r="AT2">
        <f>SYObIC!AT2*(1+'g2025 derivation'!AT$6)</f>
        <v>2698564502797.4019</v>
      </c>
      <c r="AU2">
        <f>SYObIC!AU2*(1+'g2025 derivation'!AU$6)</f>
        <v>1000373956944.8438</v>
      </c>
      <c r="AV2">
        <f>SYObIC!AV2*(1+'g2025 derivation'!AV$6)</f>
        <v>3990898715159.1162</v>
      </c>
      <c r="AW2">
        <f>SYObIC!AW2*(1+'g2025 derivation'!AW$6)</f>
        <v>364422838541.38513</v>
      </c>
      <c r="AX2">
        <f>SYObIC!AX2*(1+'g2025 derivation'!AX$6)</f>
        <v>2692883748488.2764</v>
      </c>
      <c r="AY2">
        <f>SYObIC!AY2*(1+'g2025 derivation'!AY$6)</f>
        <v>426211114083.39154</v>
      </c>
      <c r="AZ2">
        <f>SYObIC!AZ2*(1+'g2025 derivation'!AZ$6)</f>
        <v>584178520454.08923</v>
      </c>
      <c r="BA2">
        <f>SYObIC!BA2*(1+'g2025 derivation'!BA$6)</f>
        <v>20371685985.796219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2024 Data</vt:lpstr>
      <vt:lpstr>BLS Table 2.11</vt:lpstr>
      <vt:lpstr>AEO25 Table 23</vt:lpstr>
      <vt:lpstr>AEO 2026 Table 23 </vt:lpstr>
      <vt:lpstr>g2025 derivation</vt:lpstr>
      <vt:lpstr>Calculations</vt:lpstr>
      <vt:lpstr>Checks</vt:lpstr>
      <vt:lpstr>SYObIC</vt:lpstr>
      <vt:lpstr>BObIC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2026-07-20T15:07:26Z</dcterms:created>
  <dcterms:modified xsi:type="dcterms:W3CDTF">2026-07-20T16:42:10Z</dcterms:modified>
</cp:coreProperties>
</file>