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nO'Brien\Models\EPS\US\eps-us\InputData\io-model\SYDERbPIC\"/>
    </mc:Choice>
  </mc:AlternateContent>
  <xr:revisionPtr revIDLastSave="0" documentId="13_ncr:1_{7D8D0B22-63E5-4ED7-88F6-FA02AC90C283}" xr6:coauthVersionLast="47" xr6:coauthVersionMax="47" xr10:uidLastSave="{00000000-0000-0000-0000-000000000000}"/>
  <bookViews>
    <workbookView xWindow="2685" yWindow="2685" windowWidth="21600" windowHeight="12645" activeTab="2" xr2:uid="{5EF2576B-993B-4CC3-A792-3E4B00343B75}"/>
  </bookViews>
  <sheets>
    <sheet name="About" sheetId="1" r:id="rId1"/>
    <sheet name="Calcs" sheetId="11" r:id="rId2"/>
    <sheet name="SYDERbPIC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<sst xmlns="http://schemas.openxmlformats.org/spreadsheetml/2006/main" count="95" uniqueCount="95">
  <si>
    <t>Source:</t>
  </si>
  <si>
    <t>Notes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</si>
  <si>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</si>
  <si>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</si>
  <si>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</si>
  <si>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</si>
  <si>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</si>
  <si>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</si>
  <si>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</si>
  <si>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</si>
  <si>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</si>
  <si>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</si>
  <si>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</si>
  <si>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</si>
  <si>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</si>
  <si>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</si>
  <si>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</si>
  <si>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</si>
  <si>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</si>
  <si>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</si>
  <si>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</si>
  <si>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</si>
  <si>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</si>
  <si>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</si>
  <si>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</si>
  <si>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</si>
  <si>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</si>
  <si>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</si>
  <si>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</si>
  <si>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</si>
  <si>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</si>
  <si>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</si>
  <si>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</si>
  <si>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Unit: USD</t>
  </si>
  <si>
    <t>Value Added</t>
  </si>
  <si>
    <t>ISIC 20</t>
  </si>
  <si>
    <t>ISIC 21</t>
  </si>
  <si>
    <t>ISIC 05</t>
  </si>
  <si>
    <t>ISIC 06</t>
  </si>
  <si>
    <t>ISIC 231</t>
  </si>
  <si>
    <t>ISIC 239</t>
  </si>
  <si>
    <t>ISIC 241</t>
  </si>
  <si>
    <t>ISIC 242</t>
  </si>
  <si>
    <t>ISIC 351</t>
  </si>
  <si>
    <t>ISIC 352T353</t>
  </si>
  <si>
    <t>ISIC 36T39</t>
  </si>
  <si>
    <t>SYDERbPIC Start Year Domestic Energy Revenue by Producing ISIC Code</t>
  </si>
  <si>
    <t>EPS</t>
  </si>
  <si>
    <t>using EPS' BAU Domestic Energy Revenue by Producing ISIC Code as a stand in</t>
  </si>
  <si>
    <t>to finish coding and then can do some work to calculate this exogenously in Excel</t>
  </si>
  <si>
    <t>2021 to 2012 USD:</t>
  </si>
  <si>
    <t>Revisit this with exogenous data</t>
  </si>
  <si>
    <t>Time (Year)</t>
  </si>
  <si>
    <t>BAU Domestic Energy Revenue by Producing ISIC Code[ISIC 01T03] : test</t>
  </si>
  <si>
    <t>BAU Domestic Energy Revenue by Producing ISIC Code[ISIC 05] : test</t>
  </si>
  <si>
    <t>BAU Domestic Energy Revenue by Producing ISIC Code[ISIC 06] : test</t>
  </si>
  <si>
    <t>BAU Domestic Energy Revenue by Producing ISIC Code[ISIC 07T08] : test</t>
  </si>
  <si>
    <t>BAU Domestic Energy Revenue by Producing ISIC Code[ISIC 09] : test</t>
  </si>
  <si>
    <t>BAU Domestic Energy Revenue by Producing ISIC Code[ISIC 10T12] : test</t>
  </si>
  <si>
    <t>BAU Domestic Energy Revenue by Producing ISIC Code[ISIC 13T15] : test</t>
  </si>
  <si>
    <t>BAU Domestic Energy Revenue by Producing ISIC Code[ISIC 16] : test</t>
  </si>
  <si>
    <t>BAU Domestic Energy Revenue by Producing ISIC Code[ISIC 17T18] : test</t>
  </si>
  <si>
    <t>BAU Domestic Energy Revenue by Producing ISIC Code[ISIC 19] : test</t>
  </si>
  <si>
    <t>BAU Domestic Energy Revenue by Producing ISIC Code[ISIC 20] : test</t>
  </si>
  <si>
    <t>BAU Domestic Energy Revenue by Producing ISIC Code[ISIC 21] : test</t>
  </si>
  <si>
    <t>BAU Domestic Energy Revenue by Producing ISIC Code[ISIC 22] : test</t>
  </si>
  <si>
    <t>BAU Domestic Energy Revenue by Producing ISIC Code[ISIC 231] : test</t>
  </si>
  <si>
    <t>BAU Domestic Energy Revenue by Producing ISIC Code[ISIC 239] : test</t>
  </si>
  <si>
    <t>BAU Domestic Energy Revenue by Producing ISIC Code[ISIC 241] : test</t>
  </si>
  <si>
    <t>BAU Domestic Energy Revenue by Producing ISIC Code[ISIC 242] : test</t>
  </si>
  <si>
    <t>BAU Domestic Energy Revenue by Producing ISIC Code[ISIC 25] : test</t>
  </si>
  <si>
    <t>BAU Domestic Energy Revenue by Producing ISIC Code[ISIC 26] : test</t>
  </si>
  <si>
    <t>BAU Domestic Energy Revenue by Producing ISIC Code[ISIC 27] : test</t>
  </si>
  <si>
    <t>BAU Domestic Energy Revenue by Producing ISIC Code[ISIC 28] : test</t>
  </si>
  <si>
    <t>BAU Domestic Energy Revenue by Producing ISIC Code[ISIC 29] : test</t>
  </si>
  <si>
    <t>BAU Domestic Energy Revenue by Producing ISIC Code[ISIC 30] : test</t>
  </si>
  <si>
    <t>BAU Domestic Energy Revenue by Producing ISIC Code[ISIC 31T33] : test</t>
  </si>
  <si>
    <t>BAU Domestic Energy Revenue by Producing ISIC Code[ISIC 351] : test</t>
  </si>
  <si>
    <t>BAU Domestic Energy Revenue by Producing ISIC Code[ISIC 352T353] : test</t>
  </si>
  <si>
    <t>BAU Domestic Energy Revenue by Producing ISIC Code[ISIC 36T39] : test</t>
  </si>
  <si>
    <t>BAU Domestic Energy Revenue by Producing ISIC Code[ISIC 41T43] : test</t>
  </si>
  <si>
    <t>BAU Domestic Energy Revenue by Producing ISIC Code[ISIC 45T47] : test</t>
  </si>
  <si>
    <t>BAU Domestic Energy Revenue by Producing ISIC Code[ISIC 49T53] : test</t>
  </si>
  <si>
    <t>BAU Domestic Energy Revenue by Producing ISIC Code[ISIC 55T56] : test</t>
  </si>
  <si>
    <t>BAU Domestic Energy Revenue by Producing ISIC Code[ISIC 58T60] : test</t>
  </si>
  <si>
    <t>BAU Domestic Energy Revenue by Producing ISIC Code[ISIC 61] : test</t>
  </si>
  <si>
    <t>BAU Domestic Energy Revenue by Producing ISIC Code[ISIC 62T63] : test</t>
  </si>
  <si>
    <t>BAU Domestic Energy Revenue by Producing ISIC Code[ISIC 64T66] : test</t>
  </si>
  <si>
    <t>BAU Domestic Energy Revenue by Producing ISIC Code[ISIC 68] : test</t>
  </si>
  <si>
    <t>BAU Domestic Energy Revenue by Producing ISIC Code[ISIC 69T82] : test</t>
  </si>
  <si>
    <t>BAU Domestic Energy Revenue by Producing ISIC Code[ISIC 84] : test</t>
  </si>
  <si>
    <t>BAU Domestic Energy Revenue by Producing ISIC Code[ISIC 85] : test</t>
  </si>
  <si>
    <t>BAU Domestic Energy Revenue by Producing ISIC Code[ISIC 86T88] : test</t>
  </si>
  <si>
    <t>BAU Domestic Energy Revenue by Producing ISIC Code[ISIC 90T96] : test</t>
  </si>
  <si>
    <t>BAU Domestic Energy Revenue by Producing ISIC Code[ISIC 97T98] :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</si>
</sst>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8" formatCode="0.000E+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5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0" fillId="0" borderId="0" xfId="0" applyAlignment="1">
      <alignment horizontal="left" indent="1"/>
    </xf>
    <xf numFmtId="0" fontId="4" fillId="0" borderId="0" xfId="0" applyFont="1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168" fontId="0" fillId="0" borderId="0" xfId="0" applyNumberFormat="1"/>
    <xf numFmtId="168" fontId="0" fillId="3" borderId="3" xfId="0" applyNumberFormat="1" applyFill="1" applyBorder="1"/>
    <xf numFmtId="168" fontId="0" fillId="0" borderId="4" xfId="0" applyNumberFormat="1" applyBorder="1"/>
    <xf numFmtId="168" fontId="0" fillId="3" borderId="0" xfId="0" applyNumberFormat="1" applyFill="1"/>
    <xf numFmtId="168" fontId="0" fillId="3" borderId="4" xfId="0" applyNumberFormat="1" applyFill="1" applyBorder="1"/>
  </cellXfs>
  <cellStyles count="4">
    <cellStyle name="Hyperlink" xfId="1" builtinId="8"/>
    <cellStyle name="Normal" xfId="0" builtinId="0"/>
    <cellStyle name="Normal 2" xfId="2" xr:uid="{3ADF3FF5-E4D2-4BC8-9960-7408DCCB591E}"/>
    <cellStyle name="Normal 3" xfId="3" xr:uid="{65E8EA41-B47F-46FF-99E0-53D9E8FB56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A3" sqref="A3"/>
    </sheetView>
  </sheetViews>
  <sheetFormatPr defaultRowHeight="15" x14ac:dyDescent="0.25"/>
  <cols>
    <col min="1" max="1" width="7" customWidth="1"/>
    <col min="2" max="2" width="77.5703125" customWidth="1"/>
  </cols>
  <sheetData>
    <row r="1" spans="1:2" x14ac:dyDescent="0.25">
      <c r="A1" s="1" t="s">
        <v>46</v>
      </c>
    </row>
    <row r="3" spans="1:2" x14ac:dyDescent="0.25">
      <c r="A3" s="1" t="s">
        <v>0</v>
      </c>
      <c r="B3" s="6" t="s">
        <v>47</v>
      </c>
    </row>
    <row r="4" spans="1:2" x14ac:dyDescent="0.25">
      <c r="B4" t="s">
        <v>48</v>
      </c>
    </row>
    <row r="5" spans="1:2" x14ac:dyDescent="0.25">
      <c r="B5" s="2" t="s">
        <v>49</v>
      </c>
    </row>
    <row r="7" spans="1:2" x14ac:dyDescent="0.25">
      <c r="B7" s="3"/>
    </row>
    <row r="8" spans="1:2" x14ac:dyDescent="0.25">
      <c r="B8" s="8"/>
    </row>
    <row r="9" spans="1:2" x14ac:dyDescent="0.25">
      <c r="B9" s="8"/>
    </row>
    <row r="10" spans="1:2" x14ac:dyDescent="0.25">
      <c r="A10" s="1" t="s">
        <v>1</v>
      </c>
    </row>
    <row r="11" spans="1:2" x14ac:dyDescent="0.25">
      <c r="A11" t="s">
        <v>51</v>
      </c>
    </row>
    <row r="15" spans="1:2" x14ac:dyDescent="0.25">
      <c r="A15" s="1"/>
    </row>
    <row r="16" spans="1:2" x14ac:dyDescent="0.25">
      <c r="A16" t="s">
        <v>50</v>
      </c>
    </row>
    <row r="17" spans="1:1" x14ac:dyDescent="0.25">
      <c r="A17" s="5">
        <v>0.84730412960844359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6FFA8-EC11-4652-B5CD-95BCE9EE4656}">
  <dimension ref="B2:C44"/>
  <sheetViews>
    <sheetView topLeftCell="A20" workbookViewId="0"/>
  </sheetViews>
  <sheetFormatPr defaultRowHeight="15" x14ac:dyDescent="0.25"/>
  <cols>
    <col min="2" max="2" width="67.7109375" bestFit="1" customWidth="1"/>
  </cols>
  <sheetData>
    <row r="2" spans="2:3" x14ac:dyDescent="0.25">
      <c r="B2" t="s">
        <v>52</v>
      </c>
      <c r="C2">
        <v>2021</v>
      </c>
    </row>
    <row r="3" spans="2:3" x14ac:dyDescent="0.25">
      <c r="B3" t="s">
        <v>53</v>
      </c>
      <c r="C3" s="7">
        <v>6370530000</v>
      </c>
    </row>
    <row r="4" spans="2:3" x14ac:dyDescent="0.25">
      <c r="B4" t="s">
        <v>54</v>
      </c>
      <c r="C4" s="7">
        <v>22206000000</v>
      </c>
    </row>
    <row r="5" spans="2:3" x14ac:dyDescent="0.25">
      <c r="B5" t="s">
        <v>55</v>
      </c>
      <c r="C5" s="7">
        <v>152264000000</v>
      </c>
    </row>
    <row r="6" spans="2:3" x14ac:dyDescent="0.25">
      <c r="B6" t="s">
        <v>56</v>
      </c>
      <c r="C6" s="7">
        <v>4265320000</v>
      </c>
    </row>
    <row r="7" spans="2:3" x14ac:dyDescent="0.25">
      <c r="B7" t="s">
        <v>57</v>
      </c>
      <c r="C7">
        <v>0</v>
      </c>
    </row>
    <row r="8" spans="2:3" x14ac:dyDescent="0.25">
      <c r="B8" t="s">
        <v>58</v>
      </c>
      <c r="C8">
        <v>0</v>
      </c>
    </row>
    <row r="9" spans="2:3" x14ac:dyDescent="0.25">
      <c r="B9" t="s">
        <v>59</v>
      </c>
      <c r="C9">
        <v>0</v>
      </c>
    </row>
    <row r="10" spans="2:3" x14ac:dyDescent="0.25">
      <c r="B10" t="s">
        <v>60</v>
      </c>
      <c r="C10">
        <v>0</v>
      </c>
    </row>
    <row r="11" spans="2:3" x14ac:dyDescent="0.25">
      <c r="B11" t="s">
        <v>61</v>
      </c>
      <c r="C11">
        <v>0</v>
      </c>
    </row>
    <row r="12" spans="2:3" x14ac:dyDescent="0.25">
      <c r="B12" t="s">
        <v>62</v>
      </c>
      <c r="C12" s="7">
        <v>179203000000</v>
      </c>
    </row>
    <row r="13" spans="2:3" x14ac:dyDescent="0.25">
      <c r="B13" t="s">
        <v>63</v>
      </c>
      <c r="C13">
        <v>0</v>
      </c>
    </row>
    <row r="14" spans="2:3" x14ac:dyDescent="0.25">
      <c r="B14" t="s">
        <v>64</v>
      </c>
      <c r="C14">
        <v>0</v>
      </c>
    </row>
    <row r="15" spans="2:3" x14ac:dyDescent="0.25">
      <c r="B15" t="s">
        <v>65</v>
      </c>
      <c r="C15">
        <v>0</v>
      </c>
    </row>
    <row r="16" spans="2:3" x14ac:dyDescent="0.25">
      <c r="B16" t="s">
        <v>66</v>
      </c>
      <c r="C16">
        <v>0</v>
      </c>
    </row>
    <row r="17" spans="2:3" x14ac:dyDescent="0.25">
      <c r="B17" t="s">
        <v>67</v>
      </c>
      <c r="C17">
        <v>0</v>
      </c>
    </row>
    <row r="18" spans="2:3" x14ac:dyDescent="0.25">
      <c r="B18" t="s">
        <v>68</v>
      </c>
      <c r="C18">
        <v>0</v>
      </c>
    </row>
    <row r="19" spans="2:3" x14ac:dyDescent="0.25">
      <c r="B19" t="s">
        <v>69</v>
      </c>
      <c r="C19">
        <v>0</v>
      </c>
    </row>
    <row r="20" spans="2:3" x14ac:dyDescent="0.25">
      <c r="B20" t="s">
        <v>70</v>
      </c>
      <c r="C20">
        <v>0</v>
      </c>
    </row>
    <row r="21" spans="2:3" x14ac:dyDescent="0.25">
      <c r="B21" t="s">
        <v>71</v>
      </c>
      <c r="C21">
        <v>0</v>
      </c>
    </row>
    <row r="22" spans="2:3" x14ac:dyDescent="0.25">
      <c r="B22" t="s">
        <v>72</v>
      </c>
      <c r="C22">
        <v>0</v>
      </c>
    </row>
    <row r="23" spans="2:3" x14ac:dyDescent="0.25">
      <c r="B23" t="s">
        <v>73</v>
      </c>
      <c r="C23">
        <v>0</v>
      </c>
    </row>
    <row r="24" spans="2:3" x14ac:dyDescent="0.25">
      <c r="B24" t="s">
        <v>74</v>
      </c>
      <c r="C24">
        <v>0</v>
      </c>
    </row>
    <row r="25" spans="2:3" x14ac:dyDescent="0.25">
      <c r="B25" t="s">
        <v>75</v>
      </c>
      <c r="C25">
        <v>0</v>
      </c>
    </row>
    <row r="26" spans="2:3" x14ac:dyDescent="0.25">
      <c r="B26" t="s">
        <v>76</v>
      </c>
      <c r="C26">
        <v>0</v>
      </c>
    </row>
    <row r="27" spans="2:3" x14ac:dyDescent="0.25">
      <c r="B27" t="s">
        <v>77</v>
      </c>
      <c r="C27" s="7">
        <v>337866000000</v>
      </c>
    </row>
    <row r="28" spans="2:3" x14ac:dyDescent="0.25">
      <c r="B28" t="s">
        <v>78</v>
      </c>
      <c r="C28" s="7">
        <v>26529400000</v>
      </c>
    </row>
    <row r="29" spans="2:3" x14ac:dyDescent="0.25">
      <c r="B29" t="s">
        <v>79</v>
      </c>
      <c r="C29">
        <v>0</v>
      </c>
    </row>
    <row r="30" spans="2:3" x14ac:dyDescent="0.25">
      <c r="B30" t="s">
        <v>80</v>
      </c>
      <c r="C30">
        <v>0</v>
      </c>
    </row>
    <row r="31" spans="2:3" x14ac:dyDescent="0.25">
      <c r="B31" t="s">
        <v>81</v>
      </c>
      <c r="C31">
        <v>0</v>
      </c>
    </row>
    <row r="32" spans="2:3" x14ac:dyDescent="0.25">
      <c r="B32" t="s">
        <v>82</v>
      </c>
      <c r="C32">
        <v>0</v>
      </c>
    </row>
    <row r="33" spans="2:3" x14ac:dyDescent="0.25">
      <c r="B33" t="s">
        <v>83</v>
      </c>
      <c r="C33">
        <v>0</v>
      </c>
    </row>
    <row r="34" spans="2:3" x14ac:dyDescent="0.25">
      <c r="B34" t="s">
        <v>84</v>
      </c>
      <c r="C34">
        <v>0</v>
      </c>
    </row>
    <row r="35" spans="2:3" x14ac:dyDescent="0.25">
      <c r="B35" t="s">
        <v>85</v>
      </c>
      <c r="C35">
        <v>0</v>
      </c>
    </row>
    <row r="36" spans="2:3" x14ac:dyDescent="0.25">
      <c r="B36" t="s">
        <v>86</v>
      </c>
      <c r="C36">
        <v>0</v>
      </c>
    </row>
    <row r="37" spans="2:3" x14ac:dyDescent="0.25">
      <c r="B37" t="s">
        <v>87</v>
      </c>
      <c r="C37">
        <v>0</v>
      </c>
    </row>
    <row r="38" spans="2:3" x14ac:dyDescent="0.25">
      <c r="B38" t="s">
        <v>88</v>
      </c>
      <c r="C38">
        <v>0</v>
      </c>
    </row>
    <row r="39" spans="2:3" x14ac:dyDescent="0.25">
      <c r="B39" t="s">
        <v>89</v>
      </c>
      <c r="C39">
        <v>0</v>
      </c>
    </row>
    <row r="40" spans="2:3" x14ac:dyDescent="0.25">
      <c r="B40" t="s">
        <v>90</v>
      </c>
      <c r="C40">
        <v>0</v>
      </c>
    </row>
    <row r="41" spans="2:3" x14ac:dyDescent="0.25">
      <c r="B41" t="s">
        <v>91</v>
      </c>
      <c r="C41">
        <v>0</v>
      </c>
    </row>
    <row r="42" spans="2:3" x14ac:dyDescent="0.25">
      <c r="B42" t="s">
        <v>92</v>
      </c>
      <c r="C42">
        <v>0</v>
      </c>
    </row>
    <row r="43" spans="2:3" x14ac:dyDescent="0.25">
      <c r="B43" t="s">
        <v>93</v>
      </c>
      <c r="C43">
        <v>0</v>
      </c>
    </row>
    <row r="44" spans="2:3" x14ac:dyDescent="0.25">
      <c r="B44" t="s">
        <v>94</v>
      </c>
      <c r="C4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Q2"/>
  <sheetViews>
    <sheetView tabSelected="1" workbookViewId="0">
      <selection activeCell="A3" sqref="A3:XFD27"/>
    </sheetView>
  </sheetViews>
  <sheetFormatPr defaultRowHeight="15" x14ac:dyDescent="0.25"/>
  <cols>
    <col min="1" max="1" width="20.140625" customWidth="1"/>
    <col min="2" max="2" width="20" bestFit="1" customWidth="1"/>
    <col min="3" max="6" width="10.140625" customWidth="1"/>
    <col min="7" max="7" width="14.28515625" customWidth="1"/>
    <col min="8" max="8" width="13.85546875" customWidth="1"/>
    <col min="9" max="16" width="10.140625" customWidth="1"/>
    <col min="17" max="17" width="13.85546875" customWidth="1"/>
    <col min="18" max="26" width="10.140625" customWidth="1"/>
    <col min="27" max="27" width="13.28515625" customWidth="1"/>
    <col min="28" max="43" width="10.140625" customWidth="1"/>
  </cols>
  <sheetData>
    <row r="1" spans="1:43" s="4" customFormat="1" x14ac:dyDescent="0.25">
      <c r="A1" s="9" t="s">
        <v>33</v>
      </c>
      <c r="B1" s="4" t="s">
        <v>2</v>
      </c>
      <c r="C1" s="10" t="s">
        <v>37</v>
      </c>
      <c r="D1" s="11" t="s">
        <v>38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10" t="s">
        <v>35</v>
      </c>
      <c r="M1" s="11" t="s">
        <v>36</v>
      </c>
      <c r="N1" s="4" t="s">
        <v>10</v>
      </c>
      <c r="O1" s="10" t="s">
        <v>39</v>
      </c>
      <c r="P1" s="11" t="s">
        <v>40</v>
      </c>
      <c r="Q1" s="10" t="s">
        <v>41</v>
      </c>
      <c r="R1" s="11" t="s">
        <v>42</v>
      </c>
      <c r="S1" s="4" t="s">
        <v>11</v>
      </c>
      <c r="T1" s="4" t="s">
        <v>12</v>
      </c>
      <c r="U1" s="4" t="s">
        <v>13</v>
      </c>
      <c r="V1" s="4" t="s">
        <v>14</v>
      </c>
      <c r="W1" s="4" t="s">
        <v>15</v>
      </c>
      <c r="X1" s="4" t="s">
        <v>16</v>
      </c>
      <c r="Y1" s="4" t="s">
        <v>17</v>
      </c>
      <c r="Z1" s="10" t="s">
        <v>43</v>
      </c>
      <c r="AA1" s="12" t="s">
        <v>44</v>
      </c>
      <c r="AB1" s="11" t="s">
        <v>45</v>
      </c>
      <c r="AC1" s="4" t="s">
        <v>18</v>
      </c>
      <c r="AD1" s="4" t="s">
        <v>19</v>
      </c>
      <c r="AE1" s="4" t="s">
        <v>20</v>
      </c>
      <c r="AF1" s="4" t="s">
        <v>21</v>
      </c>
      <c r="AG1" s="4" t="s">
        <v>22</v>
      </c>
      <c r="AH1" s="4" t="s">
        <v>23</v>
      </c>
      <c r="AI1" s="4" t="s">
        <v>24</v>
      </c>
      <c r="AJ1" s="4" t="s">
        <v>25</v>
      </c>
      <c r="AK1" s="4" t="s">
        <v>26</v>
      </c>
      <c r="AL1" s="4" t="s">
        <v>27</v>
      </c>
      <c r="AM1" s="4" t="s">
        <v>28</v>
      </c>
      <c r="AN1" s="4" t="s">
        <v>29</v>
      </c>
      <c r="AO1" s="4" t="s">
        <v>30</v>
      </c>
      <c r="AP1" s="4" t="s">
        <v>31</v>
      </c>
      <c r="AQ1" s="4" t="s">
        <v>32</v>
      </c>
    </row>
    <row r="2" spans="1:43" ht="15.75" thickBot="1" x14ac:dyDescent="0.3">
      <c r="A2" t="s">
        <v>34</v>
      </c>
      <c r="B2" s="13" cm="1">
        <f t="array" ref="B2:AQ2">TRANSPOSE(Calcs!C3:C44)</f>
        <v>6370530000</v>
      </c>
      <c r="C2" s="14">
        <v>22206000000</v>
      </c>
      <c r="D2" s="15">
        <v>152264000000</v>
      </c>
      <c r="E2" s="16">
        <v>4265320000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179203000000</v>
      </c>
      <c r="L2" s="14">
        <v>0</v>
      </c>
      <c r="M2" s="14">
        <v>0</v>
      </c>
      <c r="N2" s="13">
        <v>0</v>
      </c>
      <c r="O2" s="14">
        <v>0</v>
      </c>
      <c r="P2" s="17">
        <v>0</v>
      </c>
      <c r="Q2" s="14">
        <v>0</v>
      </c>
      <c r="R2" s="17">
        <v>0</v>
      </c>
      <c r="S2" s="16">
        <v>0</v>
      </c>
      <c r="T2" s="16">
        <v>0</v>
      </c>
      <c r="U2" s="16">
        <v>0</v>
      </c>
      <c r="V2" s="16">
        <v>0</v>
      </c>
      <c r="W2" s="13">
        <v>0</v>
      </c>
      <c r="X2" s="13">
        <v>0</v>
      </c>
      <c r="Y2" s="16">
        <v>0</v>
      </c>
      <c r="Z2" s="14">
        <v>337866000000</v>
      </c>
      <c r="AA2" s="14">
        <v>26529400000</v>
      </c>
      <c r="AB2" s="14">
        <v>0</v>
      </c>
      <c r="AC2" s="13">
        <v>0</v>
      </c>
      <c r="AD2" s="16">
        <v>0</v>
      </c>
      <c r="AE2" s="13">
        <v>0</v>
      </c>
      <c r="AF2" s="13">
        <v>0</v>
      </c>
      <c r="AG2" s="16">
        <v>0</v>
      </c>
      <c r="AH2" s="16">
        <v>0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Calcs</vt:lpstr>
      <vt:lpstr>SYDERbPIC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cp:lastPrinted>2023-08-29T15:05:06Z</cp:lastPrinted>
  <dcterms:created xsi:type="dcterms:W3CDTF">2019-12-02T22:49:06Z</dcterms:created>
  <dcterms:modified xsi:type="dcterms:W3CDTF">2025-09-23T15:44:45Z</dcterms:modified>
</cp:coreProperties>
</file>