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EbIC\"/>
    </mc:Choice>
  </mc:AlternateContent>
  <xr:revisionPtr revIDLastSave="0" documentId="13_ncr:1_{75BD07A1-CA61-4D22-A32E-C0D641C86870}" xr6:coauthVersionLast="47" xr6:coauthVersionMax="47" xr10:uidLastSave="{00000000-0000-0000-0000-000000000000}"/>
  <bookViews>
    <workbookView xWindow="2850" yWindow="2850" windowWidth="19380" windowHeight="12525" tabRatio="723" activeTab="2" xr2:uid="{DDFC48C6-C729-40EF-AB0E-D3F504F5B6C5}"/>
  </bookViews>
  <sheets>
    <sheet name="About" sheetId="1" r:id="rId1"/>
    <sheet name="BLS Employment" sheetId="11" r:id="rId2"/>
    <sheet name="BEbIC" sheetId="2" r:id="rId3"/>
  </sheets>
  <definedNames>
    <definedName name="ce_ee_table1a.f.1" localSheetId="1">'BLS Employment'!#REF!</definedName>
    <definedName name="ce_ee_table1a.f.2" localSheetId="1">'BLS Employment'!#REF!</definedName>
    <definedName name="ce_ee_table1a.f.3" localSheetId="1">'BLS Employment'!#REF!</definedName>
    <definedName name="ce_ee_table1a.f.4" localSheetId="1">'BLS Employment'!#REF!</definedName>
    <definedName name="ce_ee_table1a.f.5" localSheetId="1">'BLS Employment'!#REF!</definedName>
    <definedName name="ce_ee_table1a.f.p" localSheetId="1">'BLS Employment'!#REF!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" i="2" l="1"/>
  <c r="C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P2" i="2"/>
  <c r="O2" i="2"/>
  <c r="N2" i="2"/>
  <c r="M2" i="2"/>
  <c r="L2" i="2"/>
  <c r="J2" i="2"/>
  <c r="I2" i="2"/>
  <c r="F2" i="2"/>
  <c r="E2" i="2"/>
  <c r="D2" i="2"/>
  <c r="H26" i="11"/>
  <c r="G26" i="11"/>
  <c r="Q2" i="2" s="1"/>
  <c r="F26" i="11"/>
  <c r="E26" i="11"/>
  <c r="D26" i="11"/>
  <c r="H25" i="11"/>
  <c r="F25" i="11"/>
  <c r="E25" i="11"/>
  <c r="D25" i="11"/>
  <c r="G25" i="11"/>
  <c r="K2" i="2" s="1"/>
  <c r="H17" i="11"/>
  <c r="J19" i="11"/>
  <c r="I19" i="11"/>
  <c r="H19" i="11"/>
  <c r="G19" i="11"/>
  <c r="F19" i="11"/>
  <c r="E19" i="11"/>
  <c r="D19" i="11"/>
  <c r="C19" i="11"/>
  <c r="B19" i="11"/>
  <c r="J11" i="11"/>
  <c r="I11" i="11"/>
  <c r="H11" i="11"/>
  <c r="G11" i="11"/>
  <c r="F11" i="11"/>
  <c r="E11" i="11"/>
  <c r="D11" i="11"/>
  <c r="C11" i="11"/>
  <c r="B11" i="11"/>
  <c r="F22" i="11"/>
  <c r="F21" i="11"/>
  <c r="F14" i="11"/>
  <c r="F13" i="11"/>
  <c r="G17" i="11" l="1"/>
  <c r="H2" i="2" s="1"/>
  <c r="F17" i="11"/>
  <c r="E17" i="11"/>
  <c r="D17" i="11"/>
  <c r="H16" i="11"/>
  <c r="F16" i="11"/>
  <c r="E16" i="11"/>
  <c r="D16" i="11"/>
  <c r="G16" i="11"/>
  <c r="G2" i="2" s="1"/>
</calcChain>
</file>

<file path=xl/sharedStrings.xml><?xml version="1.0" encoding="utf-8"?>
<sst xmlns="http://schemas.openxmlformats.org/spreadsheetml/2006/main" count="2429" uniqueCount="1018">
  <si>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</si>
  <si>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</si>
  <si>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</si>
  <si>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</si>
  <si>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</si>
  <si>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</si>
  <si>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</si>
  <si>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</si>
  <si>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</si>
  <si>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</si>
  <si>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</si>
  <si>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</si>
  <si>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</si>
  <si>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</si>
  <si>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</si>
  <si>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</si>
  <si>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</si>
  <si>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</si>
  <si>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</si>
  <si>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</si>
  <si>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</si>
  <si>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</si>
  <si>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</si>
  <si>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</si>
  <si>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</si>
  <si>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</si>
  <si>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</si>
  <si>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</si>
  <si>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</si>
  <si>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</si>
  <si>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</si>
  <si>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</si>
  <si>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</si>
  <si>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Industry</t>
  </si>
  <si>
    <t>Unit: jobs</t>
  </si>
  <si>
    <t>BEbIC BAU Employment by ISIC Code</t>
  </si>
  <si>
    <t>ISIC 20</t>
  </si>
  <si>
    <t>ISIC 21</t>
  </si>
  <si>
    <t>Oil and gas extraction</t>
  </si>
  <si>
    <t>U.S. Bureau of Labor Statistics</t>
  </si>
  <si>
    <t>ISIC 05</t>
  </si>
  <si>
    <t>ISIC 06</t>
  </si>
  <si>
    <t>Table B-1a</t>
  </si>
  <si>
    <t>Coal mining</t>
  </si>
  <si>
    <t>Apparel manufacturing</t>
  </si>
  <si>
    <t>Leather and allied product manufacturing</t>
  </si>
  <si>
    <t>Asphalt paving mixture and block manufacturing</t>
  </si>
  <si>
    <t>Asphalt shingle and coating materials manufacturing</t>
  </si>
  <si>
    <t>Other petroleum and coal products manufacturing</t>
  </si>
  <si>
    <t>Motor vehicle and parts dealers</t>
  </si>
  <si>
    <t>Building material and garden equipment and supplies dealers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</si>
  <si>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</si>
  <si>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</si>
  <si>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</si>
  <si>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</si>
  <si>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</si>
  <si>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</si>
  <si>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Couriers and messengers</t>
  </si>
  <si>
    <t>Warehousing and storage</t>
  </si>
  <si>
    <t>Legal services</t>
  </si>
  <si>
    <t>Accounting, tax preparation, bookkeeping, and payroll services</t>
  </si>
  <si>
    <t>Architectural, engineering, and related services</t>
  </si>
  <si>
    <t>Scientific research and development services</t>
  </si>
  <si>
    <t>Advertising, public relations, and related services</t>
  </si>
  <si>
    <t>Specialized design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</si>
  <si>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</si>
  <si>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</si>
  <si>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</si>
  <si>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</si>
  <si>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</si>
  <si>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</si>
  <si>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</si>
  <si>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</si>
  <si>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</si>
  <si>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</si>
  <si>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</si>
  <si>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</si>
  <si>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</si>
  <si>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</si>
  <si>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</si>
  <si>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</si>
  <si>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</si>
  <si>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</si>
  <si>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Individual and family services</t>
  </si>
  <si>
    <t>Accommodation</t>
  </si>
  <si>
    <t>ISIC 231</t>
  </si>
  <si>
    <t>ISIC 239</t>
  </si>
  <si>
    <t>ISIC 241</t>
  </si>
  <si>
    <t>ISIC 242</t>
  </si>
  <si>
    <t>ISIC 351</t>
  </si>
  <si>
    <t>ISIC 352T353</t>
  </si>
  <si>
    <t>ISIC 36T39</t>
  </si>
  <si>
    <t>Government</t>
  </si>
  <si>
    <t>Seasonally adjusted</t>
  </si>
  <si>
    <t>Change from:</t>
  </si>
  <si>
    <t>Aug.</t>
  </si>
  <si>
    <t>Sept.</t>
  </si>
  <si>
    <t>Oct.</t>
  </si>
  <si>
    <t>Nov.</t>
  </si>
  <si>
    <t>Total nonfarm</t>
  </si>
  <si>
    <t>Total private</t>
  </si>
  <si>
    <t>Goods-producing</t>
  </si>
  <si>
    <t>Mining and logging</t>
  </si>
  <si>
    <t>Logging</t>
  </si>
  <si>
    <t>-</t>
  </si>
  <si>
    <t>Metal ore mining</t>
  </si>
  <si>
    <t>Nonmetallic mineral mining and quarrying</t>
  </si>
  <si>
    <t>Stone mining and quarrying(1)</t>
  </si>
  <si>
    <t>212311,3,9</t>
  </si>
  <si>
    <t>Construction sand and gravel mining(1)</t>
  </si>
  <si>
    <t>Support activities for mining</t>
  </si>
  <si>
    <t>Support activities for oil and gas operations(1)</t>
  </si>
  <si>
    <t>Construction</t>
  </si>
  <si>
    <t>Construction of buildings</t>
  </si>
  <si>
    <t>Residential remodelers</t>
  </si>
  <si>
    <t>Heavy and civil engineering construction</t>
  </si>
  <si>
    <t>Utility system construction(1)</t>
  </si>
  <si>
    <t>Land subdivision(1)</t>
  </si>
  <si>
    <t>Highway, street, and bridge construction(1)</t>
  </si>
  <si>
    <t>Specialty trade contractors</t>
  </si>
  <si>
    <t>Residential specialty trade contractors</t>
  </si>
  <si>
    <t>part 238</t>
  </si>
  <si>
    <t>Nonresidential specialty trade contractors</t>
  </si>
  <si>
    <t>Framing contractors</t>
  </si>
  <si>
    <t>Masonry contractors</t>
  </si>
  <si>
    <t>Glass and glazing contractors</t>
  </si>
  <si>
    <t>Roofing contractors</t>
  </si>
  <si>
    <t>Siding contractors</t>
  </si>
  <si>
    <t>Building equipment contractors(1)</t>
  </si>
  <si>
    <t>Other building equipment contractors</t>
  </si>
  <si>
    <t>Building finishing contractors(1)</t>
  </si>
  <si>
    <t>Drywall and insulation contractors</t>
  </si>
  <si>
    <t>Painting and wall covering contractors</t>
  </si>
  <si>
    <t>Flooring contractors</t>
  </si>
  <si>
    <t>Tile and terrazzo contractors</t>
  </si>
  <si>
    <t>Finish carpentry contractors</t>
  </si>
  <si>
    <t>Other building finishing contractors</t>
  </si>
  <si>
    <t>Other specialty trade contractors(1)</t>
  </si>
  <si>
    <t>Site preparation contractors</t>
  </si>
  <si>
    <t>All other specialty trade contractors</t>
  </si>
  <si>
    <t>Manufacturing</t>
  </si>
  <si>
    <t>Durable goods</t>
  </si>
  <si>
    <t>Sawmills and wood preservation(1)</t>
  </si>
  <si>
    <t>Millwork(1)</t>
  </si>
  <si>
    <t>321912,8</t>
  </si>
  <si>
    <t>32731,3,9</t>
  </si>
  <si>
    <t>3274,9</t>
  </si>
  <si>
    <t>Foundries(1)</t>
  </si>
  <si>
    <t>Ferrous metal foundries(1)</t>
  </si>
  <si>
    <t>Nonferrous metal foundries(1)</t>
  </si>
  <si>
    <t>Forging and stamping(1)</t>
  </si>
  <si>
    <t>332311,3</t>
  </si>
  <si>
    <t>3325,6</t>
  </si>
  <si>
    <t>Machine shops(1)</t>
  </si>
  <si>
    <t>332811,2</t>
  </si>
  <si>
    <t>332911,3,9</t>
  </si>
  <si>
    <t>332992,3,4</t>
  </si>
  <si>
    <t>Machine tool manufacturing(1)</t>
  </si>
  <si>
    <t>334416,7,9</t>
  </si>
  <si>
    <t>334512,4,6-9</t>
  </si>
  <si>
    <t>3343,6</t>
  </si>
  <si>
    <t>335312,3,4</t>
  </si>
  <si>
    <t>33592,9</t>
  </si>
  <si>
    <t>3361,2,3</t>
  </si>
  <si>
    <t>Motor vehicle metal stamping(1)</t>
  </si>
  <si>
    <t>336414,5,9</t>
  </si>
  <si>
    <t>Ship and boat building(1)</t>
  </si>
  <si>
    <t>Ship building and repairing(1)</t>
  </si>
  <si>
    <t>Boat building(1)</t>
  </si>
  <si>
    <t>3365,9</t>
  </si>
  <si>
    <t>337211,2,4</t>
  </si>
  <si>
    <t>Dental laboratories(1)</t>
  </si>
  <si>
    <t>33993,4,9</t>
  </si>
  <si>
    <t>Nondurable goods</t>
  </si>
  <si>
    <t>Food manufacturing</t>
  </si>
  <si>
    <t>Grain and oilseed milling(1)</t>
  </si>
  <si>
    <t>31121,2</t>
  </si>
  <si>
    <t>Chocolate and confectionery manufacturing(1)</t>
  </si>
  <si>
    <t>Animal slaughtering and processing(1)</t>
  </si>
  <si>
    <t>Animal, except poultry, slaughtering(1)</t>
  </si>
  <si>
    <t>311612,3</t>
  </si>
  <si>
    <t>Poultry processing(1)</t>
  </si>
  <si>
    <t>Seafood product preparation and packaging(1)</t>
  </si>
  <si>
    <t>Bakeries and tortilla manufacturing(1)</t>
  </si>
  <si>
    <t>Retail bakeries(1)</t>
  </si>
  <si>
    <t>311812,3</t>
  </si>
  <si>
    <t>31182,3</t>
  </si>
  <si>
    <t>31192,3,4,9</t>
  </si>
  <si>
    <t>Textile mills</t>
  </si>
  <si>
    <t>Fabric mills(1)</t>
  </si>
  <si>
    <t>Textile product mills</t>
  </si>
  <si>
    <t>Textile furnishings mills(1)</t>
  </si>
  <si>
    <t>Other textile product mills(1)</t>
  </si>
  <si>
    <t>Textile bag and canvas mills(1)</t>
  </si>
  <si>
    <t>All other textile product mills(1)</t>
  </si>
  <si>
    <t>Pulp, paper, and paperboard mills(1)</t>
  </si>
  <si>
    <t>Stationery and other converted paper products(1)</t>
  </si>
  <si>
    <t>32223,9</t>
  </si>
  <si>
    <t>Printing and related support activities</t>
  </si>
  <si>
    <t>323111,7</t>
  </si>
  <si>
    <t>Petroleum refineries(1)</t>
  </si>
  <si>
    <t>32412,9</t>
  </si>
  <si>
    <t>325411,3,4</t>
  </si>
  <si>
    <t>32614,5</t>
  </si>
  <si>
    <t>32613,6</t>
  </si>
  <si>
    <t>32622,9</t>
  </si>
  <si>
    <t>312,6</t>
  </si>
  <si>
    <t>Soft drinks and ice(1)</t>
  </si>
  <si>
    <t>Soft drinks(1)</t>
  </si>
  <si>
    <t>Breweries, wineries, and distilleries(1)</t>
  </si>
  <si>
    <t>31212,3,4</t>
  </si>
  <si>
    <t>Other miscellaneous nondurable goods manufacturing(1)</t>
  </si>
  <si>
    <t>3122,60</t>
  </si>
  <si>
    <t>Service-providing</t>
  </si>
  <si>
    <t>Private service-providing</t>
  </si>
  <si>
    <t>Trade, transportation, and utilities</t>
  </si>
  <si>
    <t>Wholesale trade</t>
  </si>
  <si>
    <t>42333,9</t>
  </si>
  <si>
    <t>42341,4,6,9</t>
  </si>
  <si>
    <t>42362,9</t>
  </si>
  <si>
    <t>42373,4</t>
  </si>
  <si>
    <t>42392,9</t>
  </si>
  <si>
    <t>42411,2</t>
  </si>
  <si>
    <t>Retail trade</t>
  </si>
  <si>
    <t>Automobile dealers</t>
  </si>
  <si>
    <t>New car dealers(1)</t>
  </si>
  <si>
    <t>Used car dealers(1)</t>
  </si>
  <si>
    <t>Other motor vehicle dealers</t>
  </si>
  <si>
    <t>Recreational vehicle dealers(1)</t>
  </si>
  <si>
    <t>Tire dealers(1)</t>
  </si>
  <si>
    <t>Building material and supplies dealers(1)</t>
  </si>
  <si>
    <t>Gasoline stations with convenience stores(1)</t>
  </si>
  <si>
    <t>Other gasoline stations(1)</t>
  </si>
  <si>
    <t>Department stores</t>
  </si>
  <si>
    <t>Warehouse clubs and supercenters(1)</t>
  </si>
  <si>
    <t>Florists(1)</t>
  </si>
  <si>
    <t>Art dealers(1)</t>
  </si>
  <si>
    <t>Vending machine operators(1)</t>
  </si>
  <si>
    <t>Fuel dealers(1)</t>
  </si>
  <si>
    <t>Transportation and warehousing</t>
  </si>
  <si>
    <t>Scheduled air transportation(1)</t>
  </si>
  <si>
    <t>Nonscheduled air transportation(1)</t>
  </si>
  <si>
    <t>General freight trucking(1)</t>
  </si>
  <si>
    <t>General freight trucking, local(1)</t>
  </si>
  <si>
    <t>General freight trucking, long-distance(1)</t>
  </si>
  <si>
    <t>Specialized freight trucking(1)</t>
  </si>
  <si>
    <t>Used household and office goods moving(1)</t>
  </si>
  <si>
    <t>Taxi and limousine service(1)</t>
  </si>
  <si>
    <t>School and employee bus transportation(1)</t>
  </si>
  <si>
    <t>4851,2,5</t>
  </si>
  <si>
    <t>Scenic and sightseeing transportation</t>
  </si>
  <si>
    <t>Support activities for transportation</t>
  </si>
  <si>
    <t>Support activities for air transportation(1)</t>
  </si>
  <si>
    <t>Support activities for water transportation(1)</t>
  </si>
  <si>
    <t>Marine cargo handling(1)</t>
  </si>
  <si>
    <t>Support activities for road transportation(1)</t>
  </si>
  <si>
    <t>Freight transportation arrangement(1)</t>
  </si>
  <si>
    <t>4882,9</t>
  </si>
  <si>
    <t>Couriers and express delivery services(1)</t>
  </si>
  <si>
    <t>Local messengers and delivery and private postal service(1)</t>
  </si>
  <si>
    <t>General warehousing and storage(1)</t>
  </si>
  <si>
    <t>Refrigerated warehousing and storage(1)</t>
  </si>
  <si>
    <t>49313,9</t>
  </si>
  <si>
    <t>Utilities</t>
  </si>
  <si>
    <t>Electric power generation(1)</t>
  </si>
  <si>
    <t>Fossil fuel electric power generation(1)</t>
  </si>
  <si>
    <t>221111,3-8</t>
  </si>
  <si>
    <t>Electric bulk power transmission and control(1)</t>
  </si>
  <si>
    <t>Electric power distribution(1)</t>
  </si>
  <si>
    <t>Natural gas distribution(1)</t>
  </si>
  <si>
    <t>Information</t>
  </si>
  <si>
    <t>Newspaper publishers(1)</t>
  </si>
  <si>
    <t>Periodical publishers(1)</t>
  </si>
  <si>
    <t>Book publishers(1)</t>
  </si>
  <si>
    <t>Directory, mailing list, and other publishers(1)</t>
  </si>
  <si>
    <t>Software publishers(1)</t>
  </si>
  <si>
    <t>Motion picture and sound recording industries</t>
  </si>
  <si>
    <t>Motion picture and video production(1)</t>
  </si>
  <si>
    <t>Motion picture and video exhibition(1)</t>
  </si>
  <si>
    <t>Telecommunications</t>
  </si>
  <si>
    <t>Wired telecommunications carriers(1)</t>
  </si>
  <si>
    <t>Telecommunications resellers(1)</t>
  </si>
  <si>
    <t>Financial activities(3)</t>
  </si>
  <si>
    <t>Finance and insurance</t>
  </si>
  <si>
    <t>Credit intermediation and related activities</t>
  </si>
  <si>
    <t>Depository credit intermediation</t>
  </si>
  <si>
    <t>Nondepository credit intermediation</t>
  </si>
  <si>
    <t>Credit card issuing(1)</t>
  </si>
  <si>
    <t>Sales financing(1)</t>
  </si>
  <si>
    <t>Other nondepository credit intermediation(1)</t>
  </si>
  <si>
    <t>Consumer lending(1)</t>
  </si>
  <si>
    <t>Real estate credit(1)</t>
  </si>
  <si>
    <t>Activities related to credit intermediation</t>
  </si>
  <si>
    <t>Mortgage and nonmortgage loan brokers(1)</t>
  </si>
  <si>
    <t>523,5</t>
  </si>
  <si>
    <t>5231,2</t>
  </si>
  <si>
    <t>Miscellaneous intermediation(1)</t>
  </si>
  <si>
    <t>Insurance carriers and related activities</t>
  </si>
  <si>
    <t>Insurance carriers(1)</t>
  </si>
  <si>
    <t>524127,8</t>
  </si>
  <si>
    <t>Reinsurance carriers(1)</t>
  </si>
  <si>
    <t>Insurance agencies and brokerages(1)</t>
  </si>
  <si>
    <t>Claims adjusting(1)</t>
  </si>
  <si>
    <t>Real estate and rental and leasing</t>
  </si>
  <si>
    <t>Real estate</t>
  </si>
  <si>
    <t>Lessors of real estate(1)</t>
  </si>
  <si>
    <t>Lessors of other real estate property(1)</t>
  </si>
  <si>
    <t>Offices of real estate agents and brokers(1)</t>
  </si>
  <si>
    <t>Activities related to real estate(1)</t>
  </si>
  <si>
    <t>Real estate property managers(1)</t>
  </si>
  <si>
    <t>Residential property managers(1)</t>
  </si>
  <si>
    <t>Nonresidential property managers(1)</t>
  </si>
  <si>
    <t>Offices of real estate appraisers(1)</t>
  </si>
  <si>
    <t>Other activities related to real estate(1)</t>
  </si>
  <si>
    <t>Rental and leasing services</t>
  </si>
  <si>
    <t>Automotive equipment rental and leasing(1)</t>
  </si>
  <si>
    <t>Passenger car rental and leasing(1)</t>
  </si>
  <si>
    <t>Consumer goods rental(1)</t>
  </si>
  <si>
    <t>Home health equipment rental(1)</t>
  </si>
  <si>
    <t>General rental centers(1)</t>
  </si>
  <si>
    <t>53242,9</t>
  </si>
  <si>
    <t>Professional and business services</t>
  </si>
  <si>
    <t>Offices of lawyers(1)</t>
  </si>
  <si>
    <t>Other legal services(1)</t>
  </si>
  <si>
    <t>Offices of certified public accountants(1)</t>
  </si>
  <si>
    <t>Tax preparation services(1)</t>
  </si>
  <si>
    <t>Payroll services(1)</t>
  </si>
  <si>
    <t>Other accounting services(1)</t>
  </si>
  <si>
    <t>Architectural services(1)</t>
  </si>
  <si>
    <t>Landscape architectural services(1)</t>
  </si>
  <si>
    <t>Engineering and drafting services(1)</t>
  </si>
  <si>
    <t>54133,4</t>
  </si>
  <si>
    <t>Building inspection, surveying, and mapping services(1)</t>
  </si>
  <si>
    <t>54135,6,7</t>
  </si>
  <si>
    <t>Interior design services(1)</t>
  </si>
  <si>
    <t>Graphic design services(1)</t>
  </si>
  <si>
    <t>Computer systems design and related services</t>
  </si>
  <si>
    <t>Custom computer programming services(1)</t>
  </si>
  <si>
    <t>Computer systems design services(1)</t>
  </si>
  <si>
    <t>Computer facilities management services(1)</t>
  </si>
  <si>
    <t>Management consulting services(1)</t>
  </si>
  <si>
    <t>Marketing consulting services(1)</t>
  </si>
  <si>
    <t>Other management consulting services(1)</t>
  </si>
  <si>
    <t>Environmental consulting services(1)</t>
  </si>
  <si>
    <t>Research and development in the physical, engineering, and life sciences(1)</t>
  </si>
  <si>
    <t>Research and development in nanotechnology(1)</t>
  </si>
  <si>
    <t>Research and development in biotechnology, except nanobiotechnology(1)</t>
  </si>
  <si>
    <t>Research and development in the physical, engineering, and life sciences, except nanotechnology and biotechnology(1)</t>
  </si>
  <si>
    <t>Advertising agencies(1)</t>
  </si>
  <si>
    <t>Public relations agencies(1)</t>
  </si>
  <si>
    <t>Media buying agencies and media representatives(1)</t>
  </si>
  <si>
    <t>54183,4</t>
  </si>
  <si>
    <t>Direct mail advertising(1)</t>
  </si>
  <si>
    <t>54187,9</t>
  </si>
  <si>
    <t>Marketing research and public opinion polling(1)</t>
  </si>
  <si>
    <t>Photographic services(1)</t>
  </si>
  <si>
    <t>Veterinary services(1)</t>
  </si>
  <si>
    <t>54193,9</t>
  </si>
  <si>
    <t>551111,2</t>
  </si>
  <si>
    <t>Administrative and support services</t>
  </si>
  <si>
    <t>Employment placement agencies and executive search services(1)</t>
  </si>
  <si>
    <t>Employment placement agencies(1)</t>
  </si>
  <si>
    <t>Executive search services(1)</t>
  </si>
  <si>
    <t>Temporary help services(1)</t>
  </si>
  <si>
    <t>Professional employer organizations(1)</t>
  </si>
  <si>
    <t>Document preparation services(1)</t>
  </si>
  <si>
    <t>Telephone call centers(1)</t>
  </si>
  <si>
    <t>Telephone answering services(1)</t>
  </si>
  <si>
    <t>Business service centers(1)</t>
  </si>
  <si>
    <t>Collection agencies(1)</t>
  </si>
  <si>
    <t>56145,9</t>
  </si>
  <si>
    <t>Travel agencies(1)</t>
  </si>
  <si>
    <t>Tour operators(1)</t>
  </si>
  <si>
    <t>561612,3</t>
  </si>
  <si>
    <t>Security systems services(1)</t>
  </si>
  <si>
    <t>Exterminating and pest control services(1)</t>
  </si>
  <si>
    <t>Janitorial services(1)</t>
  </si>
  <si>
    <t>Landscaping services(1)</t>
  </si>
  <si>
    <t>Carpet and upholstery cleaning services(1)</t>
  </si>
  <si>
    <t>Other services to buildings and dwellings(1)</t>
  </si>
  <si>
    <t>Packaging and labeling services(1)</t>
  </si>
  <si>
    <t>Convention and trade show organizers(1)</t>
  </si>
  <si>
    <t>All other support services(1)</t>
  </si>
  <si>
    <t>Waste collection(1)</t>
  </si>
  <si>
    <t>Waste treatment and disposal(1)</t>
  </si>
  <si>
    <t>Hazardous waste treatment and disposal(1)</t>
  </si>
  <si>
    <t>562212,3,9</t>
  </si>
  <si>
    <t>Remediation services(1)</t>
  </si>
  <si>
    <t>Materials recovery facilities and other waste management services(1)</t>
  </si>
  <si>
    <t>56292,9</t>
  </si>
  <si>
    <t>61141,2</t>
  </si>
  <si>
    <t>61163,9</t>
  </si>
  <si>
    <t>Health care and social assistance</t>
  </si>
  <si>
    <t>Health care(4)</t>
  </si>
  <si>
    <t>621,2,3</t>
  </si>
  <si>
    <t>Ambulatory health care services</t>
  </si>
  <si>
    <t>Offices of chiropractors(1)</t>
  </si>
  <si>
    <t>Offices of optometrists(1)</t>
  </si>
  <si>
    <t>Offices of all other health practitioners(1)</t>
  </si>
  <si>
    <t>Offices of podiatrists(1)</t>
  </si>
  <si>
    <t>62141,9</t>
  </si>
  <si>
    <t>HMO medical centers(1)</t>
  </si>
  <si>
    <t>Kidney dialysis centers(1)</t>
  </si>
  <si>
    <t>621410,98</t>
  </si>
  <si>
    <t>Medical laboratories(1)</t>
  </si>
  <si>
    <t>Diagnostic imaging centers(1)</t>
  </si>
  <si>
    <t>Ambulance services(1)</t>
  </si>
  <si>
    <t>All other ambulatory health care services(1)</t>
  </si>
  <si>
    <t>Blood and organ banks(1)</t>
  </si>
  <si>
    <t>General medical and surgical hospitals(1)</t>
  </si>
  <si>
    <t>Psychiatric and substance abuse hospitals(1)</t>
  </si>
  <si>
    <t>Nursing and residential care facilities</t>
  </si>
  <si>
    <t>Residential intellectual and developmental disability facilities(1)</t>
  </si>
  <si>
    <t>Residential mental health and substance abuse facilities(1)</t>
  </si>
  <si>
    <t>Continuing care retirement communities(1)</t>
  </si>
  <si>
    <t>Assisted living facilities for the elderly(1)</t>
  </si>
  <si>
    <t>Other residential care facilities</t>
  </si>
  <si>
    <t>Social assistance</t>
  </si>
  <si>
    <t>Child and youth services(1)</t>
  </si>
  <si>
    <t>Services for the elderly and persons with disabilities(1)</t>
  </si>
  <si>
    <t>Other individual and family services(1)</t>
  </si>
  <si>
    <t>Community food services(1)</t>
  </si>
  <si>
    <t>Community housing, emergency, and relief services(1)</t>
  </si>
  <si>
    <t>62422,3</t>
  </si>
  <si>
    <t>Vocational rehabilitation services</t>
  </si>
  <si>
    <t>Leisure and hospitality</t>
  </si>
  <si>
    <t>Arts, entertainment, and recreation</t>
  </si>
  <si>
    <t>Performing arts companies(1)</t>
  </si>
  <si>
    <t>Musical groups and artists(1)</t>
  </si>
  <si>
    <t>71111,2,9</t>
  </si>
  <si>
    <t>Spectator sports(1)</t>
  </si>
  <si>
    <t>Sports teams and clubs(1)</t>
  </si>
  <si>
    <t>Arts and sports promoters and agents and managers for public figures(1)</t>
  </si>
  <si>
    <t>7113,4</t>
  </si>
  <si>
    <t>Independent artists, writers, and performers(1)</t>
  </si>
  <si>
    <t>Museums, historical sites, and similar institutions</t>
  </si>
  <si>
    <t>Museums(1)</t>
  </si>
  <si>
    <t>71212,3,9</t>
  </si>
  <si>
    <t>Amusement parks and arcades(1)</t>
  </si>
  <si>
    <t>Gambling industries(1)</t>
  </si>
  <si>
    <t>Casinos, except casino hotels(1)</t>
  </si>
  <si>
    <t>Other gambling industries(1)</t>
  </si>
  <si>
    <t>Other amusement and recreation industries(1)</t>
  </si>
  <si>
    <t>Golf courses and country clubs(1)</t>
  </si>
  <si>
    <t>Skiing facilities(1)</t>
  </si>
  <si>
    <t>Marinas(1)</t>
  </si>
  <si>
    <t>Fitness and recreational sports centers(1)</t>
  </si>
  <si>
    <t>Bowling centers(1)</t>
  </si>
  <si>
    <t>All other amusement and recreation industries(1)</t>
  </si>
  <si>
    <t>Accommodation and food services</t>
  </si>
  <si>
    <t>Traveler accommodation(1)</t>
  </si>
  <si>
    <t>Casino hotels(1)</t>
  </si>
  <si>
    <t>Other traveler accommodation(1)</t>
  </si>
  <si>
    <t>Bed-and-breakfast inns(1)</t>
  </si>
  <si>
    <t>Food services and drinking places</t>
  </si>
  <si>
    <t>Special food services(1)</t>
  </si>
  <si>
    <t>Food service contractors(1)</t>
  </si>
  <si>
    <t>Caterers and mobile food services(1)</t>
  </si>
  <si>
    <t>72232,3</t>
  </si>
  <si>
    <t>Drinking places, alcoholic beverages(1)</t>
  </si>
  <si>
    <t>Restaurants and other eating places(1)</t>
  </si>
  <si>
    <t>Full-service restaurants(1)</t>
  </si>
  <si>
    <t>Limited-service restaurants(1)</t>
  </si>
  <si>
    <t>Cafeterias, grill buffets, and buffets(1)</t>
  </si>
  <si>
    <t>Snack and nonalcoholic beverage bars(1)</t>
  </si>
  <si>
    <t>Other services</t>
  </si>
  <si>
    <t>Repair and maintenance</t>
  </si>
  <si>
    <t>Automotive repair and maintenance(1)</t>
  </si>
  <si>
    <t>General automotive repair(1)</t>
  </si>
  <si>
    <t>Automotive glass replacement shops(1)</t>
  </si>
  <si>
    <t>Other automotive repair and maintenance(1)</t>
  </si>
  <si>
    <t>Car washes(1)</t>
  </si>
  <si>
    <t>811191,8</t>
  </si>
  <si>
    <t>Personal and laundry services</t>
  </si>
  <si>
    <t>Personal care services(1)</t>
  </si>
  <si>
    <t>Hair, nail, and skin care services(1)</t>
  </si>
  <si>
    <t>Barber shops and beauty salons(1)</t>
  </si>
  <si>
    <t>812111,2</t>
  </si>
  <si>
    <t>Nail salons(1)</t>
  </si>
  <si>
    <t>Other personal care services(1)</t>
  </si>
  <si>
    <t>Death care services(1)</t>
  </si>
  <si>
    <t>Funeral homes and funeral services(1)</t>
  </si>
  <si>
    <t>Cemeteries and crematories(1)</t>
  </si>
  <si>
    <t>Drycleaning and laundry services(1)</t>
  </si>
  <si>
    <t>Coin-operated laundries and drycleaners(1)</t>
  </si>
  <si>
    <t>Drycleaning and laundry services, except coin-operated(1)</t>
  </si>
  <si>
    <t>Linen and uniform supply(1)</t>
  </si>
  <si>
    <t>Linen supply(1)</t>
  </si>
  <si>
    <t>Industrial launderers(1)</t>
  </si>
  <si>
    <t>Other personal services(1)</t>
  </si>
  <si>
    <t>Parking lots and garages(1)</t>
  </si>
  <si>
    <t>81292,9</t>
  </si>
  <si>
    <t>Grantmaking and giving services(1)</t>
  </si>
  <si>
    <t>Grantmaking foundations(1)</t>
  </si>
  <si>
    <t>Voluntary health organizations(1)</t>
  </si>
  <si>
    <t>Other grantmaking and giving services(1)</t>
  </si>
  <si>
    <t>Social advocacy organizations(1)</t>
  </si>
  <si>
    <t>Human rights organizations(1)</t>
  </si>
  <si>
    <t>813312,9</t>
  </si>
  <si>
    <t>Civic and social organizations(1)</t>
  </si>
  <si>
    <t>Business associations(1)</t>
  </si>
  <si>
    <t>Professional organizations(1)</t>
  </si>
  <si>
    <t>Labor unions and similar labor organizations(1)</t>
  </si>
  <si>
    <t>81394,9</t>
  </si>
  <si>
    <t>Federal</t>
  </si>
  <si>
    <t>Federal, except U.S. Postal Service</t>
  </si>
  <si>
    <t>Federal hospitals(1)</t>
  </si>
  <si>
    <t>Department of Defense(1)</t>
  </si>
  <si>
    <t>U.S. Postal Service(5)</t>
  </si>
  <si>
    <t>Other Federal government(1)</t>
  </si>
  <si>
    <t>State government</t>
  </si>
  <si>
    <t>State government education</t>
  </si>
  <si>
    <t>State government, excluding education</t>
  </si>
  <si>
    <t>State hospitals(1)</t>
  </si>
  <si>
    <t>State government general administration(1)</t>
  </si>
  <si>
    <t>Other State government(1)</t>
  </si>
  <si>
    <t>Local government</t>
  </si>
  <si>
    <t>Local government education</t>
  </si>
  <si>
    <t>Local government, excluding education</t>
  </si>
  <si>
    <t>Local government utilities(1)</t>
  </si>
  <si>
    <t>Local government transportation(1)</t>
  </si>
  <si>
    <t>Local hospitals(1)</t>
  </si>
  <si>
    <t>Local government general administration(1)</t>
  </si>
  <si>
    <t>Other local government(1)</t>
  </si>
  <si>
    <t>ESTABLISHMENT DATA</t>
  </si>
  <si>
    <t>Table B-1a. Employees on nonfarm payrolls by industry sector and selected industry detail, seasonally adjusted</t>
  </si>
  <si>
    <t>[In thousands]</t>
  </si>
  <si>
    <t>2022 NAICS code</t>
  </si>
  <si>
    <t>July</t>
  </si>
  <si>
    <t>Mining, quarrying, and oil and gas extraction</t>
  </si>
  <si>
    <t>Mining (except oil and gas)</t>
  </si>
  <si>
    <t>Surface coal mining(1)</t>
  </si>
  <si>
    <t>Underground coal mining(1)</t>
  </si>
  <si>
    <t>Crushed and broken limestone mining and quarrying(1)</t>
  </si>
  <si>
    <t>Dimension stone, crushed and broken granite, and other crushed and broken stone mining and quarrying(1)</t>
  </si>
  <si>
    <t>Sand, gravel, clay, and ceramic and refractory minerals mining and quarrying(1)</t>
  </si>
  <si>
    <t>Other nonmetallic mineral mining and quarrying(1)</t>
  </si>
  <si>
    <t>Residential building construction</t>
  </si>
  <si>
    <t>New single-family housing construction (except for-sale builders)</t>
  </si>
  <si>
    <t>New multifamily housing construction (except for-sale builders)</t>
  </si>
  <si>
    <t>New housing for-sale builders</t>
  </si>
  <si>
    <t>Nonresidential building construction</t>
  </si>
  <si>
    <t>Industrial building construction</t>
  </si>
  <si>
    <t>Commercial and institutional building construction</t>
  </si>
  <si>
    <t>Water and sewer line and related structures construction(1)</t>
  </si>
  <si>
    <t>Oil and gas pipeline and related structures construction(1)</t>
  </si>
  <si>
    <t>Power and communication line and related structures construction(1)</t>
  </si>
  <si>
    <t>Other heavy and civil engineering construction(1)</t>
  </si>
  <si>
    <t>Foundation, structure, and building exterior contractors(1)</t>
  </si>
  <si>
    <t>Poured concrete foundation and structure contractors</t>
  </si>
  <si>
    <t>Structural steel and precast concrete contractors</t>
  </si>
  <si>
    <t>Other foundation, structure, and building exterior contractors</t>
  </si>
  <si>
    <t>Electrical contractors and other wiring installation contractors</t>
  </si>
  <si>
    <t>Plumbing, heating, and air-conditioning contractors</t>
  </si>
  <si>
    <t>Wood product manufacturing</t>
  </si>
  <si>
    <t>Veneer, plywood, and engineered wood product manufacturing(1)</t>
  </si>
  <si>
    <t>Other wood product manufacturing(1)</t>
  </si>
  <si>
    <t>Wood window and door manufacturing(1)</t>
  </si>
  <si>
    <t>Cut stock, resawing lumber, planing, and other millwork (including flooring)(1)</t>
  </si>
  <si>
    <t>Wood container and pallet manufacturing(1)</t>
  </si>
  <si>
    <t>All other wood product manufacturing(1)</t>
  </si>
  <si>
    <t>Nonmetallic mineral product manufacturing</t>
  </si>
  <si>
    <t>Clay product and refractory manufacturing(1)</t>
  </si>
  <si>
    <t>Glass and glass product manufacturing(1)</t>
  </si>
  <si>
    <t>Cement and concrete product manufacturing(1)</t>
  </si>
  <si>
    <t>Ready-mix concrete manufacturing(1)</t>
  </si>
  <si>
    <t>Cement and concrete pipe, brick, block, and other concrete product manufacturing(1)</t>
  </si>
  <si>
    <t>Lime, gypsum, and other nonmetallic mineral product manufacturing(1)</t>
  </si>
  <si>
    <t>Primary metal manufacturing</t>
  </si>
  <si>
    <t>Iron and steel mills and ferroalloy manufacturing(1)</t>
  </si>
  <si>
    <t>Steel product manufacturing from purchased steel(1)</t>
  </si>
  <si>
    <t>Alumina, aluminum, and other nonferrous metal production and processing(1)</t>
  </si>
  <si>
    <t>3313,4</t>
  </si>
  <si>
    <t>Fabricated metal product manufacturing</t>
  </si>
  <si>
    <t>Architectural and structural metals manufacturing(1)</t>
  </si>
  <si>
    <t>Plate work and fabricated structural product manufacturing(1)</t>
  </si>
  <si>
    <t>Fabricated structural metal manufacturing(1)</t>
  </si>
  <si>
    <t>Plate work and prefabricated metal building and component manufacturing(1)</t>
  </si>
  <si>
    <t>Ornamental and architectural metal products manufacturing(1)</t>
  </si>
  <si>
    <t>Metal window and door manufacturing(1)</t>
  </si>
  <si>
    <t>Sheet metal work manufacturing(1)</t>
  </si>
  <si>
    <t>Ornamental and architectural metal work manufacturing(1)</t>
  </si>
  <si>
    <t>Boiler, tank, and shipping container manufacturing(1)</t>
  </si>
  <si>
    <t>Hardware, spring, and wire product manufacturing(1)</t>
  </si>
  <si>
    <t>Machine shops; turned product; and screw, nut, and bolt manufacturing(1)</t>
  </si>
  <si>
    <t>Turned product and screw, nut, and bolt manufacturing(1)</t>
  </si>
  <si>
    <t>Coating, engraving, heat treating, and allied activities(1)</t>
  </si>
  <si>
    <t>Metal heat treating, coating, engraving (except jewelry and silverware), and allied services to manufacturers(1)</t>
  </si>
  <si>
    <t>Electroplating, plating, polishing, anodizing, and coloring(1)</t>
  </si>
  <si>
    <t>Cutlery, handtool, and other fabricated metal product manufacturing(1)</t>
  </si>
  <si>
    <t>Metal valve manufacturing(1)</t>
  </si>
  <si>
    <t>Cutlery, handtool, and all other fabricated metal product manufacturing(1)</t>
  </si>
  <si>
    <t>Small arms, ammunition, and other ordnance and ordnance accessories manufacturing(1)</t>
  </si>
  <si>
    <t>Cutlery, handtool, ball and roller bearing, fabricated pipe, pipe fitting, and all other fabricated metal product manufacturing(1)</t>
  </si>
  <si>
    <t>332200;991,9</t>
  </si>
  <si>
    <t>Machinery manufacturing</t>
  </si>
  <si>
    <t>Agriculture, construction, and mining machinery manufacturing(1)</t>
  </si>
  <si>
    <t>Agricultural implement manufacturing(1)</t>
  </si>
  <si>
    <t>Construction machinery manufacturing(1)</t>
  </si>
  <si>
    <t>Mining and oil and gas field machinery manufacturing(1)</t>
  </si>
  <si>
    <t>Industrial machinery manufacturing(1)</t>
  </si>
  <si>
    <t>All other industrial machinery manufacturing(1)</t>
  </si>
  <si>
    <t>Commercial and service industry machinery manufacturing(1)</t>
  </si>
  <si>
    <t>Ventilation, heating, air-conditioning, and commercial refrigeration equipment manufacturing(1)</t>
  </si>
  <si>
    <t>Air-conditioning and warm air heating equipment and commercial and industrial refrigeration equipment manufacturing(1)</t>
  </si>
  <si>
    <t>Metalworking machinery manufacturing(1)</t>
  </si>
  <si>
    <t>Special die and tool, die set, jig, and fixture manufacturing(1)</t>
  </si>
  <si>
    <t>Industrial mold, cutting tool and machine tool accessory, rolling mill, and other metalworking machinery manufacturing(1)</t>
  </si>
  <si>
    <t>333511,5,9</t>
  </si>
  <si>
    <t>Engine, turbine, and power transmission equipment manufacturing(1)</t>
  </si>
  <si>
    <t>Other general purpose machinery manufacturing(1)</t>
  </si>
  <si>
    <t>Pump and compressor manufacturing(1)</t>
  </si>
  <si>
    <t>Material handling equipment manufacturing(1)</t>
  </si>
  <si>
    <t>All other general purpose machinery manufacturing(1)</t>
  </si>
  <si>
    <t>Computer and electronic product manufacturing</t>
  </si>
  <si>
    <t>Computer and peripheral equipment manufacturing</t>
  </si>
  <si>
    <t>Communications equipment manufacturing</t>
  </si>
  <si>
    <t>Radio and television broadcasting and wireless communications equipment manufacturing(1)</t>
  </si>
  <si>
    <t>Semiconductor and other electronic component manufacturing</t>
  </si>
  <si>
    <t>Semiconductor and related device manufacturing(1)</t>
  </si>
  <si>
    <t>Capacitor, resistor, coil, transformer, other inductor, electronic connector, and other electronic component manufacturing(1)</t>
  </si>
  <si>
    <t>Navigational, measuring, electromedical, and control instruments manufacturing</t>
  </si>
  <si>
    <t>Electromedical and electrotherapeutic apparatus manufacturing(1)</t>
  </si>
  <si>
    <t>Search, detection, navigation, guidance, aeronautical, and nautical system and instrument manufacturing(1)</t>
  </si>
  <si>
    <t>Instruments and related products manufacturing for measuring, displaying, and controlling industrial process variables(1)</t>
  </si>
  <si>
    <t>Instrument manufacturing for measuring and testing electricity and electrical signals(1)</t>
  </si>
  <si>
    <t>Miscellaneous electronic instruments manufacturing(1)</t>
  </si>
  <si>
    <t>Manufacturing and reproducing magnetic and optical media and audio and video equipment manufacturing</t>
  </si>
  <si>
    <t>Electrical equipment, appliance, and component manufacturing</t>
  </si>
  <si>
    <t>Electric lighting equipment manufacturing(1)</t>
  </si>
  <si>
    <t>Household appliance manufacturing(1)</t>
  </si>
  <si>
    <t>Electrical equipment manufacturing(1)</t>
  </si>
  <si>
    <t>Power, distribution, and specialty transformer manufacturing(1)</t>
  </si>
  <si>
    <t>Motor, generator, switchgear and switchboard apparatus, and relay and industrial control manufacturing(1)</t>
  </si>
  <si>
    <t>Other electrical equipment and component manufacturing(1)</t>
  </si>
  <si>
    <t>Battery manufacturing(1)</t>
  </si>
  <si>
    <t>Transportation equipment manufacturing</t>
  </si>
  <si>
    <t>Motor vehicle manufacturing(1)</t>
  </si>
  <si>
    <t>Motor vehicle body and trailer manufacturing(1)</t>
  </si>
  <si>
    <t>Motor vehicle parts manufacturing(1)</t>
  </si>
  <si>
    <t>Motor vehicle gasoline engine and engine parts manufacturing(1)</t>
  </si>
  <si>
    <t>Motor vehicle electrical and electronic equipment manufacturing(1)</t>
  </si>
  <si>
    <t>Motor vehicle transmission and power train parts manufacturing(1)</t>
  </si>
  <si>
    <t>Aerospace product and parts manufacturing(1)</t>
  </si>
  <si>
    <t>Aircraft manufacturing(1)</t>
  </si>
  <si>
    <t>Aircraft engine and engine parts manufacturing(1)</t>
  </si>
  <si>
    <t>Other aircraft parts and auxiliary equipment manufacturing(1)</t>
  </si>
  <si>
    <t>Guided missile; space vehicle; and guided missile and space vehicle propulsion unit, parts, and auxiliary equipment manufacturing(1)</t>
  </si>
  <si>
    <t>Railroad rolling stock and other transportation equipment manufacturing(1)</t>
  </si>
  <si>
    <t>Furniture and related product manufacturing</t>
  </si>
  <si>
    <t>Household and institutional furniture and kitchen cabinet manufacturing(1)</t>
  </si>
  <si>
    <t>Wood kitchen cabinet and countertop manufacturing(1)</t>
  </si>
  <si>
    <t>Household and institutional furniture manufacturing(1)</t>
  </si>
  <si>
    <t>Upholstered household furniture manufacturing(1)</t>
  </si>
  <si>
    <t>Nonupholstered household furniture and institutional furniture manufacturing(1)</t>
  </si>
  <si>
    <t>337122,6,7</t>
  </si>
  <si>
    <t>Office furniture (including fixtures) and other furniture related product manufacturing(1)</t>
  </si>
  <si>
    <t>Office furniture and custom architectural woodwork and millwork manufacturing(1)</t>
  </si>
  <si>
    <t>Showcase, partition, shelving, locker, and other furniture related product manufacturing(1)</t>
  </si>
  <si>
    <t>Miscellaneous manufacturing</t>
  </si>
  <si>
    <t>Medical equipment and supplies manufacturing(1)</t>
  </si>
  <si>
    <t>Surgical and medical instrument manufacturing(1)</t>
  </si>
  <si>
    <t>Surgical appliance and supplies manufacturing(1)</t>
  </si>
  <si>
    <t>Other miscellaneous manufacturing(1)</t>
  </si>
  <si>
    <t>Jewelry, silverware, and sporting and athletic goods manufacturing(1)</t>
  </si>
  <si>
    <t>33991,2</t>
  </si>
  <si>
    <t>Sign manufacturing(1)</t>
  </si>
  <si>
    <t>Doll, toy, game, office supplies (except paper), and all other miscellaneous manufacturing(1)</t>
  </si>
  <si>
    <t>Animal food manufacturing(1)</t>
  </si>
  <si>
    <t>Sugar and confectionery product manufacturing(1)</t>
  </si>
  <si>
    <t>Fruit and vegetable preserving and specialty food manufacturing(1)</t>
  </si>
  <si>
    <t>Frozen food manufacturing(1)</t>
  </si>
  <si>
    <t>Frozen fruit, juice, and vegetable manufacturing(1)</t>
  </si>
  <si>
    <t>Frozen specialty food manufacturing(1)</t>
  </si>
  <si>
    <t>Fruit and vegetable canning, pickling, and drying(1)</t>
  </si>
  <si>
    <t>Dairy product manufacturing(1)</t>
  </si>
  <si>
    <t>Fluid milk manufacturing(1)</t>
  </si>
  <si>
    <t>Meat processed from carcasses, rendering, and meat byproduct processing(1)</t>
  </si>
  <si>
    <t>Bread and bakery product manufacturing(1)</t>
  </si>
  <si>
    <t>Commercial bakeries and frozen cakes, pies, and other pastries manufacturing(1)</t>
  </si>
  <si>
    <t>Cookie, cracker, pasta, and tortilla manufacturing(1)</t>
  </si>
  <si>
    <t>Other food manufacturing(1)</t>
  </si>
  <si>
    <t>Snack food manufacturing(1)</t>
  </si>
  <si>
    <t>Coffee, tea, flavoring syrup and concentrate, seasoning, dressing, and other food manufacturing(1)</t>
  </si>
  <si>
    <t>Cut and sew apparel manufacturing (except contractors)(1)</t>
  </si>
  <si>
    <t>Paper manufacturing</t>
  </si>
  <si>
    <t>Converted paper product manufacturing(1)</t>
  </si>
  <si>
    <t>Paperboard container manufacturing(1)</t>
  </si>
  <si>
    <t>Paper bag and coated and treated paper manufacturing(1)</t>
  </si>
  <si>
    <t>Petroleum and coal products manufacturing</t>
  </si>
  <si>
    <t>Asphalt paving, roofing, saturated materials, and other petroleum and coal products manufacturing(1)</t>
  </si>
  <si>
    <t>Chemical manufacturing</t>
  </si>
  <si>
    <t>Basic chemical manufacturing(1)</t>
  </si>
  <si>
    <t>Petrochemical, industrial gas, synthetic dye, pigment, and other basic inorganic chemical manufacturing(1)</t>
  </si>
  <si>
    <t>32511,2,3,8</t>
  </si>
  <si>
    <t>Other basic organic chemical manufacturing(1)</t>
  </si>
  <si>
    <t>Resin, synthetic rubber, and artificial and synthetic fibers and filaments manufacturing(1)</t>
  </si>
  <si>
    <t>Plastics material and resin manufacturing(1)</t>
  </si>
  <si>
    <t>Pesticide, fertilizer, and other agricultural chemical manufacturing(1)</t>
  </si>
  <si>
    <t>Pharmaceutical and medicine manufacturing(1)</t>
  </si>
  <si>
    <t>Pharmaceutical preparation manufacturing(1)</t>
  </si>
  <si>
    <t>Medicinal, botanical, in-vitro diagnostic substance, and biological product manufacturing(1)</t>
  </si>
  <si>
    <t>Paint, coating, and adhesive manufacturing(1)</t>
  </si>
  <si>
    <t>Soap, cleaning compound, and toilet preparation manufacturing(1)</t>
  </si>
  <si>
    <t>Soap and cleaning compound manufacturing(1)</t>
  </si>
  <si>
    <t>Toilet preparation manufacturing(1)</t>
  </si>
  <si>
    <t>Other chemical product and preparation manufacturing(1)</t>
  </si>
  <si>
    <t>Plastics and rubber products manufacturing</t>
  </si>
  <si>
    <t>Plastics product manufacturing(1)</t>
  </si>
  <si>
    <t>Plastics packaging materials and unlaminated film and sheet manufacturing(1)</t>
  </si>
  <si>
    <t>Plastics pipe, pipe fitting, and unlaminated profile shape manufacturing(1)</t>
  </si>
  <si>
    <t>Polystyrene, urethane, and other foam product manufacturing(1)</t>
  </si>
  <si>
    <t>Laminated plastics plate, sheet (except packaging), shape, and plastics bottle manufacturing(1)</t>
  </si>
  <si>
    <t>Other plastics product manufacturing(1)</t>
  </si>
  <si>
    <t>Rubber product manufacturing(1)</t>
  </si>
  <si>
    <t>Tire manufacturing(1)</t>
  </si>
  <si>
    <t>Rubber and plastics hoses, belting, and other rubber product manufacturing(1)</t>
  </si>
  <si>
    <t>Beverage, tobacco, and leather and allied product manufacturing</t>
  </si>
  <si>
    <t>Beverage manufacturing(1)</t>
  </si>
  <si>
    <t>Merchant wholesalers, durable goods</t>
  </si>
  <si>
    <t>Motor vehicle and motor vehicle parts and supplies merchant wholesalers(1)</t>
  </si>
  <si>
    <t>Automobile and other motor vehicle merchant wholesalers(1)</t>
  </si>
  <si>
    <t>Motor vehicle supplies and new parts merchant wholesalers(1)</t>
  </si>
  <si>
    <t>Furniture and home furnishing merchant wholesalers(1)</t>
  </si>
  <si>
    <t>Furniture merchant wholesalers(1)</t>
  </si>
  <si>
    <t>Home furnishing merchant wholesalers(1)</t>
  </si>
  <si>
    <t>Lumber and other construction materials merchant wholesalers(1)</t>
  </si>
  <si>
    <t>Lumber, plywood, millwork, and wood panel merchant wholesalers(1)</t>
  </si>
  <si>
    <t>Brick, stone, and related construction material merchant wholesalers(1)</t>
  </si>
  <si>
    <t>Roofing, siding, insulation, and other construction material merchant wholesalers(1)</t>
  </si>
  <si>
    <t>Professional and commercial equipment and supplies merchant wholesalers(1)</t>
  </si>
  <si>
    <t>Office equipment merchant wholesalers(1)</t>
  </si>
  <si>
    <t>Computer and computer peripheral equipment and software merchant wholesalers(1)</t>
  </si>
  <si>
    <t>Medical, dental, and hospital equipment and supplies merchant wholesalers(1)</t>
  </si>
  <si>
    <t>Ophthalmic goods and photographic, commercial, and professional equipment and supplies merchant wholesalers(1)</t>
  </si>
  <si>
    <t>Metal and mineral (except petroleum) merchant wholesalers(1)</t>
  </si>
  <si>
    <t>Household appliances and electrical and electronic goods merchant wholesalers(1)</t>
  </si>
  <si>
    <t>Electrical apparatus and equipment, wiring supplies, and related equipment merchant wholesalers(1)</t>
  </si>
  <si>
    <t>Household appliances, electric housewares, consumer electronics, and other electronic parts and equipment merchant wholesalers(1)</t>
  </si>
  <si>
    <t>Hardware, and plumbing and heating equipment and supplies merchant wholesalers(1)</t>
  </si>
  <si>
    <t>Hardware merchant wholesalers(1)</t>
  </si>
  <si>
    <t>Plumbing, heating, and hydronics equipment and supplies merchant wholesalers(1)</t>
  </si>
  <si>
    <t>Warm air heating, air-conditioning, and refrigeration equipment and supplies merchant wholesalers(1)</t>
  </si>
  <si>
    <t>Machinery, equipment, and supplies merchant wholesalers(1)</t>
  </si>
  <si>
    <t>Construction and mining (except oil well) machinery and equipment merchant wholesalers(1)</t>
  </si>
  <si>
    <t>Farm and garden machinery and equipment merchant wholesalers(1)</t>
  </si>
  <si>
    <t>Industrial machinery and equipment merchant wholesalers(1)</t>
  </si>
  <si>
    <t>Industrial supplies merchant wholesalers(1)</t>
  </si>
  <si>
    <t>Service establishment equipment and supplies merchant wholesalers(1)</t>
  </si>
  <si>
    <t>Transportation equipment and supplies (except motor vehicle) merchant wholesalers(1)</t>
  </si>
  <si>
    <t>Miscellaneous durable goods merchant wholesalers(1)</t>
  </si>
  <si>
    <t>Sporting and recreational goods and supplies merchant wholesalers(1)</t>
  </si>
  <si>
    <t>Recyclable material merchant wholesalers(1)</t>
  </si>
  <si>
    <t>Jewelry, watch, precious stone, and precious metal merchant wholesalers(1)</t>
  </si>
  <si>
    <t>Toy and hobby goods and supplies and other miscellaneous durable goods merchant wholesalers(1)</t>
  </si>
  <si>
    <t>Merchant wholesalers, nondurable goods</t>
  </si>
  <si>
    <t>Paper and paper product merchant wholesalers(1)</t>
  </si>
  <si>
    <t>Printing and writing paper, stationery, and office supplies merchant wholesalers(1)</t>
  </si>
  <si>
    <t>Industrial and personal service paper merchant wholesalers(1)</t>
  </si>
  <si>
    <t>Drugs and druggists' sundries merchant wholesalers(1)</t>
  </si>
  <si>
    <t>Apparel, piece goods, and notions merchant wholesalers(1)</t>
  </si>
  <si>
    <t>Clothing and clothing accessories merchant wholesalers(1)</t>
  </si>
  <si>
    <t>Grocery and related product merchant wholesalers(1)</t>
  </si>
  <si>
    <t>General line grocery merchant wholesalers(1)</t>
  </si>
  <si>
    <t>Fresh fruit and vegetable merchant wholesalers(1)</t>
  </si>
  <si>
    <t>Farm product raw material merchant wholesalers(1)</t>
  </si>
  <si>
    <t>Grain and field bean merchant wholesalers(1)</t>
  </si>
  <si>
    <t>Chemical and allied products merchant wholesalers(1)</t>
  </si>
  <si>
    <t>Petroleum and petroleum products merchant wholesalers(1)</t>
  </si>
  <si>
    <t>Beer, wine, and distilled alcoholic beverage merchant wholesalers(1)</t>
  </si>
  <si>
    <t>Beer and ale merchant wholesalers(1)</t>
  </si>
  <si>
    <t>Wine and distilled alcoholic beverage merchant wholesalers(1)</t>
  </si>
  <si>
    <t>Miscellaneous nondurable goods merchant wholesalers(1)</t>
  </si>
  <si>
    <t>Farm supplies merchant wholesalers(1)</t>
  </si>
  <si>
    <t>Flower, nursery stock, and florists' supplies merchant wholesalers(1)</t>
  </si>
  <si>
    <t>All other nondurable goods merchant wholesalers(1)</t>
  </si>
  <si>
    <t>42492,4,5,9</t>
  </si>
  <si>
    <t>Wholesale trade agents and brokers</t>
  </si>
  <si>
    <t>Motorcycle, boat, and other motor vehicle dealers(1)</t>
  </si>
  <si>
    <t>Automotive parts, accessories, and tire retailers</t>
  </si>
  <si>
    <t>Automotive parts and accessories retailers(1)</t>
  </si>
  <si>
    <t>Hardware retailers(1)</t>
  </si>
  <si>
    <t>Home centers, paint, wallpaper, and other building material dealers(1)</t>
  </si>
  <si>
    <t>44411,2,8</t>
  </si>
  <si>
    <t>Lawn and garden equipment and supplies retailers(1)</t>
  </si>
  <si>
    <t>Outdoor power equipment retailers(1)</t>
  </si>
  <si>
    <t>Nursery, garden center, and farm supply retailers(1)</t>
  </si>
  <si>
    <t>Food and beverage retailers</t>
  </si>
  <si>
    <t>Grocery and convenience retailers(1)</t>
  </si>
  <si>
    <t>Supermarkets and other grocery retailers (except convenience retailers)(1)</t>
  </si>
  <si>
    <t>Convenience retailers and vending machine operators(1)</t>
  </si>
  <si>
    <t>Convenience retailers(1)</t>
  </si>
  <si>
    <t>Specialty food retailers(1)</t>
  </si>
  <si>
    <t>Fruit and vegetable retailers(1)</t>
  </si>
  <si>
    <t>Meat, fish, and seafood retailers(1)</t>
  </si>
  <si>
    <t>44524,5</t>
  </si>
  <si>
    <t>Other specialty food retailers(1)</t>
  </si>
  <si>
    <t>Beer, wine, and liquor retailers(1)</t>
  </si>
  <si>
    <t>Furniture, home furnishings, electronics, and appliance retailers</t>
  </si>
  <si>
    <t>Furniture and home furnishings retailers</t>
  </si>
  <si>
    <t>Furniture retailers(1)</t>
  </si>
  <si>
    <t>Home furnishings retailers(1)</t>
  </si>
  <si>
    <t>Floor covering retailers(1)</t>
  </si>
  <si>
    <t>Window treatment and all other home furnishings retailers(1)</t>
  </si>
  <si>
    <t>449122,9</t>
  </si>
  <si>
    <t>Electronics and appliance retailers</t>
  </si>
  <si>
    <t>General merchandise retailers</t>
  </si>
  <si>
    <t>Warehouse clubs, supercenters, and other general merchandise retailers</t>
  </si>
  <si>
    <t>Health and personal care retailers</t>
  </si>
  <si>
    <t>Pharmacies and drug retailers(1)</t>
  </si>
  <si>
    <t>Cosmetics, beauty supplies, and perfume retailers(1)</t>
  </si>
  <si>
    <t>Optical goods retailers(1)</t>
  </si>
  <si>
    <t>Other health and personal care retailers(1)</t>
  </si>
  <si>
    <t>Food (health) supplement retailers(1)</t>
  </si>
  <si>
    <t>All other health and personal care retailers(1)</t>
  </si>
  <si>
    <t>Gasoline stations and fuel dealers</t>
  </si>
  <si>
    <t>Gasoline stations(1)</t>
  </si>
  <si>
    <t>Clothing, clothing accessories, shoe, and jewelry retailers</t>
  </si>
  <si>
    <t>Clothing and clothing accessories retailers(1)</t>
  </si>
  <si>
    <t>Shoe retailers(1)</t>
  </si>
  <si>
    <t>Jewelry, luggage, and leather goods retailers(1)</t>
  </si>
  <si>
    <t>Sporting goods, hobby, musical instrument, book, and miscellaneous retailers</t>
  </si>
  <si>
    <t>Sporting goods, hobby, and musical instrument retailers(1)</t>
  </si>
  <si>
    <t>Sporting goods retailers(1)</t>
  </si>
  <si>
    <t>Hobby, toy, and game retailers(1)</t>
  </si>
  <si>
    <t>Sewing, needlework, and piece goods retailers(1)</t>
  </si>
  <si>
    <t>Musical instrument and supplies retailers(1)</t>
  </si>
  <si>
    <t>Book retailers and news dealers(1)</t>
  </si>
  <si>
    <t>Office supplies, stationery, and gift retailers(1)</t>
  </si>
  <si>
    <t>Office supplies and stationery retailers(1)</t>
  </si>
  <si>
    <t>Gift, novelty, and souvenir retailers(1)</t>
  </si>
  <si>
    <t>Used merchandise retailers(1)</t>
  </si>
  <si>
    <t>Other miscellaneous retailers(1)</t>
  </si>
  <si>
    <t>Pet and pet supplies retailers(1)</t>
  </si>
  <si>
    <t>Manufactured (mobile) home dealers and all other miscellaneous retailers(1)</t>
  </si>
  <si>
    <t>45993,9</t>
  </si>
  <si>
    <t>Tobacco, electronic cigarette, and other smoking supplies retailers(1)</t>
  </si>
  <si>
    <t>General freight trucking, long-distance, truckload(1)</t>
  </si>
  <si>
    <t>General freight trucking, long-distance, less than truckload(1)</t>
  </si>
  <si>
    <t>Specialized freight (except used goods) trucking, local(1)</t>
  </si>
  <si>
    <t>Specialized freight (except used goods) trucking, long-distance(1)</t>
  </si>
  <si>
    <t>Urban transit systems and interurban, rural, and charter bus transportation(1)</t>
  </si>
  <si>
    <t>Other transit and ground passenger transportation(1)</t>
  </si>
  <si>
    <t>Other support activities for transportation, including rail(1)</t>
  </si>
  <si>
    <t>Other warehousing and storage, including farm product(1)</t>
  </si>
  <si>
    <t>Electric power generation, transmission and distribution(1)</t>
  </si>
  <si>
    <t>Hydroelectric and nuclear, solar, wind, geothermal, biomass, and other electric power generation(1)</t>
  </si>
  <si>
    <t>Electric power transmission, control, and distribution(1)</t>
  </si>
  <si>
    <t>Water, sewage, and other systems(1)</t>
  </si>
  <si>
    <t>Publishing industries</t>
  </si>
  <si>
    <t>Newspaper, periodical, book, and directory publishers(1)</t>
  </si>
  <si>
    <t>51314,9</t>
  </si>
  <si>
    <t>Broadcasting and content providers</t>
  </si>
  <si>
    <t>Radio and television broadcasting stations(1)</t>
  </si>
  <si>
    <t>Radio broadcasting stations(1)</t>
  </si>
  <si>
    <t>Television broadcasting stations(1)</t>
  </si>
  <si>
    <t>Media streaming distribution services, social networks, and other media networks and content providers(1)</t>
  </si>
  <si>
    <t>Wired and wireless telecommunications (except satellite)(1)</t>
  </si>
  <si>
    <t>Wired and wireless telecommunications carriers (except satellite)(1)</t>
  </si>
  <si>
    <t>Wireless telecommunications carriers (except satellite)(1)</t>
  </si>
  <si>
    <t>All other telecommunications(1)</t>
  </si>
  <si>
    <t>5174,8</t>
  </si>
  <si>
    <t>Computing infrastructure providers, data processing, web hosting, and related services</t>
  </si>
  <si>
    <t>Web search portals, libraries, archives, and other information services</t>
  </si>
  <si>
    <t>Libraries and archives(1)</t>
  </si>
  <si>
    <t>Web search portals and all other information services(1)</t>
  </si>
  <si>
    <t>Monetary authorities-central bank</t>
  </si>
  <si>
    <t>Commercial banking(1)</t>
  </si>
  <si>
    <t>Credit unions(1)</t>
  </si>
  <si>
    <t>Savings institutions and other depository credit intermediation(1)</t>
  </si>
  <si>
    <t>International, secondary market, and all other nondepository credit intermediation(1)</t>
  </si>
  <si>
    <t>Financial transactions processing, reserve, and clearinghouse activities(1)</t>
  </si>
  <si>
    <t>Other activities related to credit intermediation(1)</t>
  </si>
  <si>
    <t>Securities, commodity contracts, funds, trusts, and other financial vehicles, investments, and related activities</t>
  </si>
  <si>
    <t>Securities and commodity contracts brokerage, intermediation, and exchanges(1)</t>
  </si>
  <si>
    <t>Investment banking and securities intermediation(1)</t>
  </si>
  <si>
    <t>Funds, trusts, and other financial vehicles and investment activities(1)</t>
  </si>
  <si>
    <t>5239,50</t>
  </si>
  <si>
    <t>Portfolio management and investment advice(1)</t>
  </si>
  <si>
    <t>All other financial investment activities(1)</t>
  </si>
  <si>
    <t>Direct life, health, and medical insurance carriers(1)</t>
  </si>
  <si>
    <t>Direct insurance (except life, health, and medical) carriers(1)</t>
  </si>
  <si>
    <t>Direct property and casualty insurance carriers(1)</t>
  </si>
  <si>
    <t>Direct title insurance and other direct insurance (except life, health, and medical) carriers(1)</t>
  </si>
  <si>
    <t>Agencies, brokerages, and other insurance related activities(1)</t>
  </si>
  <si>
    <t>Other insurance related activities(1)</t>
  </si>
  <si>
    <t>Pharmacy benefit management and other third party administration of insurance and pension funds(1)</t>
  </si>
  <si>
    <t>All other insurance related activities(1)</t>
  </si>
  <si>
    <t>Lessors of residential buildings and dwellings(1)</t>
  </si>
  <si>
    <t>Lessors of nonresidential buildings (except miniwarehouses)(1)</t>
  </si>
  <si>
    <t>Lessors of miniwarehouses and self-storage units(1)</t>
  </si>
  <si>
    <t>Truck, utility trailer, and recreational vehicle (RV) rental and leasing(1)</t>
  </si>
  <si>
    <t>Commercial and industrial machinery and equipment rental and leasing(1)</t>
  </si>
  <si>
    <t>Construction, transportation, mining, and forestry machinery and equipment rental and leasing(1)</t>
  </si>
  <si>
    <t>Office, commercial, and industrial machinery and equipment rental and leasing(1)</t>
  </si>
  <si>
    <t>Lessors of nonfinancial intangible assets (except copyrighted works)</t>
  </si>
  <si>
    <t>Professional, scientific, and technical services</t>
  </si>
  <si>
    <t>Testing laboratories and services(1)</t>
  </si>
  <si>
    <t>Other computer related services(1)</t>
  </si>
  <si>
    <t>Management, scientific, and technical consulting services</t>
  </si>
  <si>
    <t>Administrative management and general management consulting services(1)</t>
  </si>
  <si>
    <t>Human resources consulting services(1)</t>
  </si>
  <si>
    <t>Process, physical distribution, and logistics consulting services(1)</t>
  </si>
  <si>
    <t>Other scientific and technical consulting services(1)</t>
  </si>
  <si>
    <t>Research and development in the social sciences and humanities(1)</t>
  </si>
  <si>
    <t>Indoor and outdoor display advertising(1)</t>
  </si>
  <si>
    <t>Advertising material distribution and other services related to advertising(1)</t>
  </si>
  <si>
    <t>Other professional, scientific, and technical services</t>
  </si>
  <si>
    <t>Translation, interpretation, and all other professional, scientific, and technical services(1)</t>
  </si>
  <si>
    <t>Offices of bank and other holding companies(1)</t>
  </si>
  <si>
    <t>Corporate, subsidiary, and regional managing offices(1)</t>
  </si>
  <si>
    <t>Administrative and support and waste management and remediation services</t>
  </si>
  <si>
    <t>Telemarketing bureaus and other contact centers(1)</t>
  </si>
  <si>
    <t>Other travel arrangement and reservation services(1)</t>
  </si>
  <si>
    <t>Investigation, guard, and armored car services(1)</t>
  </si>
  <si>
    <t>Investigation and personal background check services(1)</t>
  </si>
  <si>
    <t>Security guards, patrol services, and armored car services(1)</t>
  </si>
  <si>
    <t>Solid waste landfill, combustors, and incinerators and other nonhazardous waste treatment and disposal(1)</t>
  </si>
  <si>
    <t>Remediation and other waste management services(1)</t>
  </si>
  <si>
    <t>Private education and health services</t>
  </si>
  <si>
    <t>Private educational services</t>
  </si>
  <si>
    <t>Private elementary and secondary schools(1)</t>
  </si>
  <si>
    <t>Private junior colleges, colleges, universities, and professional schools(1)</t>
  </si>
  <si>
    <t>6112,3</t>
  </si>
  <si>
    <t>Private business schools and computer and management training(1)</t>
  </si>
  <si>
    <t>Private business and secretarial schools and private computer training(1)</t>
  </si>
  <si>
    <t>Private professional and management development training(1)</t>
  </si>
  <si>
    <t>Private technical and trade schools(1)</t>
  </si>
  <si>
    <t>Other private schools and instruction(1)</t>
  </si>
  <si>
    <t>Private fine arts schools(1)</t>
  </si>
  <si>
    <t>Private sports and recreation instruction(1)</t>
  </si>
  <si>
    <t>Private language schools and all other private schools and instruction(1)</t>
  </si>
  <si>
    <t>Private educational support services(1)</t>
  </si>
  <si>
    <t>Offices of physicians (except mental health specialists)(1)</t>
  </si>
  <si>
    <t>Offices of physicians, mental health specialists(1)</t>
  </si>
  <si>
    <t>Offices of mental health practitioners (except physicians)(1)</t>
  </si>
  <si>
    <t>Offices of physical, occupational and speech therapists, and audiologists(1)</t>
  </si>
  <si>
    <t>Offices of all other miscellaneous health practitioners(1)</t>
  </si>
  <si>
    <t>Outpatient mental health and substance abuse centers(1)</t>
  </si>
  <si>
    <t>Other outpatient care centers(1)</t>
  </si>
  <si>
    <t>Freestanding ambulatory surgical and emergency centers(1)</t>
  </si>
  <si>
    <t>Family planning and all other outpatient care centers(1)</t>
  </si>
  <si>
    <t>All other miscellaneous ambulatory health care services(1)</t>
  </si>
  <si>
    <t>Specialty, except psychiatric and substance abuse, hospitals(1)</t>
  </si>
  <si>
    <t>Skilled nursing care facilities</t>
  </si>
  <si>
    <t>Residential intellectual and developmental disability, mental health, and substance abuse facilities</t>
  </si>
  <si>
    <t>Continuing care retirement communities and assisted living facilities for the elderly</t>
  </si>
  <si>
    <t>Community food and housing, and emergency and other relief services</t>
  </si>
  <si>
    <t>Child care services</t>
  </si>
  <si>
    <t>Performing arts, spectator sports, and related industries</t>
  </si>
  <si>
    <t>Theater, dance, and other performing arts companies and dinner theaters(1)</t>
  </si>
  <si>
    <t>Racetracks and other spectator sports(1)</t>
  </si>
  <si>
    <t>711212,9</t>
  </si>
  <si>
    <t>Historical sites, zoos, botanical gardens, nature parks, and other similar institutions(1)</t>
  </si>
  <si>
    <t>Amusement, gambling, and recreation industries</t>
  </si>
  <si>
    <t>Hotels (except casino hotels) and motels(1)</t>
  </si>
  <si>
    <t>All other traveler accommodation and rooming and boarding houses, dormitories, and workers' camps(1)</t>
  </si>
  <si>
    <t>Recreational vehicle (RV) parks and recreational camps(1)</t>
  </si>
  <si>
    <t>Automotive mechanical and electrical repair and maintenance(1)</t>
  </si>
  <si>
    <t>Specialized automotive repair(1)</t>
  </si>
  <si>
    <t>Automotive body, paint, interior, and glass repair(1)</t>
  </si>
  <si>
    <t>Automotive body, paint, and interior repair and maintenance(1)</t>
  </si>
  <si>
    <t>Automotive oil change and lubrication shops and all other automotive repair and maintenance(1)</t>
  </si>
  <si>
    <t>Electronic and precision equipment repair and maintenance(1)</t>
  </si>
  <si>
    <t>Commercial and industrial machinery and equipment (except automotive and electronic) repair and maintenance(1)</t>
  </si>
  <si>
    <t>Personal and household goods repair and maintenance(1)</t>
  </si>
  <si>
    <t>Pet care (except veterinary) services(1)</t>
  </si>
  <si>
    <t>Photofinishing and all other personal services(1)</t>
  </si>
  <si>
    <t>Religious, grantmaking, civic, professional, and similar organizations</t>
  </si>
  <si>
    <t>Environment, conservation, wildlife, and other social advocacy organizations(1)</t>
  </si>
  <si>
    <t>Business, professional, labor, political, and similar organizations(1)</t>
  </si>
  <si>
    <t>Political and other similar organizations (except business, professional, and labor organizations)(1)</t>
  </si>
  <si>
    <t>All data from BLS</t>
  </si>
  <si>
    <t>Data split to assign to proper EPS ISIC Categories</t>
  </si>
  <si>
    <t>Tobacco manufacturing</t>
  </si>
  <si>
    <t>See above</t>
  </si>
  <si>
    <t>Other data</t>
  </si>
  <si>
    <t>agriculture and related activities</t>
  </si>
  <si>
    <t>https://www.bls.gov/cps/cpsaat15.htm</t>
  </si>
  <si>
    <t>accessed 1/8/26</t>
  </si>
  <si>
    <t>Oct. 2024 - Nov. 2024(p)</t>
  </si>
  <si>
    <t>2024(p)</t>
  </si>
  <si>
    <t>Fluid power valve and hose fitting manufacturing(1)</t>
  </si>
  <si>
    <t>Industrial valve, plumbing fixture fitting and trim, and other metal valve and pipe fitting manufacturing(1)</t>
  </si>
  <si>
    <t>Bare printed circuit board manufacturing(1)</t>
  </si>
  <si>
    <t>Printed electronic circuit assembly manufacturing(1)</t>
  </si>
  <si>
    <t>Wiring device manufacturing(1)</t>
  </si>
  <si>
    <t>Communication and energy wire and cable and all other electrical equipment and component manufacturing(1)</t>
  </si>
  <si>
    <t>Motor vehicle steering and suspension components, except spring, manufacturing(1)</t>
  </si>
  <si>
    <t>Motor vehicle brake system, seating, interior trim, and other motor vehicle parts manufacturing(1)</t>
  </si>
  <si>
    <t>33634,6,9</t>
  </si>
  <si>
    <t>Flour milling, malt, starch, and vegetable fats and oils manufacturing(1)</t>
  </si>
  <si>
    <t>Breakfast cereal manufacturing(1)</t>
  </si>
  <si>
    <t>Commercial and book printing (except screen)(1)</t>
  </si>
  <si>
    <t>All other general merchandise retailers(1)</t>
  </si>
  <si>
    <t>Credit bureaus and other business support services(1)</t>
  </si>
  <si>
    <r>
      <t>Motor vehicles and parts(</t>
    </r>
    <r>
      <rPr>
        <b/>
        <u/>
        <sz val="11"/>
        <color rgb="FF0000C7"/>
        <rFont val="Tahoma"/>
        <family val="2"/>
      </rPr>
      <t>1</t>
    </r>
    <r>
      <rPr>
        <b/>
        <sz val="11"/>
        <color rgb="FF333333"/>
        <rFont val="Tahoma"/>
        <family val="2"/>
      </rPr>
      <t>)(</t>
    </r>
    <r>
      <rPr>
        <b/>
        <u/>
        <sz val="11"/>
        <color rgb="FF0000C7"/>
        <rFont val="Tahoma"/>
        <family val="2"/>
      </rPr>
      <t>2</t>
    </r>
    <r>
      <rPr>
        <b/>
        <sz val="11"/>
        <color rgb="FF333333"/>
        <rFont val="Tahoma"/>
        <family val="2"/>
      </rPr>
      <t>)</t>
    </r>
  </si>
  <si>
    <t>https://www.bls.gov/ces/data/employment-and-earnings/2024/table1a_202411.htm</t>
  </si>
  <si>
    <t>uses gross output data from io-model/BObIC</t>
  </si>
  <si>
    <t>Current Employment Statistics</t>
  </si>
  <si>
    <t>Nonfarm employment</t>
  </si>
  <si>
    <t>Farm employment</t>
  </si>
  <si>
    <t>Labor Force Statistics from the Current Population Survey</t>
  </si>
  <si>
    <t>Table 15. Employed persons in agriculture and nonagricultural industries by age, sex, and class of worker</t>
  </si>
  <si>
    <t>Gross Output by Industry for ISIC splits</t>
  </si>
  <si>
    <t>io-model/BObIC</t>
  </si>
  <si>
    <t xml:space="preserve">We use BLS employment data aggregated by NAICS code, which is translated into </t>
  </si>
  <si>
    <t xml:space="preserve">EPS ISIC Code categories. </t>
  </si>
  <si>
    <t>The following categories:</t>
  </si>
  <si>
    <t xml:space="preserve">   Other miscellaneous nondurable goods manufacturing(1)</t>
  </si>
  <si>
    <t xml:space="preserve">   Asphalt paving, roofing, saturated materials, and other petroleum and coal products manufacturing(1)</t>
  </si>
  <si>
    <t xml:space="preserve">need disaggregation. The former includes tobacco and leather product manufacturing, </t>
  </si>
  <si>
    <t xml:space="preserve">which fit into different EPS ISIC categories. The latter includes several petroleum and coal products. </t>
  </si>
  <si>
    <t>We separate out NAICS 32419 which includes coke oven products and is grouped into Iron &amp; Steel</t>
  </si>
  <si>
    <t>by NEMS, from which we source our industry fuel use data.</t>
  </si>
  <si>
    <t xml:space="preserve"> </t>
  </si>
  <si>
    <t xml:space="preserve">We use gross output by industry to break out each of these aggregated categories. </t>
  </si>
  <si>
    <t>USA: United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</si>
</sst>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7"/>
      <color rgb="FF000000"/>
      <name val="Tahoma"/>
      <family val="2"/>
    </font>
    <font>
      <sz val="7"/>
      <color rgb="FF000000"/>
      <name val="Tahoma"/>
      <family val="2"/>
    </font>
    <font>
      <sz val="7"/>
      <color rgb="FF333333"/>
      <name val="Tahoma"/>
      <family val="2"/>
    </font>
    <font>
      <b/>
      <sz val="10"/>
      <color rgb="FF660000"/>
      <name val="Calibri"/>
      <family val="2"/>
      <scheme val="minor"/>
    </font>
    <font>
      <sz val="10"/>
      <color rgb="FF660000"/>
      <name val="Tahoma"/>
      <family val="2"/>
    </font>
    <font>
      <sz val="11"/>
      <color theme="1"/>
      <name val="Calibri"/>
      <family val="2"/>
      <scheme val="minor"/>
    </font>
    <font>
      <b/>
      <sz val="11"/>
      <color rgb="FF000000"/>
      <name val="Tahoma"/>
      <family val="2"/>
    </font>
    <font>
      <b/>
      <sz val="11"/>
      <color rgb="FF333333"/>
      <name val="Tahoma"/>
      <family val="2"/>
    </font>
    <font>
      <b/>
      <u/>
      <sz val="11"/>
      <color rgb="FF0000C7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/>
      <diagonal/>
    </border>
    <border>
      <left style="medium">
        <color rgb="FFAAAAAA"/>
      </left>
      <right style="medium">
        <color rgb="FFAAAAAA"/>
      </right>
      <top/>
      <bottom/>
      <diagonal/>
    </border>
    <border>
      <left style="medium">
        <color rgb="FFAAAAAA"/>
      </left>
      <right style="medium">
        <color rgb="FFAAAAAA"/>
      </right>
      <top/>
      <bottom style="medium">
        <color rgb="FFAAAAAA"/>
      </bottom>
      <diagonal/>
    </border>
    <border>
      <left style="medium">
        <color rgb="FFAAAAAA"/>
      </left>
      <right/>
      <top style="medium">
        <color rgb="FFAAAAAA"/>
      </top>
      <bottom style="medium">
        <color rgb="FFAAAAAA"/>
      </bottom>
      <diagonal/>
    </border>
    <border>
      <left/>
      <right/>
      <top style="medium">
        <color rgb="FFAAAAAA"/>
      </top>
      <bottom style="medium">
        <color rgb="FFAAAAAA"/>
      </bottom>
      <diagonal/>
    </border>
    <border>
      <left/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  <xf numFmtId="9" fontId="11" fillId="0" borderId="0" applyFont="0" applyFill="0" applyBorder="0" applyAlignment="0" applyProtection="0"/>
  </cellStyleXfs>
  <cellXfs count="7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3" borderId="0" xfId="0" applyFont="1" applyFill="1"/>
    <xf numFmtId="0" fontId="4" fillId="0" borderId="0" xfId="0" applyFont="1"/>
    <xf numFmtId="3" fontId="0" fillId="0" borderId="0" xfId="0" applyNumberFormat="1" applyAlignment="1">
      <alignment horizontal="right"/>
    </xf>
    <xf numFmtId="0" fontId="6" fillId="5" borderId="6" xfId="0" applyFont="1" applyFill="1" applyBorder="1" applyAlignment="1">
      <alignment horizontal="center" wrapText="1"/>
    </xf>
    <xf numFmtId="0" fontId="2" fillId="5" borderId="7" xfId="1" applyFill="1" applyBorder="1" applyAlignment="1">
      <alignment horizontal="center" wrapText="1"/>
    </xf>
    <xf numFmtId="0" fontId="6" fillId="5" borderId="8" xfId="0" applyFont="1" applyFill="1" applyBorder="1" applyAlignment="1">
      <alignment horizontal="center" wrapText="1"/>
    </xf>
    <xf numFmtId="0" fontId="2" fillId="5" borderId="8" xfId="1" applyFill="1" applyBorder="1" applyAlignment="1">
      <alignment horizontal="center" wrapText="1"/>
    </xf>
    <xf numFmtId="0" fontId="7" fillId="4" borderId="5" xfId="0" applyFont="1" applyFill="1" applyBorder="1" applyAlignment="1">
      <alignment horizontal="right" vertical="center" wrapText="1"/>
    </xf>
    <xf numFmtId="3" fontId="7" fillId="4" borderId="5" xfId="0" applyNumberFormat="1" applyFont="1" applyFill="1" applyBorder="1" applyAlignment="1">
      <alignment horizontal="right" vertical="center" wrapText="1"/>
    </xf>
    <xf numFmtId="0" fontId="8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right" vertical="center" wrapText="1"/>
    </xf>
    <xf numFmtId="0" fontId="8" fillId="4" borderId="5" xfId="0" applyFont="1" applyFill="1" applyBorder="1" applyAlignment="1">
      <alignment horizontal="left" vertical="center" wrapText="1"/>
    </xf>
    <xf numFmtId="4" fontId="7" fillId="9" borderId="5" xfId="0" applyNumberFormat="1" applyFont="1" applyFill="1" applyBorder="1" applyAlignment="1">
      <alignment horizontal="right" vertical="center" wrapText="1"/>
    </xf>
    <xf numFmtId="4" fontId="7" fillId="4" borderId="5" xfId="0" applyNumberFormat="1" applyFont="1" applyFill="1" applyBorder="1" applyAlignment="1">
      <alignment horizontal="right" vertical="center" wrapText="1"/>
    </xf>
    <xf numFmtId="3" fontId="8" fillId="4" borderId="5" xfId="0" applyNumberFormat="1" applyFont="1" applyFill="1" applyBorder="1" applyAlignment="1">
      <alignment horizontal="left" vertical="center" wrapText="1"/>
    </xf>
    <xf numFmtId="3" fontId="7" fillId="9" borderId="5" xfId="0" applyNumberFormat="1" applyFont="1" applyFill="1" applyBorder="1" applyAlignment="1">
      <alignment horizontal="right" vertical="center"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1" fontId="0" fillId="0" borderId="3" xfId="0" applyNumberFormat="1" applyBorder="1"/>
    <xf numFmtId="0" fontId="0" fillId="2" borderId="0" xfId="0" applyFill="1" applyAlignment="1">
      <alignment horizontal="right"/>
    </xf>
    <xf numFmtId="0" fontId="0" fillId="10" borderId="0" xfId="0" applyFill="1"/>
    <xf numFmtId="0" fontId="1" fillId="10" borderId="0" xfId="0" applyFont="1" applyFill="1"/>
    <xf numFmtId="164" fontId="0" fillId="0" borderId="0" xfId="4" applyNumberFormat="1" applyFont="1"/>
    <xf numFmtId="0" fontId="1" fillId="11" borderId="0" xfId="0" applyFont="1" applyFill="1"/>
    <xf numFmtId="3" fontId="8" fillId="9" borderId="5" xfId="0" applyNumberFormat="1" applyFont="1" applyFill="1" applyBorder="1" applyAlignment="1">
      <alignment horizontal="left" vertical="center" wrapText="1"/>
    </xf>
    <xf numFmtId="0" fontId="13" fillId="6" borderId="5" xfId="0" applyFont="1" applyFill="1" applyBorder="1" applyAlignment="1">
      <alignment horizontal="left" vertical="center" wrapText="1"/>
    </xf>
    <xf numFmtId="0" fontId="13" fillId="6" borderId="5" xfId="0" applyFont="1" applyFill="1" applyBorder="1" applyAlignment="1">
      <alignment horizontal="left" vertical="center" wrapText="1" indent="1"/>
    </xf>
    <xf numFmtId="0" fontId="13" fillId="6" borderId="5" xfId="0" applyFont="1" applyFill="1" applyBorder="1" applyAlignment="1">
      <alignment horizontal="left" vertical="center" wrapText="1" indent="2"/>
    </xf>
    <xf numFmtId="0" fontId="13" fillId="6" borderId="5" xfId="0" applyFont="1" applyFill="1" applyBorder="1" applyAlignment="1">
      <alignment horizontal="left" vertical="center" wrapText="1" indent="3"/>
    </xf>
    <xf numFmtId="0" fontId="13" fillId="8" borderId="5" xfId="0" applyFont="1" applyFill="1" applyBorder="1" applyAlignment="1">
      <alignment horizontal="left" vertical="center" wrapText="1" indent="4"/>
    </xf>
    <xf numFmtId="0" fontId="13" fillId="6" borderId="5" xfId="0" applyFont="1" applyFill="1" applyBorder="1" applyAlignment="1">
      <alignment horizontal="left" vertical="center" wrapText="1" indent="4"/>
    </xf>
    <xf numFmtId="0" fontId="13" fillId="8" borderId="5" xfId="0" applyFont="1" applyFill="1" applyBorder="1" applyAlignment="1">
      <alignment horizontal="left" vertical="center" wrapText="1" indent="5"/>
    </xf>
    <xf numFmtId="0" fontId="13" fillId="6" borderId="5" xfId="0" applyFont="1" applyFill="1" applyBorder="1" applyAlignment="1">
      <alignment horizontal="left" vertical="center" wrapText="1" indent="5"/>
    </xf>
    <xf numFmtId="0" fontId="13" fillId="8" borderId="5" xfId="0" applyFont="1" applyFill="1" applyBorder="1" applyAlignment="1">
      <alignment horizontal="left" vertical="center" wrapText="1" indent="6"/>
    </xf>
    <xf numFmtId="0" fontId="2" fillId="6" borderId="5" xfId="1" applyFill="1" applyBorder="1" applyAlignment="1">
      <alignment horizontal="left" vertical="center" wrapText="1" indent="7"/>
    </xf>
    <xf numFmtId="0" fontId="2" fillId="8" borderId="5" xfId="1" applyFill="1" applyBorder="1" applyAlignment="1">
      <alignment horizontal="left" vertical="center" wrapText="1" indent="7"/>
    </xf>
    <xf numFmtId="0" fontId="13" fillId="6" borderId="5" xfId="0" applyFont="1" applyFill="1" applyBorder="1" applyAlignment="1">
      <alignment horizontal="left" vertical="center" wrapText="1" indent="6"/>
    </xf>
    <xf numFmtId="0" fontId="2" fillId="8" borderId="5" xfId="1" applyFill="1" applyBorder="1" applyAlignment="1">
      <alignment horizontal="left" vertical="center" wrapText="1" indent="8"/>
    </xf>
    <xf numFmtId="0" fontId="2" fillId="6" borderId="5" xfId="1" applyFill="1" applyBorder="1" applyAlignment="1">
      <alignment horizontal="left" vertical="center" wrapText="1" indent="8"/>
    </xf>
    <xf numFmtId="0" fontId="2" fillId="8" borderId="5" xfId="1" applyFill="1" applyBorder="1" applyAlignment="1">
      <alignment horizontal="left" vertical="center" wrapText="1" indent="6"/>
    </xf>
    <xf numFmtId="0" fontId="2" fillId="8" borderId="5" xfId="1" applyFill="1" applyBorder="1" applyAlignment="1">
      <alignment horizontal="left" vertical="center" wrapText="1" indent="5"/>
    </xf>
    <xf numFmtId="0" fontId="2" fillId="6" borderId="5" xfId="1" applyFill="1" applyBorder="1" applyAlignment="1">
      <alignment horizontal="left" vertical="center" wrapText="1" indent="6"/>
    </xf>
    <xf numFmtId="0" fontId="2" fillId="6" borderId="5" xfId="1" applyFill="1" applyBorder="1" applyAlignment="1">
      <alignment horizontal="left" vertical="center" wrapText="1" indent="5"/>
    </xf>
    <xf numFmtId="0" fontId="13" fillId="6" borderId="5" xfId="0" applyFont="1" applyFill="1" applyBorder="1" applyAlignment="1">
      <alignment horizontal="left" vertical="center" wrapText="1" indent="7"/>
    </xf>
    <xf numFmtId="0" fontId="13" fillId="8" borderId="5" xfId="0" applyFont="1" applyFill="1" applyBorder="1" applyAlignment="1">
      <alignment horizontal="left" vertical="center" wrapText="1" indent="7"/>
    </xf>
    <xf numFmtId="0" fontId="2" fillId="6" borderId="5" xfId="1" applyFill="1" applyBorder="1" applyAlignment="1">
      <alignment horizontal="left" vertical="center" wrapText="1" indent="3"/>
    </xf>
    <xf numFmtId="0" fontId="2" fillId="6" borderId="5" xfId="1" applyFill="1" applyBorder="1" applyAlignment="1">
      <alignment horizontal="left" vertical="center" wrapText="1" indent="9"/>
    </xf>
    <xf numFmtId="0" fontId="2" fillId="8" borderId="5" xfId="1" applyFill="1" applyBorder="1" applyAlignment="1">
      <alignment horizontal="left" vertical="center" wrapText="1" indent="9"/>
    </xf>
    <xf numFmtId="165" fontId="1" fillId="0" borderId="0" xfId="0" applyNumberFormat="1" applyFont="1"/>
    <xf numFmtId="3" fontId="1" fillId="0" borderId="0" xfId="0" applyNumberFormat="1" applyFont="1" applyAlignment="1">
      <alignment horizontal="right"/>
    </xf>
    <xf numFmtId="1" fontId="0" fillId="0" borderId="1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4" xfId="0" applyNumberFormat="1" applyBorder="1" applyAlignment="1">
      <alignment horizontal="right"/>
    </xf>
    <xf numFmtId="1" fontId="0" fillId="2" borderId="1" xfId="0" applyNumberFormat="1" applyFill="1" applyBorder="1" applyAlignment="1">
      <alignment horizontal="right"/>
    </xf>
    <xf numFmtId="0" fontId="12" fillId="5" borderId="6" xfId="0" applyFont="1" applyFill="1" applyBorder="1" applyAlignment="1">
      <alignment horizontal="center" wrapText="1"/>
    </xf>
    <xf numFmtId="0" fontId="12" fillId="5" borderId="7" xfId="0" applyFont="1" applyFill="1" applyBorder="1" applyAlignment="1">
      <alignment horizontal="center" wrapText="1"/>
    </xf>
    <xf numFmtId="0" fontId="12" fillId="5" borderId="8" xfId="0" applyFont="1" applyFill="1" applyBorder="1" applyAlignment="1">
      <alignment horizontal="center" wrapText="1"/>
    </xf>
    <xf numFmtId="0" fontId="6" fillId="5" borderId="6" xfId="0" applyFont="1" applyFill="1" applyBorder="1" applyAlignment="1">
      <alignment horizontal="center" wrapText="1"/>
    </xf>
    <xf numFmtId="0" fontId="6" fillId="5" borderId="7" xfId="0" applyFont="1" applyFill="1" applyBorder="1" applyAlignment="1">
      <alignment horizontal="center" wrapText="1"/>
    </xf>
    <xf numFmtId="0" fontId="6" fillId="5" borderId="8" xfId="0" applyFont="1" applyFill="1" applyBorder="1" applyAlignment="1">
      <alignment horizontal="center" wrapText="1"/>
    </xf>
    <xf numFmtId="0" fontId="6" fillId="5" borderId="9" xfId="0" applyFont="1" applyFill="1" applyBorder="1" applyAlignment="1">
      <alignment horizontal="center" wrapText="1"/>
    </xf>
    <xf numFmtId="0" fontId="6" fillId="5" borderId="10" xfId="0" applyFont="1" applyFill="1" applyBorder="1" applyAlignment="1">
      <alignment horizontal="center" wrapText="1"/>
    </xf>
    <xf numFmtId="0" fontId="6" fillId="5" borderId="11" xfId="0" applyFont="1" applyFill="1" applyBorder="1" applyAlignment="1">
      <alignment horizontal="center" wrapText="1"/>
    </xf>
    <xf numFmtId="0" fontId="7" fillId="7" borderId="9" xfId="0" applyFont="1" applyFill="1" applyBorder="1" applyAlignment="1">
      <alignment horizontal="right" vertical="center" wrapText="1"/>
    </xf>
    <xf numFmtId="0" fontId="7" fillId="7" borderId="10" xfId="0" applyFont="1" applyFill="1" applyBorder="1" applyAlignment="1">
      <alignment horizontal="right" vertical="center" wrapText="1"/>
    </xf>
    <xf numFmtId="0" fontId="7" fillId="7" borderId="11" xfId="0" applyFont="1" applyFill="1" applyBorder="1" applyAlignment="1">
      <alignment horizontal="right" vertical="center" wrapText="1"/>
    </xf>
  </cellXfs>
  <cellStyles count="5">
    <cellStyle name="Hyperlink" xfId="1" builtinId="8"/>
    <cellStyle name="Normal" xfId="0" builtinId="0"/>
    <cellStyle name="Normal 2" xfId="2" xr:uid="{3ADF3FF5-E4D2-4BC8-9960-7408DCCB591E}"/>
    <cellStyle name="Normal 3" xfId="3" xr:uid="{0C79E43D-D088-43AF-AD66-AC2EF134DE21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ls.gov/ces/data/employment-and-earnings/2024/table1a_202411.htm" TargetMode="External"/><Relationship Id="rId21" Type="http://schemas.openxmlformats.org/officeDocument/2006/relationships/hyperlink" Target="https://www.bls.gov/ces/data/employment-and-earnings/2024/table1a_202411.htm" TargetMode="External"/><Relationship Id="rId324" Type="http://schemas.openxmlformats.org/officeDocument/2006/relationships/hyperlink" Target="https://www.bls.gov/ces/data/employment-and-earnings/2024/table1a_202411.htm" TargetMode="External"/><Relationship Id="rId531" Type="http://schemas.openxmlformats.org/officeDocument/2006/relationships/hyperlink" Target="https://www.bls.gov/ces/data/employment-and-earnings/2024/table1a_202411.htm" TargetMode="External"/><Relationship Id="rId629" Type="http://schemas.openxmlformats.org/officeDocument/2006/relationships/hyperlink" Target="https://www.bls.gov/ces/data/employment-and-earnings/2024/table1a_202411.htm" TargetMode="External"/><Relationship Id="rId170" Type="http://schemas.openxmlformats.org/officeDocument/2006/relationships/hyperlink" Target="https://www.bls.gov/ces/data/employment-and-earnings/2024/table1a_202411.htm" TargetMode="External"/><Relationship Id="rId268" Type="http://schemas.openxmlformats.org/officeDocument/2006/relationships/hyperlink" Target="https://www.bls.gov/ces/data/employment-and-earnings/2024/table1a_202411.htm" TargetMode="External"/><Relationship Id="rId475" Type="http://schemas.openxmlformats.org/officeDocument/2006/relationships/hyperlink" Target="https://www.bls.gov/ces/data/employment-and-earnings/2024/table1a_202411.htm" TargetMode="External"/><Relationship Id="rId32" Type="http://schemas.openxmlformats.org/officeDocument/2006/relationships/hyperlink" Target="https://www.bls.gov/ces/data/employment-and-earnings/2024/table1a_202411.htm" TargetMode="External"/><Relationship Id="rId128" Type="http://schemas.openxmlformats.org/officeDocument/2006/relationships/hyperlink" Target="https://www.bls.gov/ces/data/employment-and-earnings/2024/table1a_202411.htm" TargetMode="External"/><Relationship Id="rId335" Type="http://schemas.openxmlformats.org/officeDocument/2006/relationships/hyperlink" Target="https://www.bls.gov/ces/data/employment-and-earnings/2024/table1a_202411.htm" TargetMode="External"/><Relationship Id="rId542" Type="http://schemas.openxmlformats.org/officeDocument/2006/relationships/hyperlink" Target="https://www.bls.gov/ces/data/employment-and-earnings/2024/table1a_202411.htm" TargetMode="External"/><Relationship Id="rId181" Type="http://schemas.openxmlformats.org/officeDocument/2006/relationships/hyperlink" Target="https://www.bls.gov/ces/data/employment-and-earnings/2024/table1a_202411.htm" TargetMode="External"/><Relationship Id="rId402" Type="http://schemas.openxmlformats.org/officeDocument/2006/relationships/hyperlink" Target="https://www.bls.gov/ces/data/employment-and-earnings/2024/table1a_202411.htm" TargetMode="External"/><Relationship Id="rId279" Type="http://schemas.openxmlformats.org/officeDocument/2006/relationships/hyperlink" Target="https://www.bls.gov/ces/data/employment-and-earnings/2024/table1a_202411.htm" TargetMode="External"/><Relationship Id="rId486" Type="http://schemas.openxmlformats.org/officeDocument/2006/relationships/hyperlink" Target="https://www.bls.gov/ces/data/employment-and-earnings/2024/table1a_202411.htm" TargetMode="External"/><Relationship Id="rId43" Type="http://schemas.openxmlformats.org/officeDocument/2006/relationships/hyperlink" Target="https://www.bls.gov/ces/data/employment-and-earnings/2024/table1a_202411.htm" TargetMode="External"/><Relationship Id="rId139" Type="http://schemas.openxmlformats.org/officeDocument/2006/relationships/hyperlink" Target="https://www.bls.gov/ces/data/employment-and-earnings/2024/table1a_202411.htm" TargetMode="External"/><Relationship Id="rId346" Type="http://schemas.openxmlformats.org/officeDocument/2006/relationships/hyperlink" Target="https://www.bls.gov/ces/data/employment-and-earnings/2024/table1a_202411.htm" TargetMode="External"/><Relationship Id="rId553" Type="http://schemas.openxmlformats.org/officeDocument/2006/relationships/hyperlink" Target="https://www.bls.gov/ces/data/employment-and-earnings/2024/table1a_202411.htm" TargetMode="External"/><Relationship Id="rId192" Type="http://schemas.openxmlformats.org/officeDocument/2006/relationships/hyperlink" Target="https://www.bls.gov/ces/data/employment-and-earnings/2024/table1a_202411.htm" TargetMode="External"/><Relationship Id="rId206" Type="http://schemas.openxmlformats.org/officeDocument/2006/relationships/hyperlink" Target="https://www.bls.gov/ces/data/employment-and-earnings/2024/table1a_202411.htm" TargetMode="External"/><Relationship Id="rId413" Type="http://schemas.openxmlformats.org/officeDocument/2006/relationships/hyperlink" Target="https://www.bls.gov/ces/data/employment-and-earnings/2024/table1a_202411.htm" TargetMode="External"/><Relationship Id="rId497" Type="http://schemas.openxmlformats.org/officeDocument/2006/relationships/hyperlink" Target="https://www.bls.gov/ces/data/employment-and-earnings/2024/table1a_202411.htm" TargetMode="External"/><Relationship Id="rId620" Type="http://schemas.openxmlformats.org/officeDocument/2006/relationships/hyperlink" Target="https://www.bls.gov/ces/data/employment-and-earnings/2024/table1a_202411.htm" TargetMode="External"/><Relationship Id="rId357" Type="http://schemas.openxmlformats.org/officeDocument/2006/relationships/hyperlink" Target="https://www.bls.gov/ces/data/employment-and-earnings/2024/table1a_202411.htm" TargetMode="External"/><Relationship Id="rId54" Type="http://schemas.openxmlformats.org/officeDocument/2006/relationships/hyperlink" Target="https://www.bls.gov/ces/data/employment-and-earnings/2024/table1a_202411.htm" TargetMode="External"/><Relationship Id="rId217" Type="http://schemas.openxmlformats.org/officeDocument/2006/relationships/hyperlink" Target="https://www.bls.gov/ces/data/employment-and-earnings/2024/table1a_202411.htm" TargetMode="External"/><Relationship Id="rId564" Type="http://schemas.openxmlformats.org/officeDocument/2006/relationships/hyperlink" Target="https://www.bls.gov/ces/data/employment-and-earnings/2024/table1a_202411.htm" TargetMode="External"/><Relationship Id="rId424" Type="http://schemas.openxmlformats.org/officeDocument/2006/relationships/hyperlink" Target="https://www.bls.gov/ces/data/employment-and-earnings/2024/table1a_202411.htm" TargetMode="External"/><Relationship Id="rId631" Type="http://schemas.openxmlformats.org/officeDocument/2006/relationships/hyperlink" Target="https://www.bls.gov/ces/data/employment-and-earnings/2024/table1a_202411.htm" TargetMode="External"/><Relationship Id="rId270" Type="http://schemas.openxmlformats.org/officeDocument/2006/relationships/hyperlink" Target="https://www.bls.gov/ces/data/employment-and-earnings/2024/table1a_202411.htm" TargetMode="External"/><Relationship Id="rId65" Type="http://schemas.openxmlformats.org/officeDocument/2006/relationships/hyperlink" Target="https://www.bls.gov/ces/data/employment-and-earnings/2024/table1a_202411.htm" TargetMode="External"/><Relationship Id="rId130" Type="http://schemas.openxmlformats.org/officeDocument/2006/relationships/hyperlink" Target="https://www.bls.gov/ces/data/employment-and-earnings/2024/table1a_202411.htm" TargetMode="External"/><Relationship Id="rId368" Type="http://schemas.openxmlformats.org/officeDocument/2006/relationships/hyperlink" Target="https://www.bls.gov/ces/data/employment-and-earnings/2024/table1a_202411.htm" TargetMode="External"/><Relationship Id="rId575" Type="http://schemas.openxmlformats.org/officeDocument/2006/relationships/hyperlink" Target="https://www.bls.gov/ces/data/employment-and-earnings/2024/table1a_202411.htm" TargetMode="External"/><Relationship Id="rId228" Type="http://schemas.openxmlformats.org/officeDocument/2006/relationships/hyperlink" Target="https://www.bls.gov/ces/data/employment-and-earnings/2024/table1a_202411.htm" TargetMode="External"/><Relationship Id="rId435" Type="http://schemas.openxmlformats.org/officeDocument/2006/relationships/hyperlink" Target="https://www.bls.gov/ces/data/employment-and-earnings/2024/table1a_202411.htm" TargetMode="External"/><Relationship Id="rId281" Type="http://schemas.openxmlformats.org/officeDocument/2006/relationships/hyperlink" Target="https://www.bls.gov/ces/data/employment-and-earnings/2024/table1a_202411.htm" TargetMode="External"/><Relationship Id="rId502" Type="http://schemas.openxmlformats.org/officeDocument/2006/relationships/hyperlink" Target="https://www.bls.gov/ces/data/employment-and-earnings/2024/table1a_202411.htm" TargetMode="External"/><Relationship Id="rId76" Type="http://schemas.openxmlformats.org/officeDocument/2006/relationships/hyperlink" Target="https://www.bls.gov/ces/data/employment-and-earnings/2024/table1a_202411.htm" TargetMode="External"/><Relationship Id="rId141" Type="http://schemas.openxmlformats.org/officeDocument/2006/relationships/hyperlink" Target="https://www.bls.gov/ces/data/employment-and-earnings/2024/table1a_202411.htm" TargetMode="External"/><Relationship Id="rId379" Type="http://schemas.openxmlformats.org/officeDocument/2006/relationships/hyperlink" Target="https://www.bls.gov/ces/data/employment-and-earnings/2024/table1a_202411.htm" TargetMode="External"/><Relationship Id="rId586" Type="http://schemas.openxmlformats.org/officeDocument/2006/relationships/hyperlink" Target="https://www.bls.gov/ces/data/employment-and-earnings/2024/table1a_202411.htm" TargetMode="External"/><Relationship Id="rId7" Type="http://schemas.openxmlformats.org/officeDocument/2006/relationships/hyperlink" Target="https://www.bls.gov/ces/data/employment-and-earnings/2024/table1a_202411.htm" TargetMode="External"/><Relationship Id="rId239" Type="http://schemas.openxmlformats.org/officeDocument/2006/relationships/hyperlink" Target="https://www.bls.gov/ces/data/employment-and-earnings/2024/table1a_202411.htm" TargetMode="External"/><Relationship Id="rId446" Type="http://schemas.openxmlformats.org/officeDocument/2006/relationships/hyperlink" Target="https://www.bls.gov/ces/data/employment-and-earnings/2024/table1a_202411.htm" TargetMode="External"/><Relationship Id="rId292" Type="http://schemas.openxmlformats.org/officeDocument/2006/relationships/hyperlink" Target="https://www.bls.gov/ces/data/employment-and-earnings/2024/table1a_202411.htm" TargetMode="External"/><Relationship Id="rId306" Type="http://schemas.openxmlformats.org/officeDocument/2006/relationships/hyperlink" Target="https://www.bls.gov/ces/data/employment-and-earnings/2024/table1a_202411.htm" TargetMode="External"/><Relationship Id="rId87" Type="http://schemas.openxmlformats.org/officeDocument/2006/relationships/hyperlink" Target="https://www.bls.gov/ces/data/employment-and-earnings/2024/table1a_202411.htm" TargetMode="External"/><Relationship Id="rId513" Type="http://schemas.openxmlformats.org/officeDocument/2006/relationships/hyperlink" Target="https://www.bls.gov/ces/data/employment-and-earnings/2024/table1a_202411.htm" TargetMode="External"/><Relationship Id="rId597" Type="http://schemas.openxmlformats.org/officeDocument/2006/relationships/hyperlink" Target="https://www.bls.gov/ces/data/employment-and-earnings/2024/table1a_202411.htm" TargetMode="External"/><Relationship Id="rId152" Type="http://schemas.openxmlformats.org/officeDocument/2006/relationships/hyperlink" Target="https://www.bls.gov/ces/data/employment-and-earnings/2024/table1a_202411.htm" TargetMode="External"/><Relationship Id="rId457" Type="http://schemas.openxmlformats.org/officeDocument/2006/relationships/hyperlink" Target="https://www.bls.gov/ces/data/employment-and-earnings/2024/table1a_202411.htm" TargetMode="External"/><Relationship Id="rId14" Type="http://schemas.openxmlformats.org/officeDocument/2006/relationships/hyperlink" Target="https://www.bls.gov/ces/data/employment-and-earnings/2024/table1a_202411.htm" TargetMode="External"/><Relationship Id="rId317" Type="http://schemas.openxmlformats.org/officeDocument/2006/relationships/hyperlink" Target="https://www.bls.gov/ces/data/employment-and-earnings/2024/table1a_202411.htm" TargetMode="External"/><Relationship Id="rId524" Type="http://schemas.openxmlformats.org/officeDocument/2006/relationships/hyperlink" Target="https://www.bls.gov/ces/data/employment-and-earnings/2024/table1a_202411.htm" TargetMode="External"/><Relationship Id="rId98" Type="http://schemas.openxmlformats.org/officeDocument/2006/relationships/hyperlink" Target="https://www.bls.gov/ces/data/employment-and-earnings/2024/table1a_202411.htm" TargetMode="External"/><Relationship Id="rId163" Type="http://schemas.openxmlformats.org/officeDocument/2006/relationships/hyperlink" Target="https://www.bls.gov/ces/data/employment-and-earnings/2024/table1a_202411.htm" TargetMode="External"/><Relationship Id="rId370" Type="http://schemas.openxmlformats.org/officeDocument/2006/relationships/hyperlink" Target="https://www.bls.gov/ces/data/employment-and-earnings/2024/table1a_202411.htm" TargetMode="External"/><Relationship Id="rId230" Type="http://schemas.openxmlformats.org/officeDocument/2006/relationships/hyperlink" Target="https://www.bls.gov/ces/data/employment-and-earnings/2024/table1a_202411.htm" TargetMode="External"/><Relationship Id="rId468" Type="http://schemas.openxmlformats.org/officeDocument/2006/relationships/hyperlink" Target="https://www.bls.gov/ces/data/employment-and-earnings/2024/table1a_202411.htm" TargetMode="External"/><Relationship Id="rId25" Type="http://schemas.openxmlformats.org/officeDocument/2006/relationships/hyperlink" Target="https://www.bls.gov/ces/data/employment-and-earnings/2024/table1a_202411.htm" TargetMode="External"/><Relationship Id="rId328" Type="http://schemas.openxmlformats.org/officeDocument/2006/relationships/hyperlink" Target="https://www.bls.gov/ces/data/employment-and-earnings/2024/table1a_202411.htm" TargetMode="External"/><Relationship Id="rId535" Type="http://schemas.openxmlformats.org/officeDocument/2006/relationships/hyperlink" Target="https://www.bls.gov/ces/data/employment-and-earnings/2024/table1a_202411.htm" TargetMode="External"/><Relationship Id="rId174" Type="http://schemas.openxmlformats.org/officeDocument/2006/relationships/hyperlink" Target="https://www.bls.gov/ces/data/employment-and-earnings/2024/table1a_202411.htm" TargetMode="External"/><Relationship Id="rId381" Type="http://schemas.openxmlformats.org/officeDocument/2006/relationships/hyperlink" Target="https://www.bls.gov/ces/data/employment-and-earnings/2024/table1a_202411.htm" TargetMode="External"/><Relationship Id="rId602" Type="http://schemas.openxmlformats.org/officeDocument/2006/relationships/hyperlink" Target="https://www.bls.gov/ces/data/employment-and-earnings/2024/table1a_202411.htm" TargetMode="External"/><Relationship Id="rId241" Type="http://schemas.openxmlformats.org/officeDocument/2006/relationships/hyperlink" Target="https://www.bls.gov/ces/data/employment-and-earnings/2024/table1a_202411.htm" TargetMode="External"/><Relationship Id="rId479" Type="http://schemas.openxmlformats.org/officeDocument/2006/relationships/hyperlink" Target="https://www.bls.gov/ces/data/employment-and-earnings/2024/table1a_202411.htm" TargetMode="External"/><Relationship Id="rId36" Type="http://schemas.openxmlformats.org/officeDocument/2006/relationships/hyperlink" Target="https://www.bls.gov/ces/data/employment-and-earnings/2024/table1a_202411.htm" TargetMode="External"/><Relationship Id="rId339" Type="http://schemas.openxmlformats.org/officeDocument/2006/relationships/hyperlink" Target="https://www.bls.gov/ces/data/employment-and-earnings/2024/table1a_202411.htm" TargetMode="External"/><Relationship Id="rId546" Type="http://schemas.openxmlformats.org/officeDocument/2006/relationships/hyperlink" Target="https://www.bls.gov/ces/data/employment-and-earnings/2024/table1a_202411.htm" TargetMode="External"/><Relationship Id="rId101" Type="http://schemas.openxmlformats.org/officeDocument/2006/relationships/hyperlink" Target="https://www.bls.gov/ces/data/employment-and-earnings/2024/table1a_202411.htm" TargetMode="External"/><Relationship Id="rId185" Type="http://schemas.openxmlformats.org/officeDocument/2006/relationships/hyperlink" Target="https://www.bls.gov/ces/data/employment-and-earnings/2024/table1a_202411.htm" TargetMode="External"/><Relationship Id="rId406" Type="http://schemas.openxmlformats.org/officeDocument/2006/relationships/hyperlink" Target="https://www.bls.gov/ces/data/employment-and-earnings/2024/table1a_202411.htm" TargetMode="External"/><Relationship Id="rId392" Type="http://schemas.openxmlformats.org/officeDocument/2006/relationships/hyperlink" Target="https://www.bls.gov/ces/data/employment-and-earnings/2024/table1a_202411.htm" TargetMode="External"/><Relationship Id="rId613" Type="http://schemas.openxmlformats.org/officeDocument/2006/relationships/hyperlink" Target="https://www.bls.gov/ces/data/employment-and-earnings/2024/table1a_202411.htm" TargetMode="External"/><Relationship Id="rId252" Type="http://schemas.openxmlformats.org/officeDocument/2006/relationships/hyperlink" Target="https://www.bls.gov/ces/data/employment-and-earnings/2024/table1a_202411.htm" TargetMode="External"/><Relationship Id="rId294" Type="http://schemas.openxmlformats.org/officeDocument/2006/relationships/hyperlink" Target="https://www.bls.gov/ces/data/employment-and-earnings/2024/table1a_202411.htm" TargetMode="External"/><Relationship Id="rId308" Type="http://schemas.openxmlformats.org/officeDocument/2006/relationships/hyperlink" Target="https://www.bls.gov/ces/data/employment-and-earnings/2024/table1a_202411.htm" TargetMode="External"/><Relationship Id="rId515" Type="http://schemas.openxmlformats.org/officeDocument/2006/relationships/hyperlink" Target="https://www.bls.gov/ces/data/employment-and-earnings/2024/table1a_202411.htm" TargetMode="External"/><Relationship Id="rId47" Type="http://schemas.openxmlformats.org/officeDocument/2006/relationships/hyperlink" Target="https://www.bls.gov/ces/data/employment-and-earnings/2024/table1a_202411.htm" TargetMode="External"/><Relationship Id="rId89" Type="http://schemas.openxmlformats.org/officeDocument/2006/relationships/hyperlink" Target="https://www.bls.gov/ces/data/employment-and-earnings/2024/table1a_202411.htm" TargetMode="External"/><Relationship Id="rId112" Type="http://schemas.openxmlformats.org/officeDocument/2006/relationships/hyperlink" Target="https://www.bls.gov/ces/data/employment-and-earnings/2024/table1a_202411.htm" TargetMode="External"/><Relationship Id="rId154" Type="http://schemas.openxmlformats.org/officeDocument/2006/relationships/hyperlink" Target="https://www.bls.gov/ces/data/employment-and-earnings/2024/table1a_202411.htm" TargetMode="External"/><Relationship Id="rId361" Type="http://schemas.openxmlformats.org/officeDocument/2006/relationships/hyperlink" Target="https://www.bls.gov/ces/data/employment-and-earnings/2024/table1a_202411.htm" TargetMode="External"/><Relationship Id="rId557" Type="http://schemas.openxmlformats.org/officeDocument/2006/relationships/hyperlink" Target="https://www.bls.gov/ces/data/employment-and-earnings/2024/table1a_202411.htm" TargetMode="External"/><Relationship Id="rId599" Type="http://schemas.openxmlformats.org/officeDocument/2006/relationships/hyperlink" Target="https://www.bls.gov/ces/data/employment-and-earnings/2024/table1a_202411.htm" TargetMode="External"/><Relationship Id="rId196" Type="http://schemas.openxmlformats.org/officeDocument/2006/relationships/hyperlink" Target="https://www.bls.gov/ces/data/employment-and-earnings/2024/table1a_202411.htm" TargetMode="External"/><Relationship Id="rId417" Type="http://schemas.openxmlformats.org/officeDocument/2006/relationships/hyperlink" Target="https://www.bls.gov/ces/data/employment-and-earnings/2024/table1a_202411.htm" TargetMode="External"/><Relationship Id="rId459" Type="http://schemas.openxmlformats.org/officeDocument/2006/relationships/hyperlink" Target="https://www.bls.gov/ces/data/employment-and-earnings/2024/table1a_202411.htm" TargetMode="External"/><Relationship Id="rId624" Type="http://schemas.openxmlformats.org/officeDocument/2006/relationships/hyperlink" Target="https://www.bls.gov/ces/data/employment-and-earnings/2024/table1a_202411.htm" TargetMode="External"/><Relationship Id="rId16" Type="http://schemas.openxmlformats.org/officeDocument/2006/relationships/hyperlink" Target="https://www.bls.gov/ces/data/employment-and-earnings/2024/table1a_202411.htm" TargetMode="External"/><Relationship Id="rId221" Type="http://schemas.openxmlformats.org/officeDocument/2006/relationships/hyperlink" Target="https://www.bls.gov/ces/data/employment-and-earnings/2024/table1a_202411.htm" TargetMode="External"/><Relationship Id="rId263" Type="http://schemas.openxmlformats.org/officeDocument/2006/relationships/hyperlink" Target="https://www.bls.gov/ces/data/employment-and-earnings/2024/table1a_202411.htm" TargetMode="External"/><Relationship Id="rId319" Type="http://schemas.openxmlformats.org/officeDocument/2006/relationships/hyperlink" Target="https://www.bls.gov/ces/data/employment-and-earnings/2024/table1a_202411.htm" TargetMode="External"/><Relationship Id="rId470" Type="http://schemas.openxmlformats.org/officeDocument/2006/relationships/hyperlink" Target="https://www.bls.gov/ces/data/employment-and-earnings/2024/table1a_202411.htm" TargetMode="External"/><Relationship Id="rId526" Type="http://schemas.openxmlformats.org/officeDocument/2006/relationships/hyperlink" Target="https://www.bls.gov/ces/data/employment-and-earnings/2024/table1a_202411.htm" TargetMode="External"/><Relationship Id="rId58" Type="http://schemas.openxmlformats.org/officeDocument/2006/relationships/hyperlink" Target="https://www.bls.gov/ces/data/employment-and-earnings/2024/table1a_202411.htm" TargetMode="External"/><Relationship Id="rId123" Type="http://schemas.openxmlformats.org/officeDocument/2006/relationships/hyperlink" Target="https://www.bls.gov/ces/data/employment-and-earnings/2024/table1a_202411.htm" TargetMode="External"/><Relationship Id="rId330" Type="http://schemas.openxmlformats.org/officeDocument/2006/relationships/hyperlink" Target="https://www.bls.gov/ces/data/employment-and-earnings/2024/table1a_202411.htm" TargetMode="External"/><Relationship Id="rId568" Type="http://schemas.openxmlformats.org/officeDocument/2006/relationships/hyperlink" Target="https://www.bls.gov/ces/data/employment-and-earnings/2024/table1a_202411.htm" TargetMode="External"/><Relationship Id="rId165" Type="http://schemas.openxmlformats.org/officeDocument/2006/relationships/hyperlink" Target="https://www.bls.gov/ces/data/employment-and-earnings/2024/table1a_202411.htm" TargetMode="External"/><Relationship Id="rId372" Type="http://schemas.openxmlformats.org/officeDocument/2006/relationships/hyperlink" Target="https://www.bls.gov/ces/data/employment-and-earnings/2024/table1a_202411.htm" TargetMode="External"/><Relationship Id="rId428" Type="http://schemas.openxmlformats.org/officeDocument/2006/relationships/hyperlink" Target="https://www.bls.gov/ces/data/employment-and-earnings/2024/table1a_202411.htm" TargetMode="External"/><Relationship Id="rId635" Type="http://schemas.openxmlformats.org/officeDocument/2006/relationships/hyperlink" Target="https://www.bls.gov/ces/data/employment-and-earnings/2024/table1a_202411.htm" TargetMode="External"/><Relationship Id="rId232" Type="http://schemas.openxmlformats.org/officeDocument/2006/relationships/hyperlink" Target="https://www.bls.gov/ces/data/employment-and-earnings/2024/table1a_202411.htm" TargetMode="External"/><Relationship Id="rId274" Type="http://schemas.openxmlformats.org/officeDocument/2006/relationships/hyperlink" Target="https://www.bls.gov/ces/data/employment-and-earnings/2024/table1a_202411.htm" TargetMode="External"/><Relationship Id="rId481" Type="http://schemas.openxmlformats.org/officeDocument/2006/relationships/hyperlink" Target="https://www.bls.gov/ces/data/employment-and-earnings/2024/table1a_202411.htm" TargetMode="External"/><Relationship Id="rId27" Type="http://schemas.openxmlformats.org/officeDocument/2006/relationships/hyperlink" Target="https://www.bls.gov/ces/data/employment-and-earnings/2024/table1a_202411.htm" TargetMode="External"/><Relationship Id="rId69" Type="http://schemas.openxmlformats.org/officeDocument/2006/relationships/hyperlink" Target="https://www.bls.gov/ces/data/employment-and-earnings/2024/table1a_202411.htm" TargetMode="External"/><Relationship Id="rId134" Type="http://schemas.openxmlformats.org/officeDocument/2006/relationships/hyperlink" Target="https://www.bls.gov/ces/data/employment-and-earnings/2024/table1a_202411.htm" TargetMode="External"/><Relationship Id="rId537" Type="http://schemas.openxmlformats.org/officeDocument/2006/relationships/hyperlink" Target="https://www.bls.gov/ces/data/employment-and-earnings/2024/table1a_202411.htm" TargetMode="External"/><Relationship Id="rId579" Type="http://schemas.openxmlformats.org/officeDocument/2006/relationships/hyperlink" Target="https://www.bls.gov/ces/data/employment-and-earnings/2024/table1a_202411.htm" TargetMode="External"/><Relationship Id="rId80" Type="http://schemas.openxmlformats.org/officeDocument/2006/relationships/hyperlink" Target="https://www.bls.gov/ces/data/employment-and-earnings/2024/table1a_202411.htm" TargetMode="External"/><Relationship Id="rId176" Type="http://schemas.openxmlformats.org/officeDocument/2006/relationships/hyperlink" Target="https://www.bls.gov/ces/data/employment-and-earnings/2024/table1a_202411.htm" TargetMode="External"/><Relationship Id="rId341" Type="http://schemas.openxmlformats.org/officeDocument/2006/relationships/hyperlink" Target="https://www.bls.gov/ces/data/employment-and-earnings/2024/table1a_202411.htm" TargetMode="External"/><Relationship Id="rId383" Type="http://schemas.openxmlformats.org/officeDocument/2006/relationships/hyperlink" Target="https://www.bls.gov/ces/data/employment-and-earnings/2024/table1a_202411.htm" TargetMode="External"/><Relationship Id="rId439" Type="http://schemas.openxmlformats.org/officeDocument/2006/relationships/hyperlink" Target="https://www.bls.gov/ces/data/employment-and-earnings/2024/table1a_202411.htm" TargetMode="External"/><Relationship Id="rId590" Type="http://schemas.openxmlformats.org/officeDocument/2006/relationships/hyperlink" Target="https://www.bls.gov/ces/data/employment-and-earnings/2024/table1a_202411.htm" TargetMode="External"/><Relationship Id="rId604" Type="http://schemas.openxmlformats.org/officeDocument/2006/relationships/hyperlink" Target="https://www.bls.gov/ces/data/employment-and-earnings/2024/table1a_202411.htm" TargetMode="External"/><Relationship Id="rId201" Type="http://schemas.openxmlformats.org/officeDocument/2006/relationships/hyperlink" Target="https://www.bls.gov/ces/data/employment-and-earnings/2024/table1a_202411.htm" TargetMode="External"/><Relationship Id="rId243" Type="http://schemas.openxmlformats.org/officeDocument/2006/relationships/hyperlink" Target="https://www.bls.gov/ces/data/employment-and-earnings/2024/table1a_202411.htm" TargetMode="External"/><Relationship Id="rId285" Type="http://schemas.openxmlformats.org/officeDocument/2006/relationships/hyperlink" Target="https://www.bls.gov/ces/data/employment-and-earnings/2024/table1a_202411.htm" TargetMode="External"/><Relationship Id="rId450" Type="http://schemas.openxmlformats.org/officeDocument/2006/relationships/hyperlink" Target="https://www.bls.gov/ces/data/employment-and-earnings/2024/table1a_202411.htm" TargetMode="External"/><Relationship Id="rId506" Type="http://schemas.openxmlformats.org/officeDocument/2006/relationships/hyperlink" Target="https://www.bls.gov/ces/data/employment-and-earnings/2024/table1a_202411.htm" TargetMode="External"/><Relationship Id="rId38" Type="http://schemas.openxmlformats.org/officeDocument/2006/relationships/hyperlink" Target="https://www.bls.gov/ces/data/employment-and-earnings/2024/table1a_202411.htm" TargetMode="External"/><Relationship Id="rId103" Type="http://schemas.openxmlformats.org/officeDocument/2006/relationships/hyperlink" Target="https://www.bls.gov/ces/data/employment-and-earnings/2024/table1a_202411.htm" TargetMode="External"/><Relationship Id="rId310" Type="http://schemas.openxmlformats.org/officeDocument/2006/relationships/hyperlink" Target="https://www.bls.gov/ces/data/employment-and-earnings/2024/table1a_202411.htm" TargetMode="External"/><Relationship Id="rId492" Type="http://schemas.openxmlformats.org/officeDocument/2006/relationships/hyperlink" Target="https://www.bls.gov/ces/data/employment-and-earnings/2024/table1a_202411.htm" TargetMode="External"/><Relationship Id="rId548" Type="http://schemas.openxmlformats.org/officeDocument/2006/relationships/hyperlink" Target="https://www.bls.gov/ces/data/employment-and-earnings/2024/table1a_202411.htm" TargetMode="External"/><Relationship Id="rId91" Type="http://schemas.openxmlformats.org/officeDocument/2006/relationships/hyperlink" Target="https://www.bls.gov/ces/data/employment-and-earnings/2024/table1a_202411.htm" TargetMode="External"/><Relationship Id="rId145" Type="http://schemas.openxmlformats.org/officeDocument/2006/relationships/hyperlink" Target="https://www.bls.gov/ces/data/employment-and-earnings/2024/table1a_202411.htm" TargetMode="External"/><Relationship Id="rId187" Type="http://schemas.openxmlformats.org/officeDocument/2006/relationships/hyperlink" Target="https://www.bls.gov/ces/data/employment-and-earnings/2024/table1a_202411.htm" TargetMode="External"/><Relationship Id="rId352" Type="http://schemas.openxmlformats.org/officeDocument/2006/relationships/hyperlink" Target="https://www.bls.gov/ces/data/employment-and-earnings/2024/table1a_202411.htm" TargetMode="External"/><Relationship Id="rId394" Type="http://schemas.openxmlformats.org/officeDocument/2006/relationships/hyperlink" Target="https://www.bls.gov/ces/data/employment-and-earnings/2024/table1a_202411.htm" TargetMode="External"/><Relationship Id="rId408" Type="http://schemas.openxmlformats.org/officeDocument/2006/relationships/hyperlink" Target="https://www.bls.gov/ces/data/employment-and-earnings/2024/table1a_202411.htm" TargetMode="External"/><Relationship Id="rId615" Type="http://schemas.openxmlformats.org/officeDocument/2006/relationships/hyperlink" Target="https://www.bls.gov/ces/data/employment-and-earnings/2024/table1a_202411.htm" TargetMode="External"/><Relationship Id="rId212" Type="http://schemas.openxmlformats.org/officeDocument/2006/relationships/hyperlink" Target="https://www.bls.gov/ces/data/employment-and-earnings/2024/table1a_202411.htm" TargetMode="External"/><Relationship Id="rId254" Type="http://schemas.openxmlformats.org/officeDocument/2006/relationships/hyperlink" Target="https://www.bls.gov/ces/data/employment-and-earnings/2024/table1a_202411.htm" TargetMode="External"/><Relationship Id="rId49" Type="http://schemas.openxmlformats.org/officeDocument/2006/relationships/hyperlink" Target="https://www.bls.gov/ces/data/employment-and-earnings/2024/table1a_202411.htm" TargetMode="External"/><Relationship Id="rId114" Type="http://schemas.openxmlformats.org/officeDocument/2006/relationships/hyperlink" Target="https://www.bls.gov/ces/data/employment-and-earnings/2024/table1a_202411.htm" TargetMode="External"/><Relationship Id="rId296" Type="http://schemas.openxmlformats.org/officeDocument/2006/relationships/hyperlink" Target="https://www.bls.gov/ces/data/employment-and-earnings/2024/table1a_202411.htm" TargetMode="External"/><Relationship Id="rId461" Type="http://schemas.openxmlformats.org/officeDocument/2006/relationships/hyperlink" Target="https://www.bls.gov/ces/data/employment-and-earnings/2024/table1a_202411.htm" TargetMode="External"/><Relationship Id="rId517" Type="http://schemas.openxmlformats.org/officeDocument/2006/relationships/hyperlink" Target="https://www.bls.gov/ces/data/employment-and-earnings/2024/table1a_202411.htm" TargetMode="External"/><Relationship Id="rId559" Type="http://schemas.openxmlformats.org/officeDocument/2006/relationships/hyperlink" Target="https://www.bls.gov/ces/data/employment-and-earnings/2024/table1a_202411.htm" TargetMode="External"/><Relationship Id="rId60" Type="http://schemas.openxmlformats.org/officeDocument/2006/relationships/hyperlink" Target="https://www.bls.gov/ces/data/employment-and-earnings/2024/table1a_202411.htm" TargetMode="External"/><Relationship Id="rId156" Type="http://schemas.openxmlformats.org/officeDocument/2006/relationships/hyperlink" Target="https://www.bls.gov/ces/data/employment-and-earnings/2024/table1a_202411.htm" TargetMode="External"/><Relationship Id="rId198" Type="http://schemas.openxmlformats.org/officeDocument/2006/relationships/hyperlink" Target="https://www.bls.gov/ces/data/employment-and-earnings/2024/table1a_202411.htm" TargetMode="External"/><Relationship Id="rId321" Type="http://schemas.openxmlformats.org/officeDocument/2006/relationships/hyperlink" Target="https://www.bls.gov/ces/data/employment-and-earnings/2024/table1a_202411.htm" TargetMode="External"/><Relationship Id="rId363" Type="http://schemas.openxmlformats.org/officeDocument/2006/relationships/hyperlink" Target="https://www.bls.gov/ces/data/employment-and-earnings/2024/table1a_202411.htm" TargetMode="External"/><Relationship Id="rId419" Type="http://schemas.openxmlformats.org/officeDocument/2006/relationships/hyperlink" Target="https://www.bls.gov/ces/data/employment-and-earnings/2024/table1a_202411.htm" TargetMode="External"/><Relationship Id="rId570" Type="http://schemas.openxmlformats.org/officeDocument/2006/relationships/hyperlink" Target="https://www.bls.gov/ces/data/employment-and-earnings/2024/table1a_202411.htm" TargetMode="External"/><Relationship Id="rId626" Type="http://schemas.openxmlformats.org/officeDocument/2006/relationships/hyperlink" Target="https://www.bls.gov/ces/data/employment-and-earnings/2024/table1a_202411.htm" TargetMode="External"/><Relationship Id="rId223" Type="http://schemas.openxmlformats.org/officeDocument/2006/relationships/hyperlink" Target="https://www.bls.gov/ces/data/employment-and-earnings/2024/table1a_202411.htm" TargetMode="External"/><Relationship Id="rId430" Type="http://schemas.openxmlformats.org/officeDocument/2006/relationships/hyperlink" Target="https://www.bls.gov/ces/data/employment-and-earnings/2024/table1a_202411.htm" TargetMode="External"/><Relationship Id="rId18" Type="http://schemas.openxmlformats.org/officeDocument/2006/relationships/hyperlink" Target="https://www.bls.gov/ces/data/employment-and-earnings/2024/table1a_202411.htm" TargetMode="External"/><Relationship Id="rId265" Type="http://schemas.openxmlformats.org/officeDocument/2006/relationships/hyperlink" Target="https://www.bls.gov/ces/data/employment-and-earnings/2024/table1a_202411.htm" TargetMode="External"/><Relationship Id="rId472" Type="http://schemas.openxmlformats.org/officeDocument/2006/relationships/hyperlink" Target="https://www.bls.gov/ces/data/employment-and-earnings/2024/table1a_202411.htm" TargetMode="External"/><Relationship Id="rId528" Type="http://schemas.openxmlformats.org/officeDocument/2006/relationships/hyperlink" Target="https://www.bls.gov/ces/data/employment-and-earnings/2024/table1a_202411.htm" TargetMode="External"/><Relationship Id="rId125" Type="http://schemas.openxmlformats.org/officeDocument/2006/relationships/hyperlink" Target="https://www.bls.gov/ces/data/employment-and-earnings/2024/table1a_202411.htm" TargetMode="External"/><Relationship Id="rId167" Type="http://schemas.openxmlformats.org/officeDocument/2006/relationships/hyperlink" Target="https://www.bls.gov/ces/data/employment-and-earnings/2024/table1a_202411.htm" TargetMode="External"/><Relationship Id="rId332" Type="http://schemas.openxmlformats.org/officeDocument/2006/relationships/hyperlink" Target="https://www.bls.gov/ces/data/employment-and-earnings/2024/table1a_202411.htm" TargetMode="External"/><Relationship Id="rId374" Type="http://schemas.openxmlformats.org/officeDocument/2006/relationships/hyperlink" Target="https://www.bls.gov/ces/data/employment-and-earnings/2024/table1a_202411.htm" TargetMode="External"/><Relationship Id="rId581" Type="http://schemas.openxmlformats.org/officeDocument/2006/relationships/hyperlink" Target="https://www.bls.gov/ces/data/employment-and-earnings/2024/table1a_202411.htm" TargetMode="External"/><Relationship Id="rId71" Type="http://schemas.openxmlformats.org/officeDocument/2006/relationships/hyperlink" Target="https://www.bls.gov/ces/data/employment-and-earnings/2024/table1a_202411.htm" TargetMode="External"/><Relationship Id="rId234" Type="http://schemas.openxmlformats.org/officeDocument/2006/relationships/hyperlink" Target="https://www.bls.gov/ces/data/employment-and-earnings/2024/table1a_202411.htm" TargetMode="External"/><Relationship Id="rId637" Type="http://schemas.openxmlformats.org/officeDocument/2006/relationships/hyperlink" Target="https://www.bls.gov/ces/data/employment-and-earnings/2024/table1a_202411.htm" TargetMode="External"/><Relationship Id="rId2" Type="http://schemas.openxmlformats.org/officeDocument/2006/relationships/hyperlink" Target="https://www.bls.gov/ces/data/employment-and-earnings/2024/table1a_202411.htm" TargetMode="External"/><Relationship Id="rId29" Type="http://schemas.openxmlformats.org/officeDocument/2006/relationships/hyperlink" Target="https://www.bls.gov/ces/data/employment-and-earnings/2024/table1a_202411.htm" TargetMode="External"/><Relationship Id="rId276" Type="http://schemas.openxmlformats.org/officeDocument/2006/relationships/hyperlink" Target="https://www.bls.gov/ces/data/employment-and-earnings/2024/table1a_202411.htm" TargetMode="External"/><Relationship Id="rId441" Type="http://schemas.openxmlformats.org/officeDocument/2006/relationships/hyperlink" Target="https://www.bls.gov/ces/data/employment-and-earnings/2024/table1a_202411.htm" TargetMode="External"/><Relationship Id="rId483" Type="http://schemas.openxmlformats.org/officeDocument/2006/relationships/hyperlink" Target="https://www.bls.gov/ces/data/employment-and-earnings/2024/table1a_202411.htm" TargetMode="External"/><Relationship Id="rId539" Type="http://schemas.openxmlformats.org/officeDocument/2006/relationships/hyperlink" Target="https://www.bls.gov/ces/data/employment-and-earnings/2024/table1a_202411.htm" TargetMode="External"/><Relationship Id="rId40" Type="http://schemas.openxmlformats.org/officeDocument/2006/relationships/hyperlink" Target="https://www.bls.gov/ces/data/employment-and-earnings/2024/table1a_202411.htm" TargetMode="External"/><Relationship Id="rId136" Type="http://schemas.openxmlformats.org/officeDocument/2006/relationships/hyperlink" Target="https://www.bls.gov/ces/data/employment-and-earnings/2024/table1a_202411.htm" TargetMode="External"/><Relationship Id="rId178" Type="http://schemas.openxmlformats.org/officeDocument/2006/relationships/hyperlink" Target="https://www.bls.gov/ces/data/employment-and-earnings/2024/table1a_202411.htm" TargetMode="External"/><Relationship Id="rId301" Type="http://schemas.openxmlformats.org/officeDocument/2006/relationships/hyperlink" Target="https://www.bls.gov/ces/data/employment-and-earnings/2024/table1a_202411.htm" TargetMode="External"/><Relationship Id="rId343" Type="http://schemas.openxmlformats.org/officeDocument/2006/relationships/hyperlink" Target="https://www.bls.gov/ces/data/employment-and-earnings/2024/table1a_202411.htm" TargetMode="External"/><Relationship Id="rId550" Type="http://schemas.openxmlformats.org/officeDocument/2006/relationships/hyperlink" Target="https://www.bls.gov/ces/data/employment-and-earnings/2024/table1a_202411.htm" TargetMode="External"/><Relationship Id="rId82" Type="http://schemas.openxmlformats.org/officeDocument/2006/relationships/hyperlink" Target="https://www.bls.gov/ces/data/employment-and-earnings/2024/table1a_202411.htm" TargetMode="External"/><Relationship Id="rId203" Type="http://schemas.openxmlformats.org/officeDocument/2006/relationships/hyperlink" Target="https://www.bls.gov/ces/data/employment-and-earnings/2024/table1a_202411.htm" TargetMode="External"/><Relationship Id="rId385" Type="http://schemas.openxmlformats.org/officeDocument/2006/relationships/hyperlink" Target="https://www.bls.gov/ces/data/employment-and-earnings/2024/table1a_202411.htm" TargetMode="External"/><Relationship Id="rId592" Type="http://schemas.openxmlformats.org/officeDocument/2006/relationships/hyperlink" Target="https://www.bls.gov/ces/data/employment-and-earnings/2024/table1a_202411.htm" TargetMode="External"/><Relationship Id="rId606" Type="http://schemas.openxmlformats.org/officeDocument/2006/relationships/hyperlink" Target="https://www.bls.gov/ces/data/employment-and-earnings/2024/table1a_202411.htm" TargetMode="External"/><Relationship Id="rId245" Type="http://schemas.openxmlformats.org/officeDocument/2006/relationships/hyperlink" Target="https://www.bls.gov/ces/data/employment-and-earnings/2024/table1a_202411.htm" TargetMode="External"/><Relationship Id="rId287" Type="http://schemas.openxmlformats.org/officeDocument/2006/relationships/hyperlink" Target="https://www.bls.gov/ces/data/employment-and-earnings/2024/table1a_202411.htm" TargetMode="External"/><Relationship Id="rId410" Type="http://schemas.openxmlformats.org/officeDocument/2006/relationships/hyperlink" Target="https://www.bls.gov/ces/data/employment-and-earnings/2024/table1a_202411.htm" TargetMode="External"/><Relationship Id="rId452" Type="http://schemas.openxmlformats.org/officeDocument/2006/relationships/hyperlink" Target="https://www.bls.gov/ces/data/employment-and-earnings/2024/table1a_202411.htm" TargetMode="External"/><Relationship Id="rId494" Type="http://schemas.openxmlformats.org/officeDocument/2006/relationships/hyperlink" Target="https://www.bls.gov/ces/data/employment-and-earnings/2024/table1a_202411.htm" TargetMode="External"/><Relationship Id="rId508" Type="http://schemas.openxmlformats.org/officeDocument/2006/relationships/hyperlink" Target="https://www.bls.gov/ces/data/employment-and-earnings/2024/table1a_202411.htm" TargetMode="External"/><Relationship Id="rId105" Type="http://schemas.openxmlformats.org/officeDocument/2006/relationships/hyperlink" Target="https://www.bls.gov/ces/data/employment-and-earnings/2024/table1a_202411.htm" TargetMode="External"/><Relationship Id="rId147" Type="http://schemas.openxmlformats.org/officeDocument/2006/relationships/hyperlink" Target="https://www.bls.gov/ces/data/employment-and-earnings/2024/table1a_202411.htm" TargetMode="External"/><Relationship Id="rId312" Type="http://schemas.openxmlformats.org/officeDocument/2006/relationships/hyperlink" Target="https://www.bls.gov/ces/data/employment-and-earnings/2024/table1a_202411.htm" TargetMode="External"/><Relationship Id="rId354" Type="http://schemas.openxmlformats.org/officeDocument/2006/relationships/hyperlink" Target="https://www.bls.gov/ces/data/employment-and-earnings/2024/table1a_202411.htm" TargetMode="External"/><Relationship Id="rId51" Type="http://schemas.openxmlformats.org/officeDocument/2006/relationships/hyperlink" Target="https://www.bls.gov/ces/data/employment-and-earnings/2024/table1a_202411.htm" TargetMode="External"/><Relationship Id="rId93" Type="http://schemas.openxmlformats.org/officeDocument/2006/relationships/hyperlink" Target="https://www.bls.gov/ces/data/employment-and-earnings/2024/table1a_202411.htm" TargetMode="External"/><Relationship Id="rId189" Type="http://schemas.openxmlformats.org/officeDocument/2006/relationships/hyperlink" Target="https://www.bls.gov/ces/data/employment-and-earnings/2024/table1a_202411.htm" TargetMode="External"/><Relationship Id="rId396" Type="http://schemas.openxmlformats.org/officeDocument/2006/relationships/hyperlink" Target="https://www.bls.gov/ces/data/employment-and-earnings/2024/table1a_202411.htm" TargetMode="External"/><Relationship Id="rId561" Type="http://schemas.openxmlformats.org/officeDocument/2006/relationships/hyperlink" Target="https://www.bls.gov/ces/data/employment-and-earnings/2024/table1a_202411.htm" TargetMode="External"/><Relationship Id="rId617" Type="http://schemas.openxmlformats.org/officeDocument/2006/relationships/hyperlink" Target="https://www.bls.gov/ces/data/employment-and-earnings/2024/table1a_202411.htm" TargetMode="External"/><Relationship Id="rId214" Type="http://schemas.openxmlformats.org/officeDocument/2006/relationships/hyperlink" Target="https://www.bls.gov/ces/data/employment-and-earnings/2024/table1a_202411.htm" TargetMode="External"/><Relationship Id="rId256" Type="http://schemas.openxmlformats.org/officeDocument/2006/relationships/hyperlink" Target="https://www.bls.gov/ces/data/employment-and-earnings/2024/table1a_202411.htm" TargetMode="External"/><Relationship Id="rId298" Type="http://schemas.openxmlformats.org/officeDocument/2006/relationships/hyperlink" Target="https://www.bls.gov/ces/data/employment-and-earnings/2024/table1a_202411.htm" TargetMode="External"/><Relationship Id="rId421" Type="http://schemas.openxmlformats.org/officeDocument/2006/relationships/hyperlink" Target="https://www.bls.gov/ces/data/employment-and-earnings/2024/table1a_202411.htm" TargetMode="External"/><Relationship Id="rId463" Type="http://schemas.openxmlformats.org/officeDocument/2006/relationships/hyperlink" Target="https://www.bls.gov/ces/data/employment-and-earnings/2024/table1a_202411.htm" TargetMode="External"/><Relationship Id="rId519" Type="http://schemas.openxmlformats.org/officeDocument/2006/relationships/hyperlink" Target="https://www.bls.gov/ces/data/employment-and-earnings/2024/table1a_202411.htm" TargetMode="External"/><Relationship Id="rId116" Type="http://schemas.openxmlformats.org/officeDocument/2006/relationships/hyperlink" Target="https://www.bls.gov/ces/data/employment-and-earnings/2024/table1a_202411.htm" TargetMode="External"/><Relationship Id="rId158" Type="http://schemas.openxmlformats.org/officeDocument/2006/relationships/hyperlink" Target="https://www.bls.gov/ces/data/employment-and-earnings/2024/table1a_202411.htm" TargetMode="External"/><Relationship Id="rId323" Type="http://schemas.openxmlformats.org/officeDocument/2006/relationships/hyperlink" Target="https://www.bls.gov/ces/data/employment-and-earnings/2024/table1a_202411.htm" TargetMode="External"/><Relationship Id="rId530" Type="http://schemas.openxmlformats.org/officeDocument/2006/relationships/hyperlink" Target="https://www.bls.gov/ces/data/employment-and-earnings/2024/table1a_202411.htm" TargetMode="External"/><Relationship Id="rId20" Type="http://schemas.openxmlformats.org/officeDocument/2006/relationships/hyperlink" Target="https://www.bls.gov/ces/data/employment-and-earnings/2024/table1a_202411.htm" TargetMode="External"/><Relationship Id="rId62" Type="http://schemas.openxmlformats.org/officeDocument/2006/relationships/hyperlink" Target="https://www.bls.gov/ces/data/employment-and-earnings/2024/table1a_202411.htm" TargetMode="External"/><Relationship Id="rId365" Type="http://schemas.openxmlformats.org/officeDocument/2006/relationships/hyperlink" Target="https://www.bls.gov/ces/data/employment-and-earnings/2024/table1a_202411.htm" TargetMode="External"/><Relationship Id="rId572" Type="http://schemas.openxmlformats.org/officeDocument/2006/relationships/hyperlink" Target="https://www.bls.gov/ces/data/employment-and-earnings/2024/table1a_202411.htm" TargetMode="External"/><Relationship Id="rId628" Type="http://schemas.openxmlformats.org/officeDocument/2006/relationships/hyperlink" Target="https://www.bls.gov/ces/data/employment-and-earnings/2024/table1a_202411.htm" TargetMode="External"/><Relationship Id="rId225" Type="http://schemas.openxmlformats.org/officeDocument/2006/relationships/hyperlink" Target="https://www.bls.gov/ces/data/employment-and-earnings/2024/table1a_202411.htm" TargetMode="External"/><Relationship Id="rId267" Type="http://schemas.openxmlformats.org/officeDocument/2006/relationships/hyperlink" Target="https://www.bls.gov/ces/data/employment-and-earnings/2024/table1a_202411.htm" TargetMode="External"/><Relationship Id="rId432" Type="http://schemas.openxmlformats.org/officeDocument/2006/relationships/hyperlink" Target="https://www.bls.gov/ces/data/employment-and-earnings/2024/table1a_202411.htm" TargetMode="External"/><Relationship Id="rId474" Type="http://schemas.openxmlformats.org/officeDocument/2006/relationships/hyperlink" Target="https://www.bls.gov/ces/data/employment-and-earnings/2024/table1a_202411.htm" TargetMode="External"/><Relationship Id="rId127" Type="http://schemas.openxmlformats.org/officeDocument/2006/relationships/hyperlink" Target="https://www.bls.gov/ces/data/employment-and-earnings/2024/table1a_202411.htm" TargetMode="External"/><Relationship Id="rId31" Type="http://schemas.openxmlformats.org/officeDocument/2006/relationships/hyperlink" Target="https://www.bls.gov/ces/data/employment-and-earnings/2024/table1a_202411.htm" TargetMode="External"/><Relationship Id="rId73" Type="http://schemas.openxmlformats.org/officeDocument/2006/relationships/hyperlink" Target="https://www.bls.gov/ces/data/employment-and-earnings/2024/table1a_202411.htm" TargetMode="External"/><Relationship Id="rId169" Type="http://schemas.openxmlformats.org/officeDocument/2006/relationships/hyperlink" Target="https://www.bls.gov/ces/data/employment-and-earnings/2024/table1a_202411.htm" TargetMode="External"/><Relationship Id="rId334" Type="http://schemas.openxmlformats.org/officeDocument/2006/relationships/hyperlink" Target="https://www.bls.gov/ces/data/employment-and-earnings/2024/table1a_202411.htm" TargetMode="External"/><Relationship Id="rId376" Type="http://schemas.openxmlformats.org/officeDocument/2006/relationships/hyperlink" Target="https://www.bls.gov/ces/data/employment-and-earnings/2024/table1a_202411.htm" TargetMode="External"/><Relationship Id="rId541" Type="http://schemas.openxmlformats.org/officeDocument/2006/relationships/hyperlink" Target="https://www.bls.gov/ces/data/employment-and-earnings/2024/table1a_202411.htm" TargetMode="External"/><Relationship Id="rId583" Type="http://schemas.openxmlformats.org/officeDocument/2006/relationships/hyperlink" Target="https://www.bls.gov/ces/data/employment-and-earnings/2024/table1a_202411.htm" TargetMode="External"/><Relationship Id="rId4" Type="http://schemas.openxmlformats.org/officeDocument/2006/relationships/hyperlink" Target="https://www.bls.gov/ces/data/employment-and-earnings/2024/table1a_202411.htm" TargetMode="External"/><Relationship Id="rId180" Type="http://schemas.openxmlformats.org/officeDocument/2006/relationships/hyperlink" Target="https://www.bls.gov/ces/data/employment-and-earnings/2024/table1a_202411.htm" TargetMode="External"/><Relationship Id="rId236" Type="http://schemas.openxmlformats.org/officeDocument/2006/relationships/hyperlink" Target="https://www.bls.gov/ces/data/employment-and-earnings/2024/table1a_202411.htm" TargetMode="External"/><Relationship Id="rId278" Type="http://schemas.openxmlformats.org/officeDocument/2006/relationships/hyperlink" Target="https://www.bls.gov/ces/data/employment-and-earnings/2024/table1a_202411.htm" TargetMode="External"/><Relationship Id="rId401" Type="http://schemas.openxmlformats.org/officeDocument/2006/relationships/hyperlink" Target="https://www.bls.gov/ces/data/employment-and-earnings/2024/table1a_202411.htm" TargetMode="External"/><Relationship Id="rId443" Type="http://schemas.openxmlformats.org/officeDocument/2006/relationships/hyperlink" Target="https://www.bls.gov/ces/data/employment-and-earnings/2024/table1a_202411.htm" TargetMode="External"/><Relationship Id="rId303" Type="http://schemas.openxmlformats.org/officeDocument/2006/relationships/hyperlink" Target="https://www.bls.gov/ces/data/employment-and-earnings/2024/table1a_202411.htm" TargetMode="External"/><Relationship Id="rId485" Type="http://schemas.openxmlformats.org/officeDocument/2006/relationships/hyperlink" Target="https://www.bls.gov/ces/data/employment-and-earnings/2024/table1a_202411.htm" TargetMode="External"/><Relationship Id="rId42" Type="http://schemas.openxmlformats.org/officeDocument/2006/relationships/hyperlink" Target="https://www.bls.gov/ces/data/employment-and-earnings/2024/table1a_202411.htm" TargetMode="External"/><Relationship Id="rId84" Type="http://schemas.openxmlformats.org/officeDocument/2006/relationships/hyperlink" Target="https://www.bls.gov/ces/data/employment-and-earnings/2024/table1a_202411.htm" TargetMode="External"/><Relationship Id="rId138" Type="http://schemas.openxmlformats.org/officeDocument/2006/relationships/hyperlink" Target="https://www.bls.gov/ces/data/employment-and-earnings/2024/table1a_202411.htm" TargetMode="External"/><Relationship Id="rId345" Type="http://schemas.openxmlformats.org/officeDocument/2006/relationships/hyperlink" Target="https://www.bls.gov/ces/data/employment-and-earnings/2024/table1a_202411.htm" TargetMode="External"/><Relationship Id="rId387" Type="http://schemas.openxmlformats.org/officeDocument/2006/relationships/hyperlink" Target="https://www.bls.gov/ces/data/employment-and-earnings/2024/table1a_202411.htm" TargetMode="External"/><Relationship Id="rId510" Type="http://schemas.openxmlformats.org/officeDocument/2006/relationships/hyperlink" Target="https://www.bls.gov/ces/data/employment-and-earnings/2024/table1a_202411.htm" TargetMode="External"/><Relationship Id="rId552" Type="http://schemas.openxmlformats.org/officeDocument/2006/relationships/hyperlink" Target="https://www.bls.gov/ces/data/employment-and-earnings/2024/table1a_202411.htm" TargetMode="External"/><Relationship Id="rId594" Type="http://schemas.openxmlformats.org/officeDocument/2006/relationships/hyperlink" Target="https://www.bls.gov/ces/data/employment-and-earnings/2024/table1a_202411.htm" TargetMode="External"/><Relationship Id="rId608" Type="http://schemas.openxmlformats.org/officeDocument/2006/relationships/hyperlink" Target="https://www.bls.gov/ces/data/employment-and-earnings/2024/table1a_202411.htm" TargetMode="External"/><Relationship Id="rId191" Type="http://schemas.openxmlformats.org/officeDocument/2006/relationships/hyperlink" Target="https://www.bls.gov/ces/data/employment-and-earnings/2024/table1a_202411.htm" TargetMode="External"/><Relationship Id="rId205" Type="http://schemas.openxmlformats.org/officeDocument/2006/relationships/hyperlink" Target="https://www.bls.gov/ces/data/employment-and-earnings/2024/table1a_202411.htm" TargetMode="External"/><Relationship Id="rId247" Type="http://schemas.openxmlformats.org/officeDocument/2006/relationships/hyperlink" Target="https://www.bls.gov/ces/data/employment-and-earnings/2024/table1a_202411.htm" TargetMode="External"/><Relationship Id="rId412" Type="http://schemas.openxmlformats.org/officeDocument/2006/relationships/hyperlink" Target="https://www.bls.gov/ces/data/employment-and-earnings/2024/table1a_202411.htm" TargetMode="External"/><Relationship Id="rId107" Type="http://schemas.openxmlformats.org/officeDocument/2006/relationships/hyperlink" Target="https://www.bls.gov/ces/data/employment-and-earnings/2024/table1a_202411.htm" TargetMode="External"/><Relationship Id="rId289" Type="http://schemas.openxmlformats.org/officeDocument/2006/relationships/hyperlink" Target="https://www.bls.gov/ces/data/employment-and-earnings/2024/table1a_202411.htm" TargetMode="External"/><Relationship Id="rId454" Type="http://schemas.openxmlformats.org/officeDocument/2006/relationships/hyperlink" Target="https://www.bls.gov/ces/data/employment-and-earnings/2024/table1a_202411.htm" TargetMode="External"/><Relationship Id="rId496" Type="http://schemas.openxmlformats.org/officeDocument/2006/relationships/hyperlink" Target="https://www.bls.gov/ces/data/employment-and-earnings/2024/table1a_202411.htm" TargetMode="External"/><Relationship Id="rId11" Type="http://schemas.openxmlformats.org/officeDocument/2006/relationships/hyperlink" Target="https://www.bls.gov/ces/data/employment-and-earnings/2024/table1a_202411.htm" TargetMode="External"/><Relationship Id="rId53" Type="http://schemas.openxmlformats.org/officeDocument/2006/relationships/hyperlink" Target="https://www.bls.gov/ces/data/employment-and-earnings/2024/table1a_202411.htm" TargetMode="External"/><Relationship Id="rId149" Type="http://schemas.openxmlformats.org/officeDocument/2006/relationships/hyperlink" Target="https://www.bls.gov/ces/data/employment-and-earnings/2024/table1a_202411.htm" TargetMode="External"/><Relationship Id="rId314" Type="http://schemas.openxmlformats.org/officeDocument/2006/relationships/hyperlink" Target="https://www.bls.gov/ces/data/employment-and-earnings/2024/table1a_202411.htm" TargetMode="External"/><Relationship Id="rId356" Type="http://schemas.openxmlformats.org/officeDocument/2006/relationships/hyperlink" Target="https://www.bls.gov/ces/data/employment-and-earnings/2024/table1a_202411.htm" TargetMode="External"/><Relationship Id="rId398" Type="http://schemas.openxmlformats.org/officeDocument/2006/relationships/hyperlink" Target="https://www.bls.gov/ces/data/employment-and-earnings/2024/table1a_202411.htm" TargetMode="External"/><Relationship Id="rId521" Type="http://schemas.openxmlformats.org/officeDocument/2006/relationships/hyperlink" Target="https://www.bls.gov/ces/data/employment-and-earnings/2024/table1a_202411.htm" TargetMode="External"/><Relationship Id="rId563" Type="http://schemas.openxmlformats.org/officeDocument/2006/relationships/hyperlink" Target="https://www.bls.gov/ces/data/employment-and-earnings/2024/table1a_202411.htm" TargetMode="External"/><Relationship Id="rId619" Type="http://schemas.openxmlformats.org/officeDocument/2006/relationships/hyperlink" Target="https://www.bls.gov/ces/data/employment-and-earnings/2024/table1a_202411.htm" TargetMode="External"/><Relationship Id="rId95" Type="http://schemas.openxmlformats.org/officeDocument/2006/relationships/hyperlink" Target="https://www.bls.gov/ces/data/employment-and-earnings/2024/table1a_202411.htm" TargetMode="External"/><Relationship Id="rId160" Type="http://schemas.openxmlformats.org/officeDocument/2006/relationships/hyperlink" Target="https://www.bls.gov/ces/data/employment-and-earnings/2024/table1a_202411.htm" TargetMode="External"/><Relationship Id="rId216" Type="http://schemas.openxmlformats.org/officeDocument/2006/relationships/hyperlink" Target="https://www.bls.gov/ces/data/employment-and-earnings/2024/table1a_202411.htm" TargetMode="External"/><Relationship Id="rId423" Type="http://schemas.openxmlformats.org/officeDocument/2006/relationships/hyperlink" Target="https://www.bls.gov/ces/data/employment-and-earnings/2024/table1a_202411.htm" TargetMode="External"/><Relationship Id="rId258" Type="http://schemas.openxmlformats.org/officeDocument/2006/relationships/hyperlink" Target="https://www.bls.gov/ces/data/employment-and-earnings/2024/table1a_202411.htm" TargetMode="External"/><Relationship Id="rId465" Type="http://schemas.openxmlformats.org/officeDocument/2006/relationships/hyperlink" Target="https://www.bls.gov/ces/data/employment-and-earnings/2024/table1a_202411.htm" TargetMode="External"/><Relationship Id="rId630" Type="http://schemas.openxmlformats.org/officeDocument/2006/relationships/hyperlink" Target="https://www.bls.gov/ces/data/employment-and-earnings/2024/table1a_202411.htm" TargetMode="External"/><Relationship Id="rId22" Type="http://schemas.openxmlformats.org/officeDocument/2006/relationships/hyperlink" Target="https://www.bls.gov/ces/data/employment-and-earnings/2024/table1a_202411.htm" TargetMode="External"/><Relationship Id="rId64" Type="http://schemas.openxmlformats.org/officeDocument/2006/relationships/hyperlink" Target="https://www.bls.gov/ces/data/employment-and-earnings/2024/table1a_202411.htm" TargetMode="External"/><Relationship Id="rId118" Type="http://schemas.openxmlformats.org/officeDocument/2006/relationships/hyperlink" Target="https://www.bls.gov/ces/data/employment-and-earnings/2024/table1a_202411.htm" TargetMode="External"/><Relationship Id="rId325" Type="http://schemas.openxmlformats.org/officeDocument/2006/relationships/hyperlink" Target="https://www.bls.gov/ces/data/employment-and-earnings/2024/table1a_202411.htm" TargetMode="External"/><Relationship Id="rId367" Type="http://schemas.openxmlformats.org/officeDocument/2006/relationships/hyperlink" Target="https://www.bls.gov/ces/data/employment-and-earnings/2024/table1a_202411.htm" TargetMode="External"/><Relationship Id="rId532" Type="http://schemas.openxmlformats.org/officeDocument/2006/relationships/hyperlink" Target="https://www.bls.gov/ces/data/employment-and-earnings/2024/table1a_202411.htm" TargetMode="External"/><Relationship Id="rId574" Type="http://schemas.openxmlformats.org/officeDocument/2006/relationships/hyperlink" Target="https://www.bls.gov/ces/data/employment-and-earnings/2024/table1a_202411.htm" TargetMode="External"/><Relationship Id="rId171" Type="http://schemas.openxmlformats.org/officeDocument/2006/relationships/hyperlink" Target="https://www.bls.gov/ces/data/employment-and-earnings/2024/table1a_202411.htm" TargetMode="External"/><Relationship Id="rId227" Type="http://schemas.openxmlformats.org/officeDocument/2006/relationships/hyperlink" Target="https://www.bls.gov/ces/data/employment-and-earnings/2024/table1a_202411.htm" TargetMode="External"/><Relationship Id="rId269" Type="http://schemas.openxmlformats.org/officeDocument/2006/relationships/hyperlink" Target="https://www.bls.gov/ces/data/employment-and-earnings/2024/table1a_202411.htm" TargetMode="External"/><Relationship Id="rId434" Type="http://schemas.openxmlformats.org/officeDocument/2006/relationships/hyperlink" Target="https://www.bls.gov/ces/data/employment-and-earnings/2024/table1a_202411.htm" TargetMode="External"/><Relationship Id="rId476" Type="http://schemas.openxmlformats.org/officeDocument/2006/relationships/hyperlink" Target="https://www.bls.gov/ces/data/employment-and-earnings/2024/table1a_202411.htm" TargetMode="External"/><Relationship Id="rId33" Type="http://schemas.openxmlformats.org/officeDocument/2006/relationships/hyperlink" Target="https://www.bls.gov/ces/data/employment-and-earnings/2024/table1a_202411.htm" TargetMode="External"/><Relationship Id="rId129" Type="http://schemas.openxmlformats.org/officeDocument/2006/relationships/hyperlink" Target="https://www.bls.gov/ces/data/employment-and-earnings/2024/table1a_202411.htm" TargetMode="External"/><Relationship Id="rId280" Type="http://schemas.openxmlformats.org/officeDocument/2006/relationships/hyperlink" Target="https://www.bls.gov/ces/data/employment-and-earnings/2024/table1a_202411.htm" TargetMode="External"/><Relationship Id="rId336" Type="http://schemas.openxmlformats.org/officeDocument/2006/relationships/hyperlink" Target="https://www.bls.gov/ces/data/employment-and-earnings/2024/table1a_202411.htm" TargetMode="External"/><Relationship Id="rId501" Type="http://schemas.openxmlformats.org/officeDocument/2006/relationships/hyperlink" Target="https://www.bls.gov/ces/data/employment-and-earnings/2024/table1a_202411.htm" TargetMode="External"/><Relationship Id="rId543" Type="http://schemas.openxmlformats.org/officeDocument/2006/relationships/hyperlink" Target="https://www.bls.gov/ces/data/employment-and-earnings/2024/table1a_202411.htm" TargetMode="External"/><Relationship Id="rId75" Type="http://schemas.openxmlformats.org/officeDocument/2006/relationships/hyperlink" Target="https://www.bls.gov/ces/data/employment-and-earnings/2024/table1a_202411.htm" TargetMode="External"/><Relationship Id="rId140" Type="http://schemas.openxmlformats.org/officeDocument/2006/relationships/hyperlink" Target="https://www.bls.gov/ces/data/employment-and-earnings/2024/table1a_202411.htm" TargetMode="External"/><Relationship Id="rId182" Type="http://schemas.openxmlformats.org/officeDocument/2006/relationships/hyperlink" Target="https://www.bls.gov/ces/data/employment-and-earnings/2024/table1a_202411.htm" TargetMode="External"/><Relationship Id="rId378" Type="http://schemas.openxmlformats.org/officeDocument/2006/relationships/hyperlink" Target="https://www.bls.gov/ces/data/employment-and-earnings/2024/table1a_202411.htm" TargetMode="External"/><Relationship Id="rId403" Type="http://schemas.openxmlformats.org/officeDocument/2006/relationships/hyperlink" Target="https://www.bls.gov/ces/data/employment-and-earnings/2024/table1a_202411.htm" TargetMode="External"/><Relationship Id="rId585" Type="http://schemas.openxmlformats.org/officeDocument/2006/relationships/hyperlink" Target="https://www.bls.gov/ces/data/employment-and-earnings/2024/table1a_202411.htm" TargetMode="External"/><Relationship Id="rId6" Type="http://schemas.openxmlformats.org/officeDocument/2006/relationships/hyperlink" Target="https://www.bls.gov/ces/data/employment-and-earnings/2024/table1a_202411.htm" TargetMode="External"/><Relationship Id="rId238" Type="http://schemas.openxmlformats.org/officeDocument/2006/relationships/hyperlink" Target="https://www.bls.gov/ces/data/employment-and-earnings/2024/table1a_202411.htm" TargetMode="External"/><Relationship Id="rId445" Type="http://schemas.openxmlformats.org/officeDocument/2006/relationships/hyperlink" Target="https://www.bls.gov/ces/data/employment-and-earnings/2024/table1a_202411.htm" TargetMode="External"/><Relationship Id="rId487" Type="http://schemas.openxmlformats.org/officeDocument/2006/relationships/hyperlink" Target="https://www.bls.gov/ces/data/employment-and-earnings/2024/table1a_202411.htm" TargetMode="External"/><Relationship Id="rId610" Type="http://schemas.openxmlformats.org/officeDocument/2006/relationships/hyperlink" Target="https://www.bls.gov/ces/data/employment-and-earnings/2024/table1a_202411.htm" TargetMode="External"/><Relationship Id="rId291" Type="http://schemas.openxmlformats.org/officeDocument/2006/relationships/hyperlink" Target="https://www.bls.gov/ces/data/employment-and-earnings/2024/table1a_202411.htm" TargetMode="External"/><Relationship Id="rId305" Type="http://schemas.openxmlformats.org/officeDocument/2006/relationships/hyperlink" Target="https://www.bls.gov/ces/data/employment-and-earnings/2024/table1a_202411.htm" TargetMode="External"/><Relationship Id="rId347" Type="http://schemas.openxmlformats.org/officeDocument/2006/relationships/hyperlink" Target="https://www.bls.gov/ces/data/employment-and-earnings/2024/table1a_202411.htm" TargetMode="External"/><Relationship Id="rId512" Type="http://schemas.openxmlformats.org/officeDocument/2006/relationships/hyperlink" Target="https://www.bls.gov/ces/data/employment-and-earnings/2024/table1a_202411.htm" TargetMode="External"/><Relationship Id="rId44" Type="http://schemas.openxmlformats.org/officeDocument/2006/relationships/hyperlink" Target="https://www.bls.gov/ces/data/employment-and-earnings/2024/table1a_202411.htm" TargetMode="External"/><Relationship Id="rId86" Type="http://schemas.openxmlformats.org/officeDocument/2006/relationships/hyperlink" Target="https://www.bls.gov/ces/data/employment-and-earnings/2024/table1a_202411.htm" TargetMode="External"/><Relationship Id="rId151" Type="http://schemas.openxmlformats.org/officeDocument/2006/relationships/hyperlink" Target="https://www.bls.gov/ces/data/employment-and-earnings/2024/table1a_202411.htm" TargetMode="External"/><Relationship Id="rId389" Type="http://schemas.openxmlformats.org/officeDocument/2006/relationships/hyperlink" Target="https://www.bls.gov/ces/data/employment-and-earnings/2024/table1a_202411.htm" TargetMode="External"/><Relationship Id="rId554" Type="http://schemas.openxmlformats.org/officeDocument/2006/relationships/hyperlink" Target="https://www.bls.gov/ces/data/employment-and-earnings/2024/table1a_202411.htm" TargetMode="External"/><Relationship Id="rId596" Type="http://schemas.openxmlformats.org/officeDocument/2006/relationships/hyperlink" Target="https://www.bls.gov/ces/data/employment-and-earnings/2024/table1a_202411.htm" TargetMode="External"/><Relationship Id="rId193" Type="http://schemas.openxmlformats.org/officeDocument/2006/relationships/hyperlink" Target="https://www.bls.gov/ces/data/employment-and-earnings/2024/table1a_202411.htm" TargetMode="External"/><Relationship Id="rId207" Type="http://schemas.openxmlformats.org/officeDocument/2006/relationships/hyperlink" Target="https://www.bls.gov/ces/data/employment-and-earnings/2024/table1a_202411.htm" TargetMode="External"/><Relationship Id="rId249" Type="http://schemas.openxmlformats.org/officeDocument/2006/relationships/hyperlink" Target="https://www.bls.gov/ces/data/employment-and-earnings/2024/table1a_202411.htm" TargetMode="External"/><Relationship Id="rId414" Type="http://schemas.openxmlformats.org/officeDocument/2006/relationships/hyperlink" Target="https://www.bls.gov/ces/data/employment-and-earnings/2024/table1a_202411.htm" TargetMode="External"/><Relationship Id="rId456" Type="http://schemas.openxmlformats.org/officeDocument/2006/relationships/hyperlink" Target="https://www.bls.gov/ces/data/employment-and-earnings/2024/table1a_202411.htm" TargetMode="External"/><Relationship Id="rId498" Type="http://schemas.openxmlformats.org/officeDocument/2006/relationships/hyperlink" Target="https://www.bls.gov/ces/data/employment-and-earnings/2024/table1a_202411.htm" TargetMode="External"/><Relationship Id="rId621" Type="http://schemas.openxmlformats.org/officeDocument/2006/relationships/hyperlink" Target="https://www.bls.gov/ces/data/employment-and-earnings/2024/table1a_202411.htm" TargetMode="External"/><Relationship Id="rId13" Type="http://schemas.openxmlformats.org/officeDocument/2006/relationships/hyperlink" Target="https://www.bls.gov/ces/data/employment-and-earnings/2024/table1a_202411.htm" TargetMode="External"/><Relationship Id="rId109" Type="http://schemas.openxmlformats.org/officeDocument/2006/relationships/hyperlink" Target="https://www.bls.gov/ces/data/employment-and-earnings/2024/table1a_202411.htm" TargetMode="External"/><Relationship Id="rId260" Type="http://schemas.openxmlformats.org/officeDocument/2006/relationships/hyperlink" Target="https://www.bls.gov/ces/data/employment-and-earnings/2024/table1a_202411.htm" TargetMode="External"/><Relationship Id="rId316" Type="http://schemas.openxmlformats.org/officeDocument/2006/relationships/hyperlink" Target="https://www.bls.gov/ces/data/employment-and-earnings/2024/table1a_202411.htm" TargetMode="External"/><Relationship Id="rId523" Type="http://schemas.openxmlformats.org/officeDocument/2006/relationships/hyperlink" Target="https://www.bls.gov/ces/data/employment-and-earnings/2024/table1a_202411.htm" TargetMode="External"/><Relationship Id="rId55" Type="http://schemas.openxmlformats.org/officeDocument/2006/relationships/hyperlink" Target="https://www.bls.gov/ces/data/employment-and-earnings/2024/table1a_202411.htm" TargetMode="External"/><Relationship Id="rId97" Type="http://schemas.openxmlformats.org/officeDocument/2006/relationships/hyperlink" Target="https://www.bls.gov/ces/data/employment-and-earnings/2024/table1a_202411.htm" TargetMode="External"/><Relationship Id="rId120" Type="http://schemas.openxmlformats.org/officeDocument/2006/relationships/hyperlink" Target="https://www.bls.gov/ces/data/employment-and-earnings/2024/table1a_202411.htm" TargetMode="External"/><Relationship Id="rId358" Type="http://schemas.openxmlformats.org/officeDocument/2006/relationships/hyperlink" Target="https://www.bls.gov/ces/data/employment-and-earnings/2024/table1a_202411.htm" TargetMode="External"/><Relationship Id="rId565" Type="http://schemas.openxmlformats.org/officeDocument/2006/relationships/hyperlink" Target="https://www.bls.gov/ces/data/employment-and-earnings/2024/table1a_202411.htm" TargetMode="External"/><Relationship Id="rId162" Type="http://schemas.openxmlformats.org/officeDocument/2006/relationships/hyperlink" Target="https://www.bls.gov/ces/data/employment-and-earnings/2024/table1a_202411.htm" TargetMode="External"/><Relationship Id="rId218" Type="http://schemas.openxmlformats.org/officeDocument/2006/relationships/hyperlink" Target="https://www.bls.gov/ces/data/employment-and-earnings/2024/table1a_202411.htm" TargetMode="External"/><Relationship Id="rId425" Type="http://schemas.openxmlformats.org/officeDocument/2006/relationships/hyperlink" Target="https://www.bls.gov/ces/data/employment-and-earnings/2024/table1a_202411.htm" TargetMode="External"/><Relationship Id="rId467" Type="http://schemas.openxmlformats.org/officeDocument/2006/relationships/hyperlink" Target="https://www.bls.gov/ces/data/employment-and-earnings/2024/table1a_202411.htm" TargetMode="External"/><Relationship Id="rId632" Type="http://schemas.openxmlformats.org/officeDocument/2006/relationships/hyperlink" Target="https://www.bls.gov/ces/data/employment-and-earnings/2024/table1a_202411.htm" TargetMode="External"/><Relationship Id="rId271" Type="http://schemas.openxmlformats.org/officeDocument/2006/relationships/hyperlink" Target="https://www.bls.gov/ces/data/employment-and-earnings/2024/table1a_202411.htm" TargetMode="External"/><Relationship Id="rId24" Type="http://schemas.openxmlformats.org/officeDocument/2006/relationships/hyperlink" Target="https://www.bls.gov/ces/data/employment-and-earnings/2024/table1a_202411.htm" TargetMode="External"/><Relationship Id="rId66" Type="http://schemas.openxmlformats.org/officeDocument/2006/relationships/hyperlink" Target="https://www.bls.gov/ces/data/employment-and-earnings/2024/table1a_202411.htm" TargetMode="External"/><Relationship Id="rId131" Type="http://schemas.openxmlformats.org/officeDocument/2006/relationships/hyperlink" Target="https://www.bls.gov/ces/data/employment-and-earnings/2024/table1a_202411.htm" TargetMode="External"/><Relationship Id="rId327" Type="http://schemas.openxmlformats.org/officeDocument/2006/relationships/hyperlink" Target="https://www.bls.gov/ces/data/employment-and-earnings/2024/table1a_202411.htm" TargetMode="External"/><Relationship Id="rId369" Type="http://schemas.openxmlformats.org/officeDocument/2006/relationships/hyperlink" Target="https://www.bls.gov/ces/data/employment-and-earnings/2024/table1a_202411.htm" TargetMode="External"/><Relationship Id="rId534" Type="http://schemas.openxmlformats.org/officeDocument/2006/relationships/hyperlink" Target="https://www.bls.gov/ces/data/employment-and-earnings/2024/table1a_202411.htm" TargetMode="External"/><Relationship Id="rId576" Type="http://schemas.openxmlformats.org/officeDocument/2006/relationships/hyperlink" Target="https://www.bls.gov/ces/data/employment-and-earnings/2024/table1a_202411.htm" TargetMode="External"/><Relationship Id="rId173" Type="http://schemas.openxmlformats.org/officeDocument/2006/relationships/hyperlink" Target="https://www.bls.gov/ces/data/employment-and-earnings/2024/table1a_202411.htm" TargetMode="External"/><Relationship Id="rId229" Type="http://schemas.openxmlformats.org/officeDocument/2006/relationships/hyperlink" Target="https://www.bls.gov/ces/data/employment-and-earnings/2024/table1a_202411.htm" TargetMode="External"/><Relationship Id="rId380" Type="http://schemas.openxmlformats.org/officeDocument/2006/relationships/hyperlink" Target="https://www.bls.gov/ces/data/employment-and-earnings/2024/table1a_202411.htm" TargetMode="External"/><Relationship Id="rId436" Type="http://schemas.openxmlformats.org/officeDocument/2006/relationships/hyperlink" Target="https://www.bls.gov/ces/data/employment-and-earnings/2024/table1a_202411.htm" TargetMode="External"/><Relationship Id="rId601" Type="http://schemas.openxmlformats.org/officeDocument/2006/relationships/hyperlink" Target="https://www.bls.gov/ces/data/employment-and-earnings/2024/table1a_202411.htm" TargetMode="External"/><Relationship Id="rId240" Type="http://schemas.openxmlformats.org/officeDocument/2006/relationships/hyperlink" Target="https://www.bls.gov/ces/data/employment-and-earnings/2024/table1a_202411.htm" TargetMode="External"/><Relationship Id="rId478" Type="http://schemas.openxmlformats.org/officeDocument/2006/relationships/hyperlink" Target="https://www.bls.gov/ces/data/employment-and-earnings/2024/table1a_202411.htm" TargetMode="External"/><Relationship Id="rId35" Type="http://schemas.openxmlformats.org/officeDocument/2006/relationships/hyperlink" Target="https://www.bls.gov/ces/data/employment-and-earnings/2024/table1a_202411.htm" TargetMode="External"/><Relationship Id="rId77" Type="http://schemas.openxmlformats.org/officeDocument/2006/relationships/hyperlink" Target="https://www.bls.gov/ces/data/employment-and-earnings/2024/table1a_202411.htm" TargetMode="External"/><Relationship Id="rId100" Type="http://schemas.openxmlformats.org/officeDocument/2006/relationships/hyperlink" Target="https://www.bls.gov/ces/data/employment-and-earnings/2024/table1a_202411.htm" TargetMode="External"/><Relationship Id="rId282" Type="http://schemas.openxmlformats.org/officeDocument/2006/relationships/hyperlink" Target="https://www.bls.gov/ces/data/employment-and-earnings/2024/table1a_202411.htm" TargetMode="External"/><Relationship Id="rId338" Type="http://schemas.openxmlformats.org/officeDocument/2006/relationships/hyperlink" Target="https://www.bls.gov/ces/data/employment-and-earnings/2024/table1a_202411.htm" TargetMode="External"/><Relationship Id="rId503" Type="http://schemas.openxmlformats.org/officeDocument/2006/relationships/hyperlink" Target="https://www.bls.gov/ces/data/employment-and-earnings/2024/table1a_202411.htm" TargetMode="External"/><Relationship Id="rId545" Type="http://schemas.openxmlformats.org/officeDocument/2006/relationships/hyperlink" Target="https://www.bls.gov/ces/data/employment-and-earnings/2024/table1a_202411.htm" TargetMode="External"/><Relationship Id="rId587" Type="http://schemas.openxmlformats.org/officeDocument/2006/relationships/hyperlink" Target="https://www.bls.gov/ces/data/employment-and-earnings/2024/table1a_202411.htm" TargetMode="External"/><Relationship Id="rId8" Type="http://schemas.openxmlformats.org/officeDocument/2006/relationships/hyperlink" Target="https://www.bls.gov/ces/data/employment-and-earnings/2024/table1a_202411.htm" TargetMode="External"/><Relationship Id="rId142" Type="http://schemas.openxmlformats.org/officeDocument/2006/relationships/hyperlink" Target="https://www.bls.gov/ces/data/employment-and-earnings/2024/table1a_202411.htm" TargetMode="External"/><Relationship Id="rId184" Type="http://schemas.openxmlformats.org/officeDocument/2006/relationships/hyperlink" Target="https://www.bls.gov/ces/data/employment-and-earnings/2024/table1a_202411.htm" TargetMode="External"/><Relationship Id="rId391" Type="http://schemas.openxmlformats.org/officeDocument/2006/relationships/hyperlink" Target="https://www.bls.gov/ces/data/employment-and-earnings/2024/table1a_202411.htm" TargetMode="External"/><Relationship Id="rId405" Type="http://schemas.openxmlformats.org/officeDocument/2006/relationships/hyperlink" Target="https://www.bls.gov/ces/data/employment-and-earnings/2024/table1a_202411.htm" TargetMode="External"/><Relationship Id="rId447" Type="http://schemas.openxmlformats.org/officeDocument/2006/relationships/hyperlink" Target="https://www.bls.gov/ces/data/employment-and-earnings/2024/table1a_202411.htm" TargetMode="External"/><Relationship Id="rId612" Type="http://schemas.openxmlformats.org/officeDocument/2006/relationships/hyperlink" Target="https://www.bls.gov/ces/data/employment-and-earnings/2024/table1a_202411.htm" TargetMode="External"/><Relationship Id="rId251" Type="http://schemas.openxmlformats.org/officeDocument/2006/relationships/hyperlink" Target="https://www.bls.gov/ces/data/employment-and-earnings/2024/table1a_202411.htm" TargetMode="External"/><Relationship Id="rId489" Type="http://schemas.openxmlformats.org/officeDocument/2006/relationships/hyperlink" Target="https://www.bls.gov/ces/data/employment-and-earnings/2024/table1a_202411.htm" TargetMode="External"/><Relationship Id="rId46" Type="http://schemas.openxmlformats.org/officeDocument/2006/relationships/hyperlink" Target="https://www.bls.gov/ces/data/employment-and-earnings/2024/table1a_202411.htm" TargetMode="External"/><Relationship Id="rId293" Type="http://schemas.openxmlformats.org/officeDocument/2006/relationships/hyperlink" Target="https://www.bls.gov/ces/data/employment-and-earnings/2024/table1a_202411.htm" TargetMode="External"/><Relationship Id="rId307" Type="http://schemas.openxmlformats.org/officeDocument/2006/relationships/hyperlink" Target="https://www.bls.gov/ces/data/employment-and-earnings/2024/table1a_202411.htm" TargetMode="External"/><Relationship Id="rId349" Type="http://schemas.openxmlformats.org/officeDocument/2006/relationships/hyperlink" Target="https://www.bls.gov/ces/data/employment-and-earnings/2024/table1a_202411.htm" TargetMode="External"/><Relationship Id="rId514" Type="http://schemas.openxmlformats.org/officeDocument/2006/relationships/hyperlink" Target="https://www.bls.gov/ces/data/employment-and-earnings/2024/table1a_202411.htm" TargetMode="External"/><Relationship Id="rId556" Type="http://schemas.openxmlformats.org/officeDocument/2006/relationships/hyperlink" Target="https://www.bls.gov/ces/data/employment-and-earnings/2024/table1a_202411.htm" TargetMode="External"/><Relationship Id="rId88" Type="http://schemas.openxmlformats.org/officeDocument/2006/relationships/hyperlink" Target="https://www.bls.gov/ces/data/employment-and-earnings/2024/table1a_202411.htm" TargetMode="External"/><Relationship Id="rId111" Type="http://schemas.openxmlformats.org/officeDocument/2006/relationships/hyperlink" Target="https://www.bls.gov/ces/data/employment-and-earnings/2024/table1a_202411.htm" TargetMode="External"/><Relationship Id="rId153" Type="http://schemas.openxmlformats.org/officeDocument/2006/relationships/hyperlink" Target="https://www.bls.gov/ces/data/employment-and-earnings/2024/table1a_202411.htm" TargetMode="External"/><Relationship Id="rId195" Type="http://schemas.openxmlformats.org/officeDocument/2006/relationships/hyperlink" Target="https://www.bls.gov/ces/data/employment-and-earnings/2024/table1a_202411.htm" TargetMode="External"/><Relationship Id="rId209" Type="http://schemas.openxmlformats.org/officeDocument/2006/relationships/hyperlink" Target="https://www.bls.gov/ces/data/employment-and-earnings/2024/table1a_202411.htm" TargetMode="External"/><Relationship Id="rId360" Type="http://schemas.openxmlformats.org/officeDocument/2006/relationships/hyperlink" Target="https://www.bls.gov/ces/data/employment-and-earnings/2024/table1a_202411.htm" TargetMode="External"/><Relationship Id="rId416" Type="http://schemas.openxmlformats.org/officeDocument/2006/relationships/hyperlink" Target="https://www.bls.gov/ces/data/employment-and-earnings/2024/table1a_202411.htm" TargetMode="External"/><Relationship Id="rId598" Type="http://schemas.openxmlformats.org/officeDocument/2006/relationships/hyperlink" Target="https://www.bls.gov/ces/data/employment-and-earnings/2024/table1a_202411.htm" TargetMode="External"/><Relationship Id="rId220" Type="http://schemas.openxmlformats.org/officeDocument/2006/relationships/hyperlink" Target="https://www.bls.gov/ces/data/employment-and-earnings/2024/table1a_202411.htm" TargetMode="External"/><Relationship Id="rId458" Type="http://schemas.openxmlformats.org/officeDocument/2006/relationships/hyperlink" Target="https://www.bls.gov/ces/data/employment-and-earnings/2024/table1a_202411.htm" TargetMode="External"/><Relationship Id="rId623" Type="http://schemas.openxmlformats.org/officeDocument/2006/relationships/hyperlink" Target="https://www.bls.gov/ces/data/employment-and-earnings/2024/table1a_202411.htm" TargetMode="External"/><Relationship Id="rId15" Type="http://schemas.openxmlformats.org/officeDocument/2006/relationships/hyperlink" Target="https://www.bls.gov/ces/data/employment-and-earnings/2024/table1a_202411.htm" TargetMode="External"/><Relationship Id="rId57" Type="http://schemas.openxmlformats.org/officeDocument/2006/relationships/hyperlink" Target="https://www.bls.gov/ces/data/employment-and-earnings/2024/table1a_202411.htm" TargetMode="External"/><Relationship Id="rId262" Type="http://schemas.openxmlformats.org/officeDocument/2006/relationships/hyperlink" Target="https://www.bls.gov/ces/data/employment-and-earnings/2024/table1a_202411.htm" TargetMode="External"/><Relationship Id="rId318" Type="http://schemas.openxmlformats.org/officeDocument/2006/relationships/hyperlink" Target="https://www.bls.gov/ces/data/employment-and-earnings/2024/table1a_202411.htm" TargetMode="External"/><Relationship Id="rId525" Type="http://schemas.openxmlformats.org/officeDocument/2006/relationships/hyperlink" Target="https://www.bls.gov/ces/data/employment-and-earnings/2024/table1a_202411.htm" TargetMode="External"/><Relationship Id="rId567" Type="http://schemas.openxmlformats.org/officeDocument/2006/relationships/hyperlink" Target="https://www.bls.gov/ces/data/employment-and-earnings/2024/table1a_202411.htm" TargetMode="External"/><Relationship Id="rId99" Type="http://schemas.openxmlformats.org/officeDocument/2006/relationships/hyperlink" Target="https://www.bls.gov/ces/data/employment-and-earnings/2024/table1a_202411.htm" TargetMode="External"/><Relationship Id="rId122" Type="http://schemas.openxmlformats.org/officeDocument/2006/relationships/hyperlink" Target="https://www.bls.gov/ces/data/employment-and-earnings/2024/table1a_202411.htm" TargetMode="External"/><Relationship Id="rId164" Type="http://schemas.openxmlformats.org/officeDocument/2006/relationships/hyperlink" Target="https://www.bls.gov/ces/data/employment-and-earnings/2024/table1a_202411.htm" TargetMode="External"/><Relationship Id="rId371" Type="http://schemas.openxmlformats.org/officeDocument/2006/relationships/hyperlink" Target="https://www.bls.gov/ces/data/employment-and-earnings/2024/table1a_202411.htm" TargetMode="External"/><Relationship Id="rId427" Type="http://schemas.openxmlformats.org/officeDocument/2006/relationships/hyperlink" Target="https://www.bls.gov/ces/data/employment-and-earnings/2024/table1a_202411.htm" TargetMode="External"/><Relationship Id="rId469" Type="http://schemas.openxmlformats.org/officeDocument/2006/relationships/hyperlink" Target="https://www.bls.gov/ces/data/employment-and-earnings/2024/table1a_202411.htm" TargetMode="External"/><Relationship Id="rId634" Type="http://schemas.openxmlformats.org/officeDocument/2006/relationships/hyperlink" Target="https://www.bls.gov/ces/data/employment-and-earnings/2024/table1a_202411.htm" TargetMode="External"/><Relationship Id="rId26" Type="http://schemas.openxmlformats.org/officeDocument/2006/relationships/hyperlink" Target="https://www.bls.gov/ces/data/employment-and-earnings/2024/table1a_202411.htm" TargetMode="External"/><Relationship Id="rId231" Type="http://schemas.openxmlformats.org/officeDocument/2006/relationships/hyperlink" Target="https://www.bls.gov/ces/data/employment-and-earnings/2024/table1a_202411.htm" TargetMode="External"/><Relationship Id="rId273" Type="http://schemas.openxmlformats.org/officeDocument/2006/relationships/hyperlink" Target="https://www.bls.gov/ces/data/employment-and-earnings/2024/table1a_202411.htm" TargetMode="External"/><Relationship Id="rId329" Type="http://schemas.openxmlformats.org/officeDocument/2006/relationships/hyperlink" Target="https://www.bls.gov/ces/data/employment-and-earnings/2024/table1a_202411.htm" TargetMode="External"/><Relationship Id="rId480" Type="http://schemas.openxmlformats.org/officeDocument/2006/relationships/hyperlink" Target="https://www.bls.gov/ces/data/employment-and-earnings/2024/table1a_202411.htm" TargetMode="External"/><Relationship Id="rId536" Type="http://schemas.openxmlformats.org/officeDocument/2006/relationships/hyperlink" Target="https://www.bls.gov/ces/data/employment-and-earnings/2024/table1a_202411.htm" TargetMode="External"/><Relationship Id="rId68" Type="http://schemas.openxmlformats.org/officeDocument/2006/relationships/hyperlink" Target="https://www.bls.gov/ces/data/employment-and-earnings/2024/table1a_202411.htm" TargetMode="External"/><Relationship Id="rId133" Type="http://schemas.openxmlformats.org/officeDocument/2006/relationships/hyperlink" Target="https://www.bls.gov/ces/data/employment-and-earnings/2024/table1a_202411.htm" TargetMode="External"/><Relationship Id="rId175" Type="http://schemas.openxmlformats.org/officeDocument/2006/relationships/hyperlink" Target="https://www.bls.gov/ces/data/employment-and-earnings/2024/table1a_202411.htm" TargetMode="External"/><Relationship Id="rId340" Type="http://schemas.openxmlformats.org/officeDocument/2006/relationships/hyperlink" Target="https://www.bls.gov/ces/data/employment-and-earnings/2024/table1a_202411.htm" TargetMode="External"/><Relationship Id="rId578" Type="http://schemas.openxmlformats.org/officeDocument/2006/relationships/hyperlink" Target="https://www.bls.gov/ces/data/employment-and-earnings/2024/table1a_202411.htm" TargetMode="External"/><Relationship Id="rId200" Type="http://schemas.openxmlformats.org/officeDocument/2006/relationships/hyperlink" Target="https://www.bls.gov/ces/data/employment-and-earnings/2024/table1a_202411.htm" TargetMode="External"/><Relationship Id="rId382" Type="http://schemas.openxmlformats.org/officeDocument/2006/relationships/hyperlink" Target="https://www.bls.gov/ces/data/employment-and-earnings/2024/table1a_202411.htm" TargetMode="External"/><Relationship Id="rId438" Type="http://schemas.openxmlformats.org/officeDocument/2006/relationships/hyperlink" Target="https://www.bls.gov/ces/data/employment-and-earnings/2024/table1a_202411.htm" TargetMode="External"/><Relationship Id="rId603" Type="http://schemas.openxmlformats.org/officeDocument/2006/relationships/hyperlink" Target="https://www.bls.gov/ces/data/employment-and-earnings/2024/table1a_202411.htm" TargetMode="External"/><Relationship Id="rId242" Type="http://schemas.openxmlformats.org/officeDocument/2006/relationships/hyperlink" Target="https://www.bls.gov/ces/data/employment-and-earnings/2024/table1a_202411.htm" TargetMode="External"/><Relationship Id="rId284" Type="http://schemas.openxmlformats.org/officeDocument/2006/relationships/hyperlink" Target="https://www.bls.gov/ces/data/employment-and-earnings/2024/table1a_202411.htm" TargetMode="External"/><Relationship Id="rId491" Type="http://schemas.openxmlformats.org/officeDocument/2006/relationships/hyperlink" Target="https://www.bls.gov/ces/data/employment-and-earnings/2024/table1a_202411.htm" TargetMode="External"/><Relationship Id="rId505" Type="http://schemas.openxmlformats.org/officeDocument/2006/relationships/hyperlink" Target="https://www.bls.gov/ces/data/employment-and-earnings/2024/table1a_202411.htm" TargetMode="External"/><Relationship Id="rId37" Type="http://schemas.openxmlformats.org/officeDocument/2006/relationships/hyperlink" Target="https://www.bls.gov/ces/data/employment-and-earnings/2024/table1a_202411.htm" TargetMode="External"/><Relationship Id="rId79" Type="http://schemas.openxmlformats.org/officeDocument/2006/relationships/hyperlink" Target="https://www.bls.gov/ces/data/employment-and-earnings/2024/table1a_202411.htm" TargetMode="External"/><Relationship Id="rId102" Type="http://schemas.openxmlformats.org/officeDocument/2006/relationships/hyperlink" Target="https://www.bls.gov/ces/data/employment-and-earnings/2024/table1a_202411.htm" TargetMode="External"/><Relationship Id="rId144" Type="http://schemas.openxmlformats.org/officeDocument/2006/relationships/hyperlink" Target="https://www.bls.gov/ces/data/employment-and-earnings/2024/table1a_202411.htm" TargetMode="External"/><Relationship Id="rId547" Type="http://schemas.openxmlformats.org/officeDocument/2006/relationships/hyperlink" Target="https://www.bls.gov/ces/data/employment-and-earnings/2024/table1a_202411.htm" TargetMode="External"/><Relationship Id="rId589" Type="http://schemas.openxmlformats.org/officeDocument/2006/relationships/hyperlink" Target="https://www.bls.gov/ces/data/employment-and-earnings/2024/table1a_202411.htm" TargetMode="External"/><Relationship Id="rId90" Type="http://schemas.openxmlformats.org/officeDocument/2006/relationships/hyperlink" Target="https://www.bls.gov/ces/data/employment-and-earnings/2024/table1a_202411.htm" TargetMode="External"/><Relationship Id="rId186" Type="http://schemas.openxmlformats.org/officeDocument/2006/relationships/hyperlink" Target="https://www.bls.gov/ces/data/employment-and-earnings/2024/table1a_202411.htm" TargetMode="External"/><Relationship Id="rId351" Type="http://schemas.openxmlformats.org/officeDocument/2006/relationships/hyperlink" Target="https://www.bls.gov/ces/data/employment-and-earnings/2024/table1a_202411.htm" TargetMode="External"/><Relationship Id="rId393" Type="http://schemas.openxmlformats.org/officeDocument/2006/relationships/hyperlink" Target="https://www.bls.gov/ces/data/employment-and-earnings/2024/table1a_202411.htm" TargetMode="External"/><Relationship Id="rId407" Type="http://schemas.openxmlformats.org/officeDocument/2006/relationships/hyperlink" Target="https://www.bls.gov/ces/data/employment-and-earnings/2024/table1a_202411.htm" TargetMode="External"/><Relationship Id="rId449" Type="http://schemas.openxmlformats.org/officeDocument/2006/relationships/hyperlink" Target="https://www.bls.gov/ces/data/employment-and-earnings/2024/table1a_202411.htm" TargetMode="External"/><Relationship Id="rId614" Type="http://schemas.openxmlformats.org/officeDocument/2006/relationships/hyperlink" Target="https://www.bls.gov/ces/data/employment-and-earnings/2024/table1a_202411.htm" TargetMode="External"/><Relationship Id="rId211" Type="http://schemas.openxmlformats.org/officeDocument/2006/relationships/hyperlink" Target="https://www.bls.gov/ces/data/employment-and-earnings/2024/table1a_202411.htm" TargetMode="External"/><Relationship Id="rId253" Type="http://schemas.openxmlformats.org/officeDocument/2006/relationships/hyperlink" Target="https://www.bls.gov/ces/data/employment-and-earnings/2024/table1a_202411.htm" TargetMode="External"/><Relationship Id="rId295" Type="http://schemas.openxmlformats.org/officeDocument/2006/relationships/hyperlink" Target="https://www.bls.gov/ces/data/employment-and-earnings/2024/table1a_202411.htm" TargetMode="External"/><Relationship Id="rId309" Type="http://schemas.openxmlformats.org/officeDocument/2006/relationships/hyperlink" Target="https://www.bls.gov/ces/data/employment-and-earnings/2024/table1a_202411.htm" TargetMode="External"/><Relationship Id="rId460" Type="http://schemas.openxmlformats.org/officeDocument/2006/relationships/hyperlink" Target="https://www.bls.gov/ces/data/employment-and-earnings/2024/table1a_202411.htm" TargetMode="External"/><Relationship Id="rId516" Type="http://schemas.openxmlformats.org/officeDocument/2006/relationships/hyperlink" Target="https://www.bls.gov/ces/data/employment-and-earnings/2024/table1a_202411.htm" TargetMode="External"/><Relationship Id="rId48" Type="http://schemas.openxmlformats.org/officeDocument/2006/relationships/hyperlink" Target="https://www.bls.gov/ces/data/employment-and-earnings/2024/table1a_202411.htm" TargetMode="External"/><Relationship Id="rId113" Type="http://schemas.openxmlformats.org/officeDocument/2006/relationships/hyperlink" Target="https://www.bls.gov/ces/data/employment-and-earnings/2024/table1a_202411.htm" TargetMode="External"/><Relationship Id="rId320" Type="http://schemas.openxmlformats.org/officeDocument/2006/relationships/hyperlink" Target="https://www.bls.gov/ces/data/employment-and-earnings/2024/table1a_202411.htm" TargetMode="External"/><Relationship Id="rId558" Type="http://schemas.openxmlformats.org/officeDocument/2006/relationships/hyperlink" Target="https://www.bls.gov/ces/data/employment-and-earnings/2024/table1a_202411.htm" TargetMode="External"/><Relationship Id="rId155" Type="http://schemas.openxmlformats.org/officeDocument/2006/relationships/hyperlink" Target="https://www.bls.gov/ces/data/employment-and-earnings/2024/table1a_202411.htm" TargetMode="External"/><Relationship Id="rId197" Type="http://schemas.openxmlformats.org/officeDocument/2006/relationships/hyperlink" Target="https://www.bls.gov/ces/data/employment-and-earnings/2024/table1a_202411.htm" TargetMode="External"/><Relationship Id="rId362" Type="http://schemas.openxmlformats.org/officeDocument/2006/relationships/hyperlink" Target="https://www.bls.gov/ces/data/employment-and-earnings/2024/table1a_202411.htm" TargetMode="External"/><Relationship Id="rId418" Type="http://schemas.openxmlformats.org/officeDocument/2006/relationships/hyperlink" Target="https://www.bls.gov/ces/data/employment-and-earnings/2024/table1a_202411.htm" TargetMode="External"/><Relationship Id="rId625" Type="http://schemas.openxmlformats.org/officeDocument/2006/relationships/hyperlink" Target="https://www.bls.gov/ces/data/employment-and-earnings/2024/table1a_202411.htm" TargetMode="External"/><Relationship Id="rId222" Type="http://schemas.openxmlformats.org/officeDocument/2006/relationships/hyperlink" Target="https://www.bls.gov/ces/data/employment-and-earnings/2024/table1a_202411.htm" TargetMode="External"/><Relationship Id="rId264" Type="http://schemas.openxmlformats.org/officeDocument/2006/relationships/hyperlink" Target="https://www.bls.gov/ces/data/employment-and-earnings/2024/table1a_202411.htm" TargetMode="External"/><Relationship Id="rId471" Type="http://schemas.openxmlformats.org/officeDocument/2006/relationships/hyperlink" Target="https://www.bls.gov/ces/data/employment-and-earnings/2024/table1a_202411.htm" TargetMode="External"/><Relationship Id="rId17" Type="http://schemas.openxmlformats.org/officeDocument/2006/relationships/hyperlink" Target="https://www.bls.gov/ces/data/employment-and-earnings/2024/table1a_202411.htm" TargetMode="External"/><Relationship Id="rId59" Type="http://schemas.openxmlformats.org/officeDocument/2006/relationships/hyperlink" Target="https://www.bls.gov/ces/data/employment-and-earnings/2024/table1a_202411.htm" TargetMode="External"/><Relationship Id="rId124" Type="http://schemas.openxmlformats.org/officeDocument/2006/relationships/hyperlink" Target="https://www.bls.gov/ces/data/employment-and-earnings/2024/table1a_202411.htm" TargetMode="External"/><Relationship Id="rId527" Type="http://schemas.openxmlformats.org/officeDocument/2006/relationships/hyperlink" Target="https://www.bls.gov/ces/data/employment-and-earnings/2024/table1a_202411.htm" TargetMode="External"/><Relationship Id="rId569" Type="http://schemas.openxmlformats.org/officeDocument/2006/relationships/hyperlink" Target="https://www.bls.gov/ces/data/employment-and-earnings/2024/table1a_202411.htm" TargetMode="External"/><Relationship Id="rId70" Type="http://schemas.openxmlformats.org/officeDocument/2006/relationships/hyperlink" Target="https://www.bls.gov/ces/data/employment-and-earnings/2024/table1a_202411.htm" TargetMode="External"/><Relationship Id="rId166" Type="http://schemas.openxmlformats.org/officeDocument/2006/relationships/hyperlink" Target="https://www.bls.gov/ces/data/employment-and-earnings/2024/table1a_202411.htm" TargetMode="External"/><Relationship Id="rId331" Type="http://schemas.openxmlformats.org/officeDocument/2006/relationships/hyperlink" Target="https://www.bls.gov/ces/data/employment-and-earnings/2024/table1a_202411.htm" TargetMode="External"/><Relationship Id="rId373" Type="http://schemas.openxmlformats.org/officeDocument/2006/relationships/hyperlink" Target="https://www.bls.gov/ces/data/employment-and-earnings/2024/table1a_202411.htm" TargetMode="External"/><Relationship Id="rId429" Type="http://schemas.openxmlformats.org/officeDocument/2006/relationships/hyperlink" Target="https://www.bls.gov/ces/data/employment-and-earnings/2024/table1a_202411.htm" TargetMode="External"/><Relationship Id="rId580" Type="http://schemas.openxmlformats.org/officeDocument/2006/relationships/hyperlink" Target="https://www.bls.gov/ces/data/employment-and-earnings/2024/table1a_202411.htm" TargetMode="External"/><Relationship Id="rId636" Type="http://schemas.openxmlformats.org/officeDocument/2006/relationships/hyperlink" Target="https://www.bls.gov/ces/data/employment-and-earnings/2024/table1a_202411.htm" TargetMode="External"/><Relationship Id="rId1" Type="http://schemas.openxmlformats.org/officeDocument/2006/relationships/hyperlink" Target="https://www.bls.gov/ces/data/employment-and-earnings/2024/table1a_202411.htm" TargetMode="External"/><Relationship Id="rId233" Type="http://schemas.openxmlformats.org/officeDocument/2006/relationships/hyperlink" Target="https://www.bls.gov/ces/data/employment-and-earnings/2024/table1a_202411.htm" TargetMode="External"/><Relationship Id="rId440" Type="http://schemas.openxmlformats.org/officeDocument/2006/relationships/hyperlink" Target="https://www.bls.gov/ces/data/employment-and-earnings/2024/table1a_202411.htm" TargetMode="External"/><Relationship Id="rId28" Type="http://schemas.openxmlformats.org/officeDocument/2006/relationships/hyperlink" Target="https://www.bls.gov/ces/data/employment-and-earnings/2024/table1a_202411.htm" TargetMode="External"/><Relationship Id="rId275" Type="http://schemas.openxmlformats.org/officeDocument/2006/relationships/hyperlink" Target="https://www.bls.gov/ces/data/employment-and-earnings/2024/table1a_202411.htm" TargetMode="External"/><Relationship Id="rId300" Type="http://schemas.openxmlformats.org/officeDocument/2006/relationships/hyperlink" Target="https://www.bls.gov/ces/data/employment-and-earnings/2024/table1a_202411.htm" TargetMode="External"/><Relationship Id="rId482" Type="http://schemas.openxmlformats.org/officeDocument/2006/relationships/hyperlink" Target="https://www.bls.gov/ces/data/employment-and-earnings/2024/table1a_202411.htm" TargetMode="External"/><Relationship Id="rId538" Type="http://schemas.openxmlformats.org/officeDocument/2006/relationships/hyperlink" Target="https://www.bls.gov/ces/data/employment-and-earnings/2024/table1a_202411.htm" TargetMode="External"/><Relationship Id="rId81" Type="http://schemas.openxmlformats.org/officeDocument/2006/relationships/hyperlink" Target="https://www.bls.gov/ces/data/employment-and-earnings/2024/table1a_202411.htm" TargetMode="External"/><Relationship Id="rId135" Type="http://schemas.openxmlformats.org/officeDocument/2006/relationships/hyperlink" Target="https://www.bls.gov/ces/data/employment-and-earnings/2024/table1a_202411.htm" TargetMode="External"/><Relationship Id="rId177" Type="http://schemas.openxmlformats.org/officeDocument/2006/relationships/hyperlink" Target="https://www.bls.gov/ces/data/employment-and-earnings/2024/table1a_202411.htm" TargetMode="External"/><Relationship Id="rId342" Type="http://schemas.openxmlformats.org/officeDocument/2006/relationships/hyperlink" Target="https://www.bls.gov/ces/data/employment-and-earnings/2024/table1a_202411.htm" TargetMode="External"/><Relationship Id="rId384" Type="http://schemas.openxmlformats.org/officeDocument/2006/relationships/hyperlink" Target="https://www.bls.gov/ces/data/employment-and-earnings/2024/table1a_202411.htm" TargetMode="External"/><Relationship Id="rId591" Type="http://schemas.openxmlformats.org/officeDocument/2006/relationships/hyperlink" Target="https://www.bls.gov/ces/data/employment-and-earnings/2024/table1a_202411.htm" TargetMode="External"/><Relationship Id="rId605" Type="http://schemas.openxmlformats.org/officeDocument/2006/relationships/hyperlink" Target="https://www.bls.gov/ces/data/employment-and-earnings/2024/table1a_202411.htm" TargetMode="External"/><Relationship Id="rId202" Type="http://schemas.openxmlformats.org/officeDocument/2006/relationships/hyperlink" Target="https://www.bls.gov/ces/data/employment-and-earnings/2024/table1a_202411.htm" TargetMode="External"/><Relationship Id="rId244" Type="http://schemas.openxmlformats.org/officeDocument/2006/relationships/hyperlink" Target="https://www.bls.gov/ces/data/employment-and-earnings/2024/table1a_202411.htm" TargetMode="External"/><Relationship Id="rId39" Type="http://schemas.openxmlformats.org/officeDocument/2006/relationships/hyperlink" Target="https://www.bls.gov/ces/data/employment-and-earnings/2024/table1a_202411.htm" TargetMode="External"/><Relationship Id="rId286" Type="http://schemas.openxmlformats.org/officeDocument/2006/relationships/hyperlink" Target="https://www.bls.gov/ces/data/employment-and-earnings/2024/table1a_202411.htm" TargetMode="External"/><Relationship Id="rId451" Type="http://schemas.openxmlformats.org/officeDocument/2006/relationships/hyperlink" Target="https://www.bls.gov/ces/data/employment-and-earnings/2024/table1a_202411.htm" TargetMode="External"/><Relationship Id="rId493" Type="http://schemas.openxmlformats.org/officeDocument/2006/relationships/hyperlink" Target="https://www.bls.gov/ces/data/employment-and-earnings/2024/table1a_202411.htm" TargetMode="External"/><Relationship Id="rId507" Type="http://schemas.openxmlformats.org/officeDocument/2006/relationships/hyperlink" Target="https://www.bls.gov/ces/data/employment-and-earnings/2024/table1a_202411.htm" TargetMode="External"/><Relationship Id="rId549" Type="http://schemas.openxmlformats.org/officeDocument/2006/relationships/hyperlink" Target="https://www.bls.gov/ces/data/employment-and-earnings/2024/table1a_202411.htm" TargetMode="External"/><Relationship Id="rId50" Type="http://schemas.openxmlformats.org/officeDocument/2006/relationships/hyperlink" Target="https://www.bls.gov/ces/data/employment-and-earnings/2024/table1a_202411.htm" TargetMode="External"/><Relationship Id="rId104" Type="http://schemas.openxmlformats.org/officeDocument/2006/relationships/hyperlink" Target="https://www.bls.gov/ces/data/employment-and-earnings/2024/table1a_202411.htm" TargetMode="External"/><Relationship Id="rId146" Type="http://schemas.openxmlformats.org/officeDocument/2006/relationships/hyperlink" Target="https://www.bls.gov/ces/data/employment-and-earnings/2024/table1a_202411.htm" TargetMode="External"/><Relationship Id="rId188" Type="http://schemas.openxmlformats.org/officeDocument/2006/relationships/hyperlink" Target="https://www.bls.gov/ces/data/employment-and-earnings/2024/table1a_202411.htm" TargetMode="External"/><Relationship Id="rId311" Type="http://schemas.openxmlformats.org/officeDocument/2006/relationships/hyperlink" Target="https://www.bls.gov/ces/data/employment-and-earnings/2024/table1a_202411.htm" TargetMode="External"/><Relationship Id="rId353" Type="http://schemas.openxmlformats.org/officeDocument/2006/relationships/hyperlink" Target="https://www.bls.gov/ces/data/employment-and-earnings/2024/table1a_202411.htm" TargetMode="External"/><Relationship Id="rId395" Type="http://schemas.openxmlformats.org/officeDocument/2006/relationships/hyperlink" Target="https://www.bls.gov/ces/data/employment-and-earnings/2024/table1a_202411.htm" TargetMode="External"/><Relationship Id="rId409" Type="http://schemas.openxmlformats.org/officeDocument/2006/relationships/hyperlink" Target="https://www.bls.gov/ces/data/employment-and-earnings/2024/table1a_202411.htm" TargetMode="External"/><Relationship Id="rId560" Type="http://schemas.openxmlformats.org/officeDocument/2006/relationships/hyperlink" Target="https://www.bls.gov/ces/data/employment-and-earnings/2024/table1a_202411.htm" TargetMode="External"/><Relationship Id="rId92" Type="http://schemas.openxmlformats.org/officeDocument/2006/relationships/hyperlink" Target="https://www.bls.gov/ces/data/employment-and-earnings/2024/table1a_202411.htm" TargetMode="External"/><Relationship Id="rId213" Type="http://schemas.openxmlformats.org/officeDocument/2006/relationships/hyperlink" Target="https://www.bls.gov/ces/data/employment-and-earnings/2024/table1a_202411.htm" TargetMode="External"/><Relationship Id="rId420" Type="http://schemas.openxmlformats.org/officeDocument/2006/relationships/hyperlink" Target="https://www.bls.gov/ces/data/employment-and-earnings/2024/table1a_202411.htm" TargetMode="External"/><Relationship Id="rId616" Type="http://schemas.openxmlformats.org/officeDocument/2006/relationships/hyperlink" Target="https://www.bls.gov/ces/data/employment-and-earnings/2024/table1a_202411.htm" TargetMode="External"/><Relationship Id="rId255" Type="http://schemas.openxmlformats.org/officeDocument/2006/relationships/hyperlink" Target="https://www.bls.gov/ces/data/employment-and-earnings/2024/table1a_202411.htm" TargetMode="External"/><Relationship Id="rId297" Type="http://schemas.openxmlformats.org/officeDocument/2006/relationships/hyperlink" Target="https://www.bls.gov/ces/data/employment-and-earnings/2024/table1a_202411.htm" TargetMode="External"/><Relationship Id="rId462" Type="http://schemas.openxmlformats.org/officeDocument/2006/relationships/hyperlink" Target="https://www.bls.gov/ces/data/employment-and-earnings/2024/table1a_202411.htm" TargetMode="External"/><Relationship Id="rId518" Type="http://schemas.openxmlformats.org/officeDocument/2006/relationships/hyperlink" Target="https://www.bls.gov/ces/data/employment-and-earnings/2024/table1a_202411.htm" TargetMode="External"/><Relationship Id="rId115" Type="http://schemas.openxmlformats.org/officeDocument/2006/relationships/hyperlink" Target="https://www.bls.gov/ces/data/employment-and-earnings/2024/table1a_202411.htm" TargetMode="External"/><Relationship Id="rId157" Type="http://schemas.openxmlformats.org/officeDocument/2006/relationships/hyperlink" Target="https://www.bls.gov/ces/data/employment-and-earnings/2024/table1a_202411.htm" TargetMode="External"/><Relationship Id="rId322" Type="http://schemas.openxmlformats.org/officeDocument/2006/relationships/hyperlink" Target="https://www.bls.gov/ces/data/employment-and-earnings/2024/table1a_202411.htm" TargetMode="External"/><Relationship Id="rId364" Type="http://schemas.openxmlformats.org/officeDocument/2006/relationships/hyperlink" Target="https://www.bls.gov/ces/data/employment-and-earnings/2024/table1a_202411.htm" TargetMode="External"/><Relationship Id="rId61" Type="http://schemas.openxmlformats.org/officeDocument/2006/relationships/hyperlink" Target="https://www.bls.gov/ces/data/employment-and-earnings/2024/table1a_202411.htm" TargetMode="External"/><Relationship Id="rId199" Type="http://schemas.openxmlformats.org/officeDocument/2006/relationships/hyperlink" Target="https://www.bls.gov/ces/data/employment-and-earnings/2024/table1a_202411.htm" TargetMode="External"/><Relationship Id="rId571" Type="http://schemas.openxmlformats.org/officeDocument/2006/relationships/hyperlink" Target="https://www.bls.gov/ces/data/employment-and-earnings/2024/table1a_202411.htm" TargetMode="External"/><Relationship Id="rId627" Type="http://schemas.openxmlformats.org/officeDocument/2006/relationships/hyperlink" Target="https://www.bls.gov/ces/data/employment-and-earnings/2024/table1a_202411.htm" TargetMode="External"/><Relationship Id="rId19" Type="http://schemas.openxmlformats.org/officeDocument/2006/relationships/hyperlink" Target="https://www.bls.gov/ces/data/employment-and-earnings/2024/table1a_202411.htm" TargetMode="External"/><Relationship Id="rId224" Type="http://schemas.openxmlformats.org/officeDocument/2006/relationships/hyperlink" Target="https://www.bls.gov/ces/data/employment-and-earnings/2024/table1a_202411.htm" TargetMode="External"/><Relationship Id="rId266" Type="http://schemas.openxmlformats.org/officeDocument/2006/relationships/hyperlink" Target="https://www.bls.gov/ces/data/employment-and-earnings/2024/table1a_202411.htm" TargetMode="External"/><Relationship Id="rId431" Type="http://schemas.openxmlformats.org/officeDocument/2006/relationships/hyperlink" Target="https://www.bls.gov/ces/data/employment-and-earnings/2024/table1a_202411.htm" TargetMode="External"/><Relationship Id="rId473" Type="http://schemas.openxmlformats.org/officeDocument/2006/relationships/hyperlink" Target="https://www.bls.gov/ces/data/employment-and-earnings/2024/table1a_202411.htm" TargetMode="External"/><Relationship Id="rId529" Type="http://schemas.openxmlformats.org/officeDocument/2006/relationships/hyperlink" Target="https://www.bls.gov/ces/data/employment-and-earnings/2024/table1a_202411.htm" TargetMode="External"/><Relationship Id="rId30" Type="http://schemas.openxmlformats.org/officeDocument/2006/relationships/hyperlink" Target="https://www.bls.gov/ces/data/employment-and-earnings/2024/table1a_202411.htm" TargetMode="External"/><Relationship Id="rId126" Type="http://schemas.openxmlformats.org/officeDocument/2006/relationships/hyperlink" Target="https://www.bls.gov/ces/data/employment-and-earnings/2024/table1a_202411.htm" TargetMode="External"/><Relationship Id="rId168" Type="http://schemas.openxmlformats.org/officeDocument/2006/relationships/hyperlink" Target="https://www.bls.gov/ces/data/employment-and-earnings/2024/table1a_202411.htm" TargetMode="External"/><Relationship Id="rId333" Type="http://schemas.openxmlformats.org/officeDocument/2006/relationships/hyperlink" Target="https://www.bls.gov/ces/data/employment-and-earnings/2024/table1a_202411.htm" TargetMode="External"/><Relationship Id="rId540" Type="http://schemas.openxmlformats.org/officeDocument/2006/relationships/hyperlink" Target="https://www.bls.gov/ces/data/employment-and-earnings/2024/table1a_202411.htm" TargetMode="External"/><Relationship Id="rId72" Type="http://schemas.openxmlformats.org/officeDocument/2006/relationships/hyperlink" Target="https://www.bls.gov/ces/data/employment-and-earnings/2024/table1a_202411.htm" TargetMode="External"/><Relationship Id="rId375" Type="http://schemas.openxmlformats.org/officeDocument/2006/relationships/hyperlink" Target="https://www.bls.gov/ces/data/employment-and-earnings/2024/table1a_202411.htm" TargetMode="External"/><Relationship Id="rId582" Type="http://schemas.openxmlformats.org/officeDocument/2006/relationships/hyperlink" Target="https://www.bls.gov/ces/data/employment-and-earnings/2024/table1a_202411.htm" TargetMode="External"/><Relationship Id="rId638" Type="http://schemas.openxmlformats.org/officeDocument/2006/relationships/hyperlink" Target="https://www.bls.gov/ces/data/employment-and-earnings/2024/table1a_202411.htm" TargetMode="External"/><Relationship Id="rId3" Type="http://schemas.openxmlformats.org/officeDocument/2006/relationships/hyperlink" Target="https://www.bls.gov/ces/data/employment-and-earnings/2024/table1a_202411.htm" TargetMode="External"/><Relationship Id="rId235" Type="http://schemas.openxmlformats.org/officeDocument/2006/relationships/hyperlink" Target="https://www.bls.gov/ces/data/employment-and-earnings/2024/table1a_202411.htm" TargetMode="External"/><Relationship Id="rId277" Type="http://schemas.openxmlformats.org/officeDocument/2006/relationships/hyperlink" Target="https://www.bls.gov/ces/data/employment-and-earnings/2024/table1a_202411.htm" TargetMode="External"/><Relationship Id="rId400" Type="http://schemas.openxmlformats.org/officeDocument/2006/relationships/hyperlink" Target="https://www.bls.gov/ces/data/employment-and-earnings/2024/table1a_202411.htm" TargetMode="External"/><Relationship Id="rId442" Type="http://schemas.openxmlformats.org/officeDocument/2006/relationships/hyperlink" Target="https://www.bls.gov/ces/data/employment-and-earnings/2024/table1a_202411.htm" TargetMode="External"/><Relationship Id="rId484" Type="http://schemas.openxmlformats.org/officeDocument/2006/relationships/hyperlink" Target="https://www.bls.gov/ces/data/employment-and-earnings/2024/table1a_202411.htm" TargetMode="External"/><Relationship Id="rId137" Type="http://schemas.openxmlformats.org/officeDocument/2006/relationships/hyperlink" Target="https://www.bls.gov/ces/data/employment-and-earnings/2024/table1a_202411.htm" TargetMode="External"/><Relationship Id="rId302" Type="http://schemas.openxmlformats.org/officeDocument/2006/relationships/hyperlink" Target="https://www.bls.gov/ces/data/employment-and-earnings/2024/table1a_202411.htm" TargetMode="External"/><Relationship Id="rId344" Type="http://schemas.openxmlformats.org/officeDocument/2006/relationships/hyperlink" Target="https://www.bls.gov/ces/data/employment-and-earnings/2024/table1a_202411.htm" TargetMode="External"/><Relationship Id="rId41" Type="http://schemas.openxmlformats.org/officeDocument/2006/relationships/hyperlink" Target="https://www.bls.gov/ces/data/employment-and-earnings/2024/table1a_202411.htm" TargetMode="External"/><Relationship Id="rId83" Type="http://schemas.openxmlformats.org/officeDocument/2006/relationships/hyperlink" Target="https://www.bls.gov/ces/data/employment-and-earnings/2024/table1a_202411.htm" TargetMode="External"/><Relationship Id="rId179" Type="http://schemas.openxmlformats.org/officeDocument/2006/relationships/hyperlink" Target="https://www.bls.gov/ces/data/employment-and-earnings/2024/table1a_202411.htm" TargetMode="External"/><Relationship Id="rId386" Type="http://schemas.openxmlformats.org/officeDocument/2006/relationships/hyperlink" Target="https://www.bls.gov/ces/data/employment-and-earnings/2024/table1a_202411.htm" TargetMode="External"/><Relationship Id="rId551" Type="http://schemas.openxmlformats.org/officeDocument/2006/relationships/hyperlink" Target="https://www.bls.gov/ces/data/employment-and-earnings/2024/table1a_202411.htm" TargetMode="External"/><Relationship Id="rId593" Type="http://schemas.openxmlformats.org/officeDocument/2006/relationships/hyperlink" Target="https://www.bls.gov/ces/data/employment-and-earnings/2024/table1a_202411.htm" TargetMode="External"/><Relationship Id="rId607" Type="http://schemas.openxmlformats.org/officeDocument/2006/relationships/hyperlink" Target="https://www.bls.gov/ces/data/employment-and-earnings/2024/table1a_202411.htm" TargetMode="External"/><Relationship Id="rId190" Type="http://schemas.openxmlformats.org/officeDocument/2006/relationships/hyperlink" Target="https://www.bls.gov/ces/data/employment-and-earnings/2024/table1a_202411.htm" TargetMode="External"/><Relationship Id="rId204" Type="http://schemas.openxmlformats.org/officeDocument/2006/relationships/hyperlink" Target="https://www.bls.gov/ces/data/employment-and-earnings/2024/table1a_202411.htm" TargetMode="External"/><Relationship Id="rId246" Type="http://schemas.openxmlformats.org/officeDocument/2006/relationships/hyperlink" Target="https://www.bls.gov/ces/data/employment-and-earnings/2024/table1a_202411.htm" TargetMode="External"/><Relationship Id="rId288" Type="http://schemas.openxmlformats.org/officeDocument/2006/relationships/hyperlink" Target="https://www.bls.gov/ces/data/employment-and-earnings/2024/table1a_202411.htm" TargetMode="External"/><Relationship Id="rId411" Type="http://schemas.openxmlformats.org/officeDocument/2006/relationships/hyperlink" Target="https://www.bls.gov/ces/data/employment-and-earnings/2024/table1a_202411.htm" TargetMode="External"/><Relationship Id="rId453" Type="http://schemas.openxmlformats.org/officeDocument/2006/relationships/hyperlink" Target="https://www.bls.gov/ces/data/employment-and-earnings/2024/table1a_202411.htm" TargetMode="External"/><Relationship Id="rId509" Type="http://schemas.openxmlformats.org/officeDocument/2006/relationships/hyperlink" Target="https://www.bls.gov/ces/data/employment-and-earnings/2024/table1a_202411.htm" TargetMode="External"/><Relationship Id="rId106" Type="http://schemas.openxmlformats.org/officeDocument/2006/relationships/hyperlink" Target="https://www.bls.gov/ces/data/employment-and-earnings/2024/table1a_202411.htm" TargetMode="External"/><Relationship Id="rId313" Type="http://schemas.openxmlformats.org/officeDocument/2006/relationships/hyperlink" Target="https://www.bls.gov/ces/data/employment-and-earnings/2024/table1a_202411.htm" TargetMode="External"/><Relationship Id="rId495" Type="http://schemas.openxmlformats.org/officeDocument/2006/relationships/hyperlink" Target="https://www.bls.gov/ces/data/employment-and-earnings/2024/table1a_202411.htm" TargetMode="External"/><Relationship Id="rId10" Type="http://schemas.openxmlformats.org/officeDocument/2006/relationships/hyperlink" Target="https://www.bls.gov/ces/data/employment-and-earnings/2024/table1a_202411.htm" TargetMode="External"/><Relationship Id="rId52" Type="http://schemas.openxmlformats.org/officeDocument/2006/relationships/hyperlink" Target="https://www.bls.gov/ces/data/employment-and-earnings/2024/table1a_202411.htm" TargetMode="External"/><Relationship Id="rId94" Type="http://schemas.openxmlformats.org/officeDocument/2006/relationships/hyperlink" Target="https://www.bls.gov/ces/data/employment-and-earnings/2024/table1a_202411.htm" TargetMode="External"/><Relationship Id="rId148" Type="http://schemas.openxmlformats.org/officeDocument/2006/relationships/hyperlink" Target="https://www.bls.gov/ces/data/employment-and-earnings/2024/table1a_202411.htm" TargetMode="External"/><Relationship Id="rId355" Type="http://schemas.openxmlformats.org/officeDocument/2006/relationships/hyperlink" Target="https://www.bls.gov/ces/data/employment-and-earnings/2024/table1a_202411.htm" TargetMode="External"/><Relationship Id="rId397" Type="http://schemas.openxmlformats.org/officeDocument/2006/relationships/hyperlink" Target="https://www.bls.gov/ces/data/employment-and-earnings/2024/table1a_202411.htm" TargetMode="External"/><Relationship Id="rId520" Type="http://schemas.openxmlformats.org/officeDocument/2006/relationships/hyperlink" Target="https://www.bls.gov/ces/data/employment-and-earnings/2024/table1a_202411.htm" TargetMode="External"/><Relationship Id="rId562" Type="http://schemas.openxmlformats.org/officeDocument/2006/relationships/hyperlink" Target="https://www.bls.gov/ces/data/employment-and-earnings/2024/table1a_202411.htm" TargetMode="External"/><Relationship Id="rId618" Type="http://schemas.openxmlformats.org/officeDocument/2006/relationships/hyperlink" Target="https://www.bls.gov/ces/data/employment-and-earnings/2024/table1a_202411.htm" TargetMode="External"/><Relationship Id="rId215" Type="http://schemas.openxmlformats.org/officeDocument/2006/relationships/hyperlink" Target="https://www.bls.gov/ces/data/employment-and-earnings/2024/table1a_202411.htm" TargetMode="External"/><Relationship Id="rId257" Type="http://schemas.openxmlformats.org/officeDocument/2006/relationships/hyperlink" Target="https://www.bls.gov/ces/data/employment-and-earnings/2024/table1a_202411.htm" TargetMode="External"/><Relationship Id="rId422" Type="http://schemas.openxmlformats.org/officeDocument/2006/relationships/hyperlink" Target="https://www.bls.gov/ces/data/employment-and-earnings/2024/table1a_202411.htm" TargetMode="External"/><Relationship Id="rId464" Type="http://schemas.openxmlformats.org/officeDocument/2006/relationships/hyperlink" Target="https://www.bls.gov/ces/data/employment-and-earnings/2024/table1a_202411.htm" TargetMode="External"/><Relationship Id="rId299" Type="http://schemas.openxmlformats.org/officeDocument/2006/relationships/hyperlink" Target="https://www.bls.gov/ces/data/employment-and-earnings/2024/table1a_202411.htm" TargetMode="External"/><Relationship Id="rId63" Type="http://schemas.openxmlformats.org/officeDocument/2006/relationships/hyperlink" Target="https://www.bls.gov/ces/data/employment-and-earnings/2024/table1a_202411.htm" TargetMode="External"/><Relationship Id="rId159" Type="http://schemas.openxmlformats.org/officeDocument/2006/relationships/hyperlink" Target="https://www.bls.gov/ces/data/employment-and-earnings/2024/table1a_202411.htm" TargetMode="External"/><Relationship Id="rId366" Type="http://schemas.openxmlformats.org/officeDocument/2006/relationships/hyperlink" Target="https://www.bls.gov/ces/data/employment-and-earnings/2024/table1a_202411.htm" TargetMode="External"/><Relationship Id="rId573" Type="http://schemas.openxmlformats.org/officeDocument/2006/relationships/hyperlink" Target="https://www.bls.gov/ces/data/employment-and-earnings/2024/table1a_202411.htm" TargetMode="External"/><Relationship Id="rId226" Type="http://schemas.openxmlformats.org/officeDocument/2006/relationships/hyperlink" Target="https://www.bls.gov/ces/data/employment-and-earnings/2024/table1a_202411.htm" TargetMode="External"/><Relationship Id="rId433" Type="http://schemas.openxmlformats.org/officeDocument/2006/relationships/hyperlink" Target="https://www.bls.gov/ces/data/employment-and-earnings/2024/table1a_202411.htm" TargetMode="External"/><Relationship Id="rId74" Type="http://schemas.openxmlformats.org/officeDocument/2006/relationships/hyperlink" Target="https://www.bls.gov/ces/data/employment-and-earnings/2024/table1a_202411.htm" TargetMode="External"/><Relationship Id="rId377" Type="http://schemas.openxmlformats.org/officeDocument/2006/relationships/hyperlink" Target="https://www.bls.gov/ces/data/employment-and-earnings/2024/table1a_202411.htm" TargetMode="External"/><Relationship Id="rId500" Type="http://schemas.openxmlformats.org/officeDocument/2006/relationships/hyperlink" Target="https://www.bls.gov/ces/data/employment-and-earnings/2024/table1a_202411.htm" TargetMode="External"/><Relationship Id="rId584" Type="http://schemas.openxmlformats.org/officeDocument/2006/relationships/hyperlink" Target="https://www.bls.gov/ces/data/employment-and-earnings/2024/table1a_202411.htm" TargetMode="External"/><Relationship Id="rId5" Type="http://schemas.openxmlformats.org/officeDocument/2006/relationships/hyperlink" Target="https://www.bls.gov/ces/data/employment-and-earnings/2024/table1a_202411.htm" TargetMode="External"/><Relationship Id="rId237" Type="http://schemas.openxmlformats.org/officeDocument/2006/relationships/hyperlink" Target="https://www.bls.gov/ces/data/employment-and-earnings/2024/table1a_202411.htm" TargetMode="External"/><Relationship Id="rId444" Type="http://schemas.openxmlformats.org/officeDocument/2006/relationships/hyperlink" Target="https://www.bls.gov/ces/data/employment-and-earnings/2024/table1a_202411.htm" TargetMode="External"/><Relationship Id="rId290" Type="http://schemas.openxmlformats.org/officeDocument/2006/relationships/hyperlink" Target="https://www.bls.gov/ces/data/employment-and-earnings/2024/table1a_202411.htm" TargetMode="External"/><Relationship Id="rId304" Type="http://schemas.openxmlformats.org/officeDocument/2006/relationships/hyperlink" Target="https://www.bls.gov/ces/data/employment-and-earnings/2024/table1a_202411.htm" TargetMode="External"/><Relationship Id="rId388" Type="http://schemas.openxmlformats.org/officeDocument/2006/relationships/hyperlink" Target="https://www.bls.gov/ces/data/employment-and-earnings/2024/table1a_202411.htm" TargetMode="External"/><Relationship Id="rId511" Type="http://schemas.openxmlformats.org/officeDocument/2006/relationships/hyperlink" Target="https://www.bls.gov/ces/data/employment-and-earnings/2024/table1a_202411.htm" TargetMode="External"/><Relationship Id="rId609" Type="http://schemas.openxmlformats.org/officeDocument/2006/relationships/hyperlink" Target="https://www.bls.gov/ces/data/employment-and-earnings/2024/table1a_202411.htm" TargetMode="External"/><Relationship Id="rId85" Type="http://schemas.openxmlformats.org/officeDocument/2006/relationships/hyperlink" Target="https://www.bls.gov/ces/data/employment-and-earnings/2024/table1a_202411.htm" TargetMode="External"/><Relationship Id="rId150" Type="http://schemas.openxmlformats.org/officeDocument/2006/relationships/hyperlink" Target="https://www.bls.gov/ces/data/employment-and-earnings/2024/table1a_202411.htm" TargetMode="External"/><Relationship Id="rId595" Type="http://schemas.openxmlformats.org/officeDocument/2006/relationships/hyperlink" Target="https://www.bls.gov/ces/data/employment-and-earnings/2024/table1a_202411.htm" TargetMode="External"/><Relationship Id="rId248" Type="http://schemas.openxmlformats.org/officeDocument/2006/relationships/hyperlink" Target="https://www.bls.gov/ces/data/employment-and-earnings/2024/table1a_202411.htm" TargetMode="External"/><Relationship Id="rId455" Type="http://schemas.openxmlformats.org/officeDocument/2006/relationships/hyperlink" Target="https://www.bls.gov/ces/data/employment-and-earnings/2024/table1a_202411.htm" TargetMode="External"/><Relationship Id="rId12" Type="http://schemas.openxmlformats.org/officeDocument/2006/relationships/hyperlink" Target="https://www.bls.gov/ces/data/employment-and-earnings/2024/table1a_202411.htm" TargetMode="External"/><Relationship Id="rId108" Type="http://schemas.openxmlformats.org/officeDocument/2006/relationships/hyperlink" Target="https://www.bls.gov/ces/data/employment-and-earnings/2024/table1a_202411.htm" TargetMode="External"/><Relationship Id="rId315" Type="http://schemas.openxmlformats.org/officeDocument/2006/relationships/hyperlink" Target="https://www.bls.gov/ces/data/employment-and-earnings/2024/table1a_202411.htm" TargetMode="External"/><Relationship Id="rId522" Type="http://schemas.openxmlformats.org/officeDocument/2006/relationships/hyperlink" Target="https://www.bls.gov/ces/data/employment-and-earnings/2024/table1a_202411.htm" TargetMode="External"/><Relationship Id="rId96" Type="http://schemas.openxmlformats.org/officeDocument/2006/relationships/hyperlink" Target="https://www.bls.gov/ces/data/employment-and-earnings/2024/table1a_202411.htm" TargetMode="External"/><Relationship Id="rId161" Type="http://schemas.openxmlformats.org/officeDocument/2006/relationships/hyperlink" Target="https://www.bls.gov/ces/data/employment-and-earnings/2024/table1a_202411.htm" TargetMode="External"/><Relationship Id="rId399" Type="http://schemas.openxmlformats.org/officeDocument/2006/relationships/hyperlink" Target="https://www.bls.gov/ces/data/employment-and-earnings/2024/table1a_202411.htm" TargetMode="External"/><Relationship Id="rId259" Type="http://schemas.openxmlformats.org/officeDocument/2006/relationships/hyperlink" Target="https://www.bls.gov/ces/data/employment-and-earnings/2024/table1a_202411.htm" TargetMode="External"/><Relationship Id="rId466" Type="http://schemas.openxmlformats.org/officeDocument/2006/relationships/hyperlink" Target="https://www.bls.gov/ces/data/employment-and-earnings/2024/table1a_202411.htm" TargetMode="External"/><Relationship Id="rId23" Type="http://schemas.openxmlformats.org/officeDocument/2006/relationships/hyperlink" Target="https://www.bls.gov/ces/data/employment-and-earnings/2024/table1a_202411.htm" TargetMode="External"/><Relationship Id="rId119" Type="http://schemas.openxmlformats.org/officeDocument/2006/relationships/hyperlink" Target="https://www.bls.gov/ces/data/employment-and-earnings/2024/table1a_202411.htm" TargetMode="External"/><Relationship Id="rId326" Type="http://schemas.openxmlformats.org/officeDocument/2006/relationships/hyperlink" Target="https://www.bls.gov/ces/data/employment-and-earnings/2024/table1a_202411.htm" TargetMode="External"/><Relationship Id="rId533" Type="http://schemas.openxmlformats.org/officeDocument/2006/relationships/hyperlink" Target="https://www.bls.gov/ces/data/employment-and-earnings/2024/table1a_202411.htm" TargetMode="External"/><Relationship Id="rId172" Type="http://schemas.openxmlformats.org/officeDocument/2006/relationships/hyperlink" Target="https://www.bls.gov/ces/data/employment-and-earnings/2024/table1a_202411.htm" TargetMode="External"/><Relationship Id="rId477" Type="http://schemas.openxmlformats.org/officeDocument/2006/relationships/hyperlink" Target="https://www.bls.gov/ces/data/employment-and-earnings/2024/table1a_202411.htm" TargetMode="External"/><Relationship Id="rId600" Type="http://schemas.openxmlformats.org/officeDocument/2006/relationships/hyperlink" Target="https://www.bls.gov/ces/data/employment-and-earnings/2024/table1a_202411.htm" TargetMode="External"/><Relationship Id="rId337" Type="http://schemas.openxmlformats.org/officeDocument/2006/relationships/hyperlink" Target="https://www.bls.gov/ces/data/employment-and-earnings/2024/table1a_202411.htm" TargetMode="External"/><Relationship Id="rId34" Type="http://schemas.openxmlformats.org/officeDocument/2006/relationships/hyperlink" Target="https://www.bls.gov/ces/data/employment-and-earnings/2024/table1a_202411.htm" TargetMode="External"/><Relationship Id="rId544" Type="http://schemas.openxmlformats.org/officeDocument/2006/relationships/hyperlink" Target="https://www.bls.gov/ces/data/employment-and-earnings/2024/table1a_202411.htm" TargetMode="External"/><Relationship Id="rId183" Type="http://schemas.openxmlformats.org/officeDocument/2006/relationships/hyperlink" Target="https://www.bls.gov/ces/data/employment-and-earnings/2024/table1a_202411.htm" TargetMode="External"/><Relationship Id="rId390" Type="http://schemas.openxmlformats.org/officeDocument/2006/relationships/hyperlink" Target="https://www.bls.gov/ces/data/employment-and-earnings/2024/table1a_202411.htm" TargetMode="External"/><Relationship Id="rId404" Type="http://schemas.openxmlformats.org/officeDocument/2006/relationships/hyperlink" Target="https://www.bls.gov/ces/data/employment-and-earnings/2024/table1a_202411.htm" TargetMode="External"/><Relationship Id="rId611" Type="http://schemas.openxmlformats.org/officeDocument/2006/relationships/hyperlink" Target="https://www.bls.gov/ces/data/employment-and-earnings/2024/table1a_202411.htm" TargetMode="External"/><Relationship Id="rId250" Type="http://schemas.openxmlformats.org/officeDocument/2006/relationships/hyperlink" Target="https://www.bls.gov/ces/data/employment-and-earnings/2024/table1a_202411.htm" TargetMode="External"/><Relationship Id="rId488" Type="http://schemas.openxmlformats.org/officeDocument/2006/relationships/hyperlink" Target="https://www.bls.gov/ces/data/employment-and-earnings/2024/table1a_202411.htm" TargetMode="External"/><Relationship Id="rId45" Type="http://schemas.openxmlformats.org/officeDocument/2006/relationships/hyperlink" Target="https://www.bls.gov/ces/data/employment-and-earnings/2024/table1a_202411.htm" TargetMode="External"/><Relationship Id="rId110" Type="http://schemas.openxmlformats.org/officeDocument/2006/relationships/hyperlink" Target="https://www.bls.gov/ces/data/employment-and-earnings/2024/table1a_202411.htm" TargetMode="External"/><Relationship Id="rId348" Type="http://schemas.openxmlformats.org/officeDocument/2006/relationships/hyperlink" Target="https://www.bls.gov/ces/data/employment-and-earnings/2024/table1a_202411.htm" TargetMode="External"/><Relationship Id="rId555" Type="http://schemas.openxmlformats.org/officeDocument/2006/relationships/hyperlink" Target="https://www.bls.gov/ces/data/employment-and-earnings/2024/table1a_202411.htm" TargetMode="External"/><Relationship Id="rId194" Type="http://schemas.openxmlformats.org/officeDocument/2006/relationships/hyperlink" Target="https://www.bls.gov/ces/data/employment-and-earnings/2024/table1a_202411.htm" TargetMode="External"/><Relationship Id="rId208" Type="http://schemas.openxmlformats.org/officeDocument/2006/relationships/hyperlink" Target="https://www.bls.gov/ces/data/employment-and-earnings/2024/table1a_202411.htm" TargetMode="External"/><Relationship Id="rId415" Type="http://schemas.openxmlformats.org/officeDocument/2006/relationships/hyperlink" Target="https://www.bls.gov/ces/data/employment-and-earnings/2024/table1a_202411.htm" TargetMode="External"/><Relationship Id="rId622" Type="http://schemas.openxmlformats.org/officeDocument/2006/relationships/hyperlink" Target="https://www.bls.gov/ces/data/employment-and-earnings/2024/table1a_202411.htm" TargetMode="External"/><Relationship Id="rId261" Type="http://schemas.openxmlformats.org/officeDocument/2006/relationships/hyperlink" Target="https://www.bls.gov/ces/data/employment-and-earnings/2024/table1a_202411.htm" TargetMode="External"/><Relationship Id="rId499" Type="http://schemas.openxmlformats.org/officeDocument/2006/relationships/hyperlink" Target="https://www.bls.gov/ces/data/employment-and-earnings/2024/table1a_202411.htm" TargetMode="External"/><Relationship Id="rId56" Type="http://schemas.openxmlformats.org/officeDocument/2006/relationships/hyperlink" Target="https://www.bls.gov/ces/data/employment-and-earnings/2024/table1a_202411.htm" TargetMode="External"/><Relationship Id="rId359" Type="http://schemas.openxmlformats.org/officeDocument/2006/relationships/hyperlink" Target="https://www.bls.gov/ces/data/employment-and-earnings/2024/table1a_202411.htm" TargetMode="External"/><Relationship Id="rId566" Type="http://schemas.openxmlformats.org/officeDocument/2006/relationships/hyperlink" Target="https://www.bls.gov/ces/data/employment-and-earnings/2024/table1a_202411.htm" TargetMode="External"/><Relationship Id="rId121" Type="http://schemas.openxmlformats.org/officeDocument/2006/relationships/hyperlink" Target="https://www.bls.gov/ces/data/employment-and-earnings/2024/table1a_202411.htm" TargetMode="External"/><Relationship Id="rId219" Type="http://schemas.openxmlformats.org/officeDocument/2006/relationships/hyperlink" Target="https://www.bls.gov/ces/data/employment-and-earnings/2024/table1a_202411.htm" TargetMode="External"/><Relationship Id="rId426" Type="http://schemas.openxmlformats.org/officeDocument/2006/relationships/hyperlink" Target="https://www.bls.gov/ces/data/employment-and-earnings/2024/table1a_202411.htm" TargetMode="External"/><Relationship Id="rId633" Type="http://schemas.openxmlformats.org/officeDocument/2006/relationships/hyperlink" Target="https://www.bls.gov/ces/data/employment-and-earnings/2024/table1a_202411.htm" TargetMode="External"/><Relationship Id="rId67" Type="http://schemas.openxmlformats.org/officeDocument/2006/relationships/hyperlink" Target="https://www.bls.gov/ces/data/employment-and-earnings/2024/table1a_202411.htm" TargetMode="External"/><Relationship Id="rId272" Type="http://schemas.openxmlformats.org/officeDocument/2006/relationships/hyperlink" Target="https://www.bls.gov/ces/data/employment-and-earnings/2024/table1a_202411.htm" TargetMode="External"/><Relationship Id="rId577" Type="http://schemas.openxmlformats.org/officeDocument/2006/relationships/hyperlink" Target="https://www.bls.gov/ces/data/employment-and-earnings/2024/table1a_202411.htm" TargetMode="External"/><Relationship Id="rId132" Type="http://schemas.openxmlformats.org/officeDocument/2006/relationships/hyperlink" Target="https://www.bls.gov/ces/data/employment-and-earnings/2024/table1a_202411.htm" TargetMode="External"/><Relationship Id="rId437" Type="http://schemas.openxmlformats.org/officeDocument/2006/relationships/hyperlink" Target="https://www.bls.gov/ces/data/employment-and-earnings/2024/table1a_202411.htm" TargetMode="External"/><Relationship Id="rId283" Type="http://schemas.openxmlformats.org/officeDocument/2006/relationships/hyperlink" Target="https://www.bls.gov/ces/data/employment-and-earnings/2024/table1a_202411.htm" TargetMode="External"/><Relationship Id="rId490" Type="http://schemas.openxmlformats.org/officeDocument/2006/relationships/hyperlink" Target="https://www.bls.gov/ces/data/employment-and-earnings/2024/table1a_202411.htm" TargetMode="External"/><Relationship Id="rId504" Type="http://schemas.openxmlformats.org/officeDocument/2006/relationships/hyperlink" Target="https://www.bls.gov/ces/data/employment-and-earnings/2024/table1a_202411.htm" TargetMode="External"/><Relationship Id="rId78" Type="http://schemas.openxmlformats.org/officeDocument/2006/relationships/hyperlink" Target="https://www.bls.gov/ces/data/employment-and-earnings/2024/table1a_202411.htm" TargetMode="External"/><Relationship Id="rId143" Type="http://schemas.openxmlformats.org/officeDocument/2006/relationships/hyperlink" Target="https://www.bls.gov/ces/data/employment-and-earnings/2024/table1a_202411.htm" TargetMode="External"/><Relationship Id="rId350" Type="http://schemas.openxmlformats.org/officeDocument/2006/relationships/hyperlink" Target="https://www.bls.gov/ces/data/employment-and-earnings/2024/table1a_202411.htm" TargetMode="External"/><Relationship Id="rId588" Type="http://schemas.openxmlformats.org/officeDocument/2006/relationships/hyperlink" Target="https://www.bls.gov/ces/data/employment-and-earnings/2024/table1a_202411.htm" TargetMode="External"/><Relationship Id="rId9" Type="http://schemas.openxmlformats.org/officeDocument/2006/relationships/hyperlink" Target="https://www.bls.gov/ces/data/employment-and-earnings/2024/table1a_202411.htm" TargetMode="External"/><Relationship Id="rId210" Type="http://schemas.openxmlformats.org/officeDocument/2006/relationships/hyperlink" Target="https://www.bls.gov/ces/data/employment-and-earnings/2024/table1a_202411.htm" TargetMode="External"/><Relationship Id="rId448" Type="http://schemas.openxmlformats.org/officeDocument/2006/relationships/hyperlink" Target="https://www.bls.gov/ces/data/employment-and-earnings/2024/table1a_202411.ht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workbookViewId="0">
      <selection activeCell="A35" sqref="A35"/>
    </sheetView>
  </sheetViews>
  <sheetFormatPr defaultRowHeight="14.5" x14ac:dyDescent="0.35"/>
  <cols>
    <col min="2" max="2" width="77.54296875" customWidth="1"/>
  </cols>
  <sheetData>
    <row r="1" spans="1:2" x14ac:dyDescent="0.35">
      <c r="A1" s="1" t="s">
        <v>35</v>
      </c>
    </row>
    <row r="3" spans="1:2" x14ac:dyDescent="0.35">
      <c r="A3" s="1" t="s">
        <v>0</v>
      </c>
      <c r="B3" s="5" t="s">
        <v>1000</v>
      </c>
    </row>
    <row r="4" spans="1:2" x14ac:dyDescent="0.35">
      <c r="B4" t="s">
        <v>39</v>
      </c>
    </row>
    <row r="5" spans="1:2" x14ac:dyDescent="0.35">
      <c r="B5" s="2">
        <v>2024</v>
      </c>
    </row>
    <row r="6" spans="1:2" x14ac:dyDescent="0.35">
      <c r="B6" t="s">
        <v>999</v>
      </c>
    </row>
    <row r="7" spans="1:2" x14ac:dyDescent="0.35">
      <c r="B7" s="3" t="s">
        <v>997</v>
      </c>
    </row>
    <row r="8" spans="1:2" x14ac:dyDescent="0.35">
      <c r="B8" t="s">
        <v>42</v>
      </c>
    </row>
    <row r="10" spans="1:2" x14ac:dyDescent="0.35">
      <c r="A10" s="1"/>
      <c r="B10" s="5" t="s">
        <v>1001</v>
      </c>
    </row>
    <row r="11" spans="1:2" x14ac:dyDescent="0.35">
      <c r="B11" t="s">
        <v>39</v>
      </c>
    </row>
    <row r="12" spans="1:2" x14ac:dyDescent="0.35">
      <c r="B12" s="2">
        <v>2024</v>
      </c>
    </row>
    <row r="13" spans="1:2" x14ac:dyDescent="0.35">
      <c r="B13" t="s">
        <v>1002</v>
      </c>
    </row>
    <row r="14" spans="1:2" x14ac:dyDescent="0.35">
      <c r="B14" s="3" t="s">
        <v>978</v>
      </c>
    </row>
    <row r="15" spans="1:2" x14ac:dyDescent="0.35">
      <c r="B15" t="s">
        <v>1003</v>
      </c>
    </row>
    <row r="17" spans="1:2" x14ac:dyDescent="0.35">
      <c r="B17" s="5" t="s">
        <v>1004</v>
      </c>
    </row>
    <row r="18" spans="1:2" x14ac:dyDescent="0.35">
      <c r="B18" s="2">
        <v>2024</v>
      </c>
    </row>
    <row r="19" spans="1:2" x14ac:dyDescent="0.35">
      <c r="B19" s="6" t="s">
        <v>1005</v>
      </c>
    </row>
    <row r="21" spans="1:2" x14ac:dyDescent="0.35">
      <c r="A21" s="1" t="s">
        <v>1</v>
      </c>
    </row>
    <row r="22" spans="1:2" x14ac:dyDescent="0.35">
      <c r="A22" t="s">
        <v>1006</v>
      </c>
    </row>
    <row r="23" spans="1:2" x14ac:dyDescent="0.35">
      <c r="A23" t="s">
        <v>1007</v>
      </c>
    </row>
    <row r="25" spans="1:2" x14ac:dyDescent="0.35">
      <c r="A25" t="s">
        <v>1008</v>
      </c>
    </row>
    <row r="26" spans="1:2" x14ac:dyDescent="0.35">
      <c r="A26" t="s">
        <v>1009</v>
      </c>
    </row>
    <row r="27" spans="1:2" x14ac:dyDescent="0.35">
      <c r="A27" t="s">
        <v>1010</v>
      </c>
    </row>
    <row r="28" spans="1:2" x14ac:dyDescent="0.35">
      <c r="A28" t="s">
        <v>1011</v>
      </c>
    </row>
    <row r="29" spans="1:2" x14ac:dyDescent="0.35">
      <c r="A29" t="s">
        <v>1012</v>
      </c>
    </row>
    <row r="30" spans="1:2" x14ac:dyDescent="0.35">
      <c r="A30" t="s">
        <v>1013</v>
      </c>
    </row>
    <row r="31" spans="1:2" x14ac:dyDescent="0.35">
      <c r="A31" t="s">
        <v>1014</v>
      </c>
    </row>
    <row r="32" spans="1:2" x14ac:dyDescent="0.35">
      <c r="A32" t="s">
        <v>1015</v>
      </c>
    </row>
    <row r="33" spans="1:1" x14ac:dyDescent="0.35">
      <c r="A33" t="s">
        <v>1016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F60E-F5F4-44CE-9943-6C690F9B1DE9}">
  <dimension ref="A2:L933"/>
  <sheetViews>
    <sheetView zoomScale="85" zoomScaleNormal="85" workbookViewId="0">
      <selection activeCell="B19" sqref="B19"/>
    </sheetView>
  </sheetViews>
  <sheetFormatPr defaultRowHeight="14.5" x14ac:dyDescent="0.35"/>
  <cols>
    <col min="1" max="1" width="11.7265625" bestFit="1" customWidth="1"/>
    <col min="2" max="2" width="46.08984375" customWidth="1"/>
    <col min="3" max="10" width="12.26953125" customWidth="1"/>
    <col min="12" max="12" width="127.7265625" bestFit="1" customWidth="1"/>
  </cols>
  <sheetData>
    <row r="2" spans="1:12" x14ac:dyDescent="0.35">
      <c r="A2" s="30" t="s">
        <v>976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x14ac:dyDescent="0.35">
      <c r="B4" t="s">
        <v>2</v>
      </c>
      <c r="C4" t="s">
        <v>977</v>
      </c>
    </row>
    <row r="5" spans="1:12" x14ac:dyDescent="0.35">
      <c r="B5">
        <v>2254000</v>
      </c>
    </row>
    <row r="6" spans="1:12" x14ac:dyDescent="0.35">
      <c r="B6" s="6" t="s">
        <v>978</v>
      </c>
      <c r="C6" s="6" t="s">
        <v>979</v>
      </c>
    </row>
    <row r="8" spans="1:12" x14ac:dyDescent="0.35">
      <c r="A8" s="30" t="s">
        <v>973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</row>
    <row r="9" spans="1:12" x14ac:dyDescent="0.35">
      <c r="A9" s="6" t="s">
        <v>998</v>
      </c>
    </row>
    <row r="11" spans="1:12" x14ac:dyDescent="0.35">
      <c r="B11" s="1" t="str">
        <f>B320</f>
        <v>Other miscellaneous nondurable goods manufacturing(1)</v>
      </c>
      <c r="C11" s="6" t="str">
        <f t="shared" ref="C11:J11" si="0">C320</f>
        <v>3122,60</v>
      </c>
      <c r="D11" s="6">
        <f t="shared" si="0"/>
        <v>36.200000000000003</v>
      </c>
      <c r="E11" s="6">
        <f t="shared" si="0"/>
        <v>35.200000000000003</v>
      </c>
      <c r="F11" s="6">
        <f t="shared" si="0"/>
        <v>35.4</v>
      </c>
      <c r="G11" s="6">
        <f t="shared" si="0"/>
        <v>35</v>
      </c>
      <c r="H11" s="6">
        <f t="shared" si="0"/>
        <v>35.6</v>
      </c>
      <c r="I11" s="6" t="str">
        <f t="shared" si="0"/>
        <v>-</v>
      </c>
      <c r="J11" s="6" t="str">
        <f t="shared" si="0"/>
        <v>-</v>
      </c>
    </row>
    <row r="13" spans="1:12" x14ac:dyDescent="0.35">
      <c r="A13">
        <v>312200</v>
      </c>
      <c r="B13" t="s">
        <v>974</v>
      </c>
      <c r="C13" s="7">
        <v>69178</v>
      </c>
      <c r="D13" s="7" t="s">
        <v>5</v>
      </c>
      <c r="F13" s="31">
        <f>SUMIFS($C$13:$C$14,$D$13:$D$14,G13)/SUM($C$13:$C$14)</f>
        <v>0.87351474209230384</v>
      </c>
      <c r="G13" s="7" t="s">
        <v>5</v>
      </c>
    </row>
    <row r="14" spans="1:12" x14ac:dyDescent="0.35">
      <c r="A14">
        <v>316000</v>
      </c>
      <c r="B14" t="s">
        <v>45</v>
      </c>
      <c r="C14" s="7">
        <v>10017</v>
      </c>
      <c r="D14" s="7" t="s">
        <v>6</v>
      </c>
      <c r="F14" s="31">
        <f>SUMIFS($C$13:$C$14,$D$13:$D$14,G14)/SUM($C$13:$C$14)</f>
        <v>0.12648525790769619</v>
      </c>
      <c r="G14" s="7" t="s">
        <v>6</v>
      </c>
    </row>
    <row r="15" spans="1:12" x14ac:dyDescent="0.35">
      <c r="C15" s="7"/>
      <c r="D15" s="7"/>
    </row>
    <row r="16" spans="1:12" x14ac:dyDescent="0.35">
      <c r="A16" s="58" t="s">
        <v>5</v>
      </c>
      <c r="C16" s="7"/>
      <c r="D16" s="57">
        <f t="shared" ref="D16:F16" si="1">$F13*D$11</f>
        <v>31.621233663741403</v>
      </c>
      <c r="E16" s="57">
        <f t="shared" si="1"/>
        <v>30.747718921649099</v>
      </c>
      <c r="F16" s="57">
        <f t="shared" si="1"/>
        <v>30.922421870067556</v>
      </c>
      <c r="G16" s="57">
        <f>$F13*G$11</f>
        <v>30.573015973230635</v>
      </c>
      <c r="H16" s="57">
        <f t="shared" ref="H16:H17" si="2">$F13*H$11</f>
        <v>31.097124818486019</v>
      </c>
    </row>
    <row r="17" spans="1:12" x14ac:dyDescent="0.35">
      <c r="A17" s="58" t="s">
        <v>6</v>
      </c>
      <c r="C17" s="7"/>
      <c r="D17" s="57">
        <f t="shared" ref="D17:G17" si="3">$F14*D$11</f>
        <v>4.5787663362586022</v>
      </c>
      <c r="E17" s="57">
        <f t="shared" si="3"/>
        <v>4.4522810783509064</v>
      </c>
      <c r="F17" s="57">
        <f t="shared" si="3"/>
        <v>4.4775781299324446</v>
      </c>
      <c r="G17" s="57">
        <f t="shared" si="3"/>
        <v>4.4269840267693663</v>
      </c>
      <c r="H17" s="57">
        <f t="shared" si="2"/>
        <v>4.5028751815139847</v>
      </c>
    </row>
    <row r="18" spans="1:12" x14ac:dyDescent="0.35">
      <c r="C18" s="7"/>
      <c r="D18" s="7"/>
    </row>
    <row r="19" spans="1:12" x14ac:dyDescent="0.35">
      <c r="B19" s="1" t="str">
        <f>B289</f>
        <v>Asphalt paving, roofing, saturated materials, and other petroleum and coal products manufacturing(1)</v>
      </c>
      <c r="C19" s="6" t="str">
        <f t="shared" ref="C19:J19" si="4">C289</f>
        <v>32412,9</v>
      </c>
      <c r="D19" s="6">
        <f t="shared" si="4"/>
        <v>46.8</v>
      </c>
      <c r="E19" s="6">
        <f t="shared" si="4"/>
        <v>45.9</v>
      </c>
      <c r="F19" s="6">
        <f t="shared" si="4"/>
        <v>46.1</v>
      </c>
      <c r="G19" s="6">
        <f t="shared" si="4"/>
        <v>45.8</v>
      </c>
      <c r="H19" s="6">
        <f t="shared" si="4"/>
        <v>45.8</v>
      </c>
      <c r="I19" s="6" t="str">
        <f t="shared" si="4"/>
        <v>-</v>
      </c>
      <c r="J19" s="6" t="str">
        <f t="shared" si="4"/>
        <v>-</v>
      </c>
    </row>
    <row r="21" spans="1:12" x14ac:dyDescent="0.35">
      <c r="A21">
        <v>324121</v>
      </c>
      <c r="B21" t="s">
        <v>46</v>
      </c>
      <c r="C21" s="7">
        <v>18352</v>
      </c>
      <c r="D21" s="7" t="s">
        <v>9</v>
      </c>
      <c r="F21" s="31">
        <f>SUMIFS($C$21:$C$23,$D$21:$D$23,G21)/SUM($C$21:$C$23)</f>
        <v>0.57650226368500479</v>
      </c>
      <c r="G21" s="7" t="s">
        <v>9</v>
      </c>
    </row>
    <row r="22" spans="1:12" x14ac:dyDescent="0.35">
      <c r="A22">
        <v>324122</v>
      </c>
      <c r="B22" t="s">
        <v>47</v>
      </c>
      <c r="C22" s="7">
        <v>15265</v>
      </c>
      <c r="D22" s="7" t="s">
        <v>9</v>
      </c>
      <c r="F22" s="31">
        <f t="shared" ref="F22" si="5">SUMIFS($C$21:$C$23,$D$21:$D$23,G22)/SUM($C$21:$C$23)</f>
        <v>0.42349773631499521</v>
      </c>
      <c r="G22" s="7" t="s">
        <v>87</v>
      </c>
    </row>
    <row r="23" spans="1:12" x14ac:dyDescent="0.35">
      <c r="A23">
        <v>324190</v>
      </c>
      <c r="B23" t="s">
        <v>48</v>
      </c>
      <c r="C23" s="7">
        <v>24695</v>
      </c>
      <c r="D23" s="7" t="s">
        <v>87</v>
      </c>
    </row>
    <row r="24" spans="1:12" x14ac:dyDescent="0.35">
      <c r="C24" s="7"/>
      <c r="D24" s="7"/>
    </row>
    <row r="25" spans="1:12" x14ac:dyDescent="0.35">
      <c r="A25" s="58" t="s">
        <v>9</v>
      </c>
      <c r="C25" s="7"/>
      <c r="D25" s="57">
        <f t="shared" ref="D25:F25" si="6">$F21*D$19</f>
        <v>26.980305940458223</v>
      </c>
      <c r="E25" s="57">
        <f t="shared" si="6"/>
        <v>26.46145390314172</v>
      </c>
      <c r="F25" s="57">
        <f t="shared" si="6"/>
        <v>26.576754355878723</v>
      </c>
      <c r="G25" s="57">
        <f>$F21*G$19</f>
        <v>26.403803676773219</v>
      </c>
      <c r="H25" s="57">
        <f t="shared" ref="H25:H26" si="7">$F21*H$19</f>
        <v>26.403803676773219</v>
      </c>
    </row>
    <row r="26" spans="1:12" x14ac:dyDescent="0.35">
      <c r="A26" s="58" t="s">
        <v>87</v>
      </c>
      <c r="C26" s="7"/>
      <c r="D26" s="57">
        <f t="shared" ref="D26:G26" si="8">$F22*D$19</f>
        <v>19.819694059541774</v>
      </c>
      <c r="E26" s="57">
        <f t="shared" si="8"/>
        <v>19.438546096858278</v>
      </c>
      <c r="F26" s="57">
        <f t="shared" si="8"/>
        <v>19.523245644121278</v>
      </c>
      <c r="G26" s="57">
        <f t="shared" si="8"/>
        <v>19.396196323226778</v>
      </c>
      <c r="H26" s="57">
        <f t="shared" si="7"/>
        <v>19.396196323226778</v>
      </c>
    </row>
    <row r="27" spans="1:12" x14ac:dyDescent="0.35">
      <c r="C27" s="7"/>
      <c r="D27" s="7"/>
    </row>
    <row r="28" spans="1:12" x14ac:dyDescent="0.35">
      <c r="C28" s="7"/>
      <c r="D28" s="7"/>
    </row>
    <row r="29" spans="1:12" x14ac:dyDescent="0.35">
      <c r="A29" s="30" t="s">
        <v>972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</row>
    <row r="31" spans="1:12" x14ac:dyDescent="0.35">
      <c r="B31" s="21" t="s">
        <v>524</v>
      </c>
      <c r="C31" s="3" t="s">
        <v>997</v>
      </c>
    </row>
    <row r="32" spans="1:12" x14ac:dyDescent="0.35">
      <c r="B32" s="21" t="s">
        <v>525</v>
      </c>
    </row>
    <row r="33" spans="1:10" ht="15" thickBot="1" x14ac:dyDescent="0.4">
      <c r="B33" s="22" t="s">
        <v>526</v>
      </c>
    </row>
    <row r="34" spans="1:10" ht="15" customHeight="1" thickBot="1" x14ac:dyDescent="0.4">
      <c r="B34" s="64" t="s">
        <v>33</v>
      </c>
      <c r="C34" s="67" t="s">
        <v>527</v>
      </c>
      <c r="D34" s="70" t="s">
        <v>93</v>
      </c>
      <c r="E34" s="71"/>
      <c r="F34" s="71"/>
      <c r="G34" s="71"/>
      <c r="H34" s="71"/>
      <c r="I34" s="72"/>
      <c r="J34" s="8" t="s">
        <v>94</v>
      </c>
    </row>
    <row r="35" spans="1:10" ht="29" x14ac:dyDescent="0.35">
      <c r="B35" s="65"/>
      <c r="C35" s="68"/>
      <c r="D35" s="8" t="s">
        <v>98</v>
      </c>
      <c r="E35" s="8" t="s">
        <v>528</v>
      </c>
      <c r="F35" s="8" t="s">
        <v>95</v>
      </c>
      <c r="G35" s="8" t="s">
        <v>96</v>
      </c>
      <c r="H35" s="8" t="s">
        <v>97</v>
      </c>
      <c r="I35" s="8" t="s">
        <v>98</v>
      </c>
      <c r="J35" s="9" t="s">
        <v>980</v>
      </c>
    </row>
    <row r="36" spans="1:10" ht="15" thickBot="1" x14ac:dyDescent="0.4">
      <c r="B36" s="66"/>
      <c r="C36" s="69"/>
      <c r="D36" s="10">
        <v>2023</v>
      </c>
      <c r="E36" s="10">
        <v>2024</v>
      </c>
      <c r="F36" s="10">
        <v>2024</v>
      </c>
      <c r="G36" s="10">
        <v>2024</v>
      </c>
      <c r="H36" s="11" t="s">
        <v>981</v>
      </c>
      <c r="I36" s="11" t="s">
        <v>981</v>
      </c>
      <c r="J36" s="10"/>
    </row>
    <row r="37" spans="1:10" ht="15" thickBot="1" x14ac:dyDescent="0.4">
      <c r="B37" s="34" t="s">
        <v>99</v>
      </c>
      <c r="C37" s="12"/>
      <c r="D37" s="13">
        <v>157014</v>
      </c>
      <c r="E37" s="13">
        <v>158692</v>
      </c>
      <c r="F37" s="13">
        <v>158770</v>
      </c>
      <c r="G37" s="13">
        <v>159025</v>
      </c>
      <c r="H37" s="13">
        <v>159061</v>
      </c>
      <c r="I37" s="13">
        <v>159288</v>
      </c>
      <c r="J37" s="12">
        <v>227</v>
      </c>
    </row>
    <row r="38" spans="1:10" ht="15" thickBot="1" x14ac:dyDescent="0.4">
      <c r="B38" s="73"/>
      <c r="C38" s="74"/>
      <c r="D38" s="74"/>
      <c r="E38" s="74"/>
      <c r="F38" s="74"/>
      <c r="G38" s="74"/>
      <c r="H38" s="74"/>
      <c r="I38" s="74"/>
      <c r="J38" s="75"/>
    </row>
    <row r="39" spans="1:10" ht="15" thickBot="1" x14ac:dyDescent="0.4">
      <c r="B39" s="35" t="s">
        <v>100</v>
      </c>
      <c r="C39" s="12"/>
      <c r="D39" s="13">
        <v>134014</v>
      </c>
      <c r="E39" s="13">
        <v>135347</v>
      </c>
      <c r="F39" s="13">
        <v>135384</v>
      </c>
      <c r="G39" s="13">
        <v>135606</v>
      </c>
      <c r="H39" s="13">
        <v>135604</v>
      </c>
      <c r="I39" s="13">
        <v>135798</v>
      </c>
      <c r="J39" s="12">
        <v>194</v>
      </c>
    </row>
    <row r="40" spans="1:10" ht="15" thickBot="1" x14ac:dyDescent="0.4">
      <c r="B40" s="73"/>
      <c r="C40" s="74"/>
      <c r="D40" s="74"/>
      <c r="E40" s="74"/>
      <c r="F40" s="74"/>
      <c r="G40" s="74"/>
      <c r="H40" s="74"/>
      <c r="I40" s="74"/>
      <c r="J40" s="75"/>
    </row>
    <row r="41" spans="1:10" ht="15" thickBot="1" x14ac:dyDescent="0.4">
      <c r="B41" s="36" t="s">
        <v>101</v>
      </c>
      <c r="C41" s="12"/>
      <c r="D41" s="13">
        <v>21690</v>
      </c>
      <c r="E41" s="13">
        <v>21833</v>
      </c>
      <c r="F41" s="13">
        <v>21835</v>
      </c>
      <c r="G41" s="13">
        <v>21850</v>
      </c>
      <c r="H41" s="13">
        <v>21806</v>
      </c>
      <c r="I41" s="13">
        <v>21840</v>
      </c>
      <c r="J41" s="12">
        <v>34</v>
      </c>
    </row>
    <row r="42" spans="1:10" ht="15" thickBot="1" x14ac:dyDescent="0.4">
      <c r="B42" s="73"/>
      <c r="C42" s="74"/>
      <c r="D42" s="74"/>
      <c r="E42" s="74"/>
      <c r="F42" s="74"/>
      <c r="G42" s="74"/>
      <c r="H42" s="74"/>
      <c r="I42" s="74"/>
      <c r="J42" s="75"/>
    </row>
    <row r="43" spans="1:10" ht="15" thickBot="1" x14ac:dyDescent="0.4">
      <c r="B43" s="37" t="s">
        <v>102</v>
      </c>
      <c r="C43" s="12"/>
      <c r="D43" s="12">
        <v>640</v>
      </c>
      <c r="E43" s="12">
        <v>635</v>
      </c>
      <c r="F43" s="12">
        <v>635</v>
      </c>
      <c r="G43" s="12">
        <v>636</v>
      </c>
      <c r="H43" s="12">
        <v>638</v>
      </c>
      <c r="I43" s="12">
        <v>640</v>
      </c>
      <c r="J43" s="12">
        <v>2</v>
      </c>
    </row>
    <row r="44" spans="1:10" ht="15" thickBot="1" x14ac:dyDescent="0.4">
      <c r="A44" s="7" t="s">
        <v>2</v>
      </c>
      <c r="B44" s="38" t="s">
        <v>103</v>
      </c>
      <c r="C44" s="14">
        <v>1133</v>
      </c>
      <c r="D44" s="15">
        <v>43.4</v>
      </c>
      <c r="E44" s="15">
        <v>38.5</v>
      </c>
      <c r="F44" s="15">
        <v>38</v>
      </c>
      <c r="G44" s="15">
        <v>38.200000000000003</v>
      </c>
      <c r="H44" s="15">
        <v>38.200000000000003</v>
      </c>
      <c r="I44" s="15">
        <v>38.200000000000003</v>
      </c>
      <c r="J44" s="15">
        <v>0</v>
      </c>
    </row>
    <row r="45" spans="1:10" ht="28.5" thickBot="1" x14ac:dyDescent="0.4">
      <c r="B45" s="39" t="s">
        <v>529</v>
      </c>
      <c r="C45" s="16">
        <v>21</v>
      </c>
      <c r="D45" s="12">
        <v>596.20000000000005</v>
      </c>
      <c r="E45" s="12">
        <v>596.70000000000005</v>
      </c>
      <c r="F45" s="12">
        <v>596.70000000000005</v>
      </c>
      <c r="G45" s="12">
        <v>598.20000000000005</v>
      </c>
      <c r="H45" s="12">
        <v>599.29999999999995</v>
      </c>
      <c r="I45" s="12">
        <v>601.5</v>
      </c>
      <c r="J45" s="12">
        <v>2.2000000000000002</v>
      </c>
    </row>
    <row r="46" spans="1:10" ht="15" thickBot="1" x14ac:dyDescent="0.4">
      <c r="A46" s="7" t="s">
        <v>41</v>
      </c>
      <c r="B46" s="40" t="s">
        <v>38</v>
      </c>
      <c r="C46" s="14">
        <v>211</v>
      </c>
      <c r="D46" s="15">
        <v>117.4</v>
      </c>
      <c r="E46" s="15">
        <v>120</v>
      </c>
      <c r="F46" s="15">
        <v>119</v>
      </c>
      <c r="G46" s="15">
        <v>119.6</v>
      </c>
      <c r="H46" s="15">
        <v>119.6</v>
      </c>
      <c r="I46" s="15">
        <v>119.7</v>
      </c>
      <c r="J46" s="15">
        <v>0.1</v>
      </c>
    </row>
    <row r="47" spans="1:10" ht="15" thickBot="1" x14ac:dyDescent="0.4">
      <c r="A47" s="7" t="s">
        <v>3</v>
      </c>
      <c r="B47" s="41" t="s">
        <v>530</v>
      </c>
      <c r="C47" s="16">
        <v>212</v>
      </c>
      <c r="D47" s="12">
        <v>187.1</v>
      </c>
      <c r="E47" s="12">
        <v>188.8</v>
      </c>
      <c r="F47" s="12">
        <v>188.6</v>
      </c>
      <c r="G47" s="12">
        <v>189</v>
      </c>
      <c r="H47" s="12">
        <v>189.3</v>
      </c>
      <c r="I47" s="12">
        <v>190</v>
      </c>
      <c r="J47" s="12">
        <v>0.7</v>
      </c>
    </row>
    <row r="48" spans="1:10" ht="15" thickBot="1" x14ac:dyDescent="0.4">
      <c r="A48" s="7" t="s">
        <v>40</v>
      </c>
      <c r="B48" s="42" t="s">
        <v>43</v>
      </c>
      <c r="C48" s="14">
        <v>2121</v>
      </c>
      <c r="D48" s="15">
        <v>42.7</v>
      </c>
      <c r="E48" s="15">
        <v>43.6</v>
      </c>
      <c r="F48" s="15">
        <v>43.2</v>
      </c>
      <c r="G48" s="15">
        <v>43.2</v>
      </c>
      <c r="H48" s="15">
        <v>42.8</v>
      </c>
      <c r="I48" s="15">
        <v>43.4</v>
      </c>
      <c r="J48" s="15">
        <v>0.6</v>
      </c>
    </row>
    <row r="49" spans="1:10" ht="58.5" customHeight="1" thickBot="1" x14ac:dyDescent="0.4">
      <c r="B49" s="43" t="s">
        <v>531</v>
      </c>
      <c r="C49" s="16">
        <v>212114</v>
      </c>
      <c r="D49" s="12">
        <v>19.600000000000001</v>
      </c>
      <c r="E49" s="12">
        <v>19.7</v>
      </c>
      <c r="F49" s="12">
        <v>19.2</v>
      </c>
      <c r="G49" s="12">
        <v>19.100000000000001</v>
      </c>
      <c r="H49" s="12">
        <v>18.600000000000001</v>
      </c>
      <c r="I49" s="12" t="s">
        <v>104</v>
      </c>
      <c r="J49" s="12" t="s">
        <v>104</v>
      </c>
    </row>
    <row r="50" spans="1:10" ht="73" customHeight="1" thickBot="1" x14ac:dyDescent="0.4">
      <c r="B50" s="44" t="s">
        <v>532</v>
      </c>
      <c r="C50" s="14">
        <v>212115</v>
      </c>
      <c r="D50" s="15">
        <v>23</v>
      </c>
      <c r="E50" s="15">
        <v>23.9</v>
      </c>
      <c r="F50" s="15">
        <v>23.9</v>
      </c>
      <c r="G50" s="15">
        <v>24</v>
      </c>
      <c r="H50" s="15">
        <v>24.2</v>
      </c>
      <c r="I50" s="15" t="s">
        <v>104</v>
      </c>
      <c r="J50" s="15" t="s">
        <v>104</v>
      </c>
    </row>
    <row r="51" spans="1:10" ht="15" thickBot="1" x14ac:dyDescent="0.4">
      <c r="B51" s="45" t="s">
        <v>105</v>
      </c>
      <c r="C51" s="16">
        <v>2122</v>
      </c>
      <c r="D51" s="12">
        <v>43.7</v>
      </c>
      <c r="E51" s="12">
        <v>43.5</v>
      </c>
      <c r="F51" s="12">
        <v>43.6</v>
      </c>
      <c r="G51" s="12">
        <v>43.6</v>
      </c>
      <c r="H51" s="12">
        <v>43.6</v>
      </c>
      <c r="I51" s="12">
        <v>43.7</v>
      </c>
      <c r="J51" s="12">
        <v>0.1</v>
      </c>
    </row>
    <row r="52" spans="1:10" ht="18.649999999999999" customHeight="1" thickBot="1" x14ac:dyDescent="0.4">
      <c r="B52" s="42" t="s">
        <v>106</v>
      </c>
      <c r="C52" s="14">
        <v>2123</v>
      </c>
      <c r="D52" s="15">
        <v>100.7</v>
      </c>
      <c r="E52" s="15">
        <v>101.7</v>
      </c>
      <c r="F52" s="15">
        <v>101.8</v>
      </c>
      <c r="G52" s="15">
        <v>102.3</v>
      </c>
      <c r="H52" s="15">
        <v>102.9</v>
      </c>
      <c r="I52" s="15">
        <v>102.9</v>
      </c>
      <c r="J52" s="15">
        <v>0</v>
      </c>
    </row>
    <row r="53" spans="1:10" ht="44.15" customHeight="1" thickBot="1" x14ac:dyDescent="0.4">
      <c r="B53" s="43" t="s">
        <v>107</v>
      </c>
      <c r="C53" s="16">
        <v>21231</v>
      </c>
      <c r="D53" s="12">
        <v>44.5</v>
      </c>
      <c r="E53" s="12">
        <v>45.4</v>
      </c>
      <c r="F53" s="12">
        <v>45.6</v>
      </c>
      <c r="G53" s="12">
        <v>45.5</v>
      </c>
      <c r="H53" s="12">
        <v>45.6</v>
      </c>
      <c r="I53" s="12" t="s">
        <v>104</v>
      </c>
      <c r="J53" s="12" t="s">
        <v>104</v>
      </c>
    </row>
    <row r="54" spans="1:10" ht="58.5" customHeight="1" thickBot="1" x14ac:dyDescent="0.4">
      <c r="B54" s="46" t="s">
        <v>533</v>
      </c>
      <c r="C54" s="14">
        <v>212312</v>
      </c>
      <c r="D54" s="15">
        <v>23</v>
      </c>
      <c r="E54" s="15">
        <v>23.6</v>
      </c>
      <c r="F54" s="15">
        <v>23.5</v>
      </c>
      <c r="G54" s="15">
        <v>23.5</v>
      </c>
      <c r="H54" s="15">
        <v>23.5</v>
      </c>
      <c r="I54" s="15" t="s">
        <v>104</v>
      </c>
      <c r="J54" s="15" t="s">
        <v>104</v>
      </c>
    </row>
    <row r="55" spans="1:10" ht="44.15" customHeight="1" thickBot="1" x14ac:dyDescent="0.4">
      <c r="B55" s="47" t="s">
        <v>534</v>
      </c>
      <c r="C55" s="16" t="s">
        <v>108</v>
      </c>
      <c r="D55" s="12">
        <v>21.3</v>
      </c>
      <c r="E55" s="12">
        <v>21.9</v>
      </c>
      <c r="F55" s="12">
        <v>22.1</v>
      </c>
      <c r="G55" s="12">
        <v>21.9</v>
      </c>
      <c r="H55" s="12">
        <v>22</v>
      </c>
      <c r="I55" s="12" t="s">
        <v>104</v>
      </c>
      <c r="J55" s="12" t="s">
        <v>104</v>
      </c>
    </row>
    <row r="56" spans="1:10" ht="58.5" customHeight="1" thickBot="1" x14ac:dyDescent="0.4">
      <c r="B56" s="44" t="s">
        <v>535</v>
      </c>
      <c r="C56" s="14">
        <v>21232</v>
      </c>
      <c r="D56" s="15">
        <v>44.2</v>
      </c>
      <c r="E56" s="15">
        <v>44</v>
      </c>
      <c r="F56" s="15">
        <v>43.4</v>
      </c>
      <c r="G56" s="15">
        <v>44.4</v>
      </c>
      <c r="H56" s="15">
        <v>44.3</v>
      </c>
      <c r="I56" s="15" t="s">
        <v>104</v>
      </c>
      <c r="J56" s="15" t="s">
        <v>104</v>
      </c>
    </row>
    <row r="57" spans="1:10" ht="58.5" customHeight="1" thickBot="1" x14ac:dyDescent="0.4">
      <c r="B57" s="47" t="s">
        <v>109</v>
      </c>
      <c r="C57" s="16">
        <v>212321</v>
      </c>
      <c r="D57" s="12">
        <v>30</v>
      </c>
      <c r="E57" s="12">
        <v>29.1</v>
      </c>
      <c r="F57" s="12">
        <v>28.5</v>
      </c>
      <c r="G57" s="12">
        <v>29.2</v>
      </c>
      <c r="H57" s="12">
        <v>29.4</v>
      </c>
      <c r="I57" s="12" t="s">
        <v>104</v>
      </c>
      <c r="J57" s="12" t="s">
        <v>104</v>
      </c>
    </row>
    <row r="58" spans="1:10" ht="58.5" customHeight="1" thickBot="1" x14ac:dyDescent="0.4">
      <c r="B58" s="44" t="s">
        <v>536</v>
      </c>
      <c r="C58" s="14">
        <v>21239</v>
      </c>
      <c r="D58" s="15">
        <v>12.2</v>
      </c>
      <c r="E58" s="15">
        <v>12.4</v>
      </c>
      <c r="F58" s="15">
        <v>12.7</v>
      </c>
      <c r="G58" s="15">
        <v>12.6</v>
      </c>
      <c r="H58" s="15">
        <v>13</v>
      </c>
      <c r="I58" s="15" t="s">
        <v>104</v>
      </c>
      <c r="J58" s="15" t="s">
        <v>104</v>
      </c>
    </row>
    <row r="59" spans="1:10" ht="18.649999999999999" customHeight="1" thickBot="1" x14ac:dyDescent="0.4">
      <c r="A59" s="7" t="s">
        <v>4</v>
      </c>
      <c r="B59" s="41" t="s">
        <v>110</v>
      </c>
      <c r="C59" s="16">
        <v>213</v>
      </c>
      <c r="D59" s="12">
        <v>291.7</v>
      </c>
      <c r="E59" s="12">
        <v>287.89999999999998</v>
      </c>
      <c r="F59" s="12">
        <v>289.10000000000002</v>
      </c>
      <c r="G59" s="12">
        <v>289.60000000000002</v>
      </c>
      <c r="H59" s="12">
        <v>290.39999999999998</v>
      </c>
      <c r="I59" s="12">
        <v>291.8</v>
      </c>
      <c r="J59" s="12">
        <v>1.4</v>
      </c>
    </row>
    <row r="60" spans="1:10" ht="44.15" customHeight="1" thickBot="1" x14ac:dyDescent="0.4">
      <c r="B60" s="48" t="s">
        <v>111</v>
      </c>
      <c r="C60" s="14">
        <v>213112</v>
      </c>
      <c r="D60" s="15">
        <v>228.4</v>
      </c>
      <c r="E60" s="15">
        <v>226.7</v>
      </c>
      <c r="F60" s="15">
        <v>227.3</v>
      </c>
      <c r="G60" s="15">
        <v>227.6</v>
      </c>
      <c r="H60" s="15">
        <v>228.8</v>
      </c>
      <c r="I60" s="15" t="s">
        <v>104</v>
      </c>
      <c r="J60" s="15" t="s">
        <v>104</v>
      </c>
    </row>
    <row r="61" spans="1:10" ht="15" thickBot="1" x14ac:dyDescent="0.4">
      <c r="B61" s="73"/>
      <c r="C61" s="74"/>
      <c r="D61" s="74"/>
      <c r="E61" s="74"/>
      <c r="F61" s="74"/>
      <c r="G61" s="74"/>
      <c r="H61" s="74"/>
      <c r="I61" s="74"/>
      <c r="J61" s="75"/>
    </row>
    <row r="62" spans="1:10" ht="15" thickBot="1" x14ac:dyDescent="0.4">
      <c r="A62" t="s">
        <v>18</v>
      </c>
      <c r="B62" s="37" t="s">
        <v>112</v>
      </c>
      <c r="C62" s="16">
        <v>23</v>
      </c>
      <c r="D62" s="13">
        <v>8102</v>
      </c>
      <c r="E62" s="13">
        <v>8247</v>
      </c>
      <c r="F62" s="13">
        <v>8275</v>
      </c>
      <c r="G62" s="13">
        <v>8301</v>
      </c>
      <c r="H62" s="13">
        <v>8303</v>
      </c>
      <c r="I62" s="13">
        <v>8313</v>
      </c>
      <c r="J62" s="12">
        <v>10</v>
      </c>
    </row>
    <row r="63" spans="1:10" ht="15" thickBot="1" x14ac:dyDescent="0.4">
      <c r="B63" s="38" t="s">
        <v>113</v>
      </c>
      <c r="C63" s="14">
        <v>236</v>
      </c>
      <c r="D63" s="17">
        <v>1829.8</v>
      </c>
      <c r="E63" s="17">
        <v>1876.2</v>
      </c>
      <c r="F63" s="17">
        <v>1882.7</v>
      </c>
      <c r="G63" s="17">
        <v>1884.1</v>
      </c>
      <c r="H63" s="17">
        <v>1883.8</v>
      </c>
      <c r="I63" s="17">
        <v>1883.5</v>
      </c>
      <c r="J63" s="15">
        <v>-0.3</v>
      </c>
    </row>
    <row r="64" spans="1:10" ht="15" thickBot="1" x14ac:dyDescent="0.4">
      <c r="B64" s="41" t="s">
        <v>537</v>
      </c>
      <c r="C64" s="16">
        <v>2361</v>
      </c>
      <c r="D64" s="12">
        <v>931.4</v>
      </c>
      <c r="E64" s="12">
        <v>945.9</v>
      </c>
      <c r="F64" s="12">
        <v>951.6</v>
      </c>
      <c r="G64" s="12">
        <v>955.4</v>
      </c>
      <c r="H64" s="12">
        <v>956.2</v>
      </c>
      <c r="I64" s="12">
        <v>957.6</v>
      </c>
      <c r="J64" s="12">
        <v>1.4</v>
      </c>
    </row>
    <row r="65" spans="2:10" ht="18.649999999999999" customHeight="1" thickBot="1" x14ac:dyDescent="0.4">
      <c r="B65" s="42" t="s">
        <v>538</v>
      </c>
      <c r="C65" s="14">
        <v>236115</v>
      </c>
      <c r="D65" s="15">
        <v>378.2</v>
      </c>
      <c r="E65" s="15">
        <v>386.7</v>
      </c>
      <c r="F65" s="15">
        <v>387.5</v>
      </c>
      <c r="G65" s="15">
        <v>388</v>
      </c>
      <c r="H65" s="15">
        <v>389</v>
      </c>
      <c r="I65" s="15" t="s">
        <v>104</v>
      </c>
      <c r="J65" s="15" t="s">
        <v>104</v>
      </c>
    </row>
    <row r="66" spans="2:10" ht="18.649999999999999" customHeight="1" thickBot="1" x14ac:dyDescent="0.4">
      <c r="B66" s="45" t="s">
        <v>539</v>
      </c>
      <c r="C66" s="16">
        <v>236116</v>
      </c>
      <c r="D66" s="12">
        <v>48.5</v>
      </c>
      <c r="E66" s="12">
        <v>47.5</v>
      </c>
      <c r="F66" s="12">
        <v>47.1</v>
      </c>
      <c r="G66" s="12">
        <v>47.9</v>
      </c>
      <c r="H66" s="12">
        <v>48.1</v>
      </c>
      <c r="I66" s="12" t="s">
        <v>104</v>
      </c>
      <c r="J66" s="12" t="s">
        <v>104</v>
      </c>
    </row>
    <row r="67" spans="2:10" ht="18.649999999999999" customHeight="1" thickBot="1" x14ac:dyDescent="0.4">
      <c r="B67" s="42" t="s">
        <v>540</v>
      </c>
      <c r="C67" s="14">
        <v>236117</v>
      </c>
      <c r="D67" s="15">
        <v>53.8</v>
      </c>
      <c r="E67" s="15">
        <v>54.3</v>
      </c>
      <c r="F67" s="15">
        <v>54.8</v>
      </c>
      <c r="G67" s="15">
        <v>55</v>
      </c>
      <c r="H67" s="15">
        <v>55.5</v>
      </c>
      <c r="I67" s="15" t="s">
        <v>104</v>
      </c>
      <c r="J67" s="15" t="s">
        <v>104</v>
      </c>
    </row>
    <row r="68" spans="2:10" ht="15" thickBot="1" x14ac:dyDescent="0.4">
      <c r="B68" s="45" t="s">
        <v>114</v>
      </c>
      <c r="C68" s="16">
        <v>236118</v>
      </c>
      <c r="D68" s="12">
        <v>450.9</v>
      </c>
      <c r="E68" s="12">
        <v>457.4</v>
      </c>
      <c r="F68" s="12">
        <v>462.2</v>
      </c>
      <c r="G68" s="12">
        <v>464.4</v>
      </c>
      <c r="H68" s="12">
        <v>463.7</v>
      </c>
      <c r="I68" s="12" t="s">
        <v>104</v>
      </c>
      <c r="J68" s="12" t="s">
        <v>104</v>
      </c>
    </row>
    <row r="69" spans="2:10" ht="38" customHeight="1" thickBot="1" x14ac:dyDescent="0.4">
      <c r="B69" s="40" t="s">
        <v>541</v>
      </c>
      <c r="C69" s="14">
        <v>2362</v>
      </c>
      <c r="D69" s="15">
        <v>898.4</v>
      </c>
      <c r="E69" s="15">
        <v>930.3</v>
      </c>
      <c r="F69" s="15">
        <v>931.1</v>
      </c>
      <c r="G69" s="15">
        <v>928.7</v>
      </c>
      <c r="H69" s="15">
        <v>927.6</v>
      </c>
      <c r="I69" s="15">
        <v>925.9</v>
      </c>
      <c r="J69" s="15">
        <v>-1.7</v>
      </c>
    </row>
    <row r="70" spans="2:10" ht="38" customHeight="1" thickBot="1" x14ac:dyDescent="0.4">
      <c r="B70" s="45" t="s">
        <v>542</v>
      </c>
      <c r="C70" s="16">
        <v>23621</v>
      </c>
      <c r="D70" s="12">
        <v>159.4</v>
      </c>
      <c r="E70" s="12">
        <v>166.4</v>
      </c>
      <c r="F70" s="12">
        <v>167.2</v>
      </c>
      <c r="G70" s="12">
        <v>169.4</v>
      </c>
      <c r="H70" s="12">
        <v>170.8</v>
      </c>
      <c r="I70" s="12" t="s">
        <v>104</v>
      </c>
      <c r="J70" s="12" t="s">
        <v>104</v>
      </c>
    </row>
    <row r="71" spans="2:10" ht="28.5" thickBot="1" x14ac:dyDescent="0.4">
      <c r="B71" s="42" t="s">
        <v>543</v>
      </c>
      <c r="C71" s="14">
        <v>23622</v>
      </c>
      <c r="D71" s="15">
        <v>738.9</v>
      </c>
      <c r="E71" s="15">
        <v>763.9</v>
      </c>
      <c r="F71" s="15">
        <v>763.8</v>
      </c>
      <c r="G71" s="15">
        <v>759.3</v>
      </c>
      <c r="H71" s="15">
        <v>756.8</v>
      </c>
      <c r="I71" s="15" t="s">
        <v>104</v>
      </c>
      <c r="J71" s="15" t="s">
        <v>104</v>
      </c>
    </row>
    <row r="72" spans="2:10" ht="18.649999999999999" customHeight="1" thickBot="1" x14ac:dyDescent="0.4">
      <c r="B72" s="39" t="s">
        <v>115</v>
      </c>
      <c r="C72" s="16">
        <v>237</v>
      </c>
      <c r="D72" s="18">
        <v>1131.5</v>
      </c>
      <c r="E72" s="18">
        <v>1141.3</v>
      </c>
      <c r="F72" s="18">
        <v>1152.5</v>
      </c>
      <c r="G72" s="18">
        <v>1160.8</v>
      </c>
      <c r="H72" s="18">
        <v>1159.8</v>
      </c>
      <c r="I72" s="18">
        <v>1161.3</v>
      </c>
      <c r="J72" s="12">
        <v>1.5</v>
      </c>
    </row>
    <row r="73" spans="2:10" ht="29.5" customHeight="1" thickBot="1" x14ac:dyDescent="0.4">
      <c r="B73" s="49" t="s">
        <v>116</v>
      </c>
      <c r="C73" s="14">
        <v>2371</v>
      </c>
      <c r="D73" s="15">
        <v>582.4</v>
      </c>
      <c r="E73" s="15">
        <v>583.70000000000005</v>
      </c>
      <c r="F73" s="15">
        <v>593.4</v>
      </c>
      <c r="G73" s="15">
        <v>596.6</v>
      </c>
      <c r="H73" s="15">
        <v>596.9</v>
      </c>
      <c r="I73" s="15" t="s">
        <v>104</v>
      </c>
      <c r="J73" s="15" t="s">
        <v>104</v>
      </c>
    </row>
    <row r="74" spans="2:10" ht="44.15" customHeight="1" thickBot="1" x14ac:dyDescent="0.4">
      <c r="B74" s="50" t="s">
        <v>544</v>
      </c>
      <c r="C74" s="16">
        <v>23711</v>
      </c>
      <c r="D74" s="12">
        <v>204.3</v>
      </c>
      <c r="E74" s="12">
        <v>206.1</v>
      </c>
      <c r="F74" s="12">
        <v>206.5</v>
      </c>
      <c r="G74" s="12">
        <v>208.1</v>
      </c>
      <c r="H74" s="12">
        <v>208.5</v>
      </c>
      <c r="I74" s="12" t="s">
        <v>104</v>
      </c>
      <c r="J74" s="12" t="s">
        <v>104</v>
      </c>
    </row>
    <row r="75" spans="2:10" ht="44.15" customHeight="1" thickBot="1" x14ac:dyDescent="0.4">
      <c r="B75" s="48" t="s">
        <v>545</v>
      </c>
      <c r="C75" s="14">
        <v>23712</v>
      </c>
      <c r="D75" s="15">
        <v>139.9</v>
      </c>
      <c r="E75" s="15">
        <v>141.4</v>
      </c>
      <c r="F75" s="15">
        <v>146.6</v>
      </c>
      <c r="G75" s="15">
        <v>147.80000000000001</v>
      </c>
      <c r="H75" s="15">
        <v>149.30000000000001</v>
      </c>
      <c r="I75" s="15" t="s">
        <v>104</v>
      </c>
      <c r="J75" s="15" t="s">
        <v>104</v>
      </c>
    </row>
    <row r="76" spans="2:10" ht="58.5" customHeight="1" thickBot="1" x14ac:dyDescent="0.4">
      <c r="B76" s="50" t="s">
        <v>546</v>
      </c>
      <c r="C76" s="16">
        <v>23713</v>
      </c>
      <c r="D76" s="12">
        <v>238.4</v>
      </c>
      <c r="E76" s="12">
        <v>238.3</v>
      </c>
      <c r="F76" s="12">
        <v>241.4</v>
      </c>
      <c r="G76" s="12">
        <v>240.2</v>
      </c>
      <c r="H76" s="12">
        <v>239.1</v>
      </c>
      <c r="I76" s="12" t="s">
        <v>104</v>
      </c>
      <c r="J76" s="12" t="s">
        <v>104</v>
      </c>
    </row>
    <row r="77" spans="2:10" ht="15" thickBot="1" x14ac:dyDescent="0.4">
      <c r="B77" s="49" t="s">
        <v>117</v>
      </c>
      <c r="C77" s="14">
        <v>2372</v>
      </c>
      <c r="D77" s="15">
        <v>40</v>
      </c>
      <c r="E77" s="15">
        <v>40.799999999999997</v>
      </c>
      <c r="F77" s="15">
        <v>40.5</v>
      </c>
      <c r="G77" s="15">
        <v>40.299999999999997</v>
      </c>
      <c r="H77" s="15">
        <v>40.1</v>
      </c>
      <c r="I77" s="15" t="s">
        <v>104</v>
      </c>
      <c r="J77" s="15" t="s">
        <v>104</v>
      </c>
    </row>
    <row r="78" spans="2:10" ht="44.15" customHeight="1" thickBot="1" x14ac:dyDescent="0.4">
      <c r="B78" s="51" t="s">
        <v>118</v>
      </c>
      <c r="C78" s="16">
        <v>2373</v>
      </c>
      <c r="D78" s="12">
        <v>379.8</v>
      </c>
      <c r="E78" s="12">
        <v>382.5</v>
      </c>
      <c r="F78" s="12">
        <v>384.2</v>
      </c>
      <c r="G78" s="12">
        <v>385.9</v>
      </c>
      <c r="H78" s="12">
        <v>386.2</v>
      </c>
      <c r="I78" s="12" t="s">
        <v>104</v>
      </c>
      <c r="J78" s="12" t="s">
        <v>104</v>
      </c>
    </row>
    <row r="79" spans="2:10" ht="29.5" customHeight="1" thickBot="1" x14ac:dyDescent="0.4">
      <c r="B79" s="49" t="s">
        <v>547</v>
      </c>
      <c r="C79" s="14">
        <v>2379</v>
      </c>
      <c r="D79" s="15">
        <v>131.4</v>
      </c>
      <c r="E79" s="15">
        <v>134.19999999999999</v>
      </c>
      <c r="F79" s="15">
        <v>134.19999999999999</v>
      </c>
      <c r="G79" s="15">
        <v>134.9</v>
      </c>
      <c r="H79" s="15">
        <v>135.19999999999999</v>
      </c>
      <c r="I79" s="15" t="s">
        <v>104</v>
      </c>
      <c r="J79" s="15" t="s">
        <v>104</v>
      </c>
    </row>
    <row r="80" spans="2:10" ht="15" thickBot="1" x14ac:dyDescent="0.4">
      <c r="B80" s="39" t="s">
        <v>119</v>
      </c>
      <c r="C80" s="16">
        <v>238</v>
      </c>
      <c r="D80" s="18">
        <v>5140.3</v>
      </c>
      <c r="E80" s="18">
        <v>5229.7</v>
      </c>
      <c r="F80" s="18">
        <v>5239.3</v>
      </c>
      <c r="G80" s="18">
        <v>5256.2</v>
      </c>
      <c r="H80" s="18">
        <v>5259.4</v>
      </c>
      <c r="I80" s="18">
        <v>5268.1</v>
      </c>
      <c r="J80" s="12">
        <v>8.6999999999999993</v>
      </c>
    </row>
    <row r="81" spans="2:10" ht="18.649999999999999" customHeight="1" thickBot="1" x14ac:dyDescent="0.4">
      <c r="B81" s="40" t="s">
        <v>120</v>
      </c>
      <c r="C81" s="14" t="s">
        <v>121</v>
      </c>
      <c r="D81" s="17">
        <v>2390</v>
      </c>
      <c r="E81" s="17">
        <v>2416.6</v>
      </c>
      <c r="F81" s="17">
        <v>2414.3000000000002</v>
      </c>
      <c r="G81" s="17">
        <v>2421.5</v>
      </c>
      <c r="H81" s="17">
        <v>2414.5</v>
      </c>
      <c r="I81" s="17">
        <v>2416.1999999999998</v>
      </c>
      <c r="J81" s="15">
        <v>1.7</v>
      </c>
    </row>
    <row r="82" spans="2:10" ht="18.649999999999999" customHeight="1" thickBot="1" x14ac:dyDescent="0.4">
      <c r="B82" s="41" t="s">
        <v>122</v>
      </c>
      <c r="C82" s="16" t="s">
        <v>121</v>
      </c>
      <c r="D82" s="18">
        <v>2750.3</v>
      </c>
      <c r="E82" s="18">
        <v>2813.1</v>
      </c>
      <c r="F82" s="18">
        <v>2825</v>
      </c>
      <c r="G82" s="18">
        <v>2834.7</v>
      </c>
      <c r="H82" s="18">
        <v>2844.9</v>
      </c>
      <c r="I82" s="18">
        <v>2851.9</v>
      </c>
      <c r="J82" s="12">
        <v>7</v>
      </c>
    </row>
    <row r="83" spans="2:10" ht="58.5" customHeight="1" thickBot="1" x14ac:dyDescent="0.4">
      <c r="B83" s="48" t="s">
        <v>548</v>
      </c>
      <c r="C83" s="14">
        <v>2381</v>
      </c>
      <c r="D83" s="17">
        <v>1003.5</v>
      </c>
      <c r="E83" s="15">
        <v>998.3</v>
      </c>
      <c r="F83" s="15">
        <v>999.3</v>
      </c>
      <c r="G83" s="17">
        <v>1002.4</v>
      </c>
      <c r="H83" s="15">
        <v>999.8</v>
      </c>
      <c r="I83" s="15" t="s">
        <v>104</v>
      </c>
      <c r="J83" s="15" t="s">
        <v>104</v>
      </c>
    </row>
    <row r="84" spans="2:10" ht="18.649999999999999" customHeight="1" thickBot="1" x14ac:dyDescent="0.4">
      <c r="B84" s="52" t="s">
        <v>549</v>
      </c>
      <c r="C84" s="16">
        <v>23811</v>
      </c>
      <c r="D84" s="12">
        <v>253.1</v>
      </c>
      <c r="E84" s="12">
        <v>249.8</v>
      </c>
      <c r="F84" s="12">
        <v>250.3</v>
      </c>
      <c r="G84" s="12">
        <v>251</v>
      </c>
      <c r="H84" s="12">
        <v>249.3</v>
      </c>
      <c r="I84" s="12" t="s">
        <v>104</v>
      </c>
      <c r="J84" s="12" t="s">
        <v>104</v>
      </c>
    </row>
    <row r="85" spans="2:10" ht="18.649999999999999" customHeight="1" thickBot="1" x14ac:dyDescent="0.4">
      <c r="B85" s="53" t="s">
        <v>550</v>
      </c>
      <c r="C85" s="14">
        <v>23812</v>
      </c>
      <c r="D85" s="15">
        <v>83.5</v>
      </c>
      <c r="E85" s="15">
        <v>84</v>
      </c>
      <c r="F85" s="15">
        <v>83.4</v>
      </c>
      <c r="G85" s="15">
        <v>82.9</v>
      </c>
      <c r="H85" s="15">
        <v>81.900000000000006</v>
      </c>
      <c r="I85" s="15" t="s">
        <v>104</v>
      </c>
      <c r="J85" s="15" t="s">
        <v>104</v>
      </c>
    </row>
    <row r="86" spans="2:10" ht="15" thickBot="1" x14ac:dyDescent="0.4">
      <c r="B86" s="52" t="s">
        <v>123</v>
      </c>
      <c r="C86" s="16">
        <v>23813</v>
      </c>
      <c r="D86" s="12">
        <v>85.8</v>
      </c>
      <c r="E86" s="12">
        <v>81.099999999999994</v>
      </c>
      <c r="F86" s="12">
        <v>82.4</v>
      </c>
      <c r="G86" s="12">
        <v>80.900000000000006</v>
      </c>
      <c r="H86" s="12">
        <v>81.3</v>
      </c>
      <c r="I86" s="12" t="s">
        <v>104</v>
      </c>
      <c r="J86" s="12" t="s">
        <v>104</v>
      </c>
    </row>
    <row r="87" spans="2:10" ht="15" thickBot="1" x14ac:dyDescent="0.4">
      <c r="B87" s="53" t="s">
        <v>124</v>
      </c>
      <c r="C87" s="14">
        <v>23814</v>
      </c>
      <c r="D87" s="15">
        <v>146.6</v>
      </c>
      <c r="E87" s="15">
        <v>151.69999999999999</v>
      </c>
      <c r="F87" s="15">
        <v>150.4</v>
      </c>
      <c r="G87" s="15">
        <v>151.19999999999999</v>
      </c>
      <c r="H87" s="15">
        <v>152.5</v>
      </c>
      <c r="I87" s="15" t="s">
        <v>104</v>
      </c>
      <c r="J87" s="15" t="s">
        <v>104</v>
      </c>
    </row>
    <row r="88" spans="2:10" ht="18.649999999999999" customHeight="1" thickBot="1" x14ac:dyDescent="0.4">
      <c r="B88" s="52" t="s">
        <v>125</v>
      </c>
      <c r="C88" s="16">
        <v>23815</v>
      </c>
      <c r="D88" s="12">
        <v>75.900000000000006</v>
      </c>
      <c r="E88" s="12">
        <v>72.5</v>
      </c>
      <c r="F88" s="12">
        <v>72.8</v>
      </c>
      <c r="G88" s="12">
        <v>74.2</v>
      </c>
      <c r="H88" s="12">
        <v>74</v>
      </c>
      <c r="I88" s="12" t="s">
        <v>104</v>
      </c>
      <c r="J88" s="12" t="s">
        <v>104</v>
      </c>
    </row>
    <row r="89" spans="2:10" ht="15" thickBot="1" x14ac:dyDescent="0.4">
      <c r="B89" s="53" t="s">
        <v>126</v>
      </c>
      <c r="C89" s="14">
        <v>23816</v>
      </c>
      <c r="D89" s="15">
        <v>250.5</v>
      </c>
      <c r="E89" s="15">
        <v>256.10000000000002</v>
      </c>
      <c r="F89" s="15">
        <v>255</v>
      </c>
      <c r="G89" s="15">
        <v>258.10000000000002</v>
      </c>
      <c r="H89" s="15">
        <v>255.9</v>
      </c>
      <c r="I89" s="15" t="s">
        <v>104</v>
      </c>
      <c r="J89" s="15" t="s">
        <v>104</v>
      </c>
    </row>
    <row r="90" spans="2:10" ht="15" thickBot="1" x14ac:dyDescent="0.4">
      <c r="B90" s="52" t="s">
        <v>127</v>
      </c>
      <c r="C90" s="16">
        <v>23817</v>
      </c>
      <c r="D90" s="12">
        <v>42.4</v>
      </c>
      <c r="E90" s="12">
        <v>41.5</v>
      </c>
      <c r="F90" s="12">
        <v>41</v>
      </c>
      <c r="G90" s="12">
        <v>41.2</v>
      </c>
      <c r="H90" s="12">
        <v>41</v>
      </c>
      <c r="I90" s="12" t="s">
        <v>104</v>
      </c>
      <c r="J90" s="12" t="s">
        <v>104</v>
      </c>
    </row>
    <row r="91" spans="2:10" ht="18.649999999999999" customHeight="1" thickBot="1" x14ac:dyDescent="0.4">
      <c r="B91" s="53" t="s">
        <v>551</v>
      </c>
      <c r="C91" s="14">
        <v>23819</v>
      </c>
      <c r="D91" s="15">
        <v>63.7</v>
      </c>
      <c r="E91" s="15">
        <v>62.5</v>
      </c>
      <c r="F91" s="15">
        <v>63.6</v>
      </c>
      <c r="G91" s="15">
        <v>64</v>
      </c>
      <c r="H91" s="15">
        <v>64.599999999999994</v>
      </c>
      <c r="I91" s="15" t="s">
        <v>104</v>
      </c>
      <c r="J91" s="15" t="s">
        <v>104</v>
      </c>
    </row>
    <row r="92" spans="2:10" ht="44.15" customHeight="1" thickBot="1" x14ac:dyDescent="0.4">
      <c r="B92" s="50" t="s">
        <v>128</v>
      </c>
      <c r="C92" s="16">
        <v>2382</v>
      </c>
      <c r="D92" s="18">
        <v>2519.1999999999998</v>
      </c>
      <c r="E92" s="18">
        <v>2583.6999999999998</v>
      </c>
      <c r="F92" s="18">
        <v>2588.1</v>
      </c>
      <c r="G92" s="18">
        <v>2590.5</v>
      </c>
      <c r="H92" s="18">
        <v>2593.3000000000002</v>
      </c>
      <c r="I92" s="12" t="s">
        <v>104</v>
      </c>
      <c r="J92" s="12" t="s">
        <v>104</v>
      </c>
    </row>
    <row r="93" spans="2:10" ht="28.5" thickBot="1" x14ac:dyDescent="0.4">
      <c r="B93" s="53" t="s">
        <v>552</v>
      </c>
      <c r="C93" s="14">
        <v>23821</v>
      </c>
      <c r="D93" s="17">
        <v>1088.0999999999999</v>
      </c>
      <c r="E93" s="17">
        <v>1112.0999999999999</v>
      </c>
      <c r="F93" s="17">
        <v>1111.5</v>
      </c>
      <c r="G93" s="17">
        <v>1112.4000000000001</v>
      </c>
      <c r="H93" s="17">
        <v>1115.5999999999999</v>
      </c>
      <c r="I93" s="15" t="s">
        <v>104</v>
      </c>
      <c r="J93" s="15" t="s">
        <v>104</v>
      </c>
    </row>
    <row r="94" spans="2:10" ht="18.649999999999999" customHeight="1" thickBot="1" x14ac:dyDescent="0.4">
      <c r="B94" s="52" t="s">
        <v>553</v>
      </c>
      <c r="C94" s="16">
        <v>23822</v>
      </c>
      <c r="D94" s="18">
        <v>1276</v>
      </c>
      <c r="E94" s="18">
        <v>1308.7</v>
      </c>
      <c r="F94" s="18">
        <v>1315.1</v>
      </c>
      <c r="G94" s="18">
        <v>1315.4</v>
      </c>
      <c r="H94" s="18">
        <v>1316</v>
      </c>
      <c r="I94" s="12" t="s">
        <v>104</v>
      </c>
      <c r="J94" s="12" t="s">
        <v>104</v>
      </c>
    </row>
    <row r="95" spans="2:10" ht="27.65" customHeight="1" thickBot="1" x14ac:dyDescent="0.4">
      <c r="B95" s="53" t="s">
        <v>129</v>
      </c>
      <c r="C95" s="14">
        <v>23829</v>
      </c>
      <c r="D95" s="15">
        <v>154.80000000000001</v>
      </c>
      <c r="E95" s="15">
        <v>161.30000000000001</v>
      </c>
      <c r="F95" s="15">
        <v>161.19999999999999</v>
      </c>
      <c r="G95" s="15">
        <v>161.9</v>
      </c>
      <c r="H95" s="15">
        <v>161.5</v>
      </c>
      <c r="I95" s="15" t="s">
        <v>104</v>
      </c>
      <c r="J95" s="15" t="s">
        <v>104</v>
      </c>
    </row>
    <row r="96" spans="2:10" ht="29.5" customHeight="1" thickBot="1" x14ac:dyDescent="0.4">
      <c r="B96" s="51" t="s">
        <v>130</v>
      </c>
      <c r="C96" s="16">
        <v>2383</v>
      </c>
      <c r="D96" s="12">
        <v>831.5</v>
      </c>
      <c r="E96" s="12">
        <v>836.4</v>
      </c>
      <c r="F96" s="12">
        <v>838.5</v>
      </c>
      <c r="G96" s="12">
        <v>841.9</v>
      </c>
      <c r="H96" s="12">
        <v>841.4</v>
      </c>
      <c r="I96" s="12" t="s">
        <v>104</v>
      </c>
      <c r="J96" s="12" t="s">
        <v>104</v>
      </c>
    </row>
    <row r="97" spans="1:10" ht="18.649999999999999" customHeight="1" thickBot="1" x14ac:dyDescent="0.4">
      <c r="B97" s="42" t="s">
        <v>131</v>
      </c>
      <c r="C97" s="14">
        <v>23831</v>
      </c>
      <c r="D97" s="15">
        <v>248.7</v>
      </c>
      <c r="E97" s="15">
        <v>242.9</v>
      </c>
      <c r="F97" s="15">
        <v>243.3</v>
      </c>
      <c r="G97" s="15">
        <v>243.8</v>
      </c>
      <c r="H97" s="15">
        <v>244</v>
      </c>
      <c r="I97" s="15" t="s">
        <v>104</v>
      </c>
      <c r="J97" s="15" t="s">
        <v>104</v>
      </c>
    </row>
    <row r="98" spans="1:10" ht="18.649999999999999" customHeight="1" thickBot="1" x14ac:dyDescent="0.4">
      <c r="B98" s="45" t="s">
        <v>132</v>
      </c>
      <c r="C98" s="16">
        <v>23832</v>
      </c>
      <c r="D98" s="12">
        <v>206.8</v>
      </c>
      <c r="E98" s="12">
        <v>209</v>
      </c>
      <c r="F98" s="12">
        <v>210.4</v>
      </c>
      <c r="G98" s="12">
        <v>210.5</v>
      </c>
      <c r="H98" s="12">
        <v>210.7</v>
      </c>
      <c r="I98" s="12" t="s">
        <v>104</v>
      </c>
      <c r="J98" s="12" t="s">
        <v>104</v>
      </c>
    </row>
    <row r="99" spans="1:10" ht="15" thickBot="1" x14ac:dyDescent="0.4">
      <c r="B99" s="42" t="s">
        <v>133</v>
      </c>
      <c r="C99" s="14">
        <v>23833</v>
      </c>
      <c r="D99" s="15">
        <v>77.2</v>
      </c>
      <c r="E99" s="15">
        <v>78.8</v>
      </c>
      <c r="F99" s="15">
        <v>78.3</v>
      </c>
      <c r="G99" s="15">
        <v>78.599999999999994</v>
      </c>
      <c r="H99" s="15">
        <v>78.7</v>
      </c>
      <c r="I99" s="15" t="s">
        <v>104</v>
      </c>
      <c r="J99" s="15" t="s">
        <v>104</v>
      </c>
    </row>
    <row r="100" spans="1:10" ht="18.649999999999999" customHeight="1" thickBot="1" x14ac:dyDescent="0.4">
      <c r="B100" s="45" t="s">
        <v>134</v>
      </c>
      <c r="C100" s="16">
        <v>23834</v>
      </c>
      <c r="D100" s="12">
        <v>53.5</v>
      </c>
      <c r="E100" s="12">
        <v>49.8</v>
      </c>
      <c r="F100" s="12">
        <v>49.6</v>
      </c>
      <c r="G100" s="12">
        <v>50</v>
      </c>
      <c r="H100" s="12">
        <v>49.8</v>
      </c>
      <c r="I100" s="12" t="s">
        <v>104</v>
      </c>
      <c r="J100" s="12" t="s">
        <v>104</v>
      </c>
    </row>
    <row r="101" spans="1:10" ht="18.649999999999999" customHeight="1" thickBot="1" x14ac:dyDescent="0.4">
      <c r="B101" s="42" t="s">
        <v>135</v>
      </c>
      <c r="C101" s="14">
        <v>23835</v>
      </c>
      <c r="D101" s="15">
        <v>158.4</v>
      </c>
      <c r="E101" s="15">
        <v>166.3</v>
      </c>
      <c r="F101" s="15">
        <v>166.6</v>
      </c>
      <c r="G101" s="15">
        <v>167.2</v>
      </c>
      <c r="H101" s="15">
        <v>167.6</v>
      </c>
      <c r="I101" s="15" t="s">
        <v>104</v>
      </c>
      <c r="J101" s="15" t="s">
        <v>104</v>
      </c>
    </row>
    <row r="102" spans="1:10" ht="18.649999999999999" customHeight="1" thickBot="1" x14ac:dyDescent="0.4">
      <c r="B102" s="45" t="s">
        <v>136</v>
      </c>
      <c r="C102" s="16">
        <v>23839</v>
      </c>
      <c r="D102" s="12">
        <v>84.5</v>
      </c>
      <c r="E102" s="12">
        <v>88.1</v>
      </c>
      <c r="F102" s="12">
        <v>88.5</v>
      </c>
      <c r="G102" s="12">
        <v>90.7</v>
      </c>
      <c r="H102" s="12">
        <v>89.7</v>
      </c>
      <c r="I102" s="12" t="s">
        <v>104</v>
      </c>
      <c r="J102" s="12" t="s">
        <v>104</v>
      </c>
    </row>
    <row r="103" spans="1:10" ht="44.15" customHeight="1" thickBot="1" x14ac:dyDescent="0.4">
      <c r="B103" s="49" t="s">
        <v>137</v>
      </c>
      <c r="C103" s="14">
        <v>2389</v>
      </c>
      <c r="D103" s="15">
        <v>790.2</v>
      </c>
      <c r="E103" s="15">
        <v>811.2</v>
      </c>
      <c r="F103" s="15">
        <v>817.9</v>
      </c>
      <c r="G103" s="15">
        <v>823</v>
      </c>
      <c r="H103" s="15">
        <v>824.9</v>
      </c>
      <c r="I103" s="15" t="s">
        <v>104</v>
      </c>
      <c r="J103" s="15" t="s">
        <v>104</v>
      </c>
    </row>
    <row r="104" spans="1:10" ht="18.649999999999999" customHeight="1" thickBot="1" x14ac:dyDescent="0.4">
      <c r="B104" s="45" t="s">
        <v>138</v>
      </c>
      <c r="C104" s="16">
        <v>23891</v>
      </c>
      <c r="D104" s="12">
        <v>402.7</v>
      </c>
      <c r="E104" s="12">
        <v>407.5</v>
      </c>
      <c r="F104" s="12">
        <v>407.3</v>
      </c>
      <c r="G104" s="12">
        <v>412.3</v>
      </c>
      <c r="H104" s="12">
        <v>414.2</v>
      </c>
      <c r="I104" s="12" t="s">
        <v>104</v>
      </c>
      <c r="J104" s="12" t="s">
        <v>104</v>
      </c>
    </row>
    <row r="105" spans="1:10" ht="18.649999999999999" customHeight="1" thickBot="1" x14ac:dyDescent="0.4">
      <c r="B105" s="42" t="s">
        <v>139</v>
      </c>
      <c r="C105" s="14">
        <v>23899</v>
      </c>
      <c r="D105" s="15">
        <v>388.1</v>
      </c>
      <c r="E105" s="15">
        <v>406.2</v>
      </c>
      <c r="F105" s="15">
        <v>408.5</v>
      </c>
      <c r="G105" s="15">
        <v>409.9</v>
      </c>
      <c r="H105" s="15">
        <v>411.2</v>
      </c>
      <c r="I105" s="15" t="s">
        <v>104</v>
      </c>
      <c r="J105" s="15" t="s">
        <v>104</v>
      </c>
    </row>
    <row r="106" spans="1:10" ht="25.5" customHeight="1" thickBot="1" x14ac:dyDescent="0.4">
      <c r="B106" s="73"/>
      <c r="C106" s="74"/>
      <c r="D106" s="74"/>
      <c r="E106" s="74"/>
      <c r="F106" s="74"/>
      <c r="G106" s="74"/>
      <c r="H106" s="74"/>
      <c r="I106" s="74"/>
      <c r="J106" s="75"/>
    </row>
    <row r="107" spans="1:10" ht="15" thickBot="1" x14ac:dyDescent="0.4">
      <c r="B107" s="37" t="s">
        <v>140</v>
      </c>
      <c r="C107" s="12"/>
      <c r="D107" s="13">
        <v>12948</v>
      </c>
      <c r="E107" s="13">
        <v>12951</v>
      </c>
      <c r="F107" s="13">
        <v>12925</v>
      </c>
      <c r="G107" s="13">
        <v>12913</v>
      </c>
      <c r="H107" s="13">
        <v>12865</v>
      </c>
      <c r="I107" s="13">
        <v>12887</v>
      </c>
      <c r="J107" s="12">
        <v>22</v>
      </c>
    </row>
    <row r="108" spans="1:10" ht="15" thickBot="1" x14ac:dyDescent="0.4">
      <c r="B108" s="73"/>
      <c r="C108" s="74"/>
      <c r="D108" s="74"/>
      <c r="E108" s="74"/>
      <c r="F108" s="74"/>
      <c r="G108" s="74"/>
      <c r="H108" s="74"/>
      <c r="I108" s="74"/>
      <c r="J108" s="75"/>
    </row>
    <row r="109" spans="1:10" ht="25.5" customHeight="1" thickBot="1" x14ac:dyDescent="0.4">
      <c r="B109" s="39" t="s">
        <v>141</v>
      </c>
      <c r="C109" s="12"/>
      <c r="D109" s="13">
        <v>8129</v>
      </c>
      <c r="E109" s="13">
        <v>8130</v>
      </c>
      <c r="F109" s="13">
        <v>8100</v>
      </c>
      <c r="G109" s="13">
        <v>8096</v>
      </c>
      <c r="H109" s="13">
        <v>8052</v>
      </c>
      <c r="I109" s="13">
        <v>8078</v>
      </c>
      <c r="J109" s="12">
        <v>26</v>
      </c>
    </row>
    <row r="110" spans="1:10" ht="15" thickBot="1" x14ac:dyDescent="0.4">
      <c r="A110" t="s">
        <v>7</v>
      </c>
      <c r="B110" s="40" t="s">
        <v>554</v>
      </c>
      <c r="C110" s="14">
        <v>321</v>
      </c>
      <c r="D110" s="15">
        <v>415.1</v>
      </c>
      <c r="E110" s="15">
        <v>416.3</v>
      </c>
      <c r="F110" s="15">
        <v>414.6</v>
      </c>
      <c r="G110" s="15">
        <v>413.6</v>
      </c>
      <c r="H110" s="15">
        <v>412.8</v>
      </c>
      <c r="I110" s="15">
        <v>412.5</v>
      </c>
      <c r="J110" s="15">
        <v>-0.3</v>
      </c>
    </row>
    <row r="111" spans="1:10" ht="44.15" customHeight="1" thickBot="1" x14ac:dyDescent="0.4">
      <c r="B111" s="50" t="s">
        <v>142</v>
      </c>
      <c r="C111" s="16">
        <v>3211</v>
      </c>
      <c r="D111" s="12">
        <v>89.9</v>
      </c>
      <c r="E111" s="12">
        <v>88.7</v>
      </c>
      <c r="F111" s="12">
        <v>88</v>
      </c>
      <c r="G111" s="12">
        <v>87.5</v>
      </c>
      <c r="H111" s="12">
        <v>87.5</v>
      </c>
      <c r="I111" s="12" t="s">
        <v>104</v>
      </c>
      <c r="J111" s="12" t="s">
        <v>104</v>
      </c>
    </row>
    <row r="112" spans="1:10" ht="44.15" customHeight="1" thickBot="1" x14ac:dyDescent="0.4">
      <c r="B112" s="48" t="s">
        <v>555</v>
      </c>
      <c r="C112" s="14">
        <v>3212</v>
      </c>
      <c r="D112" s="15">
        <v>83</v>
      </c>
      <c r="E112" s="15">
        <v>82.3</v>
      </c>
      <c r="F112" s="15">
        <v>82</v>
      </c>
      <c r="G112" s="15">
        <v>81.900000000000006</v>
      </c>
      <c r="H112" s="15">
        <v>81</v>
      </c>
      <c r="I112" s="15" t="s">
        <v>104</v>
      </c>
      <c r="J112" s="15" t="s">
        <v>104</v>
      </c>
    </row>
    <row r="113" spans="1:10" ht="29.5" customHeight="1" thickBot="1" x14ac:dyDescent="0.4">
      <c r="B113" s="50" t="s">
        <v>556</v>
      </c>
      <c r="C113" s="16">
        <v>3219</v>
      </c>
      <c r="D113" s="12">
        <v>242.1</v>
      </c>
      <c r="E113" s="12">
        <v>245.7</v>
      </c>
      <c r="F113" s="12">
        <v>245</v>
      </c>
      <c r="G113" s="12">
        <v>244</v>
      </c>
      <c r="H113" s="12">
        <v>244</v>
      </c>
      <c r="I113" s="12" t="s">
        <v>104</v>
      </c>
      <c r="J113" s="12" t="s">
        <v>104</v>
      </c>
    </row>
    <row r="114" spans="1:10" ht="15" thickBot="1" x14ac:dyDescent="0.4">
      <c r="B114" s="44" t="s">
        <v>143</v>
      </c>
      <c r="C114" s="14">
        <v>32191</v>
      </c>
      <c r="D114" s="15">
        <v>102</v>
      </c>
      <c r="E114" s="15">
        <v>102.2</v>
      </c>
      <c r="F114" s="15">
        <v>102.2</v>
      </c>
      <c r="G114" s="15">
        <v>101.4</v>
      </c>
      <c r="H114" s="15">
        <v>101.9</v>
      </c>
      <c r="I114" s="15" t="s">
        <v>104</v>
      </c>
      <c r="J114" s="15" t="s">
        <v>104</v>
      </c>
    </row>
    <row r="115" spans="1:10" ht="44.15" customHeight="1" thickBot="1" x14ac:dyDescent="0.4">
      <c r="B115" s="47" t="s">
        <v>557</v>
      </c>
      <c r="C115" s="16">
        <v>321911</v>
      </c>
      <c r="D115" s="12">
        <v>56.9</v>
      </c>
      <c r="E115" s="12">
        <v>56.4</v>
      </c>
      <c r="F115" s="12">
        <v>56.6</v>
      </c>
      <c r="G115" s="12">
        <v>56.6</v>
      </c>
      <c r="H115" s="12">
        <v>56.5</v>
      </c>
      <c r="I115" s="12" t="s">
        <v>104</v>
      </c>
      <c r="J115" s="12" t="s">
        <v>104</v>
      </c>
    </row>
    <row r="116" spans="1:10" ht="116.5" customHeight="1" thickBot="1" x14ac:dyDescent="0.4">
      <c r="B116" s="46" t="s">
        <v>558</v>
      </c>
      <c r="C116" s="14" t="s">
        <v>144</v>
      </c>
      <c r="D116" s="15">
        <v>45.1</v>
      </c>
      <c r="E116" s="15">
        <v>45.9</v>
      </c>
      <c r="F116" s="15">
        <v>45.6</v>
      </c>
      <c r="G116" s="15">
        <v>44.8</v>
      </c>
      <c r="H116" s="15">
        <v>45.4</v>
      </c>
      <c r="I116" s="15" t="s">
        <v>104</v>
      </c>
      <c r="J116" s="15" t="s">
        <v>104</v>
      </c>
    </row>
    <row r="117" spans="1:10" ht="44.15" customHeight="1" thickBot="1" x14ac:dyDescent="0.4">
      <c r="B117" s="43" t="s">
        <v>559</v>
      </c>
      <c r="C117" s="16">
        <v>32192</v>
      </c>
      <c r="D117" s="12">
        <v>64.5</v>
      </c>
      <c r="E117" s="12">
        <v>65.7</v>
      </c>
      <c r="F117" s="12">
        <v>65.5</v>
      </c>
      <c r="G117" s="12">
        <v>64.5</v>
      </c>
      <c r="H117" s="12">
        <v>64.7</v>
      </c>
      <c r="I117" s="12" t="s">
        <v>104</v>
      </c>
      <c r="J117" s="12" t="s">
        <v>104</v>
      </c>
    </row>
    <row r="118" spans="1:10" ht="29.5" customHeight="1" thickBot="1" x14ac:dyDescent="0.4">
      <c r="B118" s="44" t="s">
        <v>560</v>
      </c>
      <c r="C118" s="14">
        <v>32199</v>
      </c>
      <c r="D118" s="15">
        <v>75.7</v>
      </c>
      <c r="E118" s="15">
        <v>77.7</v>
      </c>
      <c r="F118" s="15">
        <v>77</v>
      </c>
      <c r="G118" s="15">
        <v>77.3</v>
      </c>
      <c r="H118" s="15">
        <v>77.2</v>
      </c>
      <c r="I118" s="15" t="s">
        <v>104</v>
      </c>
      <c r="J118" s="15" t="s">
        <v>104</v>
      </c>
    </row>
    <row r="119" spans="1:10" ht="18.649999999999999" customHeight="1" thickBot="1" x14ac:dyDescent="0.4">
      <c r="B119" s="41" t="s">
        <v>561</v>
      </c>
      <c r="C119" s="16">
        <v>327</v>
      </c>
      <c r="D119" s="12">
        <v>422.5</v>
      </c>
      <c r="E119" s="12">
        <v>423.3</v>
      </c>
      <c r="F119" s="12">
        <v>423</v>
      </c>
      <c r="G119" s="12">
        <v>424.8</v>
      </c>
      <c r="H119" s="12">
        <v>428.2</v>
      </c>
      <c r="I119" s="12">
        <v>426.7</v>
      </c>
      <c r="J119" s="12">
        <v>-1.5</v>
      </c>
    </row>
    <row r="120" spans="1:10" ht="29.5" customHeight="1" thickBot="1" x14ac:dyDescent="0.4">
      <c r="A120" t="s">
        <v>86</v>
      </c>
      <c r="B120" s="48" t="s">
        <v>562</v>
      </c>
      <c r="C120" s="14">
        <v>3271</v>
      </c>
      <c r="D120" s="15">
        <v>35.5</v>
      </c>
      <c r="E120" s="15">
        <v>35.6</v>
      </c>
      <c r="F120" s="15">
        <v>35.6</v>
      </c>
      <c r="G120" s="15">
        <v>35.5</v>
      </c>
      <c r="H120" s="15">
        <v>35.5</v>
      </c>
      <c r="I120" s="15" t="s">
        <v>104</v>
      </c>
      <c r="J120" s="15" t="s">
        <v>104</v>
      </c>
    </row>
    <row r="121" spans="1:10" ht="29.5" customHeight="1" thickBot="1" x14ac:dyDescent="0.4">
      <c r="A121" t="s">
        <v>85</v>
      </c>
      <c r="B121" s="50" t="s">
        <v>563</v>
      </c>
      <c r="C121" s="16">
        <v>3272</v>
      </c>
      <c r="D121" s="12">
        <v>81.7</v>
      </c>
      <c r="E121" s="12">
        <v>78.900000000000006</v>
      </c>
      <c r="F121" s="12">
        <v>77.400000000000006</v>
      </c>
      <c r="G121" s="12">
        <v>77.599999999999994</v>
      </c>
      <c r="H121" s="12">
        <v>78.2</v>
      </c>
      <c r="I121" s="12" t="s">
        <v>104</v>
      </c>
      <c r="J121" s="12" t="s">
        <v>104</v>
      </c>
    </row>
    <row r="122" spans="1:10" ht="58.5" customHeight="1" thickBot="1" x14ac:dyDescent="0.4">
      <c r="A122" t="s">
        <v>86</v>
      </c>
      <c r="B122" s="48" t="s">
        <v>564</v>
      </c>
      <c r="C122" s="14">
        <v>3273</v>
      </c>
      <c r="D122" s="15">
        <v>206.9</v>
      </c>
      <c r="E122" s="15">
        <v>207.1</v>
      </c>
      <c r="F122" s="15">
        <v>206.7</v>
      </c>
      <c r="G122" s="15">
        <v>208.2</v>
      </c>
      <c r="H122" s="15">
        <v>209.5</v>
      </c>
      <c r="I122" s="15" t="s">
        <v>104</v>
      </c>
      <c r="J122" s="15" t="s">
        <v>104</v>
      </c>
    </row>
    <row r="123" spans="1:10" ht="44.15" customHeight="1" thickBot="1" x14ac:dyDescent="0.4">
      <c r="B123" s="43" t="s">
        <v>565</v>
      </c>
      <c r="C123" s="16">
        <v>32732</v>
      </c>
      <c r="D123" s="12">
        <v>106.1</v>
      </c>
      <c r="E123" s="12">
        <v>107.4</v>
      </c>
      <c r="F123" s="12">
        <v>106.8</v>
      </c>
      <c r="G123" s="12">
        <v>107.1</v>
      </c>
      <c r="H123" s="12">
        <v>107.5</v>
      </c>
      <c r="I123" s="12" t="s">
        <v>104</v>
      </c>
      <c r="J123" s="12" t="s">
        <v>104</v>
      </c>
    </row>
    <row r="124" spans="1:10" ht="29.5" customHeight="1" thickBot="1" x14ac:dyDescent="0.4">
      <c r="B124" s="44" t="s">
        <v>566</v>
      </c>
      <c r="C124" s="14" t="s">
        <v>145</v>
      </c>
      <c r="D124" s="15">
        <v>100.9</v>
      </c>
      <c r="E124" s="15">
        <v>99.7</v>
      </c>
      <c r="F124" s="15">
        <v>100.1</v>
      </c>
      <c r="G124" s="15">
        <v>101.3</v>
      </c>
      <c r="H124" s="15">
        <v>102.1</v>
      </c>
      <c r="I124" s="15" t="s">
        <v>104</v>
      </c>
      <c r="J124" s="15" t="s">
        <v>104</v>
      </c>
    </row>
    <row r="125" spans="1:10" ht="29.5" customHeight="1" thickBot="1" x14ac:dyDescent="0.4">
      <c r="A125" t="s">
        <v>86</v>
      </c>
      <c r="B125" s="50" t="s">
        <v>567</v>
      </c>
      <c r="C125" s="16" t="s">
        <v>146</v>
      </c>
      <c r="D125" s="12">
        <v>97.9</v>
      </c>
      <c r="E125" s="12">
        <v>101.7</v>
      </c>
      <c r="F125" s="12">
        <v>103.2</v>
      </c>
      <c r="G125" s="12">
        <v>103.5</v>
      </c>
      <c r="H125" s="12">
        <v>105.1</v>
      </c>
      <c r="I125" s="12" t="s">
        <v>104</v>
      </c>
      <c r="J125" s="12" t="s">
        <v>104</v>
      </c>
    </row>
    <row r="126" spans="1:10" ht="15" thickBot="1" x14ac:dyDescent="0.4">
      <c r="B126" s="40" t="s">
        <v>568</v>
      </c>
      <c r="C126" s="14">
        <v>331</v>
      </c>
      <c r="D126" s="15">
        <v>372.1</v>
      </c>
      <c r="E126" s="15">
        <v>372.6</v>
      </c>
      <c r="F126" s="15">
        <v>372.3</v>
      </c>
      <c r="G126" s="15">
        <v>371.4</v>
      </c>
      <c r="H126" s="15">
        <v>371</v>
      </c>
      <c r="I126" s="15">
        <v>371.3</v>
      </c>
      <c r="J126" s="15">
        <v>0.3</v>
      </c>
    </row>
    <row r="127" spans="1:10" ht="44.15" customHeight="1" thickBot="1" x14ac:dyDescent="0.4">
      <c r="A127" t="s">
        <v>87</v>
      </c>
      <c r="B127" s="50" t="s">
        <v>569</v>
      </c>
      <c r="C127" s="16">
        <v>3311</v>
      </c>
      <c r="D127" s="12">
        <v>80.400000000000006</v>
      </c>
      <c r="E127" s="12">
        <v>80</v>
      </c>
      <c r="F127" s="12">
        <v>80.099999999999994</v>
      </c>
      <c r="G127" s="12">
        <v>78.900000000000006</v>
      </c>
      <c r="H127" s="12">
        <v>79.599999999999994</v>
      </c>
      <c r="I127" s="12" t="s">
        <v>104</v>
      </c>
      <c r="J127" s="12" t="s">
        <v>104</v>
      </c>
    </row>
    <row r="128" spans="1:10" ht="29.5" thickBot="1" x14ac:dyDescent="0.4">
      <c r="A128" t="s">
        <v>87</v>
      </c>
      <c r="B128" s="48" t="s">
        <v>570</v>
      </c>
      <c r="C128" s="14">
        <v>3312</v>
      </c>
      <c r="D128" s="15">
        <v>60.7</v>
      </c>
      <c r="E128" s="15">
        <v>60.3</v>
      </c>
      <c r="F128" s="15">
        <v>59.5</v>
      </c>
      <c r="G128" s="15">
        <v>59.6</v>
      </c>
      <c r="H128" s="15">
        <v>59.7</v>
      </c>
      <c r="I128" s="15" t="s">
        <v>104</v>
      </c>
      <c r="J128" s="15" t="s">
        <v>104</v>
      </c>
    </row>
    <row r="129" spans="1:10" ht="44.15" customHeight="1" thickBot="1" x14ac:dyDescent="0.4">
      <c r="A129" t="s">
        <v>88</v>
      </c>
      <c r="B129" s="50" t="s">
        <v>571</v>
      </c>
      <c r="C129" s="16" t="s">
        <v>572</v>
      </c>
      <c r="D129" s="12">
        <v>124.8</v>
      </c>
      <c r="E129" s="12">
        <v>124.3</v>
      </c>
      <c r="F129" s="12">
        <v>124.5</v>
      </c>
      <c r="G129" s="12">
        <v>123.9</v>
      </c>
      <c r="H129" s="12">
        <v>123.2</v>
      </c>
      <c r="I129" s="12" t="s">
        <v>104</v>
      </c>
      <c r="J129" s="12" t="s">
        <v>104</v>
      </c>
    </row>
    <row r="130" spans="1:10" ht="15" thickBot="1" x14ac:dyDescent="0.4">
      <c r="B130" s="48" t="s">
        <v>147</v>
      </c>
      <c r="C130" s="14">
        <v>3315</v>
      </c>
      <c r="D130" s="15">
        <v>106.1</v>
      </c>
      <c r="E130" s="15">
        <v>108.2</v>
      </c>
      <c r="F130" s="15">
        <v>108</v>
      </c>
      <c r="G130" s="15">
        <v>108</v>
      </c>
      <c r="H130" s="15">
        <v>108.8</v>
      </c>
      <c r="I130" s="15" t="s">
        <v>104</v>
      </c>
      <c r="J130" s="15" t="s">
        <v>104</v>
      </c>
    </row>
    <row r="131" spans="1:10" ht="15" thickBot="1" x14ac:dyDescent="0.4">
      <c r="A131" t="s">
        <v>87</v>
      </c>
      <c r="B131" s="43" t="s">
        <v>148</v>
      </c>
      <c r="C131" s="16">
        <v>33151</v>
      </c>
      <c r="D131" s="12">
        <v>54.1</v>
      </c>
      <c r="E131" s="12">
        <v>55.5</v>
      </c>
      <c r="F131" s="12">
        <v>55.1</v>
      </c>
      <c r="G131" s="12">
        <v>54.6</v>
      </c>
      <c r="H131" s="12">
        <v>54.5</v>
      </c>
      <c r="I131" s="12" t="s">
        <v>104</v>
      </c>
      <c r="J131" s="12" t="s">
        <v>104</v>
      </c>
    </row>
    <row r="132" spans="1:10" ht="15" thickBot="1" x14ac:dyDescent="0.4">
      <c r="A132" t="s">
        <v>88</v>
      </c>
      <c r="B132" s="44" t="s">
        <v>149</v>
      </c>
      <c r="C132" s="14">
        <v>33152</v>
      </c>
      <c r="D132" s="15">
        <v>51.6</v>
      </c>
      <c r="E132" s="15">
        <v>53.2</v>
      </c>
      <c r="F132" s="15">
        <v>53.3</v>
      </c>
      <c r="G132" s="15">
        <v>53.6</v>
      </c>
      <c r="H132" s="15">
        <v>54</v>
      </c>
      <c r="I132" s="15" t="s">
        <v>104</v>
      </c>
      <c r="J132" s="15" t="s">
        <v>104</v>
      </c>
    </row>
    <row r="133" spans="1:10" ht="44" customHeight="1" thickBot="1" x14ac:dyDescent="0.4">
      <c r="A133" t="s">
        <v>11</v>
      </c>
      <c r="B133" s="41" t="s">
        <v>573</v>
      </c>
      <c r="C133" s="16">
        <v>332</v>
      </c>
      <c r="D133" s="18">
        <v>1460</v>
      </c>
      <c r="E133" s="18">
        <v>1461.5</v>
      </c>
      <c r="F133" s="18">
        <v>1458.5</v>
      </c>
      <c r="G133" s="18">
        <v>1459.5</v>
      </c>
      <c r="H133" s="18">
        <v>1456.3</v>
      </c>
      <c r="I133" s="18">
        <v>1456.4</v>
      </c>
      <c r="J133" s="12">
        <v>0.1</v>
      </c>
    </row>
    <row r="134" spans="1:10" ht="29.5" customHeight="1" thickBot="1" x14ac:dyDescent="0.4">
      <c r="B134" s="48" t="s">
        <v>150</v>
      </c>
      <c r="C134" s="14">
        <v>3321</v>
      </c>
      <c r="D134" s="15">
        <v>89.6</v>
      </c>
      <c r="E134" s="15">
        <v>88.8</v>
      </c>
      <c r="F134" s="15">
        <v>89.7</v>
      </c>
      <c r="G134" s="15">
        <v>90.3</v>
      </c>
      <c r="H134" s="15">
        <v>89.5</v>
      </c>
      <c r="I134" s="15" t="s">
        <v>104</v>
      </c>
      <c r="J134" s="15" t="s">
        <v>104</v>
      </c>
    </row>
    <row r="135" spans="1:10" ht="29.5" customHeight="1" thickBot="1" x14ac:dyDescent="0.4">
      <c r="B135" s="50" t="s">
        <v>574</v>
      </c>
      <c r="C135" s="16">
        <v>3323</v>
      </c>
      <c r="D135" s="12">
        <v>421.5</v>
      </c>
      <c r="E135" s="12">
        <v>427</v>
      </c>
      <c r="F135" s="12">
        <v>426.5</v>
      </c>
      <c r="G135" s="12">
        <v>426.3</v>
      </c>
      <c r="H135" s="12">
        <v>425.3</v>
      </c>
      <c r="I135" s="12" t="s">
        <v>104</v>
      </c>
      <c r="J135" s="12" t="s">
        <v>104</v>
      </c>
    </row>
    <row r="136" spans="1:10" ht="29.5" thickBot="1" x14ac:dyDescent="0.4">
      <c r="B136" s="44" t="s">
        <v>575</v>
      </c>
      <c r="C136" s="14">
        <v>33231</v>
      </c>
      <c r="D136" s="15">
        <v>189.6</v>
      </c>
      <c r="E136" s="15">
        <v>194.5</v>
      </c>
      <c r="F136" s="15">
        <v>194.2</v>
      </c>
      <c r="G136" s="15">
        <v>194.2</v>
      </c>
      <c r="H136" s="15">
        <v>195</v>
      </c>
      <c r="I136" s="15" t="s">
        <v>104</v>
      </c>
      <c r="J136" s="15" t="s">
        <v>104</v>
      </c>
    </row>
    <row r="137" spans="1:10" ht="29.5" customHeight="1" thickBot="1" x14ac:dyDescent="0.4">
      <c r="B137" s="47" t="s">
        <v>576</v>
      </c>
      <c r="C137" s="16">
        <v>332312</v>
      </c>
      <c r="D137" s="12">
        <v>102.5</v>
      </c>
      <c r="E137" s="12">
        <v>104.4</v>
      </c>
      <c r="F137" s="12">
        <v>104</v>
      </c>
      <c r="G137" s="12">
        <v>103.6</v>
      </c>
      <c r="H137" s="12">
        <v>104.6</v>
      </c>
      <c r="I137" s="12" t="s">
        <v>104</v>
      </c>
      <c r="J137" s="12" t="s">
        <v>104</v>
      </c>
    </row>
    <row r="138" spans="1:10" ht="29.5" customHeight="1" thickBot="1" x14ac:dyDescent="0.4">
      <c r="B138" s="46" t="s">
        <v>577</v>
      </c>
      <c r="C138" s="14" t="s">
        <v>151</v>
      </c>
      <c r="D138" s="15">
        <v>86.7</v>
      </c>
      <c r="E138" s="15">
        <v>90.1</v>
      </c>
      <c r="F138" s="15">
        <v>90.2</v>
      </c>
      <c r="G138" s="15">
        <v>90.3</v>
      </c>
      <c r="H138" s="15">
        <v>90.5</v>
      </c>
      <c r="I138" s="15" t="s">
        <v>104</v>
      </c>
      <c r="J138" s="15" t="s">
        <v>104</v>
      </c>
    </row>
    <row r="139" spans="1:10" ht="44.15" customHeight="1" thickBot="1" x14ac:dyDescent="0.4">
      <c r="B139" s="43" t="s">
        <v>578</v>
      </c>
      <c r="C139" s="16">
        <v>33232</v>
      </c>
      <c r="D139" s="12">
        <v>232.2</v>
      </c>
      <c r="E139" s="12">
        <v>233.3</v>
      </c>
      <c r="F139" s="12">
        <v>232.9</v>
      </c>
      <c r="G139" s="12">
        <v>232.4</v>
      </c>
      <c r="H139" s="12">
        <v>230.9</v>
      </c>
      <c r="I139" s="12" t="s">
        <v>104</v>
      </c>
      <c r="J139" s="12" t="s">
        <v>104</v>
      </c>
    </row>
    <row r="140" spans="1:10" ht="58.5" customHeight="1" thickBot="1" x14ac:dyDescent="0.4">
      <c r="B140" s="46" t="s">
        <v>579</v>
      </c>
      <c r="C140" s="14">
        <v>332321</v>
      </c>
      <c r="D140" s="15">
        <v>68.400000000000006</v>
      </c>
      <c r="E140" s="15">
        <v>69.8</v>
      </c>
      <c r="F140" s="15">
        <v>69.2</v>
      </c>
      <c r="G140" s="15">
        <v>69.099999999999994</v>
      </c>
      <c r="H140" s="15">
        <v>68.7</v>
      </c>
      <c r="I140" s="15" t="s">
        <v>104</v>
      </c>
      <c r="J140" s="15" t="s">
        <v>104</v>
      </c>
    </row>
    <row r="141" spans="1:10" ht="58.5" customHeight="1" thickBot="1" x14ac:dyDescent="0.4">
      <c r="B141" s="47" t="s">
        <v>580</v>
      </c>
      <c r="C141" s="16">
        <v>332322</v>
      </c>
      <c r="D141" s="12">
        <v>118.1</v>
      </c>
      <c r="E141" s="12">
        <v>118.9</v>
      </c>
      <c r="F141" s="12">
        <v>119.7</v>
      </c>
      <c r="G141" s="12">
        <v>119.5</v>
      </c>
      <c r="H141" s="12">
        <v>119</v>
      </c>
      <c r="I141" s="12" t="s">
        <v>104</v>
      </c>
      <c r="J141" s="12" t="s">
        <v>104</v>
      </c>
    </row>
    <row r="142" spans="1:10" ht="87.65" customHeight="1" thickBot="1" x14ac:dyDescent="0.4">
      <c r="B142" s="46" t="s">
        <v>581</v>
      </c>
      <c r="C142" s="14">
        <v>332323</v>
      </c>
      <c r="D142" s="15">
        <v>45.3</v>
      </c>
      <c r="E142" s="15">
        <v>44.7</v>
      </c>
      <c r="F142" s="15">
        <v>44</v>
      </c>
      <c r="G142" s="15">
        <v>43.9</v>
      </c>
      <c r="H142" s="15">
        <v>43.1</v>
      </c>
      <c r="I142" s="15" t="s">
        <v>104</v>
      </c>
      <c r="J142" s="15" t="s">
        <v>104</v>
      </c>
    </row>
    <row r="143" spans="1:10" ht="58.5" customHeight="1" thickBot="1" x14ac:dyDescent="0.4">
      <c r="B143" s="50" t="s">
        <v>582</v>
      </c>
      <c r="C143" s="16">
        <v>3324</v>
      </c>
      <c r="D143" s="12">
        <v>95.4</v>
      </c>
      <c r="E143" s="12">
        <v>98.6</v>
      </c>
      <c r="F143" s="12">
        <v>98.6</v>
      </c>
      <c r="G143" s="12">
        <v>98.6</v>
      </c>
      <c r="H143" s="12">
        <v>98</v>
      </c>
      <c r="I143" s="12" t="s">
        <v>104</v>
      </c>
      <c r="J143" s="12" t="s">
        <v>104</v>
      </c>
    </row>
    <row r="144" spans="1:10" ht="44.15" customHeight="1" thickBot="1" x14ac:dyDescent="0.4">
      <c r="B144" s="48" t="s">
        <v>583</v>
      </c>
      <c r="C144" s="14" t="s">
        <v>152</v>
      </c>
      <c r="D144" s="15">
        <v>64.900000000000006</v>
      </c>
      <c r="E144" s="15">
        <v>64.3</v>
      </c>
      <c r="F144" s="15">
        <v>64</v>
      </c>
      <c r="G144" s="15">
        <v>63.9</v>
      </c>
      <c r="H144" s="15">
        <v>63.5</v>
      </c>
      <c r="I144" s="15" t="s">
        <v>104</v>
      </c>
      <c r="J144" s="15" t="s">
        <v>104</v>
      </c>
    </row>
    <row r="145" spans="1:10" ht="29.5" customHeight="1" thickBot="1" x14ac:dyDescent="0.4">
      <c r="B145" s="50" t="s">
        <v>584</v>
      </c>
      <c r="C145" s="16">
        <v>3327</v>
      </c>
      <c r="D145" s="12">
        <v>342.3</v>
      </c>
      <c r="E145" s="12">
        <v>333.5</v>
      </c>
      <c r="F145" s="12">
        <v>331.8</v>
      </c>
      <c r="G145" s="12">
        <v>331.3</v>
      </c>
      <c r="H145" s="12">
        <v>331.7</v>
      </c>
      <c r="I145" s="12" t="s">
        <v>104</v>
      </c>
      <c r="J145" s="12" t="s">
        <v>104</v>
      </c>
    </row>
    <row r="146" spans="1:10" ht="58.5" customHeight="1" thickBot="1" x14ac:dyDescent="0.4">
      <c r="B146" s="44" t="s">
        <v>153</v>
      </c>
      <c r="C146" s="14">
        <v>33271</v>
      </c>
      <c r="D146" s="15">
        <v>266.5</v>
      </c>
      <c r="E146" s="15">
        <v>260</v>
      </c>
      <c r="F146" s="15">
        <v>258.60000000000002</v>
      </c>
      <c r="G146" s="15">
        <v>257.8</v>
      </c>
      <c r="H146" s="15">
        <v>258.3</v>
      </c>
      <c r="I146" s="15" t="s">
        <v>104</v>
      </c>
      <c r="J146" s="15" t="s">
        <v>104</v>
      </c>
    </row>
    <row r="147" spans="1:10" ht="44.15" customHeight="1" thickBot="1" x14ac:dyDescent="0.4">
      <c r="B147" s="43" t="s">
        <v>585</v>
      </c>
      <c r="C147" s="16">
        <v>33272</v>
      </c>
      <c r="D147" s="12">
        <v>75.7</v>
      </c>
      <c r="E147" s="12">
        <v>73.5</v>
      </c>
      <c r="F147" s="12">
        <v>73.599999999999994</v>
      </c>
      <c r="G147" s="12">
        <v>73.400000000000006</v>
      </c>
      <c r="H147" s="12">
        <v>73.3</v>
      </c>
      <c r="I147" s="12" t="s">
        <v>104</v>
      </c>
      <c r="J147" s="12" t="s">
        <v>104</v>
      </c>
    </row>
    <row r="148" spans="1:10" ht="44.15" customHeight="1" thickBot="1" x14ac:dyDescent="0.4">
      <c r="B148" s="48" t="s">
        <v>586</v>
      </c>
      <c r="C148" s="14">
        <v>3328</v>
      </c>
      <c r="D148" s="15">
        <v>129.6</v>
      </c>
      <c r="E148" s="15">
        <v>130.4</v>
      </c>
      <c r="F148" s="15">
        <v>129.80000000000001</v>
      </c>
      <c r="G148" s="15">
        <v>129.80000000000001</v>
      </c>
      <c r="H148" s="15">
        <v>128.9</v>
      </c>
      <c r="I148" s="15" t="s">
        <v>104</v>
      </c>
      <c r="J148" s="15" t="s">
        <v>104</v>
      </c>
    </row>
    <row r="149" spans="1:10" ht="44.15" customHeight="1" thickBot="1" x14ac:dyDescent="0.4">
      <c r="B149" s="43" t="s">
        <v>587</v>
      </c>
      <c r="C149" s="16" t="s">
        <v>154</v>
      </c>
      <c r="D149" s="12">
        <v>77.3</v>
      </c>
      <c r="E149" s="12">
        <v>76.2</v>
      </c>
      <c r="F149" s="12">
        <v>76.3</v>
      </c>
      <c r="G149" s="12">
        <v>76.7</v>
      </c>
      <c r="H149" s="12">
        <v>76.2</v>
      </c>
      <c r="I149" s="12" t="s">
        <v>104</v>
      </c>
      <c r="J149" s="12" t="s">
        <v>104</v>
      </c>
    </row>
    <row r="150" spans="1:10" ht="29.5" customHeight="1" thickBot="1" x14ac:dyDescent="0.4">
      <c r="B150" s="44" t="s">
        <v>588</v>
      </c>
      <c r="C150" s="14">
        <v>332813</v>
      </c>
      <c r="D150" s="15">
        <v>52.3</v>
      </c>
      <c r="E150" s="15">
        <v>53.7</v>
      </c>
      <c r="F150" s="15">
        <v>53.3</v>
      </c>
      <c r="G150" s="15">
        <v>53.2</v>
      </c>
      <c r="H150" s="15">
        <v>52.9</v>
      </c>
      <c r="I150" s="15" t="s">
        <v>104</v>
      </c>
      <c r="J150" s="15" t="s">
        <v>104</v>
      </c>
    </row>
    <row r="151" spans="1:10" ht="58.5" customHeight="1" thickBot="1" x14ac:dyDescent="0.4">
      <c r="B151" s="50" t="s">
        <v>589</v>
      </c>
      <c r="C151" s="16">
        <v>3329</v>
      </c>
      <c r="D151" s="12">
        <v>316</v>
      </c>
      <c r="E151" s="12">
        <v>318.3</v>
      </c>
      <c r="F151" s="12">
        <v>317.5</v>
      </c>
      <c r="G151" s="12">
        <v>319</v>
      </c>
      <c r="H151" s="12">
        <v>318.89999999999998</v>
      </c>
      <c r="I151" s="12" t="s">
        <v>104</v>
      </c>
      <c r="J151" s="12" t="s">
        <v>104</v>
      </c>
    </row>
    <row r="152" spans="1:10" ht="58.5" customHeight="1" thickBot="1" x14ac:dyDescent="0.4">
      <c r="B152" s="44" t="s">
        <v>590</v>
      </c>
      <c r="C152" s="14">
        <v>33291</v>
      </c>
      <c r="D152" s="15">
        <v>89.8</v>
      </c>
      <c r="E152" s="15">
        <v>90.9</v>
      </c>
      <c r="F152" s="15">
        <v>91.4</v>
      </c>
      <c r="G152" s="15">
        <v>91.3</v>
      </c>
      <c r="H152" s="15">
        <v>91.6</v>
      </c>
      <c r="I152" s="15" t="s">
        <v>104</v>
      </c>
      <c r="J152" s="15" t="s">
        <v>104</v>
      </c>
    </row>
    <row r="153" spans="1:10" ht="73" customHeight="1" thickBot="1" x14ac:dyDescent="0.4">
      <c r="B153" s="47" t="s">
        <v>982</v>
      </c>
      <c r="C153" s="16">
        <v>332912</v>
      </c>
      <c r="D153" s="12">
        <v>38.5</v>
      </c>
      <c r="E153" s="12">
        <v>37.9</v>
      </c>
      <c r="F153" s="12">
        <v>38</v>
      </c>
      <c r="G153" s="12">
        <v>38.1</v>
      </c>
      <c r="H153" s="12">
        <v>38</v>
      </c>
      <c r="I153" s="12" t="s">
        <v>104</v>
      </c>
      <c r="J153" s="12" t="s">
        <v>104</v>
      </c>
    </row>
    <row r="154" spans="1:10" ht="58.5" customHeight="1" thickBot="1" x14ac:dyDescent="0.4">
      <c r="B154" s="46" t="s">
        <v>983</v>
      </c>
      <c r="C154" s="14" t="s">
        <v>155</v>
      </c>
      <c r="D154" s="15">
        <v>51.3</v>
      </c>
      <c r="E154" s="15">
        <v>53.2</v>
      </c>
      <c r="F154" s="15">
        <v>53.5</v>
      </c>
      <c r="G154" s="15">
        <v>53</v>
      </c>
      <c r="H154" s="15">
        <v>53.5</v>
      </c>
      <c r="I154" s="15" t="s">
        <v>104</v>
      </c>
      <c r="J154" s="15" t="s">
        <v>104</v>
      </c>
    </row>
    <row r="155" spans="1:10" ht="29.5" customHeight="1" thickBot="1" x14ac:dyDescent="0.4">
      <c r="B155" s="43" t="s">
        <v>591</v>
      </c>
      <c r="C155" s="16">
        <v>33299</v>
      </c>
      <c r="D155" s="12">
        <v>226</v>
      </c>
      <c r="E155" s="12">
        <v>227.7</v>
      </c>
      <c r="F155" s="12">
        <v>225.6</v>
      </c>
      <c r="G155" s="12">
        <v>227.6</v>
      </c>
      <c r="H155" s="12">
        <v>227.5</v>
      </c>
      <c r="I155" s="12" t="s">
        <v>104</v>
      </c>
      <c r="J155" s="12" t="s">
        <v>104</v>
      </c>
    </row>
    <row r="156" spans="1:10" ht="44" thickBot="1" x14ac:dyDescent="0.4">
      <c r="B156" s="46" t="s">
        <v>592</v>
      </c>
      <c r="C156" s="14" t="s">
        <v>156</v>
      </c>
      <c r="D156" s="15">
        <v>54</v>
      </c>
      <c r="E156" s="15">
        <v>55</v>
      </c>
      <c r="F156" s="15">
        <v>54</v>
      </c>
      <c r="G156" s="15">
        <v>53.9</v>
      </c>
      <c r="H156" s="15">
        <v>54.7</v>
      </c>
      <c r="I156" s="15" t="s">
        <v>104</v>
      </c>
      <c r="J156" s="15" t="s">
        <v>104</v>
      </c>
    </row>
    <row r="157" spans="1:10" ht="44.15" customHeight="1" thickBot="1" x14ac:dyDescent="0.4">
      <c r="B157" s="47" t="s">
        <v>593</v>
      </c>
      <c r="C157" s="16" t="s">
        <v>594</v>
      </c>
      <c r="D157" s="12">
        <v>172.2</v>
      </c>
      <c r="E157" s="12">
        <v>172.4</v>
      </c>
      <c r="F157" s="12">
        <v>171.4</v>
      </c>
      <c r="G157" s="12">
        <v>173.6</v>
      </c>
      <c r="H157" s="12">
        <v>172.9</v>
      </c>
      <c r="I157" s="12" t="s">
        <v>104</v>
      </c>
      <c r="J157" s="12" t="s">
        <v>104</v>
      </c>
    </row>
    <row r="158" spans="1:10" ht="29.5" customHeight="1" thickBot="1" x14ac:dyDescent="0.4">
      <c r="A158" t="s">
        <v>14</v>
      </c>
      <c r="B158" s="40" t="s">
        <v>595</v>
      </c>
      <c r="C158" s="14">
        <v>333</v>
      </c>
      <c r="D158" s="17">
        <v>1138</v>
      </c>
      <c r="E158" s="17">
        <v>1131.0999999999999</v>
      </c>
      <c r="F158" s="17">
        <v>1129.4000000000001</v>
      </c>
      <c r="G158" s="17">
        <v>1132</v>
      </c>
      <c r="H158" s="17">
        <v>1132</v>
      </c>
      <c r="I158" s="17">
        <v>1134.7</v>
      </c>
      <c r="J158" s="15">
        <v>2.7</v>
      </c>
    </row>
    <row r="159" spans="1:10" ht="44.15" customHeight="1" thickBot="1" x14ac:dyDescent="0.4">
      <c r="B159" s="50" t="s">
        <v>596</v>
      </c>
      <c r="C159" s="16">
        <v>3331</v>
      </c>
      <c r="D159" s="12">
        <v>222</v>
      </c>
      <c r="E159" s="12">
        <v>219.9</v>
      </c>
      <c r="F159" s="12">
        <v>217</v>
      </c>
      <c r="G159" s="12">
        <v>217.1</v>
      </c>
      <c r="H159" s="12">
        <v>217.2</v>
      </c>
      <c r="I159" s="12" t="s">
        <v>104</v>
      </c>
      <c r="J159" s="12" t="s">
        <v>104</v>
      </c>
    </row>
    <row r="160" spans="1:10" ht="73" customHeight="1" thickBot="1" x14ac:dyDescent="0.4">
      <c r="B160" s="44" t="s">
        <v>597</v>
      </c>
      <c r="C160" s="14">
        <v>33311</v>
      </c>
      <c r="D160" s="15">
        <v>86.9</v>
      </c>
      <c r="E160" s="15">
        <v>85.6</v>
      </c>
      <c r="F160" s="15">
        <v>85.1</v>
      </c>
      <c r="G160" s="15">
        <v>84.4</v>
      </c>
      <c r="H160" s="15">
        <v>84</v>
      </c>
      <c r="I160" s="15" t="s">
        <v>104</v>
      </c>
      <c r="J160" s="15" t="s">
        <v>104</v>
      </c>
    </row>
    <row r="161" spans="2:10" ht="87.65" customHeight="1" thickBot="1" x14ac:dyDescent="0.4">
      <c r="B161" s="43" t="s">
        <v>598</v>
      </c>
      <c r="C161" s="16">
        <v>33312</v>
      </c>
      <c r="D161" s="12">
        <v>75.099999999999994</v>
      </c>
      <c r="E161" s="12">
        <v>76.2</v>
      </c>
      <c r="F161" s="12">
        <v>75.400000000000006</v>
      </c>
      <c r="G161" s="12">
        <v>75</v>
      </c>
      <c r="H161" s="12">
        <v>74.3</v>
      </c>
      <c r="I161" s="12" t="s">
        <v>104</v>
      </c>
      <c r="J161" s="12" t="s">
        <v>104</v>
      </c>
    </row>
    <row r="162" spans="2:10" ht="29.5" customHeight="1" thickBot="1" x14ac:dyDescent="0.4">
      <c r="B162" s="44" t="s">
        <v>599</v>
      </c>
      <c r="C162" s="14">
        <v>33313</v>
      </c>
      <c r="D162" s="15">
        <v>59.9</v>
      </c>
      <c r="E162" s="15">
        <v>58.1</v>
      </c>
      <c r="F162" s="15">
        <v>57.7</v>
      </c>
      <c r="G162" s="15">
        <v>58.1</v>
      </c>
      <c r="H162" s="15">
        <v>59.2</v>
      </c>
      <c r="I162" s="15" t="s">
        <v>104</v>
      </c>
      <c r="J162" s="15" t="s">
        <v>104</v>
      </c>
    </row>
    <row r="163" spans="2:10" ht="15" thickBot="1" x14ac:dyDescent="0.4">
      <c r="B163" s="50" t="s">
        <v>600</v>
      </c>
      <c r="C163" s="16">
        <v>3332</v>
      </c>
      <c r="D163" s="12">
        <v>132.6</v>
      </c>
      <c r="E163" s="12">
        <v>133.30000000000001</v>
      </c>
      <c r="F163" s="12">
        <v>133.19999999999999</v>
      </c>
      <c r="G163" s="12">
        <v>133</v>
      </c>
      <c r="H163" s="12">
        <v>133.4</v>
      </c>
      <c r="I163" s="12" t="s">
        <v>104</v>
      </c>
      <c r="J163" s="12" t="s">
        <v>104</v>
      </c>
    </row>
    <row r="164" spans="2:10" ht="29.5" customHeight="1" thickBot="1" x14ac:dyDescent="0.4">
      <c r="B164" s="44" t="s">
        <v>601</v>
      </c>
      <c r="C164" s="14">
        <v>333248</v>
      </c>
      <c r="D164" s="15">
        <v>70.3</v>
      </c>
      <c r="E164" s="15">
        <v>70.900000000000006</v>
      </c>
      <c r="F164" s="15">
        <v>70.8</v>
      </c>
      <c r="G164" s="15">
        <v>70.900000000000006</v>
      </c>
      <c r="H164" s="15">
        <v>70.900000000000006</v>
      </c>
      <c r="I164" s="15" t="s">
        <v>104</v>
      </c>
      <c r="J164" s="15" t="s">
        <v>104</v>
      </c>
    </row>
    <row r="165" spans="2:10" ht="29.5" customHeight="1" thickBot="1" x14ac:dyDescent="0.4">
      <c r="B165" s="50" t="s">
        <v>602</v>
      </c>
      <c r="C165" s="16">
        <v>3333</v>
      </c>
      <c r="D165" s="12">
        <v>91.9</v>
      </c>
      <c r="E165" s="12">
        <v>91.3</v>
      </c>
      <c r="F165" s="12">
        <v>91.6</v>
      </c>
      <c r="G165" s="12">
        <v>92.1</v>
      </c>
      <c r="H165" s="12">
        <v>92.2</v>
      </c>
      <c r="I165" s="12" t="s">
        <v>104</v>
      </c>
      <c r="J165" s="12" t="s">
        <v>104</v>
      </c>
    </row>
    <row r="166" spans="2:10" ht="44.15" customHeight="1" thickBot="1" x14ac:dyDescent="0.4">
      <c r="B166" s="48" t="s">
        <v>603</v>
      </c>
      <c r="C166" s="14">
        <v>3334</v>
      </c>
      <c r="D166" s="15">
        <v>152.9</v>
      </c>
      <c r="E166" s="15">
        <v>154</v>
      </c>
      <c r="F166" s="15">
        <v>154.80000000000001</v>
      </c>
      <c r="G166" s="15">
        <v>155.6</v>
      </c>
      <c r="H166" s="15">
        <v>156.6</v>
      </c>
      <c r="I166" s="15" t="s">
        <v>104</v>
      </c>
      <c r="J166" s="15" t="s">
        <v>104</v>
      </c>
    </row>
    <row r="167" spans="2:10" ht="29.5" customHeight="1" thickBot="1" x14ac:dyDescent="0.4">
      <c r="B167" s="43" t="s">
        <v>604</v>
      </c>
      <c r="C167" s="16">
        <v>333415</v>
      </c>
      <c r="D167" s="12">
        <v>101.2</v>
      </c>
      <c r="E167" s="12">
        <v>99.8</v>
      </c>
      <c r="F167" s="12">
        <v>100.4</v>
      </c>
      <c r="G167" s="12">
        <v>101.2</v>
      </c>
      <c r="H167" s="12">
        <v>101.6</v>
      </c>
      <c r="I167" s="12" t="s">
        <v>104</v>
      </c>
      <c r="J167" s="12" t="s">
        <v>104</v>
      </c>
    </row>
    <row r="168" spans="2:10" ht="44.15" customHeight="1" thickBot="1" x14ac:dyDescent="0.4">
      <c r="B168" s="48" t="s">
        <v>605</v>
      </c>
      <c r="C168" s="14">
        <v>3335</v>
      </c>
      <c r="D168" s="15">
        <v>161</v>
      </c>
      <c r="E168" s="15">
        <v>158.4</v>
      </c>
      <c r="F168" s="15">
        <v>158.30000000000001</v>
      </c>
      <c r="G168" s="15">
        <v>158.30000000000001</v>
      </c>
      <c r="H168" s="15">
        <v>157.5</v>
      </c>
      <c r="I168" s="15" t="s">
        <v>104</v>
      </c>
      <c r="J168" s="15" t="s">
        <v>104</v>
      </c>
    </row>
    <row r="169" spans="2:10" ht="58.5" customHeight="1" thickBot="1" x14ac:dyDescent="0.4">
      <c r="B169" s="43" t="s">
        <v>606</v>
      </c>
      <c r="C169" s="16">
        <v>333514</v>
      </c>
      <c r="D169" s="12">
        <v>53.3</v>
      </c>
      <c r="E169" s="12">
        <v>52.2</v>
      </c>
      <c r="F169" s="12">
        <v>52.1</v>
      </c>
      <c r="G169" s="12">
        <v>52.2</v>
      </c>
      <c r="H169" s="12">
        <v>51.9</v>
      </c>
      <c r="I169" s="12" t="s">
        <v>104</v>
      </c>
      <c r="J169" s="12" t="s">
        <v>104</v>
      </c>
    </row>
    <row r="170" spans="2:10" ht="58.5" customHeight="1" thickBot="1" x14ac:dyDescent="0.4">
      <c r="B170" s="44" t="s">
        <v>157</v>
      </c>
      <c r="C170" s="14">
        <v>333517</v>
      </c>
      <c r="D170" s="15">
        <v>42.5</v>
      </c>
      <c r="E170" s="15">
        <v>41.7</v>
      </c>
      <c r="F170" s="15">
        <v>41.7</v>
      </c>
      <c r="G170" s="15">
        <v>41.9</v>
      </c>
      <c r="H170" s="15">
        <v>41.8</v>
      </c>
      <c r="I170" s="15" t="s">
        <v>104</v>
      </c>
      <c r="J170" s="15" t="s">
        <v>104</v>
      </c>
    </row>
    <row r="171" spans="2:10" ht="43.5" customHeight="1" thickBot="1" x14ac:dyDescent="0.4">
      <c r="B171" s="43" t="s">
        <v>607</v>
      </c>
      <c r="C171" s="16" t="s">
        <v>608</v>
      </c>
      <c r="D171" s="12">
        <v>65.3</v>
      </c>
      <c r="E171" s="12">
        <v>64.5</v>
      </c>
      <c r="F171" s="12">
        <v>64.400000000000006</v>
      </c>
      <c r="G171" s="12">
        <v>64.3</v>
      </c>
      <c r="H171" s="12">
        <v>63.9</v>
      </c>
      <c r="I171" s="12" t="s">
        <v>104</v>
      </c>
      <c r="J171" s="12" t="s">
        <v>104</v>
      </c>
    </row>
    <row r="172" spans="2:10" ht="29.5" customHeight="1" thickBot="1" x14ac:dyDescent="0.4">
      <c r="B172" s="48" t="s">
        <v>609</v>
      </c>
      <c r="C172" s="14">
        <v>3336</v>
      </c>
      <c r="D172" s="15">
        <v>91.4</v>
      </c>
      <c r="E172" s="15">
        <v>92.7</v>
      </c>
      <c r="F172" s="15">
        <v>91.7</v>
      </c>
      <c r="G172" s="15">
        <v>92.6</v>
      </c>
      <c r="H172" s="15">
        <v>93.4</v>
      </c>
      <c r="I172" s="15" t="s">
        <v>104</v>
      </c>
      <c r="J172" s="15" t="s">
        <v>104</v>
      </c>
    </row>
    <row r="173" spans="2:10" ht="44.15" customHeight="1" thickBot="1" x14ac:dyDescent="0.4">
      <c r="B173" s="50" t="s">
        <v>610</v>
      </c>
      <c r="C173" s="16">
        <v>3339</v>
      </c>
      <c r="D173" s="12">
        <v>286.10000000000002</v>
      </c>
      <c r="E173" s="12">
        <v>281.8</v>
      </c>
      <c r="F173" s="12">
        <v>281.60000000000002</v>
      </c>
      <c r="G173" s="12">
        <v>281.60000000000002</v>
      </c>
      <c r="H173" s="12">
        <v>280.89999999999998</v>
      </c>
      <c r="I173" s="12" t="s">
        <v>104</v>
      </c>
      <c r="J173" s="12" t="s">
        <v>104</v>
      </c>
    </row>
    <row r="174" spans="2:10" ht="44.15" customHeight="1" thickBot="1" x14ac:dyDescent="0.4">
      <c r="B174" s="44" t="s">
        <v>611</v>
      </c>
      <c r="C174" s="14">
        <v>33391</v>
      </c>
      <c r="D174" s="15">
        <v>48.1</v>
      </c>
      <c r="E174" s="15">
        <v>48.2</v>
      </c>
      <c r="F174" s="15">
        <v>48.1</v>
      </c>
      <c r="G174" s="15">
        <v>48.7</v>
      </c>
      <c r="H174" s="15">
        <v>48.7</v>
      </c>
      <c r="I174" s="15" t="s">
        <v>104</v>
      </c>
      <c r="J174" s="15" t="s">
        <v>104</v>
      </c>
    </row>
    <row r="175" spans="2:10" ht="44.15" customHeight="1" thickBot="1" x14ac:dyDescent="0.4">
      <c r="B175" s="43" t="s">
        <v>612</v>
      </c>
      <c r="C175" s="16">
        <v>33392</v>
      </c>
      <c r="D175" s="12">
        <v>95.2</v>
      </c>
      <c r="E175" s="12">
        <v>95</v>
      </c>
      <c r="F175" s="12">
        <v>95.1</v>
      </c>
      <c r="G175" s="12">
        <v>94.9</v>
      </c>
      <c r="H175" s="12">
        <v>95.1</v>
      </c>
      <c r="I175" s="12" t="s">
        <v>104</v>
      </c>
      <c r="J175" s="12" t="s">
        <v>104</v>
      </c>
    </row>
    <row r="176" spans="2:10" ht="58.5" customHeight="1" thickBot="1" x14ac:dyDescent="0.4">
      <c r="B176" s="44" t="s">
        <v>613</v>
      </c>
      <c r="C176" s="14">
        <v>33399</v>
      </c>
      <c r="D176" s="15">
        <v>143</v>
      </c>
      <c r="E176" s="15">
        <v>138.4</v>
      </c>
      <c r="F176" s="15">
        <v>138.30000000000001</v>
      </c>
      <c r="G176" s="15">
        <v>137.80000000000001</v>
      </c>
      <c r="H176" s="15">
        <v>136.9</v>
      </c>
      <c r="I176" s="15" t="s">
        <v>104</v>
      </c>
      <c r="J176" s="15" t="s">
        <v>104</v>
      </c>
    </row>
    <row r="177" spans="1:10" ht="44.15" customHeight="1" thickBot="1" x14ac:dyDescent="0.4">
      <c r="A177" t="s">
        <v>12</v>
      </c>
      <c r="B177" s="41" t="s">
        <v>614</v>
      </c>
      <c r="C177" s="16">
        <v>334</v>
      </c>
      <c r="D177" s="18">
        <v>1106.5</v>
      </c>
      <c r="E177" s="18">
        <v>1099.5</v>
      </c>
      <c r="F177" s="18">
        <v>1097.2</v>
      </c>
      <c r="G177" s="18">
        <v>1096.7</v>
      </c>
      <c r="H177" s="18">
        <v>1093.2</v>
      </c>
      <c r="I177" s="18">
        <v>1089.2</v>
      </c>
      <c r="J177" s="12">
        <v>-4</v>
      </c>
    </row>
    <row r="178" spans="1:10" ht="29.5" customHeight="1" thickBot="1" x14ac:dyDescent="0.4">
      <c r="B178" s="42" t="s">
        <v>615</v>
      </c>
      <c r="C178" s="14">
        <v>3341</v>
      </c>
      <c r="D178" s="15">
        <v>162.19999999999999</v>
      </c>
      <c r="E178" s="15">
        <v>160</v>
      </c>
      <c r="F178" s="15">
        <v>159.69999999999999</v>
      </c>
      <c r="G178" s="15">
        <v>159.9</v>
      </c>
      <c r="H178" s="15">
        <v>159.5</v>
      </c>
      <c r="I178" s="15">
        <v>159.6</v>
      </c>
      <c r="J178" s="15">
        <v>0.1</v>
      </c>
    </row>
    <row r="179" spans="1:10" ht="44.15" customHeight="1" thickBot="1" x14ac:dyDescent="0.4">
      <c r="B179" s="45" t="s">
        <v>616</v>
      </c>
      <c r="C179" s="16">
        <v>3342</v>
      </c>
      <c r="D179" s="12">
        <v>87</v>
      </c>
      <c r="E179" s="12">
        <v>84.8</v>
      </c>
      <c r="F179" s="12">
        <v>84.8</v>
      </c>
      <c r="G179" s="12">
        <v>84.4</v>
      </c>
      <c r="H179" s="12">
        <v>84.4</v>
      </c>
      <c r="I179" s="12">
        <v>85.1</v>
      </c>
      <c r="J179" s="12">
        <v>0.7</v>
      </c>
    </row>
    <row r="180" spans="1:10" ht="44.15" customHeight="1" thickBot="1" x14ac:dyDescent="0.4">
      <c r="B180" s="44" t="s">
        <v>617</v>
      </c>
      <c r="C180" s="14">
        <v>33422</v>
      </c>
      <c r="D180" s="15">
        <v>53.6</v>
      </c>
      <c r="E180" s="15">
        <v>51.1</v>
      </c>
      <c r="F180" s="15">
        <v>51</v>
      </c>
      <c r="G180" s="15">
        <v>50.8</v>
      </c>
      <c r="H180" s="15">
        <v>50.7</v>
      </c>
      <c r="I180" s="15" t="s">
        <v>104</v>
      </c>
      <c r="J180" s="15" t="s">
        <v>104</v>
      </c>
    </row>
    <row r="181" spans="1:10" ht="29.5" customHeight="1" thickBot="1" x14ac:dyDescent="0.4">
      <c r="B181" s="45" t="s">
        <v>618</v>
      </c>
      <c r="C181" s="16">
        <v>3344</v>
      </c>
      <c r="D181" s="12">
        <v>392.1</v>
      </c>
      <c r="E181" s="12">
        <v>391.5</v>
      </c>
      <c r="F181" s="12">
        <v>391</v>
      </c>
      <c r="G181" s="12">
        <v>390</v>
      </c>
      <c r="H181" s="12">
        <v>387.6</v>
      </c>
      <c r="I181" s="12">
        <v>384.1</v>
      </c>
      <c r="J181" s="12">
        <v>-3.5</v>
      </c>
    </row>
    <row r="182" spans="1:10" ht="18.649999999999999" customHeight="1" thickBot="1" x14ac:dyDescent="0.4">
      <c r="B182" s="44" t="s">
        <v>984</v>
      </c>
      <c r="C182" s="14">
        <v>334412</v>
      </c>
      <c r="D182" s="15">
        <v>26.9</v>
      </c>
      <c r="E182" s="15">
        <v>27.3</v>
      </c>
      <c r="F182" s="15">
        <v>27.2</v>
      </c>
      <c r="G182" s="15">
        <v>27.2</v>
      </c>
      <c r="H182" s="15">
        <v>27</v>
      </c>
      <c r="I182" s="15" t="s">
        <v>104</v>
      </c>
      <c r="J182" s="15" t="s">
        <v>104</v>
      </c>
    </row>
    <row r="183" spans="1:10" ht="18.649999999999999" customHeight="1" thickBot="1" x14ac:dyDescent="0.4">
      <c r="B183" s="43" t="s">
        <v>619</v>
      </c>
      <c r="C183" s="16">
        <v>334413</v>
      </c>
      <c r="D183" s="12">
        <v>199.9</v>
      </c>
      <c r="E183" s="12">
        <v>197.8</v>
      </c>
      <c r="F183" s="12">
        <v>196.4</v>
      </c>
      <c r="G183" s="12">
        <v>196.7</v>
      </c>
      <c r="H183" s="12">
        <v>194.2</v>
      </c>
      <c r="I183" s="12" t="s">
        <v>104</v>
      </c>
      <c r="J183" s="12" t="s">
        <v>104</v>
      </c>
    </row>
    <row r="184" spans="1:10" ht="58.5" customHeight="1" thickBot="1" x14ac:dyDescent="0.4">
      <c r="B184" s="44" t="s">
        <v>985</v>
      </c>
      <c r="C184" s="14">
        <v>334418</v>
      </c>
      <c r="D184" s="15">
        <v>61.4</v>
      </c>
      <c r="E184" s="15">
        <v>62</v>
      </c>
      <c r="F184" s="15">
        <v>61.9</v>
      </c>
      <c r="G184" s="15">
        <v>61.3</v>
      </c>
      <c r="H184" s="15">
        <v>61.4</v>
      </c>
      <c r="I184" s="15" t="s">
        <v>104</v>
      </c>
      <c r="J184" s="15" t="s">
        <v>104</v>
      </c>
    </row>
    <row r="185" spans="1:10" ht="18.649999999999999" customHeight="1" thickBot="1" x14ac:dyDescent="0.4">
      <c r="B185" s="43" t="s">
        <v>620</v>
      </c>
      <c r="C185" s="16" t="s">
        <v>158</v>
      </c>
      <c r="D185" s="12">
        <v>103.3</v>
      </c>
      <c r="E185" s="12">
        <v>104.7</v>
      </c>
      <c r="F185" s="12">
        <v>105.5</v>
      </c>
      <c r="G185" s="12">
        <v>104.9</v>
      </c>
      <c r="H185" s="12">
        <v>104.8</v>
      </c>
      <c r="I185" s="12" t="s">
        <v>104</v>
      </c>
      <c r="J185" s="12" t="s">
        <v>104</v>
      </c>
    </row>
    <row r="186" spans="1:10" ht="29.5" customHeight="1" thickBot="1" x14ac:dyDescent="0.4">
      <c r="B186" s="42" t="s">
        <v>621</v>
      </c>
      <c r="C186" s="14">
        <v>3345</v>
      </c>
      <c r="D186" s="15">
        <v>434.6</v>
      </c>
      <c r="E186" s="15">
        <v>432.5</v>
      </c>
      <c r="F186" s="15">
        <v>430.7</v>
      </c>
      <c r="G186" s="15">
        <v>431.4</v>
      </c>
      <c r="H186" s="15">
        <v>430.9</v>
      </c>
      <c r="I186" s="15">
        <v>429.1</v>
      </c>
      <c r="J186" s="15">
        <v>-1.8</v>
      </c>
    </row>
    <row r="187" spans="1:10" ht="44.15" customHeight="1" thickBot="1" x14ac:dyDescent="0.4">
      <c r="B187" s="43" t="s">
        <v>622</v>
      </c>
      <c r="C187" s="16">
        <v>334510</v>
      </c>
      <c r="D187" s="12">
        <v>75.7</v>
      </c>
      <c r="E187" s="12">
        <v>75.3</v>
      </c>
      <c r="F187" s="12">
        <v>74.8</v>
      </c>
      <c r="G187" s="12">
        <v>74.900000000000006</v>
      </c>
      <c r="H187" s="12">
        <v>74.400000000000006</v>
      </c>
      <c r="I187" s="12" t="s">
        <v>104</v>
      </c>
      <c r="J187" s="12" t="s">
        <v>104</v>
      </c>
    </row>
    <row r="188" spans="1:10" ht="29.5" customHeight="1" thickBot="1" x14ac:dyDescent="0.4">
      <c r="B188" s="46" t="s">
        <v>623</v>
      </c>
      <c r="C188" s="14">
        <v>334511</v>
      </c>
      <c r="D188" s="15">
        <v>136.30000000000001</v>
      </c>
      <c r="E188" s="15">
        <v>134</v>
      </c>
      <c r="F188" s="15">
        <v>132.30000000000001</v>
      </c>
      <c r="G188" s="15">
        <v>132.30000000000001</v>
      </c>
      <c r="H188" s="15">
        <v>132.19999999999999</v>
      </c>
      <c r="I188" s="15" t="s">
        <v>104</v>
      </c>
      <c r="J188" s="15" t="s">
        <v>104</v>
      </c>
    </row>
    <row r="189" spans="1:10" ht="58.5" customHeight="1" thickBot="1" x14ac:dyDescent="0.4">
      <c r="B189" s="47" t="s">
        <v>624</v>
      </c>
      <c r="C189" s="16">
        <v>334513</v>
      </c>
      <c r="D189" s="12">
        <v>57.2</v>
      </c>
      <c r="E189" s="12">
        <v>58.5</v>
      </c>
      <c r="F189" s="12">
        <v>58.6</v>
      </c>
      <c r="G189" s="12">
        <v>58</v>
      </c>
      <c r="H189" s="12">
        <v>57.9</v>
      </c>
      <c r="I189" s="12" t="s">
        <v>104</v>
      </c>
      <c r="J189" s="12" t="s">
        <v>104</v>
      </c>
    </row>
    <row r="190" spans="1:10" ht="44" customHeight="1" thickBot="1" x14ac:dyDescent="0.4">
      <c r="B190" s="46" t="s">
        <v>625</v>
      </c>
      <c r="C190" s="14">
        <v>334515</v>
      </c>
      <c r="D190" s="15">
        <v>38</v>
      </c>
      <c r="E190" s="15">
        <v>37.1</v>
      </c>
      <c r="F190" s="15">
        <v>36.9</v>
      </c>
      <c r="G190" s="15">
        <v>36.9</v>
      </c>
      <c r="H190" s="15">
        <v>37</v>
      </c>
      <c r="I190" s="15" t="s">
        <v>104</v>
      </c>
      <c r="J190" s="15" t="s">
        <v>104</v>
      </c>
    </row>
    <row r="191" spans="1:10" ht="29.5" customHeight="1" thickBot="1" x14ac:dyDescent="0.4">
      <c r="B191" s="47" t="s">
        <v>626</v>
      </c>
      <c r="C191" s="16" t="s">
        <v>159</v>
      </c>
      <c r="D191" s="12">
        <v>127.5</v>
      </c>
      <c r="E191" s="12">
        <v>128.1</v>
      </c>
      <c r="F191" s="12">
        <v>128.19999999999999</v>
      </c>
      <c r="G191" s="12">
        <v>129</v>
      </c>
      <c r="H191" s="12">
        <v>128.9</v>
      </c>
      <c r="I191" s="12" t="s">
        <v>104</v>
      </c>
      <c r="J191" s="12" t="s">
        <v>104</v>
      </c>
    </row>
    <row r="192" spans="1:10" ht="58.5" customHeight="1" thickBot="1" x14ac:dyDescent="0.4">
      <c r="B192" s="42" t="s">
        <v>627</v>
      </c>
      <c r="C192" s="14" t="s">
        <v>160</v>
      </c>
      <c r="D192" s="15">
        <v>30.6</v>
      </c>
      <c r="E192" s="15">
        <v>30.8</v>
      </c>
      <c r="F192" s="15">
        <v>30.9</v>
      </c>
      <c r="G192" s="15">
        <v>30.9</v>
      </c>
      <c r="H192" s="15">
        <v>30.7</v>
      </c>
      <c r="I192" s="15">
        <v>31.4</v>
      </c>
      <c r="J192" s="15">
        <v>0.7</v>
      </c>
    </row>
    <row r="193" spans="1:10" ht="58.5" customHeight="1" thickBot="1" x14ac:dyDescent="0.4">
      <c r="A193" t="s">
        <v>13</v>
      </c>
      <c r="B193" s="41" t="s">
        <v>628</v>
      </c>
      <c r="C193" s="16">
        <v>335</v>
      </c>
      <c r="D193" s="12">
        <v>415.1</v>
      </c>
      <c r="E193" s="12">
        <v>405.2</v>
      </c>
      <c r="F193" s="12">
        <v>403.5</v>
      </c>
      <c r="G193" s="12">
        <v>402.4</v>
      </c>
      <c r="H193" s="12">
        <v>403.4</v>
      </c>
      <c r="I193" s="12">
        <v>400.8</v>
      </c>
      <c r="J193" s="12">
        <v>-2.6</v>
      </c>
    </row>
    <row r="194" spans="1:10" ht="44.15" customHeight="1" thickBot="1" x14ac:dyDescent="0.4">
      <c r="B194" s="48" t="s">
        <v>629</v>
      </c>
      <c r="C194" s="14">
        <v>3351</v>
      </c>
      <c r="D194" s="15">
        <v>36.9</v>
      </c>
      <c r="E194" s="15">
        <v>35.4</v>
      </c>
      <c r="F194" s="15">
        <v>34.5</v>
      </c>
      <c r="G194" s="15">
        <v>34.299999999999997</v>
      </c>
      <c r="H194" s="15">
        <v>34.299999999999997</v>
      </c>
      <c r="I194" s="15" t="s">
        <v>104</v>
      </c>
      <c r="J194" s="15" t="s">
        <v>104</v>
      </c>
    </row>
    <row r="195" spans="1:10" ht="44.15" customHeight="1" thickBot="1" x14ac:dyDescent="0.4">
      <c r="B195" s="50" t="s">
        <v>630</v>
      </c>
      <c r="C195" s="16">
        <v>3352</v>
      </c>
      <c r="D195" s="12">
        <v>66.099999999999994</v>
      </c>
      <c r="E195" s="12">
        <v>61.1</v>
      </c>
      <c r="F195" s="12">
        <v>61.8</v>
      </c>
      <c r="G195" s="12">
        <v>61.4</v>
      </c>
      <c r="H195" s="12">
        <v>61.3</v>
      </c>
      <c r="I195" s="12" t="s">
        <v>104</v>
      </c>
      <c r="J195" s="12" t="s">
        <v>104</v>
      </c>
    </row>
    <row r="196" spans="1:10" ht="18.649999999999999" customHeight="1" thickBot="1" x14ac:dyDescent="0.4">
      <c r="B196" s="48" t="s">
        <v>631</v>
      </c>
      <c r="C196" s="14">
        <v>3353</v>
      </c>
      <c r="D196" s="15">
        <v>147.4</v>
      </c>
      <c r="E196" s="15">
        <v>147.9</v>
      </c>
      <c r="F196" s="15">
        <v>147.19999999999999</v>
      </c>
      <c r="G196" s="15">
        <v>147.19999999999999</v>
      </c>
      <c r="H196" s="15">
        <v>147.69999999999999</v>
      </c>
      <c r="I196" s="15" t="s">
        <v>104</v>
      </c>
      <c r="J196" s="15" t="s">
        <v>104</v>
      </c>
    </row>
    <row r="197" spans="1:10" ht="18.649999999999999" customHeight="1" thickBot="1" x14ac:dyDescent="0.4">
      <c r="B197" s="43" t="s">
        <v>632</v>
      </c>
      <c r="C197" s="16">
        <v>335311</v>
      </c>
      <c r="D197" s="12">
        <v>30.6</v>
      </c>
      <c r="E197" s="12">
        <v>33</v>
      </c>
      <c r="F197" s="12">
        <v>32.4</v>
      </c>
      <c r="G197" s="12">
        <v>32.299999999999997</v>
      </c>
      <c r="H197" s="12">
        <v>32.299999999999997</v>
      </c>
      <c r="I197" s="12" t="s">
        <v>104</v>
      </c>
      <c r="J197" s="12" t="s">
        <v>104</v>
      </c>
    </row>
    <row r="198" spans="1:10" ht="29.5" customHeight="1" thickBot="1" x14ac:dyDescent="0.4">
      <c r="B198" s="44" t="s">
        <v>633</v>
      </c>
      <c r="C198" s="14" t="s">
        <v>161</v>
      </c>
      <c r="D198" s="15">
        <v>116.6</v>
      </c>
      <c r="E198" s="15">
        <v>115.3</v>
      </c>
      <c r="F198" s="15">
        <v>114.7</v>
      </c>
      <c r="G198" s="15">
        <v>114.8</v>
      </c>
      <c r="H198" s="15">
        <v>115.2</v>
      </c>
      <c r="I198" s="15" t="s">
        <v>104</v>
      </c>
      <c r="J198" s="15" t="s">
        <v>104</v>
      </c>
    </row>
    <row r="199" spans="1:10" ht="29.5" customHeight="1" thickBot="1" x14ac:dyDescent="0.4">
      <c r="B199" s="50" t="s">
        <v>634</v>
      </c>
      <c r="C199" s="16">
        <v>3359</v>
      </c>
      <c r="D199" s="12">
        <v>164.3</v>
      </c>
      <c r="E199" s="12">
        <v>160.69999999999999</v>
      </c>
      <c r="F199" s="12">
        <v>160.5</v>
      </c>
      <c r="G199" s="12">
        <v>160</v>
      </c>
      <c r="H199" s="12">
        <v>160</v>
      </c>
      <c r="I199" s="12" t="s">
        <v>104</v>
      </c>
      <c r="J199" s="12" t="s">
        <v>104</v>
      </c>
    </row>
    <row r="200" spans="1:10" ht="15" thickBot="1" x14ac:dyDescent="0.4">
      <c r="B200" s="44" t="s">
        <v>635</v>
      </c>
      <c r="C200" s="14">
        <v>33591</v>
      </c>
      <c r="D200" s="15">
        <v>50.2</v>
      </c>
      <c r="E200" s="15">
        <v>50.1</v>
      </c>
      <c r="F200" s="15">
        <v>50</v>
      </c>
      <c r="G200" s="15">
        <v>50</v>
      </c>
      <c r="H200" s="15">
        <v>50.3</v>
      </c>
      <c r="I200" s="15" t="s">
        <v>104</v>
      </c>
      <c r="J200" s="15" t="s">
        <v>104</v>
      </c>
    </row>
    <row r="201" spans="1:10" ht="44.15" customHeight="1" thickBot="1" x14ac:dyDescent="0.4">
      <c r="B201" s="43" t="s">
        <v>986</v>
      </c>
      <c r="C201" s="16">
        <v>33593</v>
      </c>
      <c r="D201" s="12">
        <v>39.299999999999997</v>
      </c>
      <c r="E201" s="12">
        <v>39.700000000000003</v>
      </c>
      <c r="F201" s="12">
        <v>39.799999999999997</v>
      </c>
      <c r="G201" s="12">
        <v>39.9</v>
      </c>
      <c r="H201" s="12">
        <v>40.4</v>
      </c>
      <c r="I201" s="12" t="s">
        <v>104</v>
      </c>
      <c r="J201" s="12" t="s">
        <v>104</v>
      </c>
    </row>
    <row r="202" spans="1:10" ht="116.5" customHeight="1" thickBot="1" x14ac:dyDescent="0.4">
      <c r="B202" s="44" t="s">
        <v>987</v>
      </c>
      <c r="C202" s="14" t="s">
        <v>162</v>
      </c>
      <c r="D202" s="15">
        <v>74.599999999999994</v>
      </c>
      <c r="E202" s="15">
        <v>71.2</v>
      </c>
      <c r="F202" s="15">
        <v>70.599999999999994</v>
      </c>
      <c r="G202" s="15">
        <v>69.7</v>
      </c>
      <c r="H202" s="15">
        <v>69.400000000000006</v>
      </c>
      <c r="I202" s="15" t="s">
        <v>104</v>
      </c>
      <c r="J202" s="15" t="s">
        <v>104</v>
      </c>
    </row>
    <row r="203" spans="1:10" ht="28.5" thickBot="1" x14ac:dyDescent="0.4">
      <c r="B203" s="41" t="s">
        <v>636</v>
      </c>
      <c r="C203" s="16">
        <v>336</v>
      </c>
      <c r="D203" s="18">
        <v>1822.1</v>
      </c>
      <c r="E203" s="18">
        <v>1860.8</v>
      </c>
      <c r="F203" s="18">
        <v>1842.6</v>
      </c>
      <c r="G203" s="18">
        <v>1838.1</v>
      </c>
      <c r="H203" s="18">
        <v>1796.6</v>
      </c>
      <c r="I203" s="18">
        <v>1828.6</v>
      </c>
      <c r="J203" s="12">
        <v>32</v>
      </c>
    </row>
    <row r="204" spans="1:10" ht="15" thickBot="1" x14ac:dyDescent="0.4">
      <c r="A204" t="s">
        <v>15</v>
      </c>
      <c r="B204" s="42" t="s">
        <v>996</v>
      </c>
      <c r="C204" s="14" t="s">
        <v>163</v>
      </c>
      <c r="D204" s="17">
        <v>1058.5</v>
      </c>
      <c r="E204" s="17">
        <v>1082.5</v>
      </c>
      <c r="F204" s="17">
        <v>1067</v>
      </c>
      <c r="G204" s="17">
        <v>1062.5</v>
      </c>
      <c r="H204" s="17">
        <v>1059.5</v>
      </c>
      <c r="I204" s="17">
        <v>1059.0999999999999</v>
      </c>
      <c r="J204" s="15">
        <v>-0.4</v>
      </c>
    </row>
    <row r="205" spans="1:10" ht="29.5" customHeight="1" thickBot="1" x14ac:dyDescent="0.4">
      <c r="B205" s="50" t="s">
        <v>637</v>
      </c>
      <c r="C205" s="16">
        <v>3361</v>
      </c>
      <c r="D205" s="12">
        <v>300.7</v>
      </c>
      <c r="E205" s="12">
        <v>317</v>
      </c>
      <c r="F205" s="12">
        <v>313.7</v>
      </c>
      <c r="G205" s="12">
        <v>311.8</v>
      </c>
      <c r="H205" s="12">
        <v>312</v>
      </c>
      <c r="I205" s="12" t="s">
        <v>104</v>
      </c>
      <c r="J205" s="12" t="s">
        <v>104</v>
      </c>
    </row>
    <row r="206" spans="1:10" ht="44.15" customHeight="1" thickBot="1" x14ac:dyDescent="0.4">
      <c r="B206" s="48" t="s">
        <v>638</v>
      </c>
      <c r="C206" s="14">
        <v>3362</v>
      </c>
      <c r="D206" s="15">
        <v>176</v>
      </c>
      <c r="E206" s="15">
        <v>175.4</v>
      </c>
      <c r="F206" s="15">
        <v>175.9</v>
      </c>
      <c r="G206" s="15">
        <v>176</v>
      </c>
      <c r="H206" s="15">
        <v>175.5</v>
      </c>
      <c r="I206" s="15" t="s">
        <v>104</v>
      </c>
      <c r="J206" s="15" t="s">
        <v>104</v>
      </c>
    </row>
    <row r="207" spans="1:10" ht="15" thickBot="1" x14ac:dyDescent="0.4">
      <c r="B207" s="50" t="s">
        <v>639</v>
      </c>
      <c r="C207" s="16">
        <v>3363</v>
      </c>
      <c r="D207" s="12">
        <v>582.70000000000005</v>
      </c>
      <c r="E207" s="12">
        <v>585.79999999999995</v>
      </c>
      <c r="F207" s="12">
        <v>580.5</v>
      </c>
      <c r="G207" s="12">
        <v>577.6</v>
      </c>
      <c r="H207" s="12">
        <v>574.4</v>
      </c>
      <c r="I207" s="12" t="s">
        <v>104</v>
      </c>
      <c r="J207" s="12" t="s">
        <v>104</v>
      </c>
    </row>
    <row r="208" spans="1:10" ht="29.5" thickBot="1" x14ac:dyDescent="0.4">
      <c r="B208" s="44" t="s">
        <v>640</v>
      </c>
      <c r="C208" s="14">
        <v>33631</v>
      </c>
      <c r="D208" s="15">
        <v>58.6</v>
      </c>
      <c r="E208" s="15">
        <v>57.8</v>
      </c>
      <c r="F208" s="15">
        <v>58.2</v>
      </c>
      <c r="G208" s="15">
        <v>58.4</v>
      </c>
      <c r="H208" s="15">
        <v>57.6</v>
      </c>
      <c r="I208" s="15" t="s">
        <v>104</v>
      </c>
      <c r="J208" s="15" t="s">
        <v>104</v>
      </c>
    </row>
    <row r="209" spans="1:10" ht="29.5" thickBot="1" x14ac:dyDescent="0.4">
      <c r="B209" s="43" t="s">
        <v>641</v>
      </c>
      <c r="C209" s="16">
        <v>33632</v>
      </c>
      <c r="D209" s="12">
        <v>62.7</v>
      </c>
      <c r="E209" s="12">
        <v>60.9</v>
      </c>
      <c r="F209" s="12">
        <v>60.7</v>
      </c>
      <c r="G209" s="12">
        <v>60.5</v>
      </c>
      <c r="H209" s="12">
        <v>60</v>
      </c>
      <c r="I209" s="12" t="s">
        <v>104</v>
      </c>
      <c r="J209" s="12" t="s">
        <v>104</v>
      </c>
    </row>
    <row r="210" spans="1:10" ht="44" thickBot="1" x14ac:dyDescent="0.4">
      <c r="B210" s="44" t="s">
        <v>988</v>
      </c>
      <c r="C210" s="14">
        <v>33633</v>
      </c>
      <c r="D210" s="15">
        <v>34.4</v>
      </c>
      <c r="E210" s="15">
        <v>34.700000000000003</v>
      </c>
      <c r="F210" s="15">
        <v>34</v>
      </c>
      <c r="G210" s="15">
        <v>33.4</v>
      </c>
      <c r="H210" s="15">
        <v>33.299999999999997</v>
      </c>
      <c r="I210" s="15" t="s">
        <v>104</v>
      </c>
      <c r="J210" s="15" t="s">
        <v>104</v>
      </c>
    </row>
    <row r="211" spans="1:10" ht="44.15" customHeight="1" thickBot="1" x14ac:dyDescent="0.4">
      <c r="B211" s="43" t="s">
        <v>642</v>
      </c>
      <c r="C211" s="16">
        <v>33635</v>
      </c>
      <c r="D211" s="12">
        <v>86.1</v>
      </c>
      <c r="E211" s="12">
        <v>87.6</v>
      </c>
      <c r="F211" s="12">
        <v>85.6</v>
      </c>
      <c r="G211" s="12">
        <v>86</v>
      </c>
      <c r="H211" s="12">
        <v>85.4</v>
      </c>
      <c r="I211" s="12" t="s">
        <v>104</v>
      </c>
      <c r="J211" s="12" t="s">
        <v>104</v>
      </c>
    </row>
    <row r="212" spans="1:10" ht="29.5" customHeight="1" thickBot="1" x14ac:dyDescent="0.4">
      <c r="B212" s="44" t="s">
        <v>164</v>
      </c>
      <c r="C212" s="14">
        <v>33637</v>
      </c>
      <c r="D212" s="15">
        <v>85.7</v>
      </c>
      <c r="E212" s="15">
        <v>84.5</v>
      </c>
      <c r="F212" s="15">
        <v>84.6</v>
      </c>
      <c r="G212" s="15">
        <v>84.5</v>
      </c>
      <c r="H212" s="15">
        <v>85.2</v>
      </c>
      <c r="I212" s="15" t="s">
        <v>104</v>
      </c>
      <c r="J212" s="15" t="s">
        <v>104</v>
      </c>
    </row>
    <row r="213" spans="1:10" ht="58.5" customHeight="1" thickBot="1" x14ac:dyDescent="0.4">
      <c r="B213" s="43" t="s">
        <v>989</v>
      </c>
      <c r="C213" s="16" t="s">
        <v>990</v>
      </c>
      <c r="D213" s="12">
        <v>257.10000000000002</v>
      </c>
      <c r="E213" s="12">
        <v>257.89999999999998</v>
      </c>
      <c r="F213" s="12">
        <v>256.89999999999998</v>
      </c>
      <c r="G213" s="12">
        <v>255.9</v>
      </c>
      <c r="H213" s="12">
        <v>253.6</v>
      </c>
      <c r="I213" s="12" t="s">
        <v>104</v>
      </c>
      <c r="J213" s="12" t="s">
        <v>104</v>
      </c>
    </row>
    <row r="214" spans="1:10" ht="29.5" customHeight="1" thickBot="1" x14ac:dyDescent="0.4">
      <c r="A214" t="s">
        <v>16</v>
      </c>
      <c r="B214" s="48" t="s">
        <v>643</v>
      </c>
      <c r="C214" s="14">
        <v>3364</v>
      </c>
      <c r="D214" s="15">
        <v>546.9</v>
      </c>
      <c r="E214" s="15">
        <v>555.29999999999995</v>
      </c>
      <c r="F214" s="15">
        <v>554.6</v>
      </c>
      <c r="G214" s="15">
        <v>555.20000000000005</v>
      </c>
      <c r="H214" s="15">
        <v>519.29999999999995</v>
      </c>
      <c r="I214" s="15" t="s">
        <v>104</v>
      </c>
      <c r="J214" s="15" t="s">
        <v>104</v>
      </c>
    </row>
    <row r="215" spans="1:10" ht="44.15" customHeight="1" thickBot="1" x14ac:dyDescent="0.4">
      <c r="B215" s="43" t="s">
        <v>644</v>
      </c>
      <c r="C215" s="16">
        <v>336411</v>
      </c>
      <c r="D215" s="12">
        <v>248.3</v>
      </c>
      <c r="E215" s="12">
        <v>253.1</v>
      </c>
      <c r="F215" s="12">
        <v>253.7</v>
      </c>
      <c r="G215" s="12">
        <v>252.7</v>
      </c>
      <c r="H215" s="12">
        <v>216.9</v>
      </c>
      <c r="I215" s="12" t="s">
        <v>104</v>
      </c>
      <c r="J215" s="12" t="s">
        <v>104</v>
      </c>
    </row>
    <row r="216" spans="1:10" ht="44.15" customHeight="1" thickBot="1" x14ac:dyDescent="0.4">
      <c r="B216" s="44" t="s">
        <v>645</v>
      </c>
      <c r="C216" s="14">
        <v>336412</v>
      </c>
      <c r="D216" s="15">
        <v>86</v>
      </c>
      <c r="E216" s="15">
        <v>89.8</v>
      </c>
      <c r="F216" s="15">
        <v>89.7</v>
      </c>
      <c r="G216" s="15">
        <v>90.2</v>
      </c>
      <c r="H216" s="15">
        <v>90.6</v>
      </c>
      <c r="I216" s="15" t="s">
        <v>104</v>
      </c>
      <c r="J216" s="15" t="s">
        <v>104</v>
      </c>
    </row>
    <row r="217" spans="1:10" ht="58.5" customHeight="1" thickBot="1" x14ac:dyDescent="0.4">
      <c r="B217" s="43" t="s">
        <v>646</v>
      </c>
      <c r="C217" s="16">
        <v>336413</v>
      </c>
      <c r="D217" s="12">
        <v>102.6</v>
      </c>
      <c r="E217" s="12">
        <v>104.2</v>
      </c>
      <c r="F217" s="12">
        <v>103.8</v>
      </c>
      <c r="G217" s="12">
        <v>104.4</v>
      </c>
      <c r="H217" s="12">
        <v>103.9</v>
      </c>
      <c r="I217" s="12" t="s">
        <v>104</v>
      </c>
      <c r="J217" s="12" t="s">
        <v>104</v>
      </c>
    </row>
    <row r="218" spans="1:10" ht="44.15" customHeight="1" thickBot="1" x14ac:dyDescent="0.4">
      <c r="B218" s="44" t="s">
        <v>647</v>
      </c>
      <c r="C218" s="14" t="s">
        <v>165</v>
      </c>
      <c r="D218" s="15">
        <v>110</v>
      </c>
      <c r="E218" s="15">
        <v>108.5</v>
      </c>
      <c r="F218" s="15">
        <v>107.5</v>
      </c>
      <c r="G218" s="15">
        <v>107.7</v>
      </c>
      <c r="H218" s="15">
        <v>107.5</v>
      </c>
      <c r="I218" s="15" t="s">
        <v>104</v>
      </c>
      <c r="J218" s="15" t="s">
        <v>104</v>
      </c>
    </row>
    <row r="219" spans="1:10" ht="44.15" customHeight="1" thickBot="1" x14ac:dyDescent="0.4">
      <c r="A219" t="s">
        <v>16</v>
      </c>
      <c r="B219" s="50" t="s">
        <v>166</v>
      </c>
      <c r="C219" s="16">
        <v>3366</v>
      </c>
      <c r="D219" s="12">
        <v>155.19999999999999</v>
      </c>
      <c r="E219" s="12">
        <v>153</v>
      </c>
      <c r="F219" s="12">
        <v>151</v>
      </c>
      <c r="G219" s="12">
        <v>151.69999999999999</v>
      </c>
      <c r="H219" s="12">
        <v>151.19999999999999</v>
      </c>
      <c r="I219" s="12" t="s">
        <v>104</v>
      </c>
      <c r="J219" s="12" t="s">
        <v>104</v>
      </c>
    </row>
    <row r="220" spans="1:10" ht="44.15" customHeight="1" thickBot="1" x14ac:dyDescent="0.4">
      <c r="B220" s="44" t="s">
        <v>167</v>
      </c>
      <c r="C220" s="14">
        <v>336611</v>
      </c>
      <c r="D220" s="15">
        <v>107.9</v>
      </c>
      <c r="E220" s="15">
        <v>110.7</v>
      </c>
      <c r="F220" s="15">
        <v>109</v>
      </c>
      <c r="G220" s="15">
        <v>109.5</v>
      </c>
      <c r="H220" s="15">
        <v>109.2</v>
      </c>
      <c r="I220" s="15" t="s">
        <v>104</v>
      </c>
      <c r="J220" s="15" t="s">
        <v>104</v>
      </c>
    </row>
    <row r="221" spans="1:10" ht="29.5" customHeight="1" thickBot="1" x14ac:dyDescent="0.4">
      <c r="B221" s="43" t="s">
        <v>168</v>
      </c>
      <c r="C221" s="16">
        <v>336612</v>
      </c>
      <c r="D221" s="12">
        <v>47.3</v>
      </c>
      <c r="E221" s="12">
        <v>42.4</v>
      </c>
      <c r="F221" s="12">
        <v>42</v>
      </c>
      <c r="G221" s="12">
        <v>42.3</v>
      </c>
      <c r="H221" s="12">
        <v>42</v>
      </c>
      <c r="I221" s="12" t="s">
        <v>104</v>
      </c>
      <c r="J221" s="12" t="s">
        <v>104</v>
      </c>
    </row>
    <row r="222" spans="1:10" ht="44" thickBot="1" x14ac:dyDescent="0.4">
      <c r="A222" t="s">
        <v>16</v>
      </c>
      <c r="B222" s="48" t="s">
        <v>648</v>
      </c>
      <c r="C222" s="14" t="s">
        <v>169</v>
      </c>
      <c r="D222" s="15">
        <v>63.4</v>
      </c>
      <c r="E222" s="15">
        <v>67.900000000000006</v>
      </c>
      <c r="F222" s="15">
        <v>68.2</v>
      </c>
      <c r="G222" s="15">
        <v>67.8</v>
      </c>
      <c r="H222" s="15">
        <v>67.900000000000006</v>
      </c>
      <c r="I222" s="15" t="s">
        <v>104</v>
      </c>
      <c r="J222" s="15" t="s">
        <v>104</v>
      </c>
    </row>
    <row r="223" spans="1:10" ht="28.5" thickBot="1" x14ac:dyDescent="0.4">
      <c r="A223" t="s">
        <v>17</v>
      </c>
      <c r="B223" s="41" t="s">
        <v>649</v>
      </c>
      <c r="C223" s="16">
        <v>337</v>
      </c>
      <c r="D223" s="12">
        <v>352</v>
      </c>
      <c r="E223" s="12">
        <v>341.3</v>
      </c>
      <c r="F223" s="12">
        <v>340.5</v>
      </c>
      <c r="G223" s="12">
        <v>339.9</v>
      </c>
      <c r="H223" s="12">
        <v>339.6</v>
      </c>
      <c r="I223" s="12">
        <v>338.6</v>
      </c>
      <c r="J223" s="12">
        <v>-1</v>
      </c>
    </row>
    <row r="224" spans="1:10" ht="44.15" customHeight="1" thickBot="1" x14ac:dyDescent="0.4">
      <c r="B224" s="48" t="s">
        <v>650</v>
      </c>
      <c r="C224" s="14">
        <v>3371</v>
      </c>
      <c r="D224" s="15">
        <v>224</v>
      </c>
      <c r="E224" s="15">
        <v>219.3</v>
      </c>
      <c r="F224" s="15">
        <v>218.4</v>
      </c>
      <c r="G224" s="15">
        <v>217.8</v>
      </c>
      <c r="H224" s="15">
        <v>217.9</v>
      </c>
      <c r="I224" s="15" t="s">
        <v>104</v>
      </c>
      <c r="J224" s="15" t="s">
        <v>104</v>
      </c>
    </row>
    <row r="225" spans="1:10" ht="44.15" customHeight="1" thickBot="1" x14ac:dyDescent="0.4">
      <c r="B225" s="43" t="s">
        <v>651</v>
      </c>
      <c r="C225" s="16">
        <v>33711</v>
      </c>
      <c r="D225" s="12">
        <v>118.2</v>
      </c>
      <c r="E225" s="12">
        <v>116.7</v>
      </c>
      <c r="F225" s="12">
        <v>116.5</v>
      </c>
      <c r="G225" s="12">
        <v>116.4</v>
      </c>
      <c r="H225" s="12">
        <v>116.6</v>
      </c>
      <c r="I225" s="12" t="s">
        <v>104</v>
      </c>
      <c r="J225" s="12" t="s">
        <v>104</v>
      </c>
    </row>
    <row r="226" spans="1:10" ht="44.15" customHeight="1" thickBot="1" x14ac:dyDescent="0.4">
      <c r="B226" s="44" t="s">
        <v>652</v>
      </c>
      <c r="C226" s="14">
        <v>33712</v>
      </c>
      <c r="D226" s="15">
        <v>106.1</v>
      </c>
      <c r="E226" s="15">
        <v>102.3</v>
      </c>
      <c r="F226" s="15">
        <v>102</v>
      </c>
      <c r="G226" s="15">
        <v>101.3</v>
      </c>
      <c r="H226" s="15">
        <v>101.6</v>
      </c>
      <c r="I226" s="15" t="s">
        <v>104</v>
      </c>
      <c r="J226" s="15" t="s">
        <v>104</v>
      </c>
    </row>
    <row r="227" spans="1:10" ht="29.5" thickBot="1" x14ac:dyDescent="0.4">
      <c r="B227" s="47" t="s">
        <v>653</v>
      </c>
      <c r="C227" s="16">
        <v>337121</v>
      </c>
      <c r="D227" s="12">
        <v>46.9</v>
      </c>
      <c r="E227" s="12">
        <v>45.2</v>
      </c>
      <c r="F227" s="12">
        <v>44.7</v>
      </c>
      <c r="G227" s="12">
        <v>44.6</v>
      </c>
      <c r="H227" s="12">
        <v>44.7</v>
      </c>
      <c r="I227" s="12" t="s">
        <v>104</v>
      </c>
      <c r="J227" s="12" t="s">
        <v>104</v>
      </c>
    </row>
    <row r="228" spans="1:10" ht="29.5" customHeight="1" thickBot="1" x14ac:dyDescent="0.4">
      <c r="B228" s="46" t="s">
        <v>654</v>
      </c>
      <c r="C228" s="14" t="s">
        <v>655</v>
      </c>
      <c r="D228" s="15">
        <v>59</v>
      </c>
      <c r="E228" s="15">
        <v>57.4</v>
      </c>
      <c r="F228" s="15">
        <v>56.9</v>
      </c>
      <c r="G228" s="15">
        <v>56.6</v>
      </c>
      <c r="H228" s="15">
        <v>56.8</v>
      </c>
      <c r="I228" s="15" t="s">
        <v>104</v>
      </c>
      <c r="J228" s="15" t="s">
        <v>104</v>
      </c>
    </row>
    <row r="229" spans="1:10" ht="44" thickBot="1" x14ac:dyDescent="0.4">
      <c r="B229" s="50" t="s">
        <v>656</v>
      </c>
      <c r="C229" s="16">
        <v>3372</v>
      </c>
      <c r="D229" s="12">
        <v>127</v>
      </c>
      <c r="E229" s="12">
        <v>121.8</v>
      </c>
      <c r="F229" s="12">
        <v>122.3</v>
      </c>
      <c r="G229" s="12">
        <v>121.1</v>
      </c>
      <c r="H229" s="12">
        <v>121</v>
      </c>
      <c r="I229" s="12" t="s">
        <v>104</v>
      </c>
      <c r="J229" s="12" t="s">
        <v>104</v>
      </c>
    </row>
    <row r="230" spans="1:10" ht="44" thickBot="1" x14ac:dyDescent="0.4">
      <c r="B230" s="44" t="s">
        <v>657</v>
      </c>
      <c r="C230" s="14" t="s">
        <v>170</v>
      </c>
      <c r="D230" s="15">
        <v>60.5</v>
      </c>
      <c r="E230" s="15">
        <v>59.8</v>
      </c>
      <c r="F230" s="15">
        <v>59.9</v>
      </c>
      <c r="G230" s="15">
        <v>59.9</v>
      </c>
      <c r="H230" s="15">
        <v>60</v>
      </c>
      <c r="I230" s="15" t="s">
        <v>104</v>
      </c>
      <c r="J230" s="15" t="s">
        <v>104</v>
      </c>
    </row>
    <row r="231" spans="1:10" ht="44" thickBot="1" x14ac:dyDescent="0.4">
      <c r="B231" s="43" t="s">
        <v>658</v>
      </c>
      <c r="C231" s="16">
        <v>337215</v>
      </c>
      <c r="D231" s="12">
        <v>66.3</v>
      </c>
      <c r="E231" s="12">
        <v>61.9</v>
      </c>
      <c r="F231" s="12">
        <v>62.6</v>
      </c>
      <c r="G231" s="12">
        <v>61.1</v>
      </c>
      <c r="H231" s="12">
        <v>61.1</v>
      </c>
      <c r="I231" s="12" t="s">
        <v>104</v>
      </c>
      <c r="J231" s="12" t="s">
        <v>104</v>
      </c>
    </row>
    <row r="232" spans="1:10" ht="44.15" customHeight="1" thickBot="1" x14ac:dyDescent="0.4">
      <c r="A232" t="s">
        <v>17</v>
      </c>
      <c r="B232" s="40" t="s">
        <v>659</v>
      </c>
      <c r="C232" s="14">
        <v>339</v>
      </c>
      <c r="D232" s="15">
        <v>625.5</v>
      </c>
      <c r="E232" s="15">
        <v>618.5</v>
      </c>
      <c r="F232" s="15">
        <v>618.4</v>
      </c>
      <c r="G232" s="15">
        <v>618</v>
      </c>
      <c r="H232" s="15">
        <v>618.79999999999995</v>
      </c>
      <c r="I232" s="15">
        <v>619.1</v>
      </c>
      <c r="J232" s="15">
        <v>0.3</v>
      </c>
    </row>
    <row r="233" spans="1:10" ht="44.15" customHeight="1" thickBot="1" x14ac:dyDescent="0.4">
      <c r="B233" s="50" t="s">
        <v>660</v>
      </c>
      <c r="C233" s="16">
        <v>3391</v>
      </c>
      <c r="D233" s="12">
        <v>332.6</v>
      </c>
      <c r="E233" s="12">
        <v>329.3</v>
      </c>
      <c r="F233" s="12">
        <v>329.3</v>
      </c>
      <c r="G233" s="12">
        <v>329.6</v>
      </c>
      <c r="H233" s="12">
        <v>330.4</v>
      </c>
      <c r="I233" s="12" t="s">
        <v>104</v>
      </c>
      <c r="J233" s="12" t="s">
        <v>104</v>
      </c>
    </row>
    <row r="234" spans="1:10" ht="58.5" customHeight="1" thickBot="1" x14ac:dyDescent="0.4">
      <c r="B234" s="44" t="s">
        <v>661</v>
      </c>
      <c r="C234" s="14">
        <v>339112</v>
      </c>
      <c r="D234" s="15">
        <v>142</v>
      </c>
      <c r="E234" s="15">
        <v>142.9</v>
      </c>
      <c r="F234" s="15">
        <v>142.69999999999999</v>
      </c>
      <c r="G234" s="15">
        <v>143.5</v>
      </c>
      <c r="H234" s="15">
        <v>143.9</v>
      </c>
      <c r="I234" s="15" t="s">
        <v>104</v>
      </c>
      <c r="J234" s="15" t="s">
        <v>104</v>
      </c>
    </row>
    <row r="235" spans="1:10" ht="44.15" customHeight="1" thickBot="1" x14ac:dyDescent="0.4">
      <c r="B235" s="43" t="s">
        <v>662</v>
      </c>
      <c r="C235" s="16">
        <v>339113</v>
      </c>
      <c r="D235" s="12">
        <v>105.4</v>
      </c>
      <c r="E235" s="12">
        <v>104.6</v>
      </c>
      <c r="F235" s="12">
        <v>104.4</v>
      </c>
      <c r="G235" s="12">
        <v>104.5</v>
      </c>
      <c r="H235" s="12">
        <v>104.5</v>
      </c>
      <c r="I235" s="12" t="s">
        <v>104</v>
      </c>
      <c r="J235" s="12" t="s">
        <v>104</v>
      </c>
    </row>
    <row r="236" spans="1:10" ht="58.5" customHeight="1" thickBot="1" x14ac:dyDescent="0.4">
      <c r="B236" s="44" t="s">
        <v>171</v>
      </c>
      <c r="C236" s="14">
        <v>339116</v>
      </c>
      <c r="D236" s="15">
        <v>44.9</v>
      </c>
      <c r="E236" s="15">
        <v>42.5</v>
      </c>
      <c r="F236" s="15">
        <v>42.3</v>
      </c>
      <c r="G236" s="15">
        <v>41.9</v>
      </c>
      <c r="H236" s="15">
        <v>41.7</v>
      </c>
      <c r="I236" s="15" t="s">
        <v>104</v>
      </c>
      <c r="J236" s="15" t="s">
        <v>104</v>
      </c>
    </row>
    <row r="237" spans="1:10" ht="73" customHeight="1" thickBot="1" x14ac:dyDescent="0.4">
      <c r="B237" s="50" t="s">
        <v>663</v>
      </c>
      <c r="C237" s="16">
        <v>3399</v>
      </c>
      <c r="D237" s="12">
        <v>292.8</v>
      </c>
      <c r="E237" s="12">
        <v>289.7</v>
      </c>
      <c r="F237" s="12">
        <v>289.39999999999998</v>
      </c>
      <c r="G237" s="12">
        <v>288.60000000000002</v>
      </c>
      <c r="H237" s="12">
        <v>288.60000000000002</v>
      </c>
      <c r="I237" s="12" t="s">
        <v>104</v>
      </c>
      <c r="J237" s="12" t="s">
        <v>104</v>
      </c>
    </row>
    <row r="238" spans="1:10" ht="29.5" customHeight="1" thickBot="1" x14ac:dyDescent="0.4">
      <c r="B238" s="44" t="s">
        <v>664</v>
      </c>
      <c r="C238" s="14" t="s">
        <v>665</v>
      </c>
      <c r="D238" s="15">
        <v>68.599999999999994</v>
      </c>
      <c r="E238" s="15">
        <v>65.099999999999994</v>
      </c>
      <c r="F238" s="15">
        <v>65.599999999999994</v>
      </c>
      <c r="G238" s="15">
        <v>65.2</v>
      </c>
      <c r="H238" s="15">
        <v>65.5</v>
      </c>
      <c r="I238" s="15" t="s">
        <v>104</v>
      </c>
      <c r="J238" s="15" t="s">
        <v>104</v>
      </c>
    </row>
    <row r="239" spans="1:10" ht="73" customHeight="1" thickBot="1" x14ac:dyDescent="0.4">
      <c r="B239" s="43" t="s">
        <v>666</v>
      </c>
      <c r="C239" s="16">
        <v>33995</v>
      </c>
      <c r="D239" s="12">
        <v>74.5</v>
      </c>
      <c r="E239" s="12">
        <v>75.7</v>
      </c>
      <c r="F239" s="12">
        <v>75.8</v>
      </c>
      <c r="G239" s="12">
        <v>76.3</v>
      </c>
      <c r="H239" s="12">
        <v>76.2</v>
      </c>
      <c r="I239" s="12" t="s">
        <v>104</v>
      </c>
      <c r="J239" s="12" t="s">
        <v>104</v>
      </c>
    </row>
    <row r="240" spans="1:10" ht="58.5" customHeight="1" thickBot="1" x14ac:dyDescent="0.4">
      <c r="B240" s="44" t="s">
        <v>667</v>
      </c>
      <c r="C240" s="14" t="s">
        <v>172</v>
      </c>
      <c r="D240" s="15">
        <v>149.5</v>
      </c>
      <c r="E240" s="15">
        <v>148.69999999999999</v>
      </c>
      <c r="F240" s="15">
        <v>148</v>
      </c>
      <c r="G240" s="15">
        <v>147.19999999999999</v>
      </c>
      <c r="H240" s="15">
        <v>147.5</v>
      </c>
      <c r="I240" s="15" t="s">
        <v>104</v>
      </c>
      <c r="J240" s="15" t="s">
        <v>104</v>
      </c>
    </row>
    <row r="241" spans="1:10" ht="44.15" customHeight="1" thickBot="1" x14ac:dyDescent="0.4">
      <c r="B241" s="73"/>
      <c r="C241" s="74"/>
      <c r="D241" s="74"/>
      <c r="E241" s="74"/>
      <c r="F241" s="74"/>
      <c r="G241" s="74"/>
      <c r="H241" s="74"/>
      <c r="I241" s="74"/>
      <c r="J241" s="75"/>
    </row>
    <row r="242" spans="1:10" ht="15" thickBot="1" x14ac:dyDescent="0.4">
      <c r="B242" s="39" t="s">
        <v>173</v>
      </c>
      <c r="C242" s="12"/>
      <c r="D242" s="13">
        <v>4819</v>
      </c>
      <c r="E242" s="13">
        <v>4821</v>
      </c>
      <c r="F242" s="13">
        <v>4825</v>
      </c>
      <c r="G242" s="13">
        <v>4817</v>
      </c>
      <c r="H242" s="13">
        <v>4813</v>
      </c>
      <c r="I242" s="13">
        <v>4809</v>
      </c>
      <c r="J242" s="12">
        <v>-4</v>
      </c>
    </row>
    <row r="243" spans="1:10" ht="44.15" customHeight="1" thickBot="1" x14ac:dyDescent="0.4">
      <c r="A243" t="s">
        <v>5</v>
      </c>
      <c r="B243" s="40" t="s">
        <v>174</v>
      </c>
      <c r="C243" s="14">
        <v>311</v>
      </c>
      <c r="D243" s="17">
        <v>1729.3</v>
      </c>
      <c r="E243" s="17">
        <v>1739.8</v>
      </c>
      <c r="F243" s="17">
        <v>1745.3</v>
      </c>
      <c r="G243" s="17">
        <v>1744.1</v>
      </c>
      <c r="H243" s="17">
        <v>1742.8</v>
      </c>
      <c r="I243" s="17">
        <v>1741.8</v>
      </c>
      <c r="J243" s="15">
        <v>-1</v>
      </c>
    </row>
    <row r="244" spans="1:10" ht="44.15" customHeight="1" thickBot="1" x14ac:dyDescent="0.4">
      <c r="B244" s="50" t="s">
        <v>668</v>
      </c>
      <c r="C244" s="16">
        <v>3111</v>
      </c>
      <c r="D244" s="12">
        <v>73.5</v>
      </c>
      <c r="E244" s="12">
        <v>75.2</v>
      </c>
      <c r="F244" s="12">
        <v>74.8</v>
      </c>
      <c r="G244" s="12">
        <v>75.599999999999994</v>
      </c>
      <c r="H244" s="12">
        <v>75.5</v>
      </c>
      <c r="I244" s="12" t="s">
        <v>104</v>
      </c>
      <c r="J244" s="12" t="s">
        <v>104</v>
      </c>
    </row>
    <row r="245" spans="1:10" ht="44.15" customHeight="1" thickBot="1" x14ac:dyDescent="0.4">
      <c r="B245" s="48" t="s">
        <v>175</v>
      </c>
      <c r="C245" s="14">
        <v>3112</v>
      </c>
      <c r="D245" s="15">
        <v>63.7</v>
      </c>
      <c r="E245" s="15">
        <v>64.3</v>
      </c>
      <c r="F245" s="15">
        <v>64.8</v>
      </c>
      <c r="G245" s="15">
        <v>64.8</v>
      </c>
      <c r="H245" s="15">
        <v>65.099999999999994</v>
      </c>
      <c r="I245" s="15" t="s">
        <v>104</v>
      </c>
      <c r="J245" s="15" t="s">
        <v>104</v>
      </c>
    </row>
    <row r="246" spans="1:10" ht="29.5" customHeight="1" thickBot="1" x14ac:dyDescent="0.4">
      <c r="B246" s="43" t="s">
        <v>991</v>
      </c>
      <c r="C246" s="16" t="s">
        <v>176</v>
      </c>
      <c r="D246" s="12">
        <v>51.1</v>
      </c>
      <c r="E246" s="12">
        <v>51.4</v>
      </c>
      <c r="F246" s="12">
        <v>52</v>
      </c>
      <c r="G246" s="12">
        <v>51.8</v>
      </c>
      <c r="H246" s="12">
        <v>52.3</v>
      </c>
      <c r="I246" s="12" t="s">
        <v>104</v>
      </c>
      <c r="J246" s="12" t="s">
        <v>104</v>
      </c>
    </row>
    <row r="247" spans="1:10" ht="58.5" customHeight="1" thickBot="1" x14ac:dyDescent="0.4">
      <c r="B247" s="44" t="s">
        <v>992</v>
      </c>
      <c r="C247" s="14">
        <v>31123</v>
      </c>
      <c r="D247" s="15">
        <v>12.7</v>
      </c>
      <c r="E247" s="15">
        <v>12.9</v>
      </c>
      <c r="F247" s="15">
        <v>12.9</v>
      </c>
      <c r="G247" s="15">
        <v>13</v>
      </c>
      <c r="H247" s="15">
        <v>13</v>
      </c>
      <c r="I247" s="15" t="s">
        <v>104</v>
      </c>
      <c r="J247" s="15" t="s">
        <v>104</v>
      </c>
    </row>
    <row r="248" spans="1:10" ht="29.5" customHeight="1" thickBot="1" x14ac:dyDescent="0.4">
      <c r="B248" s="50" t="s">
        <v>669</v>
      </c>
      <c r="C248" s="16">
        <v>3113</v>
      </c>
      <c r="D248" s="12">
        <v>81</v>
      </c>
      <c r="E248" s="12">
        <v>80.7</v>
      </c>
      <c r="F248" s="12">
        <v>81.5</v>
      </c>
      <c r="G248" s="12">
        <v>79.7</v>
      </c>
      <c r="H248" s="12">
        <v>79.2</v>
      </c>
      <c r="I248" s="12" t="s">
        <v>104</v>
      </c>
      <c r="J248" s="12" t="s">
        <v>104</v>
      </c>
    </row>
    <row r="249" spans="1:10" ht="44.15" customHeight="1" thickBot="1" x14ac:dyDescent="0.4">
      <c r="B249" s="44" t="s">
        <v>177</v>
      </c>
      <c r="C249" s="14">
        <v>31135</v>
      </c>
      <c r="D249" s="15">
        <v>40.299999999999997</v>
      </c>
      <c r="E249" s="15">
        <v>41.8</v>
      </c>
      <c r="F249" s="15">
        <v>41.5</v>
      </c>
      <c r="G249" s="15">
        <v>41</v>
      </c>
      <c r="H249" s="15">
        <v>40.9</v>
      </c>
      <c r="I249" s="15" t="s">
        <v>104</v>
      </c>
      <c r="J249" s="15" t="s">
        <v>104</v>
      </c>
    </row>
    <row r="250" spans="1:10" ht="29.5" thickBot="1" x14ac:dyDescent="0.4">
      <c r="B250" s="50" t="s">
        <v>670</v>
      </c>
      <c r="C250" s="16">
        <v>3114</v>
      </c>
      <c r="D250" s="12">
        <v>167.7</v>
      </c>
      <c r="E250" s="12">
        <v>167.6</v>
      </c>
      <c r="F250" s="12">
        <v>167.5</v>
      </c>
      <c r="G250" s="12">
        <v>166.5</v>
      </c>
      <c r="H250" s="12">
        <v>165.6</v>
      </c>
      <c r="I250" s="12" t="s">
        <v>104</v>
      </c>
      <c r="J250" s="12" t="s">
        <v>104</v>
      </c>
    </row>
    <row r="251" spans="1:10" ht="73" customHeight="1" thickBot="1" x14ac:dyDescent="0.4">
      <c r="B251" s="44" t="s">
        <v>671</v>
      </c>
      <c r="C251" s="14">
        <v>31141</v>
      </c>
      <c r="D251" s="15">
        <v>91</v>
      </c>
      <c r="E251" s="15">
        <v>94</v>
      </c>
      <c r="F251" s="15">
        <v>95.4</v>
      </c>
      <c r="G251" s="15">
        <v>94.1</v>
      </c>
      <c r="H251" s="15">
        <v>93.3</v>
      </c>
      <c r="I251" s="15" t="s">
        <v>104</v>
      </c>
      <c r="J251" s="15" t="s">
        <v>104</v>
      </c>
    </row>
    <row r="252" spans="1:10" ht="29.5" customHeight="1" thickBot="1" x14ac:dyDescent="0.4">
      <c r="B252" s="47" t="s">
        <v>672</v>
      </c>
      <c r="C252" s="16">
        <v>311411</v>
      </c>
      <c r="D252" s="12">
        <v>30.5</v>
      </c>
      <c r="E252" s="12">
        <v>32.799999999999997</v>
      </c>
      <c r="F252" s="12">
        <v>33.700000000000003</v>
      </c>
      <c r="G252" s="12">
        <v>32.4</v>
      </c>
      <c r="H252" s="12">
        <v>31.8</v>
      </c>
      <c r="I252" s="12" t="s">
        <v>104</v>
      </c>
      <c r="J252" s="12" t="s">
        <v>104</v>
      </c>
    </row>
    <row r="253" spans="1:10" ht="15" thickBot="1" x14ac:dyDescent="0.4">
      <c r="B253" s="46" t="s">
        <v>673</v>
      </c>
      <c r="C253" s="14">
        <v>311412</v>
      </c>
      <c r="D253" s="15">
        <v>60.5</v>
      </c>
      <c r="E253" s="15">
        <v>60.4</v>
      </c>
      <c r="F253" s="15">
        <v>61</v>
      </c>
      <c r="G253" s="15">
        <v>60.9</v>
      </c>
      <c r="H253" s="15">
        <v>61.2</v>
      </c>
      <c r="I253" s="15" t="s">
        <v>104</v>
      </c>
      <c r="J253" s="15" t="s">
        <v>104</v>
      </c>
    </row>
    <row r="254" spans="1:10" ht="29.5" thickBot="1" x14ac:dyDescent="0.4">
      <c r="B254" s="43" t="s">
        <v>674</v>
      </c>
      <c r="C254" s="16">
        <v>31142</v>
      </c>
      <c r="D254" s="12">
        <v>77.599999999999994</v>
      </c>
      <c r="E254" s="12">
        <v>75.2</v>
      </c>
      <c r="F254" s="12">
        <v>72.7</v>
      </c>
      <c r="G254" s="12">
        <v>72.599999999999994</v>
      </c>
      <c r="H254" s="12">
        <v>72.8</v>
      </c>
      <c r="I254" s="12" t="s">
        <v>104</v>
      </c>
      <c r="J254" s="12" t="s">
        <v>104</v>
      </c>
    </row>
    <row r="255" spans="1:10" ht="15" thickBot="1" x14ac:dyDescent="0.4">
      <c r="B255" s="48" t="s">
        <v>675</v>
      </c>
      <c r="C255" s="14">
        <v>3115</v>
      </c>
      <c r="D255" s="15">
        <v>167</v>
      </c>
      <c r="E255" s="15">
        <v>168.9</v>
      </c>
      <c r="F255" s="15">
        <v>168.7</v>
      </c>
      <c r="G255" s="15">
        <v>168.5</v>
      </c>
      <c r="H255" s="15">
        <v>168</v>
      </c>
      <c r="I255" s="15" t="s">
        <v>104</v>
      </c>
      <c r="J255" s="15" t="s">
        <v>104</v>
      </c>
    </row>
    <row r="256" spans="1:10" ht="29.5" customHeight="1" thickBot="1" x14ac:dyDescent="0.4">
      <c r="B256" s="43" t="s">
        <v>676</v>
      </c>
      <c r="C256" s="16">
        <v>311511</v>
      </c>
      <c r="D256" s="12">
        <v>56.1</v>
      </c>
      <c r="E256" s="12">
        <v>56.2</v>
      </c>
      <c r="F256" s="12">
        <v>55.9</v>
      </c>
      <c r="G256" s="12">
        <v>56</v>
      </c>
      <c r="H256" s="12">
        <v>55.8</v>
      </c>
      <c r="I256" s="12" t="s">
        <v>104</v>
      </c>
      <c r="J256" s="12" t="s">
        <v>104</v>
      </c>
    </row>
    <row r="257" spans="1:10" ht="58.5" customHeight="1" thickBot="1" x14ac:dyDescent="0.4">
      <c r="B257" s="48" t="s">
        <v>178</v>
      </c>
      <c r="C257" s="14">
        <v>3116</v>
      </c>
      <c r="D257" s="15">
        <v>547.1</v>
      </c>
      <c r="E257" s="15">
        <v>551.5</v>
      </c>
      <c r="F257" s="15">
        <v>554.5</v>
      </c>
      <c r="G257" s="15">
        <v>554.6</v>
      </c>
      <c r="H257" s="15">
        <v>555.20000000000005</v>
      </c>
      <c r="I257" s="15" t="s">
        <v>104</v>
      </c>
      <c r="J257" s="15" t="s">
        <v>104</v>
      </c>
    </row>
    <row r="258" spans="1:10" ht="29.5" customHeight="1" thickBot="1" x14ac:dyDescent="0.4">
      <c r="B258" s="43" t="s">
        <v>179</v>
      </c>
      <c r="C258" s="16">
        <v>311611</v>
      </c>
      <c r="D258" s="12">
        <v>148.1</v>
      </c>
      <c r="E258" s="12">
        <v>147.9</v>
      </c>
      <c r="F258" s="12">
        <v>148.1</v>
      </c>
      <c r="G258" s="12">
        <v>147.9</v>
      </c>
      <c r="H258" s="12">
        <v>147.6</v>
      </c>
      <c r="I258" s="12" t="s">
        <v>104</v>
      </c>
      <c r="J258" s="12" t="s">
        <v>104</v>
      </c>
    </row>
    <row r="259" spans="1:10" ht="44.15" customHeight="1" thickBot="1" x14ac:dyDescent="0.4">
      <c r="B259" s="44" t="s">
        <v>677</v>
      </c>
      <c r="C259" s="14" t="s">
        <v>180</v>
      </c>
      <c r="D259" s="15">
        <v>158.19999999999999</v>
      </c>
      <c r="E259" s="15">
        <v>162.4</v>
      </c>
      <c r="F259" s="15">
        <v>162.30000000000001</v>
      </c>
      <c r="G259" s="15">
        <v>161.9</v>
      </c>
      <c r="H259" s="15">
        <v>161.6</v>
      </c>
      <c r="I259" s="15" t="s">
        <v>104</v>
      </c>
      <c r="J259" s="15" t="s">
        <v>104</v>
      </c>
    </row>
    <row r="260" spans="1:10" ht="58.5" customHeight="1" thickBot="1" x14ac:dyDescent="0.4">
      <c r="B260" s="43" t="s">
        <v>181</v>
      </c>
      <c r="C260" s="16">
        <v>311615</v>
      </c>
      <c r="D260" s="12">
        <v>240.3</v>
      </c>
      <c r="E260" s="12">
        <v>242</v>
      </c>
      <c r="F260" s="12">
        <v>243.9</v>
      </c>
      <c r="G260" s="12">
        <v>244.4</v>
      </c>
      <c r="H260" s="12">
        <v>245.5</v>
      </c>
      <c r="I260" s="12" t="s">
        <v>104</v>
      </c>
      <c r="J260" s="12" t="s">
        <v>104</v>
      </c>
    </row>
    <row r="261" spans="1:10" ht="58.5" customHeight="1" thickBot="1" x14ac:dyDescent="0.4">
      <c r="B261" s="48" t="s">
        <v>182</v>
      </c>
      <c r="C261" s="14">
        <v>3117</v>
      </c>
      <c r="D261" s="15">
        <v>25.5</v>
      </c>
      <c r="E261" s="15">
        <v>23.4</v>
      </c>
      <c r="F261" s="15">
        <v>24</v>
      </c>
      <c r="G261" s="15">
        <v>24.2</v>
      </c>
      <c r="H261" s="15">
        <v>24.5</v>
      </c>
      <c r="I261" s="15" t="s">
        <v>104</v>
      </c>
      <c r="J261" s="15" t="s">
        <v>104</v>
      </c>
    </row>
    <row r="262" spans="1:10" ht="15" thickBot="1" x14ac:dyDescent="0.4">
      <c r="B262" s="50" t="s">
        <v>183</v>
      </c>
      <c r="C262" s="16">
        <v>3118</v>
      </c>
      <c r="D262" s="12">
        <v>340.2</v>
      </c>
      <c r="E262" s="12">
        <v>351.4</v>
      </c>
      <c r="F262" s="12">
        <v>353.2</v>
      </c>
      <c r="G262" s="12">
        <v>354.4</v>
      </c>
      <c r="H262" s="12">
        <v>354.7</v>
      </c>
      <c r="I262" s="12" t="s">
        <v>104</v>
      </c>
      <c r="J262" s="12" t="s">
        <v>104</v>
      </c>
    </row>
    <row r="263" spans="1:10" ht="44.15" customHeight="1" thickBot="1" x14ac:dyDescent="0.4">
      <c r="B263" s="44" t="s">
        <v>678</v>
      </c>
      <c r="C263" s="14">
        <v>31181</v>
      </c>
      <c r="D263" s="15">
        <v>257.5</v>
      </c>
      <c r="E263" s="15">
        <v>268.89999999999998</v>
      </c>
      <c r="F263" s="15">
        <v>270.3</v>
      </c>
      <c r="G263" s="15">
        <v>271.5</v>
      </c>
      <c r="H263" s="15">
        <v>272.3</v>
      </c>
      <c r="I263" s="15" t="s">
        <v>104</v>
      </c>
      <c r="J263" s="15" t="s">
        <v>104</v>
      </c>
    </row>
    <row r="264" spans="1:10" ht="44.15" customHeight="1" thickBot="1" x14ac:dyDescent="0.4">
      <c r="B264" s="47" t="s">
        <v>184</v>
      </c>
      <c r="C264" s="16">
        <v>311811</v>
      </c>
      <c r="D264" s="12">
        <v>99.6</v>
      </c>
      <c r="E264" s="12">
        <v>104.8</v>
      </c>
      <c r="F264" s="12">
        <v>106.1</v>
      </c>
      <c r="G264" s="12">
        <v>107.4</v>
      </c>
      <c r="H264" s="12">
        <v>108</v>
      </c>
      <c r="I264" s="12" t="s">
        <v>104</v>
      </c>
      <c r="J264" s="12" t="s">
        <v>104</v>
      </c>
    </row>
    <row r="265" spans="1:10" ht="58.5" customHeight="1" thickBot="1" x14ac:dyDescent="0.4">
      <c r="B265" s="46" t="s">
        <v>679</v>
      </c>
      <c r="C265" s="14" t="s">
        <v>185</v>
      </c>
      <c r="D265" s="15">
        <v>158.19999999999999</v>
      </c>
      <c r="E265" s="15">
        <v>163.69999999999999</v>
      </c>
      <c r="F265" s="15">
        <v>164.2</v>
      </c>
      <c r="G265" s="15">
        <v>164.6</v>
      </c>
      <c r="H265" s="15">
        <v>164.7</v>
      </c>
      <c r="I265" s="15" t="s">
        <v>104</v>
      </c>
      <c r="J265" s="15" t="s">
        <v>104</v>
      </c>
    </row>
    <row r="266" spans="1:10" ht="29.5" thickBot="1" x14ac:dyDescent="0.4">
      <c r="B266" s="43" t="s">
        <v>680</v>
      </c>
      <c r="C266" s="16" t="s">
        <v>186</v>
      </c>
      <c r="D266" s="12">
        <v>82.1</v>
      </c>
      <c r="E266" s="12">
        <v>83</v>
      </c>
      <c r="F266" s="12">
        <v>82.7</v>
      </c>
      <c r="G266" s="12">
        <v>82.7</v>
      </c>
      <c r="H266" s="12">
        <v>81.8</v>
      </c>
      <c r="I266" s="12" t="s">
        <v>104</v>
      </c>
      <c r="J266" s="12" t="s">
        <v>104</v>
      </c>
    </row>
    <row r="267" spans="1:10" ht="15" thickBot="1" x14ac:dyDescent="0.4">
      <c r="B267" s="48" t="s">
        <v>681</v>
      </c>
      <c r="C267" s="14">
        <v>3119</v>
      </c>
      <c r="D267" s="15">
        <v>261.89999999999998</v>
      </c>
      <c r="E267" s="15">
        <v>255.1</v>
      </c>
      <c r="F267" s="15">
        <v>255.2</v>
      </c>
      <c r="G267" s="15">
        <v>255.6</v>
      </c>
      <c r="H267" s="15">
        <v>255.1</v>
      </c>
      <c r="I267" s="15" t="s">
        <v>104</v>
      </c>
      <c r="J267" s="15" t="s">
        <v>104</v>
      </c>
    </row>
    <row r="268" spans="1:10" ht="44.15" customHeight="1" thickBot="1" x14ac:dyDescent="0.4">
      <c r="B268" s="43" t="s">
        <v>682</v>
      </c>
      <c r="C268" s="16">
        <v>31191</v>
      </c>
      <c r="D268" s="12">
        <v>65.5</v>
      </c>
      <c r="E268" s="12">
        <v>64.2</v>
      </c>
      <c r="F268" s="12">
        <v>64.5</v>
      </c>
      <c r="G268" s="12">
        <v>64.599999999999994</v>
      </c>
      <c r="H268" s="12">
        <v>64.7</v>
      </c>
      <c r="I268" s="12" t="s">
        <v>104</v>
      </c>
      <c r="J268" s="12" t="s">
        <v>104</v>
      </c>
    </row>
    <row r="269" spans="1:10" ht="44.15" customHeight="1" thickBot="1" x14ac:dyDescent="0.4">
      <c r="B269" s="44" t="s">
        <v>683</v>
      </c>
      <c r="C269" s="14" t="s">
        <v>187</v>
      </c>
      <c r="D269" s="15">
        <v>196.7</v>
      </c>
      <c r="E269" s="15">
        <v>191</v>
      </c>
      <c r="F269" s="15">
        <v>190.8</v>
      </c>
      <c r="G269" s="15">
        <v>191</v>
      </c>
      <c r="H269" s="15">
        <v>190.4</v>
      </c>
      <c r="I269" s="15" t="s">
        <v>104</v>
      </c>
      <c r="J269" s="15" t="s">
        <v>104</v>
      </c>
    </row>
    <row r="270" spans="1:10" ht="87.65" customHeight="1" thickBot="1" x14ac:dyDescent="0.4">
      <c r="A270" t="s">
        <v>6</v>
      </c>
      <c r="B270" s="41" t="s">
        <v>188</v>
      </c>
      <c r="C270" s="16">
        <v>313</v>
      </c>
      <c r="D270" s="12">
        <v>90</v>
      </c>
      <c r="E270" s="12">
        <v>89.7</v>
      </c>
      <c r="F270" s="12">
        <v>89</v>
      </c>
      <c r="G270" s="12">
        <v>89.3</v>
      </c>
      <c r="H270" s="12">
        <v>89.1</v>
      </c>
      <c r="I270" s="12">
        <v>89.2</v>
      </c>
      <c r="J270" s="12">
        <v>0.1</v>
      </c>
    </row>
    <row r="271" spans="1:10" ht="29.5" customHeight="1" thickBot="1" x14ac:dyDescent="0.4">
      <c r="B271" s="48" t="s">
        <v>189</v>
      </c>
      <c r="C271" s="14">
        <v>3132</v>
      </c>
      <c r="D271" s="15">
        <v>42.5</v>
      </c>
      <c r="E271" s="15">
        <v>41.3</v>
      </c>
      <c r="F271" s="15">
        <v>41.1</v>
      </c>
      <c r="G271" s="15">
        <v>41.1</v>
      </c>
      <c r="H271" s="15">
        <v>41</v>
      </c>
      <c r="I271" s="15" t="s">
        <v>104</v>
      </c>
      <c r="J271" s="15" t="s">
        <v>104</v>
      </c>
    </row>
    <row r="272" spans="1:10" ht="44.15" customHeight="1" thickBot="1" x14ac:dyDescent="0.4">
      <c r="A272" t="s">
        <v>6</v>
      </c>
      <c r="B272" s="41" t="s">
        <v>190</v>
      </c>
      <c r="C272" s="16">
        <v>314</v>
      </c>
      <c r="D272" s="12">
        <v>96.1</v>
      </c>
      <c r="E272" s="12">
        <v>95</v>
      </c>
      <c r="F272" s="12">
        <v>93.5</v>
      </c>
      <c r="G272" s="12">
        <v>94.5</v>
      </c>
      <c r="H272" s="12">
        <v>95.4</v>
      </c>
      <c r="I272" s="12">
        <v>95.4</v>
      </c>
      <c r="J272" s="12">
        <v>0</v>
      </c>
    </row>
    <row r="273" spans="1:10" ht="44.15" customHeight="1" thickBot="1" x14ac:dyDescent="0.4">
      <c r="B273" s="48" t="s">
        <v>191</v>
      </c>
      <c r="C273" s="14">
        <v>3141</v>
      </c>
      <c r="D273" s="15">
        <v>39.200000000000003</v>
      </c>
      <c r="E273" s="15">
        <v>37.9</v>
      </c>
      <c r="F273" s="15">
        <v>37.1</v>
      </c>
      <c r="G273" s="15">
        <v>37.1</v>
      </c>
      <c r="H273" s="15">
        <v>37.200000000000003</v>
      </c>
      <c r="I273" s="15" t="s">
        <v>104</v>
      </c>
      <c r="J273" s="15" t="s">
        <v>104</v>
      </c>
    </row>
    <row r="274" spans="1:10" ht="44.15" customHeight="1" thickBot="1" x14ac:dyDescent="0.4">
      <c r="B274" s="50" t="s">
        <v>192</v>
      </c>
      <c r="C274" s="16">
        <v>3149</v>
      </c>
      <c r="D274" s="12">
        <v>57</v>
      </c>
      <c r="E274" s="12">
        <v>57</v>
      </c>
      <c r="F274" s="12">
        <v>56.2</v>
      </c>
      <c r="G274" s="12">
        <v>57.4</v>
      </c>
      <c r="H274" s="12">
        <v>58</v>
      </c>
      <c r="I274" s="12" t="s">
        <v>104</v>
      </c>
      <c r="J274" s="12" t="s">
        <v>104</v>
      </c>
    </row>
    <row r="275" spans="1:10" ht="29.5" customHeight="1" thickBot="1" x14ac:dyDescent="0.4">
      <c r="B275" s="44" t="s">
        <v>193</v>
      </c>
      <c r="C275" s="14">
        <v>31491</v>
      </c>
      <c r="D275" s="15">
        <v>21.5</v>
      </c>
      <c r="E275" s="15">
        <v>20.5</v>
      </c>
      <c r="F275" s="15">
        <v>20.5</v>
      </c>
      <c r="G275" s="15">
        <v>21.1</v>
      </c>
      <c r="H275" s="15">
        <v>21.7</v>
      </c>
      <c r="I275" s="15" t="s">
        <v>104</v>
      </c>
      <c r="J275" s="15" t="s">
        <v>104</v>
      </c>
    </row>
    <row r="276" spans="1:10" ht="87.65" customHeight="1" thickBot="1" x14ac:dyDescent="0.4">
      <c r="B276" s="43" t="s">
        <v>194</v>
      </c>
      <c r="C276" s="16">
        <v>31499</v>
      </c>
      <c r="D276" s="12">
        <v>35.4</v>
      </c>
      <c r="E276" s="12">
        <v>36.200000000000003</v>
      </c>
      <c r="F276" s="12">
        <v>35.700000000000003</v>
      </c>
      <c r="G276" s="12">
        <v>36.4</v>
      </c>
      <c r="H276" s="12">
        <v>36.200000000000003</v>
      </c>
      <c r="I276" s="12" t="s">
        <v>104</v>
      </c>
      <c r="J276" s="12" t="s">
        <v>104</v>
      </c>
    </row>
    <row r="277" spans="1:10" ht="44.15" customHeight="1" thickBot="1" x14ac:dyDescent="0.4">
      <c r="A277" t="s">
        <v>6</v>
      </c>
      <c r="B277" s="40" t="s">
        <v>44</v>
      </c>
      <c r="C277" s="14">
        <v>315</v>
      </c>
      <c r="D277" s="15">
        <v>88.6</v>
      </c>
      <c r="E277" s="15">
        <v>84</v>
      </c>
      <c r="F277" s="15">
        <v>84.1</v>
      </c>
      <c r="G277" s="15">
        <v>83.7</v>
      </c>
      <c r="H277" s="15">
        <v>83.3</v>
      </c>
      <c r="I277" s="15">
        <v>83.3</v>
      </c>
      <c r="J277" s="15">
        <v>0</v>
      </c>
    </row>
    <row r="278" spans="1:10" ht="29.5" customHeight="1" thickBot="1" x14ac:dyDescent="0.4">
      <c r="B278" s="50" t="s">
        <v>684</v>
      </c>
      <c r="C278" s="16">
        <v>31525</v>
      </c>
      <c r="D278" s="12">
        <v>48.2</v>
      </c>
      <c r="E278" s="12">
        <v>45</v>
      </c>
      <c r="F278" s="12">
        <v>44.9</v>
      </c>
      <c r="G278" s="12">
        <v>44.8</v>
      </c>
      <c r="H278" s="12">
        <v>44.6</v>
      </c>
      <c r="I278" s="12" t="s">
        <v>104</v>
      </c>
      <c r="J278" s="12" t="s">
        <v>104</v>
      </c>
    </row>
    <row r="279" spans="1:10" ht="29.5" customHeight="1" thickBot="1" x14ac:dyDescent="0.4">
      <c r="A279" t="s">
        <v>8</v>
      </c>
      <c r="B279" s="40" t="s">
        <v>685</v>
      </c>
      <c r="C279" s="14">
        <v>322</v>
      </c>
      <c r="D279" s="15">
        <v>353.1</v>
      </c>
      <c r="E279" s="15">
        <v>350.1</v>
      </c>
      <c r="F279" s="15">
        <v>349.7</v>
      </c>
      <c r="G279" s="15">
        <v>349.3</v>
      </c>
      <c r="H279" s="15">
        <v>349.9</v>
      </c>
      <c r="I279" s="15">
        <v>349.1</v>
      </c>
      <c r="J279" s="15">
        <v>-0.8</v>
      </c>
    </row>
    <row r="280" spans="1:10" ht="44.15" customHeight="1" thickBot="1" x14ac:dyDescent="0.4">
      <c r="B280" s="50" t="s">
        <v>195</v>
      </c>
      <c r="C280" s="16">
        <v>3221</v>
      </c>
      <c r="D280" s="12">
        <v>86.4</v>
      </c>
      <c r="E280" s="12">
        <v>84.5</v>
      </c>
      <c r="F280" s="12">
        <v>84.6</v>
      </c>
      <c r="G280" s="12">
        <v>84</v>
      </c>
      <c r="H280" s="12">
        <v>84.4</v>
      </c>
      <c r="I280" s="12" t="s">
        <v>104</v>
      </c>
      <c r="J280" s="12" t="s">
        <v>104</v>
      </c>
    </row>
    <row r="281" spans="1:10" ht="15" thickBot="1" x14ac:dyDescent="0.4">
      <c r="B281" s="48" t="s">
        <v>686</v>
      </c>
      <c r="C281" s="14">
        <v>3222</v>
      </c>
      <c r="D281" s="15">
        <v>266.60000000000002</v>
      </c>
      <c r="E281" s="15">
        <v>265.39999999999998</v>
      </c>
      <c r="F281" s="15">
        <v>265.10000000000002</v>
      </c>
      <c r="G281" s="15">
        <v>265.10000000000002</v>
      </c>
      <c r="H281" s="15">
        <v>265.39999999999998</v>
      </c>
      <c r="I281" s="15" t="s">
        <v>104</v>
      </c>
      <c r="J281" s="15" t="s">
        <v>104</v>
      </c>
    </row>
    <row r="282" spans="1:10" ht="25.5" customHeight="1" thickBot="1" x14ac:dyDescent="0.4">
      <c r="B282" s="43" t="s">
        <v>687</v>
      </c>
      <c r="C282" s="16">
        <v>32221</v>
      </c>
      <c r="D282" s="12">
        <v>154.5</v>
      </c>
      <c r="E282" s="12">
        <v>155.4</v>
      </c>
      <c r="F282" s="12">
        <v>155.5</v>
      </c>
      <c r="G282" s="12">
        <v>155.6</v>
      </c>
      <c r="H282" s="12">
        <v>156.19999999999999</v>
      </c>
      <c r="I282" s="12" t="s">
        <v>104</v>
      </c>
      <c r="J282" s="12" t="s">
        <v>104</v>
      </c>
    </row>
    <row r="283" spans="1:10" ht="29.5" thickBot="1" x14ac:dyDescent="0.4">
      <c r="B283" s="44" t="s">
        <v>688</v>
      </c>
      <c r="C283" s="14">
        <v>32222</v>
      </c>
      <c r="D283" s="15">
        <v>53.5</v>
      </c>
      <c r="E283" s="15">
        <v>53</v>
      </c>
      <c r="F283" s="15">
        <v>53.1</v>
      </c>
      <c r="G283" s="15">
        <v>53.5</v>
      </c>
      <c r="H283" s="15">
        <v>53.4</v>
      </c>
      <c r="I283" s="15" t="s">
        <v>104</v>
      </c>
      <c r="J283" s="15" t="s">
        <v>104</v>
      </c>
    </row>
    <row r="284" spans="1:10" ht="44.15" customHeight="1" thickBot="1" x14ac:dyDescent="0.4">
      <c r="B284" s="43" t="s">
        <v>196</v>
      </c>
      <c r="C284" s="16" t="s">
        <v>197</v>
      </c>
      <c r="D284" s="12">
        <v>59</v>
      </c>
      <c r="E284" s="12">
        <v>56.9</v>
      </c>
      <c r="F284" s="12">
        <v>56.2</v>
      </c>
      <c r="G284" s="12">
        <v>56.2</v>
      </c>
      <c r="H284" s="12">
        <v>56</v>
      </c>
      <c r="I284" s="12" t="s">
        <v>104</v>
      </c>
      <c r="J284" s="12" t="s">
        <v>104</v>
      </c>
    </row>
    <row r="285" spans="1:10" ht="29.5" customHeight="1" thickBot="1" x14ac:dyDescent="0.4">
      <c r="A285" t="s">
        <v>8</v>
      </c>
      <c r="B285" s="40" t="s">
        <v>198</v>
      </c>
      <c r="C285" s="14">
        <v>323</v>
      </c>
      <c r="D285" s="15">
        <v>364.5</v>
      </c>
      <c r="E285" s="15">
        <v>360.4</v>
      </c>
      <c r="F285" s="15">
        <v>360.6</v>
      </c>
      <c r="G285" s="15">
        <v>360</v>
      </c>
      <c r="H285" s="15">
        <v>359.7</v>
      </c>
      <c r="I285" s="15">
        <v>358.9</v>
      </c>
      <c r="J285" s="15">
        <v>-0.8</v>
      </c>
    </row>
    <row r="286" spans="1:10" ht="29.5" customHeight="1" thickBot="1" x14ac:dyDescent="0.4">
      <c r="B286" s="50" t="s">
        <v>993</v>
      </c>
      <c r="C286" s="16" t="s">
        <v>199</v>
      </c>
      <c r="D286" s="12">
        <v>271.10000000000002</v>
      </c>
      <c r="E286" s="12">
        <v>269.7</v>
      </c>
      <c r="F286" s="12">
        <v>270.5</v>
      </c>
      <c r="G286" s="12">
        <v>270.7</v>
      </c>
      <c r="H286" s="12">
        <v>270.5</v>
      </c>
      <c r="I286" s="12" t="s">
        <v>104</v>
      </c>
      <c r="J286" s="12" t="s">
        <v>104</v>
      </c>
    </row>
    <row r="287" spans="1:10" ht="59" customHeight="1" thickBot="1" x14ac:dyDescent="0.4">
      <c r="B287" s="40" t="s">
        <v>689</v>
      </c>
      <c r="C287" s="14">
        <v>324</v>
      </c>
      <c r="D287" s="15">
        <v>109</v>
      </c>
      <c r="E287" s="15">
        <v>108.1</v>
      </c>
      <c r="F287" s="15">
        <v>107.8</v>
      </c>
      <c r="G287" s="15">
        <v>107.7</v>
      </c>
      <c r="H287" s="15">
        <v>107.3</v>
      </c>
      <c r="I287" s="15">
        <v>107</v>
      </c>
      <c r="J287" s="15">
        <v>-0.3</v>
      </c>
    </row>
    <row r="288" spans="1:10" ht="15" thickBot="1" x14ac:dyDescent="0.4">
      <c r="A288" t="s">
        <v>9</v>
      </c>
      <c r="B288" s="50" t="s">
        <v>200</v>
      </c>
      <c r="C288" s="16">
        <v>32411</v>
      </c>
      <c r="D288" s="12">
        <v>62.2</v>
      </c>
      <c r="E288" s="12">
        <v>62.6</v>
      </c>
      <c r="F288" s="12">
        <v>61.8</v>
      </c>
      <c r="G288" s="12">
        <v>61.8</v>
      </c>
      <c r="H288" s="12">
        <v>61.5</v>
      </c>
      <c r="I288" s="12" t="s">
        <v>104</v>
      </c>
      <c r="J288" s="12" t="s">
        <v>104</v>
      </c>
    </row>
    <row r="289" spans="1:10" ht="44.15" customHeight="1" thickBot="1" x14ac:dyDescent="0.4">
      <c r="A289" s="32" t="s">
        <v>975</v>
      </c>
      <c r="B289" s="48" t="s">
        <v>690</v>
      </c>
      <c r="C289" s="14" t="s">
        <v>201</v>
      </c>
      <c r="D289" s="15">
        <v>46.8</v>
      </c>
      <c r="E289" s="15">
        <v>45.9</v>
      </c>
      <c r="F289" s="15">
        <v>46.1</v>
      </c>
      <c r="G289" s="15">
        <v>45.8</v>
      </c>
      <c r="H289" s="15">
        <v>45.8</v>
      </c>
      <c r="I289" s="15" t="s">
        <v>104</v>
      </c>
      <c r="J289" s="15" t="s">
        <v>104</v>
      </c>
    </row>
    <row r="290" spans="1:10" ht="58.5" customHeight="1" thickBot="1" x14ac:dyDescent="0.4">
      <c r="B290" s="41" t="s">
        <v>691</v>
      </c>
      <c r="C290" s="16">
        <v>325</v>
      </c>
      <c r="D290" s="12">
        <v>897.2</v>
      </c>
      <c r="E290" s="12">
        <v>902.3</v>
      </c>
      <c r="F290" s="12">
        <v>902.8</v>
      </c>
      <c r="G290" s="12">
        <v>901.9</v>
      </c>
      <c r="H290" s="12">
        <v>901.8</v>
      </c>
      <c r="I290" s="12">
        <v>902.5</v>
      </c>
      <c r="J290" s="12">
        <v>0.7</v>
      </c>
    </row>
    <row r="291" spans="1:10" ht="44.15" customHeight="1" thickBot="1" x14ac:dyDescent="0.4">
      <c r="A291" t="s">
        <v>36</v>
      </c>
      <c r="B291" s="48" t="s">
        <v>692</v>
      </c>
      <c r="C291" s="14">
        <v>3251</v>
      </c>
      <c r="D291" s="15">
        <v>156.4</v>
      </c>
      <c r="E291" s="15">
        <v>159.4</v>
      </c>
      <c r="F291" s="15">
        <v>159.1</v>
      </c>
      <c r="G291" s="15">
        <v>159.4</v>
      </c>
      <c r="H291" s="15">
        <v>159.19999999999999</v>
      </c>
      <c r="I291" s="15" t="s">
        <v>104</v>
      </c>
      <c r="J291" s="15" t="s">
        <v>104</v>
      </c>
    </row>
    <row r="292" spans="1:10" ht="37" customHeight="1" thickBot="1" x14ac:dyDescent="0.4">
      <c r="B292" s="43" t="s">
        <v>693</v>
      </c>
      <c r="C292" s="16" t="s">
        <v>694</v>
      </c>
      <c r="D292" s="12">
        <v>98.9</v>
      </c>
      <c r="E292" s="12">
        <v>98.8</v>
      </c>
      <c r="F292" s="12">
        <v>98.8</v>
      </c>
      <c r="G292" s="12">
        <v>98.7</v>
      </c>
      <c r="H292" s="12">
        <v>98.8</v>
      </c>
      <c r="I292" s="12" t="s">
        <v>104</v>
      </c>
      <c r="J292" s="12" t="s">
        <v>104</v>
      </c>
    </row>
    <row r="293" spans="1:10" ht="29.5" customHeight="1" thickBot="1" x14ac:dyDescent="0.4">
      <c r="B293" s="44" t="s">
        <v>695</v>
      </c>
      <c r="C293" s="14">
        <v>32519</v>
      </c>
      <c r="D293" s="15">
        <v>57.5</v>
      </c>
      <c r="E293" s="15">
        <v>60.2</v>
      </c>
      <c r="F293" s="15">
        <v>60.1</v>
      </c>
      <c r="G293" s="15">
        <v>60.5</v>
      </c>
      <c r="H293" s="15">
        <v>60.5</v>
      </c>
      <c r="I293" s="15" t="s">
        <v>104</v>
      </c>
      <c r="J293" s="15" t="s">
        <v>104</v>
      </c>
    </row>
    <row r="294" spans="1:10" ht="29.5" customHeight="1" thickBot="1" x14ac:dyDescent="0.4">
      <c r="A294" t="s">
        <v>36</v>
      </c>
      <c r="B294" s="50" t="s">
        <v>696</v>
      </c>
      <c r="C294" s="16">
        <v>3252</v>
      </c>
      <c r="D294" s="12">
        <v>96.9</v>
      </c>
      <c r="E294" s="12">
        <v>94.8</v>
      </c>
      <c r="F294" s="12">
        <v>95.6</v>
      </c>
      <c r="G294" s="12">
        <v>95.4</v>
      </c>
      <c r="H294" s="12">
        <v>95.5</v>
      </c>
      <c r="I294" s="12" t="s">
        <v>104</v>
      </c>
      <c r="J294" s="12" t="s">
        <v>104</v>
      </c>
    </row>
    <row r="295" spans="1:10" ht="29.5" customHeight="1" thickBot="1" x14ac:dyDescent="0.4">
      <c r="B295" s="44" t="s">
        <v>697</v>
      </c>
      <c r="C295" s="14">
        <v>325211</v>
      </c>
      <c r="D295" s="15">
        <v>62.2</v>
      </c>
      <c r="E295" s="15">
        <v>61.1</v>
      </c>
      <c r="F295" s="15">
        <v>61.5</v>
      </c>
      <c r="G295" s="15">
        <v>61.4</v>
      </c>
      <c r="H295" s="15">
        <v>61.6</v>
      </c>
      <c r="I295" s="15" t="s">
        <v>104</v>
      </c>
      <c r="J295" s="15" t="s">
        <v>104</v>
      </c>
    </row>
    <row r="296" spans="1:10" ht="44.15" customHeight="1" thickBot="1" x14ac:dyDescent="0.4">
      <c r="A296" t="s">
        <v>36</v>
      </c>
      <c r="B296" s="50" t="s">
        <v>698</v>
      </c>
      <c r="C296" s="16">
        <v>3253</v>
      </c>
      <c r="D296" s="12">
        <v>38</v>
      </c>
      <c r="E296" s="12">
        <v>40.299999999999997</v>
      </c>
      <c r="F296" s="12">
        <v>40.6</v>
      </c>
      <c r="G296" s="12">
        <v>40.6</v>
      </c>
      <c r="H296" s="12">
        <v>40.6</v>
      </c>
      <c r="I296" s="12" t="s">
        <v>104</v>
      </c>
      <c r="J296" s="12" t="s">
        <v>104</v>
      </c>
    </row>
    <row r="297" spans="1:10" ht="73" customHeight="1" thickBot="1" x14ac:dyDescent="0.4">
      <c r="A297" t="s">
        <v>37</v>
      </c>
      <c r="B297" s="48" t="s">
        <v>699</v>
      </c>
      <c r="C297" s="14">
        <v>3254</v>
      </c>
      <c r="D297" s="15">
        <v>343.5</v>
      </c>
      <c r="E297" s="15">
        <v>345</v>
      </c>
      <c r="F297" s="15">
        <v>344</v>
      </c>
      <c r="G297" s="15">
        <v>343.4</v>
      </c>
      <c r="H297" s="15">
        <v>343.9</v>
      </c>
      <c r="I297" s="15" t="s">
        <v>104</v>
      </c>
      <c r="J297" s="15" t="s">
        <v>104</v>
      </c>
    </row>
    <row r="298" spans="1:10" ht="58.5" customHeight="1" thickBot="1" x14ac:dyDescent="0.4">
      <c r="B298" s="43" t="s">
        <v>700</v>
      </c>
      <c r="C298" s="16">
        <v>325412</v>
      </c>
      <c r="D298" s="12">
        <v>227</v>
      </c>
      <c r="E298" s="12">
        <v>230.8</v>
      </c>
      <c r="F298" s="12">
        <v>229.4</v>
      </c>
      <c r="G298" s="12">
        <v>229.2</v>
      </c>
      <c r="H298" s="12">
        <v>229.7</v>
      </c>
      <c r="I298" s="12" t="s">
        <v>104</v>
      </c>
      <c r="J298" s="12" t="s">
        <v>104</v>
      </c>
    </row>
    <row r="299" spans="1:10" ht="58.5" customHeight="1" thickBot="1" x14ac:dyDescent="0.4">
      <c r="B299" s="44" t="s">
        <v>701</v>
      </c>
      <c r="C299" s="14" t="s">
        <v>202</v>
      </c>
      <c r="D299" s="15">
        <v>116.8</v>
      </c>
      <c r="E299" s="15">
        <v>114.3</v>
      </c>
      <c r="F299" s="15">
        <v>114.3</v>
      </c>
      <c r="G299" s="15">
        <v>114.1</v>
      </c>
      <c r="H299" s="15">
        <v>114.2</v>
      </c>
      <c r="I299" s="15" t="s">
        <v>104</v>
      </c>
      <c r="J299" s="15" t="s">
        <v>104</v>
      </c>
    </row>
    <row r="300" spans="1:10" ht="29.5" thickBot="1" x14ac:dyDescent="0.4">
      <c r="A300" t="s">
        <v>36</v>
      </c>
      <c r="B300" s="50" t="s">
        <v>702</v>
      </c>
      <c r="C300" s="16">
        <v>3255</v>
      </c>
      <c r="D300" s="12">
        <v>62.8</v>
      </c>
      <c r="E300" s="12">
        <v>62</v>
      </c>
      <c r="F300" s="12">
        <v>62.4</v>
      </c>
      <c r="G300" s="12">
        <v>62.1</v>
      </c>
      <c r="H300" s="12">
        <v>62.2</v>
      </c>
      <c r="I300" s="12" t="s">
        <v>104</v>
      </c>
      <c r="J300" s="12" t="s">
        <v>104</v>
      </c>
    </row>
    <row r="301" spans="1:10" ht="44.15" customHeight="1" thickBot="1" x14ac:dyDescent="0.4">
      <c r="A301" t="s">
        <v>36</v>
      </c>
      <c r="B301" s="48" t="s">
        <v>703</v>
      </c>
      <c r="C301" s="14">
        <v>3256</v>
      </c>
      <c r="D301" s="15">
        <v>116.2</v>
      </c>
      <c r="E301" s="15">
        <v>119.1</v>
      </c>
      <c r="F301" s="15">
        <v>118.7</v>
      </c>
      <c r="G301" s="15">
        <v>118.7</v>
      </c>
      <c r="H301" s="15">
        <v>118.7</v>
      </c>
      <c r="I301" s="15" t="s">
        <v>104</v>
      </c>
      <c r="J301" s="15" t="s">
        <v>104</v>
      </c>
    </row>
    <row r="302" spans="1:10" ht="29.5" thickBot="1" x14ac:dyDescent="0.4">
      <c r="B302" s="43" t="s">
        <v>704</v>
      </c>
      <c r="C302" s="16">
        <v>32561</v>
      </c>
      <c r="D302" s="12">
        <v>58.1</v>
      </c>
      <c r="E302" s="12">
        <v>60.5</v>
      </c>
      <c r="F302" s="12">
        <v>60</v>
      </c>
      <c r="G302" s="12">
        <v>60.2</v>
      </c>
      <c r="H302" s="12">
        <v>60.6</v>
      </c>
      <c r="I302" s="12" t="s">
        <v>104</v>
      </c>
      <c r="J302" s="12" t="s">
        <v>104</v>
      </c>
    </row>
    <row r="303" spans="1:10" ht="29.5" customHeight="1" thickBot="1" x14ac:dyDescent="0.4">
      <c r="B303" s="44" t="s">
        <v>705</v>
      </c>
      <c r="C303" s="14">
        <v>32562</v>
      </c>
      <c r="D303" s="15">
        <v>58</v>
      </c>
      <c r="E303" s="15">
        <v>58.5</v>
      </c>
      <c r="F303" s="15">
        <v>58.5</v>
      </c>
      <c r="G303" s="15">
        <v>58.3</v>
      </c>
      <c r="H303" s="15">
        <v>57.8</v>
      </c>
      <c r="I303" s="15" t="s">
        <v>104</v>
      </c>
      <c r="J303" s="15" t="s">
        <v>104</v>
      </c>
    </row>
    <row r="304" spans="1:10" ht="87.65" customHeight="1" thickBot="1" x14ac:dyDescent="0.4">
      <c r="A304" t="s">
        <v>36</v>
      </c>
      <c r="B304" s="50" t="s">
        <v>706</v>
      </c>
      <c r="C304" s="16">
        <v>3259</v>
      </c>
      <c r="D304" s="12">
        <v>81.599999999999994</v>
      </c>
      <c r="E304" s="12">
        <v>82.4</v>
      </c>
      <c r="F304" s="12">
        <v>81.5</v>
      </c>
      <c r="G304" s="12">
        <v>81</v>
      </c>
      <c r="H304" s="12">
        <v>80.8</v>
      </c>
      <c r="I304" s="12" t="s">
        <v>104</v>
      </c>
      <c r="J304" s="12" t="s">
        <v>104</v>
      </c>
    </row>
    <row r="305" spans="1:10" ht="28.5" thickBot="1" x14ac:dyDescent="0.4">
      <c r="A305" t="s">
        <v>10</v>
      </c>
      <c r="B305" s="40" t="s">
        <v>707</v>
      </c>
      <c r="C305" s="14">
        <v>326</v>
      </c>
      <c r="D305" s="15">
        <v>729.7</v>
      </c>
      <c r="E305" s="15">
        <v>723.3</v>
      </c>
      <c r="F305" s="15">
        <v>722.4</v>
      </c>
      <c r="G305" s="15">
        <v>720.6</v>
      </c>
      <c r="H305" s="15">
        <v>718.2</v>
      </c>
      <c r="I305" s="15">
        <v>717</v>
      </c>
      <c r="J305" s="15">
        <v>-1.2</v>
      </c>
    </row>
    <row r="306" spans="1:10" ht="15" thickBot="1" x14ac:dyDescent="0.4">
      <c r="B306" s="50" t="s">
        <v>708</v>
      </c>
      <c r="C306" s="16">
        <v>3261</v>
      </c>
      <c r="D306" s="12">
        <v>596.6</v>
      </c>
      <c r="E306" s="12">
        <v>591.6</v>
      </c>
      <c r="F306" s="12">
        <v>590.9</v>
      </c>
      <c r="G306" s="12">
        <v>590</v>
      </c>
      <c r="H306" s="12">
        <v>587.70000000000005</v>
      </c>
      <c r="I306" s="12" t="s">
        <v>104</v>
      </c>
      <c r="J306" s="12" t="s">
        <v>104</v>
      </c>
    </row>
    <row r="307" spans="1:10" ht="58.5" customHeight="1" thickBot="1" x14ac:dyDescent="0.4">
      <c r="B307" s="44" t="s">
        <v>709</v>
      </c>
      <c r="C307" s="14">
        <v>32611</v>
      </c>
      <c r="D307" s="15">
        <v>96.7</v>
      </c>
      <c r="E307" s="15">
        <v>98.1</v>
      </c>
      <c r="F307" s="15">
        <v>98.4</v>
      </c>
      <c r="G307" s="15">
        <v>98.8</v>
      </c>
      <c r="H307" s="15">
        <v>99.1</v>
      </c>
      <c r="I307" s="15" t="s">
        <v>104</v>
      </c>
      <c r="J307" s="15" t="s">
        <v>104</v>
      </c>
    </row>
    <row r="308" spans="1:10" ht="44.15" customHeight="1" thickBot="1" x14ac:dyDescent="0.4">
      <c r="B308" s="43" t="s">
        <v>710</v>
      </c>
      <c r="C308" s="16">
        <v>32612</v>
      </c>
      <c r="D308" s="12">
        <v>54.7</v>
      </c>
      <c r="E308" s="12">
        <v>54.5</v>
      </c>
      <c r="F308" s="12">
        <v>53.5</v>
      </c>
      <c r="G308" s="12">
        <v>53.1</v>
      </c>
      <c r="H308" s="12">
        <v>53.1</v>
      </c>
      <c r="I308" s="12" t="s">
        <v>104</v>
      </c>
      <c r="J308" s="12" t="s">
        <v>104</v>
      </c>
    </row>
    <row r="309" spans="1:10" ht="44.15" customHeight="1" thickBot="1" x14ac:dyDescent="0.4">
      <c r="B309" s="44" t="s">
        <v>711</v>
      </c>
      <c r="C309" s="14" t="s">
        <v>203</v>
      </c>
      <c r="D309" s="15">
        <v>64.7</v>
      </c>
      <c r="E309" s="15">
        <v>65</v>
      </c>
      <c r="F309" s="15">
        <v>65</v>
      </c>
      <c r="G309" s="15">
        <v>65</v>
      </c>
      <c r="H309" s="15">
        <v>64.400000000000006</v>
      </c>
      <c r="I309" s="15" t="s">
        <v>104</v>
      </c>
      <c r="J309" s="15" t="s">
        <v>104</v>
      </c>
    </row>
    <row r="310" spans="1:10" ht="44" thickBot="1" x14ac:dyDescent="0.4">
      <c r="B310" s="43" t="s">
        <v>712</v>
      </c>
      <c r="C310" s="16" t="s">
        <v>204</v>
      </c>
      <c r="D310" s="12">
        <v>54.9</v>
      </c>
      <c r="E310" s="12">
        <v>54.6</v>
      </c>
      <c r="F310" s="12">
        <v>54.8</v>
      </c>
      <c r="G310" s="12">
        <v>54.6</v>
      </c>
      <c r="H310" s="12">
        <v>54.6</v>
      </c>
      <c r="I310" s="12" t="s">
        <v>104</v>
      </c>
      <c r="J310" s="12" t="s">
        <v>104</v>
      </c>
    </row>
    <row r="311" spans="1:10" ht="29.5" customHeight="1" thickBot="1" x14ac:dyDescent="0.4">
      <c r="B311" s="44" t="s">
        <v>713</v>
      </c>
      <c r="C311" s="14">
        <v>32619</v>
      </c>
      <c r="D311" s="15">
        <v>325.10000000000002</v>
      </c>
      <c r="E311" s="15">
        <v>320.3</v>
      </c>
      <c r="F311" s="15">
        <v>318.89999999999998</v>
      </c>
      <c r="G311" s="15">
        <v>317.7</v>
      </c>
      <c r="H311" s="15">
        <v>316.3</v>
      </c>
      <c r="I311" s="15" t="s">
        <v>104</v>
      </c>
      <c r="J311" s="15" t="s">
        <v>104</v>
      </c>
    </row>
    <row r="312" spans="1:10" ht="44" customHeight="1" thickBot="1" x14ac:dyDescent="0.4">
      <c r="B312" s="50" t="s">
        <v>714</v>
      </c>
      <c r="C312" s="16">
        <v>3262</v>
      </c>
      <c r="D312" s="12">
        <v>132.69999999999999</v>
      </c>
      <c r="E312" s="12">
        <v>131.5</v>
      </c>
      <c r="F312" s="12">
        <v>131.1</v>
      </c>
      <c r="G312" s="12">
        <v>130.69999999999999</v>
      </c>
      <c r="H312" s="12">
        <v>130.5</v>
      </c>
      <c r="I312" s="12" t="s">
        <v>104</v>
      </c>
      <c r="J312" s="12" t="s">
        <v>104</v>
      </c>
    </row>
    <row r="313" spans="1:10" ht="15" thickBot="1" x14ac:dyDescent="0.4">
      <c r="B313" s="44" t="s">
        <v>715</v>
      </c>
      <c r="C313" s="14">
        <v>32621</v>
      </c>
      <c r="D313" s="15">
        <v>57.7</v>
      </c>
      <c r="E313" s="15">
        <v>56.6</v>
      </c>
      <c r="F313" s="15">
        <v>56.4</v>
      </c>
      <c r="G313" s="15">
        <v>56.2</v>
      </c>
      <c r="H313" s="15">
        <v>55.9</v>
      </c>
      <c r="I313" s="15" t="s">
        <v>104</v>
      </c>
      <c r="J313" s="15" t="s">
        <v>104</v>
      </c>
    </row>
    <row r="314" spans="1:10" ht="29.5" customHeight="1" thickBot="1" x14ac:dyDescent="0.4">
      <c r="B314" s="43" t="s">
        <v>716</v>
      </c>
      <c r="C314" s="16" t="s">
        <v>205</v>
      </c>
      <c r="D314" s="12">
        <v>75.099999999999994</v>
      </c>
      <c r="E314" s="12">
        <v>75.099999999999994</v>
      </c>
      <c r="F314" s="12">
        <v>74.7</v>
      </c>
      <c r="G314" s="12">
        <v>74.5</v>
      </c>
      <c r="H314" s="12">
        <v>74.400000000000006</v>
      </c>
      <c r="I314" s="12" t="s">
        <v>104</v>
      </c>
      <c r="J314" s="12" t="s">
        <v>104</v>
      </c>
    </row>
    <row r="315" spans="1:10" ht="58.5" customHeight="1" thickBot="1" x14ac:dyDescent="0.4">
      <c r="B315" s="40" t="s">
        <v>717</v>
      </c>
      <c r="C315" s="14" t="s">
        <v>206</v>
      </c>
      <c r="D315" s="15">
        <v>361.4</v>
      </c>
      <c r="E315" s="15">
        <v>368.5</v>
      </c>
      <c r="F315" s="15">
        <v>369.3</v>
      </c>
      <c r="G315" s="15">
        <v>366.3</v>
      </c>
      <c r="H315" s="15">
        <v>365.6</v>
      </c>
      <c r="I315" s="15">
        <v>364.9</v>
      </c>
      <c r="J315" s="15">
        <v>-0.7</v>
      </c>
    </row>
    <row r="316" spans="1:10" ht="15" thickBot="1" x14ac:dyDescent="0.4">
      <c r="A316" t="s">
        <v>5</v>
      </c>
      <c r="B316" s="50" t="s">
        <v>718</v>
      </c>
      <c r="C316" s="16">
        <v>3121</v>
      </c>
      <c r="D316" s="12">
        <v>325.39999999999998</v>
      </c>
      <c r="E316" s="12">
        <v>333.5</v>
      </c>
      <c r="F316" s="12">
        <v>334.1</v>
      </c>
      <c r="G316" s="12">
        <v>331.5</v>
      </c>
      <c r="H316" s="12">
        <v>330.2</v>
      </c>
      <c r="I316" s="12" t="s">
        <v>104</v>
      </c>
      <c r="J316" s="12" t="s">
        <v>104</v>
      </c>
    </row>
    <row r="317" spans="1:10" ht="44.15" customHeight="1" thickBot="1" x14ac:dyDescent="0.4">
      <c r="B317" s="44" t="s">
        <v>207</v>
      </c>
      <c r="C317" s="14">
        <v>31211</v>
      </c>
      <c r="D317" s="15">
        <v>110.7</v>
      </c>
      <c r="E317" s="15">
        <v>112.9</v>
      </c>
      <c r="F317" s="15">
        <v>111.5</v>
      </c>
      <c r="G317" s="15">
        <v>109.1</v>
      </c>
      <c r="H317" s="15">
        <v>108.9</v>
      </c>
      <c r="I317" s="15" t="s">
        <v>104</v>
      </c>
      <c r="J317" s="15" t="s">
        <v>104</v>
      </c>
    </row>
    <row r="318" spans="1:10" ht="44.15" customHeight="1" thickBot="1" x14ac:dyDescent="0.4">
      <c r="B318" s="47" t="s">
        <v>208</v>
      </c>
      <c r="C318" s="16">
        <v>312111</v>
      </c>
      <c r="D318" s="12">
        <v>81.400000000000006</v>
      </c>
      <c r="E318" s="12">
        <v>81.5</v>
      </c>
      <c r="F318" s="12">
        <v>80.900000000000006</v>
      </c>
      <c r="G318" s="12">
        <v>81</v>
      </c>
      <c r="H318" s="12">
        <v>81.400000000000006</v>
      </c>
      <c r="I318" s="12" t="s">
        <v>104</v>
      </c>
      <c r="J318" s="12" t="s">
        <v>104</v>
      </c>
    </row>
    <row r="319" spans="1:10" ht="29.5" customHeight="1" thickBot="1" x14ac:dyDescent="0.4">
      <c r="B319" s="44" t="s">
        <v>209</v>
      </c>
      <c r="C319" s="14" t="s">
        <v>210</v>
      </c>
      <c r="D319" s="15">
        <v>215.1</v>
      </c>
      <c r="E319" s="15">
        <v>220.7</v>
      </c>
      <c r="F319" s="15">
        <v>222.3</v>
      </c>
      <c r="G319" s="15">
        <v>222.1</v>
      </c>
      <c r="H319" s="15">
        <v>220.6</v>
      </c>
      <c r="I319" s="15" t="s">
        <v>104</v>
      </c>
      <c r="J319" s="15" t="s">
        <v>104</v>
      </c>
    </row>
    <row r="320" spans="1:10" ht="29.5" thickBot="1" x14ac:dyDescent="0.4">
      <c r="A320" s="32" t="s">
        <v>975</v>
      </c>
      <c r="B320" s="44" t="s">
        <v>211</v>
      </c>
      <c r="C320" s="16" t="s">
        <v>212</v>
      </c>
      <c r="D320" s="12">
        <v>36.200000000000003</v>
      </c>
      <c r="E320" s="12">
        <v>35.200000000000003</v>
      </c>
      <c r="F320" s="12">
        <v>35.4</v>
      </c>
      <c r="G320" s="12">
        <v>35</v>
      </c>
      <c r="H320" s="12">
        <v>35.6</v>
      </c>
      <c r="I320" s="12" t="s">
        <v>104</v>
      </c>
      <c r="J320" s="12" t="s">
        <v>104</v>
      </c>
    </row>
    <row r="321" spans="1:10" ht="15" thickBot="1" x14ac:dyDescent="0.4">
      <c r="B321" s="73"/>
      <c r="C321" s="74"/>
      <c r="D321" s="74"/>
      <c r="E321" s="74"/>
      <c r="F321" s="74"/>
      <c r="G321" s="74"/>
      <c r="H321" s="74"/>
      <c r="I321" s="74"/>
      <c r="J321" s="75"/>
    </row>
    <row r="322" spans="1:10" ht="29.5" customHeight="1" thickBot="1" x14ac:dyDescent="0.4">
      <c r="B322" s="35" t="s">
        <v>213</v>
      </c>
      <c r="C322" s="12"/>
      <c r="D322" s="13">
        <v>135324</v>
      </c>
      <c r="E322" s="13">
        <v>136859</v>
      </c>
      <c r="F322" s="13">
        <v>136935</v>
      </c>
      <c r="G322" s="13">
        <v>137175</v>
      </c>
      <c r="H322" s="13">
        <v>137255</v>
      </c>
      <c r="I322" s="13">
        <v>137448</v>
      </c>
      <c r="J322" s="12">
        <v>193</v>
      </c>
    </row>
    <row r="323" spans="1:10" ht="58.5" customHeight="1" thickBot="1" x14ac:dyDescent="0.4">
      <c r="B323" s="73"/>
      <c r="C323" s="74"/>
      <c r="D323" s="74"/>
      <c r="E323" s="74"/>
      <c r="F323" s="74"/>
      <c r="G323" s="74"/>
      <c r="H323" s="74"/>
      <c r="I323" s="74"/>
      <c r="J323" s="75"/>
    </row>
    <row r="324" spans="1:10" ht="44.15" customHeight="1" thickBot="1" x14ac:dyDescent="0.4">
      <c r="B324" s="36" t="s">
        <v>214</v>
      </c>
      <c r="C324" s="12"/>
      <c r="D324" s="13">
        <v>112324</v>
      </c>
      <c r="E324" s="13">
        <v>113514</v>
      </c>
      <c r="F324" s="13">
        <v>113549</v>
      </c>
      <c r="G324" s="13">
        <v>113756</v>
      </c>
      <c r="H324" s="13">
        <v>113798</v>
      </c>
      <c r="I324" s="13">
        <v>113958</v>
      </c>
      <c r="J324" s="12">
        <v>160</v>
      </c>
    </row>
    <row r="325" spans="1:10" ht="58.5" customHeight="1" thickBot="1" x14ac:dyDescent="0.4">
      <c r="B325" s="73"/>
      <c r="C325" s="74"/>
      <c r="D325" s="74"/>
      <c r="E325" s="74"/>
      <c r="F325" s="74"/>
      <c r="G325" s="74"/>
      <c r="H325" s="74"/>
      <c r="I325" s="74"/>
      <c r="J325" s="75"/>
    </row>
    <row r="326" spans="1:10" ht="29.5" customHeight="1" thickBot="1" x14ac:dyDescent="0.4">
      <c r="B326" s="37" t="s">
        <v>215</v>
      </c>
      <c r="C326" s="12"/>
      <c r="D326" s="13">
        <v>28843</v>
      </c>
      <c r="E326" s="13">
        <v>29036</v>
      </c>
      <c r="F326" s="13">
        <v>29039</v>
      </c>
      <c r="G326" s="13">
        <v>29059</v>
      </c>
      <c r="H326" s="13">
        <v>29055</v>
      </c>
      <c r="I326" s="13">
        <v>29032</v>
      </c>
      <c r="J326" s="12">
        <v>-23</v>
      </c>
    </row>
    <row r="327" spans="1:10" ht="73" customHeight="1" thickBot="1" x14ac:dyDescent="0.4">
      <c r="B327" s="73"/>
      <c r="C327" s="74"/>
      <c r="D327" s="74"/>
      <c r="E327" s="74"/>
      <c r="F327" s="74"/>
      <c r="G327" s="74"/>
      <c r="H327" s="74"/>
      <c r="I327" s="74"/>
      <c r="J327" s="75"/>
    </row>
    <row r="328" spans="1:10" ht="29.5" customHeight="1" thickBot="1" x14ac:dyDescent="0.4">
      <c r="A328" t="s">
        <v>19</v>
      </c>
      <c r="B328" s="39" t="s">
        <v>216</v>
      </c>
      <c r="C328" s="16">
        <v>42</v>
      </c>
      <c r="D328" s="18">
        <v>6152.1</v>
      </c>
      <c r="E328" s="18">
        <v>6175.2</v>
      </c>
      <c r="F328" s="18">
        <v>6182.1</v>
      </c>
      <c r="G328" s="18">
        <v>6184.5</v>
      </c>
      <c r="H328" s="18">
        <v>6188.6</v>
      </c>
      <c r="I328" s="18">
        <v>6190.2</v>
      </c>
      <c r="J328" s="12">
        <v>1.6</v>
      </c>
    </row>
    <row r="329" spans="1:10" ht="29.5" customHeight="1" thickBot="1" x14ac:dyDescent="0.4">
      <c r="B329" s="40" t="s">
        <v>719</v>
      </c>
      <c r="C329" s="14">
        <v>423</v>
      </c>
      <c r="D329" s="17">
        <v>3420.5</v>
      </c>
      <c r="E329" s="17">
        <v>3444.8</v>
      </c>
      <c r="F329" s="17">
        <v>3449.7</v>
      </c>
      <c r="G329" s="17">
        <v>3450.4</v>
      </c>
      <c r="H329" s="17">
        <v>3455.1</v>
      </c>
      <c r="I329" s="17">
        <v>3453.1</v>
      </c>
      <c r="J329" s="15">
        <v>-2</v>
      </c>
    </row>
    <row r="330" spans="1:10" ht="29.5" thickBot="1" x14ac:dyDescent="0.4">
      <c r="B330" s="50" t="s">
        <v>720</v>
      </c>
      <c r="C330" s="16">
        <v>4231</v>
      </c>
      <c r="D330" s="12">
        <v>384.7</v>
      </c>
      <c r="E330" s="12">
        <v>383.6</v>
      </c>
      <c r="F330" s="12">
        <v>383.7</v>
      </c>
      <c r="G330" s="12">
        <v>383.2</v>
      </c>
      <c r="H330" s="12">
        <v>382.7</v>
      </c>
      <c r="I330" s="12" t="s">
        <v>104</v>
      </c>
      <c r="J330" s="12" t="s">
        <v>104</v>
      </c>
    </row>
    <row r="331" spans="1:10" ht="29.5" thickBot="1" x14ac:dyDescent="0.4">
      <c r="B331" s="44" t="s">
        <v>721</v>
      </c>
      <c r="C331" s="14">
        <v>42311</v>
      </c>
      <c r="D331" s="15">
        <v>141.1</v>
      </c>
      <c r="E331" s="15">
        <v>140.9</v>
      </c>
      <c r="F331" s="15">
        <v>141</v>
      </c>
      <c r="G331" s="15">
        <v>140.1</v>
      </c>
      <c r="H331" s="15">
        <v>140.4</v>
      </c>
      <c r="I331" s="15" t="s">
        <v>104</v>
      </c>
      <c r="J331" s="15" t="s">
        <v>104</v>
      </c>
    </row>
    <row r="332" spans="1:10" ht="29.5" thickBot="1" x14ac:dyDescent="0.4">
      <c r="B332" s="43" t="s">
        <v>722</v>
      </c>
      <c r="C332" s="16">
        <v>42312</v>
      </c>
      <c r="D332" s="12">
        <v>185.2</v>
      </c>
      <c r="E332" s="12">
        <v>184.3</v>
      </c>
      <c r="F332" s="12">
        <v>183.5</v>
      </c>
      <c r="G332" s="12">
        <v>184.6</v>
      </c>
      <c r="H332" s="12">
        <v>183.8</v>
      </c>
      <c r="I332" s="12" t="s">
        <v>104</v>
      </c>
      <c r="J332" s="12" t="s">
        <v>104</v>
      </c>
    </row>
    <row r="333" spans="1:10" ht="29.5" thickBot="1" x14ac:dyDescent="0.4">
      <c r="B333" s="48" t="s">
        <v>723</v>
      </c>
      <c r="C333" s="14">
        <v>4232</v>
      </c>
      <c r="D333" s="15">
        <v>110.6</v>
      </c>
      <c r="E333" s="15">
        <v>108.5</v>
      </c>
      <c r="F333" s="15">
        <v>108.4</v>
      </c>
      <c r="G333" s="15">
        <v>108.5</v>
      </c>
      <c r="H333" s="15">
        <v>108.6</v>
      </c>
      <c r="I333" s="15" t="s">
        <v>104</v>
      </c>
      <c r="J333" s="15" t="s">
        <v>104</v>
      </c>
    </row>
    <row r="334" spans="1:10" ht="15" thickBot="1" x14ac:dyDescent="0.4">
      <c r="B334" s="43" t="s">
        <v>724</v>
      </c>
      <c r="C334" s="16">
        <v>42321</v>
      </c>
      <c r="D334" s="12">
        <v>51.1</v>
      </c>
      <c r="E334" s="12">
        <v>50.6</v>
      </c>
      <c r="F334" s="12">
        <v>50.7</v>
      </c>
      <c r="G334" s="12">
        <v>50.8</v>
      </c>
      <c r="H334" s="12">
        <v>51</v>
      </c>
      <c r="I334" s="12" t="s">
        <v>104</v>
      </c>
      <c r="J334" s="12" t="s">
        <v>104</v>
      </c>
    </row>
    <row r="335" spans="1:10" ht="44" customHeight="1" thickBot="1" x14ac:dyDescent="0.4">
      <c r="B335" s="44" t="s">
        <v>725</v>
      </c>
      <c r="C335" s="14">
        <v>42322</v>
      </c>
      <c r="D335" s="15">
        <v>59.7</v>
      </c>
      <c r="E335" s="15">
        <v>58</v>
      </c>
      <c r="F335" s="15">
        <v>57.7</v>
      </c>
      <c r="G335" s="15">
        <v>57.8</v>
      </c>
      <c r="H335" s="15">
        <v>57.8</v>
      </c>
      <c r="I335" s="15" t="s">
        <v>104</v>
      </c>
      <c r="J335" s="15" t="s">
        <v>104</v>
      </c>
    </row>
    <row r="336" spans="1:10" ht="44.15" customHeight="1" thickBot="1" x14ac:dyDescent="0.4">
      <c r="B336" s="50" t="s">
        <v>726</v>
      </c>
      <c r="C336" s="16">
        <v>4233</v>
      </c>
      <c r="D336" s="12">
        <v>266.60000000000002</v>
      </c>
      <c r="E336" s="12">
        <v>274.89999999999998</v>
      </c>
      <c r="F336" s="12">
        <v>275.7</v>
      </c>
      <c r="G336" s="12">
        <v>274.2</v>
      </c>
      <c r="H336" s="12">
        <v>273.7</v>
      </c>
      <c r="I336" s="12" t="s">
        <v>104</v>
      </c>
      <c r="J336" s="12" t="s">
        <v>104</v>
      </c>
    </row>
    <row r="337" spans="2:10" ht="73" customHeight="1" thickBot="1" x14ac:dyDescent="0.4">
      <c r="B337" s="44" t="s">
        <v>727</v>
      </c>
      <c r="C337" s="14">
        <v>42331</v>
      </c>
      <c r="D337" s="15">
        <v>118.5</v>
      </c>
      <c r="E337" s="15">
        <v>121.1</v>
      </c>
      <c r="F337" s="15">
        <v>121.7</v>
      </c>
      <c r="G337" s="15">
        <v>121.3</v>
      </c>
      <c r="H337" s="15">
        <v>120.3</v>
      </c>
      <c r="I337" s="15" t="s">
        <v>104</v>
      </c>
      <c r="J337" s="15" t="s">
        <v>104</v>
      </c>
    </row>
    <row r="338" spans="2:10" ht="44" customHeight="1" thickBot="1" x14ac:dyDescent="0.4">
      <c r="B338" s="43" t="s">
        <v>728</v>
      </c>
      <c r="C338" s="16">
        <v>42332</v>
      </c>
      <c r="D338" s="12">
        <v>67.900000000000006</v>
      </c>
      <c r="E338" s="12">
        <v>70.8</v>
      </c>
      <c r="F338" s="12">
        <v>70.7</v>
      </c>
      <c r="G338" s="12">
        <v>70.3</v>
      </c>
      <c r="H338" s="12">
        <v>70.5</v>
      </c>
      <c r="I338" s="12" t="s">
        <v>104</v>
      </c>
      <c r="J338" s="12" t="s">
        <v>104</v>
      </c>
    </row>
    <row r="339" spans="2:10" ht="44" thickBot="1" x14ac:dyDescent="0.4">
      <c r="B339" s="44" t="s">
        <v>729</v>
      </c>
      <c r="C339" s="14" t="s">
        <v>217</v>
      </c>
      <c r="D339" s="15">
        <v>80.3</v>
      </c>
      <c r="E339" s="15">
        <v>83.8</v>
      </c>
      <c r="F339" s="15">
        <v>84</v>
      </c>
      <c r="G339" s="15">
        <v>82.9</v>
      </c>
      <c r="H339" s="15">
        <v>83.5</v>
      </c>
      <c r="I339" s="15" t="s">
        <v>104</v>
      </c>
      <c r="J339" s="15" t="s">
        <v>104</v>
      </c>
    </row>
    <row r="340" spans="2:10" ht="29.5" thickBot="1" x14ac:dyDescent="0.4">
      <c r="B340" s="50" t="s">
        <v>730</v>
      </c>
      <c r="C340" s="16">
        <v>4234</v>
      </c>
      <c r="D340" s="12">
        <v>753.3</v>
      </c>
      <c r="E340" s="12">
        <v>759</v>
      </c>
      <c r="F340" s="12">
        <v>759</v>
      </c>
      <c r="G340" s="12">
        <v>763.2</v>
      </c>
      <c r="H340" s="12">
        <v>764</v>
      </c>
      <c r="I340" s="12" t="s">
        <v>104</v>
      </c>
      <c r="J340" s="12" t="s">
        <v>104</v>
      </c>
    </row>
    <row r="341" spans="2:10" ht="44" customHeight="1" thickBot="1" x14ac:dyDescent="0.4">
      <c r="B341" s="44" t="s">
        <v>731</v>
      </c>
      <c r="C341" s="14">
        <v>42342</v>
      </c>
      <c r="D341" s="15">
        <v>69.5</v>
      </c>
      <c r="E341" s="15">
        <v>68.8</v>
      </c>
      <c r="F341" s="15">
        <v>68.5</v>
      </c>
      <c r="G341" s="15">
        <v>68.5</v>
      </c>
      <c r="H341" s="15">
        <v>67.599999999999994</v>
      </c>
      <c r="I341" s="15" t="s">
        <v>104</v>
      </c>
      <c r="J341" s="15" t="s">
        <v>104</v>
      </c>
    </row>
    <row r="342" spans="2:10" ht="58.5" customHeight="1" thickBot="1" x14ac:dyDescent="0.4">
      <c r="B342" s="43" t="s">
        <v>732</v>
      </c>
      <c r="C342" s="16">
        <v>42343</v>
      </c>
      <c r="D342" s="12">
        <v>235.4</v>
      </c>
      <c r="E342" s="12">
        <v>238.2</v>
      </c>
      <c r="F342" s="12">
        <v>239.1</v>
      </c>
      <c r="G342" s="12">
        <v>240.6</v>
      </c>
      <c r="H342" s="12">
        <v>242.1</v>
      </c>
      <c r="I342" s="12" t="s">
        <v>104</v>
      </c>
      <c r="J342" s="12" t="s">
        <v>104</v>
      </c>
    </row>
    <row r="343" spans="2:10" ht="18.649999999999999" customHeight="1" thickBot="1" x14ac:dyDescent="0.4">
      <c r="B343" s="44" t="s">
        <v>733</v>
      </c>
      <c r="C343" s="14">
        <v>42345</v>
      </c>
      <c r="D343" s="15">
        <v>314.3</v>
      </c>
      <c r="E343" s="15">
        <v>318.10000000000002</v>
      </c>
      <c r="F343" s="15">
        <v>319.10000000000002</v>
      </c>
      <c r="G343" s="15">
        <v>320.2</v>
      </c>
      <c r="H343" s="15">
        <v>320.5</v>
      </c>
      <c r="I343" s="15" t="s">
        <v>104</v>
      </c>
      <c r="J343" s="15" t="s">
        <v>104</v>
      </c>
    </row>
    <row r="344" spans="2:10" ht="44" customHeight="1" thickBot="1" x14ac:dyDescent="0.4">
      <c r="B344" s="43" t="s">
        <v>734</v>
      </c>
      <c r="C344" s="16" t="s">
        <v>218</v>
      </c>
      <c r="D344" s="12">
        <v>133.9</v>
      </c>
      <c r="E344" s="12">
        <v>134.1</v>
      </c>
      <c r="F344" s="12">
        <v>132.80000000000001</v>
      </c>
      <c r="G344" s="12">
        <v>133.80000000000001</v>
      </c>
      <c r="H344" s="12">
        <v>133.1</v>
      </c>
      <c r="I344" s="12" t="s">
        <v>104</v>
      </c>
      <c r="J344" s="12" t="s">
        <v>104</v>
      </c>
    </row>
    <row r="345" spans="2:10" ht="44" customHeight="1" thickBot="1" x14ac:dyDescent="0.4">
      <c r="B345" s="48" t="s">
        <v>735</v>
      </c>
      <c r="C345" s="14">
        <v>4235</v>
      </c>
      <c r="D345" s="15">
        <v>135.30000000000001</v>
      </c>
      <c r="E345" s="15">
        <v>137.69999999999999</v>
      </c>
      <c r="F345" s="15">
        <v>139.1</v>
      </c>
      <c r="G345" s="15">
        <v>138.4</v>
      </c>
      <c r="H345" s="15">
        <v>140.30000000000001</v>
      </c>
      <c r="I345" s="15" t="s">
        <v>104</v>
      </c>
      <c r="J345" s="15" t="s">
        <v>104</v>
      </c>
    </row>
    <row r="346" spans="2:10" ht="58.5" customHeight="1" thickBot="1" x14ac:dyDescent="0.4">
      <c r="B346" s="50" t="s">
        <v>736</v>
      </c>
      <c r="C346" s="16">
        <v>4236</v>
      </c>
      <c r="D346" s="12">
        <v>377.6</v>
      </c>
      <c r="E346" s="12">
        <v>372.5</v>
      </c>
      <c r="F346" s="12">
        <v>372.3</v>
      </c>
      <c r="G346" s="12">
        <v>372</v>
      </c>
      <c r="H346" s="12">
        <v>372.2</v>
      </c>
      <c r="I346" s="12" t="s">
        <v>104</v>
      </c>
      <c r="J346" s="12" t="s">
        <v>104</v>
      </c>
    </row>
    <row r="347" spans="2:10" ht="29.5" customHeight="1" thickBot="1" x14ac:dyDescent="0.4">
      <c r="B347" s="44" t="s">
        <v>737</v>
      </c>
      <c r="C347" s="14">
        <v>42361</v>
      </c>
      <c r="D347" s="15">
        <v>196.8</v>
      </c>
      <c r="E347" s="15">
        <v>195.1</v>
      </c>
      <c r="F347" s="15">
        <v>194.3</v>
      </c>
      <c r="G347" s="15">
        <v>193.6</v>
      </c>
      <c r="H347" s="15">
        <v>193.5</v>
      </c>
      <c r="I347" s="15" t="s">
        <v>104</v>
      </c>
      <c r="J347" s="15" t="s">
        <v>104</v>
      </c>
    </row>
    <row r="348" spans="2:10" ht="29.5" customHeight="1" thickBot="1" x14ac:dyDescent="0.4">
      <c r="B348" s="43" t="s">
        <v>738</v>
      </c>
      <c r="C348" s="16" t="s">
        <v>219</v>
      </c>
      <c r="D348" s="12">
        <v>181.1</v>
      </c>
      <c r="E348" s="12">
        <v>177.7</v>
      </c>
      <c r="F348" s="12">
        <v>178.1</v>
      </c>
      <c r="G348" s="12">
        <v>178.2</v>
      </c>
      <c r="H348" s="12">
        <v>178.9</v>
      </c>
      <c r="I348" s="12" t="s">
        <v>104</v>
      </c>
      <c r="J348" s="12" t="s">
        <v>104</v>
      </c>
    </row>
    <row r="349" spans="2:10" ht="29.5" customHeight="1" thickBot="1" x14ac:dyDescent="0.4">
      <c r="B349" s="48" t="s">
        <v>739</v>
      </c>
      <c r="C349" s="14">
        <v>4237</v>
      </c>
      <c r="D349" s="15">
        <v>310.8</v>
      </c>
      <c r="E349" s="15">
        <v>313.39999999999998</v>
      </c>
      <c r="F349" s="15">
        <v>313.2</v>
      </c>
      <c r="G349" s="15">
        <v>315.2</v>
      </c>
      <c r="H349" s="15">
        <v>316.8</v>
      </c>
      <c r="I349" s="15" t="s">
        <v>104</v>
      </c>
      <c r="J349" s="15" t="s">
        <v>104</v>
      </c>
    </row>
    <row r="350" spans="2:10" ht="29.5" customHeight="1" thickBot="1" x14ac:dyDescent="0.4">
      <c r="B350" s="43" t="s">
        <v>740</v>
      </c>
      <c r="C350" s="16">
        <v>42371</v>
      </c>
      <c r="D350" s="12">
        <v>90.1</v>
      </c>
      <c r="E350" s="12">
        <v>88.7</v>
      </c>
      <c r="F350" s="12">
        <v>88.7</v>
      </c>
      <c r="G350" s="12">
        <v>88.7</v>
      </c>
      <c r="H350" s="12">
        <v>90.1</v>
      </c>
      <c r="I350" s="12" t="s">
        <v>104</v>
      </c>
      <c r="J350" s="12" t="s">
        <v>104</v>
      </c>
    </row>
    <row r="351" spans="2:10" ht="44" thickBot="1" x14ac:dyDescent="0.4">
      <c r="B351" s="44" t="s">
        <v>741</v>
      </c>
      <c r="C351" s="14">
        <v>42372</v>
      </c>
      <c r="D351" s="15">
        <v>119.7</v>
      </c>
      <c r="E351" s="15">
        <v>122</v>
      </c>
      <c r="F351" s="15">
        <v>121.4</v>
      </c>
      <c r="G351" s="15">
        <v>122.6</v>
      </c>
      <c r="H351" s="15">
        <v>123</v>
      </c>
      <c r="I351" s="15" t="s">
        <v>104</v>
      </c>
      <c r="J351" s="15" t="s">
        <v>104</v>
      </c>
    </row>
    <row r="352" spans="2:10" ht="29.5" customHeight="1" thickBot="1" x14ac:dyDescent="0.4">
      <c r="B352" s="43" t="s">
        <v>742</v>
      </c>
      <c r="C352" s="16" t="s">
        <v>220</v>
      </c>
      <c r="D352" s="12">
        <v>100.5</v>
      </c>
      <c r="E352" s="12">
        <v>103.4</v>
      </c>
      <c r="F352" s="12">
        <v>103.3</v>
      </c>
      <c r="G352" s="12">
        <v>103.8</v>
      </c>
      <c r="H352" s="12">
        <v>104.2</v>
      </c>
      <c r="I352" s="12" t="s">
        <v>104</v>
      </c>
      <c r="J352" s="12" t="s">
        <v>104</v>
      </c>
    </row>
    <row r="353" spans="2:10" ht="44.15" customHeight="1" thickBot="1" x14ac:dyDescent="0.4">
      <c r="B353" s="48" t="s">
        <v>743</v>
      </c>
      <c r="C353" s="14">
        <v>4238</v>
      </c>
      <c r="D353" s="15">
        <v>762.1</v>
      </c>
      <c r="E353" s="15">
        <v>766.4</v>
      </c>
      <c r="F353" s="15">
        <v>767.1</v>
      </c>
      <c r="G353" s="15">
        <v>766.1</v>
      </c>
      <c r="H353" s="15">
        <v>765.7</v>
      </c>
      <c r="I353" s="15" t="s">
        <v>104</v>
      </c>
      <c r="J353" s="15" t="s">
        <v>104</v>
      </c>
    </row>
    <row r="354" spans="2:10" ht="29.5" customHeight="1" thickBot="1" x14ac:dyDescent="0.4">
      <c r="B354" s="43" t="s">
        <v>744</v>
      </c>
      <c r="C354" s="16">
        <v>42381</v>
      </c>
      <c r="D354" s="12">
        <v>105.7</v>
      </c>
      <c r="E354" s="12">
        <v>109.2</v>
      </c>
      <c r="F354" s="12">
        <v>109.2</v>
      </c>
      <c r="G354" s="12">
        <v>109.9</v>
      </c>
      <c r="H354" s="12">
        <v>110.2</v>
      </c>
      <c r="I354" s="12" t="s">
        <v>104</v>
      </c>
      <c r="J354" s="12" t="s">
        <v>104</v>
      </c>
    </row>
    <row r="355" spans="2:10" ht="29.5" customHeight="1" thickBot="1" x14ac:dyDescent="0.4">
      <c r="B355" s="44" t="s">
        <v>745</v>
      </c>
      <c r="C355" s="14">
        <v>42382</v>
      </c>
      <c r="D355" s="15">
        <v>116.4</v>
      </c>
      <c r="E355" s="15">
        <v>115.3</v>
      </c>
      <c r="F355" s="15">
        <v>114.7</v>
      </c>
      <c r="G355" s="15">
        <v>113.6</v>
      </c>
      <c r="H355" s="15">
        <v>113.1</v>
      </c>
      <c r="I355" s="15" t="s">
        <v>104</v>
      </c>
      <c r="J355" s="15" t="s">
        <v>104</v>
      </c>
    </row>
    <row r="356" spans="2:10" ht="58.5" customHeight="1" thickBot="1" x14ac:dyDescent="0.4">
      <c r="B356" s="43" t="s">
        <v>746</v>
      </c>
      <c r="C356" s="16">
        <v>42383</v>
      </c>
      <c r="D356" s="12">
        <v>343.3</v>
      </c>
      <c r="E356" s="12">
        <v>342.7</v>
      </c>
      <c r="F356" s="12">
        <v>343.6</v>
      </c>
      <c r="G356" s="12">
        <v>343.1</v>
      </c>
      <c r="H356" s="12">
        <v>343</v>
      </c>
      <c r="I356" s="12" t="s">
        <v>104</v>
      </c>
      <c r="J356" s="12" t="s">
        <v>104</v>
      </c>
    </row>
    <row r="357" spans="2:10" ht="29.5" customHeight="1" thickBot="1" x14ac:dyDescent="0.4">
      <c r="B357" s="44" t="s">
        <v>747</v>
      </c>
      <c r="C357" s="14">
        <v>42384</v>
      </c>
      <c r="D357" s="15">
        <v>104.4</v>
      </c>
      <c r="E357" s="15">
        <v>105.5</v>
      </c>
      <c r="F357" s="15">
        <v>105.7</v>
      </c>
      <c r="G357" s="15">
        <v>105.6</v>
      </c>
      <c r="H357" s="15">
        <v>105</v>
      </c>
      <c r="I357" s="15" t="s">
        <v>104</v>
      </c>
      <c r="J357" s="15" t="s">
        <v>104</v>
      </c>
    </row>
    <row r="358" spans="2:10" ht="29.5" customHeight="1" thickBot="1" x14ac:dyDescent="0.4">
      <c r="B358" s="43" t="s">
        <v>748</v>
      </c>
      <c r="C358" s="16">
        <v>42385</v>
      </c>
      <c r="D358" s="12">
        <v>54.8</v>
      </c>
      <c r="E358" s="12">
        <v>55.2</v>
      </c>
      <c r="F358" s="12">
        <v>55.3</v>
      </c>
      <c r="G358" s="12">
        <v>55.1</v>
      </c>
      <c r="H358" s="12">
        <v>55.3</v>
      </c>
      <c r="I358" s="12" t="s">
        <v>104</v>
      </c>
      <c r="J358" s="12" t="s">
        <v>104</v>
      </c>
    </row>
    <row r="359" spans="2:10" ht="29.5" customHeight="1" thickBot="1" x14ac:dyDescent="0.4">
      <c r="B359" s="44" t="s">
        <v>749</v>
      </c>
      <c r="C359" s="14">
        <v>42386</v>
      </c>
      <c r="D359" s="15">
        <v>37.200000000000003</v>
      </c>
      <c r="E359" s="15">
        <v>38.9</v>
      </c>
      <c r="F359" s="15">
        <v>38.700000000000003</v>
      </c>
      <c r="G359" s="15">
        <v>38.200000000000003</v>
      </c>
      <c r="H359" s="15">
        <v>38.799999999999997</v>
      </c>
      <c r="I359" s="15" t="s">
        <v>104</v>
      </c>
      <c r="J359" s="15" t="s">
        <v>104</v>
      </c>
    </row>
    <row r="360" spans="2:10" ht="29.5" customHeight="1" thickBot="1" x14ac:dyDescent="0.4">
      <c r="B360" s="50" t="s">
        <v>750</v>
      </c>
      <c r="C360" s="16">
        <v>4239</v>
      </c>
      <c r="D360" s="12">
        <v>320.60000000000002</v>
      </c>
      <c r="E360" s="12">
        <v>326.39999999999998</v>
      </c>
      <c r="F360" s="12">
        <v>329.4</v>
      </c>
      <c r="G360" s="12">
        <v>330.2</v>
      </c>
      <c r="H360" s="12">
        <v>333</v>
      </c>
      <c r="I360" s="12" t="s">
        <v>104</v>
      </c>
      <c r="J360" s="12" t="s">
        <v>104</v>
      </c>
    </row>
    <row r="361" spans="2:10" ht="58.5" customHeight="1" thickBot="1" x14ac:dyDescent="0.4">
      <c r="B361" s="44" t="s">
        <v>751</v>
      </c>
      <c r="C361" s="14">
        <v>42391</v>
      </c>
      <c r="D361" s="15">
        <v>67.099999999999994</v>
      </c>
      <c r="E361" s="15">
        <v>68.2</v>
      </c>
      <c r="F361" s="15">
        <v>68.8</v>
      </c>
      <c r="G361" s="15">
        <v>69.400000000000006</v>
      </c>
      <c r="H361" s="15">
        <v>69.7</v>
      </c>
      <c r="I361" s="15" t="s">
        <v>104</v>
      </c>
      <c r="J361" s="15" t="s">
        <v>104</v>
      </c>
    </row>
    <row r="362" spans="2:10" ht="29.5" customHeight="1" thickBot="1" x14ac:dyDescent="0.4">
      <c r="B362" s="43" t="s">
        <v>752</v>
      </c>
      <c r="C362" s="16">
        <v>42393</v>
      </c>
      <c r="D362" s="12">
        <v>99.8</v>
      </c>
      <c r="E362" s="12">
        <v>99.2</v>
      </c>
      <c r="F362" s="12">
        <v>100.5</v>
      </c>
      <c r="G362" s="12">
        <v>100.4</v>
      </c>
      <c r="H362" s="12">
        <v>101</v>
      </c>
      <c r="I362" s="12" t="s">
        <v>104</v>
      </c>
      <c r="J362" s="12" t="s">
        <v>104</v>
      </c>
    </row>
    <row r="363" spans="2:10" ht="29.5" thickBot="1" x14ac:dyDescent="0.4">
      <c r="B363" s="44" t="s">
        <v>753</v>
      </c>
      <c r="C363" s="14">
        <v>42394</v>
      </c>
      <c r="D363" s="15">
        <v>34.4</v>
      </c>
      <c r="E363" s="15">
        <v>32.5</v>
      </c>
      <c r="F363" s="15">
        <v>32.1</v>
      </c>
      <c r="G363" s="15">
        <v>31.6</v>
      </c>
      <c r="H363" s="15">
        <v>31.8</v>
      </c>
      <c r="I363" s="15" t="s">
        <v>104</v>
      </c>
      <c r="J363" s="15" t="s">
        <v>104</v>
      </c>
    </row>
    <row r="364" spans="2:10" ht="44.15" customHeight="1" thickBot="1" x14ac:dyDescent="0.4">
      <c r="B364" s="43" t="s">
        <v>754</v>
      </c>
      <c r="C364" s="16" t="s">
        <v>221</v>
      </c>
      <c r="D364" s="12">
        <v>119.5</v>
      </c>
      <c r="E364" s="12">
        <v>127.2</v>
      </c>
      <c r="F364" s="12">
        <v>128.5</v>
      </c>
      <c r="G364" s="12">
        <v>128.9</v>
      </c>
      <c r="H364" s="12">
        <v>130.1</v>
      </c>
      <c r="I364" s="12" t="s">
        <v>104</v>
      </c>
      <c r="J364" s="12" t="s">
        <v>104</v>
      </c>
    </row>
    <row r="365" spans="2:10" ht="58.5" customHeight="1" thickBot="1" x14ac:dyDescent="0.4">
      <c r="B365" s="40" t="s">
        <v>755</v>
      </c>
      <c r="C365" s="14">
        <v>424</v>
      </c>
      <c r="D365" s="17">
        <v>2215.8000000000002</v>
      </c>
      <c r="E365" s="17">
        <v>2217.1999999999998</v>
      </c>
      <c r="F365" s="17">
        <v>2219.1</v>
      </c>
      <c r="G365" s="17">
        <v>2220.1</v>
      </c>
      <c r="H365" s="17">
        <v>2219.8000000000002</v>
      </c>
      <c r="I365" s="17">
        <v>2223.5</v>
      </c>
      <c r="J365" s="15">
        <v>3.7</v>
      </c>
    </row>
    <row r="366" spans="2:10" ht="29.5" customHeight="1" thickBot="1" x14ac:dyDescent="0.4">
      <c r="B366" s="50" t="s">
        <v>756</v>
      </c>
      <c r="C366" s="16">
        <v>4241</v>
      </c>
      <c r="D366" s="12">
        <v>112.8</v>
      </c>
      <c r="E366" s="12">
        <v>109.8</v>
      </c>
      <c r="F366" s="12">
        <v>109.8</v>
      </c>
      <c r="G366" s="12">
        <v>108.9</v>
      </c>
      <c r="H366" s="12">
        <v>109.3</v>
      </c>
      <c r="I366" s="12" t="s">
        <v>104</v>
      </c>
      <c r="J366" s="12" t="s">
        <v>104</v>
      </c>
    </row>
    <row r="367" spans="2:10" ht="44" thickBot="1" x14ac:dyDescent="0.4">
      <c r="B367" s="44" t="s">
        <v>757</v>
      </c>
      <c r="C367" s="14" t="s">
        <v>222</v>
      </c>
      <c r="D367" s="15">
        <v>49.8</v>
      </c>
      <c r="E367" s="15">
        <v>47.6</v>
      </c>
      <c r="F367" s="15">
        <v>47.8</v>
      </c>
      <c r="G367" s="15">
        <v>46.5</v>
      </c>
      <c r="H367" s="15">
        <v>45.9</v>
      </c>
      <c r="I367" s="15" t="s">
        <v>104</v>
      </c>
      <c r="J367" s="15" t="s">
        <v>104</v>
      </c>
    </row>
    <row r="368" spans="2:10" ht="29.5" customHeight="1" thickBot="1" x14ac:dyDescent="0.4">
      <c r="B368" s="43" t="s">
        <v>758</v>
      </c>
      <c r="C368" s="16">
        <v>42413</v>
      </c>
      <c r="D368" s="12">
        <v>62.9</v>
      </c>
      <c r="E368" s="12">
        <v>62.2</v>
      </c>
      <c r="F368" s="12">
        <v>62.1</v>
      </c>
      <c r="G368" s="12">
        <v>62.5</v>
      </c>
      <c r="H368" s="12">
        <v>63.3</v>
      </c>
      <c r="I368" s="12" t="s">
        <v>104</v>
      </c>
      <c r="J368" s="12" t="s">
        <v>104</v>
      </c>
    </row>
    <row r="369" spans="2:10" ht="44.15" customHeight="1" thickBot="1" x14ac:dyDescent="0.4">
      <c r="B369" s="48" t="s">
        <v>759</v>
      </c>
      <c r="C369" s="14">
        <v>4242</v>
      </c>
      <c r="D369" s="15">
        <v>259.39999999999998</v>
      </c>
      <c r="E369" s="15">
        <v>254.7</v>
      </c>
      <c r="F369" s="15">
        <v>254.5</v>
      </c>
      <c r="G369" s="15">
        <v>254.2</v>
      </c>
      <c r="H369" s="15">
        <v>252.3</v>
      </c>
      <c r="I369" s="15" t="s">
        <v>104</v>
      </c>
      <c r="J369" s="15" t="s">
        <v>104</v>
      </c>
    </row>
    <row r="370" spans="2:10" ht="29.5" customHeight="1" thickBot="1" x14ac:dyDescent="0.4">
      <c r="B370" s="50" t="s">
        <v>760</v>
      </c>
      <c r="C370" s="16">
        <v>4243</v>
      </c>
      <c r="D370" s="12">
        <v>149</v>
      </c>
      <c r="E370" s="12">
        <v>145.4</v>
      </c>
      <c r="F370" s="12">
        <v>146</v>
      </c>
      <c r="G370" s="12">
        <v>145.5</v>
      </c>
      <c r="H370" s="12">
        <v>145</v>
      </c>
      <c r="I370" s="12" t="s">
        <v>104</v>
      </c>
      <c r="J370" s="12" t="s">
        <v>104</v>
      </c>
    </row>
    <row r="371" spans="2:10" ht="29.5" customHeight="1" thickBot="1" x14ac:dyDescent="0.4">
      <c r="B371" s="44" t="s">
        <v>761</v>
      </c>
      <c r="C371" s="14">
        <v>42435</v>
      </c>
      <c r="D371" s="15">
        <v>98.7</v>
      </c>
      <c r="E371" s="15">
        <v>97.9</v>
      </c>
      <c r="F371" s="15">
        <v>98.2</v>
      </c>
      <c r="G371" s="15">
        <v>98.1</v>
      </c>
      <c r="H371" s="15">
        <v>97.8</v>
      </c>
      <c r="I371" s="15" t="s">
        <v>104</v>
      </c>
      <c r="J371" s="15" t="s">
        <v>104</v>
      </c>
    </row>
    <row r="372" spans="2:10" ht="44.15" customHeight="1" thickBot="1" x14ac:dyDescent="0.4">
      <c r="B372" s="50" t="s">
        <v>762</v>
      </c>
      <c r="C372" s="16">
        <v>4244</v>
      </c>
      <c r="D372" s="12">
        <v>823.1</v>
      </c>
      <c r="E372" s="12">
        <v>833.4</v>
      </c>
      <c r="F372" s="12">
        <v>835.1</v>
      </c>
      <c r="G372" s="12">
        <v>836.1</v>
      </c>
      <c r="H372" s="12">
        <v>838.3</v>
      </c>
      <c r="I372" s="12" t="s">
        <v>104</v>
      </c>
      <c r="J372" s="12" t="s">
        <v>104</v>
      </c>
    </row>
    <row r="373" spans="2:10" ht="29.5" customHeight="1" thickBot="1" x14ac:dyDescent="0.4">
      <c r="B373" s="44" t="s">
        <v>763</v>
      </c>
      <c r="C373" s="14">
        <v>42441</v>
      </c>
      <c r="D373" s="15">
        <v>260.60000000000002</v>
      </c>
      <c r="E373" s="15">
        <v>259.5</v>
      </c>
      <c r="F373" s="15">
        <v>260.2</v>
      </c>
      <c r="G373" s="15">
        <v>260.39999999999998</v>
      </c>
      <c r="H373" s="15">
        <v>261.8</v>
      </c>
      <c r="I373" s="15" t="s">
        <v>104</v>
      </c>
      <c r="J373" s="15" t="s">
        <v>104</v>
      </c>
    </row>
    <row r="374" spans="2:10" ht="29.5" customHeight="1" thickBot="1" x14ac:dyDescent="0.4">
      <c r="B374" s="43" t="s">
        <v>764</v>
      </c>
      <c r="C374" s="16">
        <v>42448</v>
      </c>
      <c r="D374" s="12">
        <v>96.8</v>
      </c>
      <c r="E374" s="12">
        <v>96.9</v>
      </c>
      <c r="F374" s="12">
        <v>97.5</v>
      </c>
      <c r="G374" s="12">
        <v>98.1</v>
      </c>
      <c r="H374" s="12">
        <v>98.4</v>
      </c>
      <c r="I374" s="12" t="s">
        <v>104</v>
      </c>
      <c r="J374" s="12" t="s">
        <v>104</v>
      </c>
    </row>
    <row r="375" spans="2:10" ht="44.15" customHeight="1" thickBot="1" x14ac:dyDescent="0.4">
      <c r="B375" s="48" t="s">
        <v>765</v>
      </c>
      <c r="C375" s="14">
        <v>4245</v>
      </c>
      <c r="D375" s="15">
        <v>71.099999999999994</v>
      </c>
      <c r="E375" s="15">
        <v>73.400000000000006</v>
      </c>
      <c r="F375" s="15">
        <v>74</v>
      </c>
      <c r="G375" s="15">
        <v>73.7</v>
      </c>
      <c r="H375" s="15">
        <v>74.3</v>
      </c>
      <c r="I375" s="15" t="s">
        <v>104</v>
      </c>
      <c r="J375" s="15" t="s">
        <v>104</v>
      </c>
    </row>
    <row r="376" spans="2:10" ht="44.15" customHeight="1" thickBot="1" x14ac:dyDescent="0.4">
      <c r="B376" s="43" t="s">
        <v>766</v>
      </c>
      <c r="C376" s="16">
        <v>42451</v>
      </c>
      <c r="D376" s="12">
        <v>38.700000000000003</v>
      </c>
      <c r="E376" s="12">
        <v>39.5</v>
      </c>
      <c r="F376" s="12">
        <v>39.700000000000003</v>
      </c>
      <c r="G376" s="12">
        <v>39.6</v>
      </c>
      <c r="H376" s="12">
        <v>39.200000000000003</v>
      </c>
      <c r="I376" s="12" t="s">
        <v>104</v>
      </c>
      <c r="J376" s="12" t="s">
        <v>104</v>
      </c>
    </row>
    <row r="377" spans="2:10" ht="29.5" customHeight="1" thickBot="1" x14ac:dyDescent="0.4">
      <c r="B377" s="48" t="s">
        <v>767</v>
      </c>
      <c r="C377" s="14">
        <v>4246</v>
      </c>
      <c r="D377" s="15">
        <v>151.4</v>
      </c>
      <c r="E377" s="15">
        <v>154.69999999999999</v>
      </c>
      <c r="F377" s="15">
        <v>153.9</v>
      </c>
      <c r="G377" s="15">
        <v>154.4</v>
      </c>
      <c r="H377" s="15">
        <v>155.1</v>
      </c>
      <c r="I377" s="15" t="s">
        <v>104</v>
      </c>
      <c r="J377" s="15" t="s">
        <v>104</v>
      </c>
    </row>
    <row r="378" spans="2:10" ht="29.5" customHeight="1" thickBot="1" x14ac:dyDescent="0.4">
      <c r="B378" s="50" t="s">
        <v>768</v>
      </c>
      <c r="C378" s="16">
        <v>4247</v>
      </c>
      <c r="D378" s="12">
        <v>101.1</v>
      </c>
      <c r="E378" s="12">
        <v>101.5</v>
      </c>
      <c r="F378" s="12">
        <v>102.6</v>
      </c>
      <c r="G378" s="12">
        <v>102.7</v>
      </c>
      <c r="H378" s="12">
        <v>101.6</v>
      </c>
      <c r="I378" s="12" t="s">
        <v>104</v>
      </c>
      <c r="J378" s="12" t="s">
        <v>104</v>
      </c>
    </row>
    <row r="379" spans="2:10" ht="29.5" customHeight="1" thickBot="1" x14ac:dyDescent="0.4">
      <c r="B379" s="48" t="s">
        <v>769</v>
      </c>
      <c r="C379" s="14">
        <v>4248</v>
      </c>
      <c r="D379" s="15">
        <v>217.4</v>
      </c>
      <c r="E379" s="15">
        <v>217.4</v>
      </c>
      <c r="F379" s="15">
        <v>217.7</v>
      </c>
      <c r="G379" s="15">
        <v>218.4</v>
      </c>
      <c r="H379" s="15">
        <v>217.7</v>
      </c>
      <c r="I379" s="15" t="s">
        <v>104</v>
      </c>
      <c r="J379" s="15" t="s">
        <v>104</v>
      </c>
    </row>
    <row r="380" spans="2:10" ht="15" thickBot="1" x14ac:dyDescent="0.4">
      <c r="B380" s="43" t="s">
        <v>770</v>
      </c>
      <c r="C380" s="16">
        <v>42481</v>
      </c>
      <c r="D380" s="12">
        <v>118.3</v>
      </c>
      <c r="E380" s="12">
        <v>118</v>
      </c>
      <c r="F380" s="12">
        <v>117.9</v>
      </c>
      <c r="G380" s="12">
        <v>118.4</v>
      </c>
      <c r="H380" s="12">
        <v>118.3</v>
      </c>
      <c r="I380" s="12" t="s">
        <v>104</v>
      </c>
      <c r="J380" s="12" t="s">
        <v>104</v>
      </c>
    </row>
    <row r="381" spans="2:10" ht="44.15" customHeight="1" thickBot="1" x14ac:dyDescent="0.4">
      <c r="B381" s="44" t="s">
        <v>771</v>
      </c>
      <c r="C381" s="14">
        <v>42482</v>
      </c>
      <c r="D381" s="15">
        <v>98.9</v>
      </c>
      <c r="E381" s="15">
        <v>99.4</v>
      </c>
      <c r="F381" s="15">
        <v>99.8</v>
      </c>
      <c r="G381" s="15">
        <v>99.9</v>
      </c>
      <c r="H381" s="15">
        <v>99.4</v>
      </c>
      <c r="I381" s="15" t="s">
        <v>104</v>
      </c>
      <c r="J381" s="15" t="s">
        <v>104</v>
      </c>
    </row>
    <row r="382" spans="2:10" ht="29.5" thickBot="1" x14ac:dyDescent="0.4">
      <c r="B382" s="50" t="s">
        <v>772</v>
      </c>
      <c r="C382" s="16">
        <v>4249</v>
      </c>
      <c r="D382" s="12">
        <v>328.7</v>
      </c>
      <c r="E382" s="12">
        <v>327.8</v>
      </c>
      <c r="F382" s="12">
        <v>327.39999999999998</v>
      </c>
      <c r="G382" s="12">
        <v>326.60000000000002</v>
      </c>
      <c r="H382" s="12">
        <v>326</v>
      </c>
      <c r="I382" s="12" t="s">
        <v>104</v>
      </c>
      <c r="J382" s="12" t="s">
        <v>104</v>
      </c>
    </row>
    <row r="383" spans="2:10" ht="29.5" customHeight="1" thickBot="1" x14ac:dyDescent="0.4">
      <c r="B383" s="44" t="s">
        <v>773</v>
      </c>
      <c r="C383" s="14">
        <v>42491</v>
      </c>
      <c r="D383" s="15">
        <v>121.4</v>
      </c>
      <c r="E383" s="15">
        <v>121.3</v>
      </c>
      <c r="F383" s="15">
        <v>120.8</v>
      </c>
      <c r="G383" s="15">
        <v>120.7</v>
      </c>
      <c r="H383" s="15">
        <v>120.4</v>
      </c>
      <c r="I383" s="15" t="s">
        <v>104</v>
      </c>
      <c r="J383" s="15" t="s">
        <v>104</v>
      </c>
    </row>
    <row r="384" spans="2:10" ht="58.5" customHeight="1" thickBot="1" x14ac:dyDescent="0.4">
      <c r="B384" s="43" t="s">
        <v>774</v>
      </c>
      <c r="C384" s="16">
        <v>42493</v>
      </c>
      <c r="D384" s="12">
        <v>49.3</v>
      </c>
      <c r="E384" s="12">
        <v>52.1</v>
      </c>
      <c r="F384" s="12">
        <v>52.7</v>
      </c>
      <c r="G384" s="12">
        <v>53.2</v>
      </c>
      <c r="H384" s="12">
        <v>53.1</v>
      </c>
      <c r="I384" s="12" t="s">
        <v>104</v>
      </c>
      <c r="J384" s="12" t="s">
        <v>104</v>
      </c>
    </row>
    <row r="385" spans="1:10" ht="29.5" customHeight="1" thickBot="1" x14ac:dyDescent="0.4">
      <c r="B385" s="44" t="s">
        <v>775</v>
      </c>
      <c r="C385" s="14" t="s">
        <v>776</v>
      </c>
      <c r="D385" s="15">
        <v>158.30000000000001</v>
      </c>
      <c r="E385" s="15">
        <v>154.6</v>
      </c>
      <c r="F385" s="15">
        <v>154</v>
      </c>
      <c r="G385" s="15">
        <v>153.1</v>
      </c>
      <c r="H385" s="15">
        <v>152.6</v>
      </c>
      <c r="I385" s="15" t="s">
        <v>104</v>
      </c>
      <c r="J385" s="15" t="s">
        <v>104</v>
      </c>
    </row>
    <row r="386" spans="1:10" ht="29.5" customHeight="1" thickBot="1" x14ac:dyDescent="0.4">
      <c r="B386" s="41" t="s">
        <v>777</v>
      </c>
      <c r="C386" s="16">
        <v>425</v>
      </c>
      <c r="D386" s="12">
        <v>515.79999999999995</v>
      </c>
      <c r="E386" s="12">
        <v>513.20000000000005</v>
      </c>
      <c r="F386" s="12">
        <v>513.29999999999995</v>
      </c>
      <c r="G386" s="12">
        <v>514</v>
      </c>
      <c r="H386" s="12">
        <v>513.70000000000005</v>
      </c>
      <c r="I386" s="12">
        <v>513.6</v>
      </c>
      <c r="J386" s="12">
        <v>-0.1</v>
      </c>
    </row>
    <row r="387" spans="1:10" ht="29.5" customHeight="1" thickBot="1" x14ac:dyDescent="0.4">
      <c r="B387" s="73"/>
      <c r="C387" s="74"/>
      <c r="D387" s="74"/>
      <c r="E387" s="74"/>
      <c r="F387" s="74"/>
      <c r="G387" s="74"/>
      <c r="H387" s="74"/>
      <c r="I387" s="74"/>
      <c r="J387" s="75"/>
    </row>
    <row r="388" spans="1:10" ht="44.15" customHeight="1" thickBot="1" x14ac:dyDescent="0.4">
      <c r="A388" t="s">
        <v>19</v>
      </c>
      <c r="B388" s="39" t="s">
        <v>223</v>
      </c>
      <c r="C388" s="12"/>
      <c r="D388" s="18">
        <v>15570.4</v>
      </c>
      <c r="E388" s="18">
        <v>15661.3</v>
      </c>
      <c r="F388" s="18">
        <v>15646.8</v>
      </c>
      <c r="G388" s="18">
        <v>15654.1</v>
      </c>
      <c r="H388" s="18">
        <v>15650.4</v>
      </c>
      <c r="I388" s="18">
        <v>15622.4</v>
      </c>
      <c r="J388" s="12">
        <v>-28</v>
      </c>
    </row>
    <row r="389" spans="1:10" ht="44.15" customHeight="1" thickBot="1" x14ac:dyDescent="0.4">
      <c r="B389" s="40" t="s">
        <v>49</v>
      </c>
      <c r="C389" s="14">
        <v>441</v>
      </c>
      <c r="D389" s="17">
        <v>2066</v>
      </c>
      <c r="E389" s="17">
        <v>2073.6999999999998</v>
      </c>
      <c r="F389" s="17">
        <v>2073.4</v>
      </c>
      <c r="G389" s="17">
        <v>2075.6999999999998</v>
      </c>
      <c r="H389" s="17">
        <v>2078.1999999999998</v>
      </c>
      <c r="I389" s="17">
        <v>2080.8000000000002</v>
      </c>
      <c r="J389" s="15">
        <v>2.6</v>
      </c>
    </row>
    <row r="390" spans="1:10" ht="29.5" customHeight="1" thickBot="1" x14ac:dyDescent="0.4">
      <c r="B390" s="45" t="s">
        <v>224</v>
      </c>
      <c r="C390" s="16">
        <v>4411</v>
      </c>
      <c r="D390" s="18">
        <v>1291.3</v>
      </c>
      <c r="E390" s="18">
        <v>1304.2</v>
      </c>
      <c r="F390" s="18">
        <v>1302.7</v>
      </c>
      <c r="G390" s="18">
        <v>1304.7</v>
      </c>
      <c r="H390" s="18">
        <v>1306.8</v>
      </c>
      <c r="I390" s="18">
        <v>1307.7</v>
      </c>
      <c r="J390" s="12">
        <v>0.9</v>
      </c>
    </row>
    <row r="391" spans="1:10" ht="29.5" customHeight="1" thickBot="1" x14ac:dyDescent="0.4">
      <c r="B391" s="44" t="s">
        <v>225</v>
      </c>
      <c r="C391" s="14">
        <v>44111</v>
      </c>
      <c r="D391" s="17">
        <v>1114.9000000000001</v>
      </c>
      <c r="E391" s="17">
        <v>1130.5</v>
      </c>
      <c r="F391" s="17">
        <v>1132.0999999999999</v>
      </c>
      <c r="G391" s="17">
        <v>1132.7</v>
      </c>
      <c r="H391" s="17">
        <v>1134.5999999999999</v>
      </c>
      <c r="I391" s="15" t="s">
        <v>104</v>
      </c>
      <c r="J391" s="15" t="s">
        <v>104</v>
      </c>
    </row>
    <row r="392" spans="1:10" ht="29.5" customHeight="1" thickBot="1" x14ac:dyDescent="0.4">
      <c r="B392" s="43" t="s">
        <v>226</v>
      </c>
      <c r="C392" s="16">
        <v>44112</v>
      </c>
      <c r="D392" s="12">
        <v>176.2</v>
      </c>
      <c r="E392" s="12">
        <v>173.6</v>
      </c>
      <c r="F392" s="12">
        <v>170.5</v>
      </c>
      <c r="G392" s="12">
        <v>171.3</v>
      </c>
      <c r="H392" s="12">
        <v>172</v>
      </c>
      <c r="I392" s="12" t="s">
        <v>104</v>
      </c>
      <c r="J392" s="12" t="s">
        <v>104</v>
      </c>
    </row>
    <row r="393" spans="1:10" ht="29.5" customHeight="1" thickBot="1" x14ac:dyDescent="0.4">
      <c r="B393" s="42" t="s">
        <v>227</v>
      </c>
      <c r="C393" s="14">
        <v>4412</v>
      </c>
      <c r="D393" s="15">
        <v>174.9</v>
      </c>
      <c r="E393" s="15">
        <v>167.5</v>
      </c>
      <c r="F393" s="15">
        <v>166.1</v>
      </c>
      <c r="G393" s="15">
        <v>166.3</v>
      </c>
      <c r="H393" s="15">
        <v>166</v>
      </c>
      <c r="I393" s="15">
        <v>167.8</v>
      </c>
      <c r="J393" s="15">
        <v>1.8</v>
      </c>
    </row>
    <row r="394" spans="1:10" ht="15" thickBot="1" x14ac:dyDescent="0.4">
      <c r="B394" s="43" t="s">
        <v>228</v>
      </c>
      <c r="C394" s="16">
        <v>44121</v>
      </c>
      <c r="D394" s="12">
        <v>53.7</v>
      </c>
      <c r="E394" s="12">
        <v>52.4</v>
      </c>
      <c r="F394" s="12">
        <v>52.5</v>
      </c>
      <c r="G394" s="12">
        <v>52.8</v>
      </c>
      <c r="H394" s="12">
        <v>52.9</v>
      </c>
      <c r="I394" s="12" t="s">
        <v>104</v>
      </c>
      <c r="J394" s="12" t="s">
        <v>104</v>
      </c>
    </row>
    <row r="395" spans="1:10" ht="29.5" thickBot="1" x14ac:dyDescent="0.4">
      <c r="B395" s="44" t="s">
        <v>778</v>
      </c>
      <c r="C395" s="14">
        <v>44122</v>
      </c>
      <c r="D395" s="15">
        <v>121.7</v>
      </c>
      <c r="E395" s="15">
        <v>115</v>
      </c>
      <c r="F395" s="15">
        <v>113.6</v>
      </c>
      <c r="G395" s="15">
        <v>113.4</v>
      </c>
      <c r="H395" s="15">
        <v>112.8</v>
      </c>
      <c r="I395" s="15" t="s">
        <v>104</v>
      </c>
      <c r="J395" s="15" t="s">
        <v>104</v>
      </c>
    </row>
    <row r="396" spans="1:10" ht="29.5" customHeight="1" thickBot="1" x14ac:dyDescent="0.4">
      <c r="B396" s="45" t="s">
        <v>779</v>
      </c>
      <c r="C396" s="16">
        <v>4413</v>
      </c>
      <c r="D396" s="12">
        <v>599.79999999999995</v>
      </c>
      <c r="E396" s="12">
        <v>602</v>
      </c>
      <c r="F396" s="12">
        <v>604.5</v>
      </c>
      <c r="G396" s="12">
        <v>604.79999999999995</v>
      </c>
      <c r="H396" s="12">
        <v>605.5</v>
      </c>
      <c r="I396" s="12">
        <v>605.29999999999995</v>
      </c>
      <c r="J396" s="12">
        <v>-0.2</v>
      </c>
    </row>
    <row r="397" spans="1:10" ht="29.5" thickBot="1" x14ac:dyDescent="0.4">
      <c r="B397" s="44" t="s">
        <v>780</v>
      </c>
      <c r="C397" s="14">
        <v>44133</v>
      </c>
      <c r="D397" s="15">
        <v>402.5</v>
      </c>
      <c r="E397" s="15">
        <v>405.8</v>
      </c>
      <c r="F397" s="15">
        <v>407.5</v>
      </c>
      <c r="G397" s="15">
        <v>407.2</v>
      </c>
      <c r="H397" s="15">
        <v>407.2</v>
      </c>
      <c r="I397" s="15" t="s">
        <v>104</v>
      </c>
      <c r="J397" s="15" t="s">
        <v>104</v>
      </c>
    </row>
    <row r="398" spans="1:10" ht="29.5" customHeight="1" thickBot="1" x14ac:dyDescent="0.4">
      <c r="B398" s="43" t="s">
        <v>229</v>
      </c>
      <c r="C398" s="16">
        <v>44134</v>
      </c>
      <c r="D398" s="12">
        <v>197.8</v>
      </c>
      <c r="E398" s="12">
        <v>196.9</v>
      </c>
      <c r="F398" s="12">
        <v>197.2</v>
      </c>
      <c r="G398" s="12">
        <v>197.5</v>
      </c>
      <c r="H398" s="12">
        <v>197.9</v>
      </c>
      <c r="I398" s="12" t="s">
        <v>104</v>
      </c>
      <c r="J398" s="12" t="s">
        <v>104</v>
      </c>
    </row>
    <row r="399" spans="1:10" ht="29.5" customHeight="1" thickBot="1" x14ac:dyDescent="0.4">
      <c r="B399" s="40" t="s">
        <v>50</v>
      </c>
      <c r="C399" s="14">
        <v>444</v>
      </c>
      <c r="D399" s="17">
        <v>1398.9</v>
      </c>
      <c r="E399" s="17">
        <v>1376.2</v>
      </c>
      <c r="F399" s="17">
        <v>1374.9</v>
      </c>
      <c r="G399" s="17">
        <v>1373.1</v>
      </c>
      <c r="H399" s="17">
        <v>1372</v>
      </c>
      <c r="I399" s="17">
        <v>1368.1</v>
      </c>
      <c r="J399" s="15">
        <v>-3.9</v>
      </c>
    </row>
    <row r="400" spans="1:10" ht="29.5" customHeight="1" thickBot="1" x14ac:dyDescent="0.4">
      <c r="B400" s="50" t="s">
        <v>230</v>
      </c>
      <c r="C400" s="16">
        <v>4441</v>
      </c>
      <c r="D400" s="18">
        <v>1210.0999999999999</v>
      </c>
      <c r="E400" s="18">
        <v>1188.2</v>
      </c>
      <c r="F400" s="18">
        <v>1188.7</v>
      </c>
      <c r="G400" s="18">
        <v>1186.8</v>
      </c>
      <c r="H400" s="18">
        <v>1186.7</v>
      </c>
      <c r="I400" s="12" t="s">
        <v>104</v>
      </c>
      <c r="J400" s="12" t="s">
        <v>104</v>
      </c>
    </row>
    <row r="401" spans="2:10" ht="29.5" customHeight="1" thickBot="1" x14ac:dyDescent="0.4">
      <c r="B401" s="44" t="s">
        <v>781</v>
      </c>
      <c r="C401" s="14">
        <v>44414</v>
      </c>
      <c r="D401" s="15">
        <v>178</v>
      </c>
      <c r="E401" s="15">
        <v>179.7</v>
      </c>
      <c r="F401" s="15">
        <v>179.7</v>
      </c>
      <c r="G401" s="15">
        <v>178.9</v>
      </c>
      <c r="H401" s="15">
        <v>178.7</v>
      </c>
      <c r="I401" s="15" t="s">
        <v>104</v>
      </c>
      <c r="J401" s="15" t="s">
        <v>104</v>
      </c>
    </row>
    <row r="402" spans="2:10" ht="44.15" customHeight="1" thickBot="1" x14ac:dyDescent="0.4">
      <c r="B402" s="43" t="s">
        <v>782</v>
      </c>
      <c r="C402" s="16" t="s">
        <v>783</v>
      </c>
      <c r="D402" s="18">
        <v>1033.5</v>
      </c>
      <c r="E402" s="18">
        <v>1007</v>
      </c>
      <c r="F402" s="18">
        <v>1008.6</v>
      </c>
      <c r="G402" s="18">
        <v>1005.7</v>
      </c>
      <c r="H402" s="18">
        <v>1007</v>
      </c>
      <c r="I402" s="12" t="s">
        <v>104</v>
      </c>
      <c r="J402" s="12" t="s">
        <v>104</v>
      </c>
    </row>
    <row r="403" spans="2:10" ht="58.5" customHeight="1" thickBot="1" x14ac:dyDescent="0.4">
      <c r="B403" s="48" t="s">
        <v>784</v>
      </c>
      <c r="C403" s="14">
        <v>4442</v>
      </c>
      <c r="D403" s="15">
        <v>190.9</v>
      </c>
      <c r="E403" s="15">
        <v>186</v>
      </c>
      <c r="F403" s="15">
        <v>185.8</v>
      </c>
      <c r="G403" s="15">
        <v>187.1</v>
      </c>
      <c r="H403" s="15">
        <v>187</v>
      </c>
      <c r="I403" s="15" t="s">
        <v>104</v>
      </c>
      <c r="J403" s="15" t="s">
        <v>104</v>
      </c>
    </row>
    <row r="404" spans="2:10" ht="18.649999999999999" customHeight="1" thickBot="1" x14ac:dyDescent="0.4">
      <c r="B404" s="43" t="s">
        <v>785</v>
      </c>
      <c r="C404" s="16">
        <v>44423</v>
      </c>
      <c r="D404" s="12">
        <v>33.1</v>
      </c>
      <c r="E404" s="12">
        <v>31.3</v>
      </c>
      <c r="F404" s="12">
        <v>31.6</v>
      </c>
      <c r="G404" s="12">
        <v>32</v>
      </c>
      <c r="H404" s="12">
        <v>31.9</v>
      </c>
      <c r="I404" s="12" t="s">
        <v>104</v>
      </c>
      <c r="J404" s="12" t="s">
        <v>104</v>
      </c>
    </row>
    <row r="405" spans="2:10" ht="58.5" customHeight="1" thickBot="1" x14ac:dyDescent="0.4">
      <c r="B405" s="44" t="s">
        <v>786</v>
      </c>
      <c r="C405" s="14">
        <v>44424</v>
      </c>
      <c r="D405" s="15">
        <v>158</v>
      </c>
      <c r="E405" s="15">
        <v>154.69999999999999</v>
      </c>
      <c r="F405" s="15">
        <v>154.30000000000001</v>
      </c>
      <c r="G405" s="15">
        <v>155.1</v>
      </c>
      <c r="H405" s="15">
        <v>155.1</v>
      </c>
      <c r="I405" s="15" t="s">
        <v>104</v>
      </c>
      <c r="J405" s="15" t="s">
        <v>104</v>
      </c>
    </row>
    <row r="406" spans="2:10" ht="44.15" customHeight="1" thickBot="1" x14ac:dyDescent="0.4">
      <c r="B406" s="41" t="s">
        <v>787</v>
      </c>
      <c r="C406" s="16">
        <v>445</v>
      </c>
      <c r="D406" s="18">
        <v>3247.5</v>
      </c>
      <c r="E406" s="18">
        <v>3258.2</v>
      </c>
      <c r="F406" s="18">
        <v>3260</v>
      </c>
      <c r="G406" s="18">
        <v>3263.3</v>
      </c>
      <c r="H406" s="18">
        <v>3271.4</v>
      </c>
      <c r="I406" s="18">
        <v>3268.5</v>
      </c>
      <c r="J406" s="12">
        <v>-2.9</v>
      </c>
    </row>
    <row r="407" spans="2:10" ht="29.5" customHeight="1" thickBot="1" x14ac:dyDescent="0.4">
      <c r="B407" s="48" t="s">
        <v>788</v>
      </c>
      <c r="C407" s="14">
        <v>4451</v>
      </c>
      <c r="D407" s="17">
        <v>2833.5</v>
      </c>
      <c r="E407" s="17">
        <v>2852.2</v>
      </c>
      <c r="F407" s="17">
        <v>2856.4</v>
      </c>
      <c r="G407" s="17">
        <v>2861</v>
      </c>
      <c r="H407" s="17">
        <v>2868</v>
      </c>
      <c r="I407" s="15" t="s">
        <v>104</v>
      </c>
      <c r="J407" s="15" t="s">
        <v>104</v>
      </c>
    </row>
    <row r="408" spans="2:10" ht="29.5" thickBot="1" x14ac:dyDescent="0.4">
      <c r="B408" s="43" t="s">
        <v>789</v>
      </c>
      <c r="C408" s="16">
        <v>44511</v>
      </c>
      <c r="D408" s="18">
        <v>2616.9</v>
      </c>
      <c r="E408" s="18">
        <v>2635.6</v>
      </c>
      <c r="F408" s="18">
        <v>2638.9</v>
      </c>
      <c r="G408" s="18">
        <v>2643.8</v>
      </c>
      <c r="H408" s="18">
        <v>2650.2</v>
      </c>
      <c r="I408" s="12" t="s">
        <v>104</v>
      </c>
      <c r="J408" s="12" t="s">
        <v>104</v>
      </c>
    </row>
    <row r="409" spans="2:10" ht="18.649999999999999" customHeight="1" thickBot="1" x14ac:dyDescent="0.4">
      <c r="B409" s="44" t="s">
        <v>790</v>
      </c>
      <c r="C409" s="14">
        <v>44513</v>
      </c>
      <c r="D409" s="15">
        <v>215.3</v>
      </c>
      <c r="E409" s="15">
        <v>216.3</v>
      </c>
      <c r="F409" s="15">
        <v>216.9</v>
      </c>
      <c r="G409" s="15">
        <v>216.7</v>
      </c>
      <c r="H409" s="15">
        <v>217</v>
      </c>
      <c r="I409" s="15" t="s">
        <v>104</v>
      </c>
      <c r="J409" s="15" t="s">
        <v>104</v>
      </c>
    </row>
    <row r="410" spans="2:10" ht="15" thickBot="1" x14ac:dyDescent="0.4">
      <c r="B410" s="47" t="s">
        <v>791</v>
      </c>
      <c r="C410" s="16">
        <v>445131</v>
      </c>
      <c r="D410" s="12">
        <v>176.9</v>
      </c>
      <c r="E410" s="12">
        <v>178.2</v>
      </c>
      <c r="F410" s="12">
        <v>179.1</v>
      </c>
      <c r="G410" s="12">
        <v>178.5</v>
      </c>
      <c r="H410" s="12">
        <v>179.3</v>
      </c>
      <c r="I410" s="12" t="s">
        <v>104</v>
      </c>
      <c r="J410" s="12" t="s">
        <v>104</v>
      </c>
    </row>
    <row r="411" spans="2:10" ht="29.5" customHeight="1" thickBot="1" x14ac:dyDescent="0.4">
      <c r="B411" s="46" t="s">
        <v>237</v>
      </c>
      <c r="C411" s="14">
        <v>445132</v>
      </c>
      <c r="D411" s="15">
        <v>38.700000000000003</v>
      </c>
      <c r="E411" s="15">
        <v>37.6</v>
      </c>
      <c r="F411" s="15">
        <v>37.4</v>
      </c>
      <c r="G411" s="15">
        <v>37.6</v>
      </c>
      <c r="H411" s="15">
        <v>38.1</v>
      </c>
      <c r="I411" s="15" t="s">
        <v>104</v>
      </c>
      <c r="J411" s="15" t="s">
        <v>104</v>
      </c>
    </row>
    <row r="412" spans="2:10" ht="29.5" customHeight="1" thickBot="1" x14ac:dyDescent="0.4">
      <c r="B412" s="50" t="s">
        <v>792</v>
      </c>
      <c r="C412" s="16">
        <v>4452</v>
      </c>
      <c r="D412" s="12">
        <v>233.3</v>
      </c>
      <c r="E412" s="12">
        <v>227.6</v>
      </c>
      <c r="F412" s="12">
        <v>226.7</v>
      </c>
      <c r="G412" s="12">
        <v>226.6</v>
      </c>
      <c r="H412" s="12">
        <v>226.8</v>
      </c>
      <c r="I412" s="12" t="s">
        <v>104</v>
      </c>
      <c r="J412" s="12" t="s">
        <v>104</v>
      </c>
    </row>
    <row r="413" spans="2:10" ht="18.649999999999999" customHeight="1" thickBot="1" x14ac:dyDescent="0.4">
      <c r="B413" s="44" t="s">
        <v>793</v>
      </c>
      <c r="C413" s="14">
        <v>44523</v>
      </c>
      <c r="D413" s="15">
        <v>39.1</v>
      </c>
      <c r="E413" s="15">
        <v>38.9</v>
      </c>
      <c r="F413" s="15">
        <v>37.700000000000003</v>
      </c>
      <c r="G413" s="15">
        <v>38.200000000000003</v>
      </c>
      <c r="H413" s="15">
        <v>37.4</v>
      </c>
      <c r="I413" s="15" t="s">
        <v>104</v>
      </c>
      <c r="J413" s="15" t="s">
        <v>104</v>
      </c>
    </row>
    <row r="414" spans="2:10" ht="44.15" customHeight="1" thickBot="1" x14ac:dyDescent="0.4">
      <c r="B414" s="43" t="s">
        <v>794</v>
      </c>
      <c r="C414" s="16" t="s">
        <v>795</v>
      </c>
      <c r="D414" s="12">
        <v>75.099999999999994</v>
      </c>
      <c r="E414" s="12">
        <v>71.400000000000006</v>
      </c>
      <c r="F414" s="12">
        <v>71.099999999999994</v>
      </c>
      <c r="G414" s="12">
        <v>70.3</v>
      </c>
      <c r="H414" s="12">
        <v>71.099999999999994</v>
      </c>
      <c r="I414" s="12" t="s">
        <v>104</v>
      </c>
      <c r="J414" s="12" t="s">
        <v>104</v>
      </c>
    </row>
    <row r="415" spans="2:10" ht="58.5" customHeight="1" thickBot="1" x14ac:dyDescent="0.4">
      <c r="B415" s="44" t="s">
        <v>796</v>
      </c>
      <c r="C415" s="14">
        <v>44529</v>
      </c>
      <c r="D415" s="15">
        <v>120.3</v>
      </c>
      <c r="E415" s="15">
        <v>117.3</v>
      </c>
      <c r="F415" s="15">
        <v>117.1</v>
      </c>
      <c r="G415" s="15">
        <v>117.4</v>
      </c>
      <c r="H415" s="15">
        <v>119.6</v>
      </c>
      <c r="I415" s="15" t="s">
        <v>104</v>
      </c>
      <c r="J415" s="15" t="s">
        <v>104</v>
      </c>
    </row>
    <row r="416" spans="2:10" ht="18.649999999999999" customHeight="1" thickBot="1" x14ac:dyDescent="0.4">
      <c r="B416" s="50" t="s">
        <v>797</v>
      </c>
      <c r="C416" s="16">
        <v>4453</v>
      </c>
      <c r="D416" s="12">
        <v>181.1</v>
      </c>
      <c r="E416" s="12">
        <v>177.3</v>
      </c>
      <c r="F416" s="12">
        <v>177.3</v>
      </c>
      <c r="G416" s="12">
        <v>176.8</v>
      </c>
      <c r="H416" s="12">
        <v>177.5</v>
      </c>
      <c r="I416" s="12" t="s">
        <v>104</v>
      </c>
      <c r="J416" s="12" t="s">
        <v>104</v>
      </c>
    </row>
    <row r="417" spans="2:10" ht="58.5" customHeight="1" thickBot="1" x14ac:dyDescent="0.4">
      <c r="B417" s="40" t="s">
        <v>798</v>
      </c>
      <c r="C417" s="14">
        <v>449</v>
      </c>
      <c r="D417" s="15">
        <v>832</v>
      </c>
      <c r="E417" s="15">
        <v>816.9</v>
      </c>
      <c r="F417" s="15">
        <v>817.5</v>
      </c>
      <c r="G417" s="15">
        <v>823.5</v>
      </c>
      <c r="H417" s="15">
        <v>823.4</v>
      </c>
      <c r="I417" s="15">
        <v>825.6</v>
      </c>
      <c r="J417" s="15">
        <v>2.2000000000000002</v>
      </c>
    </row>
    <row r="418" spans="2:10" ht="28.5" thickBot="1" x14ac:dyDescent="0.4">
      <c r="B418" s="45" t="s">
        <v>799</v>
      </c>
      <c r="C418" s="16">
        <v>4491</v>
      </c>
      <c r="D418" s="12">
        <v>428.6</v>
      </c>
      <c r="E418" s="12">
        <v>419.7</v>
      </c>
      <c r="F418" s="12">
        <v>420.6</v>
      </c>
      <c r="G418" s="12">
        <v>421.4</v>
      </c>
      <c r="H418" s="12">
        <v>419.8</v>
      </c>
      <c r="I418" s="12">
        <v>418.4</v>
      </c>
      <c r="J418" s="12">
        <v>-1.4</v>
      </c>
    </row>
    <row r="419" spans="2:10" ht="18.649999999999999" customHeight="1" thickBot="1" x14ac:dyDescent="0.4">
      <c r="B419" s="44" t="s">
        <v>800</v>
      </c>
      <c r="C419" s="14">
        <v>44911</v>
      </c>
      <c r="D419" s="15">
        <v>208.6</v>
      </c>
      <c r="E419" s="15">
        <v>199.1</v>
      </c>
      <c r="F419" s="15">
        <v>198.9</v>
      </c>
      <c r="G419" s="15">
        <v>197.9</v>
      </c>
      <c r="H419" s="15">
        <v>196.8</v>
      </c>
      <c r="I419" s="15" t="s">
        <v>104</v>
      </c>
      <c r="J419" s="15" t="s">
        <v>104</v>
      </c>
    </row>
    <row r="420" spans="2:10" ht="29.5" customHeight="1" thickBot="1" x14ac:dyDescent="0.4">
      <c r="B420" s="43" t="s">
        <v>801</v>
      </c>
      <c r="C420" s="16">
        <v>44912</v>
      </c>
      <c r="D420" s="12">
        <v>219.1</v>
      </c>
      <c r="E420" s="12">
        <v>219.9</v>
      </c>
      <c r="F420" s="12">
        <v>221.4</v>
      </c>
      <c r="G420" s="12">
        <v>223.2</v>
      </c>
      <c r="H420" s="12">
        <v>222.7</v>
      </c>
      <c r="I420" s="12" t="s">
        <v>104</v>
      </c>
      <c r="J420" s="12" t="s">
        <v>104</v>
      </c>
    </row>
    <row r="421" spans="2:10" ht="29.5" customHeight="1" thickBot="1" x14ac:dyDescent="0.4">
      <c r="B421" s="46" t="s">
        <v>802</v>
      </c>
      <c r="C421" s="14">
        <v>449121</v>
      </c>
      <c r="D421" s="15">
        <v>70.599999999999994</v>
      </c>
      <c r="E421" s="15">
        <v>72.2</v>
      </c>
      <c r="F421" s="15">
        <v>72.8</v>
      </c>
      <c r="G421" s="15">
        <v>72.900000000000006</v>
      </c>
      <c r="H421" s="15">
        <v>72.599999999999994</v>
      </c>
      <c r="I421" s="15" t="s">
        <v>104</v>
      </c>
      <c r="J421" s="15" t="s">
        <v>104</v>
      </c>
    </row>
    <row r="422" spans="2:10" ht="29.5" customHeight="1" thickBot="1" x14ac:dyDescent="0.4">
      <c r="B422" s="47" t="s">
        <v>803</v>
      </c>
      <c r="C422" s="16" t="s">
        <v>804</v>
      </c>
      <c r="D422" s="12">
        <v>147.80000000000001</v>
      </c>
      <c r="E422" s="12">
        <v>148.4</v>
      </c>
      <c r="F422" s="12">
        <v>149.6</v>
      </c>
      <c r="G422" s="12">
        <v>151.30000000000001</v>
      </c>
      <c r="H422" s="12">
        <v>150.6</v>
      </c>
      <c r="I422" s="12" t="s">
        <v>104</v>
      </c>
      <c r="J422" s="12" t="s">
        <v>104</v>
      </c>
    </row>
    <row r="423" spans="2:10" ht="44.15" customHeight="1" thickBot="1" x14ac:dyDescent="0.4">
      <c r="B423" s="42" t="s">
        <v>805</v>
      </c>
      <c r="C423" s="14">
        <v>4492</v>
      </c>
      <c r="D423" s="15">
        <v>403.5</v>
      </c>
      <c r="E423" s="15">
        <v>397.2</v>
      </c>
      <c r="F423" s="15">
        <v>396.9</v>
      </c>
      <c r="G423" s="15">
        <v>402.1</v>
      </c>
      <c r="H423" s="15">
        <v>403.6</v>
      </c>
      <c r="I423" s="15">
        <v>407.2</v>
      </c>
      <c r="J423" s="15">
        <v>3.6</v>
      </c>
    </row>
    <row r="424" spans="2:10" ht="18.649999999999999" customHeight="1" thickBot="1" x14ac:dyDescent="0.4">
      <c r="B424" s="41" t="s">
        <v>806</v>
      </c>
      <c r="C424" s="16">
        <v>455</v>
      </c>
      <c r="D424" s="18">
        <v>3193</v>
      </c>
      <c r="E424" s="18">
        <v>3289.8</v>
      </c>
      <c r="F424" s="18">
        <v>3286.6</v>
      </c>
      <c r="G424" s="18">
        <v>3286.9</v>
      </c>
      <c r="H424" s="18">
        <v>3283.1</v>
      </c>
      <c r="I424" s="18">
        <v>3268.1</v>
      </c>
      <c r="J424" s="12">
        <v>-15</v>
      </c>
    </row>
    <row r="425" spans="2:10" ht="44.15" customHeight="1" thickBot="1" x14ac:dyDescent="0.4">
      <c r="B425" s="42" t="s">
        <v>233</v>
      </c>
      <c r="C425" s="14">
        <v>4551</v>
      </c>
      <c r="D425" s="15">
        <v>937.7</v>
      </c>
      <c r="E425" s="15">
        <v>972.5</v>
      </c>
      <c r="F425" s="15">
        <v>968.6</v>
      </c>
      <c r="G425" s="15">
        <v>968.8</v>
      </c>
      <c r="H425" s="15">
        <v>967.3</v>
      </c>
      <c r="I425" s="15">
        <v>957</v>
      </c>
      <c r="J425" s="15">
        <v>-10.3</v>
      </c>
    </row>
    <row r="426" spans="2:10" ht="29.5" customHeight="1" thickBot="1" x14ac:dyDescent="0.4">
      <c r="B426" s="45" t="s">
        <v>807</v>
      </c>
      <c r="C426" s="16">
        <v>4552</v>
      </c>
      <c r="D426" s="18">
        <v>2255.3000000000002</v>
      </c>
      <c r="E426" s="18">
        <v>2317.3000000000002</v>
      </c>
      <c r="F426" s="18">
        <v>2318</v>
      </c>
      <c r="G426" s="18">
        <v>2318</v>
      </c>
      <c r="H426" s="18">
        <v>2315.9</v>
      </c>
      <c r="I426" s="18">
        <v>2311.1</v>
      </c>
      <c r="J426" s="12">
        <v>-4.8</v>
      </c>
    </row>
    <row r="427" spans="2:10" ht="18.649999999999999" customHeight="1" thickBot="1" x14ac:dyDescent="0.4">
      <c r="B427" s="44" t="s">
        <v>234</v>
      </c>
      <c r="C427" s="14">
        <v>455211</v>
      </c>
      <c r="D427" s="17">
        <v>1631.8</v>
      </c>
      <c r="E427" s="17">
        <v>1675.6</v>
      </c>
      <c r="F427" s="17">
        <v>1673.4</v>
      </c>
      <c r="G427" s="17">
        <v>1669.7</v>
      </c>
      <c r="H427" s="17">
        <v>1660.9</v>
      </c>
      <c r="I427" s="15" t="s">
        <v>104</v>
      </c>
      <c r="J427" s="15" t="s">
        <v>104</v>
      </c>
    </row>
    <row r="428" spans="2:10" ht="44.15" customHeight="1" thickBot="1" x14ac:dyDescent="0.4">
      <c r="B428" s="43" t="s">
        <v>994</v>
      </c>
      <c r="C428" s="16">
        <v>455219</v>
      </c>
      <c r="D428" s="12">
        <v>624.79999999999995</v>
      </c>
      <c r="E428" s="12">
        <v>643.5</v>
      </c>
      <c r="F428" s="12">
        <v>648.20000000000005</v>
      </c>
      <c r="G428" s="12">
        <v>646.4</v>
      </c>
      <c r="H428" s="12">
        <v>656.5</v>
      </c>
      <c r="I428" s="12" t="s">
        <v>104</v>
      </c>
      <c r="J428" s="12" t="s">
        <v>104</v>
      </c>
    </row>
    <row r="429" spans="2:10" ht="29.5" customHeight="1" thickBot="1" x14ac:dyDescent="0.4">
      <c r="B429" s="40" t="s">
        <v>808</v>
      </c>
      <c r="C429" s="14">
        <v>456</v>
      </c>
      <c r="D429" s="17">
        <v>1093.5999999999999</v>
      </c>
      <c r="E429" s="17">
        <v>1093.0999999999999</v>
      </c>
      <c r="F429" s="17">
        <v>1086.8</v>
      </c>
      <c r="G429" s="17">
        <v>1090.5999999999999</v>
      </c>
      <c r="H429" s="17">
        <v>1092.5999999999999</v>
      </c>
      <c r="I429" s="17">
        <v>1089.3</v>
      </c>
      <c r="J429" s="15">
        <v>-3.3</v>
      </c>
    </row>
    <row r="430" spans="2:10" ht="44.15" customHeight="1" thickBot="1" x14ac:dyDescent="0.4">
      <c r="B430" s="50" t="s">
        <v>809</v>
      </c>
      <c r="C430" s="16">
        <v>45611</v>
      </c>
      <c r="D430" s="12">
        <v>720.3</v>
      </c>
      <c r="E430" s="12">
        <v>710.4</v>
      </c>
      <c r="F430" s="12">
        <v>705.2</v>
      </c>
      <c r="G430" s="12">
        <v>708.7</v>
      </c>
      <c r="H430" s="12">
        <v>708.8</v>
      </c>
      <c r="I430" s="12" t="s">
        <v>104</v>
      </c>
      <c r="J430" s="12" t="s">
        <v>104</v>
      </c>
    </row>
    <row r="431" spans="2:10" ht="29.5" customHeight="1" thickBot="1" x14ac:dyDescent="0.4">
      <c r="B431" s="48" t="s">
        <v>810</v>
      </c>
      <c r="C431" s="14">
        <v>45612</v>
      </c>
      <c r="D431" s="15">
        <v>179.4</v>
      </c>
      <c r="E431" s="15">
        <v>186.5</v>
      </c>
      <c r="F431" s="15">
        <v>186.7</v>
      </c>
      <c r="G431" s="15">
        <v>187.5</v>
      </c>
      <c r="H431" s="15">
        <v>187.7</v>
      </c>
      <c r="I431" s="15" t="s">
        <v>104</v>
      </c>
      <c r="J431" s="15" t="s">
        <v>104</v>
      </c>
    </row>
    <row r="432" spans="2:10" ht="44.15" customHeight="1" thickBot="1" x14ac:dyDescent="0.4">
      <c r="B432" s="50" t="s">
        <v>811</v>
      </c>
      <c r="C432" s="16">
        <v>45613</v>
      </c>
      <c r="D432" s="12">
        <v>71.5</v>
      </c>
      <c r="E432" s="12">
        <v>72.099999999999994</v>
      </c>
      <c r="F432" s="12">
        <v>71.900000000000006</v>
      </c>
      <c r="G432" s="12">
        <v>70.400000000000006</v>
      </c>
      <c r="H432" s="12">
        <v>71.5</v>
      </c>
      <c r="I432" s="12" t="s">
        <v>104</v>
      </c>
      <c r="J432" s="12" t="s">
        <v>104</v>
      </c>
    </row>
    <row r="433" spans="2:10" ht="44.15" customHeight="1" thickBot="1" x14ac:dyDescent="0.4">
      <c r="B433" s="48" t="s">
        <v>812</v>
      </c>
      <c r="C433" s="14">
        <v>45619</v>
      </c>
      <c r="D433" s="15">
        <v>120.7</v>
      </c>
      <c r="E433" s="15">
        <v>123.8</v>
      </c>
      <c r="F433" s="15">
        <v>124.3</v>
      </c>
      <c r="G433" s="15">
        <v>125.6</v>
      </c>
      <c r="H433" s="15">
        <v>124.9</v>
      </c>
      <c r="I433" s="15" t="s">
        <v>104</v>
      </c>
      <c r="J433" s="15" t="s">
        <v>104</v>
      </c>
    </row>
    <row r="434" spans="2:10" ht="44.15" customHeight="1" thickBot="1" x14ac:dyDescent="0.4">
      <c r="B434" s="43" t="s">
        <v>813</v>
      </c>
      <c r="C434" s="16">
        <v>456191</v>
      </c>
      <c r="D434" s="12">
        <v>48.4</v>
      </c>
      <c r="E434" s="12">
        <v>49.7</v>
      </c>
      <c r="F434" s="12">
        <v>49.7</v>
      </c>
      <c r="G434" s="12">
        <v>51.3</v>
      </c>
      <c r="H434" s="12">
        <v>50.5</v>
      </c>
      <c r="I434" s="12" t="s">
        <v>104</v>
      </c>
      <c r="J434" s="12" t="s">
        <v>104</v>
      </c>
    </row>
    <row r="435" spans="2:10" ht="58.5" customHeight="1" thickBot="1" x14ac:dyDescent="0.4">
      <c r="B435" s="44" t="s">
        <v>814</v>
      </c>
      <c r="C435" s="14">
        <v>456199</v>
      </c>
      <c r="D435" s="15">
        <v>72.8</v>
      </c>
      <c r="E435" s="15">
        <v>74</v>
      </c>
      <c r="F435" s="15">
        <v>74.3</v>
      </c>
      <c r="G435" s="15">
        <v>74.099999999999994</v>
      </c>
      <c r="H435" s="15">
        <v>74</v>
      </c>
      <c r="I435" s="15" t="s">
        <v>104</v>
      </c>
      <c r="J435" s="15" t="s">
        <v>104</v>
      </c>
    </row>
    <row r="436" spans="2:10" ht="29.5" customHeight="1" thickBot="1" x14ac:dyDescent="0.4">
      <c r="B436" s="41" t="s">
        <v>815</v>
      </c>
      <c r="C436" s="16">
        <v>457</v>
      </c>
      <c r="D436" s="18">
        <v>1066.9000000000001</v>
      </c>
      <c r="E436" s="18">
        <v>1080</v>
      </c>
      <c r="F436" s="18">
        <v>1079.5999999999999</v>
      </c>
      <c r="G436" s="18">
        <v>1080.0999999999999</v>
      </c>
      <c r="H436" s="18">
        <v>1079.5</v>
      </c>
      <c r="I436" s="18">
        <v>1080.7</v>
      </c>
      <c r="J436" s="12">
        <v>1.2</v>
      </c>
    </row>
    <row r="437" spans="2:10" ht="29.5" customHeight="1" thickBot="1" x14ac:dyDescent="0.4">
      <c r="B437" s="48" t="s">
        <v>816</v>
      </c>
      <c r="C437" s="14">
        <v>4571</v>
      </c>
      <c r="D437" s="15">
        <v>995.7</v>
      </c>
      <c r="E437" s="17">
        <v>1006.9</v>
      </c>
      <c r="F437" s="17">
        <v>1006.3</v>
      </c>
      <c r="G437" s="17">
        <v>1007.7</v>
      </c>
      <c r="H437" s="17">
        <v>1007.5</v>
      </c>
      <c r="I437" s="15" t="s">
        <v>104</v>
      </c>
      <c r="J437" s="15" t="s">
        <v>104</v>
      </c>
    </row>
    <row r="438" spans="2:10" ht="58.5" customHeight="1" thickBot="1" x14ac:dyDescent="0.4">
      <c r="B438" s="43" t="s">
        <v>231</v>
      </c>
      <c r="C438" s="16">
        <v>45711</v>
      </c>
      <c r="D438" s="12">
        <v>898.8</v>
      </c>
      <c r="E438" s="12">
        <v>911.1</v>
      </c>
      <c r="F438" s="12">
        <v>911.1</v>
      </c>
      <c r="G438" s="12">
        <v>913.7</v>
      </c>
      <c r="H438" s="12">
        <v>913.4</v>
      </c>
      <c r="I438" s="12" t="s">
        <v>104</v>
      </c>
      <c r="J438" s="12" t="s">
        <v>104</v>
      </c>
    </row>
    <row r="439" spans="2:10" ht="29.5" customHeight="1" thickBot="1" x14ac:dyDescent="0.4">
      <c r="B439" s="44" t="s">
        <v>232</v>
      </c>
      <c r="C439" s="14">
        <v>45712</v>
      </c>
      <c r="D439" s="15">
        <v>96.5</v>
      </c>
      <c r="E439" s="15">
        <v>95.8</v>
      </c>
      <c r="F439" s="15">
        <v>95.5</v>
      </c>
      <c r="G439" s="15">
        <v>95.1</v>
      </c>
      <c r="H439" s="15">
        <v>94.6</v>
      </c>
      <c r="I439" s="15" t="s">
        <v>104</v>
      </c>
      <c r="J439" s="15" t="s">
        <v>104</v>
      </c>
    </row>
    <row r="440" spans="2:10" ht="29.5" customHeight="1" thickBot="1" x14ac:dyDescent="0.4">
      <c r="B440" s="50" t="s">
        <v>238</v>
      </c>
      <c r="C440" s="16">
        <v>4572</v>
      </c>
      <c r="D440" s="12">
        <v>70.599999999999994</v>
      </c>
      <c r="E440" s="12">
        <v>72.900000000000006</v>
      </c>
      <c r="F440" s="12">
        <v>73.099999999999994</v>
      </c>
      <c r="G440" s="12">
        <v>72.2</v>
      </c>
      <c r="H440" s="12">
        <v>71.400000000000006</v>
      </c>
      <c r="I440" s="12" t="s">
        <v>104</v>
      </c>
      <c r="J440" s="12" t="s">
        <v>104</v>
      </c>
    </row>
    <row r="441" spans="2:10" ht="58.5" customHeight="1" thickBot="1" x14ac:dyDescent="0.4">
      <c r="B441" s="40" t="s">
        <v>817</v>
      </c>
      <c r="C441" s="14">
        <v>458</v>
      </c>
      <c r="D441" s="17">
        <v>1132.7</v>
      </c>
      <c r="E441" s="17">
        <v>1134.5</v>
      </c>
      <c r="F441" s="17">
        <v>1128.7</v>
      </c>
      <c r="G441" s="17">
        <v>1126.4000000000001</v>
      </c>
      <c r="H441" s="17">
        <v>1117.2</v>
      </c>
      <c r="I441" s="17">
        <v>1114</v>
      </c>
      <c r="J441" s="15">
        <v>-3.2</v>
      </c>
    </row>
    <row r="442" spans="2:10" ht="44.15" customHeight="1" thickBot="1" x14ac:dyDescent="0.4">
      <c r="B442" s="50" t="s">
        <v>818</v>
      </c>
      <c r="C442" s="16">
        <v>4581</v>
      </c>
      <c r="D442" s="12">
        <v>840.9</v>
      </c>
      <c r="E442" s="12">
        <v>840.6</v>
      </c>
      <c r="F442" s="12">
        <v>837.1</v>
      </c>
      <c r="G442" s="12">
        <v>835.5</v>
      </c>
      <c r="H442" s="12">
        <v>829.3</v>
      </c>
      <c r="I442" s="12" t="s">
        <v>104</v>
      </c>
      <c r="J442" s="12" t="s">
        <v>104</v>
      </c>
    </row>
    <row r="443" spans="2:10" ht="29.5" customHeight="1" thickBot="1" x14ac:dyDescent="0.4">
      <c r="B443" s="48" t="s">
        <v>819</v>
      </c>
      <c r="C443" s="14">
        <v>4582</v>
      </c>
      <c r="D443" s="15">
        <v>170.1</v>
      </c>
      <c r="E443" s="15">
        <v>167.6</v>
      </c>
      <c r="F443" s="15">
        <v>167.5</v>
      </c>
      <c r="G443" s="15">
        <v>166.4</v>
      </c>
      <c r="H443" s="15">
        <v>165.5</v>
      </c>
      <c r="I443" s="15" t="s">
        <v>104</v>
      </c>
      <c r="J443" s="15" t="s">
        <v>104</v>
      </c>
    </row>
    <row r="444" spans="2:10" ht="29.5" customHeight="1" thickBot="1" x14ac:dyDescent="0.4">
      <c r="B444" s="50" t="s">
        <v>820</v>
      </c>
      <c r="C444" s="16">
        <v>4583</v>
      </c>
      <c r="D444" s="12">
        <v>124.8</v>
      </c>
      <c r="E444" s="12">
        <v>125.7</v>
      </c>
      <c r="F444" s="12">
        <v>123.6</v>
      </c>
      <c r="G444" s="12">
        <v>124.9</v>
      </c>
      <c r="H444" s="12">
        <v>123.8</v>
      </c>
      <c r="I444" s="12" t="s">
        <v>104</v>
      </c>
      <c r="J444" s="12" t="s">
        <v>104</v>
      </c>
    </row>
    <row r="445" spans="2:10" ht="18.649999999999999" customHeight="1" thickBot="1" x14ac:dyDescent="0.4">
      <c r="B445" s="40" t="s">
        <v>821</v>
      </c>
      <c r="C445" s="14">
        <v>459</v>
      </c>
      <c r="D445" s="17">
        <v>1539.8</v>
      </c>
      <c r="E445" s="17">
        <v>1538.9</v>
      </c>
      <c r="F445" s="17">
        <v>1539.3</v>
      </c>
      <c r="G445" s="17">
        <v>1534.5</v>
      </c>
      <c r="H445" s="17">
        <v>1533</v>
      </c>
      <c r="I445" s="17">
        <v>1527.3</v>
      </c>
      <c r="J445" s="15">
        <v>-5.7</v>
      </c>
    </row>
    <row r="446" spans="2:10" ht="29.5" customHeight="1" thickBot="1" x14ac:dyDescent="0.4">
      <c r="B446" s="50" t="s">
        <v>822</v>
      </c>
      <c r="C446" s="16">
        <v>4591</v>
      </c>
      <c r="D446" s="12">
        <v>502</v>
      </c>
      <c r="E446" s="12">
        <v>488.1</v>
      </c>
      <c r="F446" s="12">
        <v>484.2</v>
      </c>
      <c r="G446" s="12">
        <v>481.2</v>
      </c>
      <c r="H446" s="12">
        <v>479.1</v>
      </c>
      <c r="I446" s="12" t="s">
        <v>104</v>
      </c>
      <c r="J446" s="12" t="s">
        <v>104</v>
      </c>
    </row>
    <row r="447" spans="2:10" ht="44.15" customHeight="1" thickBot="1" x14ac:dyDescent="0.4">
      <c r="B447" s="44" t="s">
        <v>823</v>
      </c>
      <c r="C447" s="14">
        <v>45911</v>
      </c>
      <c r="D447" s="15">
        <v>304.10000000000002</v>
      </c>
      <c r="E447" s="15">
        <v>297.5</v>
      </c>
      <c r="F447" s="15">
        <v>295.5</v>
      </c>
      <c r="G447" s="15">
        <v>293.8</v>
      </c>
      <c r="H447" s="15">
        <v>292.2</v>
      </c>
      <c r="I447" s="15" t="s">
        <v>104</v>
      </c>
      <c r="J447" s="15" t="s">
        <v>104</v>
      </c>
    </row>
    <row r="448" spans="2:10" ht="29.5" customHeight="1" thickBot="1" x14ac:dyDescent="0.4">
      <c r="B448" s="43" t="s">
        <v>824</v>
      </c>
      <c r="C448" s="16">
        <v>45912</v>
      </c>
      <c r="D448" s="12">
        <v>131.5</v>
      </c>
      <c r="E448" s="12">
        <v>127.6</v>
      </c>
      <c r="F448" s="12">
        <v>125.1</v>
      </c>
      <c r="G448" s="12">
        <v>125.4</v>
      </c>
      <c r="H448" s="12">
        <v>124.2</v>
      </c>
      <c r="I448" s="12" t="s">
        <v>104</v>
      </c>
      <c r="J448" s="12" t="s">
        <v>104</v>
      </c>
    </row>
    <row r="449" spans="1:10" ht="44.15" customHeight="1" thickBot="1" x14ac:dyDescent="0.4">
      <c r="B449" s="44" t="s">
        <v>825</v>
      </c>
      <c r="C449" s="14">
        <v>45913</v>
      </c>
      <c r="D449" s="15">
        <v>30.4</v>
      </c>
      <c r="E449" s="15">
        <v>30.3</v>
      </c>
      <c r="F449" s="15">
        <v>29.6</v>
      </c>
      <c r="G449" s="15">
        <v>29.4</v>
      </c>
      <c r="H449" s="15">
        <v>29.1</v>
      </c>
      <c r="I449" s="15" t="s">
        <v>104</v>
      </c>
      <c r="J449" s="15" t="s">
        <v>104</v>
      </c>
    </row>
    <row r="450" spans="1:10" ht="44.15" customHeight="1" thickBot="1" x14ac:dyDescent="0.4">
      <c r="B450" s="43" t="s">
        <v>826</v>
      </c>
      <c r="C450" s="16">
        <v>45914</v>
      </c>
      <c r="D450" s="12">
        <v>33.299999999999997</v>
      </c>
      <c r="E450" s="12">
        <v>33.700000000000003</v>
      </c>
      <c r="F450" s="12">
        <v>32.9</v>
      </c>
      <c r="G450" s="12">
        <v>33.200000000000003</v>
      </c>
      <c r="H450" s="12">
        <v>33.700000000000003</v>
      </c>
      <c r="I450" s="12" t="s">
        <v>104</v>
      </c>
      <c r="J450" s="12" t="s">
        <v>104</v>
      </c>
    </row>
    <row r="451" spans="1:10" ht="44.15" customHeight="1" thickBot="1" x14ac:dyDescent="0.4">
      <c r="B451" s="48" t="s">
        <v>827</v>
      </c>
      <c r="C451" s="14">
        <v>4592</v>
      </c>
      <c r="D451" s="15">
        <v>72.599999999999994</v>
      </c>
      <c r="E451" s="15">
        <v>73.5</v>
      </c>
      <c r="F451" s="15">
        <v>72.5</v>
      </c>
      <c r="G451" s="15">
        <v>73.2</v>
      </c>
      <c r="H451" s="15">
        <v>72.5</v>
      </c>
      <c r="I451" s="15" t="s">
        <v>104</v>
      </c>
      <c r="J451" s="15" t="s">
        <v>104</v>
      </c>
    </row>
    <row r="452" spans="1:10" ht="15" thickBot="1" x14ac:dyDescent="0.4">
      <c r="B452" s="50" t="s">
        <v>235</v>
      </c>
      <c r="C452" s="16">
        <v>4593</v>
      </c>
      <c r="D452" s="12">
        <v>63.9</v>
      </c>
      <c r="E452" s="12">
        <v>60.5</v>
      </c>
      <c r="F452" s="12">
        <v>61.9</v>
      </c>
      <c r="G452" s="12">
        <v>61.6</v>
      </c>
      <c r="H452" s="12">
        <v>62.9</v>
      </c>
      <c r="I452" s="12" t="s">
        <v>104</v>
      </c>
      <c r="J452" s="12" t="s">
        <v>104</v>
      </c>
    </row>
    <row r="453" spans="1:10" ht="44.15" customHeight="1" thickBot="1" x14ac:dyDescent="0.4">
      <c r="B453" s="48" t="s">
        <v>828</v>
      </c>
      <c r="C453" s="14">
        <v>4594</v>
      </c>
      <c r="D453" s="15">
        <v>204.4</v>
      </c>
      <c r="E453" s="15">
        <v>208.8</v>
      </c>
      <c r="F453" s="15">
        <v>208.4</v>
      </c>
      <c r="G453" s="15">
        <v>207.1</v>
      </c>
      <c r="H453" s="15">
        <v>206</v>
      </c>
      <c r="I453" s="15" t="s">
        <v>104</v>
      </c>
      <c r="J453" s="15" t="s">
        <v>104</v>
      </c>
    </row>
    <row r="454" spans="1:10" ht="29.5" customHeight="1" thickBot="1" x14ac:dyDescent="0.4">
      <c r="B454" s="43" t="s">
        <v>829</v>
      </c>
      <c r="C454" s="16">
        <v>45941</v>
      </c>
      <c r="D454" s="12">
        <v>66.099999999999994</v>
      </c>
      <c r="E454" s="12">
        <v>66.7</v>
      </c>
      <c r="F454" s="12">
        <v>66.2</v>
      </c>
      <c r="G454" s="12">
        <v>66</v>
      </c>
      <c r="H454" s="12">
        <v>65.900000000000006</v>
      </c>
      <c r="I454" s="12" t="s">
        <v>104</v>
      </c>
      <c r="J454" s="12" t="s">
        <v>104</v>
      </c>
    </row>
    <row r="455" spans="1:10" ht="18.649999999999999" customHeight="1" thickBot="1" x14ac:dyDescent="0.4">
      <c r="B455" s="44" t="s">
        <v>830</v>
      </c>
      <c r="C455" s="14">
        <v>45942</v>
      </c>
      <c r="D455" s="15">
        <v>138.19999999999999</v>
      </c>
      <c r="E455" s="15">
        <v>142.6</v>
      </c>
      <c r="F455" s="15">
        <v>141.1</v>
      </c>
      <c r="G455" s="15">
        <v>140.30000000000001</v>
      </c>
      <c r="H455" s="15">
        <v>140.1</v>
      </c>
      <c r="I455" s="15" t="s">
        <v>104</v>
      </c>
      <c r="J455" s="15" t="s">
        <v>104</v>
      </c>
    </row>
    <row r="456" spans="1:10" ht="15" thickBot="1" x14ac:dyDescent="0.4">
      <c r="B456" s="50" t="s">
        <v>831</v>
      </c>
      <c r="C456" s="16">
        <v>4595</v>
      </c>
      <c r="D456" s="12">
        <v>209.3</v>
      </c>
      <c r="E456" s="12">
        <v>213</v>
      </c>
      <c r="F456" s="12">
        <v>212.1</v>
      </c>
      <c r="G456" s="12">
        <v>213</v>
      </c>
      <c r="H456" s="12">
        <v>213.1</v>
      </c>
      <c r="I456" s="12" t="s">
        <v>104</v>
      </c>
      <c r="J456" s="12" t="s">
        <v>104</v>
      </c>
    </row>
    <row r="457" spans="1:10" ht="29.5" customHeight="1" thickBot="1" x14ac:dyDescent="0.4">
      <c r="B457" s="48" t="s">
        <v>832</v>
      </c>
      <c r="C457" s="14">
        <v>4599</v>
      </c>
      <c r="D457" s="15">
        <v>485.2</v>
      </c>
      <c r="E457" s="15">
        <v>496.5</v>
      </c>
      <c r="F457" s="15">
        <v>499.4</v>
      </c>
      <c r="G457" s="15">
        <v>500.4</v>
      </c>
      <c r="H457" s="15">
        <v>500.4</v>
      </c>
      <c r="I457" s="15" t="s">
        <v>104</v>
      </c>
      <c r="J457" s="15" t="s">
        <v>104</v>
      </c>
    </row>
    <row r="458" spans="1:10" ht="44.15" customHeight="1" thickBot="1" x14ac:dyDescent="0.4">
      <c r="B458" s="43" t="s">
        <v>833</v>
      </c>
      <c r="C458" s="16">
        <v>45991</v>
      </c>
      <c r="D458" s="12">
        <v>135.6</v>
      </c>
      <c r="E458" s="12">
        <v>139.5</v>
      </c>
      <c r="F458" s="12">
        <v>139.4</v>
      </c>
      <c r="G458" s="12">
        <v>140.19999999999999</v>
      </c>
      <c r="H458" s="12">
        <v>137.80000000000001</v>
      </c>
      <c r="I458" s="12" t="s">
        <v>104</v>
      </c>
      <c r="J458" s="12" t="s">
        <v>104</v>
      </c>
    </row>
    <row r="459" spans="1:10" ht="44.15" customHeight="1" thickBot="1" x14ac:dyDescent="0.4">
      <c r="B459" s="44" t="s">
        <v>236</v>
      </c>
      <c r="C459" s="14">
        <v>45992</v>
      </c>
      <c r="D459" s="15">
        <v>17.5</v>
      </c>
      <c r="E459" s="15">
        <v>17.8</v>
      </c>
      <c r="F459" s="15">
        <v>17.5</v>
      </c>
      <c r="G459" s="15">
        <v>15.9</v>
      </c>
      <c r="H459" s="15">
        <v>16.2</v>
      </c>
      <c r="I459" s="15" t="s">
        <v>104</v>
      </c>
      <c r="J459" s="15" t="s">
        <v>104</v>
      </c>
    </row>
    <row r="460" spans="1:10" ht="29.5" customHeight="1" thickBot="1" x14ac:dyDescent="0.4">
      <c r="B460" s="43" t="s">
        <v>834</v>
      </c>
      <c r="C460" s="16" t="s">
        <v>835</v>
      </c>
      <c r="D460" s="12">
        <v>332.1</v>
      </c>
      <c r="E460" s="12">
        <v>338.9</v>
      </c>
      <c r="F460" s="12">
        <v>342.9</v>
      </c>
      <c r="G460" s="12">
        <v>344.2</v>
      </c>
      <c r="H460" s="12">
        <v>347.3</v>
      </c>
      <c r="I460" s="12" t="s">
        <v>104</v>
      </c>
      <c r="J460" s="12" t="s">
        <v>104</v>
      </c>
    </row>
    <row r="461" spans="1:10" ht="44.15" customHeight="1" thickBot="1" x14ac:dyDescent="0.4">
      <c r="B461" s="44" t="s">
        <v>836</v>
      </c>
      <c r="C461" s="14">
        <v>459991</v>
      </c>
      <c r="D461" s="15">
        <v>131.4</v>
      </c>
      <c r="E461" s="15">
        <v>130.6</v>
      </c>
      <c r="F461" s="15">
        <v>132.1</v>
      </c>
      <c r="G461" s="15">
        <v>132.19999999999999</v>
      </c>
      <c r="H461" s="15">
        <v>133</v>
      </c>
      <c r="I461" s="15" t="s">
        <v>104</v>
      </c>
      <c r="J461" s="15" t="s">
        <v>104</v>
      </c>
    </row>
    <row r="462" spans="1:10" ht="29.5" customHeight="1" thickBot="1" x14ac:dyDescent="0.4">
      <c r="B462" s="73"/>
      <c r="C462" s="74"/>
      <c r="D462" s="74"/>
      <c r="E462" s="74"/>
      <c r="F462" s="74"/>
      <c r="G462" s="74"/>
      <c r="H462" s="74"/>
      <c r="I462" s="74"/>
      <c r="J462" s="75"/>
    </row>
    <row r="463" spans="1:10" ht="44" customHeight="1" thickBot="1" x14ac:dyDescent="0.4">
      <c r="A463" t="s">
        <v>20</v>
      </c>
      <c r="B463" s="39" t="s">
        <v>239</v>
      </c>
      <c r="C463" s="12"/>
      <c r="D463" s="18">
        <v>6538.9</v>
      </c>
      <c r="E463" s="18">
        <v>6609.3</v>
      </c>
      <c r="F463" s="18">
        <v>6620</v>
      </c>
      <c r="G463" s="18">
        <v>6627.8</v>
      </c>
      <c r="H463" s="18">
        <v>6623.8</v>
      </c>
      <c r="I463" s="18">
        <v>6627.2</v>
      </c>
      <c r="J463" s="12">
        <v>3.4</v>
      </c>
    </row>
    <row r="464" spans="1:10" ht="44.15" customHeight="1" thickBot="1" x14ac:dyDescent="0.4">
      <c r="B464" s="40" t="s">
        <v>51</v>
      </c>
      <c r="C464" s="14">
        <v>481</v>
      </c>
      <c r="D464" s="15">
        <v>566</v>
      </c>
      <c r="E464" s="15">
        <v>575.20000000000005</v>
      </c>
      <c r="F464" s="15">
        <v>576.9</v>
      </c>
      <c r="G464" s="15">
        <v>575.6</v>
      </c>
      <c r="H464" s="15">
        <v>574.4</v>
      </c>
      <c r="I464" s="15">
        <v>574.79999999999995</v>
      </c>
      <c r="J464" s="15">
        <v>0.4</v>
      </c>
    </row>
    <row r="465" spans="2:10" ht="18.649999999999999" customHeight="1" thickBot="1" x14ac:dyDescent="0.4">
      <c r="B465" s="50" t="s">
        <v>240</v>
      </c>
      <c r="C465" s="16">
        <v>4811</v>
      </c>
      <c r="D465" s="12">
        <v>507</v>
      </c>
      <c r="E465" s="12">
        <v>511.7</v>
      </c>
      <c r="F465" s="12">
        <v>512.70000000000005</v>
      </c>
      <c r="G465" s="12">
        <v>512.5</v>
      </c>
      <c r="H465" s="12">
        <v>511.8</v>
      </c>
      <c r="I465" s="12" t="s">
        <v>104</v>
      </c>
      <c r="J465" s="12" t="s">
        <v>104</v>
      </c>
    </row>
    <row r="466" spans="2:10" ht="58.5" customHeight="1" thickBot="1" x14ac:dyDescent="0.4">
      <c r="B466" s="48" t="s">
        <v>241</v>
      </c>
      <c r="C466" s="14">
        <v>4812</v>
      </c>
      <c r="D466" s="15">
        <v>59</v>
      </c>
      <c r="E466" s="15">
        <v>63.2</v>
      </c>
      <c r="F466" s="15">
        <v>63.6</v>
      </c>
      <c r="G466" s="15">
        <v>63.4</v>
      </c>
      <c r="H466" s="15">
        <v>62.9</v>
      </c>
      <c r="I466" s="15" t="s">
        <v>104</v>
      </c>
      <c r="J466" s="15" t="s">
        <v>104</v>
      </c>
    </row>
    <row r="467" spans="2:10" ht="29.5" customHeight="1" thickBot="1" x14ac:dyDescent="0.4">
      <c r="B467" s="41" t="s">
        <v>52</v>
      </c>
      <c r="C467" s="16">
        <v>482</v>
      </c>
      <c r="D467" s="12">
        <v>152.80000000000001</v>
      </c>
      <c r="E467" s="12">
        <v>150.9</v>
      </c>
      <c r="F467" s="12">
        <v>150.5</v>
      </c>
      <c r="G467" s="12">
        <v>149.80000000000001</v>
      </c>
      <c r="H467" s="12">
        <v>150</v>
      </c>
      <c r="I467" s="12">
        <v>150</v>
      </c>
      <c r="J467" s="12">
        <v>0</v>
      </c>
    </row>
    <row r="468" spans="2:10" ht="29.5" customHeight="1" thickBot="1" x14ac:dyDescent="0.4">
      <c r="B468" s="40" t="s">
        <v>53</v>
      </c>
      <c r="C468" s="14">
        <v>483</v>
      </c>
      <c r="D468" s="15">
        <v>71</v>
      </c>
      <c r="E468" s="15">
        <v>75.3</v>
      </c>
      <c r="F468" s="15">
        <v>74.5</v>
      </c>
      <c r="G468" s="15">
        <v>74.2</v>
      </c>
      <c r="H468" s="15">
        <v>74</v>
      </c>
      <c r="I468" s="15">
        <v>73.599999999999994</v>
      </c>
      <c r="J468" s="15">
        <v>-0.4</v>
      </c>
    </row>
    <row r="469" spans="2:10" ht="58.5" customHeight="1" thickBot="1" x14ac:dyDescent="0.4">
      <c r="B469" s="41" t="s">
        <v>54</v>
      </c>
      <c r="C469" s="16">
        <v>484</v>
      </c>
      <c r="D469" s="18">
        <v>1550.1</v>
      </c>
      <c r="E469" s="18">
        <v>1545</v>
      </c>
      <c r="F469" s="18">
        <v>1546.4</v>
      </c>
      <c r="G469" s="18">
        <v>1546.6</v>
      </c>
      <c r="H469" s="18">
        <v>1545.8</v>
      </c>
      <c r="I469" s="18">
        <v>1548.7</v>
      </c>
      <c r="J469" s="12">
        <v>2.9</v>
      </c>
    </row>
    <row r="470" spans="2:10" ht="58.5" customHeight="1" thickBot="1" x14ac:dyDescent="0.4">
      <c r="B470" s="48" t="s">
        <v>242</v>
      </c>
      <c r="C470" s="14">
        <v>4841</v>
      </c>
      <c r="D470" s="17">
        <v>1089.4000000000001</v>
      </c>
      <c r="E470" s="17">
        <v>1081</v>
      </c>
      <c r="F470" s="17">
        <v>1079.3</v>
      </c>
      <c r="G470" s="17">
        <v>1080.3</v>
      </c>
      <c r="H470" s="17">
        <v>1078.8</v>
      </c>
      <c r="I470" s="15" t="s">
        <v>104</v>
      </c>
      <c r="J470" s="15" t="s">
        <v>104</v>
      </c>
    </row>
    <row r="471" spans="2:10" ht="29.5" customHeight="1" thickBot="1" x14ac:dyDescent="0.4">
      <c r="B471" s="43" t="s">
        <v>243</v>
      </c>
      <c r="C471" s="16">
        <v>48411</v>
      </c>
      <c r="D471" s="12">
        <v>302.7</v>
      </c>
      <c r="E471" s="12">
        <v>300.60000000000002</v>
      </c>
      <c r="F471" s="12">
        <v>300.60000000000002</v>
      </c>
      <c r="G471" s="12">
        <v>301.10000000000002</v>
      </c>
      <c r="H471" s="12">
        <v>301</v>
      </c>
      <c r="I471" s="12" t="s">
        <v>104</v>
      </c>
      <c r="J471" s="12" t="s">
        <v>104</v>
      </c>
    </row>
    <row r="472" spans="2:10" ht="18.649999999999999" customHeight="1" thickBot="1" x14ac:dyDescent="0.4">
      <c r="B472" s="44" t="s">
        <v>244</v>
      </c>
      <c r="C472" s="14">
        <v>48412</v>
      </c>
      <c r="D472" s="15">
        <v>788.9</v>
      </c>
      <c r="E472" s="15">
        <v>781</v>
      </c>
      <c r="F472" s="15">
        <v>779.7</v>
      </c>
      <c r="G472" s="15">
        <v>780.8</v>
      </c>
      <c r="H472" s="15">
        <v>779</v>
      </c>
      <c r="I472" s="15" t="s">
        <v>104</v>
      </c>
      <c r="J472" s="15" t="s">
        <v>104</v>
      </c>
    </row>
    <row r="473" spans="2:10" ht="29.5" thickBot="1" x14ac:dyDescent="0.4">
      <c r="B473" s="47" t="s">
        <v>837</v>
      </c>
      <c r="C473" s="16">
        <v>484121</v>
      </c>
      <c r="D473" s="12">
        <v>545.5</v>
      </c>
      <c r="E473" s="12">
        <v>542.5</v>
      </c>
      <c r="F473" s="12">
        <v>542.1</v>
      </c>
      <c r="G473" s="12">
        <v>543.29999999999995</v>
      </c>
      <c r="H473" s="12">
        <v>541.5</v>
      </c>
      <c r="I473" s="12" t="s">
        <v>104</v>
      </c>
      <c r="J473" s="12" t="s">
        <v>104</v>
      </c>
    </row>
    <row r="474" spans="2:10" ht="36.65" customHeight="1" thickBot="1" x14ac:dyDescent="0.4">
      <c r="B474" s="46" t="s">
        <v>838</v>
      </c>
      <c r="C474" s="14">
        <v>484122</v>
      </c>
      <c r="D474" s="15">
        <v>241.4</v>
      </c>
      <c r="E474" s="15">
        <v>239.9</v>
      </c>
      <c r="F474" s="15">
        <v>238.8</v>
      </c>
      <c r="G474" s="15">
        <v>237.7</v>
      </c>
      <c r="H474" s="15">
        <v>237.3</v>
      </c>
      <c r="I474" s="15" t="s">
        <v>104</v>
      </c>
      <c r="J474" s="15" t="s">
        <v>104</v>
      </c>
    </row>
    <row r="475" spans="2:10" ht="44.15" customHeight="1" thickBot="1" x14ac:dyDescent="0.4">
      <c r="B475" s="50" t="s">
        <v>245</v>
      </c>
      <c r="C475" s="16">
        <v>4842</v>
      </c>
      <c r="D475" s="12">
        <v>462.8</v>
      </c>
      <c r="E475" s="12">
        <v>463.1</v>
      </c>
      <c r="F475" s="12">
        <v>466.1</v>
      </c>
      <c r="G475" s="12">
        <v>465.6</v>
      </c>
      <c r="H475" s="12">
        <v>468.1</v>
      </c>
      <c r="I475" s="12" t="s">
        <v>104</v>
      </c>
      <c r="J475" s="12" t="s">
        <v>104</v>
      </c>
    </row>
    <row r="476" spans="2:10" ht="58.5" customHeight="1" thickBot="1" x14ac:dyDescent="0.4">
      <c r="B476" s="44" t="s">
        <v>246</v>
      </c>
      <c r="C476" s="14">
        <v>48421</v>
      </c>
      <c r="D476" s="15">
        <v>99.1</v>
      </c>
      <c r="E476" s="15">
        <v>98.7</v>
      </c>
      <c r="F476" s="15">
        <v>98.2</v>
      </c>
      <c r="G476" s="15">
        <v>98.4</v>
      </c>
      <c r="H476" s="15">
        <v>99.9</v>
      </c>
      <c r="I476" s="15" t="s">
        <v>104</v>
      </c>
      <c r="J476" s="15" t="s">
        <v>104</v>
      </c>
    </row>
    <row r="477" spans="2:10" ht="18.649999999999999" customHeight="1" thickBot="1" x14ac:dyDescent="0.4">
      <c r="B477" s="43" t="s">
        <v>839</v>
      </c>
      <c r="C477" s="16">
        <v>48422</v>
      </c>
      <c r="D477" s="12">
        <v>233.9</v>
      </c>
      <c r="E477" s="12">
        <v>232.3</v>
      </c>
      <c r="F477" s="12">
        <v>233.4</v>
      </c>
      <c r="G477" s="12">
        <v>233.1</v>
      </c>
      <c r="H477" s="12">
        <v>233.8</v>
      </c>
      <c r="I477" s="12" t="s">
        <v>104</v>
      </c>
      <c r="J477" s="12" t="s">
        <v>104</v>
      </c>
    </row>
    <row r="478" spans="2:10" ht="29.5" thickBot="1" x14ac:dyDescent="0.4">
      <c r="B478" s="44" t="s">
        <v>840</v>
      </c>
      <c r="C478" s="14">
        <v>48423</v>
      </c>
      <c r="D478" s="15">
        <v>130.9</v>
      </c>
      <c r="E478" s="15">
        <v>132.30000000000001</v>
      </c>
      <c r="F478" s="15">
        <v>134.4</v>
      </c>
      <c r="G478" s="15">
        <v>134.6</v>
      </c>
      <c r="H478" s="15">
        <v>134.69999999999999</v>
      </c>
      <c r="I478" s="15" t="s">
        <v>104</v>
      </c>
      <c r="J478" s="15" t="s">
        <v>104</v>
      </c>
    </row>
    <row r="479" spans="2:10" ht="44.15" customHeight="1" thickBot="1" x14ac:dyDescent="0.4">
      <c r="B479" s="41" t="s">
        <v>55</v>
      </c>
      <c r="C479" s="16">
        <v>485</v>
      </c>
      <c r="D479" s="12">
        <v>430.3</v>
      </c>
      <c r="E479" s="12">
        <v>435.4</v>
      </c>
      <c r="F479" s="12">
        <v>440</v>
      </c>
      <c r="G479" s="12">
        <v>450.9</v>
      </c>
      <c r="H479" s="12">
        <v>452.9</v>
      </c>
      <c r="I479" s="12">
        <v>454.7</v>
      </c>
      <c r="J479" s="12">
        <v>1.8</v>
      </c>
    </row>
    <row r="480" spans="2:10" ht="44.15" customHeight="1" thickBot="1" x14ac:dyDescent="0.4">
      <c r="B480" s="48" t="s">
        <v>247</v>
      </c>
      <c r="C480" s="14">
        <v>4853</v>
      </c>
      <c r="D480" s="15">
        <v>58.4</v>
      </c>
      <c r="E480" s="15">
        <v>58.6</v>
      </c>
      <c r="F480" s="15">
        <v>58.1</v>
      </c>
      <c r="G480" s="15">
        <v>57.7</v>
      </c>
      <c r="H480" s="15">
        <v>58.1</v>
      </c>
      <c r="I480" s="15" t="s">
        <v>104</v>
      </c>
      <c r="J480" s="15" t="s">
        <v>104</v>
      </c>
    </row>
    <row r="481" spans="2:10" ht="44.15" customHeight="1" thickBot="1" x14ac:dyDescent="0.4">
      <c r="B481" s="50" t="s">
        <v>248</v>
      </c>
      <c r="C481" s="16">
        <v>4854</v>
      </c>
      <c r="D481" s="12">
        <v>186.6</v>
      </c>
      <c r="E481" s="12">
        <v>191.3</v>
      </c>
      <c r="F481" s="12">
        <v>197.1</v>
      </c>
      <c r="G481" s="12">
        <v>205.1</v>
      </c>
      <c r="H481" s="12">
        <v>209.1</v>
      </c>
      <c r="I481" s="12" t="s">
        <v>104</v>
      </c>
      <c r="J481" s="12" t="s">
        <v>104</v>
      </c>
    </row>
    <row r="482" spans="2:10" ht="44.15" customHeight="1" thickBot="1" x14ac:dyDescent="0.4">
      <c r="B482" s="48" t="s">
        <v>841</v>
      </c>
      <c r="C482" s="14" t="s">
        <v>249</v>
      </c>
      <c r="D482" s="15">
        <v>82</v>
      </c>
      <c r="E482" s="15">
        <v>81.8</v>
      </c>
      <c r="F482" s="15">
        <v>81.400000000000006</v>
      </c>
      <c r="G482" s="15">
        <v>81</v>
      </c>
      <c r="H482" s="15">
        <v>80.3</v>
      </c>
      <c r="I482" s="15" t="s">
        <v>104</v>
      </c>
      <c r="J482" s="15" t="s">
        <v>104</v>
      </c>
    </row>
    <row r="483" spans="2:10" ht="44.15" customHeight="1" thickBot="1" x14ac:dyDescent="0.4">
      <c r="B483" s="50" t="s">
        <v>842</v>
      </c>
      <c r="C483" s="16">
        <v>4859</v>
      </c>
      <c r="D483" s="12">
        <v>103.8</v>
      </c>
      <c r="E483" s="12">
        <v>104.3</v>
      </c>
      <c r="F483" s="12">
        <v>105</v>
      </c>
      <c r="G483" s="12">
        <v>105.9</v>
      </c>
      <c r="H483" s="12">
        <v>106.9</v>
      </c>
      <c r="I483" s="12" t="s">
        <v>104</v>
      </c>
      <c r="J483" s="12" t="s">
        <v>104</v>
      </c>
    </row>
    <row r="484" spans="2:10" ht="44.15" customHeight="1" thickBot="1" x14ac:dyDescent="0.4">
      <c r="B484" s="40" t="s">
        <v>56</v>
      </c>
      <c r="C484" s="14">
        <v>486</v>
      </c>
      <c r="D484" s="15">
        <v>52.1</v>
      </c>
      <c r="E484" s="15">
        <v>54.9</v>
      </c>
      <c r="F484" s="15">
        <v>54.3</v>
      </c>
      <c r="G484" s="15">
        <v>54.5</v>
      </c>
      <c r="H484" s="15">
        <v>54.4</v>
      </c>
      <c r="I484" s="15">
        <v>54.6</v>
      </c>
      <c r="J484" s="15">
        <v>0.2</v>
      </c>
    </row>
    <row r="485" spans="2:10" ht="44" customHeight="1" thickBot="1" x14ac:dyDescent="0.4">
      <c r="B485" s="41" t="s">
        <v>250</v>
      </c>
      <c r="C485" s="16">
        <v>487</v>
      </c>
      <c r="D485" s="12">
        <v>31</v>
      </c>
      <c r="E485" s="12">
        <v>35.5</v>
      </c>
      <c r="F485" s="12">
        <v>35.4</v>
      </c>
      <c r="G485" s="12">
        <v>33.6</v>
      </c>
      <c r="H485" s="12">
        <v>33.6</v>
      </c>
      <c r="I485" s="12">
        <v>32.700000000000003</v>
      </c>
      <c r="J485" s="12">
        <v>-0.9</v>
      </c>
    </row>
    <row r="486" spans="2:10" ht="58.5" customHeight="1" thickBot="1" x14ac:dyDescent="0.4">
      <c r="B486" s="40" t="s">
        <v>251</v>
      </c>
      <c r="C486" s="14">
        <v>488</v>
      </c>
      <c r="D486" s="15">
        <v>826.9</v>
      </c>
      <c r="E486" s="15">
        <v>854.4</v>
      </c>
      <c r="F486" s="15">
        <v>855.9</v>
      </c>
      <c r="G486" s="15">
        <v>856.5</v>
      </c>
      <c r="H486" s="15">
        <v>859.3</v>
      </c>
      <c r="I486" s="15">
        <v>862.3</v>
      </c>
      <c r="J486" s="15">
        <v>3</v>
      </c>
    </row>
    <row r="487" spans="2:10" ht="15" thickBot="1" x14ac:dyDescent="0.4">
      <c r="B487" s="50" t="s">
        <v>252</v>
      </c>
      <c r="C487" s="16">
        <v>4881</v>
      </c>
      <c r="D487" s="12">
        <v>258.2</v>
      </c>
      <c r="E487" s="12">
        <v>278.39999999999998</v>
      </c>
      <c r="F487" s="12">
        <v>278.2</v>
      </c>
      <c r="G487" s="12">
        <v>278.5</v>
      </c>
      <c r="H487" s="12">
        <v>279.39999999999998</v>
      </c>
      <c r="I487" s="12" t="s">
        <v>104</v>
      </c>
      <c r="J487" s="12" t="s">
        <v>104</v>
      </c>
    </row>
    <row r="488" spans="2:10" ht="58.5" customHeight="1" thickBot="1" x14ac:dyDescent="0.4">
      <c r="B488" s="48" t="s">
        <v>253</v>
      </c>
      <c r="C488" s="14">
        <v>4883</v>
      </c>
      <c r="D488" s="15">
        <v>95.1</v>
      </c>
      <c r="E488" s="15">
        <v>97.4</v>
      </c>
      <c r="F488" s="15">
        <v>98</v>
      </c>
      <c r="G488" s="15">
        <v>98.4</v>
      </c>
      <c r="H488" s="15">
        <v>99.7</v>
      </c>
      <c r="I488" s="15" t="s">
        <v>104</v>
      </c>
      <c r="J488" s="15" t="s">
        <v>104</v>
      </c>
    </row>
    <row r="489" spans="2:10" ht="29.5" customHeight="1" thickBot="1" x14ac:dyDescent="0.4">
      <c r="B489" s="43" t="s">
        <v>254</v>
      </c>
      <c r="C489" s="16">
        <v>48832</v>
      </c>
      <c r="D489" s="12">
        <v>62.7</v>
      </c>
      <c r="E489" s="12">
        <v>63.8</v>
      </c>
      <c r="F489" s="12">
        <v>64.400000000000006</v>
      </c>
      <c r="G489" s="12">
        <v>64.5</v>
      </c>
      <c r="H489" s="12">
        <v>65.2</v>
      </c>
      <c r="I489" s="12" t="s">
        <v>104</v>
      </c>
      <c r="J489" s="12" t="s">
        <v>104</v>
      </c>
    </row>
    <row r="490" spans="2:10" ht="29.5" customHeight="1" thickBot="1" x14ac:dyDescent="0.4">
      <c r="B490" s="48" t="s">
        <v>255</v>
      </c>
      <c r="C490" s="14">
        <v>4884</v>
      </c>
      <c r="D490" s="15">
        <v>118.1</v>
      </c>
      <c r="E490" s="15">
        <v>118.5</v>
      </c>
      <c r="F490" s="15">
        <v>117.9</v>
      </c>
      <c r="G490" s="15">
        <v>118.9</v>
      </c>
      <c r="H490" s="15">
        <v>119.1</v>
      </c>
      <c r="I490" s="15" t="s">
        <v>104</v>
      </c>
      <c r="J490" s="15" t="s">
        <v>104</v>
      </c>
    </row>
    <row r="491" spans="2:10" ht="15" thickBot="1" x14ac:dyDescent="0.4">
      <c r="B491" s="50" t="s">
        <v>256</v>
      </c>
      <c r="C491" s="16">
        <v>4885</v>
      </c>
      <c r="D491" s="12">
        <v>267.60000000000002</v>
      </c>
      <c r="E491" s="12">
        <v>271.60000000000002</v>
      </c>
      <c r="F491" s="12">
        <v>270.39999999999998</v>
      </c>
      <c r="G491" s="12">
        <v>269.8</v>
      </c>
      <c r="H491" s="12">
        <v>269.10000000000002</v>
      </c>
      <c r="I491" s="12" t="s">
        <v>104</v>
      </c>
      <c r="J491" s="12" t="s">
        <v>104</v>
      </c>
    </row>
    <row r="492" spans="2:10" ht="58.5" customHeight="1" thickBot="1" x14ac:dyDescent="0.4">
      <c r="B492" s="48" t="s">
        <v>843</v>
      </c>
      <c r="C492" s="14" t="s">
        <v>257</v>
      </c>
      <c r="D492" s="15">
        <v>86.2</v>
      </c>
      <c r="E492" s="15">
        <v>88.9</v>
      </c>
      <c r="F492" s="15">
        <v>91.6</v>
      </c>
      <c r="G492" s="15">
        <v>90.1</v>
      </c>
      <c r="H492" s="15">
        <v>90.3</v>
      </c>
      <c r="I492" s="15" t="s">
        <v>104</v>
      </c>
      <c r="J492" s="15" t="s">
        <v>104</v>
      </c>
    </row>
    <row r="493" spans="2:10" ht="15" thickBot="1" x14ac:dyDescent="0.4">
      <c r="B493" s="41" t="s">
        <v>57</v>
      </c>
      <c r="C493" s="16">
        <v>492</v>
      </c>
      <c r="D493" s="18">
        <v>1086.4000000000001</v>
      </c>
      <c r="E493" s="18">
        <v>1099.9000000000001</v>
      </c>
      <c r="F493" s="18">
        <v>1104.2</v>
      </c>
      <c r="G493" s="18">
        <v>1108.0999999999999</v>
      </c>
      <c r="H493" s="18">
        <v>1105.8</v>
      </c>
      <c r="I493" s="18">
        <v>1103.5999999999999</v>
      </c>
      <c r="J493" s="12">
        <v>-2.2000000000000002</v>
      </c>
    </row>
    <row r="494" spans="2:10" ht="29.5" customHeight="1" thickBot="1" x14ac:dyDescent="0.4">
      <c r="B494" s="48" t="s">
        <v>258</v>
      </c>
      <c r="C494" s="14">
        <v>4921</v>
      </c>
      <c r="D494" s="15">
        <v>896.1</v>
      </c>
      <c r="E494" s="15">
        <v>905.8</v>
      </c>
      <c r="F494" s="15">
        <v>910.1</v>
      </c>
      <c r="G494" s="15">
        <v>914</v>
      </c>
      <c r="H494" s="15">
        <v>913.3</v>
      </c>
      <c r="I494" s="15" t="s">
        <v>104</v>
      </c>
      <c r="J494" s="15" t="s">
        <v>104</v>
      </c>
    </row>
    <row r="495" spans="2:10" ht="29.5" thickBot="1" x14ac:dyDescent="0.4">
      <c r="B495" s="43" t="s">
        <v>259</v>
      </c>
      <c r="C495" s="19">
        <v>49111221</v>
      </c>
      <c r="D495" s="12">
        <v>195</v>
      </c>
      <c r="E495" s="12">
        <v>195</v>
      </c>
      <c r="F495" s="12">
        <v>197.2</v>
      </c>
      <c r="G495" s="12">
        <v>199.5</v>
      </c>
      <c r="H495" s="12">
        <v>198</v>
      </c>
      <c r="I495" s="12" t="s">
        <v>104</v>
      </c>
      <c r="J495" s="12" t="s">
        <v>104</v>
      </c>
    </row>
    <row r="496" spans="2:10" ht="29.5" customHeight="1" thickBot="1" x14ac:dyDescent="0.4">
      <c r="B496" s="40" t="s">
        <v>58</v>
      </c>
      <c r="C496" s="14">
        <v>493</v>
      </c>
      <c r="D496" s="17">
        <v>1772.3</v>
      </c>
      <c r="E496" s="17">
        <v>1782.8</v>
      </c>
      <c r="F496" s="17">
        <v>1781.9</v>
      </c>
      <c r="G496" s="17">
        <v>1778</v>
      </c>
      <c r="H496" s="17">
        <v>1773.6</v>
      </c>
      <c r="I496" s="17">
        <v>1772.2</v>
      </c>
      <c r="J496" s="15">
        <v>-1.4</v>
      </c>
    </row>
    <row r="497" spans="1:10" ht="29.5" customHeight="1" thickBot="1" x14ac:dyDescent="0.4">
      <c r="B497" s="50" t="s">
        <v>260</v>
      </c>
      <c r="C497" s="16">
        <v>49311</v>
      </c>
      <c r="D497" s="18">
        <v>1634.8</v>
      </c>
      <c r="E497" s="18">
        <v>1648.2</v>
      </c>
      <c r="F497" s="18">
        <v>1645.9</v>
      </c>
      <c r="G497" s="18">
        <v>1644</v>
      </c>
      <c r="H497" s="18">
        <v>1639.2</v>
      </c>
      <c r="I497" s="12" t="s">
        <v>104</v>
      </c>
      <c r="J497" s="12" t="s">
        <v>104</v>
      </c>
    </row>
    <row r="498" spans="1:10" ht="15" thickBot="1" x14ac:dyDescent="0.4">
      <c r="B498" s="48" t="s">
        <v>261</v>
      </c>
      <c r="C498" s="14">
        <v>49312</v>
      </c>
      <c r="D498" s="15">
        <v>74.3</v>
      </c>
      <c r="E498" s="15">
        <v>72.5</v>
      </c>
      <c r="F498" s="15">
        <v>72.599999999999994</v>
      </c>
      <c r="G498" s="15">
        <v>71.7</v>
      </c>
      <c r="H498" s="15">
        <v>71.599999999999994</v>
      </c>
      <c r="I498" s="15" t="s">
        <v>104</v>
      </c>
      <c r="J498" s="15" t="s">
        <v>104</v>
      </c>
    </row>
    <row r="499" spans="1:10" ht="29.5" thickBot="1" x14ac:dyDescent="0.4">
      <c r="B499" s="50" t="s">
        <v>844</v>
      </c>
      <c r="C499" s="16" t="s">
        <v>262</v>
      </c>
      <c r="D499" s="12">
        <v>62</v>
      </c>
      <c r="E499" s="12">
        <v>62</v>
      </c>
      <c r="F499" s="12">
        <v>61.8</v>
      </c>
      <c r="G499" s="12">
        <v>61.8</v>
      </c>
      <c r="H499" s="12">
        <v>62</v>
      </c>
      <c r="I499" s="12" t="s">
        <v>104</v>
      </c>
      <c r="J499" s="12" t="s">
        <v>104</v>
      </c>
    </row>
    <row r="500" spans="1:10" ht="15" thickBot="1" x14ac:dyDescent="0.4">
      <c r="B500" s="73"/>
      <c r="C500" s="74"/>
      <c r="D500" s="74"/>
      <c r="E500" s="74"/>
      <c r="F500" s="74"/>
      <c r="G500" s="74"/>
      <c r="H500" s="74"/>
      <c r="I500" s="74"/>
      <c r="J500" s="75"/>
    </row>
    <row r="501" spans="1:10" ht="29.5" customHeight="1" thickBot="1" x14ac:dyDescent="0.4">
      <c r="B501" s="39" t="s">
        <v>263</v>
      </c>
      <c r="C501" s="16">
        <v>22</v>
      </c>
      <c r="D501" s="12">
        <v>581.4</v>
      </c>
      <c r="E501" s="12">
        <v>590.5</v>
      </c>
      <c r="F501" s="12">
        <v>590.4</v>
      </c>
      <c r="G501" s="12">
        <v>593</v>
      </c>
      <c r="H501" s="12">
        <v>592</v>
      </c>
      <c r="I501" s="12">
        <v>591.9</v>
      </c>
      <c r="J501" s="12">
        <v>-0.1</v>
      </c>
    </row>
    <row r="502" spans="1:10" ht="29.5" customHeight="1" thickBot="1" x14ac:dyDescent="0.4">
      <c r="A502" t="s">
        <v>89</v>
      </c>
      <c r="B502" s="49" t="s">
        <v>845</v>
      </c>
      <c r="C502" s="14">
        <v>2211</v>
      </c>
      <c r="D502" s="15">
        <v>406.5</v>
      </c>
      <c r="E502" s="15">
        <v>413.3</v>
      </c>
      <c r="F502" s="15">
        <v>413.2</v>
      </c>
      <c r="G502" s="15">
        <v>414.1</v>
      </c>
      <c r="H502" s="15">
        <v>415.2</v>
      </c>
      <c r="I502" s="15" t="s">
        <v>104</v>
      </c>
      <c r="J502" s="15" t="s">
        <v>104</v>
      </c>
    </row>
    <row r="503" spans="1:10" ht="44.15" customHeight="1" thickBot="1" x14ac:dyDescent="0.4">
      <c r="B503" s="50" t="s">
        <v>264</v>
      </c>
      <c r="C503" s="16">
        <v>22111</v>
      </c>
      <c r="D503" s="12">
        <v>154</v>
      </c>
      <c r="E503" s="12">
        <v>158.9</v>
      </c>
      <c r="F503" s="12">
        <v>158.4</v>
      </c>
      <c r="G503" s="12">
        <v>159.1</v>
      </c>
      <c r="H503" s="12">
        <v>159.30000000000001</v>
      </c>
      <c r="I503" s="12" t="s">
        <v>104</v>
      </c>
      <c r="J503" s="12" t="s">
        <v>104</v>
      </c>
    </row>
    <row r="504" spans="1:10" ht="58.5" customHeight="1" thickBot="1" x14ac:dyDescent="0.4">
      <c r="B504" s="44" t="s">
        <v>265</v>
      </c>
      <c r="C504" s="14">
        <v>221112</v>
      </c>
      <c r="D504" s="15">
        <v>77.7</v>
      </c>
      <c r="E504" s="15">
        <v>79</v>
      </c>
      <c r="F504" s="15">
        <v>78.400000000000006</v>
      </c>
      <c r="G504" s="15">
        <v>78.400000000000006</v>
      </c>
      <c r="H504" s="15">
        <v>78.400000000000006</v>
      </c>
      <c r="I504" s="15" t="s">
        <v>104</v>
      </c>
      <c r="J504" s="15" t="s">
        <v>104</v>
      </c>
    </row>
    <row r="505" spans="1:10" ht="58.5" customHeight="1" thickBot="1" x14ac:dyDescent="0.4">
      <c r="B505" s="43" t="s">
        <v>846</v>
      </c>
      <c r="C505" s="16" t="s">
        <v>266</v>
      </c>
      <c r="D505" s="12">
        <v>76.400000000000006</v>
      </c>
      <c r="E505" s="12">
        <v>79.900000000000006</v>
      </c>
      <c r="F505" s="12">
        <v>80.099999999999994</v>
      </c>
      <c r="G505" s="12">
        <v>80.7</v>
      </c>
      <c r="H505" s="12">
        <v>81.099999999999994</v>
      </c>
      <c r="I505" s="12" t="s">
        <v>104</v>
      </c>
      <c r="J505" s="12" t="s">
        <v>104</v>
      </c>
    </row>
    <row r="506" spans="1:10" ht="29.5" customHeight="1" thickBot="1" x14ac:dyDescent="0.4">
      <c r="B506" s="48" t="s">
        <v>847</v>
      </c>
      <c r="C506" s="14">
        <v>22112</v>
      </c>
      <c r="D506" s="15">
        <v>252.6</v>
      </c>
      <c r="E506" s="15">
        <v>254</v>
      </c>
      <c r="F506" s="15">
        <v>253.5</v>
      </c>
      <c r="G506" s="15">
        <v>254.2</v>
      </c>
      <c r="H506" s="15">
        <v>254.1</v>
      </c>
      <c r="I506" s="15" t="s">
        <v>104</v>
      </c>
      <c r="J506" s="15" t="s">
        <v>104</v>
      </c>
    </row>
    <row r="507" spans="1:10" ht="58.5" customHeight="1" thickBot="1" x14ac:dyDescent="0.4">
      <c r="B507" s="43" t="s">
        <v>267</v>
      </c>
      <c r="C507" s="16">
        <v>221121</v>
      </c>
      <c r="D507" s="12">
        <v>27.2</v>
      </c>
      <c r="E507" s="12">
        <v>27.6</v>
      </c>
      <c r="F507" s="12">
        <v>27.6</v>
      </c>
      <c r="G507" s="12">
        <v>27.7</v>
      </c>
      <c r="H507" s="12">
        <v>27.7</v>
      </c>
      <c r="I507" s="12" t="s">
        <v>104</v>
      </c>
      <c r="J507" s="12" t="s">
        <v>104</v>
      </c>
    </row>
    <row r="508" spans="1:10" ht="44.15" customHeight="1" thickBot="1" x14ac:dyDescent="0.4">
      <c r="B508" s="44" t="s">
        <v>268</v>
      </c>
      <c r="C508" s="14">
        <v>221122</v>
      </c>
      <c r="D508" s="15">
        <v>225.5</v>
      </c>
      <c r="E508" s="15">
        <v>226.4</v>
      </c>
      <c r="F508" s="15">
        <v>225.8</v>
      </c>
      <c r="G508" s="15">
        <v>226.5</v>
      </c>
      <c r="H508" s="15">
        <v>226.5</v>
      </c>
      <c r="I508" s="15" t="s">
        <v>104</v>
      </c>
      <c r="J508" s="15" t="s">
        <v>104</v>
      </c>
    </row>
    <row r="509" spans="1:10" ht="58.5" customHeight="1" thickBot="1" x14ac:dyDescent="0.4">
      <c r="A509" t="s">
        <v>90</v>
      </c>
      <c r="B509" s="51" t="s">
        <v>269</v>
      </c>
      <c r="C509" s="16">
        <v>2212</v>
      </c>
      <c r="D509" s="12">
        <v>114.6</v>
      </c>
      <c r="E509" s="12">
        <v>114.4</v>
      </c>
      <c r="F509" s="12">
        <v>114.7</v>
      </c>
      <c r="G509" s="12">
        <v>115.1</v>
      </c>
      <c r="H509" s="12">
        <v>115.3</v>
      </c>
      <c r="I509" s="12" t="s">
        <v>104</v>
      </c>
      <c r="J509" s="12" t="s">
        <v>104</v>
      </c>
    </row>
    <row r="510" spans="1:10" ht="18.649999999999999" customHeight="1" thickBot="1" x14ac:dyDescent="0.4">
      <c r="A510" t="s">
        <v>91</v>
      </c>
      <c r="B510" s="49" t="s">
        <v>848</v>
      </c>
      <c r="C510" s="14">
        <v>2213</v>
      </c>
      <c r="D510" s="15">
        <v>59.9</v>
      </c>
      <c r="E510" s="15">
        <v>63.1</v>
      </c>
      <c r="F510" s="15">
        <v>63.6</v>
      </c>
      <c r="G510" s="15">
        <v>64.2</v>
      </c>
      <c r="H510" s="15">
        <v>63.1</v>
      </c>
      <c r="I510" s="15" t="s">
        <v>104</v>
      </c>
      <c r="J510" s="15" t="s">
        <v>104</v>
      </c>
    </row>
    <row r="511" spans="1:10" ht="44.15" customHeight="1" thickBot="1" x14ac:dyDescent="0.4">
      <c r="B511" s="73"/>
      <c r="C511" s="74"/>
      <c r="D511" s="74"/>
      <c r="E511" s="74"/>
      <c r="F511" s="74"/>
      <c r="G511" s="74"/>
      <c r="H511" s="74"/>
      <c r="I511" s="74"/>
      <c r="J511" s="75"/>
    </row>
    <row r="512" spans="1:10" ht="15" thickBot="1" x14ac:dyDescent="0.4">
      <c r="B512" s="37" t="s">
        <v>270</v>
      </c>
      <c r="C512" s="16">
        <v>51</v>
      </c>
      <c r="D512" s="13">
        <v>2999</v>
      </c>
      <c r="E512" s="13">
        <v>2999</v>
      </c>
      <c r="F512" s="13">
        <v>2991</v>
      </c>
      <c r="G512" s="13">
        <v>2992</v>
      </c>
      <c r="H512" s="13">
        <v>2986</v>
      </c>
      <c r="I512" s="13">
        <v>2986</v>
      </c>
      <c r="J512" s="12">
        <v>0</v>
      </c>
    </row>
    <row r="513" spans="1:10" ht="29.5" customHeight="1" thickBot="1" x14ac:dyDescent="0.4">
      <c r="A513" t="s">
        <v>22</v>
      </c>
      <c r="B513" s="38" t="s">
        <v>276</v>
      </c>
      <c r="C513" s="14">
        <v>512</v>
      </c>
      <c r="D513" s="15">
        <v>420.4</v>
      </c>
      <c r="E513" s="15">
        <v>447.3</v>
      </c>
      <c r="F513" s="15">
        <v>447.5</v>
      </c>
      <c r="G513" s="15">
        <v>445</v>
      </c>
      <c r="H513" s="15">
        <v>443</v>
      </c>
      <c r="I513" s="15">
        <v>444.9</v>
      </c>
      <c r="J513" s="15">
        <v>1.9</v>
      </c>
    </row>
    <row r="514" spans="1:10" ht="44.15" customHeight="1" thickBot="1" x14ac:dyDescent="0.4">
      <c r="B514" s="51" t="s">
        <v>277</v>
      </c>
      <c r="C514" s="16">
        <v>51211</v>
      </c>
      <c r="D514" s="12">
        <v>245.8</v>
      </c>
      <c r="E514" s="12">
        <v>276.10000000000002</v>
      </c>
      <c r="F514" s="12">
        <v>270.89999999999998</v>
      </c>
      <c r="G514" s="12">
        <v>267.8</v>
      </c>
      <c r="H514" s="12">
        <v>266.5</v>
      </c>
      <c r="I514" s="12" t="s">
        <v>104</v>
      </c>
      <c r="J514" s="12" t="s">
        <v>104</v>
      </c>
    </row>
    <row r="515" spans="1:10" ht="58.5" customHeight="1" thickBot="1" x14ac:dyDescent="0.4">
      <c r="B515" s="49" t="s">
        <v>278</v>
      </c>
      <c r="C515" s="14">
        <v>51213</v>
      </c>
      <c r="D515" s="15">
        <v>122.8</v>
      </c>
      <c r="E515" s="15">
        <v>116.8</v>
      </c>
      <c r="F515" s="15">
        <v>119.6</v>
      </c>
      <c r="G515" s="15">
        <v>119.6</v>
      </c>
      <c r="H515" s="15">
        <v>119.3</v>
      </c>
      <c r="I515" s="15" t="s">
        <v>104</v>
      </c>
      <c r="J515" s="15" t="s">
        <v>104</v>
      </c>
    </row>
    <row r="516" spans="1:10" ht="44.15" customHeight="1" thickBot="1" x14ac:dyDescent="0.4">
      <c r="A516" t="s">
        <v>22</v>
      </c>
      <c r="B516" s="39" t="s">
        <v>849</v>
      </c>
      <c r="C516" s="16">
        <v>513</v>
      </c>
      <c r="D516" s="12">
        <v>933</v>
      </c>
      <c r="E516" s="12">
        <v>921.3</v>
      </c>
      <c r="F516" s="12">
        <v>918.4</v>
      </c>
      <c r="G516" s="12">
        <v>921.2</v>
      </c>
      <c r="H516" s="12">
        <v>924.6</v>
      </c>
      <c r="I516" s="12">
        <v>921.6</v>
      </c>
      <c r="J516" s="12">
        <v>-3</v>
      </c>
    </row>
    <row r="517" spans="1:10" ht="15" customHeight="1" thickBot="1" x14ac:dyDescent="0.4">
      <c r="B517" s="49" t="s">
        <v>850</v>
      </c>
      <c r="C517" s="14">
        <v>5131</v>
      </c>
      <c r="D517" s="15">
        <v>284.2</v>
      </c>
      <c r="E517" s="15">
        <v>271.2</v>
      </c>
      <c r="F517" s="15">
        <v>270.8</v>
      </c>
      <c r="G517" s="15">
        <v>269</v>
      </c>
      <c r="H517" s="15">
        <v>267.7</v>
      </c>
      <c r="I517" s="15" t="s">
        <v>104</v>
      </c>
      <c r="J517" s="15" t="s">
        <v>104</v>
      </c>
    </row>
    <row r="518" spans="1:10" ht="18.649999999999999" customHeight="1" thickBot="1" x14ac:dyDescent="0.4">
      <c r="B518" s="50" t="s">
        <v>271</v>
      </c>
      <c r="C518" s="16">
        <v>51311</v>
      </c>
      <c r="D518" s="12">
        <v>91.2</v>
      </c>
      <c r="E518" s="12">
        <v>86.4</v>
      </c>
      <c r="F518" s="12">
        <v>85.5</v>
      </c>
      <c r="G518" s="12">
        <v>84.1</v>
      </c>
      <c r="H518" s="12">
        <v>83.9</v>
      </c>
      <c r="I518" s="12" t="s">
        <v>104</v>
      </c>
      <c r="J518" s="12" t="s">
        <v>104</v>
      </c>
    </row>
    <row r="519" spans="1:10" ht="18.649999999999999" customHeight="1" thickBot="1" x14ac:dyDescent="0.4">
      <c r="B519" s="48" t="s">
        <v>272</v>
      </c>
      <c r="C519" s="14">
        <v>51312</v>
      </c>
      <c r="D519" s="15">
        <v>69</v>
      </c>
      <c r="E519" s="15">
        <v>65.8</v>
      </c>
      <c r="F519" s="15">
        <v>65.400000000000006</v>
      </c>
      <c r="G519" s="15">
        <v>64.900000000000006</v>
      </c>
      <c r="H519" s="15">
        <v>64.599999999999994</v>
      </c>
      <c r="I519" s="15" t="s">
        <v>104</v>
      </c>
      <c r="J519" s="15" t="s">
        <v>104</v>
      </c>
    </row>
    <row r="520" spans="1:10" ht="44.15" customHeight="1" thickBot="1" x14ac:dyDescent="0.4">
      <c r="B520" s="50" t="s">
        <v>273</v>
      </c>
      <c r="C520" s="16">
        <v>51313</v>
      </c>
      <c r="D520" s="12">
        <v>55.1</v>
      </c>
      <c r="E520" s="12">
        <v>56.9</v>
      </c>
      <c r="F520" s="12">
        <v>56.7</v>
      </c>
      <c r="G520" s="12">
        <v>56.6</v>
      </c>
      <c r="H520" s="12">
        <v>56.4</v>
      </c>
      <c r="I520" s="12" t="s">
        <v>104</v>
      </c>
      <c r="J520" s="12" t="s">
        <v>104</v>
      </c>
    </row>
    <row r="521" spans="1:10" ht="29.5" customHeight="1" thickBot="1" x14ac:dyDescent="0.4">
      <c r="B521" s="48" t="s">
        <v>274</v>
      </c>
      <c r="C521" s="14" t="s">
        <v>851</v>
      </c>
      <c r="D521" s="15">
        <v>68.5</v>
      </c>
      <c r="E521" s="15">
        <v>62.9</v>
      </c>
      <c r="F521" s="15">
        <v>62.9</v>
      </c>
      <c r="G521" s="15">
        <v>62.6</v>
      </c>
      <c r="H521" s="15">
        <v>62.2</v>
      </c>
      <c r="I521" s="15" t="s">
        <v>104</v>
      </c>
      <c r="J521" s="15" t="s">
        <v>104</v>
      </c>
    </row>
    <row r="522" spans="1:10" ht="44.15" customHeight="1" thickBot="1" x14ac:dyDescent="0.4">
      <c r="B522" s="51" t="s">
        <v>275</v>
      </c>
      <c r="C522" s="16">
        <v>5132</v>
      </c>
      <c r="D522" s="12">
        <v>649.79999999999995</v>
      </c>
      <c r="E522" s="12">
        <v>653.79999999999995</v>
      </c>
      <c r="F522" s="12">
        <v>652.20000000000005</v>
      </c>
      <c r="G522" s="12">
        <v>655.6</v>
      </c>
      <c r="H522" s="12">
        <v>658.2</v>
      </c>
      <c r="I522" s="12" t="s">
        <v>104</v>
      </c>
      <c r="J522" s="12" t="s">
        <v>104</v>
      </c>
    </row>
    <row r="523" spans="1:10" ht="29.5" customHeight="1" thickBot="1" x14ac:dyDescent="0.4">
      <c r="A523" t="s">
        <v>22</v>
      </c>
      <c r="B523" s="38" t="s">
        <v>852</v>
      </c>
      <c r="C523" s="14">
        <v>516</v>
      </c>
      <c r="D523" s="15">
        <v>342.3</v>
      </c>
      <c r="E523" s="15">
        <v>338.6</v>
      </c>
      <c r="F523" s="15">
        <v>336.6</v>
      </c>
      <c r="G523" s="15">
        <v>337</v>
      </c>
      <c r="H523" s="15">
        <v>335.6</v>
      </c>
      <c r="I523" s="15">
        <v>334.1</v>
      </c>
      <c r="J523" s="15">
        <v>-1.5</v>
      </c>
    </row>
    <row r="524" spans="1:10" ht="87.65" customHeight="1" thickBot="1" x14ac:dyDescent="0.4">
      <c r="B524" s="51" t="s">
        <v>853</v>
      </c>
      <c r="C524" s="16">
        <v>5161</v>
      </c>
      <c r="D524" s="12">
        <v>119.4</v>
      </c>
      <c r="E524" s="12">
        <v>119.9</v>
      </c>
      <c r="F524" s="12">
        <v>119</v>
      </c>
      <c r="G524" s="12">
        <v>118.8</v>
      </c>
      <c r="H524" s="12">
        <v>117.7</v>
      </c>
      <c r="I524" s="12" t="s">
        <v>104</v>
      </c>
      <c r="J524" s="12" t="s">
        <v>104</v>
      </c>
    </row>
    <row r="525" spans="1:10" ht="44.15" customHeight="1" thickBot="1" x14ac:dyDescent="0.4">
      <c r="B525" s="48" t="s">
        <v>854</v>
      </c>
      <c r="C525" s="14">
        <v>51611</v>
      </c>
      <c r="D525" s="15">
        <v>52.3</v>
      </c>
      <c r="E525" s="15">
        <v>52.1</v>
      </c>
      <c r="F525" s="15">
        <v>51.4</v>
      </c>
      <c r="G525" s="15">
        <v>52.3</v>
      </c>
      <c r="H525" s="15">
        <v>51.1</v>
      </c>
      <c r="I525" s="15" t="s">
        <v>104</v>
      </c>
      <c r="J525" s="15" t="s">
        <v>104</v>
      </c>
    </row>
    <row r="526" spans="1:10" ht="44.15" customHeight="1" thickBot="1" x14ac:dyDescent="0.4">
      <c r="B526" s="50" t="s">
        <v>855</v>
      </c>
      <c r="C526" s="16">
        <v>51612</v>
      </c>
      <c r="D526" s="12">
        <v>67.3</v>
      </c>
      <c r="E526" s="12">
        <v>67.8</v>
      </c>
      <c r="F526" s="12">
        <v>67.3</v>
      </c>
      <c r="G526" s="12">
        <v>67.099999999999994</v>
      </c>
      <c r="H526" s="12">
        <v>66.599999999999994</v>
      </c>
      <c r="I526" s="12" t="s">
        <v>104</v>
      </c>
      <c r="J526" s="12" t="s">
        <v>104</v>
      </c>
    </row>
    <row r="527" spans="1:10" ht="58.5" customHeight="1" thickBot="1" x14ac:dyDescent="0.4">
      <c r="B527" s="49" t="s">
        <v>856</v>
      </c>
      <c r="C527" s="14">
        <v>5162</v>
      </c>
      <c r="D527" s="15">
        <v>222.8</v>
      </c>
      <c r="E527" s="15">
        <v>218.7</v>
      </c>
      <c r="F527" s="15">
        <v>217.5</v>
      </c>
      <c r="G527" s="15">
        <v>218</v>
      </c>
      <c r="H527" s="15">
        <v>218</v>
      </c>
      <c r="I527" s="15" t="s">
        <v>104</v>
      </c>
      <c r="J527" s="15" t="s">
        <v>104</v>
      </c>
    </row>
    <row r="528" spans="1:10" ht="15" thickBot="1" x14ac:dyDescent="0.4">
      <c r="A528" t="s">
        <v>23</v>
      </c>
      <c r="B528" s="39" t="s">
        <v>279</v>
      </c>
      <c r="C528" s="16">
        <v>517</v>
      </c>
      <c r="D528" s="12">
        <v>635</v>
      </c>
      <c r="E528" s="12">
        <v>621.9</v>
      </c>
      <c r="F528" s="12">
        <v>619.70000000000005</v>
      </c>
      <c r="G528" s="12">
        <v>619.6</v>
      </c>
      <c r="H528" s="12">
        <v>613.29999999999995</v>
      </c>
      <c r="I528" s="12">
        <v>614.5</v>
      </c>
      <c r="J528" s="12">
        <v>1.2</v>
      </c>
    </row>
    <row r="529" spans="1:10" ht="44.15" customHeight="1" thickBot="1" x14ac:dyDescent="0.4">
      <c r="B529" s="49" t="s">
        <v>857</v>
      </c>
      <c r="C529" s="14">
        <v>5171</v>
      </c>
      <c r="D529" s="15">
        <v>580</v>
      </c>
      <c r="E529" s="15">
        <v>567.1</v>
      </c>
      <c r="F529" s="15">
        <v>565</v>
      </c>
      <c r="G529" s="15">
        <v>564.6</v>
      </c>
      <c r="H529" s="15">
        <v>558.20000000000005</v>
      </c>
      <c r="I529" s="15" t="s">
        <v>104</v>
      </c>
      <c r="J529" s="15" t="s">
        <v>104</v>
      </c>
    </row>
    <row r="530" spans="1:10" ht="73" customHeight="1" thickBot="1" x14ac:dyDescent="0.4">
      <c r="B530" s="50" t="s">
        <v>858</v>
      </c>
      <c r="C530" s="16">
        <v>51711</v>
      </c>
      <c r="D530" s="12">
        <v>541.5</v>
      </c>
      <c r="E530" s="12">
        <v>530</v>
      </c>
      <c r="F530" s="12">
        <v>527.20000000000005</v>
      </c>
      <c r="G530" s="12">
        <v>527.29999999999995</v>
      </c>
      <c r="H530" s="12">
        <v>520.4</v>
      </c>
      <c r="I530" s="12" t="s">
        <v>104</v>
      </c>
      <c r="J530" s="12" t="s">
        <v>104</v>
      </c>
    </row>
    <row r="531" spans="1:10" ht="15" thickBot="1" x14ac:dyDescent="0.4">
      <c r="B531" s="44" t="s">
        <v>280</v>
      </c>
      <c r="C531" s="14">
        <v>517111</v>
      </c>
      <c r="D531" s="15">
        <v>457.9</v>
      </c>
      <c r="E531" s="15">
        <v>448</v>
      </c>
      <c r="F531" s="15">
        <v>445.1</v>
      </c>
      <c r="G531" s="15">
        <v>444.6</v>
      </c>
      <c r="H531" s="15">
        <v>438.4</v>
      </c>
      <c r="I531" s="15" t="s">
        <v>104</v>
      </c>
      <c r="J531" s="15" t="s">
        <v>104</v>
      </c>
    </row>
    <row r="532" spans="1:10" ht="44.15" customHeight="1" thickBot="1" x14ac:dyDescent="0.4">
      <c r="B532" s="43" t="s">
        <v>859</v>
      </c>
      <c r="C532" s="16">
        <v>517112</v>
      </c>
      <c r="D532" s="12">
        <v>83.5</v>
      </c>
      <c r="E532" s="12">
        <v>82.1</v>
      </c>
      <c r="F532" s="12">
        <v>81.900000000000006</v>
      </c>
      <c r="G532" s="12">
        <v>82.2</v>
      </c>
      <c r="H532" s="12">
        <v>82.1</v>
      </c>
      <c r="I532" s="12" t="s">
        <v>104</v>
      </c>
      <c r="J532" s="12" t="s">
        <v>104</v>
      </c>
    </row>
    <row r="533" spans="1:10" ht="44.15" customHeight="1" thickBot="1" x14ac:dyDescent="0.4">
      <c r="B533" s="48" t="s">
        <v>281</v>
      </c>
      <c r="C533" s="14">
        <v>51712</v>
      </c>
      <c r="D533" s="15">
        <v>38.799999999999997</v>
      </c>
      <c r="E533" s="15">
        <v>37.299999999999997</v>
      </c>
      <c r="F533" s="15">
        <v>37.5</v>
      </c>
      <c r="G533" s="15">
        <v>37.299999999999997</v>
      </c>
      <c r="H533" s="15">
        <v>37.5</v>
      </c>
      <c r="I533" s="15" t="s">
        <v>104</v>
      </c>
      <c r="J533" s="15" t="s">
        <v>104</v>
      </c>
    </row>
    <row r="534" spans="1:10" ht="44.15" customHeight="1" thickBot="1" x14ac:dyDescent="0.4">
      <c r="B534" s="51" t="s">
        <v>860</v>
      </c>
      <c r="C534" s="16" t="s">
        <v>861</v>
      </c>
      <c r="D534" s="12">
        <v>54.8</v>
      </c>
      <c r="E534" s="12">
        <v>55</v>
      </c>
      <c r="F534" s="12">
        <v>55.2</v>
      </c>
      <c r="G534" s="12">
        <v>55.2</v>
      </c>
      <c r="H534" s="12">
        <v>55.2</v>
      </c>
      <c r="I534" s="12" t="s">
        <v>104</v>
      </c>
      <c r="J534" s="12" t="s">
        <v>104</v>
      </c>
    </row>
    <row r="535" spans="1:10" ht="42.5" thickBot="1" x14ac:dyDescent="0.4">
      <c r="A535" t="s">
        <v>24</v>
      </c>
      <c r="B535" s="38" t="s">
        <v>862</v>
      </c>
      <c r="C535" s="14">
        <v>518</v>
      </c>
      <c r="D535" s="15">
        <v>490.7</v>
      </c>
      <c r="E535" s="15">
        <v>494.9</v>
      </c>
      <c r="F535" s="15">
        <v>493.9</v>
      </c>
      <c r="G535" s="15">
        <v>493.1</v>
      </c>
      <c r="H535" s="15">
        <v>492.1</v>
      </c>
      <c r="I535" s="15">
        <v>493.2</v>
      </c>
      <c r="J535" s="15">
        <v>1.1000000000000001</v>
      </c>
    </row>
    <row r="536" spans="1:10" ht="42.5" thickBot="1" x14ac:dyDescent="0.4">
      <c r="A536" t="s">
        <v>24</v>
      </c>
      <c r="B536" s="39" t="s">
        <v>863</v>
      </c>
      <c r="C536" s="16">
        <v>519</v>
      </c>
      <c r="D536" s="12">
        <v>177.4</v>
      </c>
      <c r="E536" s="12">
        <v>174.6</v>
      </c>
      <c r="F536" s="12">
        <v>175.2</v>
      </c>
      <c r="G536" s="12">
        <v>175.8</v>
      </c>
      <c r="H536" s="12">
        <v>177</v>
      </c>
      <c r="I536" s="12">
        <v>178</v>
      </c>
      <c r="J536" s="12">
        <v>1</v>
      </c>
    </row>
    <row r="537" spans="1:10" ht="15" thickBot="1" x14ac:dyDescent="0.4">
      <c r="B537" s="49" t="s">
        <v>864</v>
      </c>
      <c r="C537" s="14">
        <v>51921</v>
      </c>
      <c r="D537" s="15">
        <v>28.1</v>
      </c>
      <c r="E537" s="15">
        <v>27.4</v>
      </c>
      <c r="F537" s="15">
        <v>27.6</v>
      </c>
      <c r="G537" s="15">
        <v>27.9</v>
      </c>
      <c r="H537" s="15">
        <v>28.3</v>
      </c>
      <c r="I537" s="15" t="s">
        <v>104</v>
      </c>
      <c r="J537" s="15" t="s">
        <v>104</v>
      </c>
    </row>
    <row r="538" spans="1:10" ht="29.5" customHeight="1" thickBot="1" x14ac:dyDescent="0.4">
      <c r="B538" s="51" t="s">
        <v>865</v>
      </c>
      <c r="C538" s="16">
        <v>51929</v>
      </c>
      <c r="D538" s="12">
        <v>150.30000000000001</v>
      </c>
      <c r="E538" s="12">
        <v>147.5</v>
      </c>
      <c r="F538" s="12">
        <v>147.6</v>
      </c>
      <c r="G538" s="12">
        <v>148.19999999999999</v>
      </c>
      <c r="H538" s="12">
        <v>149.1</v>
      </c>
      <c r="I538" s="12" t="s">
        <v>104</v>
      </c>
      <c r="J538" s="12" t="s">
        <v>104</v>
      </c>
    </row>
    <row r="539" spans="1:10" ht="44.15" customHeight="1" thickBot="1" x14ac:dyDescent="0.4">
      <c r="B539" s="73"/>
      <c r="C539" s="74"/>
      <c r="D539" s="74"/>
      <c r="E539" s="74"/>
      <c r="F539" s="74"/>
      <c r="G539" s="74"/>
      <c r="H539" s="74"/>
      <c r="I539" s="74"/>
      <c r="J539" s="75"/>
    </row>
    <row r="540" spans="1:10" ht="58.5" customHeight="1" thickBot="1" x14ac:dyDescent="0.4">
      <c r="B540" s="54" t="s">
        <v>282</v>
      </c>
      <c r="C540" s="12"/>
      <c r="D540" s="13">
        <v>9227</v>
      </c>
      <c r="E540" s="13">
        <v>9244</v>
      </c>
      <c r="F540" s="13">
        <v>9251</v>
      </c>
      <c r="G540" s="13">
        <v>9257</v>
      </c>
      <c r="H540" s="13">
        <v>9263</v>
      </c>
      <c r="I540" s="13">
        <v>9280</v>
      </c>
      <c r="J540" s="12">
        <v>17</v>
      </c>
    </row>
    <row r="541" spans="1:10" ht="44.15" customHeight="1" thickBot="1" x14ac:dyDescent="0.4">
      <c r="A541" t="s">
        <v>25</v>
      </c>
      <c r="B541" s="38" t="s">
        <v>283</v>
      </c>
      <c r="C541" s="14">
        <v>52</v>
      </c>
      <c r="D541" s="17">
        <v>6736.6</v>
      </c>
      <c r="E541" s="17">
        <v>6747.8</v>
      </c>
      <c r="F541" s="17">
        <v>6747.9</v>
      </c>
      <c r="G541" s="17">
        <v>6751.6</v>
      </c>
      <c r="H541" s="17">
        <v>6751.9</v>
      </c>
      <c r="I541" s="17">
        <v>6765.1</v>
      </c>
      <c r="J541" s="15">
        <v>13.2</v>
      </c>
    </row>
    <row r="542" spans="1:10" ht="58.5" customHeight="1" thickBot="1" x14ac:dyDescent="0.4">
      <c r="B542" s="41" t="s">
        <v>866</v>
      </c>
      <c r="C542" s="16">
        <v>521</v>
      </c>
      <c r="D542" s="12">
        <v>22.6</v>
      </c>
      <c r="E542" s="12">
        <v>22.7</v>
      </c>
      <c r="F542" s="12">
        <v>23</v>
      </c>
      <c r="G542" s="12">
        <v>23.2</v>
      </c>
      <c r="H542" s="12">
        <v>23.2</v>
      </c>
      <c r="I542" s="12">
        <v>23.4</v>
      </c>
      <c r="J542" s="12">
        <v>0.2</v>
      </c>
    </row>
    <row r="543" spans="1:10" ht="29.5" customHeight="1" thickBot="1" x14ac:dyDescent="0.4">
      <c r="B543" s="40" t="s">
        <v>284</v>
      </c>
      <c r="C543" s="14">
        <v>522</v>
      </c>
      <c r="D543" s="17">
        <v>2607.1999999999998</v>
      </c>
      <c r="E543" s="17">
        <v>2578.9</v>
      </c>
      <c r="F543" s="17">
        <v>2577.5</v>
      </c>
      <c r="G543" s="17">
        <v>2577.5</v>
      </c>
      <c r="H543" s="17">
        <v>2575.5</v>
      </c>
      <c r="I543" s="17">
        <v>2582.3000000000002</v>
      </c>
      <c r="J543" s="15">
        <v>6.8</v>
      </c>
    </row>
    <row r="544" spans="1:10" ht="15" thickBot="1" x14ac:dyDescent="0.4">
      <c r="B544" s="45" t="s">
        <v>285</v>
      </c>
      <c r="C544" s="16">
        <v>5221</v>
      </c>
      <c r="D544" s="18">
        <v>1787.6</v>
      </c>
      <c r="E544" s="18">
        <v>1770.7</v>
      </c>
      <c r="F544" s="18">
        <v>1770.9</v>
      </c>
      <c r="G544" s="18">
        <v>1773.1</v>
      </c>
      <c r="H544" s="18">
        <v>1774.1</v>
      </c>
      <c r="I544" s="18">
        <v>1773.9</v>
      </c>
      <c r="J544" s="12">
        <v>-0.2</v>
      </c>
    </row>
    <row r="545" spans="2:10" ht="15" thickBot="1" x14ac:dyDescent="0.4">
      <c r="B545" s="44" t="s">
        <v>867</v>
      </c>
      <c r="C545" s="14">
        <v>52211</v>
      </c>
      <c r="D545" s="17">
        <v>1380.1</v>
      </c>
      <c r="E545" s="17">
        <v>1360.6</v>
      </c>
      <c r="F545" s="17">
        <v>1359.5</v>
      </c>
      <c r="G545" s="17">
        <v>1360.8</v>
      </c>
      <c r="H545" s="17">
        <v>1361.2</v>
      </c>
      <c r="I545" s="17">
        <v>1361</v>
      </c>
      <c r="J545" s="15">
        <v>-0.2</v>
      </c>
    </row>
    <row r="546" spans="2:10" ht="15" thickBot="1" x14ac:dyDescent="0.4">
      <c r="B546" s="43" t="s">
        <v>868</v>
      </c>
      <c r="C546" s="16">
        <v>52213</v>
      </c>
      <c r="D546" s="12">
        <v>309.7</v>
      </c>
      <c r="E546" s="12">
        <v>312.5</v>
      </c>
      <c r="F546" s="12">
        <v>313.3</v>
      </c>
      <c r="G546" s="12">
        <v>314.39999999999998</v>
      </c>
      <c r="H546" s="12">
        <v>315.3</v>
      </c>
      <c r="I546" s="12" t="s">
        <v>104</v>
      </c>
      <c r="J546" s="12" t="s">
        <v>104</v>
      </c>
    </row>
    <row r="547" spans="2:10" ht="29.5" thickBot="1" x14ac:dyDescent="0.4">
      <c r="B547" s="44" t="s">
        <v>869</v>
      </c>
      <c r="C547" s="14">
        <v>52218</v>
      </c>
      <c r="D547" s="15">
        <v>98.6</v>
      </c>
      <c r="E547" s="15">
        <v>98</v>
      </c>
      <c r="F547" s="15">
        <v>98.1</v>
      </c>
      <c r="G547" s="15">
        <v>97.6</v>
      </c>
      <c r="H547" s="15">
        <v>97.5</v>
      </c>
      <c r="I547" s="15" t="s">
        <v>104</v>
      </c>
      <c r="J547" s="15" t="s">
        <v>104</v>
      </c>
    </row>
    <row r="548" spans="2:10" ht="28.5" thickBot="1" x14ac:dyDescent="0.4">
      <c r="B548" s="45" t="s">
        <v>286</v>
      </c>
      <c r="C548" s="16">
        <v>5222</v>
      </c>
      <c r="D548" s="12">
        <v>531.9</v>
      </c>
      <c r="E548" s="12">
        <v>527.4</v>
      </c>
      <c r="F548" s="12">
        <v>525.6</v>
      </c>
      <c r="G548" s="12">
        <v>525.79999999999995</v>
      </c>
      <c r="H548" s="12">
        <v>524.70000000000005</v>
      </c>
      <c r="I548" s="12">
        <v>529.6</v>
      </c>
      <c r="J548" s="12">
        <v>4.9000000000000004</v>
      </c>
    </row>
    <row r="549" spans="2:10" ht="44.15" customHeight="1" thickBot="1" x14ac:dyDescent="0.4">
      <c r="B549" s="44" t="s">
        <v>287</v>
      </c>
      <c r="C549" s="14">
        <v>52221</v>
      </c>
      <c r="D549" s="15">
        <v>69.3</v>
      </c>
      <c r="E549" s="15">
        <v>70.900000000000006</v>
      </c>
      <c r="F549" s="15">
        <v>70.2</v>
      </c>
      <c r="G549" s="15">
        <v>70</v>
      </c>
      <c r="H549" s="15">
        <v>67.900000000000006</v>
      </c>
      <c r="I549" s="15" t="s">
        <v>104</v>
      </c>
      <c r="J549" s="15" t="s">
        <v>104</v>
      </c>
    </row>
    <row r="550" spans="2:10" ht="29.5" customHeight="1" thickBot="1" x14ac:dyDescent="0.4">
      <c r="B550" s="43" t="s">
        <v>288</v>
      </c>
      <c r="C550" s="16">
        <v>52222</v>
      </c>
      <c r="D550" s="12">
        <v>87.4</v>
      </c>
      <c r="E550" s="12">
        <v>86.6</v>
      </c>
      <c r="F550" s="12">
        <v>86.2</v>
      </c>
      <c r="G550" s="12">
        <v>85.7</v>
      </c>
      <c r="H550" s="12">
        <v>85.6</v>
      </c>
      <c r="I550" s="12" t="s">
        <v>104</v>
      </c>
      <c r="J550" s="12" t="s">
        <v>104</v>
      </c>
    </row>
    <row r="551" spans="2:10" ht="29.5" customHeight="1" thickBot="1" x14ac:dyDescent="0.4">
      <c r="B551" s="44" t="s">
        <v>289</v>
      </c>
      <c r="C551" s="14">
        <v>52229</v>
      </c>
      <c r="D551" s="15">
        <v>373.5</v>
      </c>
      <c r="E551" s="15">
        <v>370.4</v>
      </c>
      <c r="F551" s="15">
        <v>369</v>
      </c>
      <c r="G551" s="15">
        <v>369.7</v>
      </c>
      <c r="H551" s="15">
        <v>370.3</v>
      </c>
      <c r="I551" s="15" t="s">
        <v>104</v>
      </c>
      <c r="J551" s="15" t="s">
        <v>104</v>
      </c>
    </row>
    <row r="552" spans="2:10" ht="29.5" customHeight="1" thickBot="1" x14ac:dyDescent="0.4">
      <c r="B552" s="47" t="s">
        <v>290</v>
      </c>
      <c r="C552" s="16">
        <v>522291</v>
      </c>
      <c r="D552" s="12">
        <v>91.3</v>
      </c>
      <c r="E552" s="12">
        <v>94.3</v>
      </c>
      <c r="F552" s="12">
        <v>92.9</v>
      </c>
      <c r="G552" s="12">
        <v>91.7</v>
      </c>
      <c r="H552" s="12">
        <v>91.1</v>
      </c>
      <c r="I552" s="12" t="s">
        <v>104</v>
      </c>
      <c r="J552" s="12" t="s">
        <v>104</v>
      </c>
    </row>
    <row r="553" spans="2:10" ht="44.15" customHeight="1" thickBot="1" x14ac:dyDescent="0.4">
      <c r="B553" s="46" t="s">
        <v>291</v>
      </c>
      <c r="C553" s="14">
        <v>522292</v>
      </c>
      <c r="D553" s="15">
        <v>189.5</v>
      </c>
      <c r="E553" s="15">
        <v>183.9</v>
      </c>
      <c r="F553" s="15">
        <v>183.4</v>
      </c>
      <c r="G553" s="15">
        <v>185.7</v>
      </c>
      <c r="H553" s="15">
        <v>186.7</v>
      </c>
      <c r="I553" s="15" t="s">
        <v>104</v>
      </c>
      <c r="J553" s="15" t="s">
        <v>104</v>
      </c>
    </row>
    <row r="554" spans="2:10" ht="29.5" customHeight="1" thickBot="1" x14ac:dyDescent="0.4">
      <c r="B554" s="47" t="s">
        <v>870</v>
      </c>
      <c r="C554" s="16">
        <v>522299</v>
      </c>
      <c r="D554" s="12">
        <v>92.4</v>
      </c>
      <c r="E554" s="12">
        <v>92.6</v>
      </c>
      <c r="F554" s="12">
        <v>92.3</v>
      </c>
      <c r="G554" s="12">
        <v>92.1</v>
      </c>
      <c r="H554" s="12">
        <v>92</v>
      </c>
      <c r="I554" s="12" t="s">
        <v>104</v>
      </c>
      <c r="J554" s="12" t="s">
        <v>104</v>
      </c>
    </row>
    <row r="555" spans="2:10" ht="28.5" thickBot="1" x14ac:dyDescent="0.4">
      <c r="B555" s="42" t="s">
        <v>292</v>
      </c>
      <c r="C555" s="14">
        <v>5223</v>
      </c>
      <c r="D555" s="15">
        <v>287.7</v>
      </c>
      <c r="E555" s="15">
        <v>280.89999999999998</v>
      </c>
      <c r="F555" s="15">
        <v>281.10000000000002</v>
      </c>
      <c r="G555" s="15">
        <v>278.60000000000002</v>
      </c>
      <c r="H555" s="15">
        <v>276.8</v>
      </c>
      <c r="I555" s="15">
        <v>278.8</v>
      </c>
      <c r="J555" s="15">
        <v>2</v>
      </c>
    </row>
    <row r="556" spans="2:10" ht="44.15" customHeight="1" thickBot="1" x14ac:dyDescent="0.4">
      <c r="B556" s="43" t="s">
        <v>293</v>
      </c>
      <c r="C556" s="16">
        <v>52231</v>
      </c>
      <c r="D556" s="12">
        <v>87.2</v>
      </c>
      <c r="E556" s="12">
        <v>86.9</v>
      </c>
      <c r="F556" s="12">
        <v>87.8</v>
      </c>
      <c r="G556" s="12">
        <v>86.6</v>
      </c>
      <c r="H556" s="12">
        <v>86.7</v>
      </c>
      <c r="I556" s="12" t="s">
        <v>104</v>
      </c>
      <c r="J556" s="12" t="s">
        <v>104</v>
      </c>
    </row>
    <row r="557" spans="2:10" ht="29.5" customHeight="1" thickBot="1" x14ac:dyDescent="0.4">
      <c r="B557" s="44" t="s">
        <v>871</v>
      </c>
      <c r="C557" s="14">
        <v>52232</v>
      </c>
      <c r="D557" s="15">
        <v>132.80000000000001</v>
      </c>
      <c r="E557" s="15">
        <v>130.9</v>
      </c>
      <c r="F557" s="15">
        <v>131</v>
      </c>
      <c r="G557" s="15">
        <v>130.5</v>
      </c>
      <c r="H557" s="15">
        <v>128.69999999999999</v>
      </c>
      <c r="I557" s="15" t="s">
        <v>104</v>
      </c>
      <c r="J557" s="15" t="s">
        <v>104</v>
      </c>
    </row>
    <row r="558" spans="2:10" ht="18.649999999999999" customHeight="1" thickBot="1" x14ac:dyDescent="0.4">
      <c r="B558" s="43" t="s">
        <v>872</v>
      </c>
      <c r="C558" s="16">
        <v>52239</v>
      </c>
      <c r="D558" s="12">
        <v>67.5</v>
      </c>
      <c r="E558" s="12">
        <v>62.9</v>
      </c>
      <c r="F558" s="12">
        <v>62.1</v>
      </c>
      <c r="G558" s="12">
        <v>61.2</v>
      </c>
      <c r="H558" s="12">
        <v>61.2</v>
      </c>
      <c r="I558" s="12" t="s">
        <v>104</v>
      </c>
      <c r="J558" s="12" t="s">
        <v>104</v>
      </c>
    </row>
    <row r="559" spans="2:10" ht="56.5" thickBot="1" x14ac:dyDescent="0.4">
      <c r="B559" s="40" t="s">
        <v>873</v>
      </c>
      <c r="C559" s="14" t="s">
        <v>294</v>
      </c>
      <c r="D559" s="17">
        <v>1113.4000000000001</v>
      </c>
      <c r="E559" s="17">
        <v>1120.2</v>
      </c>
      <c r="F559" s="17">
        <v>1119.8</v>
      </c>
      <c r="G559" s="17">
        <v>1123.2</v>
      </c>
      <c r="H559" s="17">
        <v>1123.9000000000001</v>
      </c>
      <c r="I559" s="17">
        <v>1125</v>
      </c>
      <c r="J559" s="15">
        <v>1.1000000000000001</v>
      </c>
    </row>
    <row r="560" spans="2:10" ht="29.5" customHeight="1" thickBot="1" x14ac:dyDescent="0.4">
      <c r="B560" s="50" t="s">
        <v>874</v>
      </c>
      <c r="C560" s="16" t="s">
        <v>295</v>
      </c>
      <c r="D560" s="12">
        <v>485.3</v>
      </c>
      <c r="E560" s="12">
        <v>477.8</v>
      </c>
      <c r="F560" s="12">
        <v>476.3</v>
      </c>
      <c r="G560" s="12">
        <v>477.5</v>
      </c>
      <c r="H560" s="12">
        <v>477.7</v>
      </c>
      <c r="I560" s="12" t="s">
        <v>104</v>
      </c>
      <c r="J560" s="12" t="s">
        <v>104</v>
      </c>
    </row>
    <row r="561" spans="2:10" ht="29.5" customHeight="1" thickBot="1" x14ac:dyDescent="0.4">
      <c r="B561" s="44" t="s">
        <v>875</v>
      </c>
      <c r="C561" s="14">
        <v>52315</v>
      </c>
      <c r="D561" s="15">
        <v>452.4</v>
      </c>
      <c r="E561" s="15">
        <v>446.4</v>
      </c>
      <c r="F561" s="15">
        <v>445.4</v>
      </c>
      <c r="G561" s="15">
        <v>446.6</v>
      </c>
      <c r="H561" s="15">
        <v>446</v>
      </c>
      <c r="I561" s="15" t="s">
        <v>104</v>
      </c>
      <c r="J561" s="15" t="s">
        <v>104</v>
      </c>
    </row>
    <row r="562" spans="2:10" ht="44.15" customHeight="1" thickBot="1" x14ac:dyDescent="0.4">
      <c r="B562" s="50" t="s">
        <v>876</v>
      </c>
      <c r="C562" s="16" t="s">
        <v>877</v>
      </c>
      <c r="D562" s="12">
        <v>628.29999999999995</v>
      </c>
      <c r="E562" s="12">
        <v>642</v>
      </c>
      <c r="F562" s="12">
        <v>643.79999999999995</v>
      </c>
      <c r="G562" s="12">
        <v>645.79999999999995</v>
      </c>
      <c r="H562" s="12">
        <v>646.6</v>
      </c>
      <c r="I562" s="12" t="s">
        <v>104</v>
      </c>
      <c r="J562" s="12" t="s">
        <v>104</v>
      </c>
    </row>
    <row r="563" spans="2:10" ht="15" thickBot="1" x14ac:dyDescent="0.4">
      <c r="B563" s="44" t="s">
        <v>296</v>
      </c>
      <c r="C563" s="14">
        <v>52391</v>
      </c>
      <c r="D563" s="15">
        <v>35.4</v>
      </c>
      <c r="E563" s="15">
        <v>36.1</v>
      </c>
      <c r="F563" s="15">
        <v>35.700000000000003</v>
      </c>
      <c r="G563" s="15">
        <v>36.5</v>
      </c>
      <c r="H563" s="15">
        <v>36.299999999999997</v>
      </c>
      <c r="I563" s="15" t="s">
        <v>104</v>
      </c>
      <c r="J563" s="15" t="s">
        <v>104</v>
      </c>
    </row>
    <row r="564" spans="2:10" ht="44.15" customHeight="1" thickBot="1" x14ac:dyDescent="0.4">
      <c r="B564" s="43" t="s">
        <v>878</v>
      </c>
      <c r="C564" s="16">
        <v>52394</v>
      </c>
      <c r="D564" s="12">
        <v>503.2</v>
      </c>
      <c r="E564" s="12">
        <v>513.20000000000005</v>
      </c>
      <c r="F564" s="12">
        <v>514.29999999999995</v>
      </c>
      <c r="G564" s="12">
        <v>516.20000000000005</v>
      </c>
      <c r="H564" s="12">
        <v>516.29999999999995</v>
      </c>
      <c r="I564" s="12" t="s">
        <v>104</v>
      </c>
      <c r="J564" s="12" t="s">
        <v>104</v>
      </c>
    </row>
    <row r="565" spans="2:10" ht="44.15" customHeight="1" thickBot="1" x14ac:dyDescent="0.4">
      <c r="B565" s="44" t="s">
        <v>879</v>
      </c>
      <c r="C565" s="33">
        <v>52399500</v>
      </c>
      <c r="D565" s="15">
        <v>89.4</v>
      </c>
      <c r="E565" s="15">
        <v>92.8</v>
      </c>
      <c r="F565" s="15">
        <v>93.5</v>
      </c>
      <c r="G565" s="15">
        <v>93</v>
      </c>
      <c r="H565" s="15">
        <v>93.9</v>
      </c>
      <c r="I565" s="15" t="s">
        <v>104</v>
      </c>
      <c r="J565" s="15" t="s">
        <v>104</v>
      </c>
    </row>
    <row r="566" spans="2:10" ht="58.5" customHeight="1" thickBot="1" x14ac:dyDescent="0.4">
      <c r="B566" s="41" t="s">
        <v>297</v>
      </c>
      <c r="C566" s="16">
        <v>524</v>
      </c>
      <c r="D566" s="18">
        <v>2993.4</v>
      </c>
      <c r="E566" s="18">
        <v>3026</v>
      </c>
      <c r="F566" s="18">
        <v>3027.6</v>
      </c>
      <c r="G566" s="18">
        <v>3027.7</v>
      </c>
      <c r="H566" s="18">
        <v>3029.3</v>
      </c>
      <c r="I566" s="18">
        <v>3034.4</v>
      </c>
      <c r="J566" s="12">
        <v>5.0999999999999996</v>
      </c>
    </row>
    <row r="567" spans="2:10" ht="44.15" customHeight="1" thickBot="1" x14ac:dyDescent="0.4">
      <c r="B567" s="48" t="s">
        <v>298</v>
      </c>
      <c r="C567" s="14">
        <v>5241</v>
      </c>
      <c r="D567" s="17">
        <v>1623.8</v>
      </c>
      <c r="E567" s="17">
        <v>1633.5</v>
      </c>
      <c r="F567" s="17">
        <v>1631</v>
      </c>
      <c r="G567" s="17">
        <v>1631.8</v>
      </c>
      <c r="H567" s="17">
        <v>1629.9</v>
      </c>
      <c r="I567" s="15" t="s">
        <v>104</v>
      </c>
      <c r="J567" s="15" t="s">
        <v>104</v>
      </c>
    </row>
    <row r="568" spans="2:10" ht="29.5" customHeight="1" thickBot="1" x14ac:dyDescent="0.4">
      <c r="B568" s="43" t="s">
        <v>880</v>
      </c>
      <c r="C568" s="16">
        <v>52411</v>
      </c>
      <c r="D568" s="12">
        <v>913.6</v>
      </c>
      <c r="E568" s="12">
        <v>921</v>
      </c>
      <c r="F568" s="12">
        <v>917.6</v>
      </c>
      <c r="G568" s="12">
        <v>917.7</v>
      </c>
      <c r="H568" s="12">
        <v>916.7</v>
      </c>
      <c r="I568" s="12" t="s">
        <v>104</v>
      </c>
      <c r="J568" s="12" t="s">
        <v>104</v>
      </c>
    </row>
    <row r="569" spans="2:10" ht="25.5" customHeight="1" thickBot="1" x14ac:dyDescent="0.4">
      <c r="B569" s="44" t="s">
        <v>881</v>
      </c>
      <c r="C569" s="14">
        <v>52412</v>
      </c>
      <c r="D569" s="15">
        <v>679.7</v>
      </c>
      <c r="E569" s="15">
        <v>681.5</v>
      </c>
      <c r="F569" s="15">
        <v>681.9</v>
      </c>
      <c r="G569" s="15">
        <v>682.4</v>
      </c>
      <c r="H569" s="15">
        <v>682.6</v>
      </c>
      <c r="I569" s="15" t="s">
        <v>104</v>
      </c>
      <c r="J569" s="15" t="s">
        <v>104</v>
      </c>
    </row>
    <row r="570" spans="2:10" ht="29.5" thickBot="1" x14ac:dyDescent="0.4">
      <c r="B570" s="47" t="s">
        <v>882</v>
      </c>
      <c r="C570" s="16">
        <v>524126</v>
      </c>
      <c r="D570" s="12">
        <v>591.1</v>
      </c>
      <c r="E570" s="12">
        <v>592.6</v>
      </c>
      <c r="F570" s="12">
        <v>592.6</v>
      </c>
      <c r="G570" s="12">
        <v>592.6</v>
      </c>
      <c r="H570" s="12">
        <v>592.5</v>
      </c>
      <c r="I570" s="12" t="s">
        <v>104</v>
      </c>
      <c r="J570" s="12" t="s">
        <v>104</v>
      </c>
    </row>
    <row r="571" spans="2:10" ht="58.5" customHeight="1" thickBot="1" x14ac:dyDescent="0.4">
      <c r="B571" s="46" t="s">
        <v>883</v>
      </c>
      <c r="C571" s="14" t="s">
        <v>299</v>
      </c>
      <c r="D571" s="15">
        <v>88.3</v>
      </c>
      <c r="E571" s="15">
        <v>89.2</v>
      </c>
      <c r="F571" s="15">
        <v>90</v>
      </c>
      <c r="G571" s="15">
        <v>89.9</v>
      </c>
      <c r="H571" s="15">
        <v>90</v>
      </c>
      <c r="I571" s="15" t="s">
        <v>104</v>
      </c>
      <c r="J571" s="15" t="s">
        <v>104</v>
      </c>
    </row>
    <row r="572" spans="2:10" ht="44.15" customHeight="1" thickBot="1" x14ac:dyDescent="0.4">
      <c r="B572" s="43" t="s">
        <v>300</v>
      </c>
      <c r="C572" s="16">
        <v>52413</v>
      </c>
      <c r="D572" s="12">
        <v>31.2</v>
      </c>
      <c r="E572" s="12">
        <v>31.6</v>
      </c>
      <c r="F572" s="12">
        <v>31.7</v>
      </c>
      <c r="G572" s="12">
        <v>31.7</v>
      </c>
      <c r="H572" s="12">
        <v>31.7</v>
      </c>
      <c r="I572" s="12" t="s">
        <v>104</v>
      </c>
      <c r="J572" s="12" t="s">
        <v>104</v>
      </c>
    </row>
    <row r="573" spans="2:10" ht="29.5" thickBot="1" x14ac:dyDescent="0.4">
      <c r="B573" s="48" t="s">
        <v>884</v>
      </c>
      <c r="C573" s="14">
        <v>5242</v>
      </c>
      <c r="D573" s="17">
        <v>1369.2</v>
      </c>
      <c r="E573" s="17">
        <v>1391.8</v>
      </c>
      <c r="F573" s="17">
        <v>1395.1</v>
      </c>
      <c r="G573" s="17">
        <v>1396.3</v>
      </c>
      <c r="H573" s="17">
        <v>1398.9</v>
      </c>
      <c r="I573" s="15" t="s">
        <v>104</v>
      </c>
      <c r="J573" s="15" t="s">
        <v>104</v>
      </c>
    </row>
    <row r="574" spans="2:10" ht="15" thickBot="1" x14ac:dyDescent="0.4">
      <c r="B574" s="43" t="s">
        <v>301</v>
      </c>
      <c r="C574" s="16">
        <v>52421</v>
      </c>
      <c r="D574" s="12">
        <v>975</v>
      </c>
      <c r="E574" s="12">
        <v>997.6</v>
      </c>
      <c r="F574" s="18">
        <v>1000.2</v>
      </c>
      <c r="G574" s="18">
        <v>1000.6</v>
      </c>
      <c r="H574" s="18">
        <v>1003</v>
      </c>
      <c r="I574" s="12" t="s">
        <v>104</v>
      </c>
      <c r="J574" s="12" t="s">
        <v>104</v>
      </c>
    </row>
    <row r="575" spans="2:10" ht="15" thickBot="1" x14ac:dyDescent="0.4">
      <c r="B575" s="44" t="s">
        <v>885</v>
      </c>
      <c r="C575" s="14">
        <v>52429</v>
      </c>
      <c r="D575" s="15">
        <v>395.3</v>
      </c>
      <c r="E575" s="15">
        <v>394</v>
      </c>
      <c r="F575" s="15">
        <v>396.3</v>
      </c>
      <c r="G575" s="15">
        <v>395.3</v>
      </c>
      <c r="H575" s="15">
        <v>396.5</v>
      </c>
      <c r="I575" s="15" t="s">
        <v>104</v>
      </c>
      <c r="J575" s="15" t="s">
        <v>104</v>
      </c>
    </row>
    <row r="576" spans="2:10" ht="15" thickBot="1" x14ac:dyDescent="0.4">
      <c r="B576" s="47" t="s">
        <v>302</v>
      </c>
      <c r="C576" s="16">
        <v>524291</v>
      </c>
      <c r="D576" s="12">
        <v>66.5</v>
      </c>
      <c r="E576" s="12">
        <v>66.5</v>
      </c>
      <c r="F576" s="12">
        <v>66</v>
      </c>
      <c r="G576" s="12">
        <v>64.099999999999994</v>
      </c>
      <c r="H576" s="12">
        <v>66.400000000000006</v>
      </c>
      <c r="I576" s="12" t="s">
        <v>104</v>
      </c>
      <c r="J576" s="12" t="s">
        <v>104</v>
      </c>
    </row>
    <row r="577" spans="1:10" ht="18.649999999999999" customHeight="1" thickBot="1" x14ac:dyDescent="0.4">
      <c r="B577" s="46" t="s">
        <v>886</v>
      </c>
      <c r="C577" s="14">
        <v>524292</v>
      </c>
      <c r="D577" s="15">
        <v>222</v>
      </c>
      <c r="E577" s="15">
        <v>223.1</v>
      </c>
      <c r="F577" s="15">
        <v>224.7</v>
      </c>
      <c r="G577" s="15">
        <v>224.8</v>
      </c>
      <c r="H577" s="15">
        <v>224.8</v>
      </c>
      <c r="I577" s="15" t="s">
        <v>104</v>
      </c>
      <c r="J577" s="15" t="s">
        <v>104</v>
      </c>
    </row>
    <row r="578" spans="1:10" ht="18.649999999999999" customHeight="1" thickBot="1" x14ac:dyDescent="0.4">
      <c r="B578" s="47" t="s">
        <v>887</v>
      </c>
      <c r="C578" s="16">
        <v>524298</v>
      </c>
      <c r="D578" s="12">
        <v>106.3</v>
      </c>
      <c r="E578" s="12">
        <v>105.4</v>
      </c>
      <c r="F578" s="12">
        <v>105.8</v>
      </c>
      <c r="G578" s="12">
        <v>105.6</v>
      </c>
      <c r="H578" s="12">
        <v>105.2</v>
      </c>
      <c r="I578" s="12" t="s">
        <v>104</v>
      </c>
      <c r="J578" s="12" t="s">
        <v>104</v>
      </c>
    </row>
    <row r="579" spans="1:10" ht="15" thickBot="1" x14ac:dyDescent="0.4">
      <c r="A579" t="s">
        <v>26</v>
      </c>
      <c r="B579" s="38" t="s">
        <v>303</v>
      </c>
      <c r="C579" s="14">
        <v>53</v>
      </c>
      <c r="D579" s="17">
        <v>2490.6999999999998</v>
      </c>
      <c r="E579" s="17">
        <v>2496.1</v>
      </c>
      <c r="F579" s="17">
        <v>2502.6999999999998</v>
      </c>
      <c r="G579" s="17">
        <v>2505.8000000000002</v>
      </c>
      <c r="H579" s="17">
        <v>2511.5</v>
      </c>
      <c r="I579" s="17">
        <v>2515.1999999999998</v>
      </c>
      <c r="J579" s="15">
        <v>3.7</v>
      </c>
    </row>
    <row r="580" spans="1:10" ht="29.5" customHeight="1" thickBot="1" x14ac:dyDescent="0.4">
      <c r="B580" s="41" t="s">
        <v>304</v>
      </c>
      <c r="C580" s="16">
        <v>531</v>
      </c>
      <c r="D580" s="18">
        <v>1868.9</v>
      </c>
      <c r="E580" s="18">
        <v>1889</v>
      </c>
      <c r="F580" s="18">
        <v>1890.2</v>
      </c>
      <c r="G580" s="18">
        <v>1891.8</v>
      </c>
      <c r="H580" s="18">
        <v>1892.8</v>
      </c>
      <c r="I580" s="18">
        <v>1894</v>
      </c>
      <c r="J580" s="12">
        <v>1.2</v>
      </c>
    </row>
    <row r="581" spans="1:10" ht="87.65" customHeight="1" thickBot="1" x14ac:dyDescent="0.4">
      <c r="B581" s="48" t="s">
        <v>305</v>
      </c>
      <c r="C581" s="14">
        <v>5311</v>
      </c>
      <c r="D581" s="15">
        <v>629.79999999999995</v>
      </c>
      <c r="E581" s="15">
        <v>639.29999999999995</v>
      </c>
      <c r="F581" s="15">
        <v>639.5</v>
      </c>
      <c r="G581" s="15">
        <v>638.5</v>
      </c>
      <c r="H581" s="15">
        <v>638.70000000000005</v>
      </c>
      <c r="I581" s="15" t="s">
        <v>104</v>
      </c>
      <c r="J581" s="15" t="s">
        <v>104</v>
      </c>
    </row>
    <row r="582" spans="1:10" ht="18.649999999999999" customHeight="1" thickBot="1" x14ac:dyDescent="0.4">
      <c r="B582" s="43" t="s">
        <v>888</v>
      </c>
      <c r="C582" s="16">
        <v>53111</v>
      </c>
      <c r="D582" s="12">
        <v>371.3</v>
      </c>
      <c r="E582" s="12">
        <v>376.9</v>
      </c>
      <c r="F582" s="12">
        <v>377.3</v>
      </c>
      <c r="G582" s="12">
        <v>377.3</v>
      </c>
      <c r="H582" s="12">
        <v>378.2</v>
      </c>
      <c r="I582" s="12" t="s">
        <v>104</v>
      </c>
      <c r="J582" s="12" t="s">
        <v>104</v>
      </c>
    </row>
    <row r="583" spans="1:10" ht="29.5" customHeight="1" thickBot="1" x14ac:dyDescent="0.4">
      <c r="B583" s="44" t="s">
        <v>889</v>
      </c>
      <c r="C583" s="14">
        <v>53112</v>
      </c>
      <c r="D583" s="15">
        <v>155.9</v>
      </c>
      <c r="E583" s="15">
        <v>158.30000000000001</v>
      </c>
      <c r="F583" s="15">
        <v>157.9</v>
      </c>
      <c r="G583" s="15">
        <v>157.69999999999999</v>
      </c>
      <c r="H583" s="15">
        <v>158</v>
      </c>
      <c r="I583" s="15" t="s">
        <v>104</v>
      </c>
      <c r="J583" s="15" t="s">
        <v>104</v>
      </c>
    </row>
    <row r="584" spans="1:10" ht="29.5" customHeight="1" thickBot="1" x14ac:dyDescent="0.4">
      <c r="B584" s="43" t="s">
        <v>890</v>
      </c>
      <c r="C584" s="16">
        <v>53113</v>
      </c>
      <c r="D584" s="12">
        <v>60.2</v>
      </c>
      <c r="E584" s="12">
        <v>61</v>
      </c>
      <c r="F584" s="12">
        <v>61.4</v>
      </c>
      <c r="G584" s="12">
        <v>61.2</v>
      </c>
      <c r="H584" s="12">
        <v>61.2</v>
      </c>
      <c r="I584" s="12" t="s">
        <v>104</v>
      </c>
      <c r="J584" s="12" t="s">
        <v>104</v>
      </c>
    </row>
    <row r="585" spans="1:10" ht="73" customHeight="1" thickBot="1" x14ac:dyDescent="0.4">
      <c r="B585" s="44" t="s">
        <v>306</v>
      </c>
      <c r="C585" s="14">
        <v>53119</v>
      </c>
      <c r="D585" s="15">
        <v>43.1</v>
      </c>
      <c r="E585" s="15">
        <v>43.5</v>
      </c>
      <c r="F585" s="15">
        <v>42.9</v>
      </c>
      <c r="G585" s="15">
        <v>42</v>
      </c>
      <c r="H585" s="15">
        <v>41.4</v>
      </c>
      <c r="I585" s="15" t="s">
        <v>104</v>
      </c>
      <c r="J585" s="15" t="s">
        <v>104</v>
      </c>
    </row>
    <row r="586" spans="1:10" ht="29.5" customHeight="1" thickBot="1" x14ac:dyDescent="0.4">
      <c r="B586" s="50" t="s">
        <v>307</v>
      </c>
      <c r="C586" s="16">
        <v>5312</v>
      </c>
      <c r="D586" s="12">
        <v>408.7</v>
      </c>
      <c r="E586" s="12">
        <v>398.3</v>
      </c>
      <c r="F586" s="12">
        <v>397.8</v>
      </c>
      <c r="G586" s="12">
        <v>398.4</v>
      </c>
      <c r="H586" s="12">
        <v>399.8</v>
      </c>
      <c r="I586" s="12" t="s">
        <v>104</v>
      </c>
      <c r="J586" s="12" t="s">
        <v>104</v>
      </c>
    </row>
    <row r="587" spans="1:10" ht="29.5" customHeight="1" thickBot="1" x14ac:dyDescent="0.4">
      <c r="B587" s="48" t="s">
        <v>308</v>
      </c>
      <c r="C587" s="14">
        <v>5313</v>
      </c>
      <c r="D587" s="15">
        <v>831.9</v>
      </c>
      <c r="E587" s="15">
        <v>850.5</v>
      </c>
      <c r="F587" s="15">
        <v>851.8</v>
      </c>
      <c r="G587" s="15">
        <v>853.7</v>
      </c>
      <c r="H587" s="15">
        <v>855</v>
      </c>
      <c r="I587" s="15" t="s">
        <v>104</v>
      </c>
      <c r="J587" s="15" t="s">
        <v>104</v>
      </c>
    </row>
    <row r="588" spans="1:10" ht="73" customHeight="1" thickBot="1" x14ac:dyDescent="0.4">
      <c r="B588" s="43" t="s">
        <v>309</v>
      </c>
      <c r="C588" s="16">
        <v>53131</v>
      </c>
      <c r="D588" s="12">
        <v>708.6</v>
      </c>
      <c r="E588" s="12">
        <v>728.7</v>
      </c>
      <c r="F588" s="12">
        <v>729.8</v>
      </c>
      <c r="G588" s="12">
        <v>731.1</v>
      </c>
      <c r="H588" s="12">
        <v>732.5</v>
      </c>
      <c r="I588" s="12" t="s">
        <v>104</v>
      </c>
      <c r="J588" s="12" t="s">
        <v>104</v>
      </c>
    </row>
    <row r="589" spans="1:10" ht="18.649999999999999" customHeight="1" thickBot="1" x14ac:dyDescent="0.4">
      <c r="B589" s="46" t="s">
        <v>310</v>
      </c>
      <c r="C589" s="14">
        <v>531311</v>
      </c>
      <c r="D589" s="15">
        <v>536.79999999999995</v>
      </c>
      <c r="E589" s="15">
        <v>556.5</v>
      </c>
      <c r="F589" s="15">
        <v>556.70000000000005</v>
      </c>
      <c r="G589" s="15">
        <v>557.79999999999995</v>
      </c>
      <c r="H589" s="15">
        <v>558.5</v>
      </c>
      <c r="I589" s="15" t="s">
        <v>104</v>
      </c>
      <c r="J589" s="15" t="s">
        <v>104</v>
      </c>
    </row>
    <row r="590" spans="1:10" ht="44.15" customHeight="1" thickBot="1" x14ac:dyDescent="0.4">
      <c r="B590" s="47" t="s">
        <v>311</v>
      </c>
      <c r="C590" s="16">
        <v>531312</v>
      </c>
      <c r="D590" s="12">
        <v>172.1</v>
      </c>
      <c r="E590" s="12">
        <v>172</v>
      </c>
      <c r="F590" s="12">
        <v>173</v>
      </c>
      <c r="G590" s="12">
        <v>173.2</v>
      </c>
      <c r="H590" s="12">
        <v>174</v>
      </c>
      <c r="I590" s="12" t="s">
        <v>104</v>
      </c>
      <c r="J590" s="12" t="s">
        <v>104</v>
      </c>
    </row>
    <row r="591" spans="1:10" ht="58.5" customHeight="1" thickBot="1" x14ac:dyDescent="0.4">
      <c r="B591" s="44" t="s">
        <v>312</v>
      </c>
      <c r="C591" s="14">
        <v>53132</v>
      </c>
      <c r="D591" s="15">
        <v>30.2</v>
      </c>
      <c r="E591" s="15">
        <v>28.9</v>
      </c>
      <c r="F591" s="15">
        <v>29.1</v>
      </c>
      <c r="G591" s="15">
        <v>28.9</v>
      </c>
      <c r="H591" s="15">
        <v>29.1</v>
      </c>
      <c r="I591" s="15" t="s">
        <v>104</v>
      </c>
      <c r="J591" s="15" t="s">
        <v>104</v>
      </c>
    </row>
    <row r="592" spans="1:10" ht="44.15" customHeight="1" thickBot="1" x14ac:dyDescent="0.4">
      <c r="B592" s="43" t="s">
        <v>313</v>
      </c>
      <c r="C592" s="16">
        <v>53139</v>
      </c>
      <c r="D592" s="12">
        <v>93</v>
      </c>
      <c r="E592" s="12">
        <v>92.8</v>
      </c>
      <c r="F592" s="12">
        <v>92.9</v>
      </c>
      <c r="G592" s="12">
        <v>94.1</v>
      </c>
      <c r="H592" s="12">
        <v>93.5</v>
      </c>
      <c r="I592" s="12" t="s">
        <v>104</v>
      </c>
      <c r="J592" s="12" t="s">
        <v>104</v>
      </c>
    </row>
    <row r="593" spans="1:10" ht="27.65" customHeight="1" thickBot="1" x14ac:dyDescent="0.4">
      <c r="B593" s="40" t="s">
        <v>314</v>
      </c>
      <c r="C593" s="14">
        <v>532</v>
      </c>
      <c r="D593" s="15">
        <v>598.6</v>
      </c>
      <c r="E593" s="15">
        <v>583.5</v>
      </c>
      <c r="F593" s="15">
        <v>588.79999999999995</v>
      </c>
      <c r="G593" s="15">
        <v>590.1</v>
      </c>
      <c r="H593" s="15">
        <v>594.79999999999995</v>
      </c>
      <c r="I593" s="15">
        <v>597.29999999999995</v>
      </c>
      <c r="J593" s="15">
        <v>2.5</v>
      </c>
    </row>
    <row r="594" spans="1:10" ht="29.5" customHeight="1" thickBot="1" x14ac:dyDescent="0.4">
      <c r="B594" s="50" t="s">
        <v>315</v>
      </c>
      <c r="C594" s="16">
        <v>5321</v>
      </c>
      <c r="D594" s="12">
        <v>236.4</v>
      </c>
      <c r="E594" s="12">
        <v>232.3</v>
      </c>
      <c r="F594" s="12">
        <v>233.4</v>
      </c>
      <c r="G594" s="12">
        <v>233.8</v>
      </c>
      <c r="H594" s="12">
        <v>234.8</v>
      </c>
      <c r="I594" s="12" t="s">
        <v>104</v>
      </c>
      <c r="J594" s="12" t="s">
        <v>104</v>
      </c>
    </row>
    <row r="595" spans="1:10" ht="73" customHeight="1" thickBot="1" x14ac:dyDescent="0.4">
      <c r="B595" s="44" t="s">
        <v>316</v>
      </c>
      <c r="C595" s="14">
        <v>53211</v>
      </c>
      <c r="D595" s="15">
        <v>136.1</v>
      </c>
      <c r="E595" s="15">
        <v>130.6</v>
      </c>
      <c r="F595" s="15">
        <v>132.19999999999999</v>
      </c>
      <c r="G595" s="15">
        <v>132.1</v>
      </c>
      <c r="H595" s="15">
        <v>134.4</v>
      </c>
      <c r="I595" s="15" t="s">
        <v>104</v>
      </c>
      <c r="J595" s="15" t="s">
        <v>104</v>
      </c>
    </row>
    <row r="596" spans="1:10" ht="73" customHeight="1" thickBot="1" x14ac:dyDescent="0.4">
      <c r="B596" s="43" t="s">
        <v>891</v>
      </c>
      <c r="C596" s="16">
        <v>53212</v>
      </c>
      <c r="D596" s="12">
        <v>99.9</v>
      </c>
      <c r="E596" s="12">
        <v>101.1</v>
      </c>
      <c r="F596" s="12">
        <v>101.1</v>
      </c>
      <c r="G596" s="12">
        <v>101.5</v>
      </c>
      <c r="H596" s="12">
        <v>101</v>
      </c>
      <c r="I596" s="12" t="s">
        <v>104</v>
      </c>
      <c r="J596" s="12" t="s">
        <v>104</v>
      </c>
    </row>
    <row r="597" spans="1:10" ht="44.15" customHeight="1" thickBot="1" x14ac:dyDescent="0.4">
      <c r="B597" s="48" t="s">
        <v>317</v>
      </c>
      <c r="C597" s="14">
        <v>5322</v>
      </c>
      <c r="D597" s="15">
        <v>132.9</v>
      </c>
      <c r="E597" s="15">
        <v>123.6</v>
      </c>
      <c r="F597" s="15">
        <v>124.9</v>
      </c>
      <c r="G597" s="15">
        <v>126.7</v>
      </c>
      <c r="H597" s="15">
        <v>127.9</v>
      </c>
      <c r="I597" s="15" t="s">
        <v>104</v>
      </c>
      <c r="J597" s="15" t="s">
        <v>104</v>
      </c>
    </row>
    <row r="598" spans="1:10" ht="29.5" customHeight="1" thickBot="1" x14ac:dyDescent="0.4">
      <c r="B598" s="43" t="s">
        <v>318</v>
      </c>
      <c r="C598" s="16">
        <v>532283</v>
      </c>
      <c r="D598" s="12">
        <v>33.6</v>
      </c>
      <c r="E598" s="12">
        <v>32.700000000000003</v>
      </c>
      <c r="F598" s="12">
        <v>33</v>
      </c>
      <c r="G598" s="12">
        <v>32.6</v>
      </c>
      <c r="H598" s="12">
        <v>32.799999999999997</v>
      </c>
      <c r="I598" s="12" t="s">
        <v>104</v>
      </c>
      <c r="J598" s="12" t="s">
        <v>104</v>
      </c>
    </row>
    <row r="599" spans="1:10" ht="29.5" customHeight="1" thickBot="1" x14ac:dyDescent="0.4">
      <c r="B599" s="48" t="s">
        <v>319</v>
      </c>
      <c r="C599" s="14">
        <v>5323</v>
      </c>
      <c r="D599" s="15">
        <v>33.700000000000003</v>
      </c>
      <c r="E599" s="15">
        <v>31.4</v>
      </c>
      <c r="F599" s="15">
        <v>32.4</v>
      </c>
      <c r="G599" s="15">
        <v>32.4</v>
      </c>
      <c r="H599" s="15">
        <v>32.6</v>
      </c>
      <c r="I599" s="15" t="s">
        <v>104</v>
      </c>
      <c r="J599" s="15" t="s">
        <v>104</v>
      </c>
    </row>
    <row r="600" spans="1:10" ht="87.65" customHeight="1" thickBot="1" x14ac:dyDescent="0.4">
      <c r="B600" s="50" t="s">
        <v>892</v>
      </c>
      <c r="C600" s="16">
        <v>5324</v>
      </c>
      <c r="D600" s="12">
        <v>195.2</v>
      </c>
      <c r="E600" s="12">
        <v>198.6</v>
      </c>
      <c r="F600" s="12">
        <v>197.7</v>
      </c>
      <c r="G600" s="12">
        <v>198.2</v>
      </c>
      <c r="H600" s="12">
        <v>198.5</v>
      </c>
      <c r="I600" s="12" t="s">
        <v>104</v>
      </c>
      <c r="J600" s="12" t="s">
        <v>104</v>
      </c>
    </row>
    <row r="601" spans="1:10" ht="18.649999999999999" customHeight="1" thickBot="1" x14ac:dyDescent="0.4">
      <c r="B601" s="44" t="s">
        <v>893</v>
      </c>
      <c r="C601" s="14">
        <v>53241</v>
      </c>
      <c r="D601" s="15">
        <v>101.4</v>
      </c>
      <c r="E601" s="15">
        <v>104.9</v>
      </c>
      <c r="F601" s="15">
        <v>105</v>
      </c>
      <c r="G601" s="15">
        <v>105.2</v>
      </c>
      <c r="H601" s="15">
        <v>106.2</v>
      </c>
      <c r="I601" s="15" t="s">
        <v>104</v>
      </c>
      <c r="J601" s="15" t="s">
        <v>104</v>
      </c>
    </row>
    <row r="602" spans="1:10" ht="29.5" customHeight="1" thickBot="1" x14ac:dyDescent="0.4">
      <c r="B602" s="43" t="s">
        <v>894</v>
      </c>
      <c r="C602" s="16" t="s">
        <v>320</v>
      </c>
      <c r="D602" s="12">
        <v>94.4</v>
      </c>
      <c r="E602" s="12">
        <v>93.8</v>
      </c>
      <c r="F602" s="12">
        <v>92.3</v>
      </c>
      <c r="G602" s="12">
        <v>92.4</v>
      </c>
      <c r="H602" s="12">
        <v>92.4</v>
      </c>
      <c r="I602" s="12" t="s">
        <v>104</v>
      </c>
      <c r="J602" s="12" t="s">
        <v>104</v>
      </c>
    </row>
    <row r="603" spans="1:10" ht="58.5" customHeight="1" thickBot="1" x14ac:dyDescent="0.4">
      <c r="B603" s="40" t="s">
        <v>895</v>
      </c>
      <c r="C603" s="14">
        <v>533</v>
      </c>
      <c r="D603" s="15">
        <v>23.2</v>
      </c>
      <c r="E603" s="15">
        <v>23.6</v>
      </c>
      <c r="F603" s="15">
        <v>23.7</v>
      </c>
      <c r="G603" s="15">
        <v>23.9</v>
      </c>
      <c r="H603" s="15">
        <v>23.9</v>
      </c>
      <c r="I603" s="15">
        <v>23.9</v>
      </c>
      <c r="J603" s="15">
        <v>0</v>
      </c>
    </row>
    <row r="604" spans="1:10" ht="44.15" customHeight="1" thickBot="1" x14ac:dyDescent="0.4">
      <c r="B604" s="73"/>
      <c r="C604" s="74"/>
      <c r="D604" s="74"/>
      <c r="E604" s="74"/>
      <c r="F604" s="74"/>
      <c r="G604" s="74"/>
      <c r="H604" s="74"/>
      <c r="I604" s="74"/>
      <c r="J604" s="75"/>
    </row>
    <row r="605" spans="1:10" ht="58.5" customHeight="1" thickBot="1" x14ac:dyDescent="0.4">
      <c r="B605" s="37" t="s">
        <v>321</v>
      </c>
      <c r="C605" s="12"/>
      <c r="D605" s="13">
        <v>22869</v>
      </c>
      <c r="E605" s="13">
        <v>22976</v>
      </c>
      <c r="F605" s="13">
        <v>22929</v>
      </c>
      <c r="G605" s="13">
        <v>22951</v>
      </c>
      <c r="H605" s="13">
        <v>22928</v>
      </c>
      <c r="I605" s="13">
        <v>22954</v>
      </c>
      <c r="J605" s="12">
        <v>26</v>
      </c>
    </row>
    <row r="606" spans="1:10" ht="73" customHeight="1" thickBot="1" x14ac:dyDescent="0.4">
      <c r="B606" s="38" t="s">
        <v>896</v>
      </c>
      <c r="C606" s="14">
        <v>54</v>
      </c>
      <c r="D606" s="17">
        <v>10907.2</v>
      </c>
      <c r="E606" s="17">
        <v>11029.6</v>
      </c>
      <c r="F606" s="17">
        <v>11022.4</v>
      </c>
      <c r="G606" s="17">
        <v>11032.1</v>
      </c>
      <c r="H606" s="17">
        <v>11034.8</v>
      </c>
      <c r="I606" s="17">
        <v>11050.7</v>
      </c>
      <c r="J606" s="15">
        <v>15.9</v>
      </c>
    </row>
    <row r="607" spans="1:10" ht="29.5" customHeight="1" thickBot="1" x14ac:dyDescent="0.4">
      <c r="A607" t="s">
        <v>27</v>
      </c>
      <c r="B607" s="41" t="s">
        <v>59</v>
      </c>
      <c r="C607" s="16">
        <v>5411</v>
      </c>
      <c r="D607" s="18">
        <v>1188.0999999999999</v>
      </c>
      <c r="E607" s="18">
        <v>1182.5999999999999</v>
      </c>
      <c r="F607" s="18">
        <v>1180.8</v>
      </c>
      <c r="G607" s="18">
        <v>1181.8</v>
      </c>
      <c r="H607" s="18">
        <v>1183.5</v>
      </c>
      <c r="I607" s="18">
        <v>1184.3</v>
      </c>
      <c r="J607" s="12">
        <v>0.8</v>
      </c>
    </row>
    <row r="608" spans="1:10" ht="73" customHeight="1" thickBot="1" x14ac:dyDescent="0.4">
      <c r="B608" s="48" t="s">
        <v>322</v>
      </c>
      <c r="C608" s="14">
        <v>54111</v>
      </c>
      <c r="D608" s="17">
        <v>1093.9000000000001</v>
      </c>
      <c r="E608" s="17">
        <v>1086.7</v>
      </c>
      <c r="F608" s="17">
        <v>1086.2</v>
      </c>
      <c r="G608" s="17">
        <v>1087.7</v>
      </c>
      <c r="H608" s="17">
        <v>1088.3</v>
      </c>
      <c r="I608" s="15" t="s">
        <v>104</v>
      </c>
      <c r="J608" s="15" t="s">
        <v>104</v>
      </c>
    </row>
    <row r="609" spans="1:10" ht="44.15" customHeight="1" thickBot="1" x14ac:dyDescent="0.4">
      <c r="B609" s="50" t="s">
        <v>323</v>
      </c>
      <c r="C609" s="16">
        <v>54119</v>
      </c>
      <c r="D609" s="12">
        <v>94.9</v>
      </c>
      <c r="E609" s="12">
        <v>94.9</v>
      </c>
      <c r="F609" s="12">
        <v>95.4</v>
      </c>
      <c r="G609" s="12">
        <v>95.2</v>
      </c>
      <c r="H609" s="12">
        <v>95</v>
      </c>
      <c r="I609" s="12" t="s">
        <v>104</v>
      </c>
      <c r="J609" s="12" t="s">
        <v>104</v>
      </c>
    </row>
    <row r="610" spans="1:10" ht="44.15" customHeight="1" thickBot="1" x14ac:dyDescent="0.4">
      <c r="A610" t="s">
        <v>27</v>
      </c>
      <c r="B610" s="40" t="s">
        <v>60</v>
      </c>
      <c r="C610" s="14">
        <v>5412</v>
      </c>
      <c r="D610" s="17">
        <v>1151</v>
      </c>
      <c r="E610" s="17">
        <v>1173.3</v>
      </c>
      <c r="F610" s="17">
        <v>1173.5</v>
      </c>
      <c r="G610" s="17">
        <v>1173.0999999999999</v>
      </c>
      <c r="H610" s="17">
        <v>1171.4000000000001</v>
      </c>
      <c r="I610" s="17">
        <v>1170.5999999999999</v>
      </c>
      <c r="J610" s="15">
        <v>-0.8</v>
      </c>
    </row>
    <row r="611" spans="1:10" ht="29.5" customHeight="1" thickBot="1" x14ac:dyDescent="0.4">
      <c r="B611" s="50" t="s">
        <v>324</v>
      </c>
      <c r="C611" s="16">
        <v>541211</v>
      </c>
      <c r="D611" s="12">
        <v>551.6</v>
      </c>
      <c r="E611" s="12">
        <v>558.9</v>
      </c>
      <c r="F611" s="12">
        <v>555.5</v>
      </c>
      <c r="G611" s="12">
        <v>557.70000000000005</v>
      </c>
      <c r="H611" s="12">
        <v>555.79999999999995</v>
      </c>
      <c r="I611" s="12" t="s">
        <v>104</v>
      </c>
      <c r="J611" s="12" t="s">
        <v>104</v>
      </c>
    </row>
    <row r="612" spans="1:10" ht="58.5" customHeight="1" thickBot="1" x14ac:dyDescent="0.4">
      <c r="B612" s="48" t="s">
        <v>325</v>
      </c>
      <c r="C612" s="14">
        <v>541213</v>
      </c>
      <c r="D612" s="15">
        <v>99.9</v>
      </c>
      <c r="E612" s="15">
        <v>99.6</v>
      </c>
      <c r="F612" s="15">
        <v>99.6</v>
      </c>
      <c r="G612" s="15">
        <v>98.9</v>
      </c>
      <c r="H612" s="15">
        <v>99.2</v>
      </c>
      <c r="I612" s="15" t="s">
        <v>104</v>
      </c>
      <c r="J612" s="15" t="s">
        <v>104</v>
      </c>
    </row>
    <row r="613" spans="1:10" ht="58.5" customHeight="1" thickBot="1" x14ac:dyDescent="0.4">
      <c r="B613" s="50" t="s">
        <v>326</v>
      </c>
      <c r="C613" s="16">
        <v>541214</v>
      </c>
      <c r="D613" s="12">
        <v>214.6</v>
      </c>
      <c r="E613" s="12">
        <v>232.8</v>
      </c>
      <c r="F613" s="12">
        <v>236</v>
      </c>
      <c r="G613" s="12">
        <v>235.6</v>
      </c>
      <c r="H613" s="12">
        <v>235.6</v>
      </c>
      <c r="I613" s="12" t="s">
        <v>104</v>
      </c>
      <c r="J613" s="12" t="s">
        <v>104</v>
      </c>
    </row>
    <row r="614" spans="1:10" ht="29.5" customHeight="1" thickBot="1" x14ac:dyDescent="0.4">
      <c r="B614" s="48" t="s">
        <v>327</v>
      </c>
      <c r="C614" s="14">
        <v>541219</v>
      </c>
      <c r="D614" s="15">
        <v>285</v>
      </c>
      <c r="E614" s="15">
        <v>279.7</v>
      </c>
      <c r="F614" s="15">
        <v>280.2</v>
      </c>
      <c r="G614" s="15">
        <v>281.8</v>
      </c>
      <c r="H614" s="15">
        <v>279.89999999999998</v>
      </c>
      <c r="I614" s="15" t="s">
        <v>104</v>
      </c>
      <c r="J614" s="15" t="s">
        <v>104</v>
      </c>
    </row>
    <row r="615" spans="1:10" ht="28.5" thickBot="1" x14ac:dyDescent="0.4">
      <c r="A615" t="s">
        <v>27</v>
      </c>
      <c r="B615" s="41" t="s">
        <v>61</v>
      </c>
      <c r="C615" s="16">
        <v>5413</v>
      </c>
      <c r="D615" s="18">
        <v>1673.4</v>
      </c>
      <c r="E615" s="18">
        <v>1707.8</v>
      </c>
      <c r="F615" s="18">
        <v>1706.9</v>
      </c>
      <c r="G615" s="18">
        <v>1705.5</v>
      </c>
      <c r="H615" s="18">
        <v>1706.9</v>
      </c>
      <c r="I615" s="18">
        <v>1717.3</v>
      </c>
      <c r="J615" s="12">
        <v>10.4</v>
      </c>
    </row>
    <row r="616" spans="1:10" ht="29.5" customHeight="1" thickBot="1" x14ac:dyDescent="0.4">
      <c r="B616" s="48" t="s">
        <v>328</v>
      </c>
      <c r="C616" s="14">
        <v>54131</v>
      </c>
      <c r="D616" s="15">
        <v>206.1</v>
      </c>
      <c r="E616" s="15">
        <v>204.9</v>
      </c>
      <c r="F616" s="15">
        <v>203.5</v>
      </c>
      <c r="G616" s="15">
        <v>203.1</v>
      </c>
      <c r="H616" s="15">
        <v>203</v>
      </c>
      <c r="I616" s="15" t="s">
        <v>104</v>
      </c>
      <c r="J616" s="15" t="s">
        <v>104</v>
      </c>
    </row>
    <row r="617" spans="1:10" ht="44.15" customHeight="1" thickBot="1" x14ac:dyDescent="0.4">
      <c r="B617" s="50" t="s">
        <v>329</v>
      </c>
      <c r="C617" s="16">
        <v>54132</v>
      </c>
      <c r="D617" s="12">
        <v>31.6</v>
      </c>
      <c r="E617" s="12">
        <v>31.4</v>
      </c>
      <c r="F617" s="12">
        <v>31.2</v>
      </c>
      <c r="G617" s="12">
        <v>30.8</v>
      </c>
      <c r="H617" s="12">
        <v>30.6</v>
      </c>
      <c r="I617" s="12" t="s">
        <v>104</v>
      </c>
      <c r="J617" s="12" t="s">
        <v>104</v>
      </c>
    </row>
    <row r="618" spans="1:10" ht="44.15" customHeight="1" thickBot="1" x14ac:dyDescent="0.4">
      <c r="B618" s="48" t="s">
        <v>330</v>
      </c>
      <c r="C618" s="14" t="s">
        <v>331</v>
      </c>
      <c r="D618" s="17">
        <v>1158.5999999999999</v>
      </c>
      <c r="E618" s="17">
        <v>1193.3</v>
      </c>
      <c r="F618" s="17">
        <v>1195.2</v>
      </c>
      <c r="G618" s="17">
        <v>1195.2</v>
      </c>
      <c r="H618" s="17">
        <v>1197.7</v>
      </c>
      <c r="I618" s="15" t="s">
        <v>104</v>
      </c>
      <c r="J618" s="15" t="s">
        <v>104</v>
      </c>
    </row>
    <row r="619" spans="1:10" ht="58.5" customHeight="1" thickBot="1" x14ac:dyDescent="0.4">
      <c r="B619" s="50" t="s">
        <v>332</v>
      </c>
      <c r="C619" s="16" t="s">
        <v>333</v>
      </c>
      <c r="D619" s="12">
        <v>96.5</v>
      </c>
      <c r="E619" s="12">
        <v>94.1</v>
      </c>
      <c r="F619" s="12">
        <v>94.4</v>
      </c>
      <c r="G619" s="12">
        <v>94.3</v>
      </c>
      <c r="H619" s="12">
        <v>95.3</v>
      </c>
      <c r="I619" s="12" t="s">
        <v>104</v>
      </c>
      <c r="J619" s="12" t="s">
        <v>104</v>
      </c>
    </row>
    <row r="620" spans="1:10" ht="44.15" customHeight="1" thickBot="1" x14ac:dyDescent="0.4">
      <c r="B620" s="48" t="s">
        <v>897</v>
      </c>
      <c r="C620" s="14">
        <v>54138</v>
      </c>
      <c r="D620" s="15">
        <v>180.2</v>
      </c>
      <c r="E620" s="15">
        <v>184.3</v>
      </c>
      <c r="F620" s="15">
        <v>182.6</v>
      </c>
      <c r="G620" s="15">
        <v>182.3</v>
      </c>
      <c r="H620" s="15">
        <v>181.4</v>
      </c>
      <c r="I620" s="15" t="s">
        <v>104</v>
      </c>
      <c r="J620" s="15" t="s">
        <v>104</v>
      </c>
    </row>
    <row r="621" spans="1:10" ht="44.15" customHeight="1" thickBot="1" x14ac:dyDescent="0.4">
      <c r="A621" t="s">
        <v>27</v>
      </c>
      <c r="B621" s="41" t="s">
        <v>64</v>
      </c>
      <c r="C621" s="16">
        <v>5414</v>
      </c>
      <c r="D621" s="12">
        <v>154.19999999999999</v>
      </c>
      <c r="E621" s="12">
        <v>152.30000000000001</v>
      </c>
      <c r="F621" s="12">
        <v>152.9</v>
      </c>
      <c r="G621" s="12">
        <v>152.9</v>
      </c>
      <c r="H621" s="12">
        <v>154.69999999999999</v>
      </c>
      <c r="I621" s="12">
        <v>155.6</v>
      </c>
      <c r="J621" s="12">
        <v>0.9</v>
      </c>
    </row>
    <row r="622" spans="1:10" ht="29.5" customHeight="1" thickBot="1" x14ac:dyDescent="0.4">
      <c r="B622" s="48" t="s">
        <v>334</v>
      </c>
      <c r="C622" s="14">
        <v>54141</v>
      </c>
      <c r="D622" s="15">
        <v>53.7</v>
      </c>
      <c r="E622" s="15">
        <v>54.8</v>
      </c>
      <c r="F622" s="15">
        <v>55</v>
      </c>
      <c r="G622" s="15">
        <v>55.4</v>
      </c>
      <c r="H622" s="15">
        <v>56.3</v>
      </c>
      <c r="I622" s="15" t="s">
        <v>104</v>
      </c>
      <c r="J622" s="15" t="s">
        <v>104</v>
      </c>
    </row>
    <row r="623" spans="1:10" ht="44.15" customHeight="1" thickBot="1" x14ac:dyDescent="0.4">
      <c r="B623" s="50" t="s">
        <v>335</v>
      </c>
      <c r="C623" s="16">
        <v>54143</v>
      </c>
      <c r="D623" s="12">
        <v>59.2</v>
      </c>
      <c r="E623" s="12">
        <v>57.1</v>
      </c>
      <c r="F623" s="12">
        <v>58.1</v>
      </c>
      <c r="G623" s="12">
        <v>58</v>
      </c>
      <c r="H623" s="12">
        <v>58.8</v>
      </c>
      <c r="I623" s="12" t="s">
        <v>104</v>
      </c>
      <c r="J623" s="12" t="s">
        <v>104</v>
      </c>
    </row>
    <row r="624" spans="1:10" ht="44.15" customHeight="1" thickBot="1" x14ac:dyDescent="0.4">
      <c r="A624" t="s">
        <v>24</v>
      </c>
      <c r="B624" s="40" t="s">
        <v>336</v>
      </c>
      <c r="C624" s="14">
        <v>5415</v>
      </c>
      <c r="D624" s="17">
        <v>2517.6999999999998</v>
      </c>
      <c r="E624" s="17">
        <v>2548.6</v>
      </c>
      <c r="F624" s="17">
        <v>2546.6999999999998</v>
      </c>
      <c r="G624" s="17">
        <v>2549.6999999999998</v>
      </c>
      <c r="H624" s="17">
        <v>2548.3000000000002</v>
      </c>
      <c r="I624" s="17">
        <v>2549.5</v>
      </c>
      <c r="J624" s="15">
        <v>1.2</v>
      </c>
    </row>
    <row r="625" spans="1:10" ht="44.15" customHeight="1" thickBot="1" x14ac:dyDescent="0.4">
      <c r="B625" s="50" t="s">
        <v>337</v>
      </c>
      <c r="C625" s="16">
        <v>541511</v>
      </c>
      <c r="D625" s="18">
        <v>1139.5999999999999</v>
      </c>
      <c r="E625" s="18">
        <v>1159.0999999999999</v>
      </c>
      <c r="F625" s="18">
        <v>1163.0999999999999</v>
      </c>
      <c r="G625" s="18">
        <v>1166.0999999999999</v>
      </c>
      <c r="H625" s="18">
        <v>1166.0999999999999</v>
      </c>
      <c r="I625" s="12" t="s">
        <v>104</v>
      </c>
      <c r="J625" s="12" t="s">
        <v>104</v>
      </c>
    </row>
    <row r="626" spans="1:10" ht="44.15" customHeight="1" thickBot="1" x14ac:dyDescent="0.4">
      <c r="B626" s="48" t="s">
        <v>338</v>
      </c>
      <c r="C626" s="14">
        <v>541512</v>
      </c>
      <c r="D626" s="17">
        <v>1166.9000000000001</v>
      </c>
      <c r="E626" s="17">
        <v>1171.9000000000001</v>
      </c>
      <c r="F626" s="17">
        <v>1169.4000000000001</v>
      </c>
      <c r="G626" s="17">
        <v>1167.4000000000001</v>
      </c>
      <c r="H626" s="17">
        <v>1165.5</v>
      </c>
      <c r="I626" s="15" t="s">
        <v>104</v>
      </c>
      <c r="J626" s="15" t="s">
        <v>104</v>
      </c>
    </row>
    <row r="627" spans="1:10" ht="44.15" customHeight="1" thickBot="1" x14ac:dyDescent="0.4">
      <c r="B627" s="50" t="s">
        <v>339</v>
      </c>
      <c r="C627" s="16">
        <v>541513</v>
      </c>
      <c r="D627" s="12">
        <v>78</v>
      </c>
      <c r="E627" s="12">
        <v>80.400000000000006</v>
      </c>
      <c r="F627" s="12">
        <v>79.2</v>
      </c>
      <c r="G627" s="12">
        <v>79.400000000000006</v>
      </c>
      <c r="H627" s="12">
        <v>79.2</v>
      </c>
      <c r="I627" s="12" t="s">
        <v>104</v>
      </c>
      <c r="J627" s="12" t="s">
        <v>104</v>
      </c>
    </row>
    <row r="628" spans="1:10" ht="18.649999999999999" customHeight="1" thickBot="1" x14ac:dyDescent="0.4">
      <c r="B628" s="48" t="s">
        <v>898</v>
      </c>
      <c r="C628" s="14">
        <v>541519</v>
      </c>
      <c r="D628" s="15">
        <v>131.80000000000001</v>
      </c>
      <c r="E628" s="15">
        <v>134.4</v>
      </c>
      <c r="F628" s="15">
        <v>134.6</v>
      </c>
      <c r="G628" s="15">
        <v>135.6</v>
      </c>
      <c r="H628" s="15">
        <v>135.9</v>
      </c>
      <c r="I628" s="15" t="s">
        <v>104</v>
      </c>
      <c r="J628" s="15" t="s">
        <v>104</v>
      </c>
    </row>
    <row r="629" spans="1:10" ht="44.15" customHeight="1" thickBot="1" x14ac:dyDescent="0.4">
      <c r="A629" t="s">
        <v>27</v>
      </c>
      <c r="B629" s="41" t="s">
        <v>899</v>
      </c>
      <c r="C629" s="16">
        <v>5416</v>
      </c>
      <c r="D629" s="18">
        <v>1886.2</v>
      </c>
      <c r="E629" s="18">
        <v>1903.8</v>
      </c>
      <c r="F629" s="18">
        <v>1902.6</v>
      </c>
      <c r="G629" s="18">
        <v>1903.8</v>
      </c>
      <c r="H629" s="18">
        <v>1905.6</v>
      </c>
      <c r="I629" s="18">
        <v>1908</v>
      </c>
      <c r="J629" s="12">
        <v>2.4</v>
      </c>
    </row>
    <row r="630" spans="1:10" ht="44.15" customHeight="1" thickBot="1" x14ac:dyDescent="0.4">
      <c r="B630" s="48" t="s">
        <v>340</v>
      </c>
      <c r="C630" s="14">
        <v>54161</v>
      </c>
      <c r="D630" s="17">
        <v>1566</v>
      </c>
      <c r="E630" s="17">
        <v>1573.9</v>
      </c>
      <c r="F630" s="17">
        <v>1572.4</v>
      </c>
      <c r="G630" s="17">
        <v>1574.1</v>
      </c>
      <c r="H630" s="17">
        <v>1574.3</v>
      </c>
      <c r="I630" s="15" t="s">
        <v>104</v>
      </c>
      <c r="J630" s="15" t="s">
        <v>104</v>
      </c>
    </row>
    <row r="631" spans="1:10" ht="44.15" customHeight="1" thickBot="1" x14ac:dyDescent="0.4">
      <c r="B631" s="43" t="s">
        <v>900</v>
      </c>
      <c r="C631" s="16">
        <v>541611</v>
      </c>
      <c r="D631" s="12">
        <v>854.7</v>
      </c>
      <c r="E631" s="12">
        <v>860.5</v>
      </c>
      <c r="F631" s="12">
        <v>860.6</v>
      </c>
      <c r="G631" s="12">
        <v>861.8</v>
      </c>
      <c r="H631" s="12">
        <v>861.4</v>
      </c>
      <c r="I631" s="12" t="s">
        <v>104</v>
      </c>
      <c r="J631" s="12" t="s">
        <v>104</v>
      </c>
    </row>
    <row r="632" spans="1:10" ht="29.5" customHeight="1" thickBot="1" x14ac:dyDescent="0.4">
      <c r="B632" s="44" t="s">
        <v>901</v>
      </c>
      <c r="C632" s="14">
        <v>541612</v>
      </c>
      <c r="D632" s="15">
        <v>94.7</v>
      </c>
      <c r="E632" s="15">
        <v>96.6</v>
      </c>
      <c r="F632" s="15">
        <v>95.5</v>
      </c>
      <c r="G632" s="15">
        <v>94.3</v>
      </c>
      <c r="H632" s="15">
        <v>95.6</v>
      </c>
      <c r="I632" s="15" t="s">
        <v>104</v>
      </c>
      <c r="J632" s="15" t="s">
        <v>104</v>
      </c>
    </row>
    <row r="633" spans="1:10" ht="44.15" customHeight="1" thickBot="1" x14ac:dyDescent="0.4">
      <c r="B633" s="43" t="s">
        <v>341</v>
      </c>
      <c r="C633" s="16">
        <v>541613</v>
      </c>
      <c r="D633" s="12">
        <v>328.1</v>
      </c>
      <c r="E633" s="12">
        <v>321.5</v>
      </c>
      <c r="F633" s="12">
        <v>320.3</v>
      </c>
      <c r="G633" s="12">
        <v>321.60000000000002</v>
      </c>
      <c r="H633" s="12">
        <v>322.7</v>
      </c>
      <c r="I633" s="12" t="s">
        <v>104</v>
      </c>
      <c r="J633" s="12" t="s">
        <v>104</v>
      </c>
    </row>
    <row r="634" spans="1:10" ht="29.5" customHeight="1" thickBot="1" x14ac:dyDescent="0.4">
      <c r="B634" s="44" t="s">
        <v>902</v>
      </c>
      <c r="C634" s="14">
        <v>541614</v>
      </c>
      <c r="D634" s="15">
        <v>166.2</v>
      </c>
      <c r="E634" s="15">
        <v>169</v>
      </c>
      <c r="F634" s="15">
        <v>169.1</v>
      </c>
      <c r="G634" s="15">
        <v>169.3</v>
      </c>
      <c r="H634" s="15">
        <v>169.8</v>
      </c>
      <c r="I634" s="15" t="s">
        <v>104</v>
      </c>
      <c r="J634" s="15" t="s">
        <v>104</v>
      </c>
    </row>
    <row r="635" spans="1:10" ht="44.15" customHeight="1" thickBot="1" x14ac:dyDescent="0.4">
      <c r="B635" s="43" t="s">
        <v>342</v>
      </c>
      <c r="C635" s="16">
        <v>541618</v>
      </c>
      <c r="D635" s="12">
        <v>123.3</v>
      </c>
      <c r="E635" s="12">
        <v>126.7</v>
      </c>
      <c r="F635" s="12">
        <v>126.2</v>
      </c>
      <c r="G635" s="12">
        <v>126.3</v>
      </c>
      <c r="H635" s="12">
        <v>126.7</v>
      </c>
      <c r="I635" s="12" t="s">
        <v>104</v>
      </c>
      <c r="J635" s="12" t="s">
        <v>104</v>
      </c>
    </row>
    <row r="636" spans="1:10" ht="58.5" customHeight="1" thickBot="1" x14ac:dyDescent="0.4">
      <c r="B636" s="48" t="s">
        <v>343</v>
      </c>
      <c r="C636" s="14">
        <v>54162</v>
      </c>
      <c r="D636" s="15">
        <v>100.6</v>
      </c>
      <c r="E636" s="15">
        <v>107.8</v>
      </c>
      <c r="F636" s="15">
        <v>107.6</v>
      </c>
      <c r="G636" s="15">
        <v>107.7</v>
      </c>
      <c r="H636" s="15">
        <v>107.4</v>
      </c>
      <c r="I636" s="15" t="s">
        <v>104</v>
      </c>
      <c r="J636" s="15" t="s">
        <v>104</v>
      </c>
    </row>
    <row r="637" spans="1:10" ht="87.65" customHeight="1" thickBot="1" x14ac:dyDescent="0.4">
      <c r="B637" s="50" t="s">
        <v>903</v>
      </c>
      <c r="C637" s="16">
        <v>54169</v>
      </c>
      <c r="D637" s="12">
        <v>218.5</v>
      </c>
      <c r="E637" s="12">
        <v>221.9</v>
      </c>
      <c r="F637" s="12">
        <v>220.8</v>
      </c>
      <c r="G637" s="12">
        <v>221</v>
      </c>
      <c r="H637" s="12">
        <v>221.6</v>
      </c>
      <c r="I637" s="12" t="s">
        <v>104</v>
      </c>
      <c r="J637" s="12" t="s">
        <v>104</v>
      </c>
    </row>
    <row r="638" spans="1:10" ht="18.649999999999999" customHeight="1" thickBot="1" x14ac:dyDescent="0.4">
      <c r="A638" t="s">
        <v>27</v>
      </c>
      <c r="B638" s="40" t="s">
        <v>62</v>
      </c>
      <c r="C638" s="14">
        <v>5417</v>
      </c>
      <c r="D638" s="15">
        <v>948.5</v>
      </c>
      <c r="E638" s="15">
        <v>955.8</v>
      </c>
      <c r="F638" s="15">
        <v>955.2</v>
      </c>
      <c r="G638" s="15">
        <v>959.2</v>
      </c>
      <c r="H638" s="15">
        <v>960.9</v>
      </c>
      <c r="I638" s="15">
        <v>961.9</v>
      </c>
      <c r="J638" s="15">
        <v>1</v>
      </c>
    </row>
    <row r="639" spans="1:10" ht="29.5" thickBot="1" x14ac:dyDescent="0.4">
      <c r="B639" s="50" t="s">
        <v>344</v>
      </c>
      <c r="C639" s="16">
        <v>54171</v>
      </c>
      <c r="D639" s="12">
        <v>879.4</v>
      </c>
      <c r="E639" s="12">
        <v>886</v>
      </c>
      <c r="F639" s="12">
        <v>884.4</v>
      </c>
      <c r="G639" s="12">
        <v>889.4</v>
      </c>
      <c r="H639" s="12">
        <v>891.8</v>
      </c>
      <c r="I639" s="12" t="s">
        <v>104</v>
      </c>
      <c r="J639" s="12" t="s">
        <v>104</v>
      </c>
    </row>
    <row r="640" spans="1:10" ht="18.649999999999999" customHeight="1" thickBot="1" x14ac:dyDescent="0.4">
      <c r="B640" s="44" t="s">
        <v>345</v>
      </c>
      <c r="C640" s="14">
        <v>541713</v>
      </c>
      <c r="D640" s="15">
        <v>29.6</v>
      </c>
      <c r="E640" s="15">
        <v>29.4</v>
      </c>
      <c r="F640" s="15">
        <v>29.1</v>
      </c>
      <c r="G640" s="15">
        <v>29.1</v>
      </c>
      <c r="H640" s="15">
        <v>29.6</v>
      </c>
      <c r="I640" s="15" t="s">
        <v>104</v>
      </c>
      <c r="J640" s="15" t="s">
        <v>104</v>
      </c>
    </row>
    <row r="641" spans="1:10" ht="18.649999999999999" customHeight="1" thickBot="1" x14ac:dyDescent="0.4">
      <c r="B641" s="43" t="s">
        <v>346</v>
      </c>
      <c r="C641" s="16">
        <v>541714</v>
      </c>
      <c r="D641" s="12">
        <v>292.5</v>
      </c>
      <c r="E641" s="12">
        <v>299.2</v>
      </c>
      <c r="F641" s="12">
        <v>298.7</v>
      </c>
      <c r="G641" s="12">
        <v>301.39999999999998</v>
      </c>
      <c r="H641" s="12">
        <v>303</v>
      </c>
      <c r="I641" s="12" t="s">
        <v>104</v>
      </c>
      <c r="J641" s="12" t="s">
        <v>104</v>
      </c>
    </row>
    <row r="642" spans="1:10" ht="44" customHeight="1" thickBot="1" x14ac:dyDescent="0.4">
      <c r="B642" s="44" t="s">
        <v>347</v>
      </c>
      <c r="C642" s="14">
        <v>541715</v>
      </c>
      <c r="D642" s="15">
        <v>557.1</v>
      </c>
      <c r="E642" s="15">
        <v>557.4</v>
      </c>
      <c r="F642" s="15">
        <v>557.1</v>
      </c>
      <c r="G642" s="15">
        <v>559</v>
      </c>
      <c r="H642" s="15">
        <v>559.79999999999995</v>
      </c>
      <c r="I642" s="15" t="s">
        <v>104</v>
      </c>
      <c r="J642" s="15" t="s">
        <v>104</v>
      </c>
    </row>
    <row r="643" spans="1:10" ht="29.5" customHeight="1" thickBot="1" x14ac:dyDescent="0.4">
      <c r="B643" s="50" t="s">
        <v>904</v>
      </c>
      <c r="C643" s="16">
        <v>54172</v>
      </c>
      <c r="D643" s="12">
        <v>69.2</v>
      </c>
      <c r="E643" s="12">
        <v>69.7</v>
      </c>
      <c r="F643" s="12">
        <v>70.3</v>
      </c>
      <c r="G643" s="12">
        <v>70</v>
      </c>
      <c r="H643" s="12">
        <v>70.099999999999994</v>
      </c>
      <c r="I643" s="12" t="s">
        <v>104</v>
      </c>
      <c r="J643" s="12" t="s">
        <v>104</v>
      </c>
    </row>
    <row r="644" spans="1:10" ht="29.5" customHeight="1" thickBot="1" x14ac:dyDescent="0.4">
      <c r="A644" t="s">
        <v>27</v>
      </c>
      <c r="B644" s="40" t="s">
        <v>63</v>
      </c>
      <c r="C644" s="14">
        <v>5418</v>
      </c>
      <c r="D644" s="15">
        <v>514.79999999999995</v>
      </c>
      <c r="E644" s="15">
        <v>522.6</v>
      </c>
      <c r="F644" s="15">
        <v>521</v>
      </c>
      <c r="G644" s="15">
        <v>522.70000000000005</v>
      </c>
      <c r="H644" s="15">
        <v>523.20000000000005</v>
      </c>
      <c r="I644" s="15">
        <v>522.9</v>
      </c>
      <c r="J644" s="15">
        <v>-0.3</v>
      </c>
    </row>
    <row r="645" spans="1:10" ht="15" thickBot="1" x14ac:dyDescent="0.4">
      <c r="B645" s="50" t="s">
        <v>348</v>
      </c>
      <c r="C645" s="16">
        <v>54181</v>
      </c>
      <c r="D645" s="12">
        <v>234.7</v>
      </c>
      <c r="E645" s="12">
        <v>237.6</v>
      </c>
      <c r="F645" s="12">
        <v>236.9</v>
      </c>
      <c r="G645" s="12">
        <v>236.5</v>
      </c>
      <c r="H645" s="12">
        <v>237.2</v>
      </c>
      <c r="I645" s="12" t="s">
        <v>104</v>
      </c>
      <c r="J645" s="12" t="s">
        <v>104</v>
      </c>
    </row>
    <row r="646" spans="1:10" ht="44.15" customHeight="1" thickBot="1" x14ac:dyDescent="0.4">
      <c r="B646" s="48" t="s">
        <v>349</v>
      </c>
      <c r="C646" s="14">
        <v>54182</v>
      </c>
      <c r="D646" s="15">
        <v>66</v>
      </c>
      <c r="E646" s="15">
        <v>70.5</v>
      </c>
      <c r="F646" s="15">
        <v>70.900000000000006</v>
      </c>
      <c r="G646" s="15">
        <v>70.900000000000006</v>
      </c>
      <c r="H646" s="15">
        <v>71.3</v>
      </c>
      <c r="I646" s="15" t="s">
        <v>104</v>
      </c>
      <c r="J646" s="15" t="s">
        <v>104</v>
      </c>
    </row>
    <row r="647" spans="1:10" ht="29.5" customHeight="1" thickBot="1" x14ac:dyDescent="0.4">
      <c r="B647" s="50" t="s">
        <v>350</v>
      </c>
      <c r="C647" s="16" t="s">
        <v>351</v>
      </c>
      <c r="D647" s="12">
        <v>38</v>
      </c>
      <c r="E647" s="12">
        <v>38.700000000000003</v>
      </c>
      <c r="F647" s="12">
        <v>38.200000000000003</v>
      </c>
      <c r="G647" s="12">
        <v>38</v>
      </c>
      <c r="H647" s="12">
        <v>38.200000000000003</v>
      </c>
      <c r="I647" s="12" t="s">
        <v>104</v>
      </c>
      <c r="J647" s="12" t="s">
        <v>104</v>
      </c>
    </row>
    <row r="648" spans="1:10" ht="15" thickBot="1" x14ac:dyDescent="0.4">
      <c r="B648" s="48" t="s">
        <v>905</v>
      </c>
      <c r="C648" s="14">
        <v>54185</v>
      </c>
      <c r="D648" s="15">
        <v>30.6</v>
      </c>
      <c r="E648" s="15">
        <v>30.6</v>
      </c>
      <c r="F648" s="15">
        <v>30.6</v>
      </c>
      <c r="G648" s="15">
        <v>30.7</v>
      </c>
      <c r="H648" s="15">
        <v>31</v>
      </c>
      <c r="I648" s="15" t="s">
        <v>104</v>
      </c>
      <c r="J648" s="15" t="s">
        <v>104</v>
      </c>
    </row>
    <row r="649" spans="1:10" ht="29.5" customHeight="1" thickBot="1" x14ac:dyDescent="0.4">
      <c r="B649" s="50" t="s">
        <v>352</v>
      </c>
      <c r="C649" s="16">
        <v>54186</v>
      </c>
      <c r="D649" s="12">
        <v>32.5</v>
      </c>
      <c r="E649" s="12">
        <v>30.3</v>
      </c>
      <c r="F649" s="12">
        <v>29.8</v>
      </c>
      <c r="G649" s="12">
        <v>29.4</v>
      </c>
      <c r="H649" s="12">
        <v>28.3</v>
      </c>
      <c r="I649" s="12" t="s">
        <v>104</v>
      </c>
      <c r="J649" s="12" t="s">
        <v>104</v>
      </c>
    </row>
    <row r="650" spans="1:10" ht="29.5" thickBot="1" x14ac:dyDescent="0.4">
      <c r="B650" s="48" t="s">
        <v>906</v>
      </c>
      <c r="C650" s="14" t="s">
        <v>353</v>
      </c>
      <c r="D650" s="15">
        <v>111.9</v>
      </c>
      <c r="E650" s="15">
        <v>114.9</v>
      </c>
      <c r="F650" s="15">
        <v>115.1</v>
      </c>
      <c r="G650" s="15">
        <v>117.3</v>
      </c>
      <c r="H650" s="15">
        <v>117.3</v>
      </c>
      <c r="I650" s="15" t="s">
        <v>104</v>
      </c>
      <c r="J650" s="15" t="s">
        <v>104</v>
      </c>
    </row>
    <row r="651" spans="1:10" ht="29.5" customHeight="1" thickBot="1" x14ac:dyDescent="0.4">
      <c r="A651" t="s">
        <v>27</v>
      </c>
      <c r="B651" s="41" t="s">
        <v>907</v>
      </c>
      <c r="C651" s="16">
        <v>5419</v>
      </c>
      <c r="D651" s="12">
        <v>873.4</v>
      </c>
      <c r="E651" s="12">
        <v>882.9</v>
      </c>
      <c r="F651" s="12">
        <v>882.8</v>
      </c>
      <c r="G651" s="12">
        <v>883.5</v>
      </c>
      <c r="H651" s="12">
        <v>880.2</v>
      </c>
      <c r="I651" s="12">
        <v>880.6</v>
      </c>
      <c r="J651" s="12">
        <v>0.4</v>
      </c>
    </row>
    <row r="652" spans="1:10" ht="44.15" customHeight="1" thickBot="1" x14ac:dyDescent="0.4">
      <c r="B652" s="48" t="s">
        <v>354</v>
      </c>
      <c r="C652" s="14">
        <v>54191</v>
      </c>
      <c r="D652" s="15">
        <v>72.2</v>
      </c>
      <c r="E652" s="15">
        <v>70.3</v>
      </c>
      <c r="F652" s="15">
        <v>69.8</v>
      </c>
      <c r="G652" s="15">
        <v>70.400000000000006</v>
      </c>
      <c r="H652" s="15">
        <v>68.8</v>
      </c>
      <c r="I652" s="15" t="s">
        <v>104</v>
      </c>
      <c r="J652" s="15" t="s">
        <v>104</v>
      </c>
    </row>
    <row r="653" spans="1:10" ht="44.15" customHeight="1" thickBot="1" x14ac:dyDescent="0.4">
      <c r="B653" s="50" t="s">
        <v>355</v>
      </c>
      <c r="C653" s="16">
        <v>54192</v>
      </c>
      <c r="D653" s="12">
        <v>47.6</v>
      </c>
      <c r="E653" s="12">
        <v>44.8</v>
      </c>
      <c r="F653" s="12">
        <v>43.7</v>
      </c>
      <c r="G653" s="12">
        <v>44.7</v>
      </c>
      <c r="H653" s="12">
        <v>44.9</v>
      </c>
      <c r="I653" s="12" t="s">
        <v>104</v>
      </c>
      <c r="J653" s="12" t="s">
        <v>104</v>
      </c>
    </row>
    <row r="654" spans="1:10" ht="73" customHeight="1" thickBot="1" x14ac:dyDescent="0.4">
      <c r="B654" s="48" t="s">
        <v>356</v>
      </c>
      <c r="C654" s="14">
        <v>54194</v>
      </c>
      <c r="D654" s="15">
        <v>466.7</v>
      </c>
      <c r="E654" s="15">
        <v>464.6</v>
      </c>
      <c r="F654" s="15">
        <v>464.1</v>
      </c>
      <c r="G654" s="15">
        <v>465.7</v>
      </c>
      <c r="H654" s="15">
        <v>462.6</v>
      </c>
      <c r="I654" s="15" t="s">
        <v>104</v>
      </c>
      <c r="J654" s="15" t="s">
        <v>104</v>
      </c>
    </row>
    <row r="655" spans="1:10" ht="29.5" customHeight="1" thickBot="1" x14ac:dyDescent="0.4">
      <c r="B655" s="50" t="s">
        <v>908</v>
      </c>
      <c r="C655" s="16" t="s">
        <v>357</v>
      </c>
      <c r="D655" s="12">
        <v>288.3</v>
      </c>
      <c r="E655" s="12">
        <v>301.7</v>
      </c>
      <c r="F655" s="12">
        <v>302.8</v>
      </c>
      <c r="G655" s="12">
        <v>303</v>
      </c>
      <c r="H655" s="12">
        <v>303.89999999999998</v>
      </c>
      <c r="I655" s="12" t="s">
        <v>104</v>
      </c>
      <c r="J655" s="12" t="s">
        <v>104</v>
      </c>
    </row>
    <row r="656" spans="1:10" ht="28.5" thickBot="1" x14ac:dyDescent="0.4">
      <c r="A656" t="s">
        <v>27</v>
      </c>
      <c r="B656" s="38" t="s">
        <v>65</v>
      </c>
      <c r="C656" s="14">
        <v>55</v>
      </c>
      <c r="D656" s="17">
        <v>2556.1999999999998</v>
      </c>
      <c r="E656" s="17">
        <v>2567.4</v>
      </c>
      <c r="F656" s="17">
        <v>2559.5</v>
      </c>
      <c r="G656" s="17">
        <v>2563.3000000000002</v>
      </c>
      <c r="H656" s="17">
        <v>2565.6999999999998</v>
      </c>
      <c r="I656" s="17">
        <v>2564.8000000000002</v>
      </c>
      <c r="J656" s="15">
        <v>-0.9</v>
      </c>
    </row>
    <row r="657" spans="1:10" ht="29.5" customHeight="1" thickBot="1" x14ac:dyDescent="0.4">
      <c r="B657" s="51" t="s">
        <v>909</v>
      </c>
      <c r="C657" s="16" t="s">
        <v>358</v>
      </c>
      <c r="D657" s="12">
        <v>101.3</v>
      </c>
      <c r="E657" s="12">
        <v>106</v>
      </c>
      <c r="F657" s="12">
        <v>106.4</v>
      </c>
      <c r="G657" s="12">
        <v>106.7</v>
      </c>
      <c r="H657" s="12">
        <v>106.9</v>
      </c>
      <c r="I657" s="12" t="s">
        <v>104</v>
      </c>
      <c r="J657" s="12" t="s">
        <v>104</v>
      </c>
    </row>
    <row r="658" spans="1:10" ht="29.5" customHeight="1" thickBot="1" x14ac:dyDescent="0.4">
      <c r="B658" s="49" t="s">
        <v>910</v>
      </c>
      <c r="C658" s="14">
        <v>551114</v>
      </c>
      <c r="D658" s="17">
        <v>2455.6999999999998</v>
      </c>
      <c r="E658" s="17">
        <v>2457.8000000000002</v>
      </c>
      <c r="F658" s="17">
        <v>2451.1999999999998</v>
      </c>
      <c r="G658" s="17">
        <v>2456.5</v>
      </c>
      <c r="H658" s="17">
        <v>2459.9</v>
      </c>
      <c r="I658" s="15" t="s">
        <v>104</v>
      </c>
      <c r="J658" s="15" t="s">
        <v>104</v>
      </c>
    </row>
    <row r="659" spans="1:10" ht="42.5" thickBot="1" x14ac:dyDescent="0.4">
      <c r="B659" s="39" t="s">
        <v>911</v>
      </c>
      <c r="C659" s="16">
        <v>56</v>
      </c>
      <c r="D659" s="18">
        <v>9405.5</v>
      </c>
      <c r="E659" s="18">
        <v>9379.2999999999993</v>
      </c>
      <c r="F659" s="18">
        <v>9346.7999999999993</v>
      </c>
      <c r="G659" s="18">
        <v>9355.5</v>
      </c>
      <c r="H659" s="18">
        <v>9327.6</v>
      </c>
      <c r="I659" s="18">
        <v>9338.7999999999993</v>
      </c>
      <c r="J659" s="12">
        <v>11.2</v>
      </c>
    </row>
    <row r="660" spans="1:10" ht="44.15" customHeight="1" thickBot="1" x14ac:dyDescent="0.4">
      <c r="A660" t="s">
        <v>27</v>
      </c>
      <c r="B660" s="40" t="s">
        <v>359</v>
      </c>
      <c r="C660" s="14">
        <v>561</v>
      </c>
      <c r="D660" s="17">
        <v>8900</v>
      </c>
      <c r="E660" s="17">
        <v>8860.1</v>
      </c>
      <c r="F660" s="17">
        <v>8826.7000000000007</v>
      </c>
      <c r="G660" s="17">
        <v>8833.9</v>
      </c>
      <c r="H660" s="17">
        <v>8804.4</v>
      </c>
      <c r="I660" s="17">
        <v>8813.2999999999993</v>
      </c>
      <c r="J660" s="15">
        <v>8.9</v>
      </c>
    </row>
    <row r="661" spans="1:10" ht="44.15" customHeight="1" thickBot="1" x14ac:dyDescent="0.4">
      <c r="B661" s="45" t="s">
        <v>68</v>
      </c>
      <c r="C661" s="16">
        <v>5611</v>
      </c>
      <c r="D661" s="12">
        <v>632.9</v>
      </c>
      <c r="E661" s="12">
        <v>632.4</v>
      </c>
      <c r="F661" s="12">
        <v>630.5</v>
      </c>
      <c r="G661" s="12">
        <v>631.79999999999995</v>
      </c>
      <c r="H661" s="12">
        <v>632.1</v>
      </c>
      <c r="I661" s="12">
        <v>633.20000000000005</v>
      </c>
      <c r="J661" s="12">
        <v>1.1000000000000001</v>
      </c>
    </row>
    <row r="662" spans="1:10" ht="58.5" customHeight="1" thickBot="1" x14ac:dyDescent="0.4">
      <c r="B662" s="42" t="s">
        <v>69</v>
      </c>
      <c r="C662" s="14">
        <v>5612</v>
      </c>
      <c r="D662" s="15">
        <v>172.4</v>
      </c>
      <c r="E662" s="15">
        <v>183</v>
      </c>
      <c r="F662" s="15">
        <v>183.4</v>
      </c>
      <c r="G662" s="15">
        <v>184.4</v>
      </c>
      <c r="H662" s="15">
        <v>184.2</v>
      </c>
      <c r="I662" s="15">
        <v>185.7</v>
      </c>
      <c r="J662" s="15">
        <v>1.5</v>
      </c>
    </row>
    <row r="663" spans="1:10" ht="44.15" customHeight="1" thickBot="1" x14ac:dyDescent="0.4">
      <c r="B663" s="45" t="s">
        <v>66</v>
      </c>
      <c r="C663" s="16">
        <v>5613</v>
      </c>
      <c r="D663" s="18">
        <v>3553.2</v>
      </c>
      <c r="E663" s="18">
        <v>3479.8</v>
      </c>
      <c r="F663" s="18">
        <v>3454.5</v>
      </c>
      <c r="G663" s="18">
        <v>3463.1</v>
      </c>
      <c r="H663" s="18">
        <v>3429.7</v>
      </c>
      <c r="I663" s="18">
        <v>3436.5</v>
      </c>
      <c r="J663" s="12">
        <v>6.8</v>
      </c>
    </row>
    <row r="664" spans="1:10" ht="29.5" thickBot="1" x14ac:dyDescent="0.4">
      <c r="B664" s="44" t="s">
        <v>360</v>
      </c>
      <c r="C664" s="14">
        <v>56131</v>
      </c>
      <c r="D664" s="15">
        <v>309.5</v>
      </c>
      <c r="E664" s="15">
        <v>328.3</v>
      </c>
      <c r="F664" s="15">
        <v>328</v>
      </c>
      <c r="G664" s="15">
        <v>328.7</v>
      </c>
      <c r="H664" s="15">
        <v>326.10000000000002</v>
      </c>
      <c r="I664" s="15" t="s">
        <v>104</v>
      </c>
      <c r="J664" s="15" t="s">
        <v>104</v>
      </c>
    </row>
    <row r="665" spans="1:10" ht="44.15" customHeight="1" thickBot="1" x14ac:dyDescent="0.4">
      <c r="B665" s="47" t="s">
        <v>361</v>
      </c>
      <c r="C665" s="16">
        <v>561311</v>
      </c>
      <c r="D665" s="12">
        <v>264.3</v>
      </c>
      <c r="E665" s="12">
        <v>282.10000000000002</v>
      </c>
      <c r="F665" s="12">
        <v>280.89999999999998</v>
      </c>
      <c r="G665" s="12">
        <v>281.5</v>
      </c>
      <c r="H665" s="12">
        <v>280.5</v>
      </c>
      <c r="I665" s="12" t="s">
        <v>104</v>
      </c>
      <c r="J665" s="12" t="s">
        <v>104</v>
      </c>
    </row>
    <row r="666" spans="1:10" ht="58.5" customHeight="1" thickBot="1" x14ac:dyDescent="0.4">
      <c r="B666" s="46" t="s">
        <v>362</v>
      </c>
      <c r="C666" s="14">
        <v>561312</v>
      </c>
      <c r="D666" s="15">
        <v>43.8</v>
      </c>
      <c r="E666" s="15">
        <v>45.1</v>
      </c>
      <c r="F666" s="15">
        <v>45.7</v>
      </c>
      <c r="G666" s="15">
        <v>45.9</v>
      </c>
      <c r="H666" s="15">
        <v>45.6</v>
      </c>
      <c r="I666" s="15" t="s">
        <v>104</v>
      </c>
      <c r="J666" s="15" t="s">
        <v>104</v>
      </c>
    </row>
    <row r="667" spans="1:10" ht="58.5" customHeight="1" thickBot="1" x14ac:dyDescent="0.4">
      <c r="B667" s="43" t="s">
        <v>363</v>
      </c>
      <c r="C667" s="16">
        <v>56132</v>
      </c>
      <c r="D667" s="18">
        <v>2785.8</v>
      </c>
      <c r="E667" s="18">
        <v>2696.5</v>
      </c>
      <c r="F667" s="18">
        <v>2673.2</v>
      </c>
      <c r="G667" s="18">
        <v>2678</v>
      </c>
      <c r="H667" s="18">
        <v>2644.7</v>
      </c>
      <c r="I667" s="18">
        <v>2646.3</v>
      </c>
      <c r="J667" s="12">
        <v>1.6</v>
      </c>
    </row>
    <row r="668" spans="1:10" ht="44.15" customHeight="1" thickBot="1" x14ac:dyDescent="0.4">
      <c r="B668" s="44" t="s">
        <v>364</v>
      </c>
      <c r="C668" s="14">
        <v>56133</v>
      </c>
      <c r="D668" s="15">
        <v>456.5</v>
      </c>
      <c r="E668" s="15">
        <v>454.6</v>
      </c>
      <c r="F668" s="15">
        <v>453.7</v>
      </c>
      <c r="G668" s="15">
        <v>454.7</v>
      </c>
      <c r="H668" s="15">
        <v>451.8</v>
      </c>
      <c r="I668" s="15" t="s">
        <v>104</v>
      </c>
      <c r="J668" s="15" t="s">
        <v>104</v>
      </c>
    </row>
    <row r="669" spans="1:10" ht="58.5" customHeight="1" thickBot="1" x14ac:dyDescent="0.4">
      <c r="B669" s="45" t="s">
        <v>70</v>
      </c>
      <c r="C669" s="16">
        <v>5614</v>
      </c>
      <c r="D669" s="12">
        <v>723.6</v>
      </c>
      <c r="E669" s="12">
        <v>699.3</v>
      </c>
      <c r="F669" s="12">
        <v>694.7</v>
      </c>
      <c r="G669" s="12">
        <v>691.6</v>
      </c>
      <c r="H669" s="12">
        <v>687.3</v>
      </c>
      <c r="I669" s="12">
        <v>687.1</v>
      </c>
      <c r="J669" s="12">
        <v>-0.2</v>
      </c>
    </row>
    <row r="670" spans="1:10" ht="58.5" customHeight="1" thickBot="1" x14ac:dyDescent="0.4">
      <c r="B670" s="44" t="s">
        <v>365</v>
      </c>
      <c r="C670" s="14">
        <v>56141</v>
      </c>
      <c r="D670" s="15">
        <v>37.9</v>
      </c>
      <c r="E670" s="15">
        <v>35.9</v>
      </c>
      <c r="F670" s="15">
        <v>35.299999999999997</v>
      </c>
      <c r="G670" s="15">
        <v>35.299999999999997</v>
      </c>
      <c r="H670" s="15">
        <v>35</v>
      </c>
      <c r="I670" s="15" t="s">
        <v>104</v>
      </c>
      <c r="J670" s="15" t="s">
        <v>104</v>
      </c>
    </row>
    <row r="671" spans="1:10" ht="44.15" customHeight="1" thickBot="1" x14ac:dyDescent="0.4">
      <c r="B671" s="43" t="s">
        <v>366</v>
      </c>
      <c r="C671" s="16">
        <v>56142</v>
      </c>
      <c r="D671" s="12">
        <v>383.6</v>
      </c>
      <c r="E671" s="12">
        <v>367.7</v>
      </c>
      <c r="F671" s="12">
        <v>363.9</v>
      </c>
      <c r="G671" s="12">
        <v>364.4</v>
      </c>
      <c r="H671" s="12">
        <v>362.6</v>
      </c>
      <c r="I671" s="12" t="s">
        <v>104</v>
      </c>
      <c r="J671" s="12" t="s">
        <v>104</v>
      </c>
    </row>
    <row r="672" spans="1:10" ht="44.15" customHeight="1" thickBot="1" x14ac:dyDescent="0.4">
      <c r="B672" s="46" t="s">
        <v>367</v>
      </c>
      <c r="C672" s="14">
        <v>561421</v>
      </c>
      <c r="D672" s="15">
        <v>35.6</v>
      </c>
      <c r="E672" s="15">
        <v>35</v>
      </c>
      <c r="F672" s="15">
        <v>35.5</v>
      </c>
      <c r="G672" s="15">
        <v>35.1</v>
      </c>
      <c r="H672" s="15">
        <v>35.799999999999997</v>
      </c>
      <c r="I672" s="15" t="s">
        <v>104</v>
      </c>
      <c r="J672" s="15" t="s">
        <v>104</v>
      </c>
    </row>
    <row r="673" spans="2:10" ht="29.5" thickBot="1" x14ac:dyDescent="0.4">
      <c r="B673" s="47" t="s">
        <v>912</v>
      </c>
      <c r="C673" s="16">
        <v>561422</v>
      </c>
      <c r="D673" s="12">
        <v>347.7</v>
      </c>
      <c r="E673" s="12">
        <v>332.9</v>
      </c>
      <c r="F673" s="12">
        <v>328.8</v>
      </c>
      <c r="G673" s="12">
        <v>329.4</v>
      </c>
      <c r="H673" s="12">
        <v>326.60000000000002</v>
      </c>
      <c r="I673" s="12" t="s">
        <v>104</v>
      </c>
      <c r="J673" s="12" t="s">
        <v>104</v>
      </c>
    </row>
    <row r="674" spans="2:10" ht="73" customHeight="1" thickBot="1" x14ac:dyDescent="0.4">
      <c r="B674" s="44" t="s">
        <v>368</v>
      </c>
      <c r="C674" s="14">
        <v>56143</v>
      </c>
      <c r="D674" s="15">
        <v>81.8</v>
      </c>
      <c r="E674" s="15">
        <v>80.900000000000006</v>
      </c>
      <c r="F674" s="15">
        <v>82.1</v>
      </c>
      <c r="G674" s="15">
        <v>81.3</v>
      </c>
      <c r="H674" s="15">
        <v>80.400000000000006</v>
      </c>
      <c r="I674" s="15" t="s">
        <v>104</v>
      </c>
      <c r="J674" s="15" t="s">
        <v>104</v>
      </c>
    </row>
    <row r="675" spans="2:10" ht="58.5" customHeight="1" thickBot="1" x14ac:dyDescent="0.4">
      <c r="B675" s="43" t="s">
        <v>369</v>
      </c>
      <c r="C675" s="16">
        <v>56144</v>
      </c>
      <c r="D675" s="12">
        <v>90.7</v>
      </c>
      <c r="E675" s="12">
        <v>85.4</v>
      </c>
      <c r="F675" s="12">
        <v>85.2</v>
      </c>
      <c r="G675" s="12">
        <v>85</v>
      </c>
      <c r="H675" s="12">
        <v>83.1</v>
      </c>
      <c r="I675" s="12" t="s">
        <v>104</v>
      </c>
      <c r="J675" s="12" t="s">
        <v>104</v>
      </c>
    </row>
    <row r="676" spans="2:10" ht="87.65" customHeight="1" thickBot="1" x14ac:dyDescent="0.4">
      <c r="B676" s="44" t="s">
        <v>995</v>
      </c>
      <c r="C676" s="14" t="s">
        <v>370</v>
      </c>
      <c r="D676" s="15">
        <v>128.9</v>
      </c>
      <c r="E676" s="15">
        <v>128.69999999999999</v>
      </c>
      <c r="F676" s="15">
        <v>129</v>
      </c>
      <c r="G676" s="15">
        <v>126.8</v>
      </c>
      <c r="H676" s="15">
        <v>127</v>
      </c>
      <c r="I676" s="15" t="s">
        <v>104</v>
      </c>
      <c r="J676" s="15" t="s">
        <v>104</v>
      </c>
    </row>
    <row r="677" spans="2:10" ht="145.5" customHeight="1" thickBot="1" x14ac:dyDescent="0.4">
      <c r="B677" s="45" t="s">
        <v>71</v>
      </c>
      <c r="C677" s="16">
        <v>5615</v>
      </c>
      <c r="D677" s="12">
        <v>197.5</v>
      </c>
      <c r="E677" s="12">
        <v>194.1</v>
      </c>
      <c r="F677" s="12">
        <v>194.9</v>
      </c>
      <c r="G677" s="12">
        <v>195.6</v>
      </c>
      <c r="H677" s="12">
        <v>196.7</v>
      </c>
      <c r="I677" s="12">
        <v>198.5</v>
      </c>
      <c r="J677" s="12">
        <v>1.8</v>
      </c>
    </row>
    <row r="678" spans="2:10" ht="44.15" customHeight="1" thickBot="1" x14ac:dyDescent="0.4">
      <c r="B678" s="44" t="s">
        <v>371</v>
      </c>
      <c r="C678" s="14">
        <v>56151</v>
      </c>
      <c r="D678" s="15">
        <v>84.6</v>
      </c>
      <c r="E678" s="15">
        <v>82.4</v>
      </c>
      <c r="F678" s="15">
        <v>82.4</v>
      </c>
      <c r="G678" s="15">
        <v>82.8</v>
      </c>
      <c r="H678" s="15">
        <v>83.3</v>
      </c>
      <c r="I678" s="15" t="s">
        <v>104</v>
      </c>
      <c r="J678" s="15" t="s">
        <v>104</v>
      </c>
    </row>
    <row r="679" spans="2:10" ht="58.5" customHeight="1" thickBot="1" x14ac:dyDescent="0.4">
      <c r="B679" s="43" t="s">
        <v>372</v>
      </c>
      <c r="C679" s="16">
        <v>56152</v>
      </c>
      <c r="D679" s="12">
        <v>24.6</v>
      </c>
      <c r="E679" s="12">
        <v>23.1</v>
      </c>
      <c r="F679" s="12">
        <v>23</v>
      </c>
      <c r="G679" s="12">
        <v>23.3</v>
      </c>
      <c r="H679" s="12">
        <v>23.3</v>
      </c>
      <c r="I679" s="12" t="s">
        <v>104</v>
      </c>
      <c r="J679" s="12" t="s">
        <v>104</v>
      </c>
    </row>
    <row r="680" spans="2:10" ht="29.5" customHeight="1" thickBot="1" x14ac:dyDescent="0.4">
      <c r="B680" s="44" t="s">
        <v>913</v>
      </c>
      <c r="C680" s="14">
        <v>56159</v>
      </c>
      <c r="D680" s="15">
        <v>88.2</v>
      </c>
      <c r="E680" s="15">
        <v>89.2</v>
      </c>
      <c r="F680" s="15">
        <v>90.6</v>
      </c>
      <c r="G680" s="15">
        <v>89.7</v>
      </c>
      <c r="H680" s="15">
        <v>90.3</v>
      </c>
      <c r="I680" s="15" t="s">
        <v>104</v>
      </c>
      <c r="J680" s="15" t="s">
        <v>104</v>
      </c>
    </row>
    <row r="681" spans="2:10" ht="29.5" customHeight="1" thickBot="1" x14ac:dyDescent="0.4">
      <c r="B681" s="45" t="s">
        <v>72</v>
      </c>
      <c r="C681" s="16">
        <v>5616</v>
      </c>
      <c r="D681" s="18">
        <v>1012.9</v>
      </c>
      <c r="E681" s="18">
        <v>1024.0999999999999</v>
      </c>
      <c r="F681" s="18">
        <v>1024.2</v>
      </c>
      <c r="G681" s="18">
        <v>1022.2</v>
      </c>
      <c r="H681" s="18">
        <v>1030.0999999999999</v>
      </c>
      <c r="I681" s="18">
        <v>1025.5999999999999</v>
      </c>
      <c r="J681" s="12">
        <v>-4.5</v>
      </c>
    </row>
    <row r="682" spans="2:10" ht="73" customHeight="1" thickBot="1" x14ac:dyDescent="0.4">
      <c r="B682" s="44" t="s">
        <v>914</v>
      </c>
      <c r="C682" s="14">
        <v>56161</v>
      </c>
      <c r="D682" s="15">
        <v>851.3</v>
      </c>
      <c r="E682" s="15">
        <v>866.5</v>
      </c>
      <c r="F682" s="15">
        <v>865.4</v>
      </c>
      <c r="G682" s="15">
        <v>864.9</v>
      </c>
      <c r="H682" s="15">
        <v>872</v>
      </c>
      <c r="I682" s="15" t="s">
        <v>104</v>
      </c>
      <c r="J682" s="15" t="s">
        <v>104</v>
      </c>
    </row>
    <row r="683" spans="2:10" ht="29.5" customHeight="1" thickBot="1" x14ac:dyDescent="0.4">
      <c r="B683" s="47" t="s">
        <v>915</v>
      </c>
      <c r="C683" s="16">
        <v>561611</v>
      </c>
      <c r="D683" s="12">
        <v>43.4</v>
      </c>
      <c r="E683" s="12">
        <v>42.3</v>
      </c>
      <c r="F683" s="12">
        <v>42.2</v>
      </c>
      <c r="G683" s="12">
        <v>41.5</v>
      </c>
      <c r="H683" s="12">
        <v>41.7</v>
      </c>
      <c r="I683" s="12" t="s">
        <v>104</v>
      </c>
      <c r="J683" s="12" t="s">
        <v>104</v>
      </c>
    </row>
    <row r="684" spans="2:10" ht="29.5" customHeight="1" thickBot="1" x14ac:dyDescent="0.4">
      <c r="B684" s="46" t="s">
        <v>916</v>
      </c>
      <c r="C684" s="14" t="s">
        <v>373</v>
      </c>
      <c r="D684" s="15">
        <v>808.4</v>
      </c>
      <c r="E684" s="15">
        <v>824</v>
      </c>
      <c r="F684" s="15">
        <v>823</v>
      </c>
      <c r="G684" s="15">
        <v>823.4</v>
      </c>
      <c r="H684" s="15">
        <v>830.3</v>
      </c>
      <c r="I684" s="15" t="s">
        <v>104</v>
      </c>
      <c r="J684" s="15" t="s">
        <v>104</v>
      </c>
    </row>
    <row r="685" spans="2:10" ht="73" customHeight="1" thickBot="1" x14ac:dyDescent="0.4">
      <c r="B685" s="43" t="s">
        <v>374</v>
      </c>
      <c r="C685" s="16">
        <v>56162</v>
      </c>
      <c r="D685" s="12">
        <v>160.19999999999999</v>
      </c>
      <c r="E685" s="12">
        <v>158.30000000000001</v>
      </c>
      <c r="F685" s="12">
        <v>159.69999999999999</v>
      </c>
      <c r="G685" s="12">
        <v>160</v>
      </c>
      <c r="H685" s="12">
        <v>159.30000000000001</v>
      </c>
      <c r="I685" s="12" t="s">
        <v>104</v>
      </c>
      <c r="J685" s="12" t="s">
        <v>104</v>
      </c>
    </row>
    <row r="686" spans="2:10" ht="15" thickBot="1" x14ac:dyDescent="0.4">
      <c r="B686" s="42" t="s">
        <v>67</v>
      </c>
      <c r="C686" s="14">
        <v>5617</v>
      </c>
      <c r="D686" s="17">
        <v>2266.4</v>
      </c>
      <c r="E686" s="17">
        <v>2302.1</v>
      </c>
      <c r="F686" s="17">
        <v>2300.5</v>
      </c>
      <c r="G686" s="17">
        <v>2302.1</v>
      </c>
      <c r="H686" s="17">
        <v>2304.6999999999998</v>
      </c>
      <c r="I686" s="17">
        <v>2307.6999999999998</v>
      </c>
      <c r="J686" s="15">
        <v>3</v>
      </c>
    </row>
    <row r="687" spans="2:10" ht="58.5" customHeight="1" thickBot="1" x14ac:dyDescent="0.4">
      <c r="B687" s="43" t="s">
        <v>375</v>
      </c>
      <c r="C687" s="16">
        <v>56171</v>
      </c>
      <c r="D687" s="12">
        <v>148.6</v>
      </c>
      <c r="E687" s="12">
        <v>152</v>
      </c>
      <c r="F687" s="12">
        <v>153.30000000000001</v>
      </c>
      <c r="G687" s="12">
        <v>153.80000000000001</v>
      </c>
      <c r="H687" s="12">
        <v>154.19999999999999</v>
      </c>
      <c r="I687" s="12" t="s">
        <v>104</v>
      </c>
      <c r="J687" s="12" t="s">
        <v>104</v>
      </c>
    </row>
    <row r="688" spans="2:10" ht="29.5" customHeight="1" thickBot="1" x14ac:dyDescent="0.4">
      <c r="B688" s="44" t="s">
        <v>376</v>
      </c>
      <c r="C688" s="14">
        <v>56172</v>
      </c>
      <c r="D688" s="17">
        <v>1071.4000000000001</v>
      </c>
      <c r="E688" s="17">
        <v>1091.9000000000001</v>
      </c>
      <c r="F688" s="17">
        <v>1089.7</v>
      </c>
      <c r="G688" s="17">
        <v>1088.4000000000001</v>
      </c>
      <c r="H688" s="17">
        <v>1086.0999999999999</v>
      </c>
      <c r="I688" s="15" t="s">
        <v>104</v>
      </c>
      <c r="J688" s="15" t="s">
        <v>104</v>
      </c>
    </row>
    <row r="689" spans="1:10" ht="29.5" customHeight="1" thickBot="1" x14ac:dyDescent="0.4">
      <c r="B689" s="43" t="s">
        <v>377</v>
      </c>
      <c r="C689" s="16">
        <v>56173</v>
      </c>
      <c r="D689" s="12">
        <v>889.2</v>
      </c>
      <c r="E689" s="12">
        <v>909</v>
      </c>
      <c r="F689" s="12">
        <v>907.7</v>
      </c>
      <c r="G689" s="12">
        <v>910.3</v>
      </c>
      <c r="H689" s="12">
        <v>910.7</v>
      </c>
      <c r="I689" s="12" t="s">
        <v>104</v>
      </c>
      <c r="J689" s="12" t="s">
        <v>104</v>
      </c>
    </row>
    <row r="690" spans="1:10" ht="58.5" customHeight="1" thickBot="1" x14ac:dyDescent="0.4">
      <c r="B690" s="44" t="s">
        <v>378</v>
      </c>
      <c r="C690" s="14">
        <v>56174</v>
      </c>
      <c r="D690" s="15">
        <v>37.200000000000003</v>
      </c>
      <c r="E690" s="15">
        <v>39.4</v>
      </c>
      <c r="F690" s="15">
        <v>39</v>
      </c>
      <c r="G690" s="15">
        <v>38.4</v>
      </c>
      <c r="H690" s="15">
        <v>38.4</v>
      </c>
      <c r="I690" s="15" t="s">
        <v>104</v>
      </c>
      <c r="J690" s="15" t="s">
        <v>104</v>
      </c>
    </row>
    <row r="691" spans="1:10" ht="29.5" thickBot="1" x14ac:dyDescent="0.4">
      <c r="B691" s="43" t="s">
        <v>379</v>
      </c>
      <c r="C691" s="16">
        <v>56179</v>
      </c>
      <c r="D691" s="12">
        <v>110.8</v>
      </c>
      <c r="E691" s="12">
        <v>114.2</v>
      </c>
      <c r="F691" s="12">
        <v>111.6</v>
      </c>
      <c r="G691" s="12">
        <v>109.8</v>
      </c>
      <c r="H691" s="12">
        <v>113.3</v>
      </c>
      <c r="I691" s="12" t="s">
        <v>104</v>
      </c>
      <c r="J691" s="12" t="s">
        <v>104</v>
      </c>
    </row>
    <row r="692" spans="1:10" ht="73" customHeight="1" thickBot="1" x14ac:dyDescent="0.4">
      <c r="B692" s="42" t="s">
        <v>73</v>
      </c>
      <c r="C692" s="14">
        <v>5619</v>
      </c>
      <c r="D692" s="15">
        <v>341.1</v>
      </c>
      <c r="E692" s="15">
        <v>345.3</v>
      </c>
      <c r="F692" s="15">
        <v>344</v>
      </c>
      <c r="G692" s="15">
        <v>343.1</v>
      </c>
      <c r="H692" s="15">
        <v>339.7</v>
      </c>
      <c r="I692" s="15">
        <v>339.1</v>
      </c>
      <c r="J692" s="15">
        <v>-0.6</v>
      </c>
    </row>
    <row r="693" spans="1:10" ht="15" thickBot="1" x14ac:dyDescent="0.4">
      <c r="B693" s="43" t="s">
        <v>380</v>
      </c>
      <c r="C693" s="16">
        <v>56191</v>
      </c>
      <c r="D693" s="12">
        <v>65.5</v>
      </c>
      <c r="E693" s="12">
        <v>69</v>
      </c>
      <c r="F693" s="12">
        <v>68.5</v>
      </c>
      <c r="G693" s="12">
        <v>68.7</v>
      </c>
      <c r="H693" s="12">
        <v>68.599999999999994</v>
      </c>
      <c r="I693" s="12" t="s">
        <v>104</v>
      </c>
      <c r="J693" s="12" t="s">
        <v>104</v>
      </c>
    </row>
    <row r="694" spans="1:10" ht="18.649999999999999" customHeight="1" thickBot="1" x14ac:dyDescent="0.4">
      <c r="B694" s="44" t="s">
        <v>381</v>
      </c>
      <c r="C694" s="14">
        <v>56192</v>
      </c>
      <c r="D694" s="15">
        <v>52.5</v>
      </c>
      <c r="E694" s="15">
        <v>54.4</v>
      </c>
      <c r="F694" s="15">
        <v>54.4</v>
      </c>
      <c r="G694" s="15">
        <v>54.4</v>
      </c>
      <c r="H694" s="15">
        <v>51.7</v>
      </c>
      <c r="I694" s="15" t="s">
        <v>104</v>
      </c>
      <c r="J694" s="15" t="s">
        <v>104</v>
      </c>
    </row>
    <row r="695" spans="1:10" ht="15" thickBot="1" x14ac:dyDescent="0.4">
      <c r="B695" s="43" t="s">
        <v>382</v>
      </c>
      <c r="C695" s="16">
        <v>56199</v>
      </c>
      <c r="D695" s="12">
        <v>223</v>
      </c>
      <c r="E695" s="12">
        <v>221.8</v>
      </c>
      <c r="F695" s="12">
        <v>221.4</v>
      </c>
      <c r="G695" s="12">
        <v>220.4</v>
      </c>
      <c r="H695" s="12">
        <v>219.1</v>
      </c>
      <c r="I695" s="12" t="s">
        <v>104</v>
      </c>
      <c r="J695" s="12" t="s">
        <v>104</v>
      </c>
    </row>
    <row r="696" spans="1:10" ht="18.649999999999999" customHeight="1" thickBot="1" x14ac:dyDescent="0.4">
      <c r="A696" t="s">
        <v>91</v>
      </c>
      <c r="B696" s="40" t="s">
        <v>74</v>
      </c>
      <c r="C696" s="14">
        <v>562</v>
      </c>
      <c r="D696" s="15">
        <v>505.5</v>
      </c>
      <c r="E696" s="15">
        <v>519.20000000000005</v>
      </c>
      <c r="F696" s="15">
        <v>520.1</v>
      </c>
      <c r="G696" s="15">
        <v>521.6</v>
      </c>
      <c r="H696" s="15">
        <v>523.20000000000005</v>
      </c>
      <c r="I696" s="15">
        <v>525.5</v>
      </c>
      <c r="J696" s="15">
        <v>2.2999999999999998</v>
      </c>
    </row>
    <row r="697" spans="1:10" ht="18.649999999999999" customHeight="1" thickBot="1" x14ac:dyDescent="0.4">
      <c r="B697" s="50" t="s">
        <v>383</v>
      </c>
      <c r="C697" s="16">
        <v>5621</v>
      </c>
      <c r="D697" s="12">
        <v>216.2</v>
      </c>
      <c r="E697" s="12">
        <v>218.5</v>
      </c>
      <c r="F697" s="12">
        <v>219</v>
      </c>
      <c r="G697" s="12">
        <v>220.4</v>
      </c>
      <c r="H697" s="12">
        <v>222</v>
      </c>
      <c r="I697" s="12" t="s">
        <v>104</v>
      </c>
      <c r="J697" s="12" t="s">
        <v>104</v>
      </c>
    </row>
    <row r="698" spans="1:10" ht="29.5" customHeight="1" thickBot="1" x14ac:dyDescent="0.4">
      <c r="B698" s="48" t="s">
        <v>384</v>
      </c>
      <c r="C698" s="14">
        <v>5622</v>
      </c>
      <c r="D698" s="15">
        <v>105.5</v>
      </c>
      <c r="E698" s="15">
        <v>108.1</v>
      </c>
      <c r="F698" s="15">
        <v>108.2</v>
      </c>
      <c r="G698" s="15">
        <v>108.2</v>
      </c>
      <c r="H698" s="15">
        <v>108.1</v>
      </c>
      <c r="I698" s="15" t="s">
        <v>104</v>
      </c>
      <c r="J698" s="15" t="s">
        <v>104</v>
      </c>
    </row>
    <row r="699" spans="1:10" ht="87.65" customHeight="1" thickBot="1" x14ac:dyDescent="0.4">
      <c r="B699" s="43" t="s">
        <v>385</v>
      </c>
      <c r="C699" s="16">
        <v>562211</v>
      </c>
      <c r="D699" s="12">
        <v>41.5</v>
      </c>
      <c r="E699" s="12">
        <v>41.6</v>
      </c>
      <c r="F699" s="12">
        <v>41.2</v>
      </c>
      <c r="G699" s="12">
        <v>41.3</v>
      </c>
      <c r="H699" s="12">
        <v>41.2</v>
      </c>
      <c r="I699" s="12" t="s">
        <v>104</v>
      </c>
      <c r="J699" s="12" t="s">
        <v>104</v>
      </c>
    </row>
    <row r="700" spans="1:10" ht="44.15" customHeight="1" thickBot="1" x14ac:dyDescent="0.4">
      <c r="B700" s="44" t="s">
        <v>917</v>
      </c>
      <c r="C700" s="14" t="s">
        <v>386</v>
      </c>
      <c r="D700" s="15">
        <v>64.2</v>
      </c>
      <c r="E700" s="15">
        <v>66.8</v>
      </c>
      <c r="F700" s="15">
        <v>67</v>
      </c>
      <c r="G700" s="15">
        <v>66.7</v>
      </c>
      <c r="H700" s="15">
        <v>66.8</v>
      </c>
      <c r="I700" s="15" t="s">
        <v>104</v>
      </c>
      <c r="J700" s="15" t="s">
        <v>104</v>
      </c>
    </row>
    <row r="701" spans="1:10" ht="44.15" customHeight="1" thickBot="1" x14ac:dyDescent="0.4">
      <c r="B701" s="50" t="s">
        <v>918</v>
      </c>
      <c r="C701" s="16">
        <v>5629</v>
      </c>
      <c r="D701" s="12">
        <v>183.4</v>
      </c>
      <c r="E701" s="12">
        <v>192.8</v>
      </c>
      <c r="F701" s="12">
        <v>193.5</v>
      </c>
      <c r="G701" s="12">
        <v>193.7</v>
      </c>
      <c r="H701" s="12">
        <v>193.6</v>
      </c>
      <c r="I701" s="12" t="s">
        <v>104</v>
      </c>
      <c r="J701" s="12" t="s">
        <v>104</v>
      </c>
    </row>
    <row r="702" spans="1:10" ht="29.5" customHeight="1" thickBot="1" x14ac:dyDescent="0.4">
      <c r="B702" s="44" t="s">
        <v>387</v>
      </c>
      <c r="C702" s="14">
        <v>56291</v>
      </c>
      <c r="D702" s="15">
        <v>99.4</v>
      </c>
      <c r="E702" s="15">
        <v>104.3</v>
      </c>
      <c r="F702" s="15">
        <v>105</v>
      </c>
      <c r="G702" s="15">
        <v>105.8</v>
      </c>
      <c r="H702" s="15">
        <v>105.2</v>
      </c>
      <c r="I702" s="15" t="s">
        <v>104</v>
      </c>
      <c r="J702" s="15" t="s">
        <v>104</v>
      </c>
    </row>
    <row r="703" spans="1:10" ht="44.15" customHeight="1" thickBot="1" x14ac:dyDescent="0.4">
      <c r="B703" s="43" t="s">
        <v>388</v>
      </c>
      <c r="C703" s="16" t="s">
        <v>389</v>
      </c>
      <c r="D703" s="12">
        <v>84.4</v>
      </c>
      <c r="E703" s="12">
        <v>88.3</v>
      </c>
      <c r="F703" s="12">
        <v>88.4</v>
      </c>
      <c r="G703" s="12">
        <v>88</v>
      </c>
      <c r="H703" s="12">
        <v>88.7</v>
      </c>
      <c r="I703" s="12" t="s">
        <v>104</v>
      </c>
      <c r="J703" s="12" t="s">
        <v>104</v>
      </c>
    </row>
    <row r="704" spans="1:10" ht="18.649999999999999" customHeight="1" thickBot="1" x14ac:dyDescent="0.4">
      <c r="B704" s="73"/>
      <c r="C704" s="74"/>
      <c r="D704" s="74"/>
      <c r="E704" s="74"/>
      <c r="F704" s="74"/>
      <c r="G704" s="74"/>
      <c r="H704" s="74"/>
      <c r="I704" s="74"/>
      <c r="J704" s="75"/>
    </row>
    <row r="705" spans="1:10" ht="44.15" customHeight="1" thickBot="1" x14ac:dyDescent="0.4">
      <c r="B705" s="37" t="s">
        <v>919</v>
      </c>
      <c r="C705" s="12"/>
      <c r="D705" s="13">
        <v>25747</v>
      </c>
      <c r="E705" s="13">
        <v>26403</v>
      </c>
      <c r="F705" s="13">
        <v>26470</v>
      </c>
      <c r="G705" s="13">
        <v>26561</v>
      </c>
      <c r="H705" s="13">
        <v>26628</v>
      </c>
      <c r="I705" s="13">
        <v>26707</v>
      </c>
      <c r="J705" s="12">
        <v>79</v>
      </c>
    </row>
    <row r="706" spans="1:10" ht="29.5" customHeight="1" thickBot="1" x14ac:dyDescent="0.4">
      <c r="A706" t="s">
        <v>29</v>
      </c>
      <c r="B706" s="38" t="s">
        <v>920</v>
      </c>
      <c r="C706" s="14">
        <v>61</v>
      </c>
      <c r="D706" s="17">
        <v>3835</v>
      </c>
      <c r="E706" s="17">
        <v>3868.4</v>
      </c>
      <c r="F706" s="17">
        <v>3880.8</v>
      </c>
      <c r="G706" s="17">
        <v>3889.8</v>
      </c>
      <c r="H706" s="17">
        <v>3892.8</v>
      </c>
      <c r="I706" s="17">
        <v>3899.7</v>
      </c>
      <c r="J706" s="15">
        <v>6.9</v>
      </c>
    </row>
    <row r="707" spans="1:10" ht="44.15" customHeight="1" thickBot="1" x14ac:dyDescent="0.4">
      <c r="B707" s="51" t="s">
        <v>921</v>
      </c>
      <c r="C707" s="16">
        <v>6111</v>
      </c>
      <c r="D707" s="18">
        <v>1157.7</v>
      </c>
      <c r="E707" s="18">
        <v>1167.7</v>
      </c>
      <c r="F707" s="18">
        <v>1173.2</v>
      </c>
      <c r="G707" s="18">
        <v>1179.2</v>
      </c>
      <c r="H707" s="18">
        <v>1183.5999999999999</v>
      </c>
      <c r="I707" s="12" t="s">
        <v>104</v>
      </c>
      <c r="J707" s="12" t="s">
        <v>104</v>
      </c>
    </row>
    <row r="708" spans="1:10" ht="29.5" customHeight="1" thickBot="1" x14ac:dyDescent="0.4">
      <c r="B708" s="49" t="s">
        <v>922</v>
      </c>
      <c r="C708" s="14" t="s">
        <v>923</v>
      </c>
      <c r="D708" s="17">
        <v>1748.5</v>
      </c>
      <c r="E708" s="17">
        <v>1761.6</v>
      </c>
      <c r="F708" s="17">
        <v>1764.4</v>
      </c>
      <c r="G708" s="17">
        <v>1765</v>
      </c>
      <c r="H708" s="17">
        <v>1759.9</v>
      </c>
      <c r="I708" s="15" t="s">
        <v>104</v>
      </c>
      <c r="J708" s="15" t="s">
        <v>104</v>
      </c>
    </row>
    <row r="709" spans="1:10" ht="29.5" customHeight="1" thickBot="1" x14ac:dyDescent="0.4">
      <c r="B709" s="51" t="s">
        <v>924</v>
      </c>
      <c r="C709" s="16">
        <v>6114</v>
      </c>
      <c r="D709" s="12">
        <v>87.7</v>
      </c>
      <c r="E709" s="12">
        <v>87.2</v>
      </c>
      <c r="F709" s="12">
        <v>87.2</v>
      </c>
      <c r="G709" s="12">
        <v>88.4</v>
      </c>
      <c r="H709" s="12">
        <v>88.4</v>
      </c>
      <c r="I709" s="12" t="s">
        <v>104</v>
      </c>
      <c r="J709" s="12" t="s">
        <v>104</v>
      </c>
    </row>
    <row r="710" spans="1:10" ht="29.5" customHeight="1" thickBot="1" x14ac:dyDescent="0.4">
      <c r="B710" s="48" t="s">
        <v>925</v>
      </c>
      <c r="C710" s="14" t="s">
        <v>390</v>
      </c>
      <c r="D710" s="15">
        <v>25.9</v>
      </c>
      <c r="E710" s="15">
        <v>22.2</v>
      </c>
      <c r="F710" s="15">
        <v>22.4</v>
      </c>
      <c r="G710" s="15">
        <v>22.7</v>
      </c>
      <c r="H710" s="15">
        <v>22.2</v>
      </c>
      <c r="I710" s="15" t="s">
        <v>104</v>
      </c>
      <c r="J710" s="15" t="s">
        <v>104</v>
      </c>
    </row>
    <row r="711" spans="1:10" ht="73" customHeight="1" thickBot="1" x14ac:dyDescent="0.4">
      <c r="B711" s="50" t="s">
        <v>926</v>
      </c>
      <c r="C711" s="16">
        <v>61143</v>
      </c>
      <c r="D711" s="12">
        <v>61.8</v>
      </c>
      <c r="E711" s="12">
        <v>64.7</v>
      </c>
      <c r="F711" s="12">
        <v>64.5</v>
      </c>
      <c r="G711" s="12">
        <v>65.7</v>
      </c>
      <c r="H711" s="12">
        <v>66.5</v>
      </c>
      <c r="I711" s="12" t="s">
        <v>104</v>
      </c>
      <c r="J711" s="12" t="s">
        <v>104</v>
      </c>
    </row>
    <row r="712" spans="1:10" ht="27.65" customHeight="1" thickBot="1" x14ac:dyDescent="0.4">
      <c r="B712" s="49" t="s">
        <v>927</v>
      </c>
      <c r="C712" s="14">
        <v>6115</v>
      </c>
      <c r="D712" s="15">
        <v>120.7</v>
      </c>
      <c r="E712" s="15">
        <v>122.3</v>
      </c>
      <c r="F712" s="15">
        <v>123.2</v>
      </c>
      <c r="G712" s="15">
        <v>122</v>
      </c>
      <c r="H712" s="15">
        <v>124.7</v>
      </c>
      <c r="I712" s="15" t="s">
        <v>104</v>
      </c>
      <c r="J712" s="15" t="s">
        <v>104</v>
      </c>
    </row>
    <row r="713" spans="1:10" ht="29.5" customHeight="1" thickBot="1" x14ac:dyDescent="0.4">
      <c r="B713" s="51" t="s">
        <v>928</v>
      </c>
      <c r="C713" s="16">
        <v>6116</v>
      </c>
      <c r="D713" s="12">
        <v>530.20000000000005</v>
      </c>
      <c r="E713" s="12">
        <v>528.70000000000005</v>
      </c>
      <c r="F713" s="12">
        <v>533.70000000000005</v>
      </c>
      <c r="G713" s="12">
        <v>541.1</v>
      </c>
      <c r="H713" s="12">
        <v>546.4</v>
      </c>
      <c r="I713" s="12" t="s">
        <v>104</v>
      </c>
      <c r="J713" s="12" t="s">
        <v>104</v>
      </c>
    </row>
    <row r="714" spans="1:10" ht="29.5" customHeight="1" thickBot="1" x14ac:dyDescent="0.4">
      <c r="B714" s="48" t="s">
        <v>929</v>
      </c>
      <c r="C714" s="14">
        <v>61161</v>
      </c>
      <c r="D714" s="15">
        <v>126</v>
      </c>
      <c r="E714" s="15">
        <v>126.5</v>
      </c>
      <c r="F714" s="15">
        <v>125.1</v>
      </c>
      <c r="G714" s="15">
        <v>127.1</v>
      </c>
      <c r="H714" s="15">
        <v>126.8</v>
      </c>
      <c r="I714" s="15" t="s">
        <v>104</v>
      </c>
      <c r="J714" s="15" t="s">
        <v>104</v>
      </c>
    </row>
    <row r="715" spans="1:10" ht="44.15" customHeight="1" thickBot="1" x14ac:dyDescent="0.4">
      <c r="B715" s="50" t="s">
        <v>930</v>
      </c>
      <c r="C715" s="16">
        <v>61162</v>
      </c>
      <c r="D715" s="12">
        <v>175.9</v>
      </c>
      <c r="E715" s="12">
        <v>178.3</v>
      </c>
      <c r="F715" s="12">
        <v>181.1</v>
      </c>
      <c r="G715" s="12">
        <v>180.7</v>
      </c>
      <c r="H715" s="12">
        <v>181.1</v>
      </c>
      <c r="I715" s="12" t="s">
        <v>104</v>
      </c>
      <c r="J715" s="12" t="s">
        <v>104</v>
      </c>
    </row>
    <row r="716" spans="1:10" ht="18.649999999999999" customHeight="1" thickBot="1" x14ac:dyDescent="0.4">
      <c r="B716" s="48" t="s">
        <v>931</v>
      </c>
      <c r="C716" s="14" t="s">
        <v>391</v>
      </c>
      <c r="D716" s="15">
        <v>226.6</v>
      </c>
      <c r="E716" s="15">
        <v>229.5</v>
      </c>
      <c r="F716" s="15">
        <v>231.9</v>
      </c>
      <c r="G716" s="15">
        <v>233.2</v>
      </c>
      <c r="H716" s="15">
        <v>237.7</v>
      </c>
      <c r="I716" s="15" t="s">
        <v>104</v>
      </c>
      <c r="J716" s="15" t="s">
        <v>104</v>
      </c>
    </row>
    <row r="717" spans="1:10" ht="44.15" customHeight="1" thickBot="1" x14ac:dyDescent="0.4">
      <c r="B717" s="51" t="s">
        <v>932</v>
      </c>
      <c r="C717" s="16">
        <v>6117</v>
      </c>
      <c r="D717" s="12">
        <v>191.2</v>
      </c>
      <c r="E717" s="12">
        <v>190.8</v>
      </c>
      <c r="F717" s="12">
        <v>189.4</v>
      </c>
      <c r="G717" s="12">
        <v>190.4</v>
      </c>
      <c r="H717" s="12">
        <v>191.6</v>
      </c>
      <c r="I717" s="12" t="s">
        <v>104</v>
      </c>
      <c r="J717" s="12" t="s">
        <v>104</v>
      </c>
    </row>
    <row r="718" spans="1:10" ht="29.5" customHeight="1" thickBot="1" x14ac:dyDescent="0.4">
      <c r="A718" t="s">
        <v>30</v>
      </c>
      <c r="B718" s="38" t="s">
        <v>392</v>
      </c>
      <c r="C718" s="14">
        <v>62</v>
      </c>
      <c r="D718" s="17">
        <v>21912.400000000001</v>
      </c>
      <c r="E718" s="17">
        <v>22534.2</v>
      </c>
      <c r="F718" s="17">
        <v>22589.5</v>
      </c>
      <c r="G718" s="17">
        <v>22670.9</v>
      </c>
      <c r="H718" s="17">
        <v>22735.1</v>
      </c>
      <c r="I718" s="17">
        <v>22807.4</v>
      </c>
      <c r="J718" s="15">
        <v>72.3</v>
      </c>
    </row>
    <row r="719" spans="1:10" ht="73" customHeight="1" thickBot="1" x14ac:dyDescent="0.4">
      <c r="B719" s="51" t="s">
        <v>393</v>
      </c>
      <c r="C719" s="16" t="s">
        <v>394</v>
      </c>
      <c r="D719" s="18">
        <v>17241.400000000001</v>
      </c>
      <c r="E719" s="18">
        <v>17697.599999999999</v>
      </c>
      <c r="F719" s="18">
        <v>17741</v>
      </c>
      <c r="G719" s="18">
        <v>17800.2</v>
      </c>
      <c r="H719" s="18">
        <v>17867.2</v>
      </c>
      <c r="I719" s="18">
        <v>17920.8</v>
      </c>
      <c r="J719" s="12">
        <v>53.6</v>
      </c>
    </row>
    <row r="720" spans="1:10" ht="29.5" customHeight="1" thickBot="1" x14ac:dyDescent="0.4">
      <c r="B720" s="42" t="s">
        <v>395</v>
      </c>
      <c r="C720" s="14">
        <v>621</v>
      </c>
      <c r="D720" s="17">
        <v>8604.5</v>
      </c>
      <c r="E720" s="17">
        <v>8832.9</v>
      </c>
      <c r="F720" s="17">
        <v>8861.6</v>
      </c>
      <c r="G720" s="17">
        <v>8893.2000000000007</v>
      </c>
      <c r="H720" s="17">
        <v>8937.6</v>
      </c>
      <c r="I720" s="17">
        <v>8960</v>
      </c>
      <c r="J720" s="15">
        <v>22.4</v>
      </c>
    </row>
    <row r="721" spans="2:10" ht="18.649999999999999" customHeight="1" thickBot="1" x14ac:dyDescent="0.4">
      <c r="B721" s="52" t="s">
        <v>75</v>
      </c>
      <c r="C721" s="16">
        <v>6211</v>
      </c>
      <c r="D721" s="18">
        <v>2977.2</v>
      </c>
      <c r="E721" s="18">
        <v>3036.6</v>
      </c>
      <c r="F721" s="18">
        <v>3041.3</v>
      </c>
      <c r="G721" s="18">
        <v>3048.3</v>
      </c>
      <c r="H721" s="18">
        <v>3059.6</v>
      </c>
      <c r="I721" s="18">
        <v>3061.5</v>
      </c>
      <c r="J721" s="12">
        <v>1.9</v>
      </c>
    </row>
    <row r="722" spans="2:10" ht="44.15" customHeight="1" thickBot="1" x14ac:dyDescent="0.4">
      <c r="B722" s="46" t="s">
        <v>933</v>
      </c>
      <c r="C722" s="14">
        <v>621111</v>
      </c>
      <c r="D722" s="17">
        <v>2894.8</v>
      </c>
      <c r="E722" s="17">
        <v>2949.1</v>
      </c>
      <c r="F722" s="17">
        <v>2953.1</v>
      </c>
      <c r="G722" s="17">
        <v>2959</v>
      </c>
      <c r="H722" s="17">
        <v>2971.3</v>
      </c>
      <c r="I722" s="15" t="s">
        <v>104</v>
      </c>
      <c r="J722" s="15" t="s">
        <v>104</v>
      </c>
    </row>
    <row r="723" spans="2:10" ht="29.5" customHeight="1" thickBot="1" x14ac:dyDescent="0.4">
      <c r="B723" s="47" t="s">
        <v>934</v>
      </c>
      <c r="C723" s="16">
        <v>621112</v>
      </c>
      <c r="D723" s="12">
        <v>82.5</v>
      </c>
      <c r="E723" s="12">
        <v>87.1</v>
      </c>
      <c r="F723" s="12">
        <v>88.2</v>
      </c>
      <c r="G723" s="12">
        <v>89.3</v>
      </c>
      <c r="H723" s="12">
        <v>89.3</v>
      </c>
      <c r="I723" s="12" t="s">
        <v>104</v>
      </c>
      <c r="J723" s="12" t="s">
        <v>104</v>
      </c>
    </row>
    <row r="724" spans="2:10" ht="29.5" customHeight="1" thickBot="1" x14ac:dyDescent="0.4">
      <c r="B724" s="53" t="s">
        <v>76</v>
      </c>
      <c r="C724" s="14">
        <v>6212</v>
      </c>
      <c r="D724" s="17">
        <v>1031.0999999999999</v>
      </c>
      <c r="E724" s="17">
        <v>1041.8</v>
      </c>
      <c r="F724" s="17">
        <v>1043.8</v>
      </c>
      <c r="G724" s="17">
        <v>1045.5</v>
      </c>
      <c r="H724" s="17">
        <v>1057.3</v>
      </c>
      <c r="I724" s="17">
        <v>1052.5999999999999</v>
      </c>
      <c r="J724" s="15">
        <v>-4.7</v>
      </c>
    </row>
    <row r="725" spans="2:10" ht="58.5" customHeight="1" thickBot="1" x14ac:dyDescent="0.4">
      <c r="B725" s="52" t="s">
        <v>77</v>
      </c>
      <c r="C725" s="16">
        <v>6213</v>
      </c>
      <c r="D725" s="18">
        <v>1178</v>
      </c>
      <c r="E725" s="18">
        <v>1212.2</v>
      </c>
      <c r="F725" s="18">
        <v>1218.3</v>
      </c>
      <c r="G725" s="18">
        <v>1223.7</v>
      </c>
      <c r="H725" s="18">
        <v>1229.5</v>
      </c>
      <c r="I725" s="18">
        <v>1239</v>
      </c>
      <c r="J725" s="12">
        <v>9.5</v>
      </c>
    </row>
    <row r="726" spans="2:10" ht="44.15" customHeight="1" thickBot="1" x14ac:dyDescent="0.4">
      <c r="B726" s="46" t="s">
        <v>396</v>
      </c>
      <c r="C726" s="14">
        <v>62131</v>
      </c>
      <c r="D726" s="15">
        <v>147.69999999999999</v>
      </c>
      <c r="E726" s="15">
        <v>151.6</v>
      </c>
      <c r="F726" s="15">
        <v>150.80000000000001</v>
      </c>
      <c r="G726" s="15">
        <v>150.1</v>
      </c>
      <c r="H726" s="15">
        <v>149.80000000000001</v>
      </c>
      <c r="I726" s="15" t="s">
        <v>104</v>
      </c>
      <c r="J726" s="15" t="s">
        <v>104</v>
      </c>
    </row>
    <row r="727" spans="2:10" ht="15" thickBot="1" x14ac:dyDescent="0.4">
      <c r="B727" s="47" t="s">
        <v>397</v>
      </c>
      <c r="C727" s="16">
        <v>62132</v>
      </c>
      <c r="D727" s="12">
        <v>153.9</v>
      </c>
      <c r="E727" s="12">
        <v>156.19999999999999</v>
      </c>
      <c r="F727" s="12">
        <v>158.9</v>
      </c>
      <c r="G727" s="12">
        <v>159.5</v>
      </c>
      <c r="H727" s="12">
        <v>158.6</v>
      </c>
      <c r="I727" s="12" t="s">
        <v>104</v>
      </c>
      <c r="J727" s="12" t="s">
        <v>104</v>
      </c>
    </row>
    <row r="728" spans="2:10" ht="44.15" customHeight="1" thickBot="1" x14ac:dyDescent="0.4">
      <c r="B728" s="46" t="s">
        <v>935</v>
      </c>
      <c r="C728" s="14">
        <v>62133</v>
      </c>
      <c r="D728" s="15">
        <v>210.9</v>
      </c>
      <c r="E728" s="15">
        <v>234</v>
      </c>
      <c r="F728" s="15">
        <v>235.1</v>
      </c>
      <c r="G728" s="15">
        <v>238.6</v>
      </c>
      <c r="H728" s="15">
        <v>237.7</v>
      </c>
      <c r="I728" s="15" t="s">
        <v>104</v>
      </c>
      <c r="J728" s="15" t="s">
        <v>104</v>
      </c>
    </row>
    <row r="729" spans="2:10" ht="44.15" customHeight="1" thickBot="1" x14ac:dyDescent="0.4">
      <c r="B729" s="47" t="s">
        <v>936</v>
      </c>
      <c r="C729" s="16">
        <v>62134</v>
      </c>
      <c r="D729" s="12">
        <v>476.2</v>
      </c>
      <c r="E729" s="12">
        <v>479.9</v>
      </c>
      <c r="F729" s="12">
        <v>482.8</v>
      </c>
      <c r="G729" s="12">
        <v>486.1</v>
      </c>
      <c r="H729" s="12">
        <v>488.8</v>
      </c>
      <c r="I729" s="12" t="s">
        <v>104</v>
      </c>
      <c r="J729" s="12" t="s">
        <v>104</v>
      </c>
    </row>
    <row r="730" spans="2:10" ht="44.15" customHeight="1" thickBot="1" x14ac:dyDescent="0.4">
      <c r="B730" s="46" t="s">
        <v>398</v>
      </c>
      <c r="C730" s="14">
        <v>62139</v>
      </c>
      <c r="D730" s="15">
        <v>186.3</v>
      </c>
      <c r="E730" s="15">
        <v>189.9</v>
      </c>
      <c r="F730" s="15">
        <v>191</v>
      </c>
      <c r="G730" s="15">
        <v>190.8</v>
      </c>
      <c r="H730" s="15">
        <v>192.1</v>
      </c>
      <c r="I730" s="15" t="s">
        <v>104</v>
      </c>
      <c r="J730" s="15" t="s">
        <v>104</v>
      </c>
    </row>
    <row r="731" spans="2:10" ht="15" thickBot="1" x14ac:dyDescent="0.4">
      <c r="B731" s="55" t="s">
        <v>399</v>
      </c>
      <c r="C731" s="16">
        <v>621391</v>
      </c>
      <c r="D731" s="12">
        <v>33.4</v>
      </c>
      <c r="E731" s="12">
        <v>33.9</v>
      </c>
      <c r="F731" s="12">
        <v>33.700000000000003</v>
      </c>
      <c r="G731" s="12">
        <v>33.5</v>
      </c>
      <c r="H731" s="12">
        <v>33.5</v>
      </c>
      <c r="I731" s="12" t="s">
        <v>104</v>
      </c>
      <c r="J731" s="12" t="s">
        <v>104</v>
      </c>
    </row>
    <row r="732" spans="2:10" ht="29.5" customHeight="1" thickBot="1" x14ac:dyDescent="0.4">
      <c r="B732" s="56" t="s">
        <v>937</v>
      </c>
      <c r="C732" s="14">
        <v>621399</v>
      </c>
      <c r="D732" s="15">
        <v>153</v>
      </c>
      <c r="E732" s="15">
        <v>156.1</v>
      </c>
      <c r="F732" s="15">
        <v>157.1</v>
      </c>
      <c r="G732" s="15">
        <v>157.6</v>
      </c>
      <c r="H732" s="15">
        <v>158.6</v>
      </c>
      <c r="I732" s="15" t="s">
        <v>104</v>
      </c>
      <c r="J732" s="15" t="s">
        <v>104</v>
      </c>
    </row>
    <row r="733" spans="2:10" ht="29.5" customHeight="1" thickBot="1" x14ac:dyDescent="0.4">
      <c r="B733" s="52" t="s">
        <v>78</v>
      </c>
      <c r="C733" s="16">
        <v>6214</v>
      </c>
      <c r="D733" s="18">
        <v>1074</v>
      </c>
      <c r="E733" s="18">
        <v>1091.5999999999999</v>
      </c>
      <c r="F733" s="18">
        <v>1093.5999999999999</v>
      </c>
      <c r="G733" s="18">
        <v>1096.8</v>
      </c>
      <c r="H733" s="18">
        <v>1093.8</v>
      </c>
      <c r="I733" s="18">
        <v>1094.4000000000001</v>
      </c>
      <c r="J733" s="12">
        <v>0.6</v>
      </c>
    </row>
    <row r="734" spans="2:10" ht="58.5" customHeight="1" thickBot="1" x14ac:dyDescent="0.4">
      <c r="B734" s="46" t="s">
        <v>938</v>
      </c>
      <c r="C734" s="14">
        <v>62142</v>
      </c>
      <c r="D734" s="15">
        <v>300.8</v>
      </c>
      <c r="E734" s="15">
        <v>309.89999999999998</v>
      </c>
      <c r="F734" s="15">
        <v>309.7</v>
      </c>
      <c r="G734" s="15">
        <v>311.8</v>
      </c>
      <c r="H734" s="15">
        <v>312.39999999999998</v>
      </c>
      <c r="I734" s="15" t="s">
        <v>104</v>
      </c>
      <c r="J734" s="15" t="s">
        <v>104</v>
      </c>
    </row>
    <row r="735" spans="2:10" ht="58.5" customHeight="1" thickBot="1" x14ac:dyDescent="0.4">
      <c r="B735" s="47" t="s">
        <v>939</v>
      </c>
      <c r="C735" s="16" t="s">
        <v>400</v>
      </c>
      <c r="D735" s="12">
        <v>772.8</v>
      </c>
      <c r="E735" s="12">
        <v>781.9</v>
      </c>
      <c r="F735" s="12">
        <v>783.9</v>
      </c>
      <c r="G735" s="12">
        <v>784.3</v>
      </c>
      <c r="H735" s="12">
        <v>781.3</v>
      </c>
      <c r="I735" s="12" t="s">
        <v>104</v>
      </c>
      <c r="J735" s="12" t="s">
        <v>104</v>
      </c>
    </row>
    <row r="736" spans="2:10" ht="44.15" customHeight="1" thickBot="1" x14ac:dyDescent="0.4">
      <c r="B736" s="56" t="s">
        <v>401</v>
      </c>
      <c r="C736" s="14">
        <v>621491</v>
      </c>
      <c r="D736" s="15">
        <v>197.9</v>
      </c>
      <c r="E736" s="15">
        <v>193.7</v>
      </c>
      <c r="F736" s="15">
        <v>194.9</v>
      </c>
      <c r="G736" s="15">
        <v>193.5</v>
      </c>
      <c r="H736" s="15">
        <v>192.2</v>
      </c>
      <c r="I736" s="15" t="s">
        <v>104</v>
      </c>
      <c r="J736" s="15" t="s">
        <v>104</v>
      </c>
    </row>
    <row r="737" spans="2:10" ht="29.5" customHeight="1" thickBot="1" x14ac:dyDescent="0.4">
      <c r="B737" s="55" t="s">
        <v>402</v>
      </c>
      <c r="C737" s="16">
        <v>621492</v>
      </c>
      <c r="D737" s="12">
        <v>131.5</v>
      </c>
      <c r="E737" s="12">
        <v>131.5</v>
      </c>
      <c r="F737" s="12">
        <v>130.80000000000001</v>
      </c>
      <c r="G737" s="12">
        <v>131.30000000000001</v>
      </c>
      <c r="H737" s="12">
        <v>129.4</v>
      </c>
      <c r="I737" s="12" t="s">
        <v>104</v>
      </c>
      <c r="J737" s="12" t="s">
        <v>104</v>
      </c>
    </row>
    <row r="738" spans="2:10" ht="87.65" customHeight="1" thickBot="1" x14ac:dyDescent="0.4">
      <c r="B738" s="56" t="s">
        <v>940</v>
      </c>
      <c r="C738" s="14">
        <v>621493</v>
      </c>
      <c r="D738" s="15">
        <v>177.2</v>
      </c>
      <c r="E738" s="15">
        <v>179.7</v>
      </c>
      <c r="F738" s="15">
        <v>180.3</v>
      </c>
      <c r="G738" s="15">
        <v>182.6</v>
      </c>
      <c r="H738" s="15">
        <v>181.6</v>
      </c>
      <c r="I738" s="15" t="s">
        <v>104</v>
      </c>
      <c r="J738" s="15" t="s">
        <v>104</v>
      </c>
    </row>
    <row r="739" spans="2:10" ht="29.5" customHeight="1" thickBot="1" x14ac:dyDescent="0.4">
      <c r="B739" s="55" t="s">
        <v>941</v>
      </c>
      <c r="C739" s="16" t="s">
        <v>403</v>
      </c>
      <c r="D739" s="12">
        <v>265.7</v>
      </c>
      <c r="E739" s="12">
        <v>276.60000000000002</v>
      </c>
      <c r="F739" s="12">
        <v>277.60000000000002</v>
      </c>
      <c r="G739" s="12">
        <v>277.7</v>
      </c>
      <c r="H739" s="12">
        <v>278.10000000000002</v>
      </c>
      <c r="I739" s="12" t="s">
        <v>104</v>
      </c>
      <c r="J739" s="12" t="s">
        <v>104</v>
      </c>
    </row>
    <row r="740" spans="2:10" ht="44" customHeight="1" thickBot="1" x14ac:dyDescent="0.4">
      <c r="B740" s="53" t="s">
        <v>79</v>
      </c>
      <c r="C740" s="14">
        <v>6215</v>
      </c>
      <c r="D740" s="15">
        <v>323.60000000000002</v>
      </c>
      <c r="E740" s="15">
        <v>317.39999999999998</v>
      </c>
      <c r="F740" s="15">
        <v>318</v>
      </c>
      <c r="G740" s="15">
        <v>316.5</v>
      </c>
      <c r="H740" s="15">
        <v>318.39999999999998</v>
      </c>
      <c r="I740" s="15">
        <v>318.2</v>
      </c>
      <c r="J740" s="15">
        <v>-0.2</v>
      </c>
    </row>
    <row r="741" spans="2:10" ht="15" thickBot="1" x14ac:dyDescent="0.4">
      <c r="B741" s="47" t="s">
        <v>404</v>
      </c>
      <c r="C741" s="16">
        <v>621511</v>
      </c>
      <c r="D741" s="12">
        <v>234.4</v>
      </c>
      <c r="E741" s="12">
        <v>225.7</v>
      </c>
      <c r="F741" s="12">
        <v>225</v>
      </c>
      <c r="G741" s="12">
        <v>223.6</v>
      </c>
      <c r="H741" s="12">
        <v>225</v>
      </c>
      <c r="I741" s="12" t="s">
        <v>104</v>
      </c>
      <c r="J741" s="12" t="s">
        <v>104</v>
      </c>
    </row>
    <row r="742" spans="2:10" ht="44.15" customHeight="1" thickBot="1" x14ac:dyDescent="0.4">
      <c r="B742" s="46" t="s">
        <v>405</v>
      </c>
      <c r="C742" s="14">
        <v>621512</v>
      </c>
      <c r="D742" s="15">
        <v>89</v>
      </c>
      <c r="E742" s="15">
        <v>91.4</v>
      </c>
      <c r="F742" s="15">
        <v>92.7</v>
      </c>
      <c r="G742" s="15">
        <v>92.5</v>
      </c>
      <c r="H742" s="15">
        <v>93.6</v>
      </c>
      <c r="I742" s="15" t="s">
        <v>104</v>
      </c>
      <c r="J742" s="15" t="s">
        <v>104</v>
      </c>
    </row>
    <row r="743" spans="2:10" ht="29.5" customHeight="1" thickBot="1" x14ac:dyDescent="0.4">
      <c r="B743" s="52" t="s">
        <v>80</v>
      </c>
      <c r="C743" s="16">
        <v>6216</v>
      </c>
      <c r="D743" s="18">
        <v>1667.5</v>
      </c>
      <c r="E743" s="18">
        <v>1775.4</v>
      </c>
      <c r="F743" s="18">
        <v>1786.1</v>
      </c>
      <c r="G743" s="18">
        <v>1801.6</v>
      </c>
      <c r="H743" s="18">
        <v>1815.4</v>
      </c>
      <c r="I743" s="18">
        <v>1831.4</v>
      </c>
      <c r="J743" s="12">
        <v>16</v>
      </c>
    </row>
    <row r="744" spans="2:10" ht="29.5" customHeight="1" thickBot="1" x14ac:dyDescent="0.4">
      <c r="B744" s="53" t="s">
        <v>81</v>
      </c>
      <c r="C744" s="14">
        <v>6219</v>
      </c>
      <c r="D744" s="15">
        <v>353.1</v>
      </c>
      <c r="E744" s="15">
        <v>358</v>
      </c>
      <c r="F744" s="15">
        <v>360.6</v>
      </c>
      <c r="G744" s="15">
        <v>360.8</v>
      </c>
      <c r="H744" s="15">
        <v>363.5</v>
      </c>
      <c r="I744" s="15">
        <v>363</v>
      </c>
      <c r="J744" s="15">
        <v>-0.5</v>
      </c>
    </row>
    <row r="745" spans="2:10" ht="58.5" customHeight="1" thickBot="1" x14ac:dyDescent="0.4">
      <c r="B745" s="47" t="s">
        <v>406</v>
      </c>
      <c r="C745" s="16">
        <v>62191</v>
      </c>
      <c r="D745" s="12">
        <v>167.6</v>
      </c>
      <c r="E745" s="12">
        <v>167.9</v>
      </c>
      <c r="F745" s="12">
        <v>170.3</v>
      </c>
      <c r="G745" s="12">
        <v>170.6</v>
      </c>
      <c r="H745" s="12">
        <v>172</v>
      </c>
      <c r="I745" s="12" t="s">
        <v>104</v>
      </c>
      <c r="J745" s="12" t="s">
        <v>104</v>
      </c>
    </row>
    <row r="746" spans="2:10" ht="73" customHeight="1" thickBot="1" x14ac:dyDescent="0.4">
      <c r="B746" s="46" t="s">
        <v>407</v>
      </c>
      <c r="C746" s="14">
        <v>62199</v>
      </c>
      <c r="D746" s="15">
        <v>186.1</v>
      </c>
      <c r="E746" s="15">
        <v>190.4</v>
      </c>
      <c r="F746" s="15">
        <v>191</v>
      </c>
      <c r="G746" s="15">
        <v>190.2</v>
      </c>
      <c r="H746" s="15">
        <v>191.3</v>
      </c>
      <c r="I746" s="15" t="s">
        <v>104</v>
      </c>
      <c r="J746" s="15" t="s">
        <v>104</v>
      </c>
    </row>
    <row r="747" spans="2:10" ht="29.5" customHeight="1" thickBot="1" x14ac:dyDescent="0.4">
      <c r="B747" s="55" t="s">
        <v>408</v>
      </c>
      <c r="C747" s="16">
        <v>621991</v>
      </c>
      <c r="D747" s="12">
        <v>91.3</v>
      </c>
      <c r="E747" s="12">
        <v>92.7</v>
      </c>
      <c r="F747" s="12">
        <v>92.9</v>
      </c>
      <c r="G747" s="12">
        <v>92.8</v>
      </c>
      <c r="H747" s="12">
        <v>93</v>
      </c>
      <c r="I747" s="12" t="s">
        <v>104</v>
      </c>
      <c r="J747" s="12" t="s">
        <v>104</v>
      </c>
    </row>
    <row r="748" spans="2:10" ht="29.5" customHeight="1" thickBot="1" x14ac:dyDescent="0.4">
      <c r="B748" s="56" t="s">
        <v>942</v>
      </c>
      <c r="C748" s="14">
        <v>621999</v>
      </c>
      <c r="D748" s="15">
        <v>95.3</v>
      </c>
      <c r="E748" s="15">
        <v>97.1</v>
      </c>
      <c r="F748" s="15">
        <v>97.4</v>
      </c>
      <c r="G748" s="15">
        <v>97.1</v>
      </c>
      <c r="H748" s="15">
        <v>98.9</v>
      </c>
      <c r="I748" s="15" t="s">
        <v>104</v>
      </c>
      <c r="J748" s="15" t="s">
        <v>104</v>
      </c>
    </row>
    <row r="749" spans="2:10" ht="29.5" customHeight="1" thickBot="1" x14ac:dyDescent="0.4">
      <c r="B749" s="45" t="s">
        <v>82</v>
      </c>
      <c r="C749" s="16">
        <v>622</v>
      </c>
      <c r="D749" s="18">
        <v>5420.2</v>
      </c>
      <c r="E749" s="18">
        <v>5574.1</v>
      </c>
      <c r="F749" s="18">
        <v>5585.8</v>
      </c>
      <c r="G749" s="18">
        <v>5603.1</v>
      </c>
      <c r="H749" s="18">
        <v>5614.3</v>
      </c>
      <c r="I749" s="18">
        <v>5633.6</v>
      </c>
      <c r="J749" s="12">
        <v>19.3</v>
      </c>
    </row>
    <row r="750" spans="2:10" ht="29.5" customHeight="1" thickBot="1" x14ac:dyDescent="0.4">
      <c r="B750" s="44" t="s">
        <v>409</v>
      </c>
      <c r="C750" s="14">
        <v>6221</v>
      </c>
      <c r="D750" s="17">
        <v>4961.6000000000004</v>
      </c>
      <c r="E750" s="17">
        <v>5098.3999999999996</v>
      </c>
      <c r="F750" s="17">
        <v>5109.8999999999996</v>
      </c>
      <c r="G750" s="17">
        <v>5125.3999999999996</v>
      </c>
      <c r="H750" s="17">
        <v>5135.8</v>
      </c>
      <c r="I750" s="15" t="s">
        <v>104</v>
      </c>
      <c r="J750" s="15" t="s">
        <v>104</v>
      </c>
    </row>
    <row r="751" spans="2:10" ht="44.15" customHeight="1" thickBot="1" x14ac:dyDescent="0.4">
      <c r="B751" s="43" t="s">
        <v>410</v>
      </c>
      <c r="C751" s="16">
        <v>6222</v>
      </c>
      <c r="D751" s="12">
        <v>160.30000000000001</v>
      </c>
      <c r="E751" s="12">
        <v>168.6</v>
      </c>
      <c r="F751" s="12">
        <v>168.8</v>
      </c>
      <c r="G751" s="12">
        <v>169.1</v>
      </c>
      <c r="H751" s="12">
        <v>169.3</v>
      </c>
      <c r="I751" s="12" t="s">
        <v>104</v>
      </c>
      <c r="J751" s="12" t="s">
        <v>104</v>
      </c>
    </row>
    <row r="752" spans="2:10" ht="44.15" customHeight="1" thickBot="1" x14ac:dyDescent="0.4">
      <c r="B752" s="44" t="s">
        <v>943</v>
      </c>
      <c r="C752" s="14">
        <v>6223</v>
      </c>
      <c r="D752" s="15">
        <v>299.7</v>
      </c>
      <c r="E752" s="15">
        <v>307</v>
      </c>
      <c r="F752" s="15">
        <v>308</v>
      </c>
      <c r="G752" s="15">
        <v>309.10000000000002</v>
      </c>
      <c r="H752" s="15">
        <v>309</v>
      </c>
      <c r="I752" s="15" t="s">
        <v>104</v>
      </c>
      <c r="J752" s="15" t="s">
        <v>104</v>
      </c>
    </row>
    <row r="753" spans="2:10" ht="29.5" customHeight="1" thickBot="1" x14ac:dyDescent="0.4">
      <c r="B753" s="45" t="s">
        <v>411</v>
      </c>
      <c r="C753" s="16">
        <v>623</v>
      </c>
      <c r="D753" s="18">
        <v>3216.7</v>
      </c>
      <c r="E753" s="18">
        <v>3290.6</v>
      </c>
      <c r="F753" s="18">
        <v>3293.6</v>
      </c>
      <c r="G753" s="18">
        <v>3303.9</v>
      </c>
      <c r="H753" s="18">
        <v>3315.3</v>
      </c>
      <c r="I753" s="18">
        <v>3327.2</v>
      </c>
      <c r="J753" s="12">
        <v>11.9</v>
      </c>
    </row>
    <row r="754" spans="2:10" ht="15" thickBot="1" x14ac:dyDescent="0.4">
      <c r="B754" s="53" t="s">
        <v>944</v>
      </c>
      <c r="C754" s="14">
        <v>6231</v>
      </c>
      <c r="D754" s="17">
        <v>1443.5</v>
      </c>
      <c r="E754" s="17">
        <v>1471</v>
      </c>
      <c r="F754" s="17">
        <v>1471.1</v>
      </c>
      <c r="G754" s="17">
        <v>1476.9</v>
      </c>
      <c r="H754" s="17">
        <v>1480.8</v>
      </c>
      <c r="I754" s="17">
        <v>1484.7</v>
      </c>
      <c r="J754" s="15">
        <v>3.9</v>
      </c>
    </row>
    <row r="755" spans="2:10" ht="56.5" thickBot="1" x14ac:dyDescent="0.4">
      <c r="B755" s="52" t="s">
        <v>945</v>
      </c>
      <c r="C755" s="16">
        <v>6232</v>
      </c>
      <c r="D755" s="12">
        <v>650.79999999999995</v>
      </c>
      <c r="E755" s="12">
        <v>672.1</v>
      </c>
      <c r="F755" s="12">
        <v>671.9</v>
      </c>
      <c r="G755" s="12">
        <v>672.7</v>
      </c>
      <c r="H755" s="12">
        <v>676.1</v>
      </c>
      <c r="I755" s="12">
        <v>680</v>
      </c>
      <c r="J755" s="12">
        <v>3.9</v>
      </c>
    </row>
    <row r="756" spans="2:10" ht="18.649999999999999" customHeight="1" thickBot="1" x14ac:dyDescent="0.4">
      <c r="B756" s="46" t="s">
        <v>412</v>
      </c>
      <c r="C756" s="14">
        <v>62321</v>
      </c>
      <c r="D756" s="15">
        <v>392.6</v>
      </c>
      <c r="E756" s="15">
        <v>406.5</v>
      </c>
      <c r="F756" s="15">
        <v>406.3</v>
      </c>
      <c r="G756" s="15">
        <v>405.6</v>
      </c>
      <c r="H756" s="15">
        <v>406.9</v>
      </c>
      <c r="I756" s="15" t="s">
        <v>104</v>
      </c>
      <c r="J756" s="15" t="s">
        <v>104</v>
      </c>
    </row>
    <row r="757" spans="2:10" ht="29.5" thickBot="1" x14ac:dyDescent="0.4">
      <c r="B757" s="47" t="s">
        <v>413</v>
      </c>
      <c r="C757" s="16">
        <v>62322</v>
      </c>
      <c r="D757" s="12">
        <v>257.8</v>
      </c>
      <c r="E757" s="12">
        <v>265.5</v>
      </c>
      <c r="F757" s="12">
        <v>266.10000000000002</v>
      </c>
      <c r="G757" s="12">
        <v>267.39999999999998</v>
      </c>
      <c r="H757" s="12">
        <v>269.2</v>
      </c>
      <c r="I757" s="12" t="s">
        <v>104</v>
      </c>
      <c r="J757" s="12" t="s">
        <v>104</v>
      </c>
    </row>
    <row r="758" spans="2:10" ht="58.5" customHeight="1" thickBot="1" x14ac:dyDescent="0.4">
      <c r="B758" s="53" t="s">
        <v>946</v>
      </c>
      <c r="C758" s="14">
        <v>6233</v>
      </c>
      <c r="D758" s="15">
        <v>964.7</v>
      </c>
      <c r="E758" s="15">
        <v>981.5</v>
      </c>
      <c r="F758" s="15">
        <v>985</v>
      </c>
      <c r="G758" s="15">
        <v>987.7</v>
      </c>
      <c r="H758" s="15">
        <v>991.8</v>
      </c>
      <c r="I758" s="15">
        <v>994.3</v>
      </c>
      <c r="J758" s="15">
        <v>2.5</v>
      </c>
    </row>
    <row r="759" spans="2:10" ht="44.15" customHeight="1" thickBot="1" x14ac:dyDescent="0.4">
      <c r="B759" s="47" t="s">
        <v>414</v>
      </c>
      <c r="C759" s="16">
        <v>623311</v>
      </c>
      <c r="D759" s="12">
        <v>478.2</v>
      </c>
      <c r="E759" s="12">
        <v>480.5</v>
      </c>
      <c r="F759" s="12">
        <v>483.4</v>
      </c>
      <c r="G759" s="12">
        <v>485.3</v>
      </c>
      <c r="H759" s="12">
        <v>486</v>
      </c>
      <c r="I759" s="12" t="s">
        <v>104</v>
      </c>
      <c r="J759" s="12" t="s">
        <v>104</v>
      </c>
    </row>
    <row r="760" spans="2:10" ht="15" thickBot="1" x14ac:dyDescent="0.4">
      <c r="B760" s="46" t="s">
        <v>415</v>
      </c>
      <c r="C760" s="14">
        <v>623312</v>
      </c>
      <c r="D760" s="15">
        <v>484.1</v>
      </c>
      <c r="E760" s="15">
        <v>499.1</v>
      </c>
      <c r="F760" s="15">
        <v>500.4</v>
      </c>
      <c r="G760" s="15">
        <v>501.3</v>
      </c>
      <c r="H760" s="15">
        <v>501.9</v>
      </c>
      <c r="I760" s="15" t="s">
        <v>104</v>
      </c>
      <c r="J760" s="15" t="s">
        <v>104</v>
      </c>
    </row>
    <row r="761" spans="2:10" ht="18.649999999999999" customHeight="1" thickBot="1" x14ac:dyDescent="0.4">
      <c r="B761" s="52" t="s">
        <v>416</v>
      </c>
      <c r="C761" s="16">
        <v>6239</v>
      </c>
      <c r="D761" s="12">
        <v>157.69999999999999</v>
      </c>
      <c r="E761" s="12">
        <v>166.1</v>
      </c>
      <c r="F761" s="12">
        <v>165.6</v>
      </c>
      <c r="G761" s="12">
        <v>166.6</v>
      </c>
      <c r="H761" s="12">
        <v>166.6</v>
      </c>
      <c r="I761" s="12">
        <v>168.2</v>
      </c>
      <c r="J761" s="12">
        <v>1.6</v>
      </c>
    </row>
    <row r="762" spans="2:10" ht="44.15" customHeight="1" thickBot="1" x14ac:dyDescent="0.4">
      <c r="B762" s="40" t="s">
        <v>417</v>
      </c>
      <c r="C762" s="14">
        <v>624</v>
      </c>
      <c r="D762" s="17">
        <v>4671</v>
      </c>
      <c r="E762" s="17">
        <v>4836.6000000000004</v>
      </c>
      <c r="F762" s="17">
        <v>4848.5</v>
      </c>
      <c r="G762" s="17">
        <v>4870.7</v>
      </c>
      <c r="H762" s="17">
        <v>4867.8999999999996</v>
      </c>
      <c r="I762" s="17">
        <v>4886.6000000000004</v>
      </c>
      <c r="J762" s="15">
        <v>18.7</v>
      </c>
    </row>
    <row r="763" spans="2:10" ht="44.15" customHeight="1" thickBot="1" x14ac:dyDescent="0.4">
      <c r="B763" s="45" t="s">
        <v>83</v>
      </c>
      <c r="C763" s="16">
        <v>6241</v>
      </c>
      <c r="D763" s="18">
        <v>3108.2</v>
      </c>
      <c r="E763" s="18">
        <v>3250.4</v>
      </c>
      <c r="F763" s="18">
        <v>3269.1</v>
      </c>
      <c r="G763" s="18">
        <v>3289.1</v>
      </c>
      <c r="H763" s="18">
        <v>3286.7</v>
      </c>
      <c r="I763" s="18">
        <v>3303.9</v>
      </c>
      <c r="J763" s="12">
        <v>17.2</v>
      </c>
    </row>
    <row r="764" spans="2:10" ht="58.5" customHeight="1" thickBot="1" x14ac:dyDescent="0.4">
      <c r="B764" s="44" t="s">
        <v>418</v>
      </c>
      <c r="C764" s="14">
        <v>62411</v>
      </c>
      <c r="D764" s="15">
        <v>224.5</v>
      </c>
      <c r="E764" s="15">
        <v>223.7</v>
      </c>
      <c r="F764" s="15">
        <v>225</v>
      </c>
      <c r="G764" s="15">
        <v>227.3</v>
      </c>
      <c r="H764" s="15">
        <v>229.3</v>
      </c>
      <c r="I764" s="15" t="s">
        <v>104</v>
      </c>
      <c r="J764" s="15" t="s">
        <v>104</v>
      </c>
    </row>
    <row r="765" spans="2:10" ht="44.15" customHeight="1" thickBot="1" x14ac:dyDescent="0.4">
      <c r="B765" s="43" t="s">
        <v>419</v>
      </c>
      <c r="C765" s="16">
        <v>62412</v>
      </c>
      <c r="D765" s="18">
        <v>2379.1</v>
      </c>
      <c r="E765" s="18">
        <v>2510.3000000000002</v>
      </c>
      <c r="F765" s="18">
        <v>2528.8000000000002</v>
      </c>
      <c r="G765" s="18">
        <v>2543.9</v>
      </c>
      <c r="H765" s="18">
        <v>2536.6</v>
      </c>
      <c r="I765" s="12" t="s">
        <v>104</v>
      </c>
      <c r="J765" s="12" t="s">
        <v>104</v>
      </c>
    </row>
    <row r="766" spans="2:10" ht="58.5" customHeight="1" thickBot="1" x14ac:dyDescent="0.4">
      <c r="B766" s="44" t="s">
        <v>420</v>
      </c>
      <c r="C766" s="14">
        <v>62419</v>
      </c>
      <c r="D766" s="15">
        <v>507.2</v>
      </c>
      <c r="E766" s="15">
        <v>515.6</v>
      </c>
      <c r="F766" s="15">
        <v>517.20000000000005</v>
      </c>
      <c r="G766" s="15">
        <v>517.1</v>
      </c>
      <c r="H766" s="15">
        <v>520</v>
      </c>
      <c r="I766" s="15" t="s">
        <v>104</v>
      </c>
      <c r="J766" s="15" t="s">
        <v>104</v>
      </c>
    </row>
    <row r="767" spans="2:10" ht="44.15" customHeight="1" thickBot="1" x14ac:dyDescent="0.4">
      <c r="B767" s="45" t="s">
        <v>947</v>
      </c>
      <c r="C767" s="16">
        <v>6242</v>
      </c>
      <c r="D767" s="12">
        <v>224.4</v>
      </c>
      <c r="E767" s="12">
        <v>233.1</v>
      </c>
      <c r="F767" s="12">
        <v>231.8</v>
      </c>
      <c r="G767" s="12">
        <v>231.9</v>
      </c>
      <c r="H767" s="12">
        <v>232.7</v>
      </c>
      <c r="I767" s="12">
        <v>231</v>
      </c>
      <c r="J767" s="12">
        <v>-1.7</v>
      </c>
    </row>
    <row r="768" spans="2:10" ht="73" customHeight="1" thickBot="1" x14ac:dyDescent="0.4">
      <c r="B768" s="44" t="s">
        <v>421</v>
      </c>
      <c r="C768" s="14">
        <v>62421</v>
      </c>
      <c r="D768" s="15">
        <v>48.4</v>
      </c>
      <c r="E768" s="15">
        <v>49.8</v>
      </c>
      <c r="F768" s="15">
        <v>49.3</v>
      </c>
      <c r="G768" s="15">
        <v>49.4</v>
      </c>
      <c r="H768" s="15">
        <v>49.8</v>
      </c>
      <c r="I768" s="15" t="s">
        <v>104</v>
      </c>
      <c r="J768" s="15" t="s">
        <v>104</v>
      </c>
    </row>
    <row r="769" spans="1:10" ht="18.649999999999999" customHeight="1" thickBot="1" x14ac:dyDescent="0.4">
      <c r="B769" s="43" t="s">
        <v>422</v>
      </c>
      <c r="C769" s="16" t="s">
        <v>423</v>
      </c>
      <c r="D769" s="12">
        <v>176.5</v>
      </c>
      <c r="E769" s="12">
        <v>183.1</v>
      </c>
      <c r="F769" s="12">
        <v>182.4</v>
      </c>
      <c r="G769" s="12">
        <v>182.7</v>
      </c>
      <c r="H769" s="12">
        <v>183</v>
      </c>
      <c r="I769" s="12" t="s">
        <v>104</v>
      </c>
      <c r="J769" s="12" t="s">
        <v>104</v>
      </c>
    </row>
    <row r="770" spans="1:10" ht="44.15" customHeight="1" thickBot="1" x14ac:dyDescent="0.4">
      <c r="B770" s="42" t="s">
        <v>424</v>
      </c>
      <c r="C770" s="14">
        <v>6243</v>
      </c>
      <c r="D770" s="15">
        <v>285.7</v>
      </c>
      <c r="E770" s="15">
        <v>291.89999999999998</v>
      </c>
      <c r="F770" s="15">
        <v>289</v>
      </c>
      <c r="G770" s="15">
        <v>289.5</v>
      </c>
      <c r="H770" s="15">
        <v>287.2</v>
      </c>
      <c r="I770" s="15">
        <v>288.8</v>
      </c>
      <c r="J770" s="15">
        <v>1.6</v>
      </c>
    </row>
    <row r="771" spans="1:10" ht="58.5" customHeight="1" thickBot="1" x14ac:dyDescent="0.4">
      <c r="B771" s="45" t="s">
        <v>948</v>
      </c>
      <c r="C771" s="16">
        <v>6244</v>
      </c>
      <c r="D771" s="18">
        <v>1052.5999999999999</v>
      </c>
      <c r="E771" s="18">
        <v>1061.3</v>
      </c>
      <c r="F771" s="18">
        <v>1058.5999999999999</v>
      </c>
      <c r="G771" s="18">
        <v>1060.2</v>
      </c>
      <c r="H771" s="18">
        <v>1061.3</v>
      </c>
      <c r="I771" s="18">
        <v>1062.9000000000001</v>
      </c>
      <c r="J771" s="12">
        <v>1.6</v>
      </c>
    </row>
    <row r="772" spans="1:10" ht="44.15" customHeight="1" thickBot="1" x14ac:dyDescent="0.4">
      <c r="B772" s="73"/>
      <c r="C772" s="74"/>
      <c r="D772" s="74"/>
      <c r="E772" s="74"/>
      <c r="F772" s="74"/>
      <c r="G772" s="74"/>
      <c r="H772" s="74"/>
      <c r="I772" s="74"/>
      <c r="J772" s="75"/>
    </row>
    <row r="773" spans="1:10" ht="44.15" customHeight="1" thickBot="1" x14ac:dyDescent="0.4">
      <c r="B773" s="37" t="s">
        <v>425</v>
      </c>
      <c r="C773" s="12"/>
      <c r="D773" s="13">
        <v>16775</v>
      </c>
      <c r="E773" s="13">
        <v>16944</v>
      </c>
      <c r="F773" s="13">
        <v>16953</v>
      </c>
      <c r="G773" s="13">
        <v>17014</v>
      </c>
      <c r="H773" s="13">
        <v>17016</v>
      </c>
      <c r="I773" s="13">
        <v>17069</v>
      </c>
      <c r="J773" s="12">
        <v>53</v>
      </c>
    </row>
    <row r="774" spans="1:10" ht="58.5" customHeight="1" thickBot="1" x14ac:dyDescent="0.4">
      <c r="A774" t="s">
        <v>31</v>
      </c>
      <c r="B774" s="38" t="s">
        <v>426</v>
      </c>
      <c r="C774" s="14">
        <v>71</v>
      </c>
      <c r="D774" s="17">
        <v>2577.8000000000002</v>
      </c>
      <c r="E774" s="17">
        <v>2663.5</v>
      </c>
      <c r="F774" s="17">
        <v>2665.2</v>
      </c>
      <c r="G774" s="17">
        <v>2671.1</v>
      </c>
      <c r="H774" s="17">
        <v>2671.8</v>
      </c>
      <c r="I774" s="17">
        <v>2690.2</v>
      </c>
      <c r="J774" s="15">
        <v>18.399999999999999</v>
      </c>
    </row>
    <row r="775" spans="1:10" ht="58.5" customHeight="1" thickBot="1" x14ac:dyDescent="0.4">
      <c r="B775" s="41" t="s">
        <v>949</v>
      </c>
      <c r="C775" s="16">
        <v>711</v>
      </c>
      <c r="D775" s="12">
        <v>604.29999999999995</v>
      </c>
      <c r="E775" s="12">
        <v>634.9</v>
      </c>
      <c r="F775" s="12">
        <v>645.9</v>
      </c>
      <c r="G775" s="12">
        <v>644.4</v>
      </c>
      <c r="H775" s="12">
        <v>643.20000000000005</v>
      </c>
      <c r="I775" s="12">
        <v>652.9</v>
      </c>
      <c r="J775" s="12">
        <v>9.6999999999999993</v>
      </c>
    </row>
    <row r="776" spans="1:10" ht="27.65" customHeight="1" thickBot="1" x14ac:dyDescent="0.4">
      <c r="B776" s="48" t="s">
        <v>427</v>
      </c>
      <c r="C776" s="14">
        <v>7111</v>
      </c>
      <c r="D776" s="15">
        <v>136.9</v>
      </c>
      <c r="E776" s="15">
        <v>137.69999999999999</v>
      </c>
      <c r="F776" s="15">
        <v>141.6</v>
      </c>
      <c r="G776" s="15">
        <v>140.9</v>
      </c>
      <c r="H776" s="15">
        <v>139.5</v>
      </c>
      <c r="I776" s="15" t="s">
        <v>104</v>
      </c>
      <c r="J776" s="15" t="s">
        <v>104</v>
      </c>
    </row>
    <row r="777" spans="1:10" ht="29.5" customHeight="1" thickBot="1" x14ac:dyDescent="0.4">
      <c r="B777" s="43" t="s">
        <v>428</v>
      </c>
      <c r="C777" s="16">
        <v>71113</v>
      </c>
      <c r="D777" s="12">
        <v>37.1</v>
      </c>
      <c r="E777" s="12">
        <v>33.700000000000003</v>
      </c>
      <c r="F777" s="12">
        <v>38.299999999999997</v>
      </c>
      <c r="G777" s="12">
        <v>38.700000000000003</v>
      </c>
      <c r="H777" s="12">
        <v>33.799999999999997</v>
      </c>
      <c r="I777" s="12" t="s">
        <v>104</v>
      </c>
      <c r="J777" s="12" t="s">
        <v>104</v>
      </c>
    </row>
    <row r="778" spans="1:10" ht="44.15" customHeight="1" thickBot="1" x14ac:dyDescent="0.4">
      <c r="B778" s="44" t="s">
        <v>950</v>
      </c>
      <c r="C778" s="14" t="s">
        <v>429</v>
      </c>
      <c r="D778" s="15">
        <v>99.7</v>
      </c>
      <c r="E778" s="15">
        <v>102.2</v>
      </c>
      <c r="F778" s="15">
        <v>104.7</v>
      </c>
      <c r="G778" s="15">
        <v>104.6</v>
      </c>
      <c r="H778" s="15">
        <v>105.4</v>
      </c>
      <c r="I778" s="15" t="s">
        <v>104</v>
      </c>
      <c r="J778" s="15" t="s">
        <v>104</v>
      </c>
    </row>
    <row r="779" spans="1:10" ht="18.649999999999999" customHeight="1" thickBot="1" x14ac:dyDescent="0.4">
      <c r="B779" s="50" t="s">
        <v>430</v>
      </c>
      <c r="C779" s="16">
        <v>7112</v>
      </c>
      <c r="D779" s="12">
        <v>219.9</v>
      </c>
      <c r="E779" s="12">
        <v>230.2</v>
      </c>
      <c r="F779" s="12">
        <v>233.8</v>
      </c>
      <c r="G779" s="12">
        <v>230.2</v>
      </c>
      <c r="H779" s="12">
        <v>236.6</v>
      </c>
      <c r="I779" s="12" t="s">
        <v>104</v>
      </c>
      <c r="J779" s="12" t="s">
        <v>104</v>
      </c>
    </row>
    <row r="780" spans="1:10" ht="18.649999999999999" customHeight="1" thickBot="1" x14ac:dyDescent="0.4">
      <c r="B780" s="44" t="s">
        <v>431</v>
      </c>
      <c r="C780" s="14">
        <v>711211</v>
      </c>
      <c r="D780" s="15">
        <v>184.4</v>
      </c>
      <c r="E780" s="15">
        <v>176.8</v>
      </c>
      <c r="F780" s="15">
        <v>178.5</v>
      </c>
      <c r="G780" s="15">
        <v>184</v>
      </c>
      <c r="H780" s="15">
        <v>186.7</v>
      </c>
      <c r="I780" s="15" t="s">
        <v>104</v>
      </c>
      <c r="J780" s="15" t="s">
        <v>104</v>
      </c>
    </row>
    <row r="781" spans="1:10" ht="29.5" customHeight="1" thickBot="1" x14ac:dyDescent="0.4">
      <c r="B781" s="43" t="s">
        <v>951</v>
      </c>
      <c r="C781" s="16" t="s">
        <v>952</v>
      </c>
      <c r="D781" s="12">
        <v>50.8</v>
      </c>
      <c r="E781" s="12">
        <v>48.5</v>
      </c>
      <c r="F781" s="12">
        <v>48.5</v>
      </c>
      <c r="G781" s="12">
        <v>49.5</v>
      </c>
      <c r="H781" s="12">
        <v>50.8</v>
      </c>
      <c r="I781" s="12" t="s">
        <v>104</v>
      </c>
      <c r="J781" s="12" t="s">
        <v>104</v>
      </c>
    </row>
    <row r="782" spans="1:10" ht="58.5" customHeight="1" thickBot="1" x14ac:dyDescent="0.4">
      <c r="B782" s="48" t="s">
        <v>432</v>
      </c>
      <c r="C782" s="14" t="s">
        <v>433</v>
      </c>
      <c r="D782" s="15">
        <v>183.3</v>
      </c>
      <c r="E782" s="15">
        <v>200.8</v>
      </c>
      <c r="F782" s="15">
        <v>202.8</v>
      </c>
      <c r="G782" s="15">
        <v>207.6</v>
      </c>
      <c r="H782" s="15">
        <v>200.2</v>
      </c>
      <c r="I782" s="15" t="s">
        <v>104</v>
      </c>
      <c r="J782" s="15" t="s">
        <v>104</v>
      </c>
    </row>
    <row r="783" spans="1:10" ht="44.15" customHeight="1" thickBot="1" x14ac:dyDescent="0.4">
      <c r="B783" s="50" t="s">
        <v>434</v>
      </c>
      <c r="C783" s="16">
        <v>7115</v>
      </c>
      <c r="D783" s="12">
        <v>63.1</v>
      </c>
      <c r="E783" s="12">
        <v>67.2</v>
      </c>
      <c r="F783" s="12">
        <v>67.8</v>
      </c>
      <c r="G783" s="12">
        <v>65.2</v>
      </c>
      <c r="H783" s="12">
        <v>64.599999999999994</v>
      </c>
      <c r="I783" s="12" t="s">
        <v>104</v>
      </c>
      <c r="J783" s="12" t="s">
        <v>104</v>
      </c>
    </row>
    <row r="784" spans="1:10" ht="58.5" customHeight="1" thickBot="1" x14ac:dyDescent="0.4">
      <c r="B784" s="40" t="s">
        <v>435</v>
      </c>
      <c r="C784" s="14">
        <v>712</v>
      </c>
      <c r="D784" s="15">
        <v>176.1</v>
      </c>
      <c r="E784" s="15">
        <v>177.6</v>
      </c>
      <c r="F784" s="15">
        <v>177.9</v>
      </c>
      <c r="G784" s="15">
        <v>178.1</v>
      </c>
      <c r="H784" s="15">
        <v>179.2</v>
      </c>
      <c r="I784" s="15">
        <v>180.2</v>
      </c>
      <c r="J784" s="15">
        <v>1</v>
      </c>
    </row>
    <row r="785" spans="1:10" ht="15" thickBot="1" x14ac:dyDescent="0.4">
      <c r="B785" s="50" t="s">
        <v>436</v>
      </c>
      <c r="C785" s="16">
        <v>71211</v>
      </c>
      <c r="D785" s="12">
        <v>100.3</v>
      </c>
      <c r="E785" s="12">
        <v>100.5</v>
      </c>
      <c r="F785" s="12">
        <v>100.5</v>
      </c>
      <c r="G785" s="12">
        <v>100.1</v>
      </c>
      <c r="H785" s="12">
        <v>100.9</v>
      </c>
      <c r="I785" s="12" t="s">
        <v>104</v>
      </c>
      <c r="J785" s="12" t="s">
        <v>104</v>
      </c>
    </row>
    <row r="786" spans="1:10" ht="44.15" customHeight="1" thickBot="1" x14ac:dyDescent="0.4">
      <c r="B786" s="48" t="s">
        <v>953</v>
      </c>
      <c r="C786" s="14" t="s">
        <v>437</v>
      </c>
      <c r="D786" s="15">
        <v>75.7</v>
      </c>
      <c r="E786" s="15">
        <v>77.5</v>
      </c>
      <c r="F786" s="15">
        <v>77.7</v>
      </c>
      <c r="G786" s="15">
        <v>77.900000000000006</v>
      </c>
      <c r="H786" s="15">
        <v>77.900000000000006</v>
      </c>
      <c r="I786" s="15" t="s">
        <v>104</v>
      </c>
      <c r="J786" s="15" t="s">
        <v>104</v>
      </c>
    </row>
    <row r="787" spans="1:10" ht="58.5" customHeight="1" thickBot="1" x14ac:dyDescent="0.4">
      <c r="B787" s="41" t="s">
        <v>954</v>
      </c>
      <c r="C787" s="16">
        <v>713</v>
      </c>
      <c r="D787" s="18">
        <v>1797.4</v>
      </c>
      <c r="E787" s="18">
        <v>1851</v>
      </c>
      <c r="F787" s="18">
        <v>1841.4</v>
      </c>
      <c r="G787" s="18">
        <v>1848.6</v>
      </c>
      <c r="H787" s="18">
        <v>1849.4</v>
      </c>
      <c r="I787" s="18">
        <v>1857.1</v>
      </c>
      <c r="J787" s="12">
        <v>7.7</v>
      </c>
    </row>
    <row r="788" spans="1:10" ht="29.5" customHeight="1" thickBot="1" x14ac:dyDescent="0.4">
      <c r="B788" s="48" t="s">
        <v>438</v>
      </c>
      <c r="C788" s="14">
        <v>7131</v>
      </c>
      <c r="D788" s="15">
        <v>221.4</v>
      </c>
      <c r="E788" s="15">
        <v>234.3</v>
      </c>
      <c r="F788" s="15">
        <v>231.6</v>
      </c>
      <c r="G788" s="15">
        <v>230</v>
      </c>
      <c r="H788" s="15">
        <v>227.8</v>
      </c>
      <c r="I788" s="15" t="s">
        <v>104</v>
      </c>
      <c r="J788" s="15" t="s">
        <v>104</v>
      </c>
    </row>
    <row r="789" spans="1:10" ht="18.649999999999999" customHeight="1" thickBot="1" x14ac:dyDescent="0.4">
      <c r="B789" s="50" t="s">
        <v>439</v>
      </c>
      <c r="C789" s="16">
        <v>7132</v>
      </c>
      <c r="D789" s="12">
        <v>118.3</v>
      </c>
      <c r="E789" s="12">
        <v>122.1</v>
      </c>
      <c r="F789" s="12">
        <v>122.3</v>
      </c>
      <c r="G789" s="12">
        <v>122.9</v>
      </c>
      <c r="H789" s="12">
        <v>123.3</v>
      </c>
      <c r="I789" s="12" t="s">
        <v>104</v>
      </c>
      <c r="J789" s="12" t="s">
        <v>104</v>
      </c>
    </row>
    <row r="790" spans="1:10" ht="15" thickBot="1" x14ac:dyDescent="0.4">
      <c r="B790" s="44" t="s">
        <v>440</v>
      </c>
      <c r="C790" s="14">
        <v>71321</v>
      </c>
      <c r="D790" s="15">
        <v>66.900000000000006</v>
      </c>
      <c r="E790" s="15">
        <v>68.7</v>
      </c>
      <c r="F790" s="15">
        <v>68.8</v>
      </c>
      <c r="G790" s="15">
        <v>69.2</v>
      </c>
      <c r="H790" s="15">
        <v>69.2</v>
      </c>
      <c r="I790" s="15" t="s">
        <v>104</v>
      </c>
      <c r="J790" s="15" t="s">
        <v>104</v>
      </c>
    </row>
    <row r="791" spans="1:10" ht="18.649999999999999" customHeight="1" thickBot="1" x14ac:dyDescent="0.4">
      <c r="B791" s="43" t="s">
        <v>441</v>
      </c>
      <c r="C791" s="16">
        <v>71329</v>
      </c>
      <c r="D791" s="12">
        <v>52.2</v>
      </c>
      <c r="E791" s="12">
        <v>53.2</v>
      </c>
      <c r="F791" s="12">
        <v>53.4</v>
      </c>
      <c r="G791" s="12">
        <v>54.1</v>
      </c>
      <c r="H791" s="12">
        <v>54.4</v>
      </c>
      <c r="I791" s="12" t="s">
        <v>104</v>
      </c>
      <c r="J791" s="12" t="s">
        <v>104</v>
      </c>
    </row>
    <row r="792" spans="1:10" ht="87.65" customHeight="1" thickBot="1" x14ac:dyDescent="0.4">
      <c r="B792" s="48" t="s">
        <v>442</v>
      </c>
      <c r="C792" s="14">
        <v>7139</v>
      </c>
      <c r="D792" s="17">
        <v>1460.5</v>
      </c>
      <c r="E792" s="17">
        <v>1488.6</v>
      </c>
      <c r="F792" s="17">
        <v>1481.2</v>
      </c>
      <c r="G792" s="17">
        <v>1481</v>
      </c>
      <c r="H792" s="17">
        <v>1490.9</v>
      </c>
      <c r="I792" s="15" t="s">
        <v>104</v>
      </c>
      <c r="J792" s="15" t="s">
        <v>104</v>
      </c>
    </row>
    <row r="793" spans="1:10" ht="73" customHeight="1" thickBot="1" x14ac:dyDescent="0.4">
      <c r="B793" s="43" t="s">
        <v>443</v>
      </c>
      <c r="C793" s="16">
        <v>71391</v>
      </c>
      <c r="D793" s="12">
        <v>405.8</v>
      </c>
      <c r="E793" s="12">
        <v>410</v>
      </c>
      <c r="F793" s="12">
        <v>409.1</v>
      </c>
      <c r="G793" s="12">
        <v>409.4</v>
      </c>
      <c r="H793" s="12">
        <v>410</v>
      </c>
      <c r="I793" s="12" t="s">
        <v>104</v>
      </c>
      <c r="J793" s="12" t="s">
        <v>104</v>
      </c>
    </row>
    <row r="794" spans="1:10" ht="27.65" customHeight="1" thickBot="1" x14ac:dyDescent="0.4">
      <c r="B794" s="44" t="s">
        <v>444</v>
      </c>
      <c r="C794" s="14">
        <v>71392</v>
      </c>
      <c r="D794" s="15">
        <v>53.1</v>
      </c>
      <c r="E794" s="15">
        <v>61.6</v>
      </c>
      <c r="F794" s="15">
        <v>63.4</v>
      </c>
      <c r="G794" s="15">
        <v>66</v>
      </c>
      <c r="H794" s="15">
        <v>67.8</v>
      </c>
      <c r="I794" s="15" t="s">
        <v>104</v>
      </c>
      <c r="J794" s="15" t="s">
        <v>104</v>
      </c>
    </row>
    <row r="795" spans="1:10" ht="73" customHeight="1" thickBot="1" x14ac:dyDescent="0.4">
      <c r="B795" s="43" t="s">
        <v>445</v>
      </c>
      <c r="C795" s="16">
        <v>71393</v>
      </c>
      <c r="D795" s="12">
        <v>38.4</v>
      </c>
      <c r="E795" s="12">
        <v>37.4</v>
      </c>
      <c r="F795" s="12">
        <v>37.6</v>
      </c>
      <c r="G795" s="12">
        <v>37.1</v>
      </c>
      <c r="H795" s="12">
        <v>37</v>
      </c>
      <c r="I795" s="12" t="s">
        <v>104</v>
      </c>
      <c r="J795" s="12" t="s">
        <v>104</v>
      </c>
    </row>
    <row r="796" spans="1:10" ht="44.15" customHeight="1" thickBot="1" x14ac:dyDescent="0.4">
      <c r="B796" s="44" t="s">
        <v>446</v>
      </c>
      <c r="C796" s="14">
        <v>71394</v>
      </c>
      <c r="D796" s="15">
        <v>644.1</v>
      </c>
      <c r="E796" s="15">
        <v>654</v>
      </c>
      <c r="F796" s="15">
        <v>654.29999999999995</v>
      </c>
      <c r="G796" s="15">
        <v>657.4</v>
      </c>
      <c r="H796" s="15">
        <v>658</v>
      </c>
      <c r="I796" s="15" t="s">
        <v>104</v>
      </c>
      <c r="J796" s="15" t="s">
        <v>104</v>
      </c>
    </row>
    <row r="797" spans="1:10" ht="18.649999999999999" customHeight="1" thickBot="1" x14ac:dyDescent="0.4">
      <c r="B797" s="43" t="s">
        <v>447</v>
      </c>
      <c r="C797" s="16">
        <v>71395</v>
      </c>
      <c r="D797" s="12">
        <v>70.400000000000006</v>
      </c>
      <c r="E797" s="12">
        <v>72.7</v>
      </c>
      <c r="F797" s="12">
        <v>71.7</v>
      </c>
      <c r="G797" s="12">
        <v>71.599999999999994</v>
      </c>
      <c r="H797" s="12">
        <v>72</v>
      </c>
      <c r="I797" s="12" t="s">
        <v>104</v>
      </c>
      <c r="J797" s="12" t="s">
        <v>104</v>
      </c>
    </row>
    <row r="798" spans="1:10" ht="29.5" thickBot="1" x14ac:dyDescent="0.4">
      <c r="B798" s="44" t="s">
        <v>448</v>
      </c>
      <c r="C798" s="14">
        <v>71399</v>
      </c>
      <c r="D798" s="15">
        <v>245.4</v>
      </c>
      <c r="E798" s="15">
        <v>248.9</v>
      </c>
      <c r="F798" s="15">
        <v>247.5</v>
      </c>
      <c r="G798" s="15">
        <v>245.1</v>
      </c>
      <c r="H798" s="15">
        <v>248.3</v>
      </c>
      <c r="I798" s="15" t="s">
        <v>104</v>
      </c>
      <c r="J798" s="15" t="s">
        <v>104</v>
      </c>
    </row>
    <row r="799" spans="1:10" ht="18.649999999999999" customHeight="1" thickBot="1" x14ac:dyDescent="0.4">
      <c r="A799" t="s">
        <v>21</v>
      </c>
      <c r="B799" s="39" t="s">
        <v>449</v>
      </c>
      <c r="C799" s="16">
        <v>72</v>
      </c>
      <c r="D799" s="18">
        <v>14197.3</v>
      </c>
      <c r="E799" s="18">
        <v>14280.3</v>
      </c>
      <c r="F799" s="18">
        <v>14287.6</v>
      </c>
      <c r="G799" s="18">
        <v>14342.9</v>
      </c>
      <c r="H799" s="18">
        <v>14344.1</v>
      </c>
      <c r="I799" s="18">
        <v>14378.7</v>
      </c>
      <c r="J799" s="12">
        <v>34.6</v>
      </c>
    </row>
    <row r="800" spans="1:10" ht="29.5" customHeight="1" thickBot="1" x14ac:dyDescent="0.4">
      <c r="B800" s="40" t="s">
        <v>84</v>
      </c>
      <c r="C800" s="14">
        <v>721</v>
      </c>
      <c r="D800" s="17">
        <v>1910.6</v>
      </c>
      <c r="E800" s="17">
        <v>1917</v>
      </c>
      <c r="F800" s="17">
        <v>1922</v>
      </c>
      <c r="G800" s="17">
        <v>1929.8</v>
      </c>
      <c r="H800" s="17">
        <v>1928</v>
      </c>
      <c r="I800" s="17">
        <v>1933.7</v>
      </c>
      <c r="J800" s="15">
        <v>5.7</v>
      </c>
    </row>
    <row r="801" spans="2:10" ht="58.5" customHeight="1" thickBot="1" x14ac:dyDescent="0.4">
      <c r="B801" s="50" t="s">
        <v>450</v>
      </c>
      <c r="C801" s="16">
        <v>7211</v>
      </c>
      <c r="D801" s="18">
        <v>1826.8</v>
      </c>
      <c r="E801" s="18">
        <v>1840.6</v>
      </c>
      <c r="F801" s="18">
        <v>1847.5</v>
      </c>
      <c r="G801" s="18">
        <v>1848.1</v>
      </c>
      <c r="H801" s="18">
        <v>1845.5</v>
      </c>
      <c r="I801" s="12" t="s">
        <v>104</v>
      </c>
      <c r="J801" s="12" t="s">
        <v>104</v>
      </c>
    </row>
    <row r="802" spans="2:10" ht="44.15" customHeight="1" thickBot="1" x14ac:dyDescent="0.4">
      <c r="B802" s="44" t="s">
        <v>955</v>
      </c>
      <c r="C802" s="14">
        <v>72111</v>
      </c>
      <c r="D802" s="17">
        <v>1545.9</v>
      </c>
      <c r="E802" s="17">
        <v>1558.9</v>
      </c>
      <c r="F802" s="17">
        <v>1559.6</v>
      </c>
      <c r="G802" s="17">
        <v>1562.4</v>
      </c>
      <c r="H802" s="17">
        <v>1560.5</v>
      </c>
      <c r="I802" s="15" t="s">
        <v>104</v>
      </c>
      <c r="J802" s="15" t="s">
        <v>104</v>
      </c>
    </row>
    <row r="803" spans="2:10" ht="18.649999999999999" customHeight="1" thickBot="1" x14ac:dyDescent="0.4">
      <c r="B803" s="43" t="s">
        <v>451</v>
      </c>
      <c r="C803" s="16">
        <v>72112</v>
      </c>
      <c r="D803" s="12">
        <v>240.9</v>
      </c>
      <c r="E803" s="12">
        <v>248.2</v>
      </c>
      <c r="F803" s="12">
        <v>248.4</v>
      </c>
      <c r="G803" s="12">
        <v>246.8</v>
      </c>
      <c r="H803" s="12">
        <v>248.7</v>
      </c>
      <c r="I803" s="12" t="s">
        <v>104</v>
      </c>
      <c r="J803" s="12" t="s">
        <v>104</v>
      </c>
    </row>
    <row r="804" spans="2:10" ht="29.5" customHeight="1" thickBot="1" x14ac:dyDescent="0.4">
      <c r="B804" s="44" t="s">
        <v>452</v>
      </c>
      <c r="C804" s="14">
        <v>72119</v>
      </c>
      <c r="D804" s="15">
        <v>37.299999999999997</v>
      </c>
      <c r="E804" s="15">
        <v>35.799999999999997</v>
      </c>
      <c r="F804" s="15">
        <v>36</v>
      </c>
      <c r="G804" s="15">
        <v>36.5</v>
      </c>
      <c r="H804" s="15">
        <v>36.200000000000003</v>
      </c>
      <c r="I804" s="15" t="s">
        <v>104</v>
      </c>
      <c r="J804" s="15" t="s">
        <v>104</v>
      </c>
    </row>
    <row r="805" spans="2:10" ht="58.5" customHeight="1" thickBot="1" x14ac:dyDescent="0.4">
      <c r="B805" s="47" t="s">
        <v>453</v>
      </c>
      <c r="C805" s="16">
        <v>721191</v>
      </c>
      <c r="D805" s="12">
        <v>13.7</v>
      </c>
      <c r="E805" s="12">
        <v>11.6</v>
      </c>
      <c r="F805" s="12">
        <v>11.1</v>
      </c>
      <c r="G805" s="12">
        <v>11.8</v>
      </c>
      <c r="H805" s="12">
        <v>11.5</v>
      </c>
      <c r="I805" s="12" t="s">
        <v>104</v>
      </c>
      <c r="J805" s="12" t="s">
        <v>104</v>
      </c>
    </row>
    <row r="806" spans="2:10" ht="18.649999999999999" customHeight="1" thickBot="1" x14ac:dyDescent="0.4">
      <c r="B806" s="46" t="s">
        <v>956</v>
      </c>
      <c r="C806" s="33">
        <v>721310199</v>
      </c>
      <c r="D806" s="15">
        <v>23.6</v>
      </c>
      <c r="E806" s="15">
        <v>24.2</v>
      </c>
      <c r="F806" s="15">
        <v>24.9</v>
      </c>
      <c r="G806" s="15">
        <v>24.4</v>
      </c>
      <c r="H806" s="15">
        <v>24.8</v>
      </c>
      <c r="I806" s="15" t="s">
        <v>104</v>
      </c>
      <c r="J806" s="15" t="s">
        <v>104</v>
      </c>
    </row>
    <row r="807" spans="2:10" ht="29.5" customHeight="1" thickBot="1" x14ac:dyDescent="0.4">
      <c r="B807" s="50" t="s">
        <v>957</v>
      </c>
      <c r="C807" s="16">
        <v>7212</v>
      </c>
      <c r="D807" s="12">
        <v>91.6</v>
      </c>
      <c r="E807" s="12">
        <v>79.099999999999994</v>
      </c>
      <c r="F807" s="12">
        <v>81.099999999999994</v>
      </c>
      <c r="G807" s="12">
        <v>84.4</v>
      </c>
      <c r="H807" s="12">
        <v>82.7</v>
      </c>
      <c r="I807" s="12" t="s">
        <v>104</v>
      </c>
      <c r="J807" s="12" t="s">
        <v>104</v>
      </c>
    </row>
    <row r="808" spans="2:10" ht="15" thickBot="1" x14ac:dyDescent="0.4">
      <c r="B808" s="40" t="s">
        <v>454</v>
      </c>
      <c r="C808" s="14">
        <v>722</v>
      </c>
      <c r="D808" s="17">
        <v>12286.7</v>
      </c>
      <c r="E808" s="17">
        <v>12363.3</v>
      </c>
      <c r="F808" s="17">
        <v>12365.6</v>
      </c>
      <c r="G808" s="17">
        <v>12413.1</v>
      </c>
      <c r="H808" s="17">
        <v>12416.1</v>
      </c>
      <c r="I808" s="17">
        <v>12445</v>
      </c>
      <c r="J808" s="15">
        <v>28.9</v>
      </c>
    </row>
    <row r="809" spans="2:10" ht="15" thickBot="1" x14ac:dyDescent="0.4">
      <c r="B809" s="50" t="s">
        <v>455</v>
      </c>
      <c r="C809" s="16">
        <v>7223</v>
      </c>
      <c r="D809" s="12">
        <v>770.9</v>
      </c>
      <c r="E809" s="12">
        <v>769.3</v>
      </c>
      <c r="F809" s="12">
        <v>785.3</v>
      </c>
      <c r="G809" s="12">
        <v>793.3</v>
      </c>
      <c r="H809" s="12">
        <v>800</v>
      </c>
      <c r="I809" s="12" t="s">
        <v>104</v>
      </c>
      <c r="J809" s="12" t="s">
        <v>104</v>
      </c>
    </row>
    <row r="810" spans="2:10" ht="15" thickBot="1" x14ac:dyDescent="0.4">
      <c r="B810" s="44" t="s">
        <v>456</v>
      </c>
      <c r="C810" s="14">
        <v>72231</v>
      </c>
      <c r="D810" s="15">
        <v>550.9</v>
      </c>
      <c r="E810" s="15">
        <v>528.70000000000005</v>
      </c>
      <c r="F810" s="15">
        <v>545.79999999999995</v>
      </c>
      <c r="G810" s="15">
        <v>549.29999999999995</v>
      </c>
      <c r="H810" s="15">
        <v>556.70000000000005</v>
      </c>
      <c r="I810" s="15" t="s">
        <v>104</v>
      </c>
      <c r="J810" s="15" t="s">
        <v>104</v>
      </c>
    </row>
    <row r="811" spans="2:10" ht="18.649999999999999" customHeight="1" thickBot="1" x14ac:dyDescent="0.4">
      <c r="B811" s="43" t="s">
        <v>457</v>
      </c>
      <c r="C811" s="16" t="s">
        <v>458</v>
      </c>
      <c r="D811" s="12">
        <v>221.8</v>
      </c>
      <c r="E811" s="12">
        <v>239.1</v>
      </c>
      <c r="F811" s="12">
        <v>241.3</v>
      </c>
      <c r="G811" s="12">
        <v>242.6</v>
      </c>
      <c r="H811" s="12">
        <v>244.1</v>
      </c>
      <c r="I811" s="12" t="s">
        <v>104</v>
      </c>
      <c r="J811" s="12" t="s">
        <v>104</v>
      </c>
    </row>
    <row r="812" spans="2:10" ht="29.5" customHeight="1" thickBot="1" x14ac:dyDescent="0.4">
      <c r="B812" s="48" t="s">
        <v>459</v>
      </c>
      <c r="C812" s="14">
        <v>7224</v>
      </c>
      <c r="D812" s="15">
        <v>443.1</v>
      </c>
      <c r="E812" s="15">
        <v>452.7</v>
      </c>
      <c r="F812" s="15">
        <v>456.7</v>
      </c>
      <c r="G812" s="15">
        <v>458.6</v>
      </c>
      <c r="H812" s="15">
        <v>460.5</v>
      </c>
      <c r="I812" s="15" t="s">
        <v>104</v>
      </c>
      <c r="J812" s="15" t="s">
        <v>104</v>
      </c>
    </row>
    <row r="813" spans="2:10" ht="29.5" customHeight="1" thickBot="1" x14ac:dyDescent="0.4">
      <c r="B813" s="50" t="s">
        <v>460</v>
      </c>
      <c r="C813" s="16">
        <v>7225</v>
      </c>
      <c r="D813" s="18">
        <v>11064.3</v>
      </c>
      <c r="E813" s="18">
        <v>11126.3</v>
      </c>
      <c r="F813" s="18">
        <v>11118.5</v>
      </c>
      <c r="G813" s="18">
        <v>11139</v>
      </c>
      <c r="H813" s="18">
        <v>11146.8</v>
      </c>
      <c r="I813" s="12" t="s">
        <v>104</v>
      </c>
      <c r="J813" s="12" t="s">
        <v>104</v>
      </c>
    </row>
    <row r="814" spans="2:10" ht="58.5" customHeight="1" thickBot="1" x14ac:dyDescent="0.4">
      <c r="B814" s="44" t="s">
        <v>461</v>
      </c>
      <c r="C814" s="14">
        <v>722511</v>
      </c>
      <c r="D814" s="17">
        <v>5386.2</v>
      </c>
      <c r="E814" s="17">
        <v>5406.2</v>
      </c>
      <c r="F814" s="17">
        <v>5402.2</v>
      </c>
      <c r="G814" s="17">
        <v>5400.8</v>
      </c>
      <c r="H814" s="17">
        <v>5411.3</v>
      </c>
      <c r="I814" s="15" t="s">
        <v>104</v>
      </c>
      <c r="J814" s="15" t="s">
        <v>104</v>
      </c>
    </row>
    <row r="815" spans="2:10" ht="29.5" customHeight="1" thickBot="1" x14ac:dyDescent="0.4">
      <c r="B815" s="43" t="s">
        <v>462</v>
      </c>
      <c r="C815" s="16">
        <v>722513</v>
      </c>
      <c r="D815" s="18">
        <v>4678.2</v>
      </c>
      <c r="E815" s="18">
        <v>4710.1000000000004</v>
      </c>
      <c r="F815" s="18">
        <v>4714</v>
      </c>
      <c r="G815" s="18">
        <v>4714.6000000000004</v>
      </c>
      <c r="H815" s="18">
        <v>4719.5</v>
      </c>
      <c r="I815" s="12" t="s">
        <v>104</v>
      </c>
      <c r="J815" s="12" t="s">
        <v>104</v>
      </c>
    </row>
    <row r="816" spans="2:10" ht="29.5" customHeight="1" thickBot="1" x14ac:dyDescent="0.4">
      <c r="B816" s="44" t="s">
        <v>463</v>
      </c>
      <c r="C816" s="14">
        <v>722514</v>
      </c>
      <c r="D816" s="15">
        <v>77.8</v>
      </c>
      <c r="E816" s="15">
        <v>73.7</v>
      </c>
      <c r="F816" s="15">
        <v>74.8</v>
      </c>
      <c r="G816" s="15">
        <v>73.099999999999994</v>
      </c>
      <c r="H816" s="15">
        <v>74.900000000000006</v>
      </c>
      <c r="I816" s="15" t="s">
        <v>104</v>
      </c>
      <c r="J816" s="15" t="s">
        <v>104</v>
      </c>
    </row>
    <row r="817" spans="1:10" ht="58.5" customHeight="1" thickBot="1" x14ac:dyDescent="0.4">
      <c r="B817" s="43" t="s">
        <v>464</v>
      </c>
      <c r="C817" s="16">
        <v>722515</v>
      </c>
      <c r="D817" s="12">
        <v>917.6</v>
      </c>
      <c r="E817" s="12">
        <v>929.9</v>
      </c>
      <c r="F817" s="12">
        <v>935.4</v>
      </c>
      <c r="G817" s="12">
        <v>940.4</v>
      </c>
      <c r="H817" s="12">
        <v>936.8</v>
      </c>
      <c r="I817" s="12" t="s">
        <v>104</v>
      </c>
      <c r="J817" s="12" t="s">
        <v>104</v>
      </c>
    </row>
    <row r="818" spans="1:10" ht="29.5" customHeight="1" thickBot="1" x14ac:dyDescent="0.4">
      <c r="B818" s="73"/>
      <c r="C818" s="74"/>
      <c r="D818" s="74"/>
      <c r="E818" s="74"/>
      <c r="F818" s="74"/>
      <c r="G818" s="74"/>
      <c r="H818" s="74"/>
      <c r="I818" s="74"/>
      <c r="J818" s="75"/>
    </row>
    <row r="819" spans="1:10" ht="73" customHeight="1" thickBot="1" x14ac:dyDescent="0.4">
      <c r="B819" s="37" t="s">
        <v>465</v>
      </c>
      <c r="C819" s="16">
        <v>81</v>
      </c>
      <c r="D819" s="13">
        <v>5864</v>
      </c>
      <c r="E819" s="13">
        <v>5912</v>
      </c>
      <c r="F819" s="13">
        <v>5916</v>
      </c>
      <c r="G819" s="13">
        <v>5922</v>
      </c>
      <c r="H819" s="13">
        <v>5922</v>
      </c>
      <c r="I819" s="13">
        <v>5930</v>
      </c>
      <c r="J819" s="12">
        <v>8</v>
      </c>
    </row>
    <row r="820" spans="1:10" ht="58.5" customHeight="1" thickBot="1" x14ac:dyDescent="0.4">
      <c r="B820" s="38" t="s">
        <v>466</v>
      </c>
      <c r="C820" s="14">
        <v>811</v>
      </c>
      <c r="D820" s="17">
        <v>1470.4</v>
      </c>
      <c r="E820" s="17">
        <v>1474.6</v>
      </c>
      <c r="F820" s="17">
        <v>1474.4</v>
      </c>
      <c r="G820" s="17">
        <v>1475.9</v>
      </c>
      <c r="H820" s="17">
        <v>1479.3</v>
      </c>
      <c r="I820" s="17">
        <v>1481.4</v>
      </c>
      <c r="J820" s="15">
        <v>2.1</v>
      </c>
    </row>
    <row r="821" spans="1:10" ht="18.649999999999999" customHeight="1" thickBot="1" x14ac:dyDescent="0.4">
      <c r="A821" t="s">
        <v>19</v>
      </c>
      <c r="B821" s="51" t="s">
        <v>467</v>
      </c>
      <c r="C821" s="16">
        <v>8111</v>
      </c>
      <c r="D821" s="18">
        <v>1033.9000000000001</v>
      </c>
      <c r="E821" s="18">
        <v>1035.3</v>
      </c>
      <c r="F821" s="18">
        <v>1035.7</v>
      </c>
      <c r="G821" s="18">
        <v>1038.4000000000001</v>
      </c>
      <c r="H821" s="18">
        <v>1040.2</v>
      </c>
      <c r="I821" s="12" t="s">
        <v>104</v>
      </c>
      <c r="J821" s="12" t="s">
        <v>104</v>
      </c>
    </row>
    <row r="822" spans="1:10" ht="29.5" customHeight="1" thickBot="1" x14ac:dyDescent="0.4">
      <c r="B822" s="48" t="s">
        <v>958</v>
      </c>
      <c r="C822" s="14">
        <v>81111</v>
      </c>
      <c r="D822" s="15">
        <v>438.7</v>
      </c>
      <c r="E822" s="15">
        <v>439.5</v>
      </c>
      <c r="F822" s="15">
        <v>439.1</v>
      </c>
      <c r="G822" s="15">
        <v>439.4</v>
      </c>
      <c r="H822" s="15">
        <v>441.5</v>
      </c>
      <c r="I822" s="15" t="s">
        <v>104</v>
      </c>
      <c r="J822" s="15" t="s">
        <v>104</v>
      </c>
    </row>
    <row r="823" spans="1:10" ht="44.15" customHeight="1" thickBot="1" x14ac:dyDescent="0.4">
      <c r="B823" s="43" t="s">
        <v>468</v>
      </c>
      <c r="C823" s="16">
        <v>811111</v>
      </c>
      <c r="D823" s="12">
        <v>392.4</v>
      </c>
      <c r="E823" s="12">
        <v>393.9</v>
      </c>
      <c r="F823" s="12">
        <v>393.4</v>
      </c>
      <c r="G823" s="12">
        <v>394.8</v>
      </c>
      <c r="H823" s="12">
        <v>396.7</v>
      </c>
      <c r="I823" s="12" t="s">
        <v>104</v>
      </c>
      <c r="J823" s="12" t="s">
        <v>104</v>
      </c>
    </row>
    <row r="824" spans="1:10" ht="18.649999999999999" customHeight="1" thickBot="1" x14ac:dyDescent="0.4">
      <c r="B824" s="44" t="s">
        <v>959</v>
      </c>
      <c r="C824" s="14">
        <v>811114</v>
      </c>
      <c r="D824" s="15">
        <v>46.8</v>
      </c>
      <c r="E824" s="15">
        <v>44.8</v>
      </c>
      <c r="F824" s="15">
        <v>45</v>
      </c>
      <c r="G824" s="15">
        <v>44.3</v>
      </c>
      <c r="H824" s="15">
        <v>45.1</v>
      </c>
      <c r="I824" s="15" t="s">
        <v>104</v>
      </c>
      <c r="J824" s="15" t="s">
        <v>104</v>
      </c>
    </row>
    <row r="825" spans="1:10" ht="44.15" customHeight="1" thickBot="1" x14ac:dyDescent="0.4">
      <c r="B825" s="50" t="s">
        <v>960</v>
      </c>
      <c r="C825" s="16">
        <v>81112</v>
      </c>
      <c r="D825" s="12">
        <v>308.3</v>
      </c>
      <c r="E825" s="12">
        <v>309.3</v>
      </c>
      <c r="F825" s="12">
        <v>307.60000000000002</v>
      </c>
      <c r="G825" s="12">
        <v>307.2</v>
      </c>
      <c r="H825" s="12">
        <v>307.3</v>
      </c>
      <c r="I825" s="12" t="s">
        <v>104</v>
      </c>
      <c r="J825" s="12" t="s">
        <v>104</v>
      </c>
    </row>
    <row r="826" spans="1:10" ht="29.5" customHeight="1" thickBot="1" x14ac:dyDescent="0.4">
      <c r="B826" s="44" t="s">
        <v>961</v>
      </c>
      <c r="C826" s="14">
        <v>811121</v>
      </c>
      <c r="D826" s="15">
        <v>269.39999999999998</v>
      </c>
      <c r="E826" s="15">
        <v>271.3</v>
      </c>
      <c r="F826" s="15">
        <v>269.89999999999998</v>
      </c>
      <c r="G826" s="15">
        <v>269.7</v>
      </c>
      <c r="H826" s="15">
        <v>270.60000000000002</v>
      </c>
      <c r="I826" s="15" t="s">
        <v>104</v>
      </c>
      <c r="J826" s="15" t="s">
        <v>104</v>
      </c>
    </row>
    <row r="827" spans="1:10" ht="29.5" customHeight="1" thickBot="1" x14ac:dyDescent="0.4">
      <c r="B827" s="43" t="s">
        <v>469</v>
      </c>
      <c r="C827" s="16">
        <v>811122</v>
      </c>
      <c r="D827" s="12">
        <v>39.299999999999997</v>
      </c>
      <c r="E827" s="12">
        <v>37.9</v>
      </c>
      <c r="F827" s="12">
        <v>37.5</v>
      </c>
      <c r="G827" s="12">
        <v>37.200000000000003</v>
      </c>
      <c r="H827" s="12">
        <v>36.9</v>
      </c>
      <c r="I827" s="12" t="s">
        <v>104</v>
      </c>
      <c r="J827" s="12" t="s">
        <v>104</v>
      </c>
    </row>
    <row r="828" spans="1:10" ht="29.5" customHeight="1" thickBot="1" x14ac:dyDescent="0.4">
      <c r="B828" s="48" t="s">
        <v>470</v>
      </c>
      <c r="C828" s="14">
        <v>81119</v>
      </c>
      <c r="D828" s="15">
        <v>287.10000000000002</v>
      </c>
      <c r="E828" s="15">
        <v>287.2</v>
      </c>
      <c r="F828" s="15">
        <v>289.39999999999998</v>
      </c>
      <c r="G828" s="15">
        <v>291.10000000000002</v>
      </c>
      <c r="H828" s="15">
        <v>292</v>
      </c>
      <c r="I828" s="15" t="s">
        <v>104</v>
      </c>
      <c r="J828" s="15" t="s">
        <v>104</v>
      </c>
    </row>
    <row r="829" spans="1:10" ht="58.5" customHeight="1" thickBot="1" x14ac:dyDescent="0.4">
      <c r="B829" s="43" t="s">
        <v>471</v>
      </c>
      <c r="C829" s="16">
        <v>811192</v>
      </c>
      <c r="D829" s="12">
        <v>185.7</v>
      </c>
      <c r="E829" s="12">
        <v>188.6</v>
      </c>
      <c r="F829" s="12">
        <v>189.7</v>
      </c>
      <c r="G829" s="12">
        <v>191.7</v>
      </c>
      <c r="H829" s="12">
        <v>192.4</v>
      </c>
      <c r="I829" s="12" t="s">
        <v>104</v>
      </c>
      <c r="J829" s="12" t="s">
        <v>104</v>
      </c>
    </row>
    <row r="830" spans="1:10" ht="44.15" customHeight="1" thickBot="1" x14ac:dyDescent="0.4">
      <c r="B830" s="44" t="s">
        <v>962</v>
      </c>
      <c r="C830" s="14" t="s">
        <v>472</v>
      </c>
      <c r="D830" s="15">
        <v>101</v>
      </c>
      <c r="E830" s="15">
        <v>98.4</v>
      </c>
      <c r="F830" s="15">
        <v>99</v>
      </c>
      <c r="G830" s="15">
        <v>99.6</v>
      </c>
      <c r="H830" s="15">
        <v>99.5</v>
      </c>
      <c r="I830" s="15" t="s">
        <v>104</v>
      </c>
      <c r="J830" s="15" t="s">
        <v>104</v>
      </c>
    </row>
    <row r="831" spans="1:10" ht="29.5" customHeight="1" thickBot="1" x14ac:dyDescent="0.4">
      <c r="A831" t="s">
        <v>31</v>
      </c>
      <c r="B831" s="51" t="s">
        <v>963</v>
      </c>
      <c r="C831" s="16">
        <v>8112</v>
      </c>
      <c r="D831" s="12">
        <v>104.8</v>
      </c>
      <c r="E831" s="12">
        <v>103.9</v>
      </c>
      <c r="F831" s="12">
        <v>103.2</v>
      </c>
      <c r="G831" s="12">
        <v>103.5</v>
      </c>
      <c r="H831" s="12">
        <v>104</v>
      </c>
      <c r="I831" s="12" t="s">
        <v>104</v>
      </c>
      <c r="J831" s="12" t="s">
        <v>104</v>
      </c>
    </row>
    <row r="832" spans="1:10" ht="44" thickBot="1" x14ac:dyDescent="0.4">
      <c r="A832" t="s">
        <v>17</v>
      </c>
      <c r="B832" s="49" t="s">
        <v>964</v>
      </c>
      <c r="C832" s="14">
        <v>8113</v>
      </c>
      <c r="D832" s="15">
        <v>246.5</v>
      </c>
      <c r="E832" s="15">
        <v>251.5</v>
      </c>
      <c r="F832" s="15">
        <v>251.1</v>
      </c>
      <c r="G832" s="15">
        <v>251.3</v>
      </c>
      <c r="H832" s="15">
        <v>252.4</v>
      </c>
      <c r="I832" s="15" t="s">
        <v>104</v>
      </c>
      <c r="J832" s="15" t="s">
        <v>104</v>
      </c>
    </row>
    <row r="833" spans="1:10" ht="58.5" customHeight="1" thickBot="1" x14ac:dyDescent="0.4">
      <c r="A833" t="s">
        <v>31</v>
      </c>
      <c r="B833" s="51" t="s">
        <v>965</v>
      </c>
      <c r="C833" s="16">
        <v>8114</v>
      </c>
      <c r="D833" s="12">
        <v>86.5</v>
      </c>
      <c r="E833" s="12">
        <v>84.8</v>
      </c>
      <c r="F833" s="12">
        <v>84.7</v>
      </c>
      <c r="G833" s="12">
        <v>84</v>
      </c>
      <c r="H833" s="12">
        <v>83.4</v>
      </c>
      <c r="I833" s="12" t="s">
        <v>104</v>
      </c>
      <c r="J833" s="12" t="s">
        <v>104</v>
      </c>
    </row>
    <row r="834" spans="1:10" ht="29.5" customHeight="1" thickBot="1" x14ac:dyDescent="0.4">
      <c r="A834" t="s">
        <v>31</v>
      </c>
      <c r="B834" s="38" t="s">
        <v>473</v>
      </c>
      <c r="C834" s="14">
        <v>812</v>
      </c>
      <c r="D834" s="17">
        <v>1549</v>
      </c>
      <c r="E834" s="17">
        <v>1562.4</v>
      </c>
      <c r="F834" s="17">
        <v>1563.8</v>
      </c>
      <c r="G834" s="17">
        <v>1566.7</v>
      </c>
      <c r="H834" s="17">
        <v>1564</v>
      </c>
      <c r="I834" s="17">
        <v>1568.1</v>
      </c>
      <c r="J834" s="15">
        <v>4.0999999999999996</v>
      </c>
    </row>
    <row r="835" spans="1:10" ht="58.5" customHeight="1" thickBot="1" x14ac:dyDescent="0.4">
      <c r="B835" s="51" t="s">
        <v>474</v>
      </c>
      <c r="C835" s="16">
        <v>8121</v>
      </c>
      <c r="D835" s="12">
        <v>735.9</v>
      </c>
      <c r="E835" s="12">
        <v>747</v>
      </c>
      <c r="F835" s="12">
        <v>747.3</v>
      </c>
      <c r="G835" s="12">
        <v>751.1</v>
      </c>
      <c r="H835" s="12">
        <v>748.9</v>
      </c>
      <c r="I835" s="12" t="s">
        <v>104</v>
      </c>
      <c r="J835" s="12" t="s">
        <v>104</v>
      </c>
    </row>
    <row r="836" spans="1:10" ht="15" thickBot="1" x14ac:dyDescent="0.4">
      <c r="B836" s="48" t="s">
        <v>475</v>
      </c>
      <c r="C836" s="14">
        <v>81211</v>
      </c>
      <c r="D836" s="15">
        <v>550.6</v>
      </c>
      <c r="E836" s="15">
        <v>551.9</v>
      </c>
      <c r="F836" s="15">
        <v>553.9</v>
      </c>
      <c r="G836" s="15">
        <v>557.6</v>
      </c>
      <c r="H836" s="15">
        <v>559</v>
      </c>
      <c r="I836" s="15" t="s">
        <v>104</v>
      </c>
      <c r="J836" s="15" t="s">
        <v>104</v>
      </c>
    </row>
    <row r="837" spans="1:10" ht="15" thickBot="1" x14ac:dyDescent="0.4">
      <c r="B837" s="43" t="s">
        <v>476</v>
      </c>
      <c r="C837" s="16" t="s">
        <v>477</v>
      </c>
      <c r="D837" s="12">
        <v>402.5</v>
      </c>
      <c r="E837" s="12">
        <v>403.7</v>
      </c>
      <c r="F837" s="12">
        <v>403.6</v>
      </c>
      <c r="G837" s="12">
        <v>406.1</v>
      </c>
      <c r="H837" s="12">
        <v>405.5</v>
      </c>
      <c r="I837" s="12" t="s">
        <v>104</v>
      </c>
      <c r="J837" s="12" t="s">
        <v>104</v>
      </c>
    </row>
    <row r="838" spans="1:10" ht="44.15" customHeight="1" thickBot="1" x14ac:dyDescent="0.4">
      <c r="B838" s="44" t="s">
        <v>478</v>
      </c>
      <c r="C838" s="14">
        <v>812113</v>
      </c>
      <c r="D838" s="15">
        <v>147.9</v>
      </c>
      <c r="E838" s="15">
        <v>148.69999999999999</v>
      </c>
      <c r="F838" s="15">
        <v>149.6</v>
      </c>
      <c r="G838" s="15">
        <v>149.4</v>
      </c>
      <c r="H838" s="15">
        <v>152.6</v>
      </c>
      <c r="I838" s="15" t="s">
        <v>104</v>
      </c>
      <c r="J838" s="15" t="s">
        <v>104</v>
      </c>
    </row>
    <row r="839" spans="1:10" ht="44.15" customHeight="1" thickBot="1" x14ac:dyDescent="0.4">
      <c r="B839" s="50" t="s">
        <v>479</v>
      </c>
      <c r="C839" s="16">
        <v>81219</v>
      </c>
      <c r="D839" s="12">
        <v>184.9</v>
      </c>
      <c r="E839" s="12">
        <v>192.4</v>
      </c>
      <c r="F839" s="12">
        <v>192.9</v>
      </c>
      <c r="G839" s="12">
        <v>193.5</v>
      </c>
      <c r="H839" s="12">
        <v>191.3</v>
      </c>
      <c r="I839" s="12" t="s">
        <v>104</v>
      </c>
      <c r="J839" s="12" t="s">
        <v>104</v>
      </c>
    </row>
    <row r="840" spans="1:10" ht="15" thickBot="1" x14ac:dyDescent="0.4">
      <c r="B840" s="49" t="s">
        <v>480</v>
      </c>
      <c r="C840" s="14">
        <v>8122</v>
      </c>
      <c r="D840" s="15">
        <v>139</v>
      </c>
      <c r="E840" s="15">
        <v>138.80000000000001</v>
      </c>
      <c r="F840" s="15">
        <v>138.9</v>
      </c>
      <c r="G840" s="15">
        <v>138.1</v>
      </c>
      <c r="H840" s="15">
        <v>137.4</v>
      </c>
      <c r="I840" s="15" t="s">
        <v>104</v>
      </c>
      <c r="J840" s="15" t="s">
        <v>104</v>
      </c>
    </row>
    <row r="841" spans="1:10" ht="44.15" customHeight="1" thickBot="1" x14ac:dyDescent="0.4">
      <c r="B841" s="50" t="s">
        <v>481</v>
      </c>
      <c r="C841" s="16">
        <v>81221</v>
      </c>
      <c r="D841" s="12">
        <v>107.3</v>
      </c>
      <c r="E841" s="12">
        <v>107.1</v>
      </c>
      <c r="F841" s="12">
        <v>107.4</v>
      </c>
      <c r="G841" s="12">
        <v>106.1</v>
      </c>
      <c r="H841" s="12">
        <v>104.3</v>
      </c>
      <c r="I841" s="12" t="s">
        <v>104</v>
      </c>
      <c r="J841" s="12" t="s">
        <v>104</v>
      </c>
    </row>
    <row r="842" spans="1:10" ht="44.15" customHeight="1" thickBot="1" x14ac:dyDescent="0.4">
      <c r="B842" s="48" t="s">
        <v>482</v>
      </c>
      <c r="C842" s="14">
        <v>81222</v>
      </c>
      <c r="D842" s="15">
        <v>31.9</v>
      </c>
      <c r="E842" s="15">
        <v>31.5</v>
      </c>
      <c r="F842" s="15">
        <v>31.9</v>
      </c>
      <c r="G842" s="15">
        <v>32.200000000000003</v>
      </c>
      <c r="H842" s="15">
        <v>33</v>
      </c>
      <c r="I842" s="15" t="s">
        <v>104</v>
      </c>
      <c r="J842" s="15" t="s">
        <v>104</v>
      </c>
    </row>
    <row r="843" spans="1:10" ht="87.65" customHeight="1" thickBot="1" x14ac:dyDescent="0.4">
      <c r="B843" s="51" t="s">
        <v>483</v>
      </c>
      <c r="C843" s="16">
        <v>8123</v>
      </c>
      <c r="D843" s="12">
        <v>259.8</v>
      </c>
      <c r="E843" s="12">
        <v>264.10000000000002</v>
      </c>
      <c r="F843" s="12">
        <v>261.89999999999998</v>
      </c>
      <c r="G843" s="12">
        <v>263.5</v>
      </c>
      <c r="H843" s="12">
        <v>260.7</v>
      </c>
      <c r="I843" s="12" t="s">
        <v>104</v>
      </c>
      <c r="J843" s="12" t="s">
        <v>104</v>
      </c>
    </row>
    <row r="844" spans="1:10" ht="44.15" customHeight="1" thickBot="1" x14ac:dyDescent="0.4">
      <c r="B844" s="48" t="s">
        <v>484</v>
      </c>
      <c r="C844" s="14">
        <v>81231</v>
      </c>
      <c r="D844" s="15">
        <v>39.6</v>
      </c>
      <c r="E844" s="15">
        <v>40.6</v>
      </c>
      <c r="F844" s="15">
        <v>40</v>
      </c>
      <c r="G844" s="15">
        <v>39.6</v>
      </c>
      <c r="H844" s="15">
        <v>39.1</v>
      </c>
      <c r="I844" s="15" t="s">
        <v>104</v>
      </c>
      <c r="J844" s="15" t="s">
        <v>104</v>
      </c>
    </row>
    <row r="845" spans="1:10" ht="18.649999999999999" customHeight="1" thickBot="1" x14ac:dyDescent="0.4">
      <c r="B845" s="50" t="s">
        <v>485</v>
      </c>
      <c r="C845" s="16">
        <v>81232</v>
      </c>
      <c r="D845" s="12">
        <v>90.8</v>
      </c>
      <c r="E845" s="12">
        <v>91.2</v>
      </c>
      <c r="F845" s="12">
        <v>88.7</v>
      </c>
      <c r="G845" s="12">
        <v>90.5</v>
      </c>
      <c r="H845" s="12">
        <v>88.1</v>
      </c>
      <c r="I845" s="12" t="s">
        <v>104</v>
      </c>
      <c r="J845" s="12" t="s">
        <v>104</v>
      </c>
    </row>
    <row r="846" spans="1:10" ht="29.5" customHeight="1" thickBot="1" x14ac:dyDescent="0.4">
      <c r="B846" s="48" t="s">
        <v>486</v>
      </c>
      <c r="C846" s="14">
        <v>81233</v>
      </c>
      <c r="D846" s="15">
        <v>129.4</v>
      </c>
      <c r="E846" s="15">
        <v>132.30000000000001</v>
      </c>
      <c r="F846" s="15">
        <v>132.69999999999999</v>
      </c>
      <c r="G846" s="15">
        <v>132.80000000000001</v>
      </c>
      <c r="H846" s="15">
        <v>133.69999999999999</v>
      </c>
      <c r="I846" s="15" t="s">
        <v>104</v>
      </c>
      <c r="J846" s="15" t="s">
        <v>104</v>
      </c>
    </row>
    <row r="847" spans="1:10" ht="29.5" customHeight="1" thickBot="1" x14ac:dyDescent="0.4">
      <c r="B847" s="43" t="s">
        <v>487</v>
      </c>
      <c r="C847" s="16">
        <v>812331</v>
      </c>
      <c r="D847" s="12">
        <v>63.2</v>
      </c>
      <c r="E847" s="12">
        <v>65.3</v>
      </c>
      <c r="F847" s="12">
        <v>65.7</v>
      </c>
      <c r="G847" s="12">
        <v>65.8</v>
      </c>
      <c r="H847" s="12">
        <v>66</v>
      </c>
      <c r="I847" s="12" t="s">
        <v>104</v>
      </c>
      <c r="J847" s="12" t="s">
        <v>104</v>
      </c>
    </row>
    <row r="848" spans="1:10" ht="44.15" customHeight="1" thickBot="1" x14ac:dyDescent="0.4">
      <c r="B848" s="44" t="s">
        <v>488</v>
      </c>
      <c r="C848" s="14">
        <v>812332</v>
      </c>
      <c r="D848" s="15">
        <v>66.3</v>
      </c>
      <c r="E848" s="15">
        <v>67.099999999999994</v>
      </c>
      <c r="F848" s="15">
        <v>67.2</v>
      </c>
      <c r="G848" s="15">
        <v>67.2</v>
      </c>
      <c r="H848" s="15">
        <v>67.5</v>
      </c>
      <c r="I848" s="15" t="s">
        <v>104</v>
      </c>
      <c r="J848" s="15" t="s">
        <v>104</v>
      </c>
    </row>
    <row r="849" spans="1:10" ht="44.15" customHeight="1" thickBot="1" x14ac:dyDescent="0.4">
      <c r="B849" s="51" t="s">
        <v>489</v>
      </c>
      <c r="C849" s="16">
        <v>8129</v>
      </c>
      <c r="D849" s="12">
        <v>413.3</v>
      </c>
      <c r="E849" s="12">
        <v>411.8</v>
      </c>
      <c r="F849" s="12">
        <v>413</v>
      </c>
      <c r="G849" s="12">
        <v>413.7</v>
      </c>
      <c r="H849" s="12">
        <v>414.5</v>
      </c>
      <c r="I849" s="12" t="s">
        <v>104</v>
      </c>
      <c r="J849" s="12" t="s">
        <v>104</v>
      </c>
    </row>
    <row r="850" spans="1:10" ht="44.15" customHeight="1" thickBot="1" x14ac:dyDescent="0.4">
      <c r="B850" s="48" t="s">
        <v>966</v>
      </c>
      <c r="C850" s="14">
        <v>81291</v>
      </c>
      <c r="D850" s="15">
        <v>189.4</v>
      </c>
      <c r="E850" s="15">
        <v>188.7</v>
      </c>
      <c r="F850" s="15">
        <v>187.5</v>
      </c>
      <c r="G850" s="15">
        <v>187.7</v>
      </c>
      <c r="H850" s="15">
        <v>186.2</v>
      </c>
      <c r="I850" s="15" t="s">
        <v>104</v>
      </c>
      <c r="J850" s="15" t="s">
        <v>104</v>
      </c>
    </row>
    <row r="851" spans="1:10" ht="29.5" customHeight="1" thickBot="1" x14ac:dyDescent="0.4">
      <c r="B851" s="50" t="s">
        <v>490</v>
      </c>
      <c r="C851" s="16">
        <v>81293</v>
      </c>
      <c r="D851" s="12">
        <v>127.1</v>
      </c>
      <c r="E851" s="12">
        <v>126.2</v>
      </c>
      <c r="F851" s="12">
        <v>127.3</v>
      </c>
      <c r="G851" s="12">
        <v>127.9</v>
      </c>
      <c r="H851" s="12">
        <v>130.5</v>
      </c>
      <c r="I851" s="12" t="s">
        <v>104</v>
      </c>
      <c r="J851" s="12" t="s">
        <v>104</v>
      </c>
    </row>
    <row r="852" spans="1:10" ht="29.5" customHeight="1" thickBot="1" x14ac:dyDescent="0.4">
      <c r="B852" s="48" t="s">
        <v>967</v>
      </c>
      <c r="C852" s="14" t="s">
        <v>491</v>
      </c>
      <c r="D852" s="15">
        <v>95.5</v>
      </c>
      <c r="E852" s="15">
        <v>98</v>
      </c>
      <c r="F852" s="15">
        <v>98.8</v>
      </c>
      <c r="G852" s="15">
        <v>98.1</v>
      </c>
      <c r="H852" s="15">
        <v>98</v>
      </c>
      <c r="I852" s="15" t="s">
        <v>104</v>
      </c>
      <c r="J852" s="15" t="s">
        <v>104</v>
      </c>
    </row>
    <row r="853" spans="1:10" ht="44.15" customHeight="1" thickBot="1" x14ac:dyDescent="0.4">
      <c r="A853" t="s">
        <v>31</v>
      </c>
      <c r="B853" s="39" t="s">
        <v>968</v>
      </c>
      <c r="C853" s="16">
        <v>813</v>
      </c>
      <c r="D853" s="18">
        <v>2844.7</v>
      </c>
      <c r="E853" s="18">
        <v>2874.6</v>
      </c>
      <c r="F853" s="18">
        <v>2877.8</v>
      </c>
      <c r="G853" s="18">
        <v>2879.4</v>
      </c>
      <c r="H853" s="18">
        <v>2878.8</v>
      </c>
      <c r="I853" s="18">
        <v>2880.4</v>
      </c>
      <c r="J853" s="12">
        <v>1.6</v>
      </c>
    </row>
    <row r="854" spans="1:10" ht="58.5" customHeight="1" thickBot="1" x14ac:dyDescent="0.4">
      <c r="B854" s="49" t="s">
        <v>492</v>
      </c>
      <c r="C854" s="14">
        <v>8132</v>
      </c>
      <c r="D854" s="15">
        <v>197.1</v>
      </c>
      <c r="E854" s="15">
        <v>202.8</v>
      </c>
      <c r="F854" s="15">
        <v>203.9</v>
      </c>
      <c r="G854" s="15">
        <v>203.6</v>
      </c>
      <c r="H854" s="15">
        <v>204.1</v>
      </c>
      <c r="I854" s="15" t="s">
        <v>104</v>
      </c>
      <c r="J854" s="15" t="s">
        <v>104</v>
      </c>
    </row>
    <row r="855" spans="1:10" ht="15" thickBot="1" x14ac:dyDescent="0.4">
      <c r="B855" s="50" t="s">
        <v>493</v>
      </c>
      <c r="C855" s="16">
        <v>813211</v>
      </c>
      <c r="D855" s="12">
        <v>112.2</v>
      </c>
      <c r="E855" s="12">
        <v>115</v>
      </c>
      <c r="F855" s="12">
        <v>117</v>
      </c>
      <c r="G855" s="12">
        <v>116.5</v>
      </c>
      <c r="H855" s="12">
        <v>116.4</v>
      </c>
      <c r="I855" s="12" t="s">
        <v>104</v>
      </c>
      <c r="J855" s="12" t="s">
        <v>104</v>
      </c>
    </row>
    <row r="856" spans="1:10" ht="15" thickBot="1" x14ac:dyDescent="0.4">
      <c r="B856" s="48" t="s">
        <v>494</v>
      </c>
      <c r="C856" s="14">
        <v>813212</v>
      </c>
      <c r="D856" s="15">
        <v>41.5</v>
      </c>
      <c r="E856" s="15">
        <v>42.4</v>
      </c>
      <c r="F856" s="15">
        <v>41.5</v>
      </c>
      <c r="G856" s="15">
        <v>41.6</v>
      </c>
      <c r="H856" s="15">
        <v>42.5</v>
      </c>
      <c r="I856" s="15" t="s">
        <v>104</v>
      </c>
      <c r="J856" s="15" t="s">
        <v>104</v>
      </c>
    </row>
    <row r="857" spans="1:10" ht="15" thickBot="1" x14ac:dyDescent="0.4">
      <c r="B857" s="50" t="s">
        <v>495</v>
      </c>
      <c r="C857" s="16">
        <v>813219</v>
      </c>
      <c r="D857" s="12">
        <v>43</v>
      </c>
      <c r="E857" s="12">
        <v>45</v>
      </c>
      <c r="F857" s="12">
        <v>45.4</v>
      </c>
      <c r="G857" s="12">
        <v>45.5</v>
      </c>
      <c r="H857" s="12">
        <v>45.3</v>
      </c>
      <c r="I857" s="12" t="s">
        <v>104</v>
      </c>
      <c r="J857" s="12" t="s">
        <v>104</v>
      </c>
    </row>
    <row r="858" spans="1:10" ht="15" thickBot="1" x14ac:dyDescent="0.4">
      <c r="B858" s="49" t="s">
        <v>496</v>
      </c>
      <c r="C858" s="14">
        <v>8133</v>
      </c>
      <c r="D858" s="15">
        <v>278.8</v>
      </c>
      <c r="E858" s="15">
        <v>287.7</v>
      </c>
      <c r="F858" s="15">
        <v>288.3</v>
      </c>
      <c r="G858" s="15">
        <v>288</v>
      </c>
      <c r="H858" s="15">
        <v>287.5</v>
      </c>
      <c r="I858" s="15" t="s">
        <v>104</v>
      </c>
      <c r="J858" s="15" t="s">
        <v>104</v>
      </c>
    </row>
    <row r="859" spans="1:10" ht="58.5" customHeight="1" thickBot="1" x14ac:dyDescent="0.4">
      <c r="B859" s="50" t="s">
        <v>497</v>
      </c>
      <c r="C859" s="16">
        <v>813311</v>
      </c>
      <c r="D859" s="12">
        <v>59</v>
      </c>
      <c r="E859" s="12">
        <v>58.3</v>
      </c>
      <c r="F859" s="12">
        <v>58.9</v>
      </c>
      <c r="G859" s="12">
        <v>59</v>
      </c>
      <c r="H859" s="12">
        <v>59</v>
      </c>
      <c r="I859" s="12" t="s">
        <v>104</v>
      </c>
      <c r="J859" s="12" t="s">
        <v>104</v>
      </c>
    </row>
    <row r="860" spans="1:10" ht="44.15" customHeight="1" thickBot="1" x14ac:dyDescent="0.4">
      <c r="B860" s="48" t="s">
        <v>969</v>
      </c>
      <c r="C860" s="14" t="s">
        <v>498</v>
      </c>
      <c r="D860" s="15">
        <v>219.9</v>
      </c>
      <c r="E860" s="15">
        <v>229.2</v>
      </c>
      <c r="F860" s="15">
        <v>229.4</v>
      </c>
      <c r="G860" s="15">
        <v>229</v>
      </c>
      <c r="H860" s="15">
        <v>228.9</v>
      </c>
      <c r="I860" s="15" t="s">
        <v>104</v>
      </c>
      <c r="J860" s="15" t="s">
        <v>104</v>
      </c>
    </row>
    <row r="861" spans="1:10" ht="73" customHeight="1" thickBot="1" x14ac:dyDescent="0.4">
      <c r="B861" s="51" t="s">
        <v>499</v>
      </c>
      <c r="C861" s="16">
        <v>8134</v>
      </c>
      <c r="D861" s="12">
        <v>351.9</v>
      </c>
      <c r="E861" s="12">
        <v>359.7</v>
      </c>
      <c r="F861" s="12">
        <v>361.9</v>
      </c>
      <c r="G861" s="12">
        <v>362.7</v>
      </c>
      <c r="H861" s="12">
        <v>363.9</v>
      </c>
      <c r="I861" s="12" t="s">
        <v>104</v>
      </c>
      <c r="J861" s="12" t="s">
        <v>104</v>
      </c>
    </row>
    <row r="862" spans="1:10" ht="58.5" customHeight="1" thickBot="1" x14ac:dyDescent="0.4">
      <c r="B862" s="49" t="s">
        <v>970</v>
      </c>
      <c r="C862" s="14">
        <v>8139</v>
      </c>
      <c r="D862" s="15">
        <v>470.4</v>
      </c>
      <c r="E862" s="15">
        <v>476.2</v>
      </c>
      <c r="F862" s="15">
        <v>475.4</v>
      </c>
      <c r="G862" s="15">
        <v>477.8</v>
      </c>
      <c r="H862" s="15">
        <v>475.6</v>
      </c>
      <c r="I862" s="15" t="s">
        <v>104</v>
      </c>
      <c r="J862" s="15" t="s">
        <v>104</v>
      </c>
    </row>
    <row r="863" spans="1:10" ht="44.15" customHeight="1" thickBot="1" x14ac:dyDescent="0.4">
      <c r="B863" s="50" t="s">
        <v>500</v>
      </c>
      <c r="C863" s="16">
        <v>81391</v>
      </c>
      <c r="D863" s="12">
        <v>118.7</v>
      </c>
      <c r="E863" s="12">
        <v>119.8</v>
      </c>
      <c r="F863" s="12">
        <v>119.1</v>
      </c>
      <c r="G863" s="12">
        <v>118.8</v>
      </c>
      <c r="H863" s="12">
        <v>117.4</v>
      </c>
      <c r="I863" s="12" t="s">
        <v>104</v>
      </c>
      <c r="J863" s="12" t="s">
        <v>104</v>
      </c>
    </row>
    <row r="864" spans="1:10" ht="58.5" customHeight="1" thickBot="1" x14ac:dyDescent="0.4">
      <c r="B864" s="48" t="s">
        <v>501</v>
      </c>
      <c r="C864" s="14">
        <v>81392</v>
      </c>
      <c r="D864" s="15">
        <v>86.9</v>
      </c>
      <c r="E864" s="15">
        <v>85.4</v>
      </c>
      <c r="F864" s="15">
        <v>85.2</v>
      </c>
      <c r="G864" s="15">
        <v>85.7</v>
      </c>
      <c r="H864" s="15">
        <v>84.7</v>
      </c>
      <c r="I864" s="15" t="s">
        <v>104</v>
      </c>
      <c r="J864" s="15" t="s">
        <v>104</v>
      </c>
    </row>
    <row r="865" spans="1:10" ht="58.5" customHeight="1" thickBot="1" x14ac:dyDescent="0.4">
      <c r="B865" s="50" t="s">
        <v>502</v>
      </c>
      <c r="C865" s="16">
        <v>81393</v>
      </c>
      <c r="D865" s="12">
        <v>109.1</v>
      </c>
      <c r="E865" s="12">
        <v>105</v>
      </c>
      <c r="F865" s="12">
        <v>105.3</v>
      </c>
      <c r="G865" s="12">
        <v>106.1</v>
      </c>
      <c r="H865" s="12">
        <v>105.1</v>
      </c>
      <c r="I865" s="12" t="s">
        <v>104</v>
      </c>
      <c r="J865" s="12" t="s">
        <v>104</v>
      </c>
    </row>
    <row r="866" spans="1:10" ht="44.15" customHeight="1" thickBot="1" x14ac:dyDescent="0.4">
      <c r="B866" s="48" t="s">
        <v>971</v>
      </c>
      <c r="C866" s="14" t="s">
        <v>503</v>
      </c>
      <c r="D866" s="15">
        <v>157.19999999999999</v>
      </c>
      <c r="E866" s="15">
        <v>165.5</v>
      </c>
      <c r="F866" s="15">
        <v>165.6</v>
      </c>
      <c r="G866" s="15">
        <v>167.6</v>
      </c>
      <c r="H866" s="15">
        <v>168.7</v>
      </c>
      <c r="I866" s="15" t="s">
        <v>104</v>
      </c>
      <c r="J866" s="15" t="s">
        <v>104</v>
      </c>
    </row>
    <row r="867" spans="1:10" ht="15" thickBot="1" x14ac:dyDescent="0.4">
      <c r="B867" s="73"/>
      <c r="C867" s="74"/>
      <c r="D867" s="74"/>
      <c r="E867" s="74"/>
      <c r="F867" s="74"/>
      <c r="G867" s="74"/>
      <c r="H867" s="74"/>
      <c r="I867" s="74"/>
      <c r="J867" s="75"/>
    </row>
    <row r="868" spans="1:10" ht="73" customHeight="1" thickBot="1" x14ac:dyDescent="0.4">
      <c r="A868" t="s">
        <v>28</v>
      </c>
      <c r="B868" s="37" t="s">
        <v>92</v>
      </c>
      <c r="C868" s="12"/>
      <c r="D868" s="13">
        <v>23000</v>
      </c>
      <c r="E868" s="13">
        <v>23345</v>
      </c>
      <c r="F868" s="13">
        <v>23386</v>
      </c>
      <c r="G868" s="13">
        <v>23419</v>
      </c>
      <c r="H868" s="13">
        <v>23457</v>
      </c>
      <c r="I868" s="13">
        <v>23490</v>
      </c>
      <c r="J868" s="12">
        <v>33</v>
      </c>
    </row>
    <row r="869" spans="1:10" ht="15" thickBot="1" x14ac:dyDescent="0.4">
      <c r="B869" s="38" t="s">
        <v>504</v>
      </c>
      <c r="C869" s="15"/>
      <c r="D869" s="20">
        <v>2952</v>
      </c>
      <c r="E869" s="20">
        <v>2996</v>
      </c>
      <c r="F869" s="20">
        <v>2997</v>
      </c>
      <c r="G869" s="20">
        <v>3001</v>
      </c>
      <c r="H869" s="20">
        <v>3003</v>
      </c>
      <c r="I869" s="20">
        <v>3001</v>
      </c>
      <c r="J869" s="15">
        <v>-2</v>
      </c>
    </row>
    <row r="870" spans="1:10" ht="44.15" customHeight="1" thickBot="1" x14ac:dyDescent="0.4">
      <c r="B870" s="41" t="s">
        <v>505</v>
      </c>
      <c r="C870" s="12"/>
      <c r="D870" s="18">
        <v>2350.1999999999998</v>
      </c>
      <c r="E870" s="18">
        <v>2389.6</v>
      </c>
      <c r="F870" s="18">
        <v>2391.6999999999998</v>
      </c>
      <c r="G870" s="18">
        <v>2394.6999999999998</v>
      </c>
      <c r="H870" s="18">
        <v>2398</v>
      </c>
      <c r="I870" s="18">
        <v>2398.6999999999998</v>
      </c>
      <c r="J870" s="12">
        <v>0.7</v>
      </c>
    </row>
    <row r="871" spans="1:10" ht="73" customHeight="1" thickBot="1" x14ac:dyDescent="0.4">
      <c r="B871" s="48" t="s">
        <v>506</v>
      </c>
      <c r="C871" s="15"/>
      <c r="D871" s="15">
        <v>382.4</v>
      </c>
      <c r="E871" s="15">
        <v>386.5</v>
      </c>
      <c r="F871" s="15">
        <v>384.9</v>
      </c>
      <c r="G871" s="15">
        <v>383.2</v>
      </c>
      <c r="H871" s="15">
        <v>380.7</v>
      </c>
      <c r="I871" s="15" t="s">
        <v>104</v>
      </c>
      <c r="J871" s="15" t="s">
        <v>104</v>
      </c>
    </row>
    <row r="872" spans="1:10" ht="15" thickBot="1" x14ac:dyDescent="0.4">
      <c r="B872" s="50" t="s">
        <v>507</v>
      </c>
      <c r="C872" s="12"/>
      <c r="D872" s="12">
        <v>556.29999999999995</v>
      </c>
      <c r="E872" s="12">
        <v>559</v>
      </c>
      <c r="F872" s="12">
        <v>559</v>
      </c>
      <c r="G872" s="12">
        <v>559.70000000000005</v>
      </c>
      <c r="H872" s="12">
        <v>561.9</v>
      </c>
      <c r="I872" s="12" t="s">
        <v>104</v>
      </c>
      <c r="J872" s="12" t="s">
        <v>104</v>
      </c>
    </row>
    <row r="873" spans="1:10" ht="15" thickBot="1" x14ac:dyDescent="0.4">
      <c r="B873" s="49" t="s">
        <v>508</v>
      </c>
      <c r="C873" s="15"/>
      <c r="D873" s="15">
        <v>601.70000000000005</v>
      </c>
      <c r="E873" s="15">
        <v>606.70000000000005</v>
      </c>
      <c r="F873" s="15">
        <v>605.6</v>
      </c>
      <c r="G873" s="15">
        <v>606.5</v>
      </c>
      <c r="H873" s="15">
        <v>604.9</v>
      </c>
      <c r="I873" s="15">
        <v>602.20000000000005</v>
      </c>
      <c r="J873" s="15">
        <v>-2.7</v>
      </c>
    </row>
    <row r="874" spans="1:10" ht="15" thickBot="1" x14ac:dyDescent="0.4">
      <c r="B874" s="50" t="s">
        <v>509</v>
      </c>
      <c r="C874" s="12"/>
      <c r="D874" s="18">
        <v>1412</v>
      </c>
      <c r="E874" s="18">
        <v>1443</v>
      </c>
      <c r="F874" s="18">
        <v>1446.9</v>
      </c>
      <c r="G874" s="18">
        <v>1451.4</v>
      </c>
      <c r="H874" s="18">
        <v>1456.2</v>
      </c>
      <c r="I874" s="12" t="s">
        <v>104</v>
      </c>
      <c r="J874" s="12" t="s">
        <v>104</v>
      </c>
    </row>
    <row r="875" spans="1:10" ht="15" thickBot="1" x14ac:dyDescent="0.4">
      <c r="B875" s="38" t="s">
        <v>510</v>
      </c>
      <c r="C875" s="15"/>
      <c r="D875" s="20">
        <v>5383</v>
      </c>
      <c r="E875" s="20">
        <v>5459</v>
      </c>
      <c r="F875" s="20">
        <v>5473</v>
      </c>
      <c r="G875" s="20">
        <v>5495</v>
      </c>
      <c r="H875" s="20">
        <v>5514</v>
      </c>
      <c r="I875" s="20">
        <v>5534</v>
      </c>
      <c r="J875" s="15">
        <v>20</v>
      </c>
    </row>
    <row r="876" spans="1:10" ht="15" thickBot="1" x14ac:dyDescent="0.4">
      <c r="B876" s="41" t="s">
        <v>511</v>
      </c>
      <c r="C876" s="12"/>
      <c r="D876" s="18">
        <v>2624.6</v>
      </c>
      <c r="E876" s="18">
        <v>2636.6</v>
      </c>
      <c r="F876" s="18">
        <v>2644.7</v>
      </c>
      <c r="G876" s="18">
        <v>2659.3</v>
      </c>
      <c r="H876" s="18">
        <v>2669.7</v>
      </c>
      <c r="I876" s="18">
        <v>2681.3</v>
      </c>
      <c r="J876" s="12">
        <v>11.6</v>
      </c>
    </row>
    <row r="877" spans="1:10" ht="44.15" customHeight="1" thickBot="1" x14ac:dyDescent="0.4">
      <c r="B877" s="40" t="s">
        <v>512</v>
      </c>
      <c r="C877" s="15"/>
      <c r="D877" s="17">
        <v>2758.5</v>
      </c>
      <c r="E877" s="17">
        <v>2821.9</v>
      </c>
      <c r="F877" s="17">
        <v>2828.7</v>
      </c>
      <c r="G877" s="17">
        <v>2835.6</v>
      </c>
      <c r="H877" s="17">
        <v>2843.9</v>
      </c>
      <c r="I877" s="17">
        <v>2852.9</v>
      </c>
      <c r="J877" s="15">
        <v>9</v>
      </c>
    </row>
    <row r="878" spans="1:10" ht="15" thickBot="1" x14ac:dyDescent="0.4">
      <c r="B878" s="50" t="s">
        <v>513</v>
      </c>
      <c r="C878" s="12"/>
      <c r="D878" s="12">
        <v>435.8</v>
      </c>
      <c r="E878" s="12">
        <v>454.8</v>
      </c>
      <c r="F878" s="12">
        <v>459</v>
      </c>
      <c r="G878" s="12">
        <v>462.7</v>
      </c>
      <c r="H878" s="12">
        <v>465.7</v>
      </c>
      <c r="I878" s="12" t="s">
        <v>104</v>
      </c>
      <c r="J878" s="12" t="s">
        <v>104</v>
      </c>
    </row>
    <row r="879" spans="1:10" ht="29.5" customHeight="1" thickBot="1" x14ac:dyDescent="0.4">
      <c r="B879" s="48" t="s">
        <v>514</v>
      </c>
      <c r="C879" s="15"/>
      <c r="D879" s="17">
        <v>1844.3</v>
      </c>
      <c r="E879" s="17">
        <v>1879.4</v>
      </c>
      <c r="F879" s="17">
        <v>1881.1</v>
      </c>
      <c r="G879" s="17">
        <v>1886.1</v>
      </c>
      <c r="H879" s="17">
        <v>1890.5</v>
      </c>
      <c r="I879" s="15" t="s">
        <v>104</v>
      </c>
      <c r="J879" s="15" t="s">
        <v>104</v>
      </c>
    </row>
    <row r="880" spans="1:10" ht="29.5" customHeight="1" thickBot="1" x14ac:dyDescent="0.4">
      <c r="B880" s="50" t="s">
        <v>515</v>
      </c>
      <c r="C880" s="12"/>
      <c r="D880" s="12">
        <v>478</v>
      </c>
      <c r="E880" s="12">
        <v>484.8</v>
      </c>
      <c r="F880" s="12">
        <v>485.6</v>
      </c>
      <c r="G880" s="12">
        <v>485.8</v>
      </c>
      <c r="H880" s="12">
        <v>486.8</v>
      </c>
      <c r="I880" s="12" t="s">
        <v>104</v>
      </c>
      <c r="J880" s="12" t="s">
        <v>104</v>
      </c>
    </row>
    <row r="881" spans="2:10" ht="44.15" customHeight="1" thickBot="1" x14ac:dyDescent="0.4">
      <c r="B881" s="38" t="s">
        <v>516</v>
      </c>
      <c r="C881" s="15"/>
      <c r="D881" s="20">
        <v>14665</v>
      </c>
      <c r="E881" s="20">
        <v>14890</v>
      </c>
      <c r="F881" s="20">
        <v>14916</v>
      </c>
      <c r="G881" s="20">
        <v>14923</v>
      </c>
      <c r="H881" s="20">
        <v>14940</v>
      </c>
      <c r="I881" s="20">
        <v>14955</v>
      </c>
      <c r="J881" s="15">
        <v>15</v>
      </c>
    </row>
    <row r="882" spans="2:10" ht="29.5" customHeight="1" thickBot="1" x14ac:dyDescent="0.4">
      <c r="B882" s="41" t="s">
        <v>517</v>
      </c>
      <c r="C882" s="12"/>
      <c r="D882" s="18">
        <v>8017.3</v>
      </c>
      <c r="E882" s="18">
        <v>8108.2</v>
      </c>
      <c r="F882" s="18">
        <v>8124.6</v>
      </c>
      <c r="G882" s="18">
        <v>8121.7</v>
      </c>
      <c r="H882" s="18">
        <v>8125.6</v>
      </c>
      <c r="I882" s="18">
        <v>8131.1</v>
      </c>
      <c r="J882" s="12">
        <v>5.5</v>
      </c>
    </row>
    <row r="883" spans="2:10" ht="29.5" customHeight="1" thickBot="1" x14ac:dyDescent="0.4">
      <c r="B883" s="40" t="s">
        <v>518</v>
      </c>
      <c r="C883" s="15"/>
      <c r="D883" s="17">
        <v>6647.4</v>
      </c>
      <c r="E883" s="17">
        <v>6781.5</v>
      </c>
      <c r="F883" s="17">
        <v>6791.7</v>
      </c>
      <c r="G883" s="17">
        <v>6801.4</v>
      </c>
      <c r="H883" s="17">
        <v>6814.7</v>
      </c>
      <c r="I883" s="17">
        <v>6824.2</v>
      </c>
      <c r="J883" s="15">
        <v>9.5</v>
      </c>
    </row>
    <row r="884" spans="2:10" ht="44.15" customHeight="1" thickBot="1" x14ac:dyDescent="0.4">
      <c r="B884" s="50" t="s">
        <v>519</v>
      </c>
      <c r="C884" s="12"/>
      <c r="D884" s="12">
        <v>252.9</v>
      </c>
      <c r="E884" s="12">
        <v>257.2</v>
      </c>
      <c r="F884" s="12">
        <v>258.3</v>
      </c>
      <c r="G884" s="12">
        <v>258.60000000000002</v>
      </c>
      <c r="H884" s="12">
        <v>259.3</v>
      </c>
      <c r="I884" s="12" t="s">
        <v>104</v>
      </c>
      <c r="J884" s="12" t="s">
        <v>104</v>
      </c>
    </row>
    <row r="885" spans="2:10" ht="58.5" customHeight="1" thickBot="1" x14ac:dyDescent="0.4">
      <c r="B885" s="48" t="s">
        <v>520</v>
      </c>
      <c r="C885" s="15"/>
      <c r="D885" s="15">
        <v>292.3</v>
      </c>
      <c r="E885" s="15">
        <v>300.2</v>
      </c>
      <c r="F885" s="15">
        <v>300.89999999999998</v>
      </c>
      <c r="G885" s="15">
        <v>302</v>
      </c>
      <c r="H885" s="15">
        <v>302.7</v>
      </c>
      <c r="I885" s="15" t="s">
        <v>104</v>
      </c>
      <c r="J885" s="15" t="s">
        <v>104</v>
      </c>
    </row>
    <row r="886" spans="2:10" ht="29.5" customHeight="1" thickBot="1" x14ac:dyDescent="0.4">
      <c r="B886" s="50" t="s">
        <v>521</v>
      </c>
      <c r="C886" s="12"/>
      <c r="D886" s="12">
        <v>703.3</v>
      </c>
      <c r="E886" s="12">
        <v>723.5</v>
      </c>
      <c r="F886" s="12">
        <v>725.9</v>
      </c>
      <c r="G886" s="12">
        <v>726.8</v>
      </c>
      <c r="H886" s="12">
        <v>728.4</v>
      </c>
      <c r="I886" s="12" t="s">
        <v>104</v>
      </c>
      <c r="J886" s="12" t="s">
        <v>104</v>
      </c>
    </row>
    <row r="887" spans="2:10" ht="29.5" thickBot="1" x14ac:dyDescent="0.4">
      <c r="B887" s="48" t="s">
        <v>522</v>
      </c>
      <c r="C887" s="15"/>
      <c r="D887" s="17">
        <v>4328.6000000000004</v>
      </c>
      <c r="E887" s="17">
        <v>4413.3999999999996</v>
      </c>
      <c r="F887" s="17">
        <v>4416.6000000000004</v>
      </c>
      <c r="G887" s="17">
        <v>4423.1000000000004</v>
      </c>
      <c r="H887" s="17">
        <v>4437.2</v>
      </c>
      <c r="I887" s="15" t="s">
        <v>104</v>
      </c>
      <c r="J887" s="15" t="s">
        <v>104</v>
      </c>
    </row>
    <row r="888" spans="2:10" ht="29.5" customHeight="1" thickBot="1" x14ac:dyDescent="0.4">
      <c r="B888" s="50" t="s">
        <v>523</v>
      </c>
      <c r="C888" s="12"/>
      <c r="D888" s="18">
        <v>1076</v>
      </c>
      <c r="E888" s="18">
        <v>1087.5</v>
      </c>
      <c r="F888" s="18">
        <v>1085.7</v>
      </c>
      <c r="G888" s="18">
        <v>1085.5999999999999</v>
      </c>
      <c r="H888" s="18">
        <v>1085.7</v>
      </c>
      <c r="I888" s="12" t="s">
        <v>104</v>
      </c>
      <c r="J888" s="12" t="s">
        <v>104</v>
      </c>
    </row>
    <row r="889" spans="2:10" ht="29.5" customHeight="1" x14ac:dyDescent="0.35"/>
    <row r="890" spans="2:10" ht="44.15" customHeight="1" x14ac:dyDescent="0.35"/>
    <row r="891" spans="2:10" ht="29.5" customHeight="1" x14ac:dyDescent="0.35"/>
    <row r="892" spans="2:10" ht="44.15" customHeight="1" x14ac:dyDescent="0.35"/>
    <row r="894" spans="2:10" ht="29.5" customHeight="1" x14ac:dyDescent="0.35"/>
    <row r="895" spans="2:10" ht="29.5" customHeight="1" x14ac:dyDescent="0.35"/>
    <row r="896" spans="2:10" ht="29.5" customHeight="1" x14ac:dyDescent="0.35"/>
    <row r="897" ht="44.15" customHeight="1" x14ac:dyDescent="0.35"/>
    <row r="898" ht="29.5" customHeight="1" x14ac:dyDescent="0.35"/>
    <row r="899" ht="29.5" customHeight="1" x14ac:dyDescent="0.35"/>
    <row r="900" ht="73" customHeight="1" x14ac:dyDescent="0.35"/>
    <row r="901" ht="29.5" customHeight="1" x14ac:dyDescent="0.35"/>
    <row r="902" ht="44.15" customHeight="1" x14ac:dyDescent="0.35"/>
    <row r="903" ht="29.5" customHeight="1" x14ac:dyDescent="0.35"/>
    <row r="904" ht="29.5" customHeight="1" x14ac:dyDescent="0.35"/>
    <row r="905" ht="44.15" customHeight="1" x14ac:dyDescent="0.35"/>
    <row r="906" ht="58.5" customHeight="1" x14ac:dyDescent="0.35"/>
    <row r="910" ht="18.649999999999999" customHeight="1" x14ac:dyDescent="0.35"/>
    <row r="911" ht="29.5" customHeight="1" x14ac:dyDescent="0.35"/>
    <row r="912" ht="29.5" customHeight="1" x14ac:dyDescent="0.35"/>
    <row r="913" ht="29.5" customHeight="1" x14ac:dyDescent="0.35"/>
    <row r="914" ht="29.5" customHeight="1" x14ac:dyDescent="0.35"/>
    <row r="916" ht="18.649999999999999" customHeight="1" x14ac:dyDescent="0.35"/>
    <row r="917" ht="18.649999999999999" customHeight="1" x14ac:dyDescent="0.35"/>
    <row r="919" ht="44.15" customHeight="1" x14ac:dyDescent="0.35"/>
    <row r="920" ht="29.5" customHeight="1" x14ac:dyDescent="0.35"/>
    <row r="922" ht="18.649999999999999" customHeight="1" x14ac:dyDescent="0.35"/>
    <row r="923" ht="18.649999999999999" customHeight="1" x14ac:dyDescent="0.35"/>
    <row r="924" ht="29.5" customHeight="1" x14ac:dyDescent="0.35"/>
    <row r="925" ht="29.5" customHeight="1" x14ac:dyDescent="0.35"/>
    <row r="927" ht="44.15" customHeight="1" x14ac:dyDescent="0.35"/>
    <row r="928" ht="29.5" customHeight="1" x14ac:dyDescent="0.35"/>
    <row r="930" ht="29.15" customHeight="1" x14ac:dyDescent="0.35"/>
    <row r="931" ht="14.5" customHeight="1" x14ac:dyDescent="0.35"/>
    <row r="933" ht="14.5" customHeight="1" x14ac:dyDescent="0.35"/>
  </sheetData>
  <mergeCells count="24">
    <mergeCell ref="B704:J704"/>
    <mergeCell ref="B772:J772"/>
    <mergeCell ref="B818:J818"/>
    <mergeCell ref="B867:J867"/>
    <mergeCell ref="B462:J462"/>
    <mergeCell ref="B500:J500"/>
    <mergeCell ref="B511:J511"/>
    <mergeCell ref="B539:J539"/>
    <mergeCell ref="B604:J604"/>
    <mergeCell ref="B321:J321"/>
    <mergeCell ref="B323:J323"/>
    <mergeCell ref="B325:J325"/>
    <mergeCell ref="B327:J327"/>
    <mergeCell ref="B387:J387"/>
    <mergeCell ref="B42:J42"/>
    <mergeCell ref="B61:J61"/>
    <mergeCell ref="B106:J106"/>
    <mergeCell ref="B108:J108"/>
    <mergeCell ref="B241:J241"/>
    <mergeCell ref="B34:B36"/>
    <mergeCell ref="C34:C36"/>
    <mergeCell ref="D34:I34"/>
    <mergeCell ref="B38:J38"/>
    <mergeCell ref="B40:J40"/>
  </mergeCells>
  <hyperlinks>
    <hyperlink ref="J35" r:id="rId1" location="ce_ee_table1a.f.p" tooltip="Preliminary" display="https://www.bls.gov/ces/data/employment-and-earnings/2024/table1a_202411.htm - ce_ee_table1a.f.p" xr:uid="{C3939C02-A8DF-45F1-8E54-90090CFCCFEC}"/>
    <hyperlink ref="H36" r:id="rId2" location="ce_ee_table1a.f.p" tooltip="Preliminary" display="https://www.bls.gov/ces/data/employment-and-earnings/2024/table1a_202411.htm - ce_ee_table1a.f.p" xr:uid="{0193484E-858F-4B42-96EE-512616CA8504}"/>
    <hyperlink ref="I36" r:id="rId3" location="ce_ee_table1a.f.p" tooltip="Preliminary" display="https://www.bls.gov/ces/data/employment-and-earnings/2024/table1a_202411.htm - ce_ee_table1a.f.p" xr:uid="{E695FEE2-1A13-49A0-BAB2-6F160C133100}"/>
    <hyperlink ref="B49" r:id="rId4" location="ce_ee_table1a.f.1" tooltip="Click to jump to footnotes at bottom of the table" display="https://www.bls.gov/ces/data/employment-and-earnings/2024/table1a_202411.htm - ce_ee_table1a.f.1" xr:uid="{D5AF770B-2A75-4689-8C65-8ACE0345F9FC}"/>
    <hyperlink ref="B50" r:id="rId5" location="ce_ee_table1a.f.1" tooltip="Click to jump to footnotes at bottom of the table" display="https://www.bls.gov/ces/data/employment-and-earnings/2024/table1a_202411.htm - ce_ee_table1a.f.1" xr:uid="{A99A0ED6-DF01-4542-86CC-9F545AAD3D93}"/>
    <hyperlink ref="B53" r:id="rId6" location="ce_ee_table1a.f.1" tooltip="Click to jump to footnotes at bottom of the table" display="https://www.bls.gov/ces/data/employment-and-earnings/2024/table1a_202411.htm - ce_ee_table1a.f.1" xr:uid="{F8D7C168-4173-4DB5-819E-F0D7670B994F}"/>
    <hyperlink ref="B54" r:id="rId7" location="ce_ee_table1a.f.1" tooltip="Click to jump to footnotes at bottom of the table" display="https://www.bls.gov/ces/data/employment-and-earnings/2024/table1a_202411.htm - ce_ee_table1a.f.1" xr:uid="{0E73E2EB-4F87-4692-B553-55C9C6AF56E1}"/>
    <hyperlink ref="B55" r:id="rId8" location="ce_ee_table1a.f.1" tooltip="Click to jump to footnotes at bottom of the table" display="https://www.bls.gov/ces/data/employment-and-earnings/2024/table1a_202411.htm - ce_ee_table1a.f.1" xr:uid="{DD8AD18E-A148-4E29-B756-4D84FBDD6CDA}"/>
    <hyperlink ref="B56" r:id="rId9" location="ce_ee_table1a.f.1" tooltip="Click to jump to footnotes at bottom of the table" display="https://www.bls.gov/ces/data/employment-and-earnings/2024/table1a_202411.htm - ce_ee_table1a.f.1" xr:uid="{8B9F2BB2-E379-4D78-8631-B2F49AFCF6D8}"/>
    <hyperlink ref="B57" r:id="rId10" location="ce_ee_table1a.f.1" tooltip="Click to jump to footnotes at bottom of the table" display="https://www.bls.gov/ces/data/employment-and-earnings/2024/table1a_202411.htm - ce_ee_table1a.f.1" xr:uid="{7601D802-8E25-4B57-9A4C-669E7D8E2C36}"/>
    <hyperlink ref="B58" r:id="rId11" location="ce_ee_table1a.f.1" tooltip="Click to jump to footnotes at bottom of the table" display="https://www.bls.gov/ces/data/employment-and-earnings/2024/table1a_202411.htm - ce_ee_table1a.f.1" xr:uid="{351138FF-0CAA-4281-9FBD-1683AE2666C0}"/>
    <hyperlink ref="B73" r:id="rId12" location="ce_ee_table1a.f.1" tooltip="Click to jump to footnotes at bottom of the table" display="https://www.bls.gov/ces/data/employment-and-earnings/2024/table1a_202411.htm - ce_ee_table1a.f.1" xr:uid="{5EE6D315-3661-408A-92A5-A0D6ACB63885}"/>
    <hyperlink ref="B74" r:id="rId13" location="ce_ee_table1a.f.1" tooltip="Click to jump to footnotes at bottom of the table" display="https://www.bls.gov/ces/data/employment-and-earnings/2024/table1a_202411.htm - ce_ee_table1a.f.1" xr:uid="{0927D059-A849-40E4-BFD2-EFEB8F52A428}"/>
    <hyperlink ref="B75" r:id="rId14" location="ce_ee_table1a.f.1" tooltip="Click to jump to footnotes at bottom of the table" display="https://www.bls.gov/ces/data/employment-and-earnings/2024/table1a_202411.htm - ce_ee_table1a.f.1" xr:uid="{5721016F-A93E-4BDC-9F39-241207CEEC0C}"/>
    <hyperlink ref="B76" r:id="rId15" location="ce_ee_table1a.f.1" tooltip="Click to jump to footnotes at bottom of the table" display="https://www.bls.gov/ces/data/employment-and-earnings/2024/table1a_202411.htm - ce_ee_table1a.f.1" xr:uid="{00CCE1D5-C814-4ED4-8948-622F2B79F6C8}"/>
    <hyperlink ref="B77" r:id="rId16" location="ce_ee_table1a.f.1" tooltip="Click to jump to footnotes at bottom of the table" display="https://www.bls.gov/ces/data/employment-and-earnings/2024/table1a_202411.htm - ce_ee_table1a.f.1" xr:uid="{396FE6F9-0810-4A6E-A427-3750BC92E4AD}"/>
    <hyperlink ref="B78" r:id="rId17" location="ce_ee_table1a.f.1" tooltip="Click to jump to footnotes at bottom of the table" display="https://www.bls.gov/ces/data/employment-and-earnings/2024/table1a_202411.htm - ce_ee_table1a.f.1" xr:uid="{6988B5CB-988F-435D-AEFA-52ECAD5B1F45}"/>
    <hyperlink ref="B79" r:id="rId18" location="ce_ee_table1a.f.1" tooltip="Click to jump to footnotes at bottom of the table" display="https://www.bls.gov/ces/data/employment-and-earnings/2024/table1a_202411.htm - ce_ee_table1a.f.1" xr:uid="{6E33A2F8-C293-4638-88FD-E1A3BF34D413}"/>
    <hyperlink ref="B83" r:id="rId19" location="ce_ee_table1a.f.1" tooltip="Click to jump to footnotes at bottom of the table" display="https://www.bls.gov/ces/data/employment-and-earnings/2024/table1a_202411.htm - ce_ee_table1a.f.1" xr:uid="{D402ED4A-7457-497F-A7AD-B519FC831B05}"/>
    <hyperlink ref="B92" r:id="rId20" location="ce_ee_table1a.f.1" tooltip="Click to jump to footnotes at bottom of the table" display="https://www.bls.gov/ces/data/employment-and-earnings/2024/table1a_202411.htm - ce_ee_table1a.f.1" xr:uid="{B503DE9D-6145-4803-83E4-430526926233}"/>
    <hyperlink ref="B96" r:id="rId21" location="ce_ee_table1a.f.1" tooltip="Click to jump to footnotes at bottom of the table" display="https://www.bls.gov/ces/data/employment-and-earnings/2024/table1a_202411.htm - ce_ee_table1a.f.1" xr:uid="{4B906E8C-1F69-492B-AAB8-A4CC1EC28CC2}"/>
    <hyperlink ref="B103" r:id="rId22" location="ce_ee_table1a.f.1" tooltip="Click to jump to footnotes at bottom of the table" display="https://www.bls.gov/ces/data/employment-and-earnings/2024/table1a_202411.htm - ce_ee_table1a.f.1" xr:uid="{7F6934B6-8811-4112-80B8-044BAA330044}"/>
    <hyperlink ref="B111" r:id="rId23" location="ce_ee_table1a.f.1" tooltip="Click to jump to footnotes at bottom of the table" display="https://www.bls.gov/ces/data/employment-and-earnings/2024/table1a_202411.htm - ce_ee_table1a.f.1" xr:uid="{471E4DB8-D3E1-4BCF-BB7E-08F18E6B1340}"/>
    <hyperlink ref="B112" r:id="rId24" location="ce_ee_table1a.f.1" tooltip="Click to jump to footnotes at bottom of the table" display="https://www.bls.gov/ces/data/employment-and-earnings/2024/table1a_202411.htm - ce_ee_table1a.f.1" xr:uid="{743DC9D2-666A-40F2-A775-4ABC43D589FF}"/>
    <hyperlink ref="B113" r:id="rId25" location="ce_ee_table1a.f.1" tooltip="Click to jump to footnotes at bottom of the table" display="https://www.bls.gov/ces/data/employment-and-earnings/2024/table1a_202411.htm - ce_ee_table1a.f.1" xr:uid="{B3ABB658-AC2A-41B2-A3A7-FD4CCB69A4EC}"/>
    <hyperlink ref="B114" r:id="rId26" location="ce_ee_table1a.f.1" tooltip="Click to jump to footnotes at bottom of the table" display="https://www.bls.gov/ces/data/employment-and-earnings/2024/table1a_202411.htm - ce_ee_table1a.f.1" xr:uid="{E87C380B-9F24-4DB1-B91C-AC774A86D887}"/>
    <hyperlink ref="B115" r:id="rId27" location="ce_ee_table1a.f.1" tooltip="Click to jump to footnotes at bottom of the table" display="https://www.bls.gov/ces/data/employment-and-earnings/2024/table1a_202411.htm - ce_ee_table1a.f.1" xr:uid="{F89ED33A-5D6A-4480-976F-87085BE22562}"/>
    <hyperlink ref="B116" r:id="rId28" location="ce_ee_table1a.f.1" tooltip="Click to jump to footnotes at bottom of the table" display="https://www.bls.gov/ces/data/employment-and-earnings/2024/table1a_202411.htm - ce_ee_table1a.f.1" xr:uid="{D664BFD3-FE27-4507-A736-DC2DBC8D3385}"/>
    <hyperlink ref="B117" r:id="rId29" location="ce_ee_table1a.f.1" tooltip="Click to jump to footnotes at bottom of the table" display="https://www.bls.gov/ces/data/employment-and-earnings/2024/table1a_202411.htm - ce_ee_table1a.f.1" xr:uid="{E8253832-A577-4AF3-AE28-0ED879B3E424}"/>
    <hyperlink ref="B118" r:id="rId30" location="ce_ee_table1a.f.1" tooltip="Click to jump to footnotes at bottom of the table" display="https://www.bls.gov/ces/data/employment-and-earnings/2024/table1a_202411.htm - ce_ee_table1a.f.1" xr:uid="{F34A3BFD-A3A3-49BA-B3B3-F97640550B32}"/>
    <hyperlink ref="B120" r:id="rId31" location="ce_ee_table1a.f.1" tooltip="Click to jump to footnotes at bottom of the table" display="https://www.bls.gov/ces/data/employment-and-earnings/2024/table1a_202411.htm - ce_ee_table1a.f.1" xr:uid="{EC561DB9-9405-41D3-A46B-A90FAE8B58BD}"/>
    <hyperlink ref="B121" r:id="rId32" location="ce_ee_table1a.f.1" tooltip="Click to jump to footnotes at bottom of the table" display="https://www.bls.gov/ces/data/employment-and-earnings/2024/table1a_202411.htm - ce_ee_table1a.f.1" xr:uid="{F105EF44-81E2-43A0-A6E4-0AE01B09262A}"/>
    <hyperlink ref="B122" r:id="rId33" location="ce_ee_table1a.f.1" tooltip="Click to jump to footnotes at bottom of the table" display="https://www.bls.gov/ces/data/employment-and-earnings/2024/table1a_202411.htm - ce_ee_table1a.f.1" xr:uid="{C5FED787-27CA-4872-90C1-2C97D0DC4B82}"/>
    <hyperlink ref="B123" r:id="rId34" location="ce_ee_table1a.f.1" tooltip="Click to jump to footnotes at bottom of the table" display="https://www.bls.gov/ces/data/employment-and-earnings/2024/table1a_202411.htm - ce_ee_table1a.f.1" xr:uid="{C575374D-BC91-4653-9BEB-352B4C347B44}"/>
    <hyperlink ref="B124" r:id="rId35" location="ce_ee_table1a.f.1" tooltip="Click to jump to footnotes at bottom of the table" display="https://www.bls.gov/ces/data/employment-and-earnings/2024/table1a_202411.htm - ce_ee_table1a.f.1" xr:uid="{52CC6D54-CF2E-4264-8D03-32F03ECFC7A8}"/>
    <hyperlink ref="B125" r:id="rId36" location="ce_ee_table1a.f.1" tooltip="Click to jump to footnotes at bottom of the table" display="https://www.bls.gov/ces/data/employment-and-earnings/2024/table1a_202411.htm - ce_ee_table1a.f.1" xr:uid="{DDC6DC8B-39E4-401A-AD18-F8B18DFF88A7}"/>
    <hyperlink ref="B127" r:id="rId37" location="ce_ee_table1a.f.1" tooltip="Click to jump to footnotes at bottom of the table" display="https://www.bls.gov/ces/data/employment-and-earnings/2024/table1a_202411.htm - ce_ee_table1a.f.1" xr:uid="{DC1D770F-0086-464D-B0B0-1A645449838A}"/>
    <hyperlink ref="B128" r:id="rId38" location="ce_ee_table1a.f.1" tooltip="Click to jump to footnotes at bottom of the table" display="https://www.bls.gov/ces/data/employment-and-earnings/2024/table1a_202411.htm - ce_ee_table1a.f.1" xr:uid="{95574074-9897-4CBD-9307-E7C928B7B6DF}"/>
    <hyperlink ref="B129" r:id="rId39" location="ce_ee_table1a.f.1" tooltip="Click to jump to footnotes at bottom of the table" display="https://www.bls.gov/ces/data/employment-and-earnings/2024/table1a_202411.htm - ce_ee_table1a.f.1" xr:uid="{C7B801CF-1EC0-4AFE-A284-0869ADBED192}"/>
    <hyperlink ref="B130" r:id="rId40" location="ce_ee_table1a.f.1" tooltip="Click to jump to footnotes at bottom of the table" display="https://www.bls.gov/ces/data/employment-and-earnings/2024/table1a_202411.htm - ce_ee_table1a.f.1" xr:uid="{9DE9FEF7-9A43-45F3-B53C-759D0DB7137E}"/>
    <hyperlink ref="B131" r:id="rId41" location="ce_ee_table1a.f.1" tooltip="Click to jump to footnotes at bottom of the table" display="https://www.bls.gov/ces/data/employment-and-earnings/2024/table1a_202411.htm - ce_ee_table1a.f.1" xr:uid="{A9FB073D-33AE-46E0-8EBC-DCB92B6AF564}"/>
    <hyperlink ref="B132" r:id="rId42" location="ce_ee_table1a.f.1" tooltip="Click to jump to footnotes at bottom of the table" display="https://www.bls.gov/ces/data/employment-and-earnings/2024/table1a_202411.htm - ce_ee_table1a.f.1" xr:uid="{9D12CCD4-72B2-4773-B9D1-16C326899271}"/>
    <hyperlink ref="B134" r:id="rId43" location="ce_ee_table1a.f.1" tooltip="Click to jump to footnotes at bottom of the table" display="https://www.bls.gov/ces/data/employment-and-earnings/2024/table1a_202411.htm - ce_ee_table1a.f.1" xr:uid="{5D569AC1-6E33-4961-9C94-6B8008258235}"/>
    <hyperlink ref="B135" r:id="rId44" location="ce_ee_table1a.f.1" tooltip="Click to jump to footnotes at bottom of the table" display="https://www.bls.gov/ces/data/employment-and-earnings/2024/table1a_202411.htm - ce_ee_table1a.f.1" xr:uid="{68DCDA11-E679-4F7F-A701-0CEB23E5B470}"/>
    <hyperlink ref="B136" r:id="rId45" location="ce_ee_table1a.f.1" tooltip="Click to jump to footnotes at bottom of the table" display="https://www.bls.gov/ces/data/employment-and-earnings/2024/table1a_202411.htm - ce_ee_table1a.f.1" xr:uid="{18436FB3-A01A-42FB-BA8F-6E76A841C21B}"/>
    <hyperlink ref="B137" r:id="rId46" location="ce_ee_table1a.f.1" tooltip="Click to jump to footnotes at bottom of the table" display="https://www.bls.gov/ces/data/employment-and-earnings/2024/table1a_202411.htm - ce_ee_table1a.f.1" xr:uid="{45C20D08-CC15-4A3A-BEE0-C348E7F286A5}"/>
    <hyperlink ref="B138" r:id="rId47" location="ce_ee_table1a.f.1" tooltip="Click to jump to footnotes at bottom of the table" display="https://www.bls.gov/ces/data/employment-and-earnings/2024/table1a_202411.htm - ce_ee_table1a.f.1" xr:uid="{3E991182-2F2E-4500-AD4D-DF4D7D464097}"/>
    <hyperlink ref="B139" r:id="rId48" location="ce_ee_table1a.f.1" tooltip="Click to jump to footnotes at bottom of the table" display="https://www.bls.gov/ces/data/employment-and-earnings/2024/table1a_202411.htm - ce_ee_table1a.f.1" xr:uid="{D04C4F9C-00DB-4872-A2AA-58F3CCA724DB}"/>
    <hyperlink ref="B140" r:id="rId49" location="ce_ee_table1a.f.1" tooltip="Click to jump to footnotes at bottom of the table" display="https://www.bls.gov/ces/data/employment-and-earnings/2024/table1a_202411.htm - ce_ee_table1a.f.1" xr:uid="{9671BF26-40AB-4AD3-842B-EC1527967590}"/>
    <hyperlink ref="B141" r:id="rId50" location="ce_ee_table1a.f.1" tooltip="Click to jump to footnotes at bottom of the table" display="https://www.bls.gov/ces/data/employment-and-earnings/2024/table1a_202411.htm - ce_ee_table1a.f.1" xr:uid="{B62ED94E-9223-46D6-B161-1EEB5ADBC98C}"/>
    <hyperlink ref="B142" r:id="rId51" location="ce_ee_table1a.f.1" tooltip="Click to jump to footnotes at bottom of the table" display="https://www.bls.gov/ces/data/employment-and-earnings/2024/table1a_202411.htm - ce_ee_table1a.f.1" xr:uid="{4952D73C-1E3A-48F1-A697-B75053C0C662}"/>
    <hyperlink ref="B143" r:id="rId52" location="ce_ee_table1a.f.1" tooltip="Click to jump to footnotes at bottom of the table" display="https://www.bls.gov/ces/data/employment-and-earnings/2024/table1a_202411.htm - ce_ee_table1a.f.1" xr:uid="{AFA84C67-07EF-4FEE-B0B7-8C5DDDC72BC2}"/>
    <hyperlink ref="B144" r:id="rId53" location="ce_ee_table1a.f.1" tooltip="Click to jump to footnotes at bottom of the table" display="https://www.bls.gov/ces/data/employment-and-earnings/2024/table1a_202411.htm - ce_ee_table1a.f.1" xr:uid="{90467F17-5D59-445C-85EA-08834779E4B3}"/>
    <hyperlink ref="B145" r:id="rId54" location="ce_ee_table1a.f.1" tooltip="Click to jump to footnotes at bottom of the table" display="https://www.bls.gov/ces/data/employment-and-earnings/2024/table1a_202411.htm - ce_ee_table1a.f.1" xr:uid="{10A81D8A-A1BA-4254-B26A-FD1133E13CAF}"/>
    <hyperlink ref="B146" r:id="rId55" location="ce_ee_table1a.f.1" tooltip="Click to jump to footnotes at bottom of the table" display="https://www.bls.gov/ces/data/employment-and-earnings/2024/table1a_202411.htm - ce_ee_table1a.f.1" xr:uid="{D756B651-6B59-4FBD-928F-A03C327896D2}"/>
    <hyperlink ref="B147" r:id="rId56" location="ce_ee_table1a.f.1" tooltip="Click to jump to footnotes at bottom of the table" display="https://www.bls.gov/ces/data/employment-and-earnings/2024/table1a_202411.htm - ce_ee_table1a.f.1" xr:uid="{4A0D5128-351F-4B4B-8B54-8CB154C183EA}"/>
    <hyperlink ref="B148" r:id="rId57" location="ce_ee_table1a.f.1" tooltip="Click to jump to footnotes at bottom of the table" display="https://www.bls.gov/ces/data/employment-and-earnings/2024/table1a_202411.htm - ce_ee_table1a.f.1" xr:uid="{87AFB192-B9CB-496E-AFD7-57D7F5006254}"/>
    <hyperlink ref="B149" r:id="rId58" location="ce_ee_table1a.f.1" tooltip="Click to jump to footnotes at bottom of the table" display="https://www.bls.gov/ces/data/employment-and-earnings/2024/table1a_202411.htm - ce_ee_table1a.f.1" xr:uid="{FB747337-06DE-4EBE-8380-B9C4F14DF837}"/>
    <hyperlink ref="B150" r:id="rId59" location="ce_ee_table1a.f.1" tooltip="Click to jump to footnotes at bottom of the table" display="https://www.bls.gov/ces/data/employment-and-earnings/2024/table1a_202411.htm - ce_ee_table1a.f.1" xr:uid="{BBF6AE58-F243-4387-82BB-13D933D9A4FE}"/>
    <hyperlink ref="B151" r:id="rId60" location="ce_ee_table1a.f.1" tooltip="Click to jump to footnotes at bottom of the table" display="https://www.bls.gov/ces/data/employment-and-earnings/2024/table1a_202411.htm - ce_ee_table1a.f.1" xr:uid="{986DF9BA-6A63-4217-A861-E4B6AEB1C6EF}"/>
    <hyperlink ref="B159" r:id="rId61" location="ce_ee_table1a.f.1" tooltip="Click to jump to footnotes at bottom of the table" display="https://www.bls.gov/ces/data/employment-and-earnings/2024/table1a_202411.htm - ce_ee_table1a.f.1" xr:uid="{C6290F3E-A8FC-4834-AC16-279DD4D030F4}"/>
    <hyperlink ref="B160" r:id="rId62" location="ce_ee_table1a.f.1" tooltip="Click to jump to footnotes at bottom of the table" display="https://www.bls.gov/ces/data/employment-and-earnings/2024/table1a_202411.htm - ce_ee_table1a.f.1" xr:uid="{7781286E-0CD1-415E-8CC1-810D5F8ED3C0}"/>
    <hyperlink ref="B161" r:id="rId63" location="ce_ee_table1a.f.1" tooltip="Click to jump to footnotes at bottom of the table" display="https://www.bls.gov/ces/data/employment-and-earnings/2024/table1a_202411.htm - ce_ee_table1a.f.1" xr:uid="{BAF0185D-3B33-46B2-AFD8-932183D20832}"/>
    <hyperlink ref="B162" r:id="rId64" location="ce_ee_table1a.f.1" tooltip="Click to jump to footnotes at bottom of the table" display="https://www.bls.gov/ces/data/employment-and-earnings/2024/table1a_202411.htm - ce_ee_table1a.f.1" xr:uid="{E87DF2B8-2313-4FDA-BB50-1318FE0C7B13}"/>
    <hyperlink ref="B163" r:id="rId65" location="ce_ee_table1a.f.1" tooltip="Click to jump to footnotes at bottom of the table" display="https://www.bls.gov/ces/data/employment-and-earnings/2024/table1a_202411.htm - ce_ee_table1a.f.1" xr:uid="{D07A2C51-0BEB-4C46-822D-E31B29778106}"/>
    <hyperlink ref="B164" r:id="rId66" location="ce_ee_table1a.f.1" tooltip="Click to jump to footnotes at bottom of the table" display="https://www.bls.gov/ces/data/employment-and-earnings/2024/table1a_202411.htm - ce_ee_table1a.f.1" xr:uid="{A7C3521B-8249-4490-9525-41D8CE6251C4}"/>
    <hyperlink ref="B165" r:id="rId67" location="ce_ee_table1a.f.1" tooltip="Click to jump to footnotes at bottom of the table" display="https://www.bls.gov/ces/data/employment-and-earnings/2024/table1a_202411.htm - ce_ee_table1a.f.1" xr:uid="{07D65F51-F159-482A-A760-71560B013A54}"/>
    <hyperlink ref="B166" r:id="rId68" location="ce_ee_table1a.f.1" tooltip="Click to jump to footnotes at bottom of the table" display="https://www.bls.gov/ces/data/employment-and-earnings/2024/table1a_202411.htm - ce_ee_table1a.f.1" xr:uid="{DCAF0E6D-54CA-4D03-9B27-F1097172C8F4}"/>
    <hyperlink ref="B167" r:id="rId69" location="ce_ee_table1a.f.1" tooltip="Click to jump to footnotes at bottom of the table" display="https://www.bls.gov/ces/data/employment-and-earnings/2024/table1a_202411.htm - ce_ee_table1a.f.1" xr:uid="{DB06E9C7-64EA-44AF-BAA2-B703E4CE9ACE}"/>
    <hyperlink ref="B168" r:id="rId70" location="ce_ee_table1a.f.1" tooltip="Click to jump to footnotes at bottom of the table" display="https://www.bls.gov/ces/data/employment-and-earnings/2024/table1a_202411.htm - ce_ee_table1a.f.1" xr:uid="{7D8DF4A7-807E-4F8C-B2EE-BB62BFA71E31}"/>
    <hyperlink ref="B169" r:id="rId71" location="ce_ee_table1a.f.1" tooltip="Click to jump to footnotes at bottom of the table" display="https://www.bls.gov/ces/data/employment-and-earnings/2024/table1a_202411.htm - ce_ee_table1a.f.1" xr:uid="{5B94AF96-C121-455C-96AE-A23DC8BA20D6}"/>
    <hyperlink ref="B170" r:id="rId72" location="ce_ee_table1a.f.1" tooltip="Click to jump to footnotes at bottom of the table" display="https://www.bls.gov/ces/data/employment-and-earnings/2024/table1a_202411.htm - ce_ee_table1a.f.1" xr:uid="{0F324B11-4202-42C6-9C41-7EEB84406165}"/>
    <hyperlink ref="B171" r:id="rId73" location="ce_ee_table1a.f.1" tooltip="Click to jump to footnotes at bottom of the table" display="https://www.bls.gov/ces/data/employment-and-earnings/2024/table1a_202411.htm - ce_ee_table1a.f.1" xr:uid="{BB063F55-F507-405E-98FD-44A1CD7C368F}"/>
    <hyperlink ref="B172" r:id="rId74" location="ce_ee_table1a.f.1" tooltip="Click to jump to footnotes at bottom of the table" display="https://www.bls.gov/ces/data/employment-and-earnings/2024/table1a_202411.htm - ce_ee_table1a.f.1" xr:uid="{433A886A-3AD4-4ADE-986A-809CA1F36878}"/>
    <hyperlink ref="B173" r:id="rId75" location="ce_ee_table1a.f.1" tooltip="Click to jump to footnotes at bottom of the table" display="https://www.bls.gov/ces/data/employment-and-earnings/2024/table1a_202411.htm - ce_ee_table1a.f.1" xr:uid="{37034174-602F-472B-9BD2-64F8D26D5607}"/>
    <hyperlink ref="B174" r:id="rId76" location="ce_ee_table1a.f.1" tooltip="Click to jump to footnotes at bottom of the table" display="https://www.bls.gov/ces/data/employment-and-earnings/2024/table1a_202411.htm - ce_ee_table1a.f.1" xr:uid="{18461413-A04E-4E38-888A-F4FEE13E3DC9}"/>
    <hyperlink ref="B175" r:id="rId77" location="ce_ee_table1a.f.1" tooltip="Click to jump to footnotes at bottom of the table" display="https://www.bls.gov/ces/data/employment-and-earnings/2024/table1a_202411.htm - ce_ee_table1a.f.1" xr:uid="{F292A2C1-F6E4-461A-AD9A-F6233FA3F04E}"/>
    <hyperlink ref="B176" r:id="rId78" location="ce_ee_table1a.f.1" tooltip="Click to jump to footnotes at bottom of the table" display="https://www.bls.gov/ces/data/employment-and-earnings/2024/table1a_202411.htm - ce_ee_table1a.f.1" xr:uid="{EF85514C-E28A-4BA6-A3ED-3228313D9D38}"/>
    <hyperlink ref="B180" r:id="rId79" location="ce_ee_table1a.f.1" tooltip="Click to jump to footnotes at bottom of the table" display="https://www.bls.gov/ces/data/employment-and-earnings/2024/table1a_202411.htm - ce_ee_table1a.f.1" xr:uid="{E86E3ADE-02C0-4B4A-BD37-30BCCD19E372}"/>
    <hyperlink ref="B187" r:id="rId80" location="ce_ee_table1a.f.1" tooltip="Click to jump to footnotes at bottom of the table" display="https://www.bls.gov/ces/data/employment-and-earnings/2024/table1a_202411.htm - ce_ee_table1a.f.1" xr:uid="{7F3CD835-AB40-4B04-BA91-9B6C5FF76B7C}"/>
    <hyperlink ref="B188" r:id="rId81" location="ce_ee_table1a.f.1" tooltip="Click to jump to footnotes at bottom of the table" display="https://www.bls.gov/ces/data/employment-and-earnings/2024/table1a_202411.htm - ce_ee_table1a.f.1" xr:uid="{3463FC62-BE5D-4882-A438-D251BDC44ADB}"/>
    <hyperlink ref="B189" r:id="rId82" location="ce_ee_table1a.f.1" tooltip="Click to jump to footnotes at bottom of the table" display="https://www.bls.gov/ces/data/employment-and-earnings/2024/table1a_202411.htm - ce_ee_table1a.f.1" xr:uid="{619B1338-2A10-47F9-8EE1-E2B9B80AA445}"/>
    <hyperlink ref="B190" r:id="rId83" location="ce_ee_table1a.f.1" tooltip="Click to jump to footnotes at bottom of the table" display="https://www.bls.gov/ces/data/employment-and-earnings/2024/table1a_202411.htm - ce_ee_table1a.f.1" xr:uid="{1D2738B1-3870-4ACB-B4CB-E5AE78194422}"/>
    <hyperlink ref="B191" r:id="rId84" location="ce_ee_table1a.f.1" tooltip="Click to jump to footnotes at bottom of the table" display="https://www.bls.gov/ces/data/employment-and-earnings/2024/table1a_202411.htm - ce_ee_table1a.f.1" xr:uid="{39637953-987F-4A4D-B037-48B7D2C3D200}"/>
    <hyperlink ref="B194" r:id="rId85" location="ce_ee_table1a.f.1" tooltip="Click to jump to footnotes at bottom of the table" display="https://www.bls.gov/ces/data/employment-and-earnings/2024/table1a_202411.htm - ce_ee_table1a.f.1" xr:uid="{B0D56EE7-BE93-43D3-9B12-DA371DA68470}"/>
    <hyperlink ref="B195" r:id="rId86" location="ce_ee_table1a.f.1" tooltip="Click to jump to footnotes at bottom of the table" display="https://www.bls.gov/ces/data/employment-and-earnings/2024/table1a_202411.htm - ce_ee_table1a.f.1" xr:uid="{548A74E8-16D2-48F9-9F85-325CF4938F53}"/>
    <hyperlink ref="B196" r:id="rId87" location="ce_ee_table1a.f.1" tooltip="Click to jump to footnotes at bottom of the table" display="https://www.bls.gov/ces/data/employment-and-earnings/2024/table1a_202411.htm - ce_ee_table1a.f.1" xr:uid="{0C07058B-B74E-479A-8B33-70CC2C1F0D41}"/>
    <hyperlink ref="B197" r:id="rId88" location="ce_ee_table1a.f.1" tooltip="Click to jump to footnotes at bottom of the table" display="https://www.bls.gov/ces/data/employment-and-earnings/2024/table1a_202411.htm - ce_ee_table1a.f.1" xr:uid="{0A799600-0740-4FCC-BD3C-8151043E799D}"/>
    <hyperlink ref="B198" r:id="rId89" location="ce_ee_table1a.f.1" tooltip="Click to jump to footnotes at bottom of the table" display="https://www.bls.gov/ces/data/employment-and-earnings/2024/table1a_202411.htm - ce_ee_table1a.f.1" xr:uid="{2D95F291-7D11-4628-AD07-3FED1AB55AB6}"/>
    <hyperlink ref="B199" r:id="rId90" location="ce_ee_table1a.f.1" tooltip="Click to jump to footnotes at bottom of the table" display="https://www.bls.gov/ces/data/employment-and-earnings/2024/table1a_202411.htm - ce_ee_table1a.f.1" xr:uid="{745514AF-DF81-40C8-A243-DE8554FCAB0F}"/>
    <hyperlink ref="B200" r:id="rId91" location="ce_ee_table1a.f.1" tooltip="Click to jump to footnotes at bottom of the table" display="https://www.bls.gov/ces/data/employment-and-earnings/2024/table1a_202411.htm - ce_ee_table1a.f.1" xr:uid="{1AD1A5E0-36E9-4BFD-8164-394F4E8764D7}"/>
    <hyperlink ref="B205" r:id="rId92" location="ce_ee_table1a.f.1" tooltip="Click to jump to footnotes at bottom of the table" display="https://www.bls.gov/ces/data/employment-and-earnings/2024/table1a_202411.htm - ce_ee_table1a.f.1" xr:uid="{2BDC5350-4D3D-40FF-A5E8-744138AB01F5}"/>
    <hyperlink ref="B206" r:id="rId93" location="ce_ee_table1a.f.1" tooltip="Click to jump to footnotes at bottom of the table" display="https://www.bls.gov/ces/data/employment-and-earnings/2024/table1a_202411.htm - ce_ee_table1a.f.1" xr:uid="{D73C11B0-D463-4EB0-BECE-DD021D29B77D}"/>
    <hyperlink ref="B207" r:id="rId94" location="ce_ee_table1a.f.1" tooltip="Click to jump to footnotes at bottom of the table" display="https://www.bls.gov/ces/data/employment-and-earnings/2024/table1a_202411.htm - ce_ee_table1a.f.1" xr:uid="{429D735C-6F3B-4D74-B7A9-F636D8A15E5D}"/>
    <hyperlink ref="B208" r:id="rId95" location="ce_ee_table1a.f.1" tooltip="Click to jump to footnotes at bottom of the table" display="https://www.bls.gov/ces/data/employment-and-earnings/2024/table1a_202411.htm - ce_ee_table1a.f.1" xr:uid="{7F973C8F-96D0-4311-AF44-1AB18A555C6E}"/>
    <hyperlink ref="B209" r:id="rId96" location="ce_ee_table1a.f.1" tooltip="Click to jump to footnotes at bottom of the table" display="https://www.bls.gov/ces/data/employment-and-earnings/2024/table1a_202411.htm - ce_ee_table1a.f.1" xr:uid="{D04314CD-9022-4175-9173-5284AC546CBF}"/>
    <hyperlink ref="B214" r:id="rId97" location="ce_ee_table1a.f.1" tooltip="Click to jump to footnotes at bottom of the table" display="https://www.bls.gov/ces/data/employment-and-earnings/2024/table1a_202411.htm - ce_ee_table1a.f.1" xr:uid="{4DC8BAAC-9425-4928-80FE-D0EC902B316A}"/>
    <hyperlink ref="B215" r:id="rId98" location="ce_ee_table1a.f.1" tooltip="Click to jump to footnotes at bottom of the table" display="https://www.bls.gov/ces/data/employment-and-earnings/2024/table1a_202411.htm - ce_ee_table1a.f.1" xr:uid="{DCAF6725-0800-4433-A680-52EB24912665}"/>
    <hyperlink ref="B216" r:id="rId99" location="ce_ee_table1a.f.1" tooltip="Click to jump to footnotes at bottom of the table" display="https://www.bls.gov/ces/data/employment-and-earnings/2024/table1a_202411.htm - ce_ee_table1a.f.1" xr:uid="{21991227-7661-4D3C-B28E-C430C2ABA90A}"/>
    <hyperlink ref="B217" r:id="rId100" location="ce_ee_table1a.f.1" tooltip="Click to jump to footnotes at bottom of the table" display="https://www.bls.gov/ces/data/employment-and-earnings/2024/table1a_202411.htm - ce_ee_table1a.f.1" xr:uid="{0F914FA5-36E2-464A-85EF-17CFB99A5685}"/>
    <hyperlink ref="B218" r:id="rId101" location="ce_ee_table1a.f.1" tooltip="Click to jump to footnotes at bottom of the table" display="https://www.bls.gov/ces/data/employment-and-earnings/2024/table1a_202411.htm - ce_ee_table1a.f.1" xr:uid="{2AD969A0-200F-4B1E-95DE-D65FA1E0C8D7}"/>
    <hyperlink ref="B219" r:id="rId102" location="ce_ee_table1a.f.1" tooltip="Click to jump to footnotes at bottom of the table" display="https://www.bls.gov/ces/data/employment-and-earnings/2024/table1a_202411.htm - ce_ee_table1a.f.1" xr:uid="{697FB188-5A27-4B3A-BA93-D92E80C43AF3}"/>
    <hyperlink ref="B220" r:id="rId103" location="ce_ee_table1a.f.1" tooltip="Click to jump to footnotes at bottom of the table" display="https://www.bls.gov/ces/data/employment-and-earnings/2024/table1a_202411.htm - ce_ee_table1a.f.1" xr:uid="{1B8384FA-815C-4832-A699-D83B584F17F1}"/>
    <hyperlink ref="B221" r:id="rId104" location="ce_ee_table1a.f.1" tooltip="Click to jump to footnotes at bottom of the table" display="https://www.bls.gov/ces/data/employment-and-earnings/2024/table1a_202411.htm - ce_ee_table1a.f.1" xr:uid="{509D5627-A5D3-4A7A-AE01-60154D33851C}"/>
    <hyperlink ref="B222" r:id="rId105" location="ce_ee_table1a.f.1" tooltip="Click to jump to footnotes at bottom of the table" display="https://www.bls.gov/ces/data/employment-and-earnings/2024/table1a_202411.htm - ce_ee_table1a.f.1" xr:uid="{992685A8-D010-4DC1-B997-AF16A7223D1E}"/>
    <hyperlink ref="B224" r:id="rId106" location="ce_ee_table1a.f.1" tooltip="Click to jump to footnotes at bottom of the table" display="https://www.bls.gov/ces/data/employment-and-earnings/2024/table1a_202411.htm - ce_ee_table1a.f.1" xr:uid="{5DB5F528-766A-4140-B335-71480668F409}"/>
    <hyperlink ref="B225" r:id="rId107" location="ce_ee_table1a.f.1" tooltip="Click to jump to footnotes at bottom of the table" display="https://www.bls.gov/ces/data/employment-and-earnings/2024/table1a_202411.htm - ce_ee_table1a.f.1" xr:uid="{2F0FC8A6-AB3B-46E5-ADFA-BEC72B3AB192}"/>
    <hyperlink ref="B226" r:id="rId108" location="ce_ee_table1a.f.1" tooltip="Click to jump to footnotes at bottom of the table" display="https://www.bls.gov/ces/data/employment-and-earnings/2024/table1a_202411.htm - ce_ee_table1a.f.1" xr:uid="{729719BC-D665-4638-BF3A-78B98182BDE9}"/>
    <hyperlink ref="B227" r:id="rId109" location="ce_ee_table1a.f.1" tooltip="Click to jump to footnotes at bottom of the table" display="https://www.bls.gov/ces/data/employment-and-earnings/2024/table1a_202411.htm - ce_ee_table1a.f.1" xr:uid="{D05103D4-8CB1-401F-A137-E5AAF91B0971}"/>
    <hyperlink ref="B228" r:id="rId110" location="ce_ee_table1a.f.1" tooltip="Click to jump to footnotes at bottom of the table" display="https://www.bls.gov/ces/data/employment-and-earnings/2024/table1a_202411.htm - ce_ee_table1a.f.1" xr:uid="{1192FC0A-2620-438E-A49D-2B1BA4B451C4}"/>
    <hyperlink ref="B229" r:id="rId111" location="ce_ee_table1a.f.1" tooltip="Click to jump to footnotes at bottom of the table" display="https://www.bls.gov/ces/data/employment-and-earnings/2024/table1a_202411.htm - ce_ee_table1a.f.1" xr:uid="{5EE31F74-5B78-4A74-B98A-A2EC97DD418C}"/>
    <hyperlink ref="B230" r:id="rId112" location="ce_ee_table1a.f.1" tooltip="Click to jump to footnotes at bottom of the table" display="https://www.bls.gov/ces/data/employment-and-earnings/2024/table1a_202411.htm - ce_ee_table1a.f.1" xr:uid="{41FFEA0D-29BE-4D09-AF5C-C881D792BD23}"/>
    <hyperlink ref="B231" r:id="rId113" location="ce_ee_table1a.f.1" tooltip="Click to jump to footnotes at bottom of the table" display="https://www.bls.gov/ces/data/employment-and-earnings/2024/table1a_202411.htm - ce_ee_table1a.f.1" xr:uid="{690CEE23-D8CD-467A-A8D4-1E0B08127B31}"/>
    <hyperlink ref="B233" r:id="rId114" location="ce_ee_table1a.f.1" tooltip="Click to jump to footnotes at bottom of the table" display="https://www.bls.gov/ces/data/employment-and-earnings/2024/table1a_202411.htm - ce_ee_table1a.f.1" xr:uid="{E9FC722B-962B-4BA2-BB61-6B668D4BFB3D}"/>
    <hyperlink ref="B234" r:id="rId115" location="ce_ee_table1a.f.1" tooltip="Click to jump to footnotes at bottom of the table" display="https://www.bls.gov/ces/data/employment-and-earnings/2024/table1a_202411.htm - ce_ee_table1a.f.1" xr:uid="{B722380A-220C-458C-B717-10E19C1C133A}"/>
    <hyperlink ref="B235" r:id="rId116" location="ce_ee_table1a.f.1" tooltip="Click to jump to footnotes at bottom of the table" display="https://www.bls.gov/ces/data/employment-and-earnings/2024/table1a_202411.htm - ce_ee_table1a.f.1" xr:uid="{31BE9846-2472-43F5-8C7D-C73CB2422D78}"/>
    <hyperlink ref="B236" r:id="rId117" location="ce_ee_table1a.f.1" tooltip="Click to jump to footnotes at bottom of the table" display="https://www.bls.gov/ces/data/employment-and-earnings/2024/table1a_202411.htm - ce_ee_table1a.f.1" xr:uid="{2CCAB181-2C45-4227-8855-E361D987D063}"/>
    <hyperlink ref="B237" r:id="rId118" location="ce_ee_table1a.f.1" tooltip="Click to jump to footnotes at bottom of the table" display="https://www.bls.gov/ces/data/employment-and-earnings/2024/table1a_202411.htm - ce_ee_table1a.f.1" xr:uid="{35664726-051D-4CBF-AA49-DAF203A7A169}"/>
    <hyperlink ref="B238" r:id="rId119" location="ce_ee_table1a.f.1" tooltip="Click to jump to footnotes at bottom of the table" display="https://www.bls.gov/ces/data/employment-and-earnings/2024/table1a_202411.htm - ce_ee_table1a.f.1" xr:uid="{DE977CCA-3220-4D3E-99D0-A31EB75FCE6B}"/>
    <hyperlink ref="B239" r:id="rId120" location="ce_ee_table1a.f.1" tooltip="Click to jump to footnotes at bottom of the table" display="https://www.bls.gov/ces/data/employment-and-earnings/2024/table1a_202411.htm - ce_ee_table1a.f.1" xr:uid="{ADC786B3-E6DB-4B06-BD3D-A72B045AE75D}"/>
    <hyperlink ref="B240" r:id="rId121" location="ce_ee_table1a.f.1" tooltip="Click to jump to footnotes at bottom of the table" display="https://www.bls.gov/ces/data/employment-and-earnings/2024/table1a_202411.htm - ce_ee_table1a.f.1" xr:uid="{332B20B3-ED7A-4841-9E53-A4439926C0F9}"/>
    <hyperlink ref="B244" r:id="rId122" location="ce_ee_table1a.f.1" tooltip="Click to jump to footnotes at bottom of the table" display="https://www.bls.gov/ces/data/employment-and-earnings/2024/table1a_202411.htm - ce_ee_table1a.f.1" xr:uid="{56A24585-707A-42E3-B7DF-4F8433B7FF4A}"/>
    <hyperlink ref="B245" r:id="rId123" location="ce_ee_table1a.f.1" tooltip="Click to jump to footnotes at bottom of the table" display="https://www.bls.gov/ces/data/employment-and-earnings/2024/table1a_202411.htm - ce_ee_table1a.f.1" xr:uid="{8170BCEA-B67C-4D8C-A0CE-8ADEFD066159}"/>
    <hyperlink ref="B246" r:id="rId124" location="ce_ee_table1a.f.1" tooltip="Click to jump to footnotes at bottom of the table" display="https://www.bls.gov/ces/data/employment-and-earnings/2024/table1a_202411.htm - ce_ee_table1a.f.1" xr:uid="{F5370E16-2920-4932-9E23-FC80DA01F72B}"/>
    <hyperlink ref="B247" r:id="rId125" location="ce_ee_table1a.f.1" tooltip="Click to jump to footnotes at bottom of the table" display="https://www.bls.gov/ces/data/employment-and-earnings/2024/table1a_202411.htm - ce_ee_table1a.f.1" xr:uid="{DA1C68FB-C957-4CE1-84BF-4EACB5F7129C}"/>
    <hyperlink ref="B248" r:id="rId126" location="ce_ee_table1a.f.1" tooltip="Click to jump to footnotes at bottom of the table" display="https://www.bls.gov/ces/data/employment-and-earnings/2024/table1a_202411.htm - ce_ee_table1a.f.1" xr:uid="{D66B5FFB-A0E2-46E5-963B-F5BA66E185B4}"/>
    <hyperlink ref="B249" r:id="rId127" location="ce_ee_table1a.f.1" tooltip="Click to jump to footnotes at bottom of the table" display="https://www.bls.gov/ces/data/employment-and-earnings/2024/table1a_202411.htm - ce_ee_table1a.f.1" xr:uid="{7DB3DFD2-ACF4-41B5-8356-7164D5B1BD77}"/>
    <hyperlink ref="B250" r:id="rId128" location="ce_ee_table1a.f.1" tooltip="Click to jump to footnotes at bottom of the table" display="https://www.bls.gov/ces/data/employment-and-earnings/2024/table1a_202411.htm - ce_ee_table1a.f.1" xr:uid="{729B1C76-F375-4CC9-BD34-63773D0A7571}"/>
    <hyperlink ref="B251" r:id="rId129" location="ce_ee_table1a.f.1" tooltip="Click to jump to footnotes at bottom of the table" display="https://www.bls.gov/ces/data/employment-and-earnings/2024/table1a_202411.htm - ce_ee_table1a.f.1" xr:uid="{E28A8775-9E87-4362-AE18-BB28BD417FD4}"/>
    <hyperlink ref="B252" r:id="rId130" location="ce_ee_table1a.f.1" tooltip="Click to jump to footnotes at bottom of the table" display="https://www.bls.gov/ces/data/employment-and-earnings/2024/table1a_202411.htm - ce_ee_table1a.f.1" xr:uid="{7A33E9B4-8A5E-4FB2-B8C7-36C17D58572C}"/>
    <hyperlink ref="B253" r:id="rId131" location="ce_ee_table1a.f.1" tooltip="Click to jump to footnotes at bottom of the table" display="https://www.bls.gov/ces/data/employment-and-earnings/2024/table1a_202411.htm - ce_ee_table1a.f.1" xr:uid="{748A5D54-4FC4-4BB5-BAD3-936DE2668BB4}"/>
    <hyperlink ref="B254" r:id="rId132" location="ce_ee_table1a.f.1" tooltip="Click to jump to footnotes at bottom of the table" display="https://www.bls.gov/ces/data/employment-and-earnings/2024/table1a_202411.htm - ce_ee_table1a.f.1" xr:uid="{863BCB20-F8C6-40C0-B8DF-03D788FE129A}"/>
    <hyperlink ref="B255" r:id="rId133" location="ce_ee_table1a.f.1" tooltip="Click to jump to footnotes at bottom of the table" display="https://www.bls.gov/ces/data/employment-and-earnings/2024/table1a_202411.htm - ce_ee_table1a.f.1" xr:uid="{E5F018AA-BF00-49BE-AA51-B1E83CD867EE}"/>
    <hyperlink ref="B256" r:id="rId134" location="ce_ee_table1a.f.1" tooltip="Click to jump to footnotes at bottom of the table" display="https://www.bls.gov/ces/data/employment-and-earnings/2024/table1a_202411.htm - ce_ee_table1a.f.1" xr:uid="{1BCFE3AE-9814-4837-9DA1-D7C2E776AECE}"/>
    <hyperlink ref="B257" r:id="rId135" location="ce_ee_table1a.f.1" tooltip="Click to jump to footnotes at bottom of the table" display="https://www.bls.gov/ces/data/employment-and-earnings/2024/table1a_202411.htm - ce_ee_table1a.f.1" xr:uid="{9EAC9B83-5794-459D-AC08-94B742D7AFB2}"/>
    <hyperlink ref="B258" r:id="rId136" location="ce_ee_table1a.f.1" tooltip="Click to jump to footnotes at bottom of the table" display="https://www.bls.gov/ces/data/employment-and-earnings/2024/table1a_202411.htm - ce_ee_table1a.f.1" xr:uid="{78A33497-7668-4140-A540-8D1074197A41}"/>
    <hyperlink ref="B259" r:id="rId137" location="ce_ee_table1a.f.1" tooltip="Click to jump to footnotes at bottom of the table" display="https://www.bls.gov/ces/data/employment-and-earnings/2024/table1a_202411.htm - ce_ee_table1a.f.1" xr:uid="{AF26EA54-D046-4B18-835C-C415FD2FF59B}"/>
    <hyperlink ref="B260" r:id="rId138" location="ce_ee_table1a.f.1" tooltip="Click to jump to footnotes at bottom of the table" display="https://www.bls.gov/ces/data/employment-and-earnings/2024/table1a_202411.htm - ce_ee_table1a.f.1" xr:uid="{D3C2A2EF-1AAE-44CC-BD6A-4311D3CF2E8D}"/>
    <hyperlink ref="B261" r:id="rId139" location="ce_ee_table1a.f.1" tooltip="Click to jump to footnotes at bottom of the table" display="https://www.bls.gov/ces/data/employment-and-earnings/2024/table1a_202411.htm - ce_ee_table1a.f.1" xr:uid="{60F6C1D4-D2CA-4352-B1E3-7FE4FC7805EC}"/>
    <hyperlink ref="B262" r:id="rId140" location="ce_ee_table1a.f.1" tooltip="Click to jump to footnotes at bottom of the table" display="https://www.bls.gov/ces/data/employment-and-earnings/2024/table1a_202411.htm - ce_ee_table1a.f.1" xr:uid="{EAEB800A-89F6-4A62-B04B-BB00B1526DA2}"/>
    <hyperlink ref="B263" r:id="rId141" location="ce_ee_table1a.f.1" tooltip="Click to jump to footnotes at bottom of the table" display="https://www.bls.gov/ces/data/employment-and-earnings/2024/table1a_202411.htm - ce_ee_table1a.f.1" xr:uid="{64ACDA91-D88E-4F7C-8259-76C8E4853A8D}"/>
    <hyperlink ref="B264" r:id="rId142" location="ce_ee_table1a.f.1" tooltip="Click to jump to footnotes at bottom of the table" display="https://www.bls.gov/ces/data/employment-and-earnings/2024/table1a_202411.htm - ce_ee_table1a.f.1" xr:uid="{9B09F597-B8C1-4F3B-9C04-FA59C88F16B0}"/>
    <hyperlink ref="B265" r:id="rId143" location="ce_ee_table1a.f.1" tooltip="Click to jump to footnotes at bottom of the table" display="https://www.bls.gov/ces/data/employment-and-earnings/2024/table1a_202411.htm - ce_ee_table1a.f.1" xr:uid="{F3B7337C-D9B3-4EE0-8F75-32525A0DE191}"/>
    <hyperlink ref="B266" r:id="rId144" location="ce_ee_table1a.f.1" tooltip="Click to jump to footnotes at bottom of the table" display="https://www.bls.gov/ces/data/employment-and-earnings/2024/table1a_202411.htm - ce_ee_table1a.f.1" xr:uid="{ABA22E00-A19F-4C9A-8C40-8EA1DE38FC38}"/>
    <hyperlink ref="B267" r:id="rId145" location="ce_ee_table1a.f.1" tooltip="Click to jump to footnotes at bottom of the table" display="https://www.bls.gov/ces/data/employment-and-earnings/2024/table1a_202411.htm - ce_ee_table1a.f.1" xr:uid="{AB4FA246-5EE7-4609-9F84-BEFAF751E34A}"/>
    <hyperlink ref="B268" r:id="rId146" location="ce_ee_table1a.f.1" tooltip="Click to jump to footnotes at bottom of the table" display="https://www.bls.gov/ces/data/employment-and-earnings/2024/table1a_202411.htm - ce_ee_table1a.f.1" xr:uid="{7ACE52E2-A030-4940-9043-D9F8D1B0482A}"/>
    <hyperlink ref="B269" r:id="rId147" location="ce_ee_table1a.f.1" tooltip="Click to jump to footnotes at bottom of the table" display="https://www.bls.gov/ces/data/employment-and-earnings/2024/table1a_202411.htm - ce_ee_table1a.f.1" xr:uid="{B5885E30-A3A9-43B8-A063-FF630508D727}"/>
    <hyperlink ref="B271" r:id="rId148" location="ce_ee_table1a.f.1" tooltip="Click to jump to footnotes at bottom of the table" display="https://www.bls.gov/ces/data/employment-and-earnings/2024/table1a_202411.htm - ce_ee_table1a.f.1" xr:uid="{B9A37A48-98C2-422B-AF05-A251A296BB09}"/>
    <hyperlink ref="B273" r:id="rId149" location="ce_ee_table1a.f.1" tooltip="Click to jump to footnotes at bottom of the table" display="https://www.bls.gov/ces/data/employment-and-earnings/2024/table1a_202411.htm - ce_ee_table1a.f.1" xr:uid="{65FB8736-6745-4FC0-A3EA-FE2A18A23EDB}"/>
    <hyperlink ref="B274" r:id="rId150" location="ce_ee_table1a.f.1" tooltip="Click to jump to footnotes at bottom of the table" display="https://www.bls.gov/ces/data/employment-and-earnings/2024/table1a_202411.htm - ce_ee_table1a.f.1" xr:uid="{D95D81C9-9D7A-4B9F-B8C6-A1B2F2448DFD}"/>
    <hyperlink ref="B275" r:id="rId151" location="ce_ee_table1a.f.1" tooltip="Click to jump to footnotes at bottom of the table" display="https://www.bls.gov/ces/data/employment-and-earnings/2024/table1a_202411.htm - ce_ee_table1a.f.1" xr:uid="{DB3BFD09-6EF3-44DC-AA44-97AD7B0113A7}"/>
    <hyperlink ref="B276" r:id="rId152" location="ce_ee_table1a.f.1" tooltip="Click to jump to footnotes at bottom of the table" display="https://www.bls.gov/ces/data/employment-and-earnings/2024/table1a_202411.htm - ce_ee_table1a.f.1" xr:uid="{1AC598BD-48DE-4009-9974-6B3A9B313A19}"/>
    <hyperlink ref="B278" r:id="rId153" location="ce_ee_table1a.f.1" tooltip="Click to jump to footnotes at bottom of the table" display="https://www.bls.gov/ces/data/employment-and-earnings/2024/table1a_202411.htm - ce_ee_table1a.f.1" xr:uid="{E1B5690F-A648-4739-A55B-EA2E6C2D1F4B}"/>
    <hyperlink ref="B280" r:id="rId154" location="ce_ee_table1a.f.1" tooltip="Click to jump to footnotes at bottom of the table" display="https://www.bls.gov/ces/data/employment-and-earnings/2024/table1a_202411.htm - ce_ee_table1a.f.1" xr:uid="{69BB1647-CE88-47C6-98AB-ABBE6FA6F131}"/>
    <hyperlink ref="B281" r:id="rId155" location="ce_ee_table1a.f.1" tooltip="Click to jump to footnotes at bottom of the table" display="https://www.bls.gov/ces/data/employment-and-earnings/2024/table1a_202411.htm - ce_ee_table1a.f.1" xr:uid="{1813FBF8-35CF-4CD6-950C-1EE2CD5D7631}"/>
    <hyperlink ref="B282" r:id="rId156" location="ce_ee_table1a.f.1" tooltip="Click to jump to footnotes at bottom of the table" display="https://www.bls.gov/ces/data/employment-and-earnings/2024/table1a_202411.htm - ce_ee_table1a.f.1" xr:uid="{0E94E2EF-8388-499C-A442-98E4E338F657}"/>
    <hyperlink ref="B283" r:id="rId157" location="ce_ee_table1a.f.1" tooltip="Click to jump to footnotes at bottom of the table" display="https://www.bls.gov/ces/data/employment-and-earnings/2024/table1a_202411.htm - ce_ee_table1a.f.1" xr:uid="{9B25B722-66F7-4DCB-9B4B-FF94F9608A1D}"/>
    <hyperlink ref="B284" r:id="rId158" location="ce_ee_table1a.f.1" tooltip="Click to jump to footnotes at bottom of the table" display="https://www.bls.gov/ces/data/employment-and-earnings/2024/table1a_202411.htm - ce_ee_table1a.f.1" xr:uid="{1FBDA159-D0A6-4519-B020-08DCF5E52DB3}"/>
    <hyperlink ref="B286" r:id="rId159" location="ce_ee_table1a.f.1" tooltip="Click to jump to footnotes at bottom of the table" display="https://www.bls.gov/ces/data/employment-and-earnings/2024/table1a_202411.htm - ce_ee_table1a.f.1" xr:uid="{0392CEAA-F36E-4A0C-99D5-088CFDDB4811}"/>
    <hyperlink ref="B288" r:id="rId160" location="ce_ee_table1a.f.1" tooltip="Click to jump to footnotes at bottom of the table" display="https://www.bls.gov/ces/data/employment-and-earnings/2024/table1a_202411.htm - ce_ee_table1a.f.1" xr:uid="{92852034-681D-4F0B-9437-08109B884FF8}"/>
    <hyperlink ref="B289" r:id="rId161" location="ce_ee_table1a.f.1" tooltip="Click to jump to footnotes at bottom of the table" display="https://www.bls.gov/ces/data/employment-and-earnings/2024/table1a_202411.htm - ce_ee_table1a.f.1" xr:uid="{AC9A2C33-8E57-4691-8B09-B2BAD734A623}"/>
    <hyperlink ref="B291" r:id="rId162" location="ce_ee_table1a.f.1" tooltip="Click to jump to footnotes at bottom of the table" display="https://www.bls.gov/ces/data/employment-and-earnings/2024/table1a_202411.htm - ce_ee_table1a.f.1" xr:uid="{39AD772C-298F-4E55-894A-EBA333ACFF43}"/>
    <hyperlink ref="B292" r:id="rId163" location="ce_ee_table1a.f.1" tooltip="Click to jump to footnotes at bottom of the table" display="https://www.bls.gov/ces/data/employment-and-earnings/2024/table1a_202411.htm - ce_ee_table1a.f.1" xr:uid="{D69AF415-EC66-4B7C-99B3-54956F126A1E}"/>
    <hyperlink ref="B293" r:id="rId164" location="ce_ee_table1a.f.1" tooltip="Click to jump to footnotes at bottom of the table" display="https://www.bls.gov/ces/data/employment-and-earnings/2024/table1a_202411.htm - ce_ee_table1a.f.1" xr:uid="{164F9FED-B739-425C-8936-B370E7215716}"/>
    <hyperlink ref="B294" r:id="rId165" location="ce_ee_table1a.f.1" tooltip="Click to jump to footnotes at bottom of the table" display="https://www.bls.gov/ces/data/employment-and-earnings/2024/table1a_202411.htm - ce_ee_table1a.f.1" xr:uid="{3393D244-E364-48A1-9BF3-328D2449DEEA}"/>
    <hyperlink ref="B295" r:id="rId166" location="ce_ee_table1a.f.1" tooltip="Click to jump to footnotes at bottom of the table" display="https://www.bls.gov/ces/data/employment-and-earnings/2024/table1a_202411.htm - ce_ee_table1a.f.1" xr:uid="{EFE1050A-AB9B-4483-B43D-F21342AA125B}"/>
    <hyperlink ref="B296" r:id="rId167" location="ce_ee_table1a.f.1" tooltip="Click to jump to footnotes at bottom of the table" display="https://www.bls.gov/ces/data/employment-and-earnings/2024/table1a_202411.htm - ce_ee_table1a.f.1" xr:uid="{46BC8A19-3A83-46AD-AF99-52D7C064EF9F}"/>
    <hyperlink ref="B297" r:id="rId168" location="ce_ee_table1a.f.1" tooltip="Click to jump to footnotes at bottom of the table" display="https://www.bls.gov/ces/data/employment-and-earnings/2024/table1a_202411.htm - ce_ee_table1a.f.1" xr:uid="{09FD1625-B00D-47E4-8D11-1ECCE89D1F97}"/>
    <hyperlink ref="B298" r:id="rId169" location="ce_ee_table1a.f.1" tooltip="Click to jump to footnotes at bottom of the table" display="https://www.bls.gov/ces/data/employment-and-earnings/2024/table1a_202411.htm - ce_ee_table1a.f.1" xr:uid="{A99CF34F-6B61-4427-B710-2E19193A94E1}"/>
    <hyperlink ref="B299" r:id="rId170" location="ce_ee_table1a.f.1" tooltip="Click to jump to footnotes at bottom of the table" display="https://www.bls.gov/ces/data/employment-and-earnings/2024/table1a_202411.htm - ce_ee_table1a.f.1" xr:uid="{BC9FB997-5BEA-4A41-86E0-C031CA651D67}"/>
    <hyperlink ref="B300" r:id="rId171" location="ce_ee_table1a.f.1" tooltip="Click to jump to footnotes at bottom of the table" display="https://www.bls.gov/ces/data/employment-and-earnings/2024/table1a_202411.htm - ce_ee_table1a.f.1" xr:uid="{BD3945FA-782A-4B43-A2E8-EEE74DCCBC4E}"/>
    <hyperlink ref="B301" r:id="rId172" location="ce_ee_table1a.f.1" tooltip="Click to jump to footnotes at bottom of the table" display="https://www.bls.gov/ces/data/employment-and-earnings/2024/table1a_202411.htm - ce_ee_table1a.f.1" xr:uid="{04558388-2CC1-47E0-A0BA-967F131EBDA6}"/>
    <hyperlink ref="B302" r:id="rId173" location="ce_ee_table1a.f.1" tooltip="Click to jump to footnotes at bottom of the table" display="https://www.bls.gov/ces/data/employment-and-earnings/2024/table1a_202411.htm - ce_ee_table1a.f.1" xr:uid="{BF347B01-7799-4DAB-81FB-737E335F7B0D}"/>
    <hyperlink ref="B303" r:id="rId174" location="ce_ee_table1a.f.1" tooltip="Click to jump to footnotes at bottom of the table" display="https://www.bls.gov/ces/data/employment-and-earnings/2024/table1a_202411.htm - ce_ee_table1a.f.1" xr:uid="{F5BC6F90-F93E-4564-BEB4-1118E6C8692B}"/>
    <hyperlink ref="B304" r:id="rId175" location="ce_ee_table1a.f.1" tooltip="Click to jump to footnotes at bottom of the table" display="https://www.bls.gov/ces/data/employment-and-earnings/2024/table1a_202411.htm - ce_ee_table1a.f.1" xr:uid="{843893CE-155C-454F-B522-48B0EAA2A4AC}"/>
    <hyperlink ref="B306" r:id="rId176" location="ce_ee_table1a.f.1" tooltip="Click to jump to footnotes at bottom of the table" display="https://www.bls.gov/ces/data/employment-and-earnings/2024/table1a_202411.htm - ce_ee_table1a.f.1" xr:uid="{C1F4D046-68EA-4545-8281-192E72CC60FB}"/>
    <hyperlink ref="B307" r:id="rId177" location="ce_ee_table1a.f.1" tooltip="Click to jump to footnotes at bottom of the table" display="https://www.bls.gov/ces/data/employment-and-earnings/2024/table1a_202411.htm - ce_ee_table1a.f.1" xr:uid="{71A57F2C-890B-4678-9CD2-7B698D38AF8F}"/>
    <hyperlink ref="B308" r:id="rId178" location="ce_ee_table1a.f.1" tooltip="Click to jump to footnotes at bottom of the table" display="https://www.bls.gov/ces/data/employment-and-earnings/2024/table1a_202411.htm - ce_ee_table1a.f.1" xr:uid="{2C2F6F96-965B-4AF5-8CCC-B2351505B5FB}"/>
    <hyperlink ref="B309" r:id="rId179" location="ce_ee_table1a.f.1" tooltip="Click to jump to footnotes at bottom of the table" display="https://www.bls.gov/ces/data/employment-and-earnings/2024/table1a_202411.htm - ce_ee_table1a.f.1" xr:uid="{7C334540-9837-4245-9326-D28487C82C5E}"/>
    <hyperlink ref="B310" r:id="rId180" location="ce_ee_table1a.f.1" tooltip="Click to jump to footnotes at bottom of the table" display="https://www.bls.gov/ces/data/employment-and-earnings/2024/table1a_202411.htm - ce_ee_table1a.f.1" xr:uid="{DD9C6471-AEC9-4B5A-9F5A-13D658901C8E}"/>
    <hyperlink ref="B311" r:id="rId181" location="ce_ee_table1a.f.1" tooltip="Click to jump to footnotes at bottom of the table" display="https://www.bls.gov/ces/data/employment-and-earnings/2024/table1a_202411.htm - ce_ee_table1a.f.1" xr:uid="{40B93C78-2710-44EC-BFC8-267EBE2F2606}"/>
    <hyperlink ref="B312" r:id="rId182" location="ce_ee_table1a.f.1" tooltip="Click to jump to footnotes at bottom of the table" display="https://www.bls.gov/ces/data/employment-and-earnings/2024/table1a_202411.htm - ce_ee_table1a.f.1" xr:uid="{E8300562-FF9C-44A4-AA44-567A90C7A6A3}"/>
    <hyperlink ref="B313" r:id="rId183" location="ce_ee_table1a.f.1" tooltip="Click to jump to footnotes at bottom of the table" display="https://www.bls.gov/ces/data/employment-and-earnings/2024/table1a_202411.htm - ce_ee_table1a.f.1" xr:uid="{654F64DC-0537-4959-A036-6B4FBCDB7D8A}"/>
    <hyperlink ref="B314" r:id="rId184" location="ce_ee_table1a.f.1" tooltip="Click to jump to footnotes at bottom of the table" display="https://www.bls.gov/ces/data/employment-and-earnings/2024/table1a_202411.htm - ce_ee_table1a.f.1" xr:uid="{1F5FA785-C9C5-48FB-846A-E673BF3B952E}"/>
    <hyperlink ref="B316" r:id="rId185" location="ce_ee_table1a.f.1" tooltip="Click to jump to footnotes at bottom of the table" display="https://www.bls.gov/ces/data/employment-and-earnings/2024/table1a_202411.htm - ce_ee_table1a.f.1" xr:uid="{4505D831-1029-40F7-ADB9-DA325938D2B9}"/>
    <hyperlink ref="B317" r:id="rId186" location="ce_ee_table1a.f.1" tooltip="Click to jump to footnotes at bottom of the table" display="https://www.bls.gov/ces/data/employment-and-earnings/2024/table1a_202411.htm - ce_ee_table1a.f.1" xr:uid="{1747B360-4369-46B2-B6CD-427232DDF189}"/>
    <hyperlink ref="B318" r:id="rId187" location="ce_ee_table1a.f.1" tooltip="Click to jump to footnotes at bottom of the table" display="https://www.bls.gov/ces/data/employment-and-earnings/2024/table1a_202411.htm - ce_ee_table1a.f.1" xr:uid="{5CAFC6D3-9B54-49A1-8C06-31034ADE7044}"/>
    <hyperlink ref="B319" r:id="rId188" location="ce_ee_table1a.f.1" tooltip="Click to jump to footnotes at bottom of the table" display="https://www.bls.gov/ces/data/employment-and-earnings/2024/table1a_202411.htm - ce_ee_table1a.f.1" xr:uid="{A006ACEA-1CDD-4F4E-8F98-15E399E59B6A}"/>
    <hyperlink ref="B330" r:id="rId189" location="ce_ee_table1a.f.1" tooltip="Click to jump to footnotes at bottom of the table" display="https://www.bls.gov/ces/data/employment-and-earnings/2024/table1a_202411.htm - ce_ee_table1a.f.1" xr:uid="{2933D45B-68A8-4895-BFDA-ACC61A52242F}"/>
    <hyperlink ref="B331" r:id="rId190" location="ce_ee_table1a.f.1" tooltip="Click to jump to footnotes at bottom of the table" display="https://www.bls.gov/ces/data/employment-and-earnings/2024/table1a_202411.htm - ce_ee_table1a.f.1" xr:uid="{005121D5-2FD6-4863-A02B-42014B18BC9B}"/>
    <hyperlink ref="B332" r:id="rId191" location="ce_ee_table1a.f.1" tooltip="Click to jump to footnotes at bottom of the table" display="https://www.bls.gov/ces/data/employment-and-earnings/2024/table1a_202411.htm - ce_ee_table1a.f.1" xr:uid="{59E2A595-93BA-44D2-B054-8D81B5817E47}"/>
    <hyperlink ref="B333" r:id="rId192" location="ce_ee_table1a.f.1" tooltip="Click to jump to footnotes at bottom of the table" display="https://www.bls.gov/ces/data/employment-and-earnings/2024/table1a_202411.htm - ce_ee_table1a.f.1" xr:uid="{1ABD6211-878D-4727-AC5D-DA46642E3CFC}"/>
    <hyperlink ref="B334" r:id="rId193" location="ce_ee_table1a.f.1" tooltip="Click to jump to footnotes at bottom of the table" display="https://www.bls.gov/ces/data/employment-and-earnings/2024/table1a_202411.htm - ce_ee_table1a.f.1" xr:uid="{D0467073-672D-4FE4-9082-190A14C527EC}"/>
    <hyperlink ref="B335" r:id="rId194" location="ce_ee_table1a.f.1" tooltip="Click to jump to footnotes at bottom of the table" display="https://www.bls.gov/ces/data/employment-and-earnings/2024/table1a_202411.htm - ce_ee_table1a.f.1" xr:uid="{9AC667E9-BADF-450A-8512-0415FFB2F83D}"/>
    <hyperlink ref="B336" r:id="rId195" location="ce_ee_table1a.f.1" tooltip="Click to jump to footnotes at bottom of the table" display="https://www.bls.gov/ces/data/employment-and-earnings/2024/table1a_202411.htm - ce_ee_table1a.f.1" xr:uid="{60C57DDE-3BF7-44A2-B023-0C85FF06A187}"/>
    <hyperlink ref="B337" r:id="rId196" location="ce_ee_table1a.f.1" tooltip="Click to jump to footnotes at bottom of the table" display="https://www.bls.gov/ces/data/employment-and-earnings/2024/table1a_202411.htm - ce_ee_table1a.f.1" xr:uid="{03E5B125-9AA8-45CE-9546-BE12537D9D32}"/>
    <hyperlink ref="B338" r:id="rId197" location="ce_ee_table1a.f.1" tooltip="Click to jump to footnotes at bottom of the table" display="https://www.bls.gov/ces/data/employment-and-earnings/2024/table1a_202411.htm - ce_ee_table1a.f.1" xr:uid="{FE322C9B-EC18-4FE2-804C-5DD5155C7EB6}"/>
    <hyperlink ref="B339" r:id="rId198" location="ce_ee_table1a.f.1" tooltip="Click to jump to footnotes at bottom of the table" display="https://www.bls.gov/ces/data/employment-and-earnings/2024/table1a_202411.htm - ce_ee_table1a.f.1" xr:uid="{0181418B-AC06-4092-BC55-50A7E569D413}"/>
    <hyperlink ref="B340" r:id="rId199" location="ce_ee_table1a.f.1" tooltip="Click to jump to footnotes at bottom of the table" display="https://www.bls.gov/ces/data/employment-and-earnings/2024/table1a_202411.htm - ce_ee_table1a.f.1" xr:uid="{9CD8700B-6B49-4EB0-A3E9-B72C027F26EE}"/>
    <hyperlink ref="B341" r:id="rId200" location="ce_ee_table1a.f.1" tooltip="Click to jump to footnotes at bottom of the table" display="https://www.bls.gov/ces/data/employment-and-earnings/2024/table1a_202411.htm - ce_ee_table1a.f.1" xr:uid="{C0FBEA7C-B9DF-421A-B313-BD05753C61ED}"/>
    <hyperlink ref="B342" r:id="rId201" location="ce_ee_table1a.f.1" tooltip="Click to jump to footnotes at bottom of the table" display="https://www.bls.gov/ces/data/employment-and-earnings/2024/table1a_202411.htm - ce_ee_table1a.f.1" xr:uid="{7735E8D2-0391-46A8-8590-5DDF95B53480}"/>
    <hyperlink ref="B343" r:id="rId202" location="ce_ee_table1a.f.1" tooltip="Click to jump to footnotes at bottom of the table" display="https://www.bls.gov/ces/data/employment-and-earnings/2024/table1a_202411.htm - ce_ee_table1a.f.1" xr:uid="{FACA2CAB-A6A5-4189-8B3E-440C7CC6FFEC}"/>
    <hyperlink ref="B344" r:id="rId203" location="ce_ee_table1a.f.1" tooltip="Click to jump to footnotes at bottom of the table" display="https://www.bls.gov/ces/data/employment-and-earnings/2024/table1a_202411.htm - ce_ee_table1a.f.1" xr:uid="{5723060B-7FB8-4472-937C-8525621CA5DF}"/>
    <hyperlink ref="B345" r:id="rId204" location="ce_ee_table1a.f.1" tooltip="Click to jump to footnotes at bottom of the table" display="https://www.bls.gov/ces/data/employment-and-earnings/2024/table1a_202411.htm - ce_ee_table1a.f.1" xr:uid="{B572DACE-8793-4A40-B66D-120F124E55D3}"/>
    <hyperlink ref="B346" r:id="rId205" location="ce_ee_table1a.f.1" tooltip="Click to jump to footnotes at bottom of the table" display="https://www.bls.gov/ces/data/employment-and-earnings/2024/table1a_202411.htm - ce_ee_table1a.f.1" xr:uid="{C9A41324-6159-4D15-9118-177587B77D1B}"/>
    <hyperlink ref="B347" r:id="rId206" location="ce_ee_table1a.f.1" tooltip="Click to jump to footnotes at bottom of the table" display="https://www.bls.gov/ces/data/employment-and-earnings/2024/table1a_202411.htm - ce_ee_table1a.f.1" xr:uid="{2641DAD7-A6FE-4A56-9B71-6EE6275358E0}"/>
    <hyperlink ref="B348" r:id="rId207" location="ce_ee_table1a.f.1" tooltip="Click to jump to footnotes at bottom of the table" display="https://www.bls.gov/ces/data/employment-and-earnings/2024/table1a_202411.htm - ce_ee_table1a.f.1" xr:uid="{88F6A9F8-54E8-49D3-84C2-645E9070C81C}"/>
    <hyperlink ref="B349" r:id="rId208" location="ce_ee_table1a.f.1" tooltip="Click to jump to footnotes at bottom of the table" display="https://www.bls.gov/ces/data/employment-and-earnings/2024/table1a_202411.htm - ce_ee_table1a.f.1" xr:uid="{0068FBDA-E8E4-4936-B946-98CF6AD12963}"/>
    <hyperlink ref="B350" r:id="rId209" location="ce_ee_table1a.f.1" tooltip="Click to jump to footnotes at bottom of the table" display="https://www.bls.gov/ces/data/employment-and-earnings/2024/table1a_202411.htm - ce_ee_table1a.f.1" xr:uid="{2A380AEB-E7F6-424E-A6BD-AD1A4FAE09DF}"/>
    <hyperlink ref="B351" r:id="rId210" location="ce_ee_table1a.f.1" tooltip="Click to jump to footnotes at bottom of the table" display="https://www.bls.gov/ces/data/employment-and-earnings/2024/table1a_202411.htm - ce_ee_table1a.f.1" xr:uid="{F2B9F336-DAF3-4006-9C53-AC820453C30A}"/>
    <hyperlink ref="B352" r:id="rId211" location="ce_ee_table1a.f.1" tooltip="Click to jump to footnotes at bottom of the table" display="https://www.bls.gov/ces/data/employment-and-earnings/2024/table1a_202411.htm - ce_ee_table1a.f.1" xr:uid="{FEEEF695-39BF-40CC-A218-885EDBC35215}"/>
    <hyperlink ref="B353" r:id="rId212" location="ce_ee_table1a.f.1" tooltip="Click to jump to footnotes at bottom of the table" display="https://www.bls.gov/ces/data/employment-and-earnings/2024/table1a_202411.htm - ce_ee_table1a.f.1" xr:uid="{B5F79446-D7A4-4398-8DDA-C6CE5140567C}"/>
    <hyperlink ref="B354" r:id="rId213" location="ce_ee_table1a.f.1" tooltip="Click to jump to footnotes at bottom of the table" display="https://www.bls.gov/ces/data/employment-and-earnings/2024/table1a_202411.htm - ce_ee_table1a.f.1" xr:uid="{1FA7068C-3F5D-4DDA-8978-883C8AAE958A}"/>
    <hyperlink ref="B355" r:id="rId214" location="ce_ee_table1a.f.1" tooltip="Click to jump to footnotes at bottom of the table" display="https://www.bls.gov/ces/data/employment-and-earnings/2024/table1a_202411.htm - ce_ee_table1a.f.1" xr:uid="{037DCB01-55B8-4FCE-B80D-23A59E0FD04C}"/>
    <hyperlink ref="B356" r:id="rId215" location="ce_ee_table1a.f.1" tooltip="Click to jump to footnotes at bottom of the table" display="https://www.bls.gov/ces/data/employment-and-earnings/2024/table1a_202411.htm - ce_ee_table1a.f.1" xr:uid="{47D15F88-58A1-4AF6-B477-60E6B6C52453}"/>
    <hyperlink ref="B357" r:id="rId216" location="ce_ee_table1a.f.1" tooltip="Click to jump to footnotes at bottom of the table" display="https://www.bls.gov/ces/data/employment-and-earnings/2024/table1a_202411.htm - ce_ee_table1a.f.1" xr:uid="{1A2C45AE-975A-4093-92C4-DEA3D7F85B0B}"/>
    <hyperlink ref="B358" r:id="rId217" location="ce_ee_table1a.f.1" tooltip="Click to jump to footnotes at bottom of the table" display="https://www.bls.gov/ces/data/employment-and-earnings/2024/table1a_202411.htm - ce_ee_table1a.f.1" xr:uid="{A32C49C6-4F14-4DD9-94D9-AA99B9846DC4}"/>
    <hyperlink ref="B359" r:id="rId218" location="ce_ee_table1a.f.1" tooltip="Click to jump to footnotes at bottom of the table" display="https://www.bls.gov/ces/data/employment-and-earnings/2024/table1a_202411.htm - ce_ee_table1a.f.1" xr:uid="{0E887548-3B47-4AD3-AA75-036E1FA51706}"/>
    <hyperlink ref="B360" r:id="rId219" location="ce_ee_table1a.f.1" tooltip="Click to jump to footnotes at bottom of the table" display="https://www.bls.gov/ces/data/employment-and-earnings/2024/table1a_202411.htm - ce_ee_table1a.f.1" xr:uid="{7EF6D7A9-5B1C-4BC7-9862-2452E27D8844}"/>
    <hyperlink ref="B361" r:id="rId220" location="ce_ee_table1a.f.1" tooltip="Click to jump to footnotes at bottom of the table" display="https://www.bls.gov/ces/data/employment-and-earnings/2024/table1a_202411.htm - ce_ee_table1a.f.1" xr:uid="{EB9E0DAA-1C72-4DF8-BD6E-3C77C5B3421E}"/>
    <hyperlink ref="B362" r:id="rId221" location="ce_ee_table1a.f.1" tooltip="Click to jump to footnotes at bottom of the table" display="https://www.bls.gov/ces/data/employment-and-earnings/2024/table1a_202411.htm - ce_ee_table1a.f.1" xr:uid="{22D338BD-DE48-47DA-8A93-A932BF38055A}"/>
    <hyperlink ref="B363" r:id="rId222" location="ce_ee_table1a.f.1" tooltip="Click to jump to footnotes at bottom of the table" display="https://www.bls.gov/ces/data/employment-and-earnings/2024/table1a_202411.htm - ce_ee_table1a.f.1" xr:uid="{8F5C6589-3CC0-497C-B6A9-9AAED628C589}"/>
    <hyperlink ref="B364" r:id="rId223" location="ce_ee_table1a.f.1" tooltip="Click to jump to footnotes at bottom of the table" display="https://www.bls.gov/ces/data/employment-and-earnings/2024/table1a_202411.htm - ce_ee_table1a.f.1" xr:uid="{2CE5EABC-8E9A-47B9-BEDE-77CEBF2B3C5B}"/>
    <hyperlink ref="B366" r:id="rId224" location="ce_ee_table1a.f.1" tooltip="Click to jump to footnotes at bottom of the table" display="https://www.bls.gov/ces/data/employment-and-earnings/2024/table1a_202411.htm - ce_ee_table1a.f.1" xr:uid="{ECDF52DC-B281-4451-A299-897B10BD6DD5}"/>
    <hyperlink ref="B367" r:id="rId225" location="ce_ee_table1a.f.1" tooltip="Click to jump to footnotes at bottom of the table" display="https://www.bls.gov/ces/data/employment-and-earnings/2024/table1a_202411.htm - ce_ee_table1a.f.1" xr:uid="{69617A63-F69A-49EB-9678-EF077366A2A5}"/>
    <hyperlink ref="B368" r:id="rId226" location="ce_ee_table1a.f.1" tooltip="Click to jump to footnotes at bottom of the table" display="https://www.bls.gov/ces/data/employment-and-earnings/2024/table1a_202411.htm - ce_ee_table1a.f.1" xr:uid="{9AF28AF0-8F41-47CE-8250-410521F3DC8D}"/>
    <hyperlink ref="B369" r:id="rId227" location="ce_ee_table1a.f.1" tooltip="Click to jump to footnotes at bottom of the table" display="https://www.bls.gov/ces/data/employment-and-earnings/2024/table1a_202411.htm - ce_ee_table1a.f.1" xr:uid="{AA106EA7-CDF6-4DAB-85A6-3F292717AA95}"/>
    <hyperlink ref="B370" r:id="rId228" location="ce_ee_table1a.f.1" tooltip="Click to jump to footnotes at bottom of the table" display="https://www.bls.gov/ces/data/employment-and-earnings/2024/table1a_202411.htm - ce_ee_table1a.f.1" xr:uid="{7F15CE50-94A5-485E-A1E9-9D5FF19C0BD1}"/>
    <hyperlink ref="B371" r:id="rId229" location="ce_ee_table1a.f.1" tooltip="Click to jump to footnotes at bottom of the table" display="https://www.bls.gov/ces/data/employment-and-earnings/2024/table1a_202411.htm - ce_ee_table1a.f.1" xr:uid="{086213CC-3D43-42AC-ABEE-7F4350E53EB5}"/>
    <hyperlink ref="B372" r:id="rId230" location="ce_ee_table1a.f.1" tooltip="Click to jump to footnotes at bottom of the table" display="https://www.bls.gov/ces/data/employment-and-earnings/2024/table1a_202411.htm - ce_ee_table1a.f.1" xr:uid="{1F432FF1-8585-43DE-8C7C-8297ED140E37}"/>
    <hyperlink ref="B373" r:id="rId231" location="ce_ee_table1a.f.1" tooltip="Click to jump to footnotes at bottom of the table" display="https://www.bls.gov/ces/data/employment-and-earnings/2024/table1a_202411.htm - ce_ee_table1a.f.1" xr:uid="{4D9559AD-1404-4E34-A216-820085778DFF}"/>
    <hyperlink ref="B374" r:id="rId232" location="ce_ee_table1a.f.1" tooltip="Click to jump to footnotes at bottom of the table" display="https://www.bls.gov/ces/data/employment-and-earnings/2024/table1a_202411.htm - ce_ee_table1a.f.1" xr:uid="{B220AC46-4168-4774-BE48-78EA26282E26}"/>
    <hyperlink ref="B375" r:id="rId233" location="ce_ee_table1a.f.1" tooltip="Click to jump to footnotes at bottom of the table" display="https://www.bls.gov/ces/data/employment-and-earnings/2024/table1a_202411.htm - ce_ee_table1a.f.1" xr:uid="{985EA23B-D135-43A1-8EE4-CF8EF9FADC25}"/>
    <hyperlink ref="B376" r:id="rId234" location="ce_ee_table1a.f.1" tooltip="Click to jump to footnotes at bottom of the table" display="https://www.bls.gov/ces/data/employment-and-earnings/2024/table1a_202411.htm - ce_ee_table1a.f.1" xr:uid="{187CE9EE-B870-4EE7-8B92-4C2F4C29DFDB}"/>
    <hyperlink ref="B377" r:id="rId235" location="ce_ee_table1a.f.1" tooltip="Click to jump to footnotes at bottom of the table" display="https://www.bls.gov/ces/data/employment-and-earnings/2024/table1a_202411.htm - ce_ee_table1a.f.1" xr:uid="{25644474-630C-4B89-A969-3BA518A4C83A}"/>
    <hyperlink ref="B378" r:id="rId236" location="ce_ee_table1a.f.1" tooltip="Click to jump to footnotes at bottom of the table" display="https://www.bls.gov/ces/data/employment-and-earnings/2024/table1a_202411.htm - ce_ee_table1a.f.1" xr:uid="{A3BF2285-7B99-43A4-A2D8-8AC5679FA4CC}"/>
    <hyperlink ref="B379" r:id="rId237" location="ce_ee_table1a.f.1" tooltip="Click to jump to footnotes at bottom of the table" display="https://www.bls.gov/ces/data/employment-and-earnings/2024/table1a_202411.htm - ce_ee_table1a.f.1" xr:uid="{985B8215-839A-4F56-82FE-75F7D84F408B}"/>
    <hyperlink ref="B380" r:id="rId238" location="ce_ee_table1a.f.1" tooltip="Click to jump to footnotes at bottom of the table" display="https://www.bls.gov/ces/data/employment-and-earnings/2024/table1a_202411.htm - ce_ee_table1a.f.1" xr:uid="{D6490550-1C1C-4196-8D71-FB9A9203AE89}"/>
    <hyperlink ref="B381" r:id="rId239" location="ce_ee_table1a.f.1" tooltip="Click to jump to footnotes at bottom of the table" display="https://www.bls.gov/ces/data/employment-and-earnings/2024/table1a_202411.htm - ce_ee_table1a.f.1" xr:uid="{6B194B6D-D80D-4482-B28C-A098C466FE50}"/>
    <hyperlink ref="B382" r:id="rId240" location="ce_ee_table1a.f.1" tooltip="Click to jump to footnotes at bottom of the table" display="https://www.bls.gov/ces/data/employment-and-earnings/2024/table1a_202411.htm - ce_ee_table1a.f.1" xr:uid="{B6F8A45B-91FE-4AAF-BB00-523C325117AB}"/>
    <hyperlink ref="B383" r:id="rId241" location="ce_ee_table1a.f.1" tooltip="Click to jump to footnotes at bottom of the table" display="https://www.bls.gov/ces/data/employment-and-earnings/2024/table1a_202411.htm - ce_ee_table1a.f.1" xr:uid="{4C1FBD95-5F06-4F8C-A74B-33840DD09546}"/>
    <hyperlink ref="B384" r:id="rId242" location="ce_ee_table1a.f.1" tooltip="Click to jump to footnotes at bottom of the table" display="https://www.bls.gov/ces/data/employment-and-earnings/2024/table1a_202411.htm - ce_ee_table1a.f.1" xr:uid="{E4E63F09-C428-4DDA-95BE-76CBE09FE5C6}"/>
    <hyperlink ref="B385" r:id="rId243" location="ce_ee_table1a.f.1" tooltip="Click to jump to footnotes at bottom of the table" display="https://www.bls.gov/ces/data/employment-and-earnings/2024/table1a_202411.htm - ce_ee_table1a.f.1" xr:uid="{E41B2526-6865-4ADE-96E2-10B0FAE825C5}"/>
    <hyperlink ref="B391" r:id="rId244" location="ce_ee_table1a.f.1" tooltip="Click to jump to footnotes at bottom of the table" display="https://www.bls.gov/ces/data/employment-and-earnings/2024/table1a_202411.htm - ce_ee_table1a.f.1" xr:uid="{6EF4E72D-4B8B-410F-A75A-5C7F4B0D0791}"/>
    <hyperlink ref="B392" r:id="rId245" location="ce_ee_table1a.f.1" tooltip="Click to jump to footnotes at bottom of the table" display="https://www.bls.gov/ces/data/employment-and-earnings/2024/table1a_202411.htm - ce_ee_table1a.f.1" xr:uid="{77540FA4-D477-4FEA-A877-37B438082D36}"/>
    <hyperlink ref="B394" r:id="rId246" location="ce_ee_table1a.f.1" tooltip="Click to jump to footnotes at bottom of the table" display="https://www.bls.gov/ces/data/employment-and-earnings/2024/table1a_202411.htm - ce_ee_table1a.f.1" xr:uid="{BD4D39B9-19B1-4BE9-839C-C1625AEB1B7B}"/>
    <hyperlink ref="B395" r:id="rId247" location="ce_ee_table1a.f.1" tooltip="Click to jump to footnotes at bottom of the table" display="https://www.bls.gov/ces/data/employment-and-earnings/2024/table1a_202411.htm - ce_ee_table1a.f.1" xr:uid="{CB248154-BF7B-4E61-A414-86090A9522B3}"/>
    <hyperlink ref="B397" r:id="rId248" location="ce_ee_table1a.f.1" tooltip="Click to jump to footnotes at bottom of the table" display="https://www.bls.gov/ces/data/employment-and-earnings/2024/table1a_202411.htm - ce_ee_table1a.f.1" xr:uid="{6F267376-7401-4A57-8228-02CEED41181C}"/>
    <hyperlink ref="B398" r:id="rId249" location="ce_ee_table1a.f.1" tooltip="Click to jump to footnotes at bottom of the table" display="https://www.bls.gov/ces/data/employment-and-earnings/2024/table1a_202411.htm - ce_ee_table1a.f.1" xr:uid="{75BC9F0F-AA9C-4C63-994E-36CB166CAAC6}"/>
    <hyperlink ref="B400" r:id="rId250" location="ce_ee_table1a.f.1" tooltip="Click to jump to footnotes at bottom of the table" display="https://www.bls.gov/ces/data/employment-and-earnings/2024/table1a_202411.htm - ce_ee_table1a.f.1" xr:uid="{91F78BF0-1275-44CB-9970-D02FCBA61214}"/>
    <hyperlink ref="B401" r:id="rId251" location="ce_ee_table1a.f.1" tooltip="Click to jump to footnotes at bottom of the table" display="https://www.bls.gov/ces/data/employment-and-earnings/2024/table1a_202411.htm - ce_ee_table1a.f.1" xr:uid="{E8A526BC-BD01-4376-9E99-8601660F79FA}"/>
    <hyperlink ref="B402" r:id="rId252" location="ce_ee_table1a.f.1" tooltip="Click to jump to footnotes at bottom of the table" display="https://www.bls.gov/ces/data/employment-and-earnings/2024/table1a_202411.htm - ce_ee_table1a.f.1" xr:uid="{E0D17F4F-61EE-4F88-9199-677406EEBFD4}"/>
    <hyperlink ref="B403" r:id="rId253" location="ce_ee_table1a.f.1" tooltip="Click to jump to footnotes at bottom of the table" display="https://www.bls.gov/ces/data/employment-and-earnings/2024/table1a_202411.htm - ce_ee_table1a.f.1" xr:uid="{0E58CAE4-484B-499E-8C0E-82A317DFFF94}"/>
    <hyperlink ref="B404" r:id="rId254" location="ce_ee_table1a.f.1" tooltip="Click to jump to footnotes at bottom of the table" display="https://www.bls.gov/ces/data/employment-and-earnings/2024/table1a_202411.htm - ce_ee_table1a.f.1" xr:uid="{54ED3C7E-C1E9-400D-A55A-D4387F29B3B4}"/>
    <hyperlink ref="B405" r:id="rId255" location="ce_ee_table1a.f.1" tooltip="Click to jump to footnotes at bottom of the table" display="https://www.bls.gov/ces/data/employment-and-earnings/2024/table1a_202411.htm - ce_ee_table1a.f.1" xr:uid="{D01855A1-9579-4556-98ED-0B6B6283F0AB}"/>
    <hyperlink ref="B407" r:id="rId256" location="ce_ee_table1a.f.1" tooltip="Click to jump to footnotes at bottom of the table" display="https://www.bls.gov/ces/data/employment-and-earnings/2024/table1a_202411.htm - ce_ee_table1a.f.1" xr:uid="{B79C6F92-16EA-4813-A05D-6B15B47E685F}"/>
    <hyperlink ref="B408" r:id="rId257" location="ce_ee_table1a.f.1" tooltip="Click to jump to footnotes at bottom of the table" display="https://www.bls.gov/ces/data/employment-and-earnings/2024/table1a_202411.htm - ce_ee_table1a.f.1" xr:uid="{7931BB97-96E4-4F8C-B757-3371B4C64C87}"/>
    <hyperlink ref="B409" r:id="rId258" location="ce_ee_table1a.f.1" tooltip="Click to jump to footnotes at bottom of the table" display="https://www.bls.gov/ces/data/employment-and-earnings/2024/table1a_202411.htm - ce_ee_table1a.f.1" xr:uid="{519EEC60-D0F9-4A56-91D2-3B2557E6CCCB}"/>
    <hyperlink ref="B410" r:id="rId259" location="ce_ee_table1a.f.1" tooltip="Click to jump to footnotes at bottom of the table" display="https://www.bls.gov/ces/data/employment-and-earnings/2024/table1a_202411.htm - ce_ee_table1a.f.1" xr:uid="{51EB9052-82B4-4FC2-A00E-511FA059C372}"/>
    <hyperlink ref="B411" r:id="rId260" location="ce_ee_table1a.f.1" tooltip="Click to jump to footnotes at bottom of the table" display="https://www.bls.gov/ces/data/employment-and-earnings/2024/table1a_202411.htm - ce_ee_table1a.f.1" xr:uid="{69BBD9E9-B5E8-4BC8-A38B-97A256E45F56}"/>
    <hyperlink ref="B412" r:id="rId261" location="ce_ee_table1a.f.1" tooltip="Click to jump to footnotes at bottom of the table" display="https://www.bls.gov/ces/data/employment-and-earnings/2024/table1a_202411.htm - ce_ee_table1a.f.1" xr:uid="{751A7685-9CA6-4003-AAD9-7AB43DD0E21F}"/>
    <hyperlink ref="B413" r:id="rId262" location="ce_ee_table1a.f.1" tooltip="Click to jump to footnotes at bottom of the table" display="https://www.bls.gov/ces/data/employment-and-earnings/2024/table1a_202411.htm - ce_ee_table1a.f.1" xr:uid="{2FBE9EFE-B637-4DCC-84F6-4C0CDB20A15E}"/>
    <hyperlink ref="B414" r:id="rId263" location="ce_ee_table1a.f.1" tooltip="Click to jump to footnotes at bottom of the table" display="https://www.bls.gov/ces/data/employment-and-earnings/2024/table1a_202411.htm - ce_ee_table1a.f.1" xr:uid="{23620DDD-50C2-41C5-A76F-A62A76D8ED5D}"/>
    <hyperlink ref="B415" r:id="rId264" location="ce_ee_table1a.f.1" tooltip="Click to jump to footnotes at bottom of the table" display="https://www.bls.gov/ces/data/employment-and-earnings/2024/table1a_202411.htm - ce_ee_table1a.f.1" xr:uid="{3D4491AE-720F-4410-ACDB-718B2FC8EDB9}"/>
    <hyperlink ref="B416" r:id="rId265" location="ce_ee_table1a.f.1" tooltip="Click to jump to footnotes at bottom of the table" display="https://www.bls.gov/ces/data/employment-and-earnings/2024/table1a_202411.htm - ce_ee_table1a.f.1" xr:uid="{61379142-BE5D-4D1A-A124-89A63361A8F2}"/>
    <hyperlink ref="B419" r:id="rId266" location="ce_ee_table1a.f.1" tooltip="Click to jump to footnotes at bottom of the table" display="https://www.bls.gov/ces/data/employment-and-earnings/2024/table1a_202411.htm - ce_ee_table1a.f.1" xr:uid="{5452487B-ACFA-4A43-BF39-13770108993F}"/>
    <hyperlink ref="B420" r:id="rId267" location="ce_ee_table1a.f.1" tooltip="Click to jump to footnotes at bottom of the table" display="https://www.bls.gov/ces/data/employment-and-earnings/2024/table1a_202411.htm - ce_ee_table1a.f.1" xr:uid="{5CA0204A-171E-4FC1-ADE4-AC31C6792E58}"/>
    <hyperlink ref="B421" r:id="rId268" location="ce_ee_table1a.f.1" tooltip="Click to jump to footnotes at bottom of the table" display="https://www.bls.gov/ces/data/employment-and-earnings/2024/table1a_202411.htm - ce_ee_table1a.f.1" xr:uid="{0708B850-381E-4F09-B8E7-8D8EAB1747CB}"/>
    <hyperlink ref="B422" r:id="rId269" location="ce_ee_table1a.f.1" tooltip="Click to jump to footnotes at bottom of the table" display="https://www.bls.gov/ces/data/employment-and-earnings/2024/table1a_202411.htm - ce_ee_table1a.f.1" xr:uid="{7BDE9763-3AD3-48DB-AB2C-523488995F2C}"/>
    <hyperlink ref="B427" r:id="rId270" location="ce_ee_table1a.f.1" tooltip="Click to jump to footnotes at bottom of the table" display="https://www.bls.gov/ces/data/employment-and-earnings/2024/table1a_202411.htm - ce_ee_table1a.f.1" xr:uid="{12E507DC-FCCD-46D9-83B4-897E1ABD6474}"/>
    <hyperlink ref="B428" r:id="rId271" location="ce_ee_table1a.f.1" tooltip="Click to jump to footnotes at bottom of the table" display="https://www.bls.gov/ces/data/employment-and-earnings/2024/table1a_202411.htm - ce_ee_table1a.f.1" xr:uid="{0ECEA90D-BA16-4E7A-8119-4C0DB80F1F11}"/>
    <hyperlink ref="B430" r:id="rId272" location="ce_ee_table1a.f.1" tooltip="Click to jump to footnotes at bottom of the table" display="https://www.bls.gov/ces/data/employment-and-earnings/2024/table1a_202411.htm - ce_ee_table1a.f.1" xr:uid="{88973076-06F1-48AA-ADDB-18E5F0CE00F4}"/>
    <hyperlink ref="B431" r:id="rId273" location="ce_ee_table1a.f.1" tooltip="Click to jump to footnotes at bottom of the table" display="https://www.bls.gov/ces/data/employment-and-earnings/2024/table1a_202411.htm - ce_ee_table1a.f.1" xr:uid="{CBBA7270-0561-4C42-A47B-C29D6658CE6A}"/>
    <hyperlink ref="B432" r:id="rId274" location="ce_ee_table1a.f.1" tooltip="Click to jump to footnotes at bottom of the table" display="https://www.bls.gov/ces/data/employment-and-earnings/2024/table1a_202411.htm - ce_ee_table1a.f.1" xr:uid="{72DB8BE2-B14F-4E29-A182-1EC3B4E1F872}"/>
    <hyperlink ref="B433" r:id="rId275" location="ce_ee_table1a.f.1" tooltip="Click to jump to footnotes at bottom of the table" display="https://www.bls.gov/ces/data/employment-and-earnings/2024/table1a_202411.htm - ce_ee_table1a.f.1" xr:uid="{52A22A5F-8414-439C-B50D-453402A0BE33}"/>
    <hyperlink ref="B434" r:id="rId276" location="ce_ee_table1a.f.1" tooltip="Click to jump to footnotes at bottom of the table" display="https://www.bls.gov/ces/data/employment-and-earnings/2024/table1a_202411.htm - ce_ee_table1a.f.1" xr:uid="{2C287C5C-FDA6-4BA6-9C21-52006086805D}"/>
    <hyperlink ref="B435" r:id="rId277" location="ce_ee_table1a.f.1" tooltip="Click to jump to footnotes at bottom of the table" display="https://www.bls.gov/ces/data/employment-and-earnings/2024/table1a_202411.htm - ce_ee_table1a.f.1" xr:uid="{F0FBDF60-1E84-4522-ACB8-2111D4D6EFE9}"/>
    <hyperlink ref="B437" r:id="rId278" location="ce_ee_table1a.f.1" tooltip="Click to jump to footnotes at bottom of the table" display="https://www.bls.gov/ces/data/employment-and-earnings/2024/table1a_202411.htm - ce_ee_table1a.f.1" xr:uid="{E460BD70-6CAE-4187-AC1B-DF660B497E0E}"/>
    <hyperlink ref="B438" r:id="rId279" location="ce_ee_table1a.f.1" tooltip="Click to jump to footnotes at bottom of the table" display="https://www.bls.gov/ces/data/employment-and-earnings/2024/table1a_202411.htm - ce_ee_table1a.f.1" xr:uid="{70319CA3-0A22-4EE6-A7F1-56B0B7AEA050}"/>
    <hyperlink ref="B439" r:id="rId280" location="ce_ee_table1a.f.1" tooltip="Click to jump to footnotes at bottom of the table" display="https://www.bls.gov/ces/data/employment-and-earnings/2024/table1a_202411.htm - ce_ee_table1a.f.1" xr:uid="{175FFE14-9BDB-480A-B5FE-5701F59D78DF}"/>
    <hyperlink ref="B440" r:id="rId281" location="ce_ee_table1a.f.1" tooltip="Click to jump to footnotes at bottom of the table" display="https://www.bls.gov/ces/data/employment-and-earnings/2024/table1a_202411.htm - ce_ee_table1a.f.1" xr:uid="{3B7701C0-6904-4EEA-BA3C-41E3E768A413}"/>
    <hyperlink ref="B442" r:id="rId282" location="ce_ee_table1a.f.1" tooltip="Click to jump to footnotes at bottom of the table" display="https://www.bls.gov/ces/data/employment-and-earnings/2024/table1a_202411.htm - ce_ee_table1a.f.1" xr:uid="{57DAF69B-ACC4-440C-B9ED-A919C6CB99D9}"/>
    <hyperlink ref="B443" r:id="rId283" location="ce_ee_table1a.f.1" tooltip="Click to jump to footnotes at bottom of the table" display="https://www.bls.gov/ces/data/employment-and-earnings/2024/table1a_202411.htm - ce_ee_table1a.f.1" xr:uid="{93585637-5FDD-41A0-BF8B-C800E26F1238}"/>
    <hyperlink ref="B444" r:id="rId284" location="ce_ee_table1a.f.1" tooltip="Click to jump to footnotes at bottom of the table" display="https://www.bls.gov/ces/data/employment-and-earnings/2024/table1a_202411.htm - ce_ee_table1a.f.1" xr:uid="{DB0F0A91-31AF-41A1-88F0-DB9094C97B31}"/>
    <hyperlink ref="B446" r:id="rId285" location="ce_ee_table1a.f.1" tooltip="Click to jump to footnotes at bottom of the table" display="https://www.bls.gov/ces/data/employment-and-earnings/2024/table1a_202411.htm - ce_ee_table1a.f.1" xr:uid="{E32BECF7-4C5A-439E-B2C6-856C3CFE5E05}"/>
    <hyperlink ref="B447" r:id="rId286" location="ce_ee_table1a.f.1" tooltip="Click to jump to footnotes at bottom of the table" display="https://www.bls.gov/ces/data/employment-and-earnings/2024/table1a_202411.htm - ce_ee_table1a.f.1" xr:uid="{3A12851A-91BD-4763-B07E-60F3198F59C9}"/>
    <hyperlink ref="B448" r:id="rId287" location="ce_ee_table1a.f.1" tooltip="Click to jump to footnotes at bottom of the table" display="https://www.bls.gov/ces/data/employment-and-earnings/2024/table1a_202411.htm - ce_ee_table1a.f.1" xr:uid="{4D345804-3BF1-409F-AED2-58C492BD405A}"/>
    <hyperlink ref="B449" r:id="rId288" location="ce_ee_table1a.f.1" tooltip="Click to jump to footnotes at bottom of the table" display="https://www.bls.gov/ces/data/employment-and-earnings/2024/table1a_202411.htm - ce_ee_table1a.f.1" xr:uid="{F697B95E-62D0-4CCF-85DF-2016656D710E}"/>
    <hyperlink ref="B450" r:id="rId289" location="ce_ee_table1a.f.1" tooltip="Click to jump to footnotes at bottom of the table" display="https://www.bls.gov/ces/data/employment-and-earnings/2024/table1a_202411.htm - ce_ee_table1a.f.1" xr:uid="{35272764-2BBC-4998-BEE7-7757611F0A10}"/>
    <hyperlink ref="B451" r:id="rId290" location="ce_ee_table1a.f.1" tooltip="Click to jump to footnotes at bottom of the table" display="https://www.bls.gov/ces/data/employment-and-earnings/2024/table1a_202411.htm - ce_ee_table1a.f.1" xr:uid="{0D8C27DF-8BF0-4FF8-A03C-E68275F84C9B}"/>
    <hyperlink ref="B452" r:id="rId291" location="ce_ee_table1a.f.1" tooltip="Click to jump to footnotes at bottom of the table" display="https://www.bls.gov/ces/data/employment-and-earnings/2024/table1a_202411.htm - ce_ee_table1a.f.1" xr:uid="{F0AD9F67-0D18-48DE-BCDC-22C84E60F7AB}"/>
    <hyperlink ref="B453" r:id="rId292" location="ce_ee_table1a.f.1" tooltip="Click to jump to footnotes at bottom of the table" display="https://www.bls.gov/ces/data/employment-and-earnings/2024/table1a_202411.htm - ce_ee_table1a.f.1" xr:uid="{90E9607E-D1E9-42B3-B49A-86F3FF50442D}"/>
    <hyperlink ref="B454" r:id="rId293" location="ce_ee_table1a.f.1" tooltip="Click to jump to footnotes at bottom of the table" display="https://www.bls.gov/ces/data/employment-and-earnings/2024/table1a_202411.htm - ce_ee_table1a.f.1" xr:uid="{5BB3B356-67EF-445E-B90E-68EEBDE5178C}"/>
    <hyperlink ref="B455" r:id="rId294" location="ce_ee_table1a.f.1" tooltip="Click to jump to footnotes at bottom of the table" display="https://www.bls.gov/ces/data/employment-and-earnings/2024/table1a_202411.htm - ce_ee_table1a.f.1" xr:uid="{19D77FFB-FC0D-4141-BB64-3FF4B7C9A215}"/>
    <hyperlink ref="B456" r:id="rId295" location="ce_ee_table1a.f.1" tooltip="Click to jump to footnotes at bottom of the table" display="https://www.bls.gov/ces/data/employment-and-earnings/2024/table1a_202411.htm - ce_ee_table1a.f.1" xr:uid="{1B5E7658-EA6B-4F77-9EE1-FAF7976450B4}"/>
    <hyperlink ref="B457" r:id="rId296" location="ce_ee_table1a.f.1" tooltip="Click to jump to footnotes at bottom of the table" display="https://www.bls.gov/ces/data/employment-and-earnings/2024/table1a_202411.htm - ce_ee_table1a.f.1" xr:uid="{C96BFCBF-FE9B-4DEF-876B-13539B90D46D}"/>
    <hyperlink ref="B458" r:id="rId297" location="ce_ee_table1a.f.1" tooltip="Click to jump to footnotes at bottom of the table" display="https://www.bls.gov/ces/data/employment-and-earnings/2024/table1a_202411.htm - ce_ee_table1a.f.1" xr:uid="{30C59A0B-4806-41C9-8490-E1E0F8980AED}"/>
    <hyperlink ref="B459" r:id="rId298" location="ce_ee_table1a.f.1" tooltip="Click to jump to footnotes at bottom of the table" display="https://www.bls.gov/ces/data/employment-and-earnings/2024/table1a_202411.htm - ce_ee_table1a.f.1" xr:uid="{57B9B642-354A-4AF7-BBD9-E946D7F1D0AF}"/>
    <hyperlink ref="B460" r:id="rId299" location="ce_ee_table1a.f.1" tooltip="Click to jump to footnotes at bottom of the table" display="https://www.bls.gov/ces/data/employment-and-earnings/2024/table1a_202411.htm - ce_ee_table1a.f.1" xr:uid="{F89100E5-3C1B-4438-A6C9-250EE09E1AE3}"/>
    <hyperlink ref="B461" r:id="rId300" location="ce_ee_table1a.f.1" tooltip="Click to jump to footnotes at bottom of the table" display="https://www.bls.gov/ces/data/employment-and-earnings/2024/table1a_202411.htm - ce_ee_table1a.f.1" xr:uid="{16AD7A7A-2C36-4111-A823-AE928782257B}"/>
    <hyperlink ref="B465" r:id="rId301" location="ce_ee_table1a.f.1" tooltip="Click to jump to footnotes at bottom of the table" display="https://www.bls.gov/ces/data/employment-and-earnings/2024/table1a_202411.htm - ce_ee_table1a.f.1" xr:uid="{5F9D1676-B19E-478E-9236-51A61ED78027}"/>
    <hyperlink ref="B466" r:id="rId302" location="ce_ee_table1a.f.1" tooltip="Click to jump to footnotes at bottom of the table" display="https://www.bls.gov/ces/data/employment-and-earnings/2024/table1a_202411.htm - ce_ee_table1a.f.1" xr:uid="{5FF2980F-C359-4EB6-B7EB-39F65F897BFC}"/>
    <hyperlink ref="B470" r:id="rId303" location="ce_ee_table1a.f.1" tooltip="Click to jump to footnotes at bottom of the table" display="https://www.bls.gov/ces/data/employment-and-earnings/2024/table1a_202411.htm - ce_ee_table1a.f.1" xr:uid="{67E0A061-0702-4C43-B7DE-4AE05DBAF0F0}"/>
    <hyperlink ref="B471" r:id="rId304" location="ce_ee_table1a.f.1" tooltip="Click to jump to footnotes at bottom of the table" display="https://www.bls.gov/ces/data/employment-and-earnings/2024/table1a_202411.htm - ce_ee_table1a.f.1" xr:uid="{EE1391DD-B7FF-435E-9460-FD7B47623089}"/>
    <hyperlink ref="B472" r:id="rId305" location="ce_ee_table1a.f.1" tooltip="Click to jump to footnotes at bottom of the table" display="https://www.bls.gov/ces/data/employment-and-earnings/2024/table1a_202411.htm - ce_ee_table1a.f.1" xr:uid="{61D1CE45-1B05-4A03-B58E-A4542EAF1AB4}"/>
    <hyperlink ref="B473" r:id="rId306" location="ce_ee_table1a.f.1" tooltip="Click to jump to footnotes at bottom of the table" display="https://www.bls.gov/ces/data/employment-and-earnings/2024/table1a_202411.htm - ce_ee_table1a.f.1" xr:uid="{53069530-4CAB-4B21-9D91-01BFD3360F1D}"/>
    <hyperlink ref="B474" r:id="rId307" location="ce_ee_table1a.f.1" tooltip="Click to jump to footnotes at bottom of the table" display="https://www.bls.gov/ces/data/employment-and-earnings/2024/table1a_202411.htm - ce_ee_table1a.f.1" xr:uid="{A716A87E-203F-4355-A1A4-0F704F3EA5EF}"/>
    <hyperlink ref="B475" r:id="rId308" location="ce_ee_table1a.f.1" tooltip="Click to jump to footnotes at bottom of the table" display="https://www.bls.gov/ces/data/employment-and-earnings/2024/table1a_202411.htm - ce_ee_table1a.f.1" xr:uid="{C1E9E04B-81BA-45F0-A5C7-C85E9B2A0891}"/>
    <hyperlink ref="B476" r:id="rId309" location="ce_ee_table1a.f.1" tooltip="Click to jump to footnotes at bottom of the table" display="https://www.bls.gov/ces/data/employment-and-earnings/2024/table1a_202411.htm - ce_ee_table1a.f.1" xr:uid="{79C10668-BC11-48A3-B115-0453B76F860F}"/>
    <hyperlink ref="B477" r:id="rId310" location="ce_ee_table1a.f.1" tooltip="Click to jump to footnotes at bottom of the table" display="https://www.bls.gov/ces/data/employment-and-earnings/2024/table1a_202411.htm - ce_ee_table1a.f.1" xr:uid="{3C14DD27-F414-4A82-B153-22E7FEDE0DAF}"/>
    <hyperlink ref="B478" r:id="rId311" location="ce_ee_table1a.f.1" tooltip="Click to jump to footnotes at bottom of the table" display="https://www.bls.gov/ces/data/employment-and-earnings/2024/table1a_202411.htm - ce_ee_table1a.f.1" xr:uid="{991A31C5-2FB9-4E66-BB09-791BB1A7184A}"/>
    <hyperlink ref="B480" r:id="rId312" location="ce_ee_table1a.f.1" tooltip="Click to jump to footnotes at bottom of the table" display="https://www.bls.gov/ces/data/employment-and-earnings/2024/table1a_202411.htm - ce_ee_table1a.f.1" xr:uid="{454A57CD-527E-4FFC-91A2-907A0337AD60}"/>
    <hyperlink ref="B481" r:id="rId313" location="ce_ee_table1a.f.1" tooltip="Click to jump to footnotes at bottom of the table" display="https://www.bls.gov/ces/data/employment-and-earnings/2024/table1a_202411.htm - ce_ee_table1a.f.1" xr:uid="{99CEDA9E-6349-424C-9322-27B34035A2D0}"/>
    <hyperlink ref="B482" r:id="rId314" location="ce_ee_table1a.f.1" tooltip="Click to jump to footnotes at bottom of the table" display="https://www.bls.gov/ces/data/employment-and-earnings/2024/table1a_202411.htm - ce_ee_table1a.f.1" xr:uid="{0870C6D1-C5B0-4B51-883C-2A5EAB319B0D}"/>
    <hyperlink ref="B483" r:id="rId315" location="ce_ee_table1a.f.1" tooltip="Click to jump to footnotes at bottom of the table" display="https://www.bls.gov/ces/data/employment-and-earnings/2024/table1a_202411.htm - ce_ee_table1a.f.1" xr:uid="{C6B95F34-E5CD-45BA-941D-077E794FC03D}"/>
    <hyperlink ref="B487" r:id="rId316" location="ce_ee_table1a.f.1" tooltip="Click to jump to footnotes at bottom of the table" display="https://www.bls.gov/ces/data/employment-and-earnings/2024/table1a_202411.htm - ce_ee_table1a.f.1" xr:uid="{4950E6F7-C16B-4031-9BC9-667F9D28A92B}"/>
    <hyperlink ref="B488" r:id="rId317" location="ce_ee_table1a.f.1" tooltip="Click to jump to footnotes at bottom of the table" display="https://www.bls.gov/ces/data/employment-and-earnings/2024/table1a_202411.htm - ce_ee_table1a.f.1" xr:uid="{6B595000-154F-4DEB-96A0-1B5DD595F575}"/>
    <hyperlink ref="B489" r:id="rId318" location="ce_ee_table1a.f.1" tooltip="Click to jump to footnotes at bottom of the table" display="https://www.bls.gov/ces/data/employment-and-earnings/2024/table1a_202411.htm - ce_ee_table1a.f.1" xr:uid="{C164A841-8D34-4B6D-A4EC-216A8CC25239}"/>
    <hyperlink ref="B490" r:id="rId319" location="ce_ee_table1a.f.1" tooltip="Click to jump to footnotes at bottom of the table" display="https://www.bls.gov/ces/data/employment-and-earnings/2024/table1a_202411.htm - ce_ee_table1a.f.1" xr:uid="{538D464B-F5B5-4867-88D7-3CE7E7831C2B}"/>
    <hyperlink ref="B491" r:id="rId320" location="ce_ee_table1a.f.1" tooltip="Click to jump to footnotes at bottom of the table" display="https://www.bls.gov/ces/data/employment-and-earnings/2024/table1a_202411.htm - ce_ee_table1a.f.1" xr:uid="{632FBEE4-3ACE-46C7-803B-58327C065AD1}"/>
    <hyperlink ref="B492" r:id="rId321" location="ce_ee_table1a.f.1" tooltip="Click to jump to footnotes at bottom of the table" display="https://www.bls.gov/ces/data/employment-and-earnings/2024/table1a_202411.htm - ce_ee_table1a.f.1" xr:uid="{B419F632-92C8-46F3-92E9-F6BCEAAB41FE}"/>
    <hyperlink ref="B494" r:id="rId322" location="ce_ee_table1a.f.1" tooltip="Click to jump to footnotes at bottom of the table" display="https://www.bls.gov/ces/data/employment-and-earnings/2024/table1a_202411.htm - ce_ee_table1a.f.1" xr:uid="{82DB8479-5EDF-460D-8691-41CFCFB61A79}"/>
    <hyperlink ref="B495" r:id="rId323" location="ce_ee_table1a.f.1" tooltip="Click to jump to footnotes at bottom of the table" display="https://www.bls.gov/ces/data/employment-and-earnings/2024/table1a_202411.htm - ce_ee_table1a.f.1" xr:uid="{86EC1691-F85B-410B-9952-CFC903BD9F21}"/>
    <hyperlink ref="B497" r:id="rId324" location="ce_ee_table1a.f.1" tooltip="Click to jump to footnotes at bottom of the table" display="https://www.bls.gov/ces/data/employment-and-earnings/2024/table1a_202411.htm - ce_ee_table1a.f.1" xr:uid="{C5F3B042-3EBD-450F-A85D-AABDFB184BCF}"/>
    <hyperlink ref="B498" r:id="rId325" location="ce_ee_table1a.f.1" tooltip="Click to jump to footnotes at bottom of the table" display="https://www.bls.gov/ces/data/employment-and-earnings/2024/table1a_202411.htm - ce_ee_table1a.f.1" xr:uid="{F41F52C6-EF39-4E79-A3CE-28033D808A4E}"/>
    <hyperlink ref="B499" r:id="rId326" location="ce_ee_table1a.f.1" tooltip="Click to jump to footnotes at bottom of the table" display="https://www.bls.gov/ces/data/employment-and-earnings/2024/table1a_202411.htm - ce_ee_table1a.f.1" xr:uid="{C5FA7791-3C06-42DA-9ACE-616730104913}"/>
    <hyperlink ref="B502" r:id="rId327" location="ce_ee_table1a.f.1" tooltip="Click to jump to footnotes at bottom of the table" display="https://www.bls.gov/ces/data/employment-and-earnings/2024/table1a_202411.htm - ce_ee_table1a.f.1" xr:uid="{08B3A566-6DB3-47BE-8276-CB558DD9EF00}"/>
    <hyperlink ref="B503" r:id="rId328" location="ce_ee_table1a.f.1" tooltip="Click to jump to footnotes at bottom of the table" display="https://www.bls.gov/ces/data/employment-and-earnings/2024/table1a_202411.htm - ce_ee_table1a.f.1" xr:uid="{A5BA6C70-5905-42E1-9BFB-E7F3709BF371}"/>
    <hyperlink ref="B504" r:id="rId329" location="ce_ee_table1a.f.1" tooltip="Click to jump to footnotes at bottom of the table" display="https://www.bls.gov/ces/data/employment-and-earnings/2024/table1a_202411.htm - ce_ee_table1a.f.1" xr:uid="{6ACE3F29-49ED-4677-9A6F-BAD37BD73036}"/>
    <hyperlink ref="B505" r:id="rId330" location="ce_ee_table1a.f.1" tooltip="Click to jump to footnotes at bottom of the table" display="https://www.bls.gov/ces/data/employment-and-earnings/2024/table1a_202411.htm - ce_ee_table1a.f.1" xr:uid="{581D405A-0BC1-422C-9019-6C110FCC9D39}"/>
    <hyperlink ref="B506" r:id="rId331" location="ce_ee_table1a.f.1" tooltip="Click to jump to footnotes at bottom of the table" display="https://www.bls.gov/ces/data/employment-and-earnings/2024/table1a_202411.htm - ce_ee_table1a.f.1" xr:uid="{7C96A913-AFB7-4BBC-BDC8-DF50694FE3B1}"/>
    <hyperlink ref="B507" r:id="rId332" location="ce_ee_table1a.f.1" tooltip="Click to jump to footnotes at bottom of the table" display="https://www.bls.gov/ces/data/employment-and-earnings/2024/table1a_202411.htm - ce_ee_table1a.f.1" xr:uid="{A36C4001-EE00-4505-87F3-098E62DF96C6}"/>
    <hyperlink ref="B508" r:id="rId333" location="ce_ee_table1a.f.1" tooltip="Click to jump to footnotes at bottom of the table" display="https://www.bls.gov/ces/data/employment-and-earnings/2024/table1a_202411.htm - ce_ee_table1a.f.1" xr:uid="{AC6EE46C-5DD6-44A5-884C-55B3B08F9106}"/>
    <hyperlink ref="B509" r:id="rId334" location="ce_ee_table1a.f.1" tooltip="Click to jump to footnotes at bottom of the table" display="https://www.bls.gov/ces/data/employment-and-earnings/2024/table1a_202411.htm - ce_ee_table1a.f.1" xr:uid="{28CC7D51-BBA0-4126-9561-22ADD36FD159}"/>
    <hyperlink ref="B510" r:id="rId335" location="ce_ee_table1a.f.1" tooltip="Click to jump to footnotes at bottom of the table" display="https://www.bls.gov/ces/data/employment-and-earnings/2024/table1a_202411.htm - ce_ee_table1a.f.1" xr:uid="{A7B01BD6-2BE4-4574-A029-30E9EF6701ED}"/>
    <hyperlink ref="B514" r:id="rId336" location="ce_ee_table1a.f.1" tooltip="Click to jump to footnotes at bottom of the table" display="https://www.bls.gov/ces/data/employment-and-earnings/2024/table1a_202411.htm - ce_ee_table1a.f.1" xr:uid="{7CBF8FC8-C6FD-4678-BCB8-8338DB2C3DD7}"/>
    <hyperlink ref="B515" r:id="rId337" location="ce_ee_table1a.f.1" tooltip="Click to jump to footnotes at bottom of the table" display="https://www.bls.gov/ces/data/employment-and-earnings/2024/table1a_202411.htm - ce_ee_table1a.f.1" xr:uid="{03219BE0-0704-4479-A91E-95FA39B83317}"/>
    <hyperlink ref="B517" r:id="rId338" location="ce_ee_table1a.f.1" tooltip="Click to jump to footnotes at bottom of the table" display="https://www.bls.gov/ces/data/employment-and-earnings/2024/table1a_202411.htm - ce_ee_table1a.f.1" xr:uid="{BF952B70-5E1A-46FE-BADF-BC3D7120D1A6}"/>
    <hyperlink ref="B518" r:id="rId339" location="ce_ee_table1a.f.1" tooltip="Click to jump to footnotes at bottom of the table" display="https://www.bls.gov/ces/data/employment-and-earnings/2024/table1a_202411.htm - ce_ee_table1a.f.1" xr:uid="{4CAA3289-0974-4AC7-A656-53B119DC02BC}"/>
    <hyperlink ref="B519" r:id="rId340" location="ce_ee_table1a.f.1" tooltip="Click to jump to footnotes at bottom of the table" display="https://www.bls.gov/ces/data/employment-and-earnings/2024/table1a_202411.htm - ce_ee_table1a.f.1" xr:uid="{7A304800-8F58-4961-A30F-4C618D28B5C8}"/>
    <hyperlink ref="B520" r:id="rId341" location="ce_ee_table1a.f.1" tooltip="Click to jump to footnotes at bottom of the table" display="https://www.bls.gov/ces/data/employment-and-earnings/2024/table1a_202411.htm - ce_ee_table1a.f.1" xr:uid="{E712CE6D-9712-4D8A-A837-6BB87D039DB9}"/>
    <hyperlink ref="B521" r:id="rId342" location="ce_ee_table1a.f.1" tooltip="Click to jump to footnotes at bottom of the table" display="https://www.bls.gov/ces/data/employment-and-earnings/2024/table1a_202411.htm - ce_ee_table1a.f.1" xr:uid="{92DFD773-6D9C-45F5-B1E2-16388656D6BE}"/>
    <hyperlink ref="B522" r:id="rId343" location="ce_ee_table1a.f.1" tooltip="Click to jump to footnotes at bottom of the table" display="https://www.bls.gov/ces/data/employment-and-earnings/2024/table1a_202411.htm - ce_ee_table1a.f.1" xr:uid="{5D50E591-E86B-424F-808E-9FE04056FEA8}"/>
    <hyperlink ref="B524" r:id="rId344" location="ce_ee_table1a.f.1" tooltip="Click to jump to footnotes at bottom of the table" display="https://www.bls.gov/ces/data/employment-and-earnings/2024/table1a_202411.htm - ce_ee_table1a.f.1" xr:uid="{45E4B3BB-2D8B-4EFC-87A3-B46766DDD3DF}"/>
    <hyperlink ref="B525" r:id="rId345" location="ce_ee_table1a.f.1" tooltip="Click to jump to footnotes at bottom of the table" display="https://www.bls.gov/ces/data/employment-and-earnings/2024/table1a_202411.htm - ce_ee_table1a.f.1" xr:uid="{39676D7C-4C28-4379-8CEA-4302D8EAC3BE}"/>
    <hyperlink ref="B526" r:id="rId346" location="ce_ee_table1a.f.1" tooltip="Click to jump to footnotes at bottom of the table" display="https://www.bls.gov/ces/data/employment-and-earnings/2024/table1a_202411.htm - ce_ee_table1a.f.1" xr:uid="{DD6D3B80-96A6-43CA-997B-640231C0A5DB}"/>
    <hyperlink ref="B527" r:id="rId347" location="ce_ee_table1a.f.1" tooltip="Click to jump to footnotes at bottom of the table" display="https://www.bls.gov/ces/data/employment-and-earnings/2024/table1a_202411.htm - ce_ee_table1a.f.1" xr:uid="{0000CB4A-FEFB-4515-A29C-34BC10BA9DBA}"/>
    <hyperlink ref="B529" r:id="rId348" location="ce_ee_table1a.f.1" tooltip="Click to jump to footnotes at bottom of the table" display="https://www.bls.gov/ces/data/employment-and-earnings/2024/table1a_202411.htm - ce_ee_table1a.f.1" xr:uid="{D166125B-BC8E-4087-92E6-CA86981E5828}"/>
    <hyperlink ref="B530" r:id="rId349" location="ce_ee_table1a.f.1" tooltip="Click to jump to footnotes at bottom of the table" display="https://www.bls.gov/ces/data/employment-and-earnings/2024/table1a_202411.htm - ce_ee_table1a.f.1" xr:uid="{132D0642-B601-4DC3-AB26-493E695A6BC3}"/>
    <hyperlink ref="B531" r:id="rId350" location="ce_ee_table1a.f.1" tooltip="Click to jump to footnotes at bottom of the table" display="https://www.bls.gov/ces/data/employment-and-earnings/2024/table1a_202411.htm - ce_ee_table1a.f.1" xr:uid="{93519CAA-28CE-486D-973C-89B9C7431F81}"/>
    <hyperlink ref="B532" r:id="rId351" location="ce_ee_table1a.f.1" tooltip="Click to jump to footnotes at bottom of the table" display="https://www.bls.gov/ces/data/employment-and-earnings/2024/table1a_202411.htm - ce_ee_table1a.f.1" xr:uid="{9C280A59-B032-4976-958C-437503BE02D1}"/>
    <hyperlink ref="B533" r:id="rId352" location="ce_ee_table1a.f.1" tooltip="Click to jump to footnotes at bottom of the table" display="https://www.bls.gov/ces/data/employment-and-earnings/2024/table1a_202411.htm - ce_ee_table1a.f.1" xr:uid="{BE136FA3-DEDA-4750-8B65-655E7CF8BD1A}"/>
    <hyperlink ref="B534" r:id="rId353" location="ce_ee_table1a.f.1" tooltip="Click to jump to footnotes at bottom of the table" display="https://www.bls.gov/ces/data/employment-and-earnings/2024/table1a_202411.htm - ce_ee_table1a.f.1" xr:uid="{0BED78E8-9A56-47AB-9E68-28FB27765100}"/>
    <hyperlink ref="B537" r:id="rId354" location="ce_ee_table1a.f.1" tooltip="Click to jump to footnotes at bottom of the table" display="https://www.bls.gov/ces/data/employment-and-earnings/2024/table1a_202411.htm - ce_ee_table1a.f.1" xr:uid="{918FA6A2-8145-452D-A454-1606393A6D04}"/>
    <hyperlink ref="B538" r:id="rId355" location="ce_ee_table1a.f.1" tooltip="Click to jump to footnotes at bottom of the table" display="https://www.bls.gov/ces/data/employment-and-earnings/2024/table1a_202411.htm - ce_ee_table1a.f.1" xr:uid="{3738EBAC-7E3B-4976-918B-E74C0100FAA5}"/>
    <hyperlink ref="B540" r:id="rId356" location="ce_ee_table1a.f.3" tooltip="Click to jump to footnotes at bottom of the table" display="https://www.bls.gov/ces/data/employment-and-earnings/2024/table1a_202411.htm - ce_ee_table1a.f.3" xr:uid="{996BD700-9B23-49DD-B955-2DED0523A5BD}"/>
    <hyperlink ref="B545" r:id="rId357" location="ce_ee_table1a.f.1" tooltip="Click to jump to footnotes at bottom of the table" display="https://www.bls.gov/ces/data/employment-and-earnings/2024/table1a_202411.htm - ce_ee_table1a.f.1" xr:uid="{BB564DEF-98A6-4638-B1EE-2F1AFBBBF3CA}"/>
    <hyperlink ref="B546" r:id="rId358" location="ce_ee_table1a.f.1" tooltip="Click to jump to footnotes at bottom of the table" display="https://www.bls.gov/ces/data/employment-and-earnings/2024/table1a_202411.htm - ce_ee_table1a.f.1" xr:uid="{80BEA0BD-E48E-4487-85FD-D1B2F988E62D}"/>
    <hyperlink ref="B547" r:id="rId359" location="ce_ee_table1a.f.1" tooltip="Click to jump to footnotes at bottom of the table" display="https://www.bls.gov/ces/data/employment-and-earnings/2024/table1a_202411.htm - ce_ee_table1a.f.1" xr:uid="{DCB5F29A-E53D-41FE-838E-0D9F9760B9AA}"/>
    <hyperlink ref="B549" r:id="rId360" location="ce_ee_table1a.f.1" tooltip="Click to jump to footnotes at bottom of the table" display="https://www.bls.gov/ces/data/employment-and-earnings/2024/table1a_202411.htm - ce_ee_table1a.f.1" xr:uid="{375CD362-EDB7-4C02-B4D4-FAF8D0209BA0}"/>
    <hyperlink ref="B550" r:id="rId361" location="ce_ee_table1a.f.1" tooltip="Click to jump to footnotes at bottom of the table" display="https://www.bls.gov/ces/data/employment-and-earnings/2024/table1a_202411.htm - ce_ee_table1a.f.1" xr:uid="{4A1B9D45-DF46-40F8-A58F-0F5AC0C61687}"/>
    <hyperlink ref="B551" r:id="rId362" location="ce_ee_table1a.f.1" tooltip="Click to jump to footnotes at bottom of the table" display="https://www.bls.gov/ces/data/employment-and-earnings/2024/table1a_202411.htm - ce_ee_table1a.f.1" xr:uid="{B6C7FDA0-0F23-4152-A143-B2DBDF0420D3}"/>
    <hyperlink ref="B552" r:id="rId363" location="ce_ee_table1a.f.1" tooltip="Click to jump to footnotes at bottom of the table" display="https://www.bls.gov/ces/data/employment-and-earnings/2024/table1a_202411.htm - ce_ee_table1a.f.1" xr:uid="{8B4B7607-259E-4163-9776-18224CABACB4}"/>
    <hyperlink ref="B553" r:id="rId364" location="ce_ee_table1a.f.1" tooltip="Click to jump to footnotes at bottom of the table" display="https://www.bls.gov/ces/data/employment-and-earnings/2024/table1a_202411.htm - ce_ee_table1a.f.1" xr:uid="{A238DCDD-2409-4EE2-B633-F7E84C0F3D47}"/>
    <hyperlink ref="B554" r:id="rId365" location="ce_ee_table1a.f.1" tooltip="Click to jump to footnotes at bottom of the table" display="https://www.bls.gov/ces/data/employment-and-earnings/2024/table1a_202411.htm - ce_ee_table1a.f.1" xr:uid="{3A4FF7D6-1292-4F17-ACDB-60926E759A86}"/>
    <hyperlink ref="B556" r:id="rId366" location="ce_ee_table1a.f.1" tooltip="Click to jump to footnotes at bottom of the table" display="https://www.bls.gov/ces/data/employment-and-earnings/2024/table1a_202411.htm - ce_ee_table1a.f.1" xr:uid="{512AA9A0-78DB-4C14-8588-A33AD434C1FF}"/>
    <hyperlink ref="B557" r:id="rId367" location="ce_ee_table1a.f.1" tooltip="Click to jump to footnotes at bottom of the table" display="https://www.bls.gov/ces/data/employment-and-earnings/2024/table1a_202411.htm - ce_ee_table1a.f.1" xr:uid="{4121B2CC-6340-4936-98A9-904D3D12FB9E}"/>
    <hyperlink ref="B558" r:id="rId368" location="ce_ee_table1a.f.1" tooltip="Click to jump to footnotes at bottom of the table" display="https://www.bls.gov/ces/data/employment-and-earnings/2024/table1a_202411.htm - ce_ee_table1a.f.1" xr:uid="{50FF52AE-C2F7-4B32-883C-83C7D75CA824}"/>
    <hyperlink ref="B560" r:id="rId369" location="ce_ee_table1a.f.1" tooltip="Click to jump to footnotes at bottom of the table" display="https://www.bls.gov/ces/data/employment-and-earnings/2024/table1a_202411.htm - ce_ee_table1a.f.1" xr:uid="{FCCD2CAC-5BAE-4797-AEB9-5F03DE2F79DB}"/>
    <hyperlink ref="B561" r:id="rId370" location="ce_ee_table1a.f.1" tooltip="Click to jump to footnotes at bottom of the table" display="https://www.bls.gov/ces/data/employment-and-earnings/2024/table1a_202411.htm - ce_ee_table1a.f.1" xr:uid="{2C9F7B37-1852-4539-978E-33A6151759FF}"/>
    <hyperlink ref="B562" r:id="rId371" location="ce_ee_table1a.f.1" tooltip="Click to jump to footnotes at bottom of the table" display="https://www.bls.gov/ces/data/employment-and-earnings/2024/table1a_202411.htm - ce_ee_table1a.f.1" xr:uid="{60784251-68D7-4889-B340-AC2D0DD03D97}"/>
    <hyperlink ref="B563" r:id="rId372" location="ce_ee_table1a.f.1" tooltip="Click to jump to footnotes at bottom of the table" display="https://www.bls.gov/ces/data/employment-and-earnings/2024/table1a_202411.htm - ce_ee_table1a.f.1" xr:uid="{BF37BABF-5A9D-4B49-8534-9D164FEB55C8}"/>
    <hyperlink ref="B564" r:id="rId373" location="ce_ee_table1a.f.1" tooltip="Click to jump to footnotes at bottom of the table" display="https://www.bls.gov/ces/data/employment-and-earnings/2024/table1a_202411.htm - ce_ee_table1a.f.1" xr:uid="{DDCA82C8-999E-4F27-874C-3DB7425563FF}"/>
    <hyperlink ref="B565" r:id="rId374" location="ce_ee_table1a.f.1" tooltip="Click to jump to footnotes at bottom of the table" display="https://www.bls.gov/ces/data/employment-and-earnings/2024/table1a_202411.htm - ce_ee_table1a.f.1" xr:uid="{8FE9258E-85A0-45D3-A0DA-9E385645E34C}"/>
    <hyperlink ref="B567" r:id="rId375" location="ce_ee_table1a.f.1" tooltip="Click to jump to footnotes at bottom of the table" display="https://www.bls.gov/ces/data/employment-and-earnings/2024/table1a_202411.htm - ce_ee_table1a.f.1" xr:uid="{6E5BFFE0-4B24-43E5-80A2-29BA9E9708AF}"/>
    <hyperlink ref="B568" r:id="rId376" location="ce_ee_table1a.f.1" tooltip="Click to jump to footnotes at bottom of the table" display="https://www.bls.gov/ces/data/employment-and-earnings/2024/table1a_202411.htm - ce_ee_table1a.f.1" xr:uid="{1D2FA921-024A-4786-88C0-526C10FBF248}"/>
    <hyperlink ref="B569" r:id="rId377" location="ce_ee_table1a.f.1" tooltip="Click to jump to footnotes at bottom of the table" display="https://www.bls.gov/ces/data/employment-and-earnings/2024/table1a_202411.htm - ce_ee_table1a.f.1" xr:uid="{162F84E9-73BB-4685-BD7F-F53B71C25ACB}"/>
    <hyperlink ref="B570" r:id="rId378" location="ce_ee_table1a.f.1" tooltip="Click to jump to footnotes at bottom of the table" display="https://www.bls.gov/ces/data/employment-and-earnings/2024/table1a_202411.htm - ce_ee_table1a.f.1" xr:uid="{4903B078-611F-46DB-9EAD-FCC99EFD053D}"/>
    <hyperlink ref="B571" r:id="rId379" location="ce_ee_table1a.f.1" tooltip="Click to jump to footnotes at bottom of the table" display="https://www.bls.gov/ces/data/employment-and-earnings/2024/table1a_202411.htm - ce_ee_table1a.f.1" xr:uid="{91E0C626-D10F-4512-85B7-3DAC1D7B4462}"/>
    <hyperlink ref="B572" r:id="rId380" location="ce_ee_table1a.f.1" tooltip="Click to jump to footnotes at bottom of the table" display="https://www.bls.gov/ces/data/employment-and-earnings/2024/table1a_202411.htm - ce_ee_table1a.f.1" xr:uid="{95416057-119A-4D6E-9564-41E1B59F703A}"/>
    <hyperlink ref="B573" r:id="rId381" location="ce_ee_table1a.f.1" tooltip="Click to jump to footnotes at bottom of the table" display="https://www.bls.gov/ces/data/employment-and-earnings/2024/table1a_202411.htm - ce_ee_table1a.f.1" xr:uid="{7BC6E60D-3E0D-4712-8958-C4F259638217}"/>
    <hyperlink ref="B574" r:id="rId382" location="ce_ee_table1a.f.1" tooltip="Click to jump to footnotes at bottom of the table" display="https://www.bls.gov/ces/data/employment-and-earnings/2024/table1a_202411.htm - ce_ee_table1a.f.1" xr:uid="{8EC48420-15E7-43A3-8A59-8C948C5400C5}"/>
    <hyperlink ref="B575" r:id="rId383" location="ce_ee_table1a.f.1" tooltip="Click to jump to footnotes at bottom of the table" display="https://www.bls.gov/ces/data/employment-and-earnings/2024/table1a_202411.htm - ce_ee_table1a.f.1" xr:uid="{9B76611E-D8B3-4502-B7F9-43D5DCDBB537}"/>
    <hyperlink ref="B576" r:id="rId384" location="ce_ee_table1a.f.1" tooltip="Click to jump to footnotes at bottom of the table" display="https://www.bls.gov/ces/data/employment-and-earnings/2024/table1a_202411.htm - ce_ee_table1a.f.1" xr:uid="{92D49E28-0EAB-44D4-BDC6-1B1F7FB2E492}"/>
    <hyperlink ref="B577" r:id="rId385" location="ce_ee_table1a.f.1" tooltip="Click to jump to footnotes at bottom of the table" display="https://www.bls.gov/ces/data/employment-and-earnings/2024/table1a_202411.htm - ce_ee_table1a.f.1" xr:uid="{33F108B5-2A84-4A94-B1EF-645A8EB14D1A}"/>
    <hyperlink ref="B578" r:id="rId386" location="ce_ee_table1a.f.1" tooltip="Click to jump to footnotes at bottom of the table" display="https://www.bls.gov/ces/data/employment-and-earnings/2024/table1a_202411.htm - ce_ee_table1a.f.1" xr:uid="{3A261C2A-94D1-4C83-865A-2EBEDFCD4F20}"/>
    <hyperlink ref="B581" r:id="rId387" location="ce_ee_table1a.f.1" tooltip="Click to jump to footnotes at bottom of the table" display="https://www.bls.gov/ces/data/employment-and-earnings/2024/table1a_202411.htm - ce_ee_table1a.f.1" xr:uid="{57E31879-9F80-4EFC-87B1-79BAE6827E38}"/>
    <hyperlink ref="B582" r:id="rId388" location="ce_ee_table1a.f.1" tooltip="Click to jump to footnotes at bottom of the table" display="https://www.bls.gov/ces/data/employment-and-earnings/2024/table1a_202411.htm - ce_ee_table1a.f.1" xr:uid="{A1A194AD-BB45-4387-86AC-78146AADEA22}"/>
    <hyperlink ref="B583" r:id="rId389" location="ce_ee_table1a.f.1" tooltip="Click to jump to footnotes at bottom of the table" display="https://www.bls.gov/ces/data/employment-and-earnings/2024/table1a_202411.htm - ce_ee_table1a.f.1" xr:uid="{6F9315F6-C81E-49C7-A239-86422CECE59D}"/>
    <hyperlink ref="B584" r:id="rId390" location="ce_ee_table1a.f.1" tooltip="Click to jump to footnotes at bottom of the table" display="https://www.bls.gov/ces/data/employment-and-earnings/2024/table1a_202411.htm - ce_ee_table1a.f.1" xr:uid="{A815EDBB-A1B6-41BE-B3FD-182467BA3BEE}"/>
    <hyperlink ref="B585" r:id="rId391" location="ce_ee_table1a.f.1" tooltip="Click to jump to footnotes at bottom of the table" display="https://www.bls.gov/ces/data/employment-and-earnings/2024/table1a_202411.htm - ce_ee_table1a.f.1" xr:uid="{3EC3119D-7B68-45EE-A29D-CF548F3D0C78}"/>
    <hyperlink ref="B586" r:id="rId392" location="ce_ee_table1a.f.1" tooltip="Click to jump to footnotes at bottom of the table" display="https://www.bls.gov/ces/data/employment-and-earnings/2024/table1a_202411.htm - ce_ee_table1a.f.1" xr:uid="{1DADC8DB-17ED-4BCF-A8C9-50665A9E77C4}"/>
    <hyperlink ref="B587" r:id="rId393" location="ce_ee_table1a.f.1" tooltip="Click to jump to footnotes at bottom of the table" display="https://www.bls.gov/ces/data/employment-and-earnings/2024/table1a_202411.htm - ce_ee_table1a.f.1" xr:uid="{1BCB00C7-4632-422D-8D5F-6E0E55D6A705}"/>
    <hyperlink ref="B588" r:id="rId394" location="ce_ee_table1a.f.1" tooltip="Click to jump to footnotes at bottom of the table" display="https://www.bls.gov/ces/data/employment-and-earnings/2024/table1a_202411.htm - ce_ee_table1a.f.1" xr:uid="{EB2B5BAE-8294-47DB-9AC4-6C247B514054}"/>
    <hyperlink ref="B589" r:id="rId395" location="ce_ee_table1a.f.1" tooltip="Click to jump to footnotes at bottom of the table" display="https://www.bls.gov/ces/data/employment-and-earnings/2024/table1a_202411.htm - ce_ee_table1a.f.1" xr:uid="{9C9CE026-1058-43E6-98AC-BB76BBF75DEB}"/>
    <hyperlink ref="B590" r:id="rId396" location="ce_ee_table1a.f.1" tooltip="Click to jump to footnotes at bottom of the table" display="https://www.bls.gov/ces/data/employment-and-earnings/2024/table1a_202411.htm - ce_ee_table1a.f.1" xr:uid="{3B478144-7103-4E84-84C9-83742F0DEC0F}"/>
    <hyperlink ref="B591" r:id="rId397" location="ce_ee_table1a.f.1" tooltip="Click to jump to footnotes at bottom of the table" display="https://www.bls.gov/ces/data/employment-and-earnings/2024/table1a_202411.htm - ce_ee_table1a.f.1" xr:uid="{8F0CAA58-1992-4BE1-9A82-2EC28D4E4F85}"/>
    <hyperlink ref="B592" r:id="rId398" location="ce_ee_table1a.f.1" tooltip="Click to jump to footnotes at bottom of the table" display="https://www.bls.gov/ces/data/employment-and-earnings/2024/table1a_202411.htm - ce_ee_table1a.f.1" xr:uid="{B57D68F1-DFA1-42C9-A32E-35ACF39DFD6D}"/>
    <hyperlink ref="B594" r:id="rId399" location="ce_ee_table1a.f.1" tooltip="Click to jump to footnotes at bottom of the table" display="https://www.bls.gov/ces/data/employment-and-earnings/2024/table1a_202411.htm - ce_ee_table1a.f.1" xr:uid="{2EDA5E35-4BA2-4D67-B7F8-BCF9CFE21BC7}"/>
    <hyperlink ref="B595" r:id="rId400" location="ce_ee_table1a.f.1" tooltip="Click to jump to footnotes at bottom of the table" display="https://www.bls.gov/ces/data/employment-and-earnings/2024/table1a_202411.htm - ce_ee_table1a.f.1" xr:uid="{A4461637-6CC2-46C8-92AE-53743CBD9026}"/>
    <hyperlink ref="B596" r:id="rId401" location="ce_ee_table1a.f.1" tooltip="Click to jump to footnotes at bottom of the table" display="https://www.bls.gov/ces/data/employment-and-earnings/2024/table1a_202411.htm - ce_ee_table1a.f.1" xr:uid="{D2FBD405-ECBB-432C-90DE-C62CCD80CC2A}"/>
    <hyperlink ref="B597" r:id="rId402" location="ce_ee_table1a.f.1" tooltip="Click to jump to footnotes at bottom of the table" display="https://www.bls.gov/ces/data/employment-and-earnings/2024/table1a_202411.htm - ce_ee_table1a.f.1" xr:uid="{BAD3DCEB-F303-4AAA-9F3E-0306B9BB9F93}"/>
    <hyperlink ref="B598" r:id="rId403" location="ce_ee_table1a.f.1" tooltip="Click to jump to footnotes at bottom of the table" display="https://www.bls.gov/ces/data/employment-and-earnings/2024/table1a_202411.htm - ce_ee_table1a.f.1" xr:uid="{0E7E031E-45FA-4203-B023-B7458BEB4954}"/>
    <hyperlink ref="B599" r:id="rId404" location="ce_ee_table1a.f.1" tooltip="Click to jump to footnotes at bottom of the table" display="https://www.bls.gov/ces/data/employment-and-earnings/2024/table1a_202411.htm - ce_ee_table1a.f.1" xr:uid="{47F2BE4C-4D4B-4E11-98EA-E895DDA62B93}"/>
    <hyperlink ref="B600" r:id="rId405" location="ce_ee_table1a.f.1" tooltip="Click to jump to footnotes at bottom of the table" display="https://www.bls.gov/ces/data/employment-and-earnings/2024/table1a_202411.htm - ce_ee_table1a.f.1" xr:uid="{59DAB13A-E77B-46D2-AECD-126C5B1F727B}"/>
    <hyperlink ref="B601" r:id="rId406" location="ce_ee_table1a.f.1" tooltip="Click to jump to footnotes at bottom of the table" display="https://www.bls.gov/ces/data/employment-and-earnings/2024/table1a_202411.htm - ce_ee_table1a.f.1" xr:uid="{8444FF20-FA49-4028-9C0D-57428E0F3D40}"/>
    <hyperlink ref="B602" r:id="rId407" location="ce_ee_table1a.f.1" tooltip="Click to jump to footnotes at bottom of the table" display="https://www.bls.gov/ces/data/employment-and-earnings/2024/table1a_202411.htm - ce_ee_table1a.f.1" xr:uid="{3F1C404D-6068-4000-A07F-4996505D2167}"/>
    <hyperlink ref="B608" r:id="rId408" location="ce_ee_table1a.f.1" tooltip="Click to jump to footnotes at bottom of the table" display="https://www.bls.gov/ces/data/employment-and-earnings/2024/table1a_202411.htm - ce_ee_table1a.f.1" xr:uid="{8E4705BC-8D89-4B47-8512-236BC0AE99F4}"/>
    <hyperlink ref="B609" r:id="rId409" location="ce_ee_table1a.f.1" tooltip="Click to jump to footnotes at bottom of the table" display="https://www.bls.gov/ces/data/employment-and-earnings/2024/table1a_202411.htm - ce_ee_table1a.f.1" xr:uid="{F5AFDCA2-F29F-457F-9CBB-D731CDBC4495}"/>
    <hyperlink ref="B611" r:id="rId410" location="ce_ee_table1a.f.1" tooltip="Click to jump to footnotes at bottom of the table" display="https://www.bls.gov/ces/data/employment-and-earnings/2024/table1a_202411.htm - ce_ee_table1a.f.1" xr:uid="{287F7859-3D2A-4CB5-A2D6-A4DA5F51701E}"/>
    <hyperlink ref="B612" r:id="rId411" location="ce_ee_table1a.f.1" tooltip="Click to jump to footnotes at bottom of the table" display="https://www.bls.gov/ces/data/employment-and-earnings/2024/table1a_202411.htm - ce_ee_table1a.f.1" xr:uid="{240C8125-D9F5-4C9B-B578-A0B9BD636706}"/>
    <hyperlink ref="B613" r:id="rId412" location="ce_ee_table1a.f.1" tooltip="Click to jump to footnotes at bottom of the table" display="https://www.bls.gov/ces/data/employment-and-earnings/2024/table1a_202411.htm - ce_ee_table1a.f.1" xr:uid="{29C86EEA-1BDD-439B-AE3A-B403E0B91A5E}"/>
    <hyperlink ref="B614" r:id="rId413" location="ce_ee_table1a.f.1" tooltip="Click to jump to footnotes at bottom of the table" display="https://www.bls.gov/ces/data/employment-and-earnings/2024/table1a_202411.htm - ce_ee_table1a.f.1" xr:uid="{30702D09-087C-4947-A1D4-74C87A0DA346}"/>
    <hyperlink ref="B616" r:id="rId414" location="ce_ee_table1a.f.1" tooltip="Click to jump to footnotes at bottom of the table" display="https://www.bls.gov/ces/data/employment-and-earnings/2024/table1a_202411.htm - ce_ee_table1a.f.1" xr:uid="{4B9AA8BF-DE9F-49EC-B330-BC8603208203}"/>
    <hyperlink ref="B617" r:id="rId415" location="ce_ee_table1a.f.1" tooltip="Click to jump to footnotes at bottom of the table" display="https://www.bls.gov/ces/data/employment-and-earnings/2024/table1a_202411.htm - ce_ee_table1a.f.1" xr:uid="{1EDB98D8-7F4F-4361-87B1-269A0811A393}"/>
    <hyperlink ref="B618" r:id="rId416" location="ce_ee_table1a.f.1" tooltip="Click to jump to footnotes at bottom of the table" display="https://www.bls.gov/ces/data/employment-and-earnings/2024/table1a_202411.htm - ce_ee_table1a.f.1" xr:uid="{9AF190B6-7D99-443C-9BCD-272CA0BF21AD}"/>
    <hyperlink ref="B619" r:id="rId417" location="ce_ee_table1a.f.1" tooltip="Click to jump to footnotes at bottom of the table" display="https://www.bls.gov/ces/data/employment-and-earnings/2024/table1a_202411.htm - ce_ee_table1a.f.1" xr:uid="{E519BD3B-31F0-4C97-ADAC-9A9D87DA3347}"/>
    <hyperlink ref="B620" r:id="rId418" location="ce_ee_table1a.f.1" tooltip="Click to jump to footnotes at bottom of the table" display="https://www.bls.gov/ces/data/employment-and-earnings/2024/table1a_202411.htm - ce_ee_table1a.f.1" xr:uid="{7E40C9E7-E9D6-4583-BADC-18D59CA3BE37}"/>
    <hyperlink ref="B622" r:id="rId419" location="ce_ee_table1a.f.1" tooltip="Click to jump to footnotes at bottom of the table" display="https://www.bls.gov/ces/data/employment-and-earnings/2024/table1a_202411.htm - ce_ee_table1a.f.1" xr:uid="{60D56952-9612-4BE3-866F-5BE6A7D89401}"/>
    <hyperlink ref="B623" r:id="rId420" location="ce_ee_table1a.f.1" tooltip="Click to jump to footnotes at bottom of the table" display="https://www.bls.gov/ces/data/employment-and-earnings/2024/table1a_202411.htm - ce_ee_table1a.f.1" xr:uid="{53F1FC55-D7A8-4BA8-BD30-C8D11F69B4A4}"/>
    <hyperlink ref="B625" r:id="rId421" location="ce_ee_table1a.f.1" tooltip="Click to jump to footnotes at bottom of the table" display="https://www.bls.gov/ces/data/employment-and-earnings/2024/table1a_202411.htm - ce_ee_table1a.f.1" xr:uid="{2178E33D-9CEF-461A-8AB7-FB363ECFB863}"/>
    <hyperlink ref="B626" r:id="rId422" location="ce_ee_table1a.f.1" tooltip="Click to jump to footnotes at bottom of the table" display="https://www.bls.gov/ces/data/employment-and-earnings/2024/table1a_202411.htm - ce_ee_table1a.f.1" xr:uid="{9F946E20-0275-4B5C-B414-B37403A70326}"/>
    <hyperlink ref="B627" r:id="rId423" location="ce_ee_table1a.f.1" tooltip="Click to jump to footnotes at bottom of the table" display="https://www.bls.gov/ces/data/employment-and-earnings/2024/table1a_202411.htm - ce_ee_table1a.f.1" xr:uid="{50E202ED-65CF-4998-9FED-91BD32BAAD51}"/>
    <hyperlink ref="B628" r:id="rId424" location="ce_ee_table1a.f.1" tooltip="Click to jump to footnotes at bottom of the table" display="https://www.bls.gov/ces/data/employment-and-earnings/2024/table1a_202411.htm - ce_ee_table1a.f.1" xr:uid="{AC52CB10-FE52-425C-B793-DF8BAB14B3B7}"/>
    <hyperlink ref="B630" r:id="rId425" location="ce_ee_table1a.f.1" tooltip="Click to jump to footnotes at bottom of the table" display="https://www.bls.gov/ces/data/employment-and-earnings/2024/table1a_202411.htm - ce_ee_table1a.f.1" xr:uid="{240A8558-5F42-49EB-8923-2DE21087BDCE}"/>
    <hyperlink ref="B631" r:id="rId426" location="ce_ee_table1a.f.1" tooltip="Click to jump to footnotes at bottom of the table" display="https://www.bls.gov/ces/data/employment-and-earnings/2024/table1a_202411.htm - ce_ee_table1a.f.1" xr:uid="{0155C674-B5CE-40BE-997E-0067C41150B8}"/>
    <hyperlink ref="B632" r:id="rId427" location="ce_ee_table1a.f.1" tooltip="Click to jump to footnotes at bottom of the table" display="https://www.bls.gov/ces/data/employment-and-earnings/2024/table1a_202411.htm - ce_ee_table1a.f.1" xr:uid="{FAD75489-F4A4-4E7C-9027-9E6900814E4E}"/>
    <hyperlink ref="B633" r:id="rId428" location="ce_ee_table1a.f.1" tooltip="Click to jump to footnotes at bottom of the table" display="https://www.bls.gov/ces/data/employment-and-earnings/2024/table1a_202411.htm - ce_ee_table1a.f.1" xr:uid="{5995188C-604E-417E-81AF-BE4696983080}"/>
    <hyperlink ref="B634" r:id="rId429" location="ce_ee_table1a.f.1" tooltip="Click to jump to footnotes at bottom of the table" display="https://www.bls.gov/ces/data/employment-and-earnings/2024/table1a_202411.htm - ce_ee_table1a.f.1" xr:uid="{F1B596C7-1AA8-4F8D-8E5A-F487E8778B2D}"/>
    <hyperlink ref="B635" r:id="rId430" location="ce_ee_table1a.f.1" tooltip="Click to jump to footnotes at bottom of the table" display="https://www.bls.gov/ces/data/employment-and-earnings/2024/table1a_202411.htm - ce_ee_table1a.f.1" xr:uid="{1476819D-90DE-4E4E-9D27-AAFCAF1BDE96}"/>
    <hyperlink ref="B636" r:id="rId431" location="ce_ee_table1a.f.1" tooltip="Click to jump to footnotes at bottom of the table" display="https://www.bls.gov/ces/data/employment-and-earnings/2024/table1a_202411.htm - ce_ee_table1a.f.1" xr:uid="{750D72AB-31A8-4122-BD9D-F9EACC24A1CE}"/>
    <hyperlink ref="B637" r:id="rId432" location="ce_ee_table1a.f.1" tooltip="Click to jump to footnotes at bottom of the table" display="https://www.bls.gov/ces/data/employment-and-earnings/2024/table1a_202411.htm - ce_ee_table1a.f.1" xr:uid="{BF7E2A69-95B0-471D-9292-D04CA06855FD}"/>
    <hyperlink ref="B639" r:id="rId433" location="ce_ee_table1a.f.1" tooltip="Click to jump to footnotes at bottom of the table" display="https://www.bls.gov/ces/data/employment-and-earnings/2024/table1a_202411.htm - ce_ee_table1a.f.1" xr:uid="{E3C89E03-3400-47E8-8FAA-D9D81E9EA1CC}"/>
    <hyperlink ref="B640" r:id="rId434" location="ce_ee_table1a.f.1" tooltip="Click to jump to footnotes at bottom of the table" display="https://www.bls.gov/ces/data/employment-and-earnings/2024/table1a_202411.htm - ce_ee_table1a.f.1" xr:uid="{88E5BB07-45ED-4EC4-B13E-C5DAA5764D74}"/>
    <hyperlink ref="B641" r:id="rId435" location="ce_ee_table1a.f.1" tooltip="Click to jump to footnotes at bottom of the table" display="https://www.bls.gov/ces/data/employment-and-earnings/2024/table1a_202411.htm - ce_ee_table1a.f.1" xr:uid="{A6EC85A3-5A56-48A3-A7C5-19F0F394B101}"/>
    <hyperlink ref="B642" r:id="rId436" location="ce_ee_table1a.f.1" tooltip="Click to jump to footnotes at bottom of the table" display="https://www.bls.gov/ces/data/employment-and-earnings/2024/table1a_202411.htm - ce_ee_table1a.f.1" xr:uid="{3C4ECAD9-362F-49D6-8B42-9E791B9702A5}"/>
    <hyperlink ref="B643" r:id="rId437" location="ce_ee_table1a.f.1" tooltip="Click to jump to footnotes at bottom of the table" display="https://www.bls.gov/ces/data/employment-and-earnings/2024/table1a_202411.htm - ce_ee_table1a.f.1" xr:uid="{0ACF16A5-A9DE-432D-BD15-D22EC1C5EB5A}"/>
    <hyperlink ref="B645" r:id="rId438" location="ce_ee_table1a.f.1" tooltip="Click to jump to footnotes at bottom of the table" display="https://www.bls.gov/ces/data/employment-and-earnings/2024/table1a_202411.htm - ce_ee_table1a.f.1" xr:uid="{7A07743B-C3C2-4C63-A967-DAAEC3642F8B}"/>
    <hyperlink ref="B646" r:id="rId439" location="ce_ee_table1a.f.1" tooltip="Click to jump to footnotes at bottom of the table" display="https://www.bls.gov/ces/data/employment-and-earnings/2024/table1a_202411.htm - ce_ee_table1a.f.1" xr:uid="{9CC1FFF4-A8A4-48FF-A968-1F38F4019452}"/>
    <hyperlink ref="B647" r:id="rId440" location="ce_ee_table1a.f.1" tooltip="Click to jump to footnotes at bottom of the table" display="https://www.bls.gov/ces/data/employment-and-earnings/2024/table1a_202411.htm - ce_ee_table1a.f.1" xr:uid="{A0AA9430-FEF4-47D6-B40D-D30692E7DC63}"/>
    <hyperlink ref="B648" r:id="rId441" location="ce_ee_table1a.f.1" tooltip="Click to jump to footnotes at bottom of the table" display="https://www.bls.gov/ces/data/employment-and-earnings/2024/table1a_202411.htm - ce_ee_table1a.f.1" xr:uid="{2A362BEE-9BA2-449A-A7A4-53444DC3D7CC}"/>
    <hyperlink ref="B649" r:id="rId442" location="ce_ee_table1a.f.1" tooltip="Click to jump to footnotes at bottom of the table" display="https://www.bls.gov/ces/data/employment-and-earnings/2024/table1a_202411.htm - ce_ee_table1a.f.1" xr:uid="{CAE2AF64-315E-4C35-80F8-93DCF4F18DF8}"/>
    <hyperlink ref="B650" r:id="rId443" location="ce_ee_table1a.f.1" tooltip="Click to jump to footnotes at bottom of the table" display="https://www.bls.gov/ces/data/employment-and-earnings/2024/table1a_202411.htm - ce_ee_table1a.f.1" xr:uid="{C83742C9-C257-48BF-BCC2-1BF93BCA6104}"/>
    <hyperlink ref="B652" r:id="rId444" location="ce_ee_table1a.f.1" tooltip="Click to jump to footnotes at bottom of the table" display="https://www.bls.gov/ces/data/employment-and-earnings/2024/table1a_202411.htm - ce_ee_table1a.f.1" xr:uid="{00E127E9-75DE-4B5C-A5C8-C45BD10AEF28}"/>
    <hyperlink ref="B653" r:id="rId445" location="ce_ee_table1a.f.1" tooltip="Click to jump to footnotes at bottom of the table" display="https://www.bls.gov/ces/data/employment-and-earnings/2024/table1a_202411.htm - ce_ee_table1a.f.1" xr:uid="{F070D0B7-F3FA-4E38-8B20-C6D5AAF60073}"/>
    <hyperlink ref="B654" r:id="rId446" location="ce_ee_table1a.f.1" tooltip="Click to jump to footnotes at bottom of the table" display="https://www.bls.gov/ces/data/employment-and-earnings/2024/table1a_202411.htm - ce_ee_table1a.f.1" xr:uid="{FB8A186F-5947-4402-8478-17AB59DB45D0}"/>
    <hyperlink ref="B655" r:id="rId447" location="ce_ee_table1a.f.1" tooltip="Click to jump to footnotes at bottom of the table" display="https://www.bls.gov/ces/data/employment-and-earnings/2024/table1a_202411.htm - ce_ee_table1a.f.1" xr:uid="{A152F53C-C992-49FF-BF33-5F2A2071BA44}"/>
    <hyperlink ref="B657" r:id="rId448" location="ce_ee_table1a.f.1" tooltip="Click to jump to footnotes at bottom of the table" display="https://www.bls.gov/ces/data/employment-and-earnings/2024/table1a_202411.htm - ce_ee_table1a.f.1" xr:uid="{E003B31D-6CBA-40EC-B677-28BD77F82476}"/>
    <hyperlink ref="B658" r:id="rId449" location="ce_ee_table1a.f.1" tooltip="Click to jump to footnotes at bottom of the table" display="https://www.bls.gov/ces/data/employment-and-earnings/2024/table1a_202411.htm - ce_ee_table1a.f.1" xr:uid="{56A8B161-7C4B-4EE9-B49F-5A618F49C41A}"/>
    <hyperlink ref="B664" r:id="rId450" location="ce_ee_table1a.f.1" tooltip="Click to jump to footnotes at bottom of the table" display="https://www.bls.gov/ces/data/employment-and-earnings/2024/table1a_202411.htm - ce_ee_table1a.f.1" xr:uid="{E459C650-51B1-4A28-92EE-FCD161C42B30}"/>
    <hyperlink ref="B665" r:id="rId451" location="ce_ee_table1a.f.1" tooltip="Click to jump to footnotes at bottom of the table" display="https://www.bls.gov/ces/data/employment-and-earnings/2024/table1a_202411.htm - ce_ee_table1a.f.1" xr:uid="{D97337D9-EDC7-4D26-AB12-9E585D00A49C}"/>
    <hyperlink ref="B666" r:id="rId452" location="ce_ee_table1a.f.1" tooltip="Click to jump to footnotes at bottom of the table" display="https://www.bls.gov/ces/data/employment-and-earnings/2024/table1a_202411.htm - ce_ee_table1a.f.1" xr:uid="{5EAE4A68-A5C4-492F-A500-876B0DB3B389}"/>
    <hyperlink ref="B667" r:id="rId453" location="ce_ee_table1a.f.1" tooltip="Click to jump to footnotes at bottom of the table" display="https://www.bls.gov/ces/data/employment-and-earnings/2024/table1a_202411.htm - ce_ee_table1a.f.1" xr:uid="{260F5733-D966-4968-BC69-3D8D0F7B71CE}"/>
    <hyperlink ref="B668" r:id="rId454" location="ce_ee_table1a.f.1" tooltip="Click to jump to footnotes at bottom of the table" display="https://www.bls.gov/ces/data/employment-and-earnings/2024/table1a_202411.htm - ce_ee_table1a.f.1" xr:uid="{4E8A76DC-5239-4009-9C5D-65D9EE50438C}"/>
    <hyperlink ref="B670" r:id="rId455" location="ce_ee_table1a.f.1" tooltip="Click to jump to footnotes at bottom of the table" display="https://www.bls.gov/ces/data/employment-and-earnings/2024/table1a_202411.htm - ce_ee_table1a.f.1" xr:uid="{498C39C3-CC55-43F5-B7FD-631CB6B5A233}"/>
    <hyperlink ref="B671" r:id="rId456" location="ce_ee_table1a.f.1" tooltip="Click to jump to footnotes at bottom of the table" display="https://www.bls.gov/ces/data/employment-and-earnings/2024/table1a_202411.htm - ce_ee_table1a.f.1" xr:uid="{71F3D076-5984-4F83-A5E7-DA2F02D0EFAF}"/>
    <hyperlink ref="B672" r:id="rId457" location="ce_ee_table1a.f.1" tooltip="Click to jump to footnotes at bottom of the table" display="https://www.bls.gov/ces/data/employment-and-earnings/2024/table1a_202411.htm - ce_ee_table1a.f.1" xr:uid="{A9148591-DBFB-4DAE-8272-8D17EC1F8AE8}"/>
    <hyperlink ref="B673" r:id="rId458" location="ce_ee_table1a.f.1" tooltip="Click to jump to footnotes at bottom of the table" display="https://www.bls.gov/ces/data/employment-and-earnings/2024/table1a_202411.htm - ce_ee_table1a.f.1" xr:uid="{7BAECC40-048F-4626-9375-FF720E52994E}"/>
    <hyperlink ref="B674" r:id="rId459" location="ce_ee_table1a.f.1" tooltip="Click to jump to footnotes at bottom of the table" display="https://www.bls.gov/ces/data/employment-and-earnings/2024/table1a_202411.htm - ce_ee_table1a.f.1" xr:uid="{BA35F80D-718E-4B8F-A691-3481641B6560}"/>
    <hyperlink ref="B675" r:id="rId460" location="ce_ee_table1a.f.1" tooltip="Click to jump to footnotes at bottom of the table" display="https://www.bls.gov/ces/data/employment-and-earnings/2024/table1a_202411.htm - ce_ee_table1a.f.1" xr:uid="{6BE42477-9471-4B3C-8FA4-A743747DE2F5}"/>
    <hyperlink ref="B676" r:id="rId461" location="ce_ee_table1a.f.1" tooltip="Click to jump to footnotes at bottom of the table" display="https://www.bls.gov/ces/data/employment-and-earnings/2024/table1a_202411.htm - ce_ee_table1a.f.1" xr:uid="{2B484367-8568-4E23-B0D6-799412000B45}"/>
    <hyperlink ref="B678" r:id="rId462" location="ce_ee_table1a.f.1" tooltip="Click to jump to footnotes at bottom of the table" display="https://www.bls.gov/ces/data/employment-and-earnings/2024/table1a_202411.htm - ce_ee_table1a.f.1" xr:uid="{087C2343-2EBD-43C0-8E5B-A7045FA556C4}"/>
    <hyperlink ref="B679" r:id="rId463" location="ce_ee_table1a.f.1" tooltip="Click to jump to footnotes at bottom of the table" display="https://www.bls.gov/ces/data/employment-and-earnings/2024/table1a_202411.htm - ce_ee_table1a.f.1" xr:uid="{4A71F434-7AF2-424D-8B23-542B12346098}"/>
    <hyperlink ref="B680" r:id="rId464" location="ce_ee_table1a.f.1" tooltip="Click to jump to footnotes at bottom of the table" display="https://www.bls.gov/ces/data/employment-and-earnings/2024/table1a_202411.htm - ce_ee_table1a.f.1" xr:uid="{31456326-6474-40F7-A7D9-CDB92A7007BA}"/>
    <hyperlink ref="B682" r:id="rId465" location="ce_ee_table1a.f.1" tooltip="Click to jump to footnotes at bottom of the table" display="https://www.bls.gov/ces/data/employment-and-earnings/2024/table1a_202411.htm - ce_ee_table1a.f.1" xr:uid="{2DAAC3BF-41EC-4037-AB44-EA161DDAB82F}"/>
    <hyperlink ref="B683" r:id="rId466" location="ce_ee_table1a.f.1" tooltip="Click to jump to footnotes at bottom of the table" display="https://www.bls.gov/ces/data/employment-and-earnings/2024/table1a_202411.htm - ce_ee_table1a.f.1" xr:uid="{F95075D7-7175-4698-A2D2-5C9C5EB985E0}"/>
    <hyperlink ref="B684" r:id="rId467" location="ce_ee_table1a.f.1" tooltip="Click to jump to footnotes at bottom of the table" display="https://www.bls.gov/ces/data/employment-and-earnings/2024/table1a_202411.htm - ce_ee_table1a.f.1" xr:uid="{1ED9583A-3E42-445A-949C-147D47C30E87}"/>
    <hyperlink ref="B685" r:id="rId468" location="ce_ee_table1a.f.1" tooltip="Click to jump to footnotes at bottom of the table" display="https://www.bls.gov/ces/data/employment-and-earnings/2024/table1a_202411.htm - ce_ee_table1a.f.1" xr:uid="{F3BF9499-6556-41D4-B088-8A28A4CA0000}"/>
    <hyperlink ref="B687" r:id="rId469" location="ce_ee_table1a.f.1" tooltip="Click to jump to footnotes at bottom of the table" display="https://www.bls.gov/ces/data/employment-and-earnings/2024/table1a_202411.htm - ce_ee_table1a.f.1" xr:uid="{D76447E1-FBF7-4D60-9CAE-897BF3210061}"/>
    <hyperlink ref="B688" r:id="rId470" location="ce_ee_table1a.f.1" tooltip="Click to jump to footnotes at bottom of the table" display="https://www.bls.gov/ces/data/employment-and-earnings/2024/table1a_202411.htm - ce_ee_table1a.f.1" xr:uid="{E113921B-FE79-4D0F-8594-373E8D46A1CF}"/>
    <hyperlink ref="B689" r:id="rId471" location="ce_ee_table1a.f.1" tooltip="Click to jump to footnotes at bottom of the table" display="https://www.bls.gov/ces/data/employment-and-earnings/2024/table1a_202411.htm - ce_ee_table1a.f.1" xr:uid="{FF1FD522-DADB-4F7D-B45E-7C62B87D9A81}"/>
    <hyperlink ref="B690" r:id="rId472" location="ce_ee_table1a.f.1" tooltip="Click to jump to footnotes at bottom of the table" display="https://www.bls.gov/ces/data/employment-and-earnings/2024/table1a_202411.htm - ce_ee_table1a.f.1" xr:uid="{8BAF03A2-D56C-45B6-85B4-8D9A70143C5A}"/>
    <hyperlink ref="B691" r:id="rId473" location="ce_ee_table1a.f.1" tooltip="Click to jump to footnotes at bottom of the table" display="https://www.bls.gov/ces/data/employment-and-earnings/2024/table1a_202411.htm - ce_ee_table1a.f.1" xr:uid="{39736F81-8CA1-45A6-B651-D03B4BEBF470}"/>
    <hyperlink ref="B693" r:id="rId474" location="ce_ee_table1a.f.1" tooltip="Click to jump to footnotes at bottom of the table" display="https://www.bls.gov/ces/data/employment-and-earnings/2024/table1a_202411.htm - ce_ee_table1a.f.1" xr:uid="{4BBB0580-A4A4-4810-8F11-D8E764554471}"/>
    <hyperlink ref="B694" r:id="rId475" location="ce_ee_table1a.f.1" tooltip="Click to jump to footnotes at bottom of the table" display="https://www.bls.gov/ces/data/employment-and-earnings/2024/table1a_202411.htm - ce_ee_table1a.f.1" xr:uid="{636883A8-F49D-420D-8E67-2731A5987E34}"/>
    <hyperlink ref="B695" r:id="rId476" location="ce_ee_table1a.f.1" tooltip="Click to jump to footnotes at bottom of the table" display="https://www.bls.gov/ces/data/employment-and-earnings/2024/table1a_202411.htm - ce_ee_table1a.f.1" xr:uid="{4EE317DD-D6CF-49C1-8749-7666736E19FA}"/>
    <hyperlink ref="B697" r:id="rId477" location="ce_ee_table1a.f.1" tooltip="Click to jump to footnotes at bottom of the table" display="https://www.bls.gov/ces/data/employment-and-earnings/2024/table1a_202411.htm - ce_ee_table1a.f.1" xr:uid="{8A802068-339E-43A5-A69A-71EA7B9FA104}"/>
    <hyperlink ref="B698" r:id="rId478" location="ce_ee_table1a.f.1" tooltip="Click to jump to footnotes at bottom of the table" display="https://www.bls.gov/ces/data/employment-and-earnings/2024/table1a_202411.htm - ce_ee_table1a.f.1" xr:uid="{D9F14F41-79A6-439F-A5A0-AD02EDE82D67}"/>
    <hyperlink ref="B699" r:id="rId479" location="ce_ee_table1a.f.1" tooltip="Click to jump to footnotes at bottom of the table" display="https://www.bls.gov/ces/data/employment-and-earnings/2024/table1a_202411.htm - ce_ee_table1a.f.1" xr:uid="{AE2D3457-2A59-4F21-BEDB-EA87E8A84C54}"/>
    <hyperlink ref="B700" r:id="rId480" location="ce_ee_table1a.f.1" tooltip="Click to jump to footnotes at bottom of the table" display="https://www.bls.gov/ces/data/employment-and-earnings/2024/table1a_202411.htm - ce_ee_table1a.f.1" xr:uid="{7EF7CA41-09E2-4916-B96F-A661EF1951AB}"/>
    <hyperlink ref="B701" r:id="rId481" location="ce_ee_table1a.f.1" tooltip="Click to jump to footnotes at bottom of the table" display="https://www.bls.gov/ces/data/employment-and-earnings/2024/table1a_202411.htm - ce_ee_table1a.f.1" xr:uid="{C9B3149D-FFE4-4A6B-BBB2-A7EF3B5BE7B3}"/>
    <hyperlink ref="B702" r:id="rId482" location="ce_ee_table1a.f.1" tooltip="Click to jump to footnotes at bottom of the table" display="https://www.bls.gov/ces/data/employment-and-earnings/2024/table1a_202411.htm - ce_ee_table1a.f.1" xr:uid="{492B2C91-F623-4365-A9A1-2324608EAE52}"/>
    <hyperlink ref="B703" r:id="rId483" location="ce_ee_table1a.f.1" tooltip="Click to jump to footnotes at bottom of the table" display="https://www.bls.gov/ces/data/employment-and-earnings/2024/table1a_202411.htm - ce_ee_table1a.f.1" xr:uid="{E7142E6F-0444-4B14-8A03-126CF40DBB25}"/>
    <hyperlink ref="B707" r:id="rId484" location="ce_ee_table1a.f.1" tooltip="Click to jump to footnotes at bottom of the table" display="https://www.bls.gov/ces/data/employment-and-earnings/2024/table1a_202411.htm - ce_ee_table1a.f.1" xr:uid="{7962E7AB-8253-4C85-8142-1E058C88D71C}"/>
    <hyperlink ref="B708" r:id="rId485" location="ce_ee_table1a.f.1" tooltip="Click to jump to footnotes at bottom of the table" display="https://www.bls.gov/ces/data/employment-and-earnings/2024/table1a_202411.htm - ce_ee_table1a.f.1" xr:uid="{B60BEB09-D41B-4BEA-92C1-AA89B9B64EB2}"/>
    <hyperlink ref="B709" r:id="rId486" location="ce_ee_table1a.f.1" tooltip="Click to jump to footnotes at bottom of the table" display="https://www.bls.gov/ces/data/employment-and-earnings/2024/table1a_202411.htm - ce_ee_table1a.f.1" xr:uid="{6022FFCA-842A-4459-BDF9-0FF36863045B}"/>
    <hyperlink ref="B710" r:id="rId487" location="ce_ee_table1a.f.1" tooltip="Click to jump to footnotes at bottom of the table" display="https://www.bls.gov/ces/data/employment-and-earnings/2024/table1a_202411.htm - ce_ee_table1a.f.1" xr:uid="{1BA5C3A0-39A3-49EE-A399-341620C82204}"/>
    <hyperlink ref="B711" r:id="rId488" location="ce_ee_table1a.f.1" tooltip="Click to jump to footnotes at bottom of the table" display="https://www.bls.gov/ces/data/employment-and-earnings/2024/table1a_202411.htm - ce_ee_table1a.f.1" xr:uid="{3DA6777F-58C2-4DAD-AB5A-E6325A4066D4}"/>
    <hyperlink ref="B712" r:id="rId489" location="ce_ee_table1a.f.1" tooltip="Click to jump to footnotes at bottom of the table" display="https://www.bls.gov/ces/data/employment-and-earnings/2024/table1a_202411.htm - ce_ee_table1a.f.1" xr:uid="{8A994604-B22C-4B37-8FB7-3BF48F6596F9}"/>
    <hyperlink ref="B713" r:id="rId490" location="ce_ee_table1a.f.1" tooltip="Click to jump to footnotes at bottom of the table" display="https://www.bls.gov/ces/data/employment-and-earnings/2024/table1a_202411.htm - ce_ee_table1a.f.1" xr:uid="{CAB4E99B-BE86-4E6B-A3D2-713CFBC57C03}"/>
    <hyperlink ref="B714" r:id="rId491" location="ce_ee_table1a.f.1" tooltip="Click to jump to footnotes at bottom of the table" display="https://www.bls.gov/ces/data/employment-and-earnings/2024/table1a_202411.htm - ce_ee_table1a.f.1" xr:uid="{2ABBD506-91C7-42E0-BCBE-F9FF89B63462}"/>
    <hyperlink ref="B715" r:id="rId492" location="ce_ee_table1a.f.1" tooltip="Click to jump to footnotes at bottom of the table" display="https://www.bls.gov/ces/data/employment-and-earnings/2024/table1a_202411.htm - ce_ee_table1a.f.1" xr:uid="{162D11B6-24B0-4084-9EA1-01F34CFF5F0D}"/>
    <hyperlink ref="B716" r:id="rId493" location="ce_ee_table1a.f.1" tooltip="Click to jump to footnotes at bottom of the table" display="https://www.bls.gov/ces/data/employment-and-earnings/2024/table1a_202411.htm - ce_ee_table1a.f.1" xr:uid="{2C54143A-48FD-4A77-8776-F202FDE11AC1}"/>
    <hyperlink ref="B717" r:id="rId494" location="ce_ee_table1a.f.1" tooltip="Click to jump to footnotes at bottom of the table" display="https://www.bls.gov/ces/data/employment-and-earnings/2024/table1a_202411.htm - ce_ee_table1a.f.1" xr:uid="{454A6893-FF51-414C-9ECD-BCB30CBC77C2}"/>
    <hyperlink ref="B719" r:id="rId495" location="ce_ee_table1a.f.4" tooltip="Click to jump to footnotes at bottom of the table" display="https://www.bls.gov/ces/data/employment-and-earnings/2024/table1a_202411.htm - ce_ee_table1a.f.4" xr:uid="{6555DDD5-CF47-4634-93E4-CD93F47910CE}"/>
    <hyperlink ref="B722" r:id="rId496" location="ce_ee_table1a.f.1" tooltip="Click to jump to footnotes at bottom of the table" display="https://www.bls.gov/ces/data/employment-and-earnings/2024/table1a_202411.htm - ce_ee_table1a.f.1" xr:uid="{333CB595-601D-4B35-8E9C-8419234E73C3}"/>
    <hyperlink ref="B723" r:id="rId497" location="ce_ee_table1a.f.1" tooltip="Click to jump to footnotes at bottom of the table" display="https://www.bls.gov/ces/data/employment-and-earnings/2024/table1a_202411.htm - ce_ee_table1a.f.1" xr:uid="{428FB62A-2C38-4C91-A10E-66F4B61D77E5}"/>
    <hyperlink ref="B726" r:id="rId498" location="ce_ee_table1a.f.1" tooltip="Click to jump to footnotes at bottom of the table" display="https://www.bls.gov/ces/data/employment-and-earnings/2024/table1a_202411.htm - ce_ee_table1a.f.1" xr:uid="{BE566B84-8972-4AC3-AA9A-D223DE128A4A}"/>
    <hyperlink ref="B727" r:id="rId499" location="ce_ee_table1a.f.1" tooltip="Click to jump to footnotes at bottom of the table" display="https://www.bls.gov/ces/data/employment-and-earnings/2024/table1a_202411.htm - ce_ee_table1a.f.1" xr:uid="{1CEE71BA-F3BD-45D2-B849-4F8B3EDC3E90}"/>
    <hyperlink ref="B728" r:id="rId500" location="ce_ee_table1a.f.1" tooltip="Click to jump to footnotes at bottom of the table" display="https://www.bls.gov/ces/data/employment-and-earnings/2024/table1a_202411.htm - ce_ee_table1a.f.1" xr:uid="{295211D3-D739-4188-88CD-1B7E6B4C467D}"/>
    <hyperlink ref="B729" r:id="rId501" location="ce_ee_table1a.f.1" tooltip="Click to jump to footnotes at bottom of the table" display="https://www.bls.gov/ces/data/employment-and-earnings/2024/table1a_202411.htm - ce_ee_table1a.f.1" xr:uid="{B72D0B37-028F-437D-9FEC-9B0080E9EF27}"/>
    <hyperlink ref="B730" r:id="rId502" location="ce_ee_table1a.f.1" tooltip="Click to jump to footnotes at bottom of the table" display="https://www.bls.gov/ces/data/employment-and-earnings/2024/table1a_202411.htm - ce_ee_table1a.f.1" xr:uid="{F3D4DC97-B9D1-4CD8-B39C-8B8D80D7C23A}"/>
    <hyperlink ref="B731" r:id="rId503" location="ce_ee_table1a.f.1" tooltip="Click to jump to footnotes at bottom of the table" display="https://www.bls.gov/ces/data/employment-and-earnings/2024/table1a_202411.htm - ce_ee_table1a.f.1" xr:uid="{E2F97FFB-88E0-42BA-896E-617AB8F541D4}"/>
    <hyperlink ref="B732" r:id="rId504" location="ce_ee_table1a.f.1" tooltip="Click to jump to footnotes at bottom of the table" display="https://www.bls.gov/ces/data/employment-and-earnings/2024/table1a_202411.htm - ce_ee_table1a.f.1" xr:uid="{BEA20934-8075-4358-A9AC-0AA309EA456E}"/>
    <hyperlink ref="B734" r:id="rId505" location="ce_ee_table1a.f.1" tooltip="Click to jump to footnotes at bottom of the table" display="https://www.bls.gov/ces/data/employment-and-earnings/2024/table1a_202411.htm - ce_ee_table1a.f.1" xr:uid="{5766680B-BB27-4074-9566-B49936E5B11E}"/>
    <hyperlink ref="B735" r:id="rId506" location="ce_ee_table1a.f.1" tooltip="Click to jump to footnotes at bottom of the table" display="https://www.bls.gov/ces/data/employment-and-earnings/2024/table1a_202411.htm - ce_ee_table1a.f.1" xr:uid="{B7AB29F1-4798-4EAE-B856-73393D469777}"/>
    <hyperlink ref="B736" r:id="rId507" location="ce_ee_table1a.f.1" tooltip="Click to jump to footnotes at bottom of the table" display="https://www.bls.gov/ces/data/employment-and-earnings/2024/table1a_202411.htm - ce_ee_table1a.f.1" xr:uid="{53A53659-57C3-4616-821F-F2547D6F1C47}"/>
    <hyperlink ref="B737" r:id="rId508" location="ce_ee_table1a.f.1" tooltip="Click to jump to footnotes at bottom of the table" display="https://www.bls.gov/ces/data/employment-and-earnings/2024/table1a_202411.htm - ce_ee_table1a.f.1" xr:uid="{97A49F1B-8A48-4E19-9E61-17D57667177C}"/>
    <hyperlink ref="B738" r:id="rId509" location="ce_ee_table1a.f.1" tooltip="Click to jump to footnotes at bottom of the table" display="https://www.bls.gov/ces/data/employment-and-earnings/2024/table1a_202411.htm - ce_ee_table1a.f.1" xr:uid="{39AFE553-44B2-429F-864F-4D648C96989A}"/>
    <hyperlink ref="B739" r:id="rId510" location="ce_ee_table1a.f.1" tooltip="Click to jump to footnotes at bottom of the table" display="https://www.bls.gov/ces/data/employment-and-earnings/2024/table1a_202411.htm - ce_ee_table1a.f.1" xr:uid="{3C2929D1-1EF4-4F71-9F4D-EEC4659EF36D}"/>
    <hyperlink ref="B741" r:id="rId511" location="ce_ee_table1a.f.1" tooltip="Click to jump to footnotes at bottom of the table" display="https://www.bls.gov/ces/data/employment-and-earnings/2024/table1a_202411.htm - ce_ee_table1a.f.1" xr:uid="{BE1B54FD-8AE3-41AB-B361-08EC6605FDD9}"/>
    <hyperlink ref="B742" r:id="rId512" location="ce_ee_table1a.f.1" tooltip="Click to jump to footnotes at bottom of the table" display="https://www.bls.gov/ces/data/employment-and-earnings/2024/table1a_202411.htm - ce_ee_table1a.f.1" xr:uid="{08CA44C4-3349-4A1E-8CC3-670C169F2E65}"/>
    <hyperlink ref="B745" r:id="rId513" location="ce_ee_table1a.f.1" tooltip="Click to jump to footnotes at bottom of the table" display="https://www.bls.gov/ces/data/employment-and-earnings/2024/table1a_202411.htm - ce_ee_table1a.f.1" xr:uid="{528F8163-AD83-4376-B9C2-54C45BBCC0C8}"/>
    <hyperlink ref="B746" r:id="rId514" location="ce_ee_table1a.f.1" tooltip="Click to jump to footnotes at bottom of the table" display="https://www.bls.gov/ces/data/employment-and-earnings/2024/table1a_202411.htm - ce_ee_table1a.f.1" xr:uid="{58B70C81-A2C5-429F-AC51-4E72894186D1}"/>
    <hyperlink ref="B747" r:id="rId515" location="ce_ee_table1a.f.1" tooltip="Click to jump to footnotes at bottom of the table" display="https://www.bls.gov/ces/data/employment-and-earnings/2024/table1a_202411.htm - ce_ee_table1a.f.1" xr:uid="{6EE66D7F-4DBE-4F1F-93CF-2F4D27EFFE44}"/>
    <hyperlink ref="B748" r:id="rId516" location="ce_ee_table1a.f.1" tooltip="Click to jump to footnotes at bottom of the table" display="https://www.bls.gov/ces/data/employment-and-earnings/2024/table1a_202411.htm - ce_ee_table1a.f.1" xr:uid="{D653667C-5CC4-4D6A-8C50-9078FB3E0287}"/>
    <hyperlink ref="B750" r:id="rId517" location="ce_ee_table1a.f.1" tooltip="Click to jump to footnotes at bottom of the table" display="https://www.bls.gov/ces/data/employment-and-earnings/2024/table1a_202411.htm - ce_ee_table1a.f.1" xr:uid="{F07AE0D6-59B2-4E20-8B63-A987589295B0}"/>
    <hyperlink ref="B751" r:id="rId518" location="ce_ee_table1a.f.1" tooltip="Click to jump to footnotes at bottom of the table" display="https://www.bls.gov/ces/data/employment-and-earnings/2024/table1a_202411.htm - ce_ee_table1a.f.1" xr:uid="{2FFBFFEA-BF54-4007-BADB-EED790D5117D}"/>
    <hyperlink ref="B752" r:id="rId519" location="ce_ee_table1a.f.1" tooltip="Click to jump to footnotes at bottom of the table" display="https://www.bls.gov/ces/data/employment-and-earnings/2024/table1a_202411.htm - ce_ee_table1a.f.1" xr:uid="{FC2984DC-9478-4388-B769-7FFDC43BB830}"/>
    <hyperlink ref="B756" r:id="rId520" location="ce_ee_table1a.f.1" tooltip="Click to jump to footnotes at bottom of the table" display="https://www.bls.gov/ces/data/employment-and-earnings/2024/table1a_202411.htm - ce_ee_table1a.f.1" xr:uid="{D93FCC40-F6B5-4B2C-85E2-2CC6E4DF478A}"/>
    <hyperlink ref="B757" r:id="rId521" location="ce_ee_table1a.f.1" tooltip="Click to jump to footnotes at bottom of the table" display="https://www.bls.gov/ces/data/employment-and-earnings/2024/table1a_202411.htm - ce_ee_table1a.f.1" xr:uid="{9093B15B-53F9-41EA-8514-FFF23D1CE87C}"/>
    <hyperlink ref="B759" r:id="rId522" location="ce_ee_table1a.f.1" tooltip="Click to jump to footnotes at bottom of the table" display="https://www.bls.gov/ces/data/employment-and-earnings/2024/table1a_202411.htm - ce_ee_table1a.f.1" xr:uid="{CDF69AF9-C43F-4AEF-8868-8AAB5CE031DC}"/>
    <hyperlink ref="B760" r:id="rId523" location="ce_ee_table1a.f.1" tooltip="Click to jump to footnotes at bottom of the table" display="https://www.bls.gov/ces/data/employment-and-earnings/2024/table1a_202411.htm - ce_ee_table1a.f.1" xr:uid="{107940DF-DD09-4C6A-BC70-D86381CCD6C0}"/>
    <hyperlink ref="B764" r:id="rId524" location="ce_ee_table1a.f.1" tooltip="Click to jump to footnotes at bottom of the table" display="https://www.bls.gov/ces/data/employment-and-earnings/2024/table1a_202411.htm - ce_ee_table1a.f.1" xr:uid="{4C1D8491-8030-452D-A7FE-2F0D2C0B3814}"/>
    <hyperlink ref="B765" r:id="rId525" location="ce_ee_table1a.f.1" tooltip="Click to jump to footnotes at bottom of the table" display="https://www.bls.gov/ces/data/employment-and-earnings/2024/table1a_202411.htm - ce_ee_table1a.f.1" xr:uid="{A18A9BCD-1C74-4118-8CC0-758DA4A65493}"/>
    <hyperlink ref="B766" r:id="rId526" location="ce_ee_table1a.f.1" tooltip="Click to jump to footnotes at bottom of the table" display="https://www.bls.gov/ces/data/employment-and-earnings/2024/table1a_202411.htm - ce_ee_table1a.f.1" xr:uid="{B90F2741-C926-41EA-AB48-56EAA5191064}"/>
    <hyperlink ref="B768" r:id="rId527" location="ce_ee_table1a.f.1" tooltip="Click to jump to footnotes at bottom of the table" display="https://www.bls.gov/ces/data/employment-and-earnings/2024/table1a_202411.htm - ce_ee_table1a.f.1" xr:uid="{5E361B2F-B2C2-466D-A97E-5695A54DB98E}"/>
    <hyperlink ref="B769" r:id="rId528" location="ce_ee_table1a.f.1" tooltip="Click to jump to footnotes at bottom of the table" display="https://www.bls.gov/ces/data/employment-and-earnings/2024/table1a_202411.htm - ce_ee_table1a.f.1" xr:uid="{0E7612D9-C773-47C3-9F43-51AA246A403C}"/>
    <hyperlink ref="B776" r:id="rId529" location="ce_ee_table1a.f.1" tooltip="Click to jump to footnotes at bottom of the table" display="https://www.bls.gov/ces/data/employment-and-earnings/2024/table1a_202411.htm - ce_ee_table1a.f.1" xr:uid="{DB2D5AD0-5929-4FB1-B841-78BDF920C0D1}"/>
    <hyperlink ref="B777" r:id="rId530" location="ce_ee_table1a.f.1" tooltip="Click to jump to footnotes at bottom of the table" display="https://www.bls.gov/ces/data/employment-and-earnings/2024/table1a_202411.htm - ce_ee_table1a.f.1" xr:uid="{2664D816-483C-46E6-B356-935A82151225}"/>
    <hyperlink ref="B778" r:id="rId531" location="ce_ee_table1a.f.1" tooltip="Click to jump to footnotes at bottom of the table" display="https://www.bls.gov/ces/data/employment-and-earnings/2024/table1a_202411.htm - ce_ee_table1a.f.1" xr:uid="{D69D3751-2F93-4EA2-B376-BD915453A03B}"/>
    <hyperlink ref="B779" r:id="rId532" location="ce_ee_table1a.f.1" tooltip="Click to jump to footnotes at bottom of the table" display="https://www.bls.gov/ces/data/employment-and-earnings/2024/table1a_202411.htm - ce_ee_table1a.f.1" xr:uid="{547B94E5-3CD6-4666-A953-44C01953440F}"/>
    <hyperlink ref="B780" r:id="rId533" location="ce_ee_table1a.f.1" tooltip="Click to jump to footnotes at bottom of the table" display="https://www.bls.gov/ces/data/employment-and-earnings/2024/table1a_202411.htm - ce_ee_table1a.f.1" xr:uid="{CD5BC59E-4D84-4508-9EBB-E18065ED0D2A}"/>
    <hyperlink ref="B781" r:id="rId534" location="ce_ee_table1a.f.1" tooltip="Click to jump to footnotes at bottom of the table" display="https://www.bls.gov/ces/data/employment-and-earnings/2024/table1a_202411.htm - ce_ee_table1a.f.1" xr:uid="{7C1AF308-FF62-4375-9F5D-2A5D86560203}"/>
    <hyperlink ref="B782" r:id="rId535" location="ce_ee_table1a.f.1" tooltip="Click to jump to footnotes at bottom of the table" display="https://www.bls.gov/ces/data/employment-and-earnings/2024/table1a_202411.htm - ce_ee_table1a.f.1" xr:uid="{C7DE8726-29BA-499A-B392-4841A11B84A8}"/>
    <hyperlink ref="B783" r:id="rId536" location="ce_ee_table1a.f.1" tooltip="Click to jump to footnotes at bottom of the table" display="https://www.bls.gov/ces/data/employment-and-earnings/2024/table1a_202411.htm - ce_ee_table1a.f.1" xr:uid="{1A9BEA09-35AB-4D0E-8748-89CCF042360C}"/>
    <hyperlink ref="B785" r:id="rId537" location="ce_ee_table1a.f.1" tooltip="Click to jump to footnotes at bottom of the table" display="https://www.bls.gov/ces/data/employment-and-earnings/2024/table1a_202411.htm - ce_ee_table1a.f.1" xr:uid="{2D4B2ADB-B92D-4CB3-8188-D31669419A36}"/>
    <hyperlink ref="B786" r:id="rId538" location="ce_ee_table1a.f.1" tooltip="Click to jump to footnotes at bottom of the table" display="https://www.bls.gov/ces/data/employment-and-earnings/2024/table1a_202411.htm - ce_ee_table1a.f.1" xr:uid="{9946E1CA-D4CE-40BF-B1F9-D383FC40262D}"/>
    <hyperlink ref="B788" r:id="rId539" location="ce_ee_table1a.f.1" tooltip="Click to jump to footnotes at bottom of the table" display="https://www.bls.gov/ces/data/employment-and-earnings/2024/table1a_202411.htm - ce_ee_table1a.f.1" xr:uid="{198CD485-B2E6-4643-85CF-B96427D0DB25}"/>
    <hyperlink ref="B789" r:id="rId540" location="ce_ee_table1a.f.1" tooltip="Click to jump to footnotes at bottom of the table" display="https://www.bls.gov/ces/data/employment-and-earnings/2024/table1a_202411.htm - ce_ee_table1a.f.1" xr:uid="{676F8184-FA34-4449-8FFB-C50BC5DF51D5}"/>
    <hyperlink ref="B790" r:id="rId541" location="ce_ee_table1a.f.1" tooltip="Click to jump to footnotes at bottom of the table" display="https://www.bls.gov/ces/data/employment-and-earnings/2024/table1a_202411.htm - ce_ee_table1a.f.1" xr:uid="{85299747-049F-416A-96BC-B7C33E7D1006}"/>
    <hyperlink ref="B791" r:id="rId542" location="ce_ee_table1a.f.1" tooltip="Click to jump to footnotes at bottom of the table" display="https://www.bls.gov/ces/data/employment-and-earnings/2024/table1a_202411.htm - ce_ee_table1a.f.1" xr:uid="{4A9C05C7-7A22-4CC9-B955-FFD506FB2BB0}"/>
    <hyperlink ref="B792" r:id="rId543" location="ce_ee_table1a.f.1" tooltip="Click to jump to footnotes at bottom of the table" display="https://www.bls.gov/ces/data/employment-and-earnings/2024/table1a_202411.htm - ce_ee_table1a.f.1" xr:uid="{2687C6A2-776A-4FFF-92D9-1115E0C4452D}"/>
    <hyperlink ref="B793" r:id="rId544" location="ce_ee_table1a.f.1" tooltip="Click to jump to footnotes at bottom of the table" display="https://www.bls.gov/ces/data/employment-and-earnings/2024/table1a_202411.htm - ce_ee_table1a.f.1" xr:uid="{D73099BD-834C-4CFF-B5D1-E0867995606A}"/>
    <hyperlink ref="B794" r:id="rId545" location="ce_ee_table1a.f.1" tooltip="Click to jump to footnotes at bottom of the table" display="https://www.bls.gov/ces/data/employment-and-earnings/2024/table1a_202411.htm - ce_ee_table1a.f.1" xr:uid="{D0744741-8493-46AC-9778-F6D05F3A084D}"/>
    <hyperlink ref="B795" r:id="rId546" location="ce_ee_table1a.f.1" tooltip="Click to jump to footnotes at bottom of the table" display="https://www.bls.gov/ces/data/employment-and-earnings/2024/table1a_202411.htm - ce_ee_table1a.f.1" xr:uid="{28E0D699-1AA7-4A9D-8AAD-2C5BB9C12782}"/>
    <hyperlink ref="B796" r:id="rId547" location="ce_ee_table1a.f.1" tooltip="Click to jump to footnotes at bottom of the table" display="https://www.bls.gov/ces/data/employment-and-earnings/2024/table1a_202411.htm - ce_ee_table1a.f.1" xr:uid="{26DA0C77-F5C8-46DE-9777-BE5AA30DC7CB}"/>
    <hyperlink ref="B797" r:id="rId548" location="ce_ee_table1a.f.1" tooltip="Click to jump to footnotes at bottom of the table" display="https://www.bls.gov/ces/data/employment-and-earnings/2024/table1a_202411.htm - ce_ee_table1a.f.1" xr:uid="{AB2A541A-976A-498E-8F27-3FF5A75A162C}"/>
    <hyperlink ref="B798" r:id="rId549" location="ce_ee_table1a.f.1" tooltip="Click to jump to footnotes at bottom of the table" display="https://www.bls.gov/ces/data/employment-and-earnings/2024/table1a_202411.htm - ce_ee_table1a.f.1" xr:uid="{FCC13B87-1D1B-4A32-9D47-4DADA732C9F7}"/>
    <hyperlink ref="B801" r:id="rId550" location="ce_ee_table1a.f.1" tooltip="Click to jump to footnotes at bottom of the table" display="https://www.bls.gov/ces/data/employment-and-earnings/2024/table1a_202411.htm - ce_ee_table1a.f.1" xr:uid="{AF37CE4A-3253-4BB6-B909-719774374515}"/>
    <hyperlink ref="B802" r:id="rId551" location="ce_ee_table1a.f.1" tooltip="Click to jump to footnotes at bottom of the table" display="https://www.bls.gov/ces/data/employment-and-earnings/2024/table1a_202411.htm - ce_ee_table1a.f.1" xr:uid="{09211417-A15C-4A3E-BE99-3A6969376478}"/>
    <hyperlink ref="B803" r:id="rId552" location="ce_ee_table1a.f.1" tooltip="Click to jump to footnotes at bottom of the table" display="https://www.bls.gov/ces/data/employment-and-earnings/2024/table1a_202411.htm - ce_ee_table1a.f.1" xr:uid="{177DA4C7-7C0B-413B-B10F-439B44A3D3B0}"/>
    <hyperlink ref="B804" r:id="rId553" location="ce_ee_table1a.f.1" tooltip="Click to jump to footnotes at bottom of the table" display="https://www.bls.gov/ces/data/employment-and-earnings/2024/table1a_202411.htm - ce_ee_table1a.f.1" xr:uid="{22AC50BA-6FFF-48D9-9D35-4B8EF47058E7}"/>
    <hyperlink ref="B805" r:id="rId554" location="ce_ee_table1a.f.1" tooltip="Click to jump to footnotes at bottom of the table" display="https://www.bls.gov/ces/data/employment-and-earnings/2024/table1a_202411.htm - ce_ee_table1a.f.1" xr:uid="{1C7D6870-B0F2-48B3-B56C-03B878B8A4ED}"/>
    <hyperlink ref="B806" r:id="rId555" location="ce_ee_table1a.f.1" tooltip="Click to jump to footnotes at bottom of the table" display="https://www.bls.gov/ces/data/employment-and-earnings/2024/table1a_202411.htm - ce_ee_table1a.f.1" xr:uid="{A843C368-9785-4EF1-8E3C-D3FBB8E67797}"/>
    <hyperlink ref="B807" r:id="rId556" location="ce_ee_table1a.f.1" tooltip="Click to jump to footnotes at bottom of the table" display="https://www.bls.gov/ces/data/employment-and-earnings/2024/table1a_202411.htm - ce_ee_table1a.f.1" xr:uid="{0769A858-7C7D-4C63-8EDA-186D75A13939}"/>
    <hyperlink ref="B809" r:id="rId557" location="ce_ee_table1a.f.1" tooltip="Click to jump to footnotes at bottom of the table" display="https://www.bls.gov/ces/data/employment-and-earnings/2024/table1a_202411.htm - ce_ee_table1a.f.1" xr:uid="{D4771CA8-30CF-46EA-8557-F4D3937CBF54}"/>
    <hyperlink ref="B810" r:id="rId558" location="ce_ee_table1a.f.1" tooltip="Click to jump to footnotes at bottom of the table" display="https://www.bls.gov/ces/data/employment-and-earnings/2024/table1a_202411.htm - ce_ee_table1a.f.1" xr:uid="{BBD5D5C6-46A3-4D10-91F1-981D2C1A3AC4}"/>
    <hyperlink ref="B811" r:id="rId559" location="ce_ee_table1a.f.1" tooltip="Click to jump to footnotes at bottom of the table" display="https://www.bls.gov/ces/data/employment-and-earnings/2024/table1a_202411.htm - ce_ee_table1a.f.1" xr:uid="{58D77C5D-AFD7-4DF4-A121-97685AF2FEF7}"/>
    <hyperlink ref="B812" r:id="rId560" location="ce_ee_table1a.f.1" tooltip="Click to jump to footnotes at bottom of the table" display="https://www.bls.gov/ces/data/employment-and-earnings/2024/table1a_202411.htm - ce_ee_table1a.f.1" xr:uid="{DDAAF683-3EC6-420C-9010-215E4DEB862D}"/>
    <hyperlink ref="B813" r:id="rId561" location="ce_ee_table1a.f.1" tooltip="Click to jump to footnotes at bottom of the table" display="https://www.bls.gov/ces/data/employment-and-earnings/2024/table1a_202411.htm - ce_ee_table1a.f.1" xr:uid="{B98E7CC7-6BBE-4C54-9430-9E915314D685}"/>
    <hyperlink ref="B814" r:id="rId562" location="ce_ee_table1a.f.1" tooltip="Click to jump to footnotes at bottom of the table" display="https://www.bls.gov/ces/data/employment-and-earnings/2024/table1a_202411.htm - ce_ee_table1a.f.1" xr:uid="{ECD337AA-E3A5-4CE5-A59A-1FDA2D3955DB}"/>
    <hyperlink ref="B815" r:id="rId563" location="ce_ee_table1a.f.1" tooltip="Click to jump to footnotes at bottom of the table" display="https://www.bls.gov/ces/data/employment-and-earnings/2024/table1a_202411.htm - ce_ee_table1a.f.1" xr:uid="{718BA7C2-E4C5-4732-89FA-BDCC2CAFE0CC}"/>
    <hyperlink ref="B816" r:id="rId564" location="ce_ee_table1a.f.1" tooltip="Click to jump to footnotes at bottom of the table" display="https://www.bls.gov/ces/data/employment-and-earnings/2024/table1a_202411.htm - ce_ee_table1a.f.1" xr:uid="{58002974-388A-4301-97D9-5A74F80F43AE}"/>
    <hyperlink ref="B817" r:id="rId565" location="ce_ee_table1a.f.1" tooltip="Click to jump to footnotes at bottom of the table" display="https://www.bls.gov/ces/data/employment-and-earnings/2024/table1a_202411.htm - ce_ee_table1a.f.1" xr:uid="{B9AC97E7-5D1D-45A7-A7C4-A634DE1CFE28}"/>
    <hyperlink ref="B821" r:id="rId566" location="ce_ee_table1a.f.1" tooltip="Click to jump to footnotes at bottom of the table" display="https://www.bls.gov/ces/data/employment-and-earnings/2024/table1a_202411.htm - ce_ee_table1a.f.1" xr:uid="{D82113D6-0381-4438-BCCF-CCCD6404D730}"/>
    <hyperlink ref="B822" r:id="rId567" location="ce_ee_table1a.f.1" tooltip="Click to jump to footnotes at bottom of the table" display="https://www.bls.gov/ces/data/employment-and-earnings/2024/table1a_202411.htm - ce_ee_table1a.f.1" xr:uid="{51A50B34-D3FD-4FC6-BD67-76BFF8DA639E}"/>
    <hyperlink ref="B823" r:id="rId568" location="ce_ee_table1a.f.1" tooltip="Click to jump to footnotes at bottom of the table" display="https://www.bls.gov/ces/data/employment-and-earnings/2024/table1a_202411.htm - ce_ee_table1a.f.1" xr:uid="{38150708-12D4-46F1-8D17-55F657992AC2}"/>
    <hyperlink ref="B824" r:id="rId569" location="ce_ee_table1a.f.1" tooltip="Click to jump to footnotes at bottom of the table" display="https://www.bls.gov/ces/data/employment-and-earnings/2024/table1a_202411.htm - ce_ee_table1a.f.1" xr:uid="{C5C18542-1F11-4494-82FC-9BA23D6C1130}"/>
    <hyperlink ref="B825" r:id="rId570" location="ce_ee_table1a.f.1" tooltip="Click to jump to footnotes at bottom of the table" display="https://www.bls.gov/ces/data/employment-and-earnings/2024/table1a_202411.htm - ce_ee_table1a.f.1" xr:uid="{231EB676-4A85-41C8-83CB-45030926207A}"/>
    <hyperlink ref="B826" r:id="rId571" location="ce_ee_table1a.f.1" tooltip="Click to jump to footnotes at bottom of the table" display="https://www.bls.gov/ces/data/employment-and-earnings/2024/table1a_202411.htm - ce_ee_table1a.f.1" xr:uid="{C18E115C-D302-4857-B160-E2F42796B8F7}"/>
    <hyperlink ref="B827" r:id="rId572" location="ce_ee_table1a.f.1" tooltip="Click to jump to footnotes at bottom of the table" display="https://www.bls.gov/ces/data/employment-and-earnings/2024/table1a_202411.htm - ce_ee_table1a.f.1" xr:uid="{013C2A52-14A4-4FAB-8F89-C5DDE420ED32}"/>
    <hyperlink ref="B828" r:id="rId573" location="ce_ee_table1a.f.1" tooltip="Click to jump to footnotes at bottom of the table" display="https://www.bls.gov/ces/data/employment-and-earnings/2024/table1a_202411.htm - ce_ee_table1a.f.1" xr:uid="{72E8535E-B79C-4FBA-8823-B3BD3EE27150}"/>
    <hyperlink ref="B829" r:id="rId574" location="ce_ee_table1a.f.1" tooltip="Click to jump to footnotes at bottom of the table" display="https://www.bls.gov/ces/data/employment-and-earnings/2024/table1a_202411.htm - ce_ee_table1a.f.1" xr:uid="{D332315F-D5C2-4DB3-9A59-B1A43CA2DABE}"/>
    <hyperlink ref="B830" r:id="rId575" location="ce_ee_table1a.f.1" tooltip="Click to jump to footnotes at bottom of the table" display="https://www.bls.gov/ces/data/employment-and-earnings/2024/table1a_202411.htm - ce_ee_table1a.f.1" xr:uid="{072D029B-15F0-4CF8-A988-6ED39350A703}"/>
    <hyperlink ref="B831" r:id="rId576" location="ce_ee_table1a.f.1" tooltip="Click to jump to footnotes at bottom of the table" display="https://www.bls.gov/ces/data/employment-and-earnings/2024/table1a_202411.htm - ce_ee_table1a.f.1" xr:uid="{1C8B0BB4-B182-4478-8B0E-33D6C485A210}"/>
    <hyperlink ref="B832" r:id="rId577" location="ce_ee_table1a.f.1" tooltip="Click to jump to footnotes at bottom of the table" display="https://www.bls.gov/ces/data/employment-and-earnings/2024/table1a_202411.htm - ce_ee_table1a.f.1" xr:uid="{A55E4437-FE06-4A45-8AD2-7D34718924AE}"/>
    <hyperlink ref="B833" r:id="rId578" location="ce_ee_table1a.f.1" tooltip="Click to jump to footnotes at bottom of the table" display="https://www.bls.gov/ces/data/employment-and-earnings/2024/table1a_202411.htm - ce_ee_table1a.f.1" xr:uid="{3D34611B-BBFC-4685-A615-115A6A71B7BC}"/>
    <hyperlink ref="B835" r:id="rId579" location="ce_ee_table1a.f.1" tooltip="Click to jump to footnotes at bottom of the table" display="https://www.bls.gov/ces/data/employment-and-earnings/2024/table1a_202411.htm - ce_ee_table1a.f.1" xr:uid="{9F7C9B77-8F17-4394-B563-EE16E658EA59}"/>
    <hyperlink ref="B836" r:id="rId580" location="ce_ee_table1a.f.1" tooltip="Click to jump to footnotes at bottom of the table" display="https://www.bls.gov/ces/data/employment-and-earnings/2024/table1a_202411.htm - ce_ee_table1a.f.1" xr:uid="{6203607D-BC07-46F0-8770-006DD12E75F5}"/>
    <hyperlink ref="B837" r:id="rId581" location="ce_ee_table1a.f.1" tooltip="Click to jump to footnotes at bottom of the table" display="https://www.bls.gov/ces/data/employment-and-earnings/2024/table1a_202411.htm - ce_ee_table1a.f.1" xr:uid="{0D60F253-C155-43B5-B9CA-78EFD1360B36}"/>
    <hyperlink ref="B838" r:id="rId582" location="ce_ee_table1a.f.1" tooltip="Click to jump to footnotes at bottom of the table" display="https://www.bls.gov/ces/data/employment-and-earnings/2024/table1a_202411.htm - ce_ee_table1a.f.1" xr:uid="{9B0B7125-1095-4EAA-A853-6C7708E7484C}"/>
    <hyperlink ref="B839" r:id="rId583" location="ce_ee_table1a.f.1" tooltip="Click to jump to footnotes at bottom of the table" display="https://www.bls.gov/ces/data/employment-and-earnings/2024/table1a_202411.htm - ce_ee_table1a.f.1" xr:uid="{9A4FA6DB-A21F-4115-B1CE-5E80D092CE42}"/>
    <hyperlink ref="B840" r:id="rId584" location="ce_ee_table1a.f.1" tooltip="Click to jump to footnotes at bottom of the table" display="https://www.bls.gov/ces/data/employment-and-earnings/2024/table1a_202411.htm - ce_ee_table1a.f.1" xr:uid="{15295CB0-1CEF-414E-8B6A-28F2499FCB12}"/>
    <hyperlink ref="B841" r:id="rId585" location="ce_ee_table1a.f.1" tooltip="Click to jump to footnotes at bottom of the table" display="https://www.bls.gov/ces/data/employment-and-earnings/2024/table1a_202411.htm - ce_ee_table1a.f.1" xr:uid="{094780FB-1D7D-4EC3-A6AC-66C9BFA4A3A3}"/>
    <hyperlink ref="B842" r:id="rId586" location="ce_ee_table1a.f.1" tooltip="Click to jump to footnotes at bottom of the table" display="https://www.bls.gov/ces/data/employment-and-earnings/2024/table1a_202411.htm - ce_ee_table1a.f.1" xr:uid="{703A5306-92B7-4A87-B073-8089C0CBB10C}"/>
    <hyperlink ref="B843" r:id="rId587" location="ce_ee_table1a.f.1" tooltip="Click to jump to footnotes at bottom of the table" display="https://www.bls.gov/ces/data/employment-and-earnings/2024/table1a_202411.htm - ce_ee_table1a.f.1" xr:uid="{47899A78-0D3B-4E65-BCA6-886C8355305F}"/>
    <hyperlink ref="B844" r:id="rId588" location="ce_ee_table1a.f.1" tooltip="Click to jump to footnotes at bottom of the table" display="https://www.bls.gov/ces/data/employment-and-earnings/2024/table1a_202411.htm - ce_ee_table1a.f.1" xr:uid="{B19F5E31-B01B-441C-A75E-344FA31DE167}"/>
    <hyperlink ref="B845" r:id="rId589" location="ce_ee_table1a.f.1" tooltip="Click to jump to footnotes at bottom of the table" display="https://www.bls.gov/ces/data/employment-and-earnings/2024/table1a_202411.htm - ce_ee_table1a.f.1" xr:uid="{6C2FB856-52C3-4998-B2EF-515E05E4D8B4}"/>
    <hyperlink ref="B846" r:id="rId590" location="ce_ee_table1a.f.1" tooltip="Click to jump to footnotes at bottom of the table" display="https://www.bls.gov/ces/data/employment-and-earnings/2024/table1a_202411.htm - ce_ee_table1a.f.1" xr:uid="{93C5534A-A906-4C3D-957A-5BA86368638D}"/>
    <hyperlink ref="B847" r:id="rId591" location="ce_ee_table1a.f.1" tooltip="Click to jump to footnotes at bottom of the table" display="https://www.bls.gov/ces/data/employment-and-earnings/2024/table1a_202411.htm - ce_ee_table1a.f.1" xr:uid="{28736714-25D7-4134-A2AA-645D37902F64}"/>
    <hyperlink ref="B848" r:id="rId592" location="ce_ee_table1a.f.1" tooltip="Click to jump to footnotes at bottom of the table" display="https://www.bls.gov/ces/data/employment-and-earnings/2024/table1a_202411.htm - ce_ee_table1a.f.1" xr:uid="{6B3CFFE2-7700-4A85-A2B1-029EE6A1825B}"/>
    <hyperlink ref="B849" r:id="rId593" location="ce_ee_table1a.f.1" tooltip="Click to jump to footnotes at bottom of the table" display="https://www.bls.gov/ces/data/employment-and-earnings/2024/table1a_202411.htm - ce_ee_table1a.f.1" xr:uid="{CBD5FB0C-FB0C-477A-839F-AED0D5FC372D}"/>
    <hyperlink ref="B850" r:id="rId594" location="ce_ee_table1a.f.1" tooltip="Click to jump to footnotes at bottom of the table" display="https://www.bls.gov/ces/data/employment-and-earnings/2024/table1a_202411.htm - ce_ee_table1a.f.1" xr:uid="{253E78DF-A14D-4F00-88D7-62659EF2096F}"/>
    <hyperlink ref="B851" r:id="rId595" location="ce_ee_table1a.f.1" tooltip="Click to jump to footnotes at bottom of the table" display="https://www.bls.gov/ces/data/employment-and-earnings/2024/table1a_202411.htm - ce_ee_table1a.f.1" xr:uid="{289D9820-134B-43C4-B18F-57F49291F1F3}"/>
    <hyperlink ref="B852" r:id="rId596" location="ce_ee_table1a.f.1" tooltip="Click to jump to footnotes at bottom of the table" display="https://www.bls.gov/ces/data/employment-and-earnings/2024/table1a_202411.htm - ce_ee_table1a.f.1" xr:uid="{97FBA419-B52C-4C36-8497-1321EAA0542F}"/>
    <hyperlink ref="B854" r:id="rId597" location="ce_ee_table1a.f.1" tooltip="Click to jump to footnotes at bottom of the table" display="https://www.bls.gov/ces/data/employment-and-earnings/2024/table1a_202411.htm - ce_ee_table1a.f.1" xr:uid="{9EB93BE9-3357-458B-A7B6-E845BE0348DF}"/>
    <hyperlink ref="B855" r:id="rId598" location="ce_ee_table1a.f.1" tooltip="Click to jump to footnotes at bottom of the table" display="https://www.bls.gov/ces/data/employment-and-earnings/2024/table1a_202411.htm - ce_ee_table1a.f.1" xr:uid="{27C29975-C4BD-4B1A-9A8C-2C09390274FD}"/>
    <hyperlink ref="B856" r:id="rId599" location="ce_ee_table1a.f.1" tooltip="Click to jump to footnotes at bottom of the table" display="https://www.bls.gov/ces/data/employment-and-earnings/2024/table1a_202411.htm - ce_ee_table1a.f.1" xr:uid="{30003ACE-A318-4447-95E4-F95A87906E68}"/>
    <hyperlink ref="B857" r:id="rId600" location="ce_ee_table1a.f.1" tooltip="Click to jump to footnotes at bottom of the table" display="https://www.bls.gov/ces/data/employment-and-earnings/2024/table1a_202411.htm - ce_ee_table1a.f.1" xr:uid="{C58FEB68-CDF2-42DB-9FC3-B21F0CB0C63F}"/>
    <hyperlink ref="B858" r:id="rId601" location="ce_ee_table1a.f.1" tooltip="Click to jump to footnotes at bottom of the table" display="https://www.bls.gov/ces/data/employment-and-earnings/2024/table1a_202411.htm - ce_ee_table1a.f.1" xr:uid="{449254A3-ECAF-459B-A13E-C199F2B7177E}"/>
    <hyperlink ref="B859" r:id="rId602" location="ce_ee_table1a.f.1" tooltip="Click to jump to footnotes at bottom of the table" display="https://www.bls.gov/ces/data/employment-and-earnings/2024/table1a_202411.htm - ce_ee_table1a.f.1" xr:uid="{51490FB8-2123-45D5-B5B5-5B2A00FED690}"/>
    <hyperlink ref="B860" r:id="rId603" location="ce_ee_table1a.f.1" tooltip="Click to jump to footnotes at bottom of the table" display="https://www.bls.gov/ces/data/employment-and-earnings/2024/table1a_202411.htm - ce_ee_table1a.f.1" xr:uid="{52962A02-46BC-4165-A436-91DEA1C260FC}"/>
    <hyperlink ref="B861" r:id="rId604" location="ce_ee_table1a.f.1" tooltip="Click to jump to footnotes at bottom of the table" display="https://www.bls.gov/ces/data/employment-and-earnings/2024/table1a_202411.htm - ce_ee_table1a.f.1" xr:uid="{205D4F9A-BAC2-4229-9648-CDAE457CCC70}"/>
    <hyperlink ref="B862" r:id="rId605" location="ce_ee_table1a.f.1" tooltip="Click to jump to footnotes at bottom of the table" display="https://www.bls.gov/ces/data/employment-and-earnings/2024/table1a_202411.htm - ce_ee_table1a.f.1" xr:uid="{9FFA0501-296D-41FA-8AE6-FB486BAF05D9}"/>
    <hyperlink ref="B863" r:id="rId606" location="ce_ee_table1a.f.1" tooltip="Click to jump to footnotes at bottom of the table" display="https://www.bls.gov/ces/data/employment-and-earnings/2024/table1a_202411.htm - ce_ee_table1a.f.1" xr:uid="{D555D0B0-3BD5-4700-B8D9-347D0EB4CD53}"/>
    <hyperlink ref="B864" r:id="rId607" location="ce_ee_table1a.f.1" tooltip="Click to jump to footnotes at bottom of the table" display="https://www.bls.gov/ces/data/employment-and-earnings/2024/table1a_202411.htm - ce_ee_table1a.f.1" xr:uid="{81C02A02-382C-4B46-A030-E50A8D73D613}"/>
    <hyperlink ref="B865" r:id="rId608" location="ce_ee_table1a.f.1" tooltip="Click to jump to footnotes at bottom of the table" display="https://www.bls.gov/ces/data/employment-and-earnings/2024/table1a_202411.htm - ce_ee_table1a.f.1" xr:uid="{1E941312-E28B-40AD-8132-B1C027913E94}"/>
    <hyperlink ref="B866" r:id="rId609" location="ce_ee_table1a.f.1" tooltip="Click to jump to footnotes at bottom of the table" display="https://www.bls.gov/ces/data/employment-and-earnings/2024/table1a_202411.htm - ce_ee_table1a.f.1" xr:uid="{48286E57-26F7-4365-9CDE-7A69C3E0F525}"/>
    <hyperlink ref="B871" r:id="rId610" location="ce_ee_table1a.f.1" tooltip="Click to jump to footnotes at bottom of the table" display="https://www.bls.gov/ces/data/employment-and-earnings/2024/table1a_202411.htm - ce_ee_table1a.f.1" xr:uid="{420FB5DE-53A5-4272-873D-3CADCDF8F0D3}"/>
    <hyperlink ref="B872" r:id="rId611" location="ce_ee_table1a.f.1" tooltip="Click to jump to footnotes at bottom of the table" display="https://www.bls.gov/ces/data/employment-and-earnings/2024/table1a_202411.htm - ce_ee_table1a.f.1" xr:uid="{B2DD061A-B98D-46FE-9B47-67557182F928}"/>
    <hyperlink ref="B873" r:id="rId612" location="ce_ee_table1a.f.5" tooltip="Click to jump to footnotes at bottom of the table" display="https://www.bls.gov/ces/data/employment-and-earnings/2024/table1a_202411.htm - ce_ee_table1a.f.5" xr:uid="{EF8194B0-8D40-411F-8CE3-E4FCF5D65EAB}"/>
    <hyperlink ref="B874" r:id="rId613" location="ce_ee_table1a.f.1" tooltip="Click to jump to footnotes at bottom of the table" display="https://www.bls.gov/ces/data/employment-and-earnings/2024/table1a_202411.htm - ce_ee_table1a.f.1" xr:uid="{78C4BE82-5B96-4054-8950-2D10C4D2C05B}"/>
    <hyperlink ref="B878" r:id="rId614" location="ce_ee_table1a.f.1" tooltip="Click to jump to footnotes at bottom of the table" display="https://www.bls.gov/ces/data/employment-and-earnings/2024/table1a_202411.htm - ce_ee_table1a.f.1" xr:uid="{B0654C20-1EE8-4983-95E8-CCE207850BF1}"/>
    <hyperlink ref="B879" r:id="rId615" location="ce_ee_table1a.f.1" tooltip="Click to jump to footnotes at bottom of the table" display="https://www.bls.gov/ces/data/employment-and-earnings/2024/table1a_202411.htm - ce_ee_table1a.f.1" xr:uid="{5911557D-3A15-48F7-B148-374BE7CF51AF}"/>
    <hyperlink ref="B880" r:id="rId616" location="ce_ee_table1a.f.1" tooltip="Click to jump to footnotes at bottom of the table" display="https://www.bls.gov/ces/data/employment-and-earnings/2024/table1a_202411.htm - ce_ee_table1a.f.1" xr:uid="{E0F8828F-53E1-4FC0-9B42-B7909E334BC9}"/>
    <hyperlink ref="B884" r:id="rId617" location="ce_ee_table1a.f.1" tooltip="Click to jump to footnotes at bottom of the table" display="https://www.bls.gov/ces/data/employment-and-earnings/2024/table1a_202411.htm - ce_ee_table1a.f.1" xr:uid="{4173CBD5-89BB-41D1-A46A-BDB4301B3F0A}"/>
    <hyperlink ref="B885" r:id="rId618" location="ce_ee_table1a.f.1" tooltip="Click to jump to footnotes at bottom of the table" display="https://www.bls.gov/ces/data/employment-and-earnings/2024/table1a_202411.htm - ce_ee_table1a.f.1" xr:uid="{CF45B524-095D-4685-A394-81A81704230B}"/>
    <hyperlink ref="B886" r:id="rId619" location="ce_ee_table1a.f.1" tooltip="Click to jump to footnotes at bottom of the table" display="https://www.bls.gov/ces/data/employment-and-earnings/2024/table1a_202411.htm - ce_ee_table1a.f.1" xr:uid="{8F31A572-8D2B-4B29-B79A-11F203256FD8}"/>
    <hyperlink ref="B887" r:id="rId620" location="ce_ee_table1a.f.1" tooltip="Click to jump to footnotes at bottom of the table" display="https://www.bls.gov/ces/data/employment-and-earnings/2024/table1a_202411.htm - ce_ee_table1a.f.1" xr:uid="{411CA5BE-8CD8-4E29-AF72-3DF5457ADE69}"/>
    <hyperlink ref="B888" r:id="rId621" location="ce_ee_table1a.f.1" tooltip="Click to jump to footnotes at bottom of the table" display="https://www.bls.gov/ces/data/employment-and-earnings/2024/table1a_202411.htm - ce_ee_table1a.f.1" xr:uid="{8A1C3E2C-FFEB-47D2-8960-AE41FECDE57A}"/>
    <hyperlink ref="B213" r:id="rId622" location="ce_ee_table1a.f.1" tooltip="Click to jump to footnotes at bottom of the table" display="https://www.bls.gov/ces/data/employment-and-earnings/2024/table1a_202411.htm - ce_ee_table1a.f.1" xr:uid="{6D956C94-3BDB-4E19-BEDF-EF2D0D35A900}"/>
    <hyperlink ref="B212" r:id="rId623" location="ce_ee_table1a.f.1" tooltip="Click to jump to footnotes at bottom of the table" display="https://www.bls.gov/ces/data/employment-and-earnings/2024/table1a_202411.htm - ce_ee_table1a.f.1" xr:uid="{3482629A-B284-47A0-B9DD-817679B8C974}"/>
    <hyperlink ref="B211" r:id="rId624" location="ce_ee_table1a.f.1" tooltip="Click to jump to footnotes at bottom of the table" display="https://www.bls.gov/ces/data/employment-and-earnings/2024/table1a_202411.htm - ce_ee_table1a.f.1" xr:uid="{5EBD33E9-E9DC-4AD8-A866-D463FE9B05D1}"/>
    <hyperlink ref="B210" r:id="rId625" location="ce_ee_table1a.f.1" tooltip="Click to jump to footnotes at bottom of the table" display="https://www.bls.gov/ces/data/employment-and-earnings/2024/table1a_202411.htm - ce_ee_table1a.f.1" xr:uid="{8D945121-A350-416E-90CE-7EFB352B2FB2}"/>
    <hyperlink ref="B201" r:id="rId626" location="ce_ee_table1a.f.1" tooltip="Click to jump to footnotes at bottom of the table" display="https://www.bls.gov/ces/data/employment-and-earnings/2024/table1a_202411.htm - ce_ee_table1a.f.1" xr:uid="{C2D6C9A4-6D01-4F52-946A-096EBC7F2C09}"/>
    <hyperlink ref="B202" r:id="rId627" location="ce_ee_table1a.f.1" tooltip="Click to jump to footnotes at bottom of the table" display="https://www.bls.gov/ces/data/employment-and-earnings/2024/table1a_202411.htm - ce_ee_table1a.f.1" xr:uid="{9EA786C2-3A7D-402F-98AF-1E4BC46BAF7E}"/>
    <hyperlink ref="B185" r:id="rId628" location="ce_ee_table1a.f.1" tooltip="Click to jump to footnotes at bottom of the table" display="https://www.bls.gov/ces/data/employment-and-earnings/2024/table1a_202411.htm - ce_ee_table1a.f.1" xr:uid="{BBB60170-5743-4C69-9A31-23809E57819D}"/>
    <hyperlink ref="B184" r:id="rId629" location="ce_ee_table1a.f.1" tooltip="Click to jump to footnotes at bottom of the table" display="https://www.bls.gov/ces/data/employment-and-earnings/2024/table1a_202411.htm - ce_ee_table1a.f.1" xr:uid="{82F5914A-0EDA-4E12-9D93-FDAB97CC8DE9}"/>
    <hyperlink ref="B183" r:id="rId630" location="ce_ee_table1a.f.1" tooltip="Click to jump to footnotes at bottom of the table" display="https://www.bls.gov/ces/data/employment-and-earnings/2024/table1a_202411.htm - ce_ee_table1a.f.1" xr:uid="{4A31FDD0-0E19-439E-9FE3-62B1B160E279}"/>
    <hyperlink ref="B182" r:id="rId631" location="ce_ee_table1a.f.1" tooltip="Click to jump to footnotes at bottom of the table" display="https://www.bls.gov/ces/data/employment-and-earnings/2024/table1a_202411.htm - ce_ee_table1a.f.1" xr:uid="{0702A353-1021-4CB0-831A-331DDAD5C210}"/>
    <hyperlink ref="B157" r:id="rId632" location="ce_ee_table1a.f.1" tooltip="Click to jump to footnotes at bottom of the table" display="https://www.bls.gov/ces/data/employment-and-earnings/2024/table1a_202411.htm - ce_ee_table1a.f.1" xr:uid="{1536BA07-E58C-4F7A-AE44-E74675746B62}"/>
    <hyperlink ref="B156" r:id="rId633" location="ce_ee_table1a.f.1" tooltip="Click to jump to footnotes at bottom of the table" display="https://www.bls.gov/ces/data/employment-and-earnings/2024/table1a_202411.htm - ce_ee_table1a.f.1" xr:uid="{45D0EF42-B7CF-4291-B194-47C5EC023628}"/>
    <hyperlink ref="B155" r:id="rId634" location="ce_ee_table1a.f.1" tooltip="Click to jump to footnotes at bottom of the table" display="https://www.bls.gov/ces/data/employment-and-earnings/2024/table1a_202411.htm - ce_ee_table1a.f.1" xr:uid="{82A1FF63-952C-45B1-ABB6-7EADB636DBE5}"/>
    <hyperlink ref="B154" r:id="rId635" location="ce_ee_table1a.f.1" tooltip="Click to jump to footnotes at bottom of the table" display="https://www.bls.gov/ces/data/employment-and-earnings/2024/table1a_202411.htm - ce_ee_table1a.f.1" xr:uid="{64156756-BE3E-4F77-9777-9106124F3F4F}"/>
    <hyperlink ref="B153" r:id="rId636" location="ce_ee_table1a.f.1" tooltip="Click to jump to footnotes at bottom of the table" display="https://www.bls.gov/ces/data/employment-and-earnings/2024/table1a_202411.htm - ce_ee_table1a.f.1" xr:uid="{BFF3BEB8-E5C9-44A8-96AD-0BFBC37A6EC5}"/>
    <hyperlink ref="B152" r:id="rId637" location="ce_ee_table1a.f.1" tooltip="Click to jump to footnotes at bottom of the table" display="https://www.bls.gov/ces/data/employment-and-earnings/2024/table1a_202411.htm - ce_ee_table1a.f.1" xr:uid="{40D921A8-06A9-40BE-B3A0-C311E5B6DEDD}"/>
    <hyperlink ref="B60" r:id="rId638" location="ce_ee_table1a.f.1" tooltip="Click to jump to footnotes at bottom of the table" display="https://www.bls.gov/ces/data/employment-and-earnings/2024/table1a_202411.htm - ce_ee_table1a.f.1" xr:uid="{8D5E528A-5F47-4CF2-94C4-850F0BA8CD9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Q2"/>
  <sheetViews>
    <sheetView tabSelected="1" workbookViewId="0">
      <selection activeCell="A3" sqref="A3"/>
    </sheetView>
  </sheetViews>
  <sheetFormatPr defaultRowHeight="14.5" x14ac:dyDescent="0.35"/>
  <cols>
    <col min="1" max="1" width="20.1796875" customWidth="1"/>
    <col min="2" max="26" width="10.1796875" customWidth="1"/>
    <col min="27" max="27" width="13.81640625" customWidth="1"/>
    <col min="28" max="28" width="10.7265625" customWidth="1"/>
    <col min="29" max="43" width="10.1796875" customWidth="1"/>
  </cols>
  <sheetData>
    <row r="1" spans="1:43" s="4" customFormat="1" ht="15" thickBot="1" x14ac:dyDescent="0.4">
      <c r="A1" s="23" t="s">
        <v>34</v>
      </c>
      <c r="B1" s="28" t="s">
        <v>2</v>
      </c>
      <c r="C1" s="24" t="s">
        <v>40</v>
      </c>
      <c r="D1" s="25" t="s">
        <v>41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24" t="s">
        <v>36</v>
      </c>
      <c r="M1" s="25" t="s">
        <v>37</v>
      </c>
      <c r="N1" s="4" t="s">
        <v>10</v>
      </c>
      <c r="O1" s="24" t="s">
        <v>85</v>
      </c>
      <c r="P1" s="25" t="s">
        <v>86</v>
      </c>
      <c r="Q1" s="24" t="s">
        <v>87</v>
      </c>
      <c r="R1" s="25" t="s">
        <v>88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24" t="s">
        <v>89</v>
      </c>
      <c r="AA1" s="26" t="s">
        <v>90</v>
      </c>
      <c r="AB1" s="25" t="s">
        <v>91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</row>
    <row r="2" spans="1:43" ht="15" thickBot="1" x14ac:dyDescent="0.4">
      <c r="A2" s="6" t="s">
        <v>1017</v>
      </c>
      <c r="B2" s="63">
        <f>SUMIF('BLS Employment'!$A:$A,BEbIC!B1,'BLS Employment'!$G:$G)*1000+'BLS Employment'!B5</f>
        <v>2292200</v>
      </c>
      <c r="C2" s="59">
        <f>SUMIF('BLS Employment'!$A:$A,BEbIC!C1,'BLS Employment'!$G:$G)*1000</f>
        <v>43200</v>
      </c>
      <c r="D2" s="60">
        <f>SUMIF('BLS Employment'!$A:$A,BEbIC!D1,'BLS Employment'!$G:$G)*1000</f>
        <v>119600</v>
      </c>
      <c r="E2" s="61">
        <f>SUMIF('BLS Employment'!$A:$A,BEbIC!E1,'BLS Employment'!$G:$G)*1000</f>
        <v>189000</v>
      </c>
      <c r="F2" s="61">
        <f>SUMIF('BLS Employment'!$A:$A,BEbIC!F1,'BLS Employment'!$G:$G)*1000</f>
        <v>289600</v>
      </c>
      <c r="G2" s="61">
        <f>SUMIF('BLS Employment'!$A:$A,BEbIC!G1,'BLS Employment'!$G:$G)*1000</f>
        <v>2106173.0159732304</v>
      </c>
      <c r="H2" s="61">
        <f>SUMIF('BLS Employment'!$A:$A,BEbIC!H1,'BLS Employment'!$G:$G)*1000</f>
        <v>271926.98402676935</v>
      </c>
      <c r="I2" s="61">
        <f>SUMIF('BLS Employment'!$A:$A,BEbIC!I1,'BLS Employment'!$G:$G)*1000</f>
        <v>413600</v>
      </c>
      <c r="J2" s="61">
        <f>SUMIF('BLS Employment'!$A:$A,BEbIC!J1,'BLS Employment'!$G:$G)*1000</f>
        <v>709300</v>
      </c>
      <c r="K2" s="61">
        <f>SUMIF('BLS Employment'!$A:$A,BEbIC!K1,'BLS Employment'!$G:$G)*1000</f>
        <v>88203.803676773226</v>
      </c>
      <c r="L2" s="59">
        <f>SUMIF('BLS Employment'!$A:$A,BEbIC!L1,'BLS Employment'!$G:$G)*1000</f>
        <v>557200</v>
      </c>
      <c r="M2" s="60">
        <f>SUMIF('BLS Employment'!$A:$A,BEbIC!M1,'BLS Employment'!$G:$G)*1000</f>
        <v>343400</v>
      </c>
      <c r="N2" s="61">
        <f>SUMIF('BLS Employment'!$A:$A,BEbIC!N1,'BLS Employment'!$G:$G)*1000</f>
        <v>720600</v>
      </c>
      <c r="O2" s="59">
        <f>SUMIF('BLS Employment'!$A:$A,BEbIC!O1,'BLS Employment'!$G:$G)*1000</f>
        <v>77600</v>
      </c>
      <c r="P2" s="60">
        <f>SUMIF('BLS Employment'!$A:$A,BEbIC!P1,'BLS Employment'!$G:$G)*1000</f>
        <v>347200</v>
      </c>
      <c r="Q2" s="59">
        <f>SUMIF('BLS Employment'!$A:$A,BEbIC!Q1,'BLS Employment'!$G:$G)*1000</f>
        <v>212496.19632322676</v>
      </c>
      <c r="R2" s="60">
        <f>SUMIF('BLS Employment'!$A:$A,BEbIC!R1,'BLS Employment'!$G:$G)*1000</f>
        <v>177500</v>
      </c>
      <c r="S2" s="61">
        <f>SUMIF('BLS Employment'!$A:$A,BEbIC!S1,'BLS Employment'!$G:$G)*1000</f>
        <v>1459500</v>
      </c>
      <c r="T2" s="61">
        <f>SUMIF('BLS Employment'!$A:$A,BEbIC!T1,'BLS Employment'!$G:$G)*1000</f>
        <v>1096700</v>
      </c>
      <c r="U2" s="61">
        <f>SUMIF('BLS Employment'!$A:$A,BEbIC!U1,'BLS Employment'!$G:$G)*1000</f>
        <v>402400</v>
      </c>
      <c r="V2" s="61">
        <f>SUMIF('BLS Employment'!$A:$A,BEbIC!V1,'BLS Employment'!$G:$G)*1000</f>
        <v>1132000</v>
      </c>
      <c r="W2" s="61">
        <f>SUMIF('BLS Employment'!$A:$A,BEbIC!W1,'BLS Employment'!$G:$G)*1000</f>
        <v>1062500</v>
      </c>
      <c r="X2" s="61">
        <f>SUMIF('BLS Employment'!$A:$A,BEbIC!X1,'BLS Employment'!$G:$G)*1000</f>
        <v>774700</v>
      </c>
      <c r="Y2" s="61">
        <f>SUMIF('BLS Employment'!$A:$A,BEbIC!Y1,'BLS Employment'!$G:$G)*1000</f>
        <v>1209200</v>
      </c>
      <c r="Z2" s="59">
        <f>SUMIF('BLS Employment'!$A:$A,BEbIC!Z1,'BLS Employment'!$G:$G)*1000</f>
        <v>414100</v>
      </c>
      <c r="AA2" s="62">
        <f>SUMIF('BLS Employment'!$A:$A,BEbIC!AA1,'BLS Employment'!$G:$G)*1000</f>
        <v>115100</v>
      </c>
      <c r="AB2" s="60">
        <f>SUMIF('BLS Employment'!$A:$A,BEbIC!AB1,'BLS Employment'!$G:$G)*1000</f>
        <v>585800.00000000012</v>
      </c>
      <c r="AC2" s="61">
        <f>SUMIF('BLS Employment'!$A:$A,BEbIC!AC1,'BLS Employment'!$G:$G)*1000</f>
        <v>8301000</v>
      </c>
      <c r="AD2" s="61">
        <f>SUMIF('BLS Employment'!$A:$A,BEbIC!AD1,'BLS Employment'!$G:$G)*1000</f>
        <v>22877000</v>
      </c>
      <c r="AE2" s="61">
        <f>SUMIF('BLS Employment'!$A:$A,BEbIC!AE1,'BLS Employment'!$G:$G)*1000</f>
        <v>6627800</v>
      </c>
      <c r="AF2" s="61">
        <f>SUMIF('BLS Employment'!$A:$A,BEbIC!AF1,'BLS Employment'!$G:$G)*1000</f>
        <v>14342900</v>
      </c>
      <c r="AG2" s="61">
        <f>SUMIF('BLS Employment'!$A:$A,BEbIC!AG1,'BLS Employment'!$G:$G)*1000</f>
        <v>1703200</v>
      </c>
      <c r="AH2" s="61">
        <f>SUMIF('BLS Employment'!$A:$A,BEbIC!AH1,'BLS Employment'!$G:$G)*1000</f>
        <v>619600</v>
      </c>
      <c r="AI2" s="61">
        <f>SUMIF('BLS Employment'!$A:$A,BEbIC!AI1,'BLS Employment'!$G:$G)*1000</f>
        <v>3218600</v>
      </c>
      <c r="AJ2" s="61">
        <f>SUMIF('BLS Employment'!$A:$A,BEbIC!AJ1,'BLS Employment'!$G:$G)*1000</f>
        <v>6751600</v>
      </c>
      <c r="AK2" s="61">
        <f>SUMIF('BLS Employment'!$A:$A,BEbIC!AK1,'BLS Employment'!$G:$G)*1000</f>
        <v>2505800</v>
      </c>
      <c r="AL2" s="61">
        <f>SUMIF('BLS Employment'!$A:$A,BEbIC!AL1,'BLS Employment'!$G:$G)*1000</f>
        <v>19879699.999999996</v>
      </c>
      <c r="AM2" s="61">
        <f>SUMIF('BLS Employment'!$A:$A,BEbIC!AM1,'BLS Employment'!$G:$G)*1000</f>
        <v>23419000</v>
      </c>
      <c r="AN2" s="61">
        <f>SUMIF('BLS Employment'!$A:$A,BEbIC!AN1,'BLS Employment'!$G:$G)*1000</f>
        <v>3889800</v>
      </c>
      <c r="AO2" s="61">
        <f>SUMIF('BLS Employment'!$A:$A,BEbIC!AO1,'BLS Employment'!$G:$G)*1000</f>
        <v>22670900</v>
      </c>
      <c r="AP2" s="61">
        <f>SUMIF('BLS Employment'!$A:$A,BEbIC!AP1,'BLS Employment'!$G:$G)*1000</f>
        <v>7304700.0000000009</v>
      </c>
      <c r="AQ2" s="27">
        <f>SUMIF('BLS Employment'!$A:$A,BEbIC!AQ1,'BLS Employment'!$G:$G)*1000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BLS Employment</vt:lpstr>
      <vt:lpstr>BEbIC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2019-12-02T22:49:06Z</dcterms:created>
  <dcterms:modified xsi:type="dcterms:W3CDTF">2026-01-08T17:59:57Z</dcterms:modified>
</cp:coreProperties>
</file>